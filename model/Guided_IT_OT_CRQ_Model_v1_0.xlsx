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comment1.xml" ContentType="application/vnd.openxmlformats-officedocument.spreadsheetml.comments+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drawings/drawing4.xml" ContentType="application/vnd.openxmlformats-officedocument.drawing+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1 Executive dashboards" sheetId="1" state="visible" r:id="rId1"/>
    <sheet name="01 Executive Risk Story" sheetId="2" state="visible" r:id="rId2"/>
    <sheet name="02 Risk Formation" sheetId="3" state="visible" r:id="rId3"/>
    <sheet name="03 Scenario Analysis" sheetId="4" state="visible" r:id="rId4"/>
    <sheet name="04 Business Impact" sheetId="5" state="visible" r:id="rId5"/>
    <sheet name="05 Risk Treatment" sheetId="6" state="visible" r:id="rId6"/>
    <sheet name="06 Appetite &amp; Insurance" sheetId="7" state="visible" r:id="rId7"/>
    <sheet name="07 Uncertainty &amp; Evidence" sheetId="8" state="visible" r:id="rId8"/>
    <sheet name="00 Dashboard" sheetId="9" state="visible" r:id="rId9"/>
    <sheet name="00 Risk Drivers" sheetId="10" state="visible" r:id="rId10"/>
    <sheet name="00 Loss Analysis" sheetId="11" state="visible" r:id="rId11"/>
    <sheet name="00 What-If" sheetId="12" state="visible" r:id="rId12"/>
    <sheet name="00 Risk Transfer" sheetId="13" state="visible" r:id="rId13"/>
    <sheet name="2 User-input navigation" sheetId="14" state="visible" r:id="rId14"/>
    <sheet name="00 COMMON - Run Setup" sheetId="15" state="visible" r:id="rId15"/>
    <sheet name="00 COMMON - Outside-In" sheetId="16" state="visible" r:id="rId16"/>
    <sheet name="3 Assumption Ownership" sheetId="17" state="visible" r:id="rId17"/>
    <sheet name="FILL IT assessment only" sheetId="18" state="visible" r:id="rId18"/>
    <sheet name="IT 03 - Organisation Inputs" sheetId="19" state="visible" r:id="rId19"/>
    <sheet name="IT 04 - Exposure Adjustments" sheetId="20" state="visible" r:id="rId20"/>
    <sheet name="IT 05 - Control Assessment" sheetId="21" state="visible" r:id="rId21"/>
    <sheet name="IT 06 - Impact &amp; BIA Overrides" sheetId="22" state="visible" r:id="rId22"/>
    <sheet name="IT 07 - Assessment Adjustments" sheetId="23" state="visible" r:id="rId23"/>
    <sheet name="IT 08 - Reporting Settings" sheetId="24" state="visible" r:id="rId24"/>
    <sheet name="FILL OT assessment only" sheetId="25" state="visible" r:id="rId25"/>
    <sheet name="OT 03 - Facility Inputs" sheetId="26" state="visible" r:id="rId26"/>
    <sheet name="OT 04 - Control Assessment" sheetId="27" state="visible" r:id="rId27"/>
    <sheet name="OT 05 - Impact &amp; BIA" sheetId="28" state="visible" r:id="rId28"/>
    <sheet name="OT 06 - Assessment Adjustments" sheetId="29" state="visible" r:id="rId29"/>
    <sheet name="4 Results and audit trail" sheetId="30" state="hidden" r:id="rId30"/>
    <sheet name="00 COMMON - Output Bridge" sheetId="31" state="hidden" r:id="rId31"/>
    <sheet name="OT 02 - Executive Summary" sheetId="32" state="hidden" r:id="rId32"/>
    <sheet name="IT 02 - Executive Summary" sheetId="33" state="hidden" r:id="rId33"/>
    <sheet name="5 Advanced - Governed" sheetId="34" state="hidden" r:id="rId34"/>
    <sheet name="IT CORE - Model Guide" sheetId="35" state="hidden" r:id="rId35"/>
    <sheet name="OT CORE - Model Guide" sheetId="36" state="hidden" r:id="rId36"/>
    <sheet name="OT CORE - Control Method" sheetId="37" state="hidden" r:id="rId37"/>
    <sheet name="OT CORE - Scenario Definitions" sheetId="38" state="hidden" r:id="rId38"/>
    <sheet name="OT CORE - Scenario-TTP Map" sheetId="39" state="hidden" r:id="rId39"/>
    <sheet name="OT CORE - Actor-TTP Map" sheetId="40" state="hidden" r:id="rId40"/>
    <sheet name="OT CORE - Facility Feasibility" sheetId="41" state="hidden" r:id="rId41"/>
    <sheet name="OT CORE - TTP-Control Map" sheetId="42" state="hidden" r:id="rId42"/>
    <sheet name="OT CORE - Mapping Change Log" sheetId="43" state="hidden" r:id="rId43"/>
    <sheet name="OT PACK - Loaded Registry" sheetId="44" state="hidden" r:id="rId44"/>
    <sheet name="OT PACK - Loaded TTP Rationale" sheetId="45" state="hidden" r:id="rId45"/>
    <sheet name="OT PACK PG - Loaded Values" sheetId="46" state="hidden" r:id="rId46"/>
    <sheet name="OT PACK EA - Loaded Values" sheetId="47" state="hidden" r:id="rId47"/>
    <sheet name="OT PACK MF - Loaded Values" sheetId="48" state="hidden" r:id="rId48"/>
    <sheet name="OT PACK - Loaded Comparison" sheetId="49" state="hidden" r:id="rId49"/>
    <sheet name="IT 09 - Sector Pack Registry" sheetId="50" state="hidden" r:id="rId50"/>
    <sheet name="OT CALC - TTP Relevance" sheetId="51" state="hidden" r:id="rId51"/>
    <sheet name="OT CALC - Attack Path" sheetId="52" state="hidden" r:id="rId52"/>
    <sheet name="OT CALC - Threat Frequency" sheetId="53" state="hidden" r:id="rId53"/>
    <sheet name="OT CALC - Consequence" sheetId="54" state="hidden" r:id="rId54"/>
    <sheet name="OT CALC - Actor-Scenario Matrix" sheetId="55" state="hidden" r:id="rId55"/>
    <sheet name="OT CALC - Tail Risk Metrics" sheetId="56" state="hidden" r:id="rId56"/>
    <sheet name="OT CALC - Control What-If" sheetId="57" state="hidden" r:id="rId57"/>
    <sheet name="OT CALC - Aggregate LECs" sheetId="58" state="hidden" r:id="rId58"/>
    <sheet name="OT CALC - Scenario LECs" sheetId="59" state="hidden" r:id="rId59"/>
    <sheet name="OT CALC - Actor LECs" sheetId="60" state="hidden" r:id="rId60"/>
    <sheet name="OT CALC - Actor-Scenario LEC" sheetId="61" state="hidden" r:id="rId61"/>
    <sheet name="OT CALC - Risk Charts" sheetId="62" state="hidden" r:id="rId62"/>
    <sheet name="IT CALC - TTP Relevance" sheetId="63" state="hidden" r:id="rId63"/>
    <sheet name="IT CALC - Attack Path" sheetId="64" state="hidden" r:id="rId64"/>
    <sheet name="IT CALC - Frequency and Success" sheetId="65" state="hidden" r:id="rId65"/>
    <sheet name="IT CALC - Consequence" sheetId="66" state="hidden" r:id="rId66"/>
    <sheet name="IT CALC - Actor Scenario Matrix" sheetId="67" state="hidden" r:id="rId67"/>
    <sheet name="IT CALC - Tail Risk Metrics" sheetId="68" state="hidden" r:id="rId68"/>
    <sheet name="IT CALC - Control What-If" sheetId="69" state="hidden" r:id="rId69"/>
    <sheet name="IT CALC - Aggregate LECs" sheetId="70" state="hidden" r:id="rId70"/>
    <sheet name="IT CALC - Scenario LECs" sheetId="71" state="hidden" r:id="rId71"/>
    <sheet name="IT CALC - Actor LECs" sheetId="72" state="hidden" r:id="rId72"/>
    <sheet name="IT CALC - Risk Charts" sheetId="73" state="hidden" r:id="rId73"/>
    <sheet name="OT 26 - Sources and Evidence" sheetId="74" state="hidden" r:id="rId74"/>
    <sheet name="OT 27 - Validation Tests" sheetId="75" state="hidden" r:id="rId75"/>
    <sheet name="00 COMMON - OI Audit Trail" sheetId="76" state="hidden" r:id="rId76"/>
    <sheet name="IT 21 - Sources and Evidence" sheetId="77" state="hidden" r:id="rId77"/>
    <sheet name="IT 22 - Validation Tests" sheetId="78" state="hidden" r:id="rId78"/>
    <sheet name="1 Executive dashboards1" sheetId="79" state="hidden" r:id="rId79"/>
  </sheets>
  <definedNames>
    <definedName name="IT_Sectors">'00 COMMON - Run Setup'!$AA$5</definedName>
    <definedName name="OT_Sectors">'00 COMMON - Run Setup'!$AB$5:$AB$7</definedName>
    <definedName name="Financial_Services">'00 COMMON - Run Setup'!$Z$8</definedName>
    <definedName name="Power_Generation">'OT PACK - Loaded Registry'!$B$25:$B$30</definedName>
    <definedName name="Energy_Assets">'OT PACK - Loaded Registry'!$B$31:$B$35</definedName>
    <definedName name="Manufacturing">'OT PACK - Loaded Registry'!$B$36:$B$39</definedName>
  </definedNames>
</workbook>
</file>

<file path=xl/styles.xml><?xml version="1.0" encoding="utf-8"?>
<styleSheet xmlns="http://schemas.openxmlformats.org/spreadsheetml/2006/main">
  <numFmts count="19">
    <numFmt numFmtId="164" formatCode="0.0%;[RED]\(0.0%\);\-"/>
    <numFmt numFmtId="165" formatCode="\$#,##0;[RED]&quot;($&quot;#,##0\);\-"/>
    <numFmt numFmtId="166" formatCode="#,##0;[RED]\(#,##0\);\-"/>
    <numFmt numFmtId="167" formatCode="0.00\x"/>
    <numFmt numFmtId="168" formatCode="0.0000"/>
    <numFmt numFmtId="169" formatCode="&quot;$&quot;#,##0"/>
    <numFmt numFmtId="170" formatCode="0.0%"/>
    <numFmt numFmtId="171" formatCode="0.000"/>
    <numFmt numFmtId="172" formatCode="0.000000"/>
    <numFmt numFmtId="173" formatCode="#,##0.0"/>
    <numFmt numFmtId="174" formatCode="&quot;$&quot;#,##0;[Red](&quot;$&quot;#,##0);\-"/>
    <numFmt numFmtId="175" formatCode="YYYY-MM-DD HH:MM"/>
    <numFmt numFmtId="176" formatCode="0 &quot;years&quot;"/>
    <numFmt numFmtId="177" formatCode="0.0"/>
    <numFmt numFmtId="178" formatCode="&quot;$&quot;#,##0;[Red](&quot;$&quot;#,##0);-"/>
    <numFmt numFmtId="179" formatCode="0.00x"/>
    <numFmt numFmtId="180" formatCode="yyyy-mm-dd"/>
    <numFmt numFmtId="181" formatCode="$#,##0"/>
    <numFmt numFmtId="182" formatCode="yyyy-mm-dd hh:mm"/>
  </numFmts>
  <fonts count="78">
    <font>
      <name val="Arial"/>
      <sz val="10"/>
    </font>
    <font>
      <name val="Arial"/>
      <sz val="10"/>
    </font>
    <font>
      <name val="Arial"/>
      <sz val="10"/>
    </font>
    <font>
      <name val="Arial"/>
      <sz val="10"/>
    </font>
    <font>
      <name val="Calibri"/>
      <b val="1"/>
      <color rgb="FFFFFFFF"/>
      <sz val="16"/>
    </font>
    <font>
      <name val="Calibri"/>
      <sz val="11"/>
    </font>
    <font>
      <name val="Calibri"/>
      <i val="1"/>
      <sz val="11"/>
    </font>
    <font>
      <name val="Calibri"/>
      <b val="1"/>
      <color rgb="FFFFFFFF"/>
      <sz val="11"/>
    </font>
    <font>
      <name val="Calibri"/>
      <b val="1"/>
      <sz val="11"/>
    </font>
    <font>
      <name val="Calibri"/>
      <b val="1"/>
      <color rgb="FFFFFFFF"/>
      <sz val="9"/>
    </font>
    <font>
      <name val="Cambria"/>
      <b val="1"/>
      <sz val="11"/>
    </font>
    <font>
      <name val="Cambria"/>
      <b val="1"/>
      <color rgb="FF0563C1"/>
      <sz val="11"/>
    </font>
    <font>
      <name val="Calibri"/>
      <color rgb="FF0000FF"/>
      <sz val="11"/>
    </font>
    <font>
      <name val="Calibri"/>
      <color rgb="FF008000"/>
      <sz val="11"/>
    </font>
    <font>
      <name val="Calibri"/>
      <b val="1"/>
      <color rgb="FFFFFFFF"/>
      <sz val="15"/>
    </font>
    <font>
      <name val="Calibri"/>
      <i val="1"/>
      <color rgb="FF15505E"/>
      <sz val="9"/>
    </font>
    <font>
      <name val="Calibri"/>
      <color rgb="FF15505E"/>
      <sz val="10"/>
    </font>
    <font>
      <name val="Calibri"/>
      <b val="1"/>
      <color rgb="FF15505E"/>
      <sz val="9"/>
    </font>
    <font>
      <name val="Calibri"/>
      <color rgb="FF000000"/>
      <sz val="9"/>
    </font>
    <font>
      <name val="Calibri"/>
      <b val="1"/>
      <sz val="9"/>
    </font>
    <font>
      <name val="Calibri"/>
      <sz val="9"/>
    </font>
    <font>
      <name val="Calibri"/>
      <b val="1"/>
      <color rgb="FF000000"/>
      <sz val="18"/>
    </font>
    <font>
      <name val="Calibri"/>
      <color rgb="FF000000"/>
      <sz val="10"/>
    </font>
    <font>
      <name val="Calibri"/>
      <b val="1"/>
      <color rgb="FF000000"/>
      <sz val="10"/>
    </font>
    <font>
      <name val="Calibri"/>
      <b val="1"/>
      <color rgb="FFC65911"/>
      <sz val="11"/>
    </font>
    <font>
      <name val="Cambria"/>
      <b val="1"/>
      <color rgb="FFFFFFFF"/>
      <sz val="11"/>
    </font>
    <font>
      <name val="Arial"/>
      <b val="1"/>
      <color rgb="FFFFFFFF"/>
      <sz val="10"/>
    </font>
    <font>
      <name val="Arial"/>
      <color rgb="FF0000FF"/>
      <sz val="10"/>
    </font>
    <font>
      <b val="1"/>
      <color rgb="FFFFFFFF"/>
    </font>
    <font/>
    <font>
      <name val="Arial"/>
      <b val="1"/>
      <color rgb="FFFFFFFF"/>
      <sz val="16"/>
    </font>
    <font>
      <name val="Arial"/>
      <color rgb="FF1F1F1F"/>
      <sz val="10"/>
    </font>
    <font>
      <name val="Arial"/>
      <b val="1"/>
      <color rgb="FF375623"/>
      <sz val="10"/>
    </font>
    <font>
      <name val="Arial"/>
      <b val="1"/>
      <color rgb="FF0000CC"/>
      <sz val="10"/>
    </font>
    <font>
      <name val="Arial"/>
      <b val="1"/>
      <color rgb="FF1F1F1F"/>
      <sz val="10"/>
    </font>
    <font>
      <name val="Arial"/>
      <i val="1"/>
      <color rgb="FF1F1F1F"/>
      <sz val="10"/>
    </font>
    <font>
      <b val="1"/>
      <color rgb="FFFFFFFF"/>
    </font>
    <font>
      <b val="1"/>
      <color rgb="FFFFFFFF"/>
      <sz val="11"/>
    </font>
    <font>
      <b val="1"/>
      <color rgb="FFFFFFFF"/>
      <sz val="10"/>
    </font>
    <font>
      <b val="1"/>
      <sz val="10"/>
    </font>
    <font>
      <sz val="10"/>
    </font>
    <font>
      <i val="1"/>
      <color rgb="FF375623"/>
      <sz val="9"/>
    </font>
    <font>
      <b val="1"/>
      <color rgb="FFFFFFFF"/>
    </font>
    <font>
      <name val="Arial"/>
      <i val="1"/>
      <sz val="10"/>
    </font>
    <font>
      <name val="Arial"/>
      <b val="1"/>
      <sz val="10"/>
    </font>
    <font>
      <name val="Arial"/>
      <sz val="9"/>
    </font>
    <font>
      <name val="Arial"/>
      <color rgb="FF000000"/>
      <sz val="10"/>
    </font>
    <font>
      <b val="1"/>
      <color rgb="FFFFFFFF"/>
      <sz val="11"/>
    </font>
    <font>
      <b val="1"/>
      <color rgb="FFFFFFFF"/>
      <sz val="10"/>
    </font>
    <font>
      <b val="1"/>
      <color rgb="FFFFFFFF"/>
    </font>
    <font>
      <name val="Arial"/>
      <b val="1"/>
      <color rgb="FF1F4E79"/>
      <sz val="10"/>
    </font>
    <font>
      <name val="Arial"/>
      <color rgb="FF1F4E79"/>
      <sz val="10"/>
    </font>
    <font>
      <name val="Calibri"/>
      <b val="1"/>
      <color rgb="FF1F4E79"/>
      <sz val="11"/>
    </font>
    <font>
      <name val="Arial"/>
      <b val="1"/>
      <color rgb="FFFFFFFF"/>
      <sz val="18"/>
    </font>
    <font>
      <name val="Arial"/>
      <color rgb="FF1F2937"/>
      <sz val="10"/>
    </font>
    <font>
      <name val="Arial"/>
      <b val="1"/>
      <color rgb="FFFFFFFF"/>
      <sz val="11"/>
    </font>
    <font>
      <name val="Arial"/>
      <b val="1"/>
      <color rgb="FFFFFFFF"/>
      <sz val="9"/>
    </font>
    <font>
      <name val="Arial"/>
      <color rgb="FF1F2937"/>
      <sz val="9"/>
    </font>
    <font>
      <name val="Arial"/>
      <color rgb="FF0563C1"/>
      <sz val="10"/>
    </font>
    <font>
      <name val="Arial"/>
      <b val="1"/>
      <color rgb="FF1F2937"/>
      <sz val="10"/>
    </font>
    <font>
      <name val="Arial"/>
      <b val="1"/>
      <color rgb="FF7F6000"/>
      <sz val="10"/>
    </font>
    <font>
      <name val="Arial"/>
      <b val="1"/>
      <color rgb="FF1F2937"/>
      <sz val="9"/>
    </font>
    <font>
      <name val="Arial"/>
      <b val="1"/>
      <color rgb="FF17365D"/>
      <sz val="16"/>
    </font>
    <font>
      <name val="Arial"/>
      <b val="1"/>
      <color rgb="FF0563C1"/>
      <sz val="10"/>
    </font>
    <font>
      <name val="Arial"/>
      <b val="1"/>
      <color rgb="FFFFFFFF"/>
      <sz val="14"/>
    </font>
    <font>
      <name val="Arial"/>
      <color rgb="FF0563C1"/>
      <sz val="9"/>
    </font>
    <font>
      <name val="Arial"/>
      <i val="1"/>
      <color rgb="FF334155"/>
      <sz val="10"/>
    </font>
    <font>
      <name val="Arial"/>
      <b val="1"/>
      <color rgb="FFFFFFFF"/>
      <sz val="20"/>
    </font>
    <font>
      <name val="Arial"/>
      <color rgb="FF334155"/>
      <sz val="11"/>
    </font>
    <font>
      <name val="Arial"/>
      <b val="1"/>
      <color rgb="FF10233F"/>
      <sz val="10"/>
    </font>
    <font>
      <b val="1"/>
      <color rgb="00FFFFFF"/>
    </font>
    <font>
      <b val="1"/>
      <color rgb="00FFFFFF"/>
      <sz val="16"/>
    </font>
    <font>
      <name val="Carlito"/>
      <b val="1"/>
      <color rgb="001F4E79"/>
      <sz val="11"/>
    </font>
    <font>
      <name val="Carlito"/>
      <b val="1"/>
      <color rgb="001F4E79"/>
      <sz val="16"/>
    </font>
    <font>
      <name val="Carlito"/>
      <color rgb="005B6B7A"/>
      <sz val="10"/>
    </font>
    <font>
      <name val="Carlito"/>
      <b val="1"/>
      <color rgb="00FFFFFF"/>
      <sz val="11"/>
    </font>
    <font>
      <name val="Carlito"/>
      <b val="1"/>
      <sz val="10"/>
    </font>
    <font>
      <name val="Carlito"/>
      <sz val="10"/>
    </font>
  </fonts>
  <fills count="75">
    <fill>
      <patternFill/>
    </fill>
    <fill>
      <patternFill patternType="gray125"/>
    </fill>
    <fill>
      <patternFill patternType="solid">
        <fgColor rgb="FF17324D"/>
      </patternFill>
    </fill>
    <fill>
      <patternFill patternType="solid">
        <fgColor rgb="FFDDEBF7"/>
      </patternFill>
    </fill>
    <fill>
      <patternFill patternType="solid">
        <fgColor rgb="FFDDEFF2"/>
      </patternFill>
    </fill>
    <fill>
      <patternFill patternType="solid">
        <fgColor rgb="FFE7E6E6"/>
      </patternFill>
    </fill>
    <fill>
      <patternFill patternType="solid">
        <fgColor rgb="FFFFF2CC"/>
      </patternFill>
    </fill>
    <fill>
      <patternFill patternType="solid">
        <fgColor rgb="FF0F6B78"/>
      </patternFill>
    </fill>
    <fill>
      <patternFill patternType="solid">
        <fgColor rgb="FFE2F0D9"/>
      </patternFill>
    </fill>
    <fill>
      <patternFill patternType="solid">
        <fgColor rgb="FFD9EAD3"/>
      </patternFill>
    </fill>
    <fill>
      <patternFill patternType="solid">
        <fgColor rgb="FF2F75B5"/>
      </patternFill>
    </fill>
    <fill>
      <patternFill patternType="solid">
        <fgColor rgb="FF7030A0"/>
      </patternFill>
    </fill>
    <fill>
      <patternFill patternType="solid">
        <fgColor rgb="FF15505E"/>
      </patternFill>
    </fill>
    <fill>
      <patternFill patternType="solid">
        <fgColor rgb="FFE8F1F3"/>
      </patternFill>
    </fill>
    <fill>
      <patternFill patternType="solid">
        <fgColor rgb="FFF7F9FA"/>
      </patternFill>
    </fill>
    <fill>
      <patternFill patternType="solid">
        <fgColor rgb="FFFFFFFF"/>
      </patternFill>
    </fill>
    <fill>
      <patternFill patternType="solid">
        <fgColor rgb="FFC68900"/>
      </patternFill>
    </fill>
    <fill>
      <patternFill patternType="solid">
        <fgColor rgb="FF548235"/>
      </patternFill>
    </fill>
    <fill>
      <patternFill patternType="solid">
        <fgColor rgb="FF375623"/>
      </patternFill>
    </fill>
    <fill>
      <patternFill patternType="solid">
        <fgColor rgb="FF666666"/>
      </patternFill>
    </fill>
    <fill>
      <patternFill patternType="solid">
        <fgColor rgb="FFC65911"/>
      </patternFill>
    </fill>
    <fill>
      <patternFill patternType="solid">
        <fgColor rgb="FFFCE4D6"/>
      </patternFill>
    </fill>
    <fill>
      <patternFill patternType="solid">
        <fgColor rgb="FF548235"/>
      </patternFill>
    </fill>
    <fill>
      <patternFill patternType="solid">
        <fgColor rgb="FFFFF2CC"/>
      </patternFill>
    </fill>
    <fill>
      <patternFill patternType="solid">
        <fgColor rgb="FFDDEBF7"/>
      </patternFill>
    </fill>
    <fill>
      <patternFill patternType="solid">
        <fgColor rgb="FF548235"/>
      </patternFill>
    </fill>
    <fill>
      <patternFill patternType="solid">
        <fgColor rgb="FF375623"/>
      </patternFill>
    </fill>
    <fill>
      <patternFill patternType="solid">
        <fgColor rgb="FFE2F0D9"/>
      </patternFill>
    </fill>
    <fill>
      <patternFill patternType="solid">
        <fgColor rgb="FFDDEBF7"/>
      </patternFill>
    </fill>
    <fill>
      <patternFill patternType="solid">
        <fgColor rgb="FFF2F2F2"/>
      </patternFill>
    </fill>
    <fill>
      <patternFill patternType="solid">
        <fgColor rgb="FFFFF2CC"/>
      </patternFill>
    </fill>
    <fill>
      <patternFill patternType="solid">
        <fgColor rgb="FFB4C7E7"/>
      </patternFill>
    </fill>
    <fill>
      <patternFill patternType="solid">
        <fgColor rgb="FF3F6B3A"/>
      </patternFill>
    </fill>
    <fill>
      <patternFill patternType="solid">
        <fgColor rgb="FFEEF4EA"/>
      </patternFill>
    </fill>
    <fill>
      <patternFill patternType="solid">
        <fgColor rgb="FFF4F7F2"/>
      </patternFill>
    </fill>
    <fill>
      <patternFill patternType="solid">
        <fgColor rgb="FFD99400"/>
      </patternFill>
    </fill>
    <fill>
      <patternFill patternType="solid">
        <fgColor rgb="FFDDEBF7"/>
      </patternFill>
    </fill>
    <fill>
      <patternFill patternType="solid">
        <fgColor rgb="FFE7E6E6"/>
      </patternFill>
    </fill>
    <fill>
      <patternFill patternType="solid">
        <fgColor rgb="FFFFF2CC"/>
      </patternFill>
    </fill>
    <fill>
      <patternFill patternType="solid">
        <fgColor rgb="FF17365D"/>
      </patternFill>
    </fill>
    <fill>
      <patternFill patternType="solid">
        <fgColor rgb="FF7030A0"/>
      </patternFill>
    </fill>
    <fill>
      <patternFill patternType="solid">
        <fgColor rgb="FF2E75B6"/>
      </patternFill>
    </fill>
    <fill>
      <patternFill patternType="solid">
        <fgColor rgb="FF0F6B78"/>
      </patternFill>
    </fill>
    <fill>
      <patternFill patternType="solid">
        <fgColor rgb="FFD99400"/>
      </patternFill>
    </fill>
    <fill>
      <patternFill patternType="solid">
        <fgColor rgb="FFFCE4D6"/>
      </patternFill>
    </fill>
    <fill>
      <patternFill patternType="solid">
        <fgColor rgb="FF17365D"/>
      </patternFill>
    </fill>
    <fill>
      <patternFill patternType="solid">
        <fgColor rgb="FF17324D"/>
      </patternFill>
    </fill>
    <fill>
      <patternFill patternType="solid">
        <fgColor rgb="FFF2F2F2"/>
      </patternFill>
    </fill>
    <fill>
      <patternFill patternType="solid">
        <fgColor rgb="FFFFF2CC"/>
      </patternFill>
    </fill>
    <fill>
      <patternFill patternType="solid">
        <fgColor rgb="FFD9EAF7"/>
      </patternFill>
    </fill>
    <fill>
      <patternFill patternType="solid">
        <fgColor rgb="FF17365D"/>
      </patternFill>
    </fill>
    <fill>
      <patternFill patternType="solid">
        <fgColor rgb="FFD9EAF7"/>
      </patternFill>
    </fill>
    <fill>
      <patternFill patternType="solid">
        <fgColor rgb="FF0F6B6D"/>
      </patternFill>
    </fill>
    <fill>
      <patternFill patternType="solid">
        <fgColor rgb="FF1F4E79"/>
      </patternFill>
    </fill>
    <fill>
      <patternFill patternType="solid">
        <fgColor rgb="FFFFF2CC"/>
      </patternFill>
    </fill>
    <fill>
      <patternFill patternType="solid">
        <fgColor rgb="FFF3F5F7"/>
      </patternFill>
    </fill>
    <fill>
      <patternFill patternType="solid">
        <fgColor rgb="FF3F6B3A"/>
      </patternFill>
    </fill>
    <fill>
      <patternFill patternType="solid">
        <fgColor rgb="FFFCE4D6"/>
      </patternFill>
    </fill>
    <fill>
      <patternFill patternType="solid">
        <fgColor rgb="FFDDEEEE"/>
      </patternFill>
    </fill>
    <fill>
      <patternFill patternType="solid">
        <fgColor rgb="FFEAF2E6"/>
      </patternFill>
    </fill>
    <fill>
      <patternFill patternType="solid">
        <fgColor rgb="FF10233F"/>
      </patternFill>
    </fill>
    <fill>
      <patternFill patternType="solid">
        <fgColor rgb="FFE8EEF6"/>
      </patternFill>
    </fill>
    <fill>
      <patternFill patternType="solid">
        <fgColor rgb="FF1F4E78"/>
      </patternFill>
    </fill>
    <fill>
      <patternFill patternType="solid">
        <fgColor rgb="FF00A6C7"/>
      </patternFill>
    </fill>
    <fill>
      <patternFill patternType="solid">
        <fgColor rgb="FFF1F5F9"/>
      </patternFill>
    </fill>
    <fill>
      <patternFill patternType="solid">
        <fgColor rgb="FFF4B942"/>
      </patternFill>
    </fill>
    <fill>
      <patternFill patternType="solid">
        <fgColor rgb="FF7C4DFF"/>
      </patternFill>
    </fill>
    <fill>
      <patternFill patternType="solid">
        <fgColor rgb="FF11A36A"/>
      </patternFill>
    </fill>
    <fill>
      <patternFill patternType="solid">
        <fgColor rgb="FF64748B"/>
      </patternFill>
    </fill>
    <fill>
      <patternFill patternType="solid">
        <fgColor rgb="001F4E79"/>
      </patternFill>
    </fill>
    <fill>
      <patternFill patternType="solid">
        <fgColor rgb="007F7F7F"/>
      </patternFill>
    </fill>
    <fill>
      <patternFill patternType="solid">
        <fgColor rgb="0000B0F0"/>
      </patternFill>
    </fill>
    <fill>
      <patternFill patternType="solid">
        <fgColor rgb="007030A0"/>
      </patternFill>
    </fill>
    <fill>
      <patternFill patternType="solid">
        <fgColor rgb="00FFF2CC"/>
      </patternFill>
    </fill>
    <fill>
      <patternFill patternType="solid">
        <fgColor rgb="002E75B6"/>
      </patternFill>
    </fill>
  </fills>
  <borders count="28">
    <border/>
    <border>
      <left style="thin">
        <color rgb="FFBFD3D8"/>
      </left>
      <right style="thin">
        <color rgb="FFBFD3D8"/>
      </right>
      <top style="thin">
        <color rgb="FFBFD3D8"/>
      </top>
      <bottom style="thin">
        <color rgb="FFBFD3D8"/>
      </bottom>
    </border>
    <border>
      <left style="thin">
        <color rgb="FFD9E2F3"/>
      </left>
      <right style="thin">
        <color rgb="FFD9E2F3"/>
      </right>
      <top style="thin">
        <color rgb="FFD9E2F3"/>
      </top>
      <bottom style="thin">
        <color rgb="FFD9E2F3"/>
      </bottom>
    </border>
    <border>
      <top style="thin">
        <color rgb="FFD9E2F3"/>
      </top>
    </border>
    <border>
      <right style="thin">
        <color rgb="FFD9E2F3"/>
      </right>
      <top style="thin">
        <color rgb="FFD9E2F3"/>
      </top>
    </border>
    <border>
      <top style="thin">
        <color rgb="FFD9E2F3"/>
      </top>
      <bottom style="thin">
        <color rgb="FFD9E2F3"/>
      </bottom>
    </border>
    <border>
      <right style="thin">
        <color rgb="FFD9E2F3"/>
      </right>
      <top style="thin">
        <color rgb="FFD9E2F3"/>
      </top>
      <bottom style="thin">
        <color rgb="FFD9E2F3"/>
      </bottom>
    </border>
    <border>
      <bottom style="thin">
        <color rgb="FFE7E6E6"/>
      </bottom>
    </border>
    <border>
      <left style="thin">
        <color rgb="FFD0D7D0"/>
      </left>
      <right style="thin">
        <color rgb="FFD0D7D0"/>
      </right>
      <top style="thin">
        <color rgb="FFD0D7D0"/>
      </top>
      <bottom style="thin">
        <color rgb="FFD0D7D0"/>
      </bottom>
    </border>
    <border>
      <top style="thin">
        <color rgb="FFD0D7D0"/>
      </top>
      <bottom style="thin">
        <color rgb="FFD0D7D0"/>
      </bottom>
    </border>
    <border>
      <right style="thin">
        <color rgb="FFD0D7D0"/>
      </right>
      <top style="thin">
        <color rgb="FFD0D7D0"/>
      </top>
      <bottom style="thin">
        <color rgb="FFD0D7D0"/>
      </bottom>
    </border>
    <border>
      <top style="thin">
        <color rgb="FFD0D7D0"/>
      </top>
    </border>
    <border>
      <right style="thin">
        <color rgb="FFD0D7D0"/>
      </right>
      <top style="thin">
        <color rgb="FFD0D7D0"/>
      </top>
    </border>
    <border>
      <left style="thin">
        <color rgb="FFB7B7B7"/>
      </left>
      <right style="thin">
        <color rgb="FFB7B7B7"/>
      </right>
      <top style="thin">
        <color rgb="FFB7B7B7"/>
      </top>
      <bottom style="thin">
        <color rgb="FFB7B7B7"/>
      </bottom>
    </border>
    <border>
      <left style="thin">
        <color rgb="FFD9D9D9"/>
      </left>
      <right style="thin">
        <color rgb="FFD9D9D9"/>
      </right>
      <top style="thin">
        <color rgb="FFD9D9D9"/>
      </top>
      <bottom style="thin">
        <color rgb="FFD9D9D9"/>
      </bottom>
    </border>
    <border>
      <left style="thin">
        <color rgb="FFE7E6E6"/>
      </left>
      <right style="thin">
        <color rgb="FFE7E6E6"/>
      </right>
      <top style="thin">
        <color rgb="FFE7E6E6"/>
      </top>
      <bottom style="thin">
        <color rgb="FFE7E6E6"/>
      </bottom>
    </border>
    <border>
      <top style="thin">
        <color rgb="FFB7B7B7"/>
      </top>
      <bottom style="thin">
        <color rgb="FFB7B7B7"/>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00D0D7D0"/>
      </left>
      <right style="thin">
        <color rgb="00D0D7D0"/>
      </right>
      <top style="thin">
        <color rgb="00D0D7D0"/>
      </top>
      <bottom style="thin">
        <color rgb="00D0D7D0"/>
      </bottom>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4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wrapText="1"/>
    </xf>
    <xf numFmtId="0" fontId="5" fillId="3" borderId="0" applyAlignment="1" pivotButton="0" quotePrefix="0" xfId="0">
      <alignment horizontal="general" vertical="bottom" wrapText="1"/>
    </xf>
    <xf numFmtId="0" fontId="6" fillId="4" borderId="0" applyAlignment="1" pivotButton="0" quotePrefix="0" xfId="0">
      <alignment horizontal="general" vertical="bottom" wrapText="1"/>
    </xf>
    <xf numFmtId="0" fontId="7" fillId="2" borderId="0" applyAlignment="1" pivotButton="0" quotePrefix="0" xfId="0">
      <alignment horizontal="general" vertical="bottom"/>
    </xf>
    <xf numFmtId="0" fontId="8" fillId="5"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6" borderId="0" applyAlignment="1" pivotButton="0" quotePrefix="0" xfId="0">
      <alignment horizontal="general" vertical="bottom" wrapText="1"/>
    </xf>
    <xf numFmtId="0" fontId="9" fillId="2" borderId="0" applyAlignment="1" pivotButton="0" quotePrefix="0" xfId="0">
      <alignment horizontal="center" vertical="center" wrapText="1"/>
    </xf>
    <xf numFmtId="0" fontId="5" fillId="0" borderId="0" applyAlignment="1" pivotButton="0" quotePrefix="0" xfId="0">
      <alignment horizontal="general" vertical="bottom" wrapText="1"/>
    </xf>
    <xf numFmtId="0" fontId="7" fillId="7" borderId="0" applyAlignment="1" pivotButton="0" quotePrefix="0" xfId="0">
      <alignment horizontal="general" vertical="bottom"/>
    </xf>
    <xf numFmtId="0" fontId="8" fillId="8" borderId="0" applyAlignment="1" pivotButton="0" quotePrefix="0" xfId="0">
      <alignment horizontal="general" vertical="bottom"/>
    </xf>
    <xf numFmtId="0" fontId="10" fillId="9" borderId="0" applyAlignment="1" pivotButton="0" quotePrefix="0" xfId="0">
      <alignment horizontal="general" vertical="bottom"/>
    </xf>
    <xf numFmtId="0" fontId="11" fillId="0" borderId="0" applyAlignment="1" pivotButton="0" quotePrefix="0" xfId="0">
      <alignment horizontal="general" vertical="bottom"/>
    </xf>
    <xf numFmtId="0" fontId="4" fillId="10" borderId="0" applyAlignment="1" pivotButton="0" quotePrefix="0" xfId="0">
      <alignment horizontal="general" vertical="bottom" wrapText="1"/>
    </xf>
    <xf numFmtId="0" fontId="7" fillId="10" borderId="0" applyAlignment="1" pivotButton="0" quotePrefix="0" xfId="0">
      <alignment horizontal="general" vertical="bottom"/>
    </xf>
    <xf numFmtId="0" fontId="12" fillId="6" borderId="0" applyAlignment="1" pivotButton="0" quotePrefix="0" xfId="0">
      <alignment horizontal="general" vertical="bottom" wrapText="1"/>
    </xf>
    <xf numFmtId="0" fontId="12" fillId="6" borderId="0" applyAlignment="1" pivotButton="0" quotePrefix="0" xfId="0">
      <alignment horizontal="center" vertical="bottom" wrapText="1"/>
    </xf>
    <xf numFmtId="164" fontId="12" fillId="6" borderId="0" applyAlignment="1" pivotButton="0" quotePrefix="0" xfId="0">
      <alignment horizontal="center" vertical="bottom" wrapText="1"/>
    </xf>
    <xf numFmtId="164" fontId="5" fillId="0" borderId="0" applyAlignment="1" pivotButton="0" quotePrefix="0" xfId="0">
      <alignment horizontal="center" vertical="bottom" wrapText="1"/>
    </xf>
    <xf numFmtId="165" fontId="12" fillId="6" borderId="0" applyAlignment="1" pivotButton="0" quotePrefix="0" xfId="0">
      <alignment horizontal="general" vertical="bottom"/>
    </xf>
    <xf numFmtId="164" fontId="12" fillId="6" borderId="0" applyAlignment="1" pivotButton="0" quotePrefix="0" xfId="0">
      <alignment horizontal="general" vertical="bottom"/>
    </xf>
    <xf numFmtId="166" fontId="12" fillId="6" borderId="0" applyAlignment="1" pivotButton="0" quotePrefix="0" xfId="0">
      <alignment horizontal="general" vertical="bottom"/>
    </xf>
    <xf numFmtId="165" fontId="5" fillId="0" borderId="0" applyAlignment="1" pivotButton="0" quotePrefix="0" xfId="0">
      <alignment horizontal="general" vertical="bottom"/>
    </xf>
    <xf numFmtId="165" fontId="12" fillId="6" borderId="0" applyAlignment="1" pivotButton="0" quotePrefix="0" xfId="0">
      <alignment horizontal="center" vertical="bottom" wrapText="1"/>
    </xf>
    <xf numFmtId="0" fontId="4" fillId="11" borderId="0" applyAlignment="1" pivotButton="0" quotePrefix="0" xfId="0">
      <alignment horizontal="general" vertical="bottom" wrapText="1"/>
    </xf>
    <xf numFmtId="0" fontId="7" fillId="11" borderId="0" applyAlignment="1" pivotButton="0" quotePrefix="0" xfId="0">
      <alignment horizontal="general" vertical="bottom"/>
    </xf>
    <xf numFmtId="0" fontId="13" fillId="0" borderId="0" applyAlignment="1" pivotButton="0" quotePrefix="0" xfId="0">
      <alignment horizontal="general" vertical="bottom" wrapText="1"/>
    </xf>
    <xf numFmtId="0" fontId="14" fillId="12" borderId="0" applyAlignment="1" pivotButton="0" quotePrefix="0" xfId="0">
      <alignment horizontal="general" vertical="bottom"/>
    </xf>
    <xf numFmtId="0" fontId="15" fillId="13" borderId="0" applyAlignment="1" pivotButton="0" quotePrefix="0" xfId="0">
      <alignment horizontal="general" vertical="top" wrapText="1"/>
    </xf>
    <xf numFmtId="0" fontId="16" fillId="13" borderId="0" applyAlignment="1" pivotButton="0" quotePrefix="0" xfId="0">
      <alignment horizontal="general" vertical="top" wrapText="1"/>
    </xf>
    <xf numFmtId="0" fontId="9" fillId="12" borderId="1" applyAlignment="1" pivotButton="0" quotePrefix="0" xfId="0">
      <alignment horizontal="general" vertical="center" wrapText="1"/>
    </xf>
    <xf numFmtId="0" fontId="9" fillId="12" borderId="1" applyAlignment="1" pivotButton="0" quotePrefix="0" xfId="0">
      <alignment horizontal="center" vertical="center" wrapText="1"/>
    </xf>
    <xf numFmtId="0" fontId="17" fillId="14" borderId="1" applyAlignment="1" pivotButton="0" quotePrefix="0" xfId="0">
      <alignment horizontal="left" vertical="center" wrapText="1"/>
    </xf>
    <xf numFmtId="0" fontId="18" fillId="14" borderId="1" applyAlignment="1" pivotButton="0" quotePrefix="0" xfId="0">
      <alignment horizontal="left" vertical="center" wrapText="1"/>
    </xf>
    <xf numFmtId="0" fontId="18" fillId="14" borderId="1" applyAlignment="1" pivotButton="0" quotePrefix="0" xfId="0">
      <alignment horizontal="center" vertical="center" wrapText="1"/>
    </xf>
    <xf numFmtId="0" fontId="17" fillId="15" borderId="1" applyAlignment="1" pivotButton="0" quotePrefix="0" xfId="0">
      <alignment horizontal="left" vertical="center" wrapText="1"/>
    </xf>
    <xf numFmtId="0" fontId="18" fillId="15" borderId="1" applyAlignment="1" pivotButton="0" quotePrefix="0" xfId="0">
      <alignment horizontal="left" vertical="center" wrapText="1"/>
    </xf>
    <xf numFmtId="0" fontId="18" fillId="15" borderId="1" applyAlignment="1" pivotButton="0" quotePrefix="0" xfId="0">
      <alignment horizontal="center" vertical="center" wrapText="1"/>
    </xf>
    <xf numFmtId="0" fontId="16" fillId="13" borderId="0" applyAlignment="1" pivotButton="0" quotePrefix="0" xfId="0">
      <alignment horizontal="general" vertical="bottom"/>
    </xf>
    <xf numFmtId="0" fontId="9" fillId="12" borderId="1" applyAlignment="1" pivotButton="0" quotePrefix="0" xfId="0">
      <alignment horizontal="general" vertical="top" wrapText="1"/>
    </xf>
    <xf numFmtId="0" fontId="19" fillId="14" borderId="1" applyAlignment="1" pivotButton="0" quotePrefix="0" xfId="0">
      <alignment horizontal="general" vertical="top" wrapText="1"/>
    </xf>
    <xf numFmtId="0" fontId="20" fillId="14" borderId="1" applyAlignment="1" pivotButton="0" quotePrefix="0" xfId="0">
      <alignment horizontal="general" vertical="top" wrapText="1"/>
    </xf>
    <xf numFmtId="0" fontId="19" fillId="15" borderId="1" applyAlignment="1" pivotButton="0" quotePrefix="0" xfId="0">
      <alignment horizontal="general" vertical="top" wrapText="1"/>
    </xf>
    <xf numFmtId="0" fontId="20" fillId="15" borderId="1" applyAlignment="1" pivotButton="0" quotePrefix="0" xfId="0">
      <alignment horizontal="general" vertical="top" wrapText="1"/>
    </xf>
    <xf numFmtId="164" fontId="5" fillId="0" borderId="0" applyAlignment="1" pivotButton="0" quotePrefix="0" xfId="0">
      <alignment horizontal="general" vertical="bottom" wrapText="1"/>
    </xf>
    <xf numFmtId="0" fontId="4" fillId="16" borderId="0" applyAlignment="1" pivotButton="0" quotePrefix="0" xfId="0">
      <alignment horizontal="general" vertical="bottom" wrapText="1"/>
    </xf>
    <xf numFmtId="0" fontId="7" fillId="16" borderId="0" applyAlignment="1" pivotButton="0" quotePrefix="0" xfId="0">
      <alignment horizontal="general" vertical="bottom"/>
    </xf>
    <xf numFmtId="0" fontId="9" fillId="16" borderId="0" applyAlignment="1" pivotButton="0" quotePrefix="0" xfId="0">
      <alignment horizontal="center" vertical="center" wrapText="1"/>
    </xf>
    <xf numFmtId="167" fontId="12" fillId="6" borderId="0" applyAlignment="1" pivotButton="0" quotePrefix="0" xfId="0">
      <alignment horizontal="center" vertical="bottom" wrapText="1"/>
    </xf>
    <xf numFmtId="2" fontId="12" fillId="6" borderId="0" applyAlignment="1" pivotButton="0" quotePrefix="0" xfId="0">
      <alignment horizontal="center" vertical="bottom" wrapText="1"/>
    </xf>
    <xf numFmtId="0" fontId="4" fillId="7" borderId="0" applyAlignment="1" pivotButton="0" quotePrefix="0" xfId="0">
      <alignment horizontal="general" vertical="bottom" wrapText="1"/>
    </xf>
    <xf numFmtId="0" fontId="9" fillId="7" borderId="0" applyAlignment="1" pivotButton="0" quotePrefix="0" xfId="0">
      <alignment horizontal="center" vertical="center" wrapText="1"/>
    </xf>
    <xf numFmtId="0" fontId="13" fillId="0" borderId="0" applyAlignment="1" pivotButton="0" quotePrefix="0" xfId="0">
      <alignment horizontal="general" vertical="bottom"/>
    </xf>
    <xf numFmtId="168" fontId="5" fillId="0" borderId="0" applyAlignment="1" pivotButton="0" quotePrefix="0" xfId="0">
      <alignment horizontal="general" vertical="bottom"/>
    </xf>
    <xf numFmtId="168" fontId="9" fillId="7" borderId="0" applyAlignment="1" pivotButton="0" quotePrefix="0" xfId="0">
      <alignment horizontal="center" vertical="center" wrapText="1"/>
    </xf>
    <xf numFmtId="164" fontId="5" fillId="0" borderId="0" applyAlignment="1" pivotButton="0" quotePrefix="0" xfId="0">
      <alignment horizontal="general" vertical="bottom"/>
    </xf>
    <xf numFmtId="0" fontId="4" fillId="17" borderId="0" applyAlignment="1" pivotButton="0" quotePrefix="0" xfId="0">
      <alignment horizontal="general" vertical="bottom" wrapText="1"/>
    </xf>
    <xf numFmtId="0" fontId="7" fillId="17" borderId="0" applyAlignment="1" pivotButton="0" quotePrefix="0" xfId="0">
      <alignment horizontal="general" vertical="bottom"/>
    </xf>
    <xf numFmtId="0" fontId="9" fillId="17" borderId="0" applyAlignment="1" pivotButton="0" quotePrefix="0" xfId="0">
      <alignment horizontal="center" vertical="center" wrapText="1"/>
    </xf>
    <xf numFmtId="166" fontId="5" fillId="0" borderId="0" applyAlignment="1" pivotButton="0" quotePrefix="0" xfId="0">
      <alignment horizontal="general" vertical="bottom"/>
    </xf>
    <xf numFmtId="0" fontId="4" fillId="18" borderId="0" applyAlignment="1" pivotButton="0" quotePrefix="0" xfId="0">
      <alignment horizontal="general" vertical="bottom" wrapText="1"/>
    </xf>
    <xf numFmtId="0" fontId="7" fillId="18" borderId="0" applyAlignment="1" pivotButton="0" quotePrefix="0" xfId="0">
      <alignment horizontal="general" vertical="bottom"/>
    </xf>
    <xf numFmtId="0" fontId="0" fillId="0" borderId="0" applyAlignment="1" pivotButton="0" quotePrefix="0" xfId="0">
      <alignment horizontal="general" vertical="top" wrapText="1"/>
    </xf>
    <xf numFmtId="0" fontId="4" fillId="19" borderId="0" applyAlignment="1" pivotButton="0" quotePrefix="0" xfId="0">
      <alignment horizontal="general" vertical="bottom" wrapText="1"/>
    </xf>
    <xf numFmtId="0" fontId="7" fillId="19" borderId="0" applyAlignment="1" pivotButton="0" quotePrefix="0" xfId="0">
      <alignment horizontal="general" vertical="bottom"/>
    </xf>
    <xf numFmtId="0" fontId="9" fillId="19" borderId="0" applyAlignment="1" pivotButton="0" quotePrefix="0" xfId="0">
      <alignment horizontal="center" vertical="center" wrapText="1"/>
    </xf>
    <xf numFmtId="0" fontId="4" fillId="20" borderId="0" applyAlignment="1" pivotButton="0" quotePrefix="0" xfId="0">
      <alignment horizontal="general" vertical="bottom" wrapText="1"/>
    </xf>
    <xf numFmtId="0" fontId="7" fillId="20" borderId="0" applyAlignment="1" pivotButton="0" quotePrefix="0" xfId="0">
      <alignment horizontal="general" vertical="bottom"/>
    </xf>
    <xf numFmtId="0" fontId="24" fillId="21" borderId="0" applyAlignment="1" pivotButton="0" quotePrefix="0" xfId="0">
      <alignment horizontal="general" vertical="bottom"/>
    </xf>
    <xf numFmtId="0" fontId="9" fillId="20" borderId="0" applyAlignment="1" pivotButton="0" quotePrefix="0" xfId="0">
      <alignment horizontal="center" vertical="center" wrapText="1"/>
    </xf>
    <xf numFmtId="0" fontId="0" fillId="0" borderId="0" applyAlignment="1" pivotButton="0" quotePrefix="0" xfId="0">
      <alignment horizontal="general" vertical="bottom"/>
    </xf>
    <xf numFmtId="0" fontId="10" fillId="22" borderId="0" applyAlignment="1" pivotButton="0" quotePrefix="0" xfId="0">
      <alignment horizontal="general" vertical="bottom"/>
    </xf>
    <xf numFmtId="0" fontId="0" fillId="22" borderId="0" applyAlignment="1" pivotButton="0" quotePrefix="0" xfId="0">
      <alignment horizontal="general" vertical="bottom"/>
    </xf>
    <xf numFmtId="0" fontId="25" fillId="22" borderId="0" applyAlignment="1" pivotButton="0" quotePrefix="0" xfId="0">
      <alignment horizontal="general" vertical="bottom"/>
    </xf>
    <xf numFmtId="0" fontId="26" fillId="22" borderId="0" applyAlignment="1" pivotButton="0" quotePrefix="0" xfId="0">
      <alignment horizontal="general" vertical="bottom"/>
    </xf>
    <xf numFmtId="0" fontId="25" fillId="22" borderId="2" applyAlignment="1" pivotButton="0" quotePrefix="0" xfId="0">
      <alignment horizontal="general" vertical="bottom"/>
    </xf>
    <xf numFmtId="0" fontId="26" fillId="22" borderId="2" applyAlignment="1" pivotButton="0" quotePrefix="0" xfId="0">
      <alignment horizontal="general" vertical="bottom"/>
    </xf>
    <xf numFmtId="0" fontId="25" fillId="22" borderId="2" applyAlignment="1" pivotButton="0" quotePrefix="0" xfId="0">
      <alignment horizontal="general" vertical="bottom" wrapText="1"/>
    </xf>
    <xf numFmtId="0" fontId="26" fillId="22" borderId="2" applyAlignment="1" pivotButton="0" quotePrefix="0" xfId="0">
      <alignment horizontal="general" vertical="bottom" wrapText="1"/>
    </xf>
    <xf numFmtId="0" fontId="25" fillId="22" borderId="2" applyAlignment="1" pivotButton="0" quotePrefix="0" xfId="0">
      <alignment horizontal="general" vertical="center" wrapText="1"/>
    </xf>
    <xf numFmtId="0" fontId="26" fillId="22" borderId="2" applyAlignment="1" pivotButton="0" quotePrefix="0" xfId="0">
      <alignment horizontal="general" vertical="center" wrapText="1"/>
    </xf>
    <xf numFmtId="0" fontId="0"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12" fillId="23" borderId="0" applyAlignment="1" pivotButton="0" quotePrefix="0" xfId="0">
      <alignment horizontal="general" vertical="bottom" wrapText="1"/>
    </xf>
    <xf numFmtId="165" fontId="12" fillId="23" borderId="0" applyAlignment="1" pivotButton="0" quotePrefix="0" xfId="0">
      <alignment horizontal="general" vertical="bottom"/>
    </xf>
    <xf numFmtId="169" fontId="12" fillId="23" borderId="0" applyAlignment="1" pivotButton="0" quotePrefix="0" xfId="0">
      <alignment horizontal="general" vertical="bottom"/>
    </xf>
    <xf numFmtId="164" fontId="12" fillId="23" borderId="0" applyAlignment="1" pivotButton="0" quotePrefix="0" xfId="0">
      <alignment horizontal="general" vertical="bottom"/>
    </xf>
    <xf numFmtId="170" fontId="12" fillId="23" borderId="0" applyAlignment="1" pivotButton="0" quotePrefix="0" xfId="0">
      <alignment horizontal="general" vertical="bottom"/>
    </xf>
    <xf numFmtId="169" fontId="5" fillId="0" borderId="0" applyAlignment="1" pivotButton="0" quotePrefix="0" xfId="0">
      <alignment horizontal="general" vertical="bottom"/>
    </xf>
    <xf numFmtId="169" fontId="0" fillId="0" borderId="0" applyAlignment="1" pivotButton="0" quotePrefix="0" xfId="0">
      <alignment horizontal="general" vertical="bottom"/>
    </xf>
    <xf numFmtId="0" fontId="9" fillId="22" borderId="0" applyAlignment="1" pivotButton="0" quotePrefix="0" xfId="0">
      <alignment horizontal="center" vertical="center" wrapText="1"/>
    </xf>
    <xf numFmtId="0" fontId="9" fillId="22" borderId="2" applyAlignment="1" pivotButton="0" quotePrefix="0" xfId="0">
      <alignment horizontal="center" vertical="center" wrapText="1"/>
    </xf>
    <xf numFmtId="0" fontId="12" fillId="23" borderId="0" applyAlignment="1" pivotButton="0" quotePrefix="0" xfId="0">
      <alignment horizontal="center" vertical="bottom" wrapText="1"/>
    </xf>
    <xf numFmtId="171" fontId="12" fillId="23" borderId="0" applyAlignment="1" pivotButton="0" quotePrefix="0" xfId="0">
      <alignment horizontal="center" vertical="bottom" wrapText="1"/>
    </xf>
    <xf numFmtId="2" fontId="12" fillId="23" borderId="0" applyAlignment="1" pivotButton="0" quotePrefix="0" xfId="0">
      <alignment horizontal="center" vertical="bottom" wrapText="1"/>
    </xf>
    <xf numFmtId="3" fontId="12" fillId="23" borderId="0" applyAlignment="1" pivotButton="0" quotePrefix="0" xfId="0">
      <alignment horizontal="center" vertical="bottom" wrapText="1"/>
    </xf>
    <xf numFmtId="0" fontId="5" fillId="22" borderId="0" applyAlignment="1" pivotButton="0" quotePrefix="0" xfId="0">
      <alignment horizontal="general" vertical="bottom" wrapText="1"/>
    </xf>
    <xf numFmtId="0" fontId="7" fillId="22" borderId="0" applyAlignment="1" pivotButton="0" quotePrefix="0" xfId="0">
      <alignment horizontal="general" vertical="bottom" wrapText="1"/>
    </xf>
    <xf numFmtId="0" fontId="7" fillId="22" borderId="2" applyAlignment="1" pivotButton="0" quotePrefix="0" xfId="0">
      <alignment horizontal="general" vertical="bottom" wrapText="1"/>
    </xf>
    <xf numFmtId="0" fontId="7" fillId="22" borderId="2" applyAlignment="1" pivotButton="0" quotePrefix="0" xfId="0">
      <alignment horizontal="general" vertical="center" wrapText="1"/>
    </xf>
    <xf numFmtId="0" fontId="5" fillId="23" borderId="0" applyAlignment="1" pivotButton="0" quotePrefix="0" xfId="0">
      <alignment horizontal="general" vertical="bottom" wrapText="1"/>
    </xf>
    <xf numFmtId="172" fontId="12" fillId="23" borderId="0" applyAlignment="1" pivotButton="0" quotePrefix="0" xfId="0">
      <alignment horizontal="general" vertical="bottom" wrapText="1"/>
    </xf>
    <xf numFmtId="2" fontId="12" fillId="23" borderId="0" applyAlignment="1" pivotButton="0" quotePrefix="0" xfId="0">
      <alignment horizontal="general" vertical="bottom" wrapText="1"/>
    </xf>
    <xf numFmtId="2" fontId="0" fillId="0" borderId="0" applyAlignment="1" pivotButton="0" quotePrefix="0" xfId="0">
      <alignment horizontal="general" vertical="bottom"/>
    </xf>
    <xf numFmtId="0" fontId="4" fillId="7" borderId="0" applyAlignment="1" pivotButton="0" quotePrefix="0" xfId="0">
      <alignment horizontal="general" vertical="bottom" wrapText="1"/>
    </xf>
    <xf numFmtId="0" fontId="5" fillId="3" borderId="0" applyAlignment="1" pivotButton="0" quotePrefix="0" xfId="0">
      <alignment horizontal="general" vertical="bottom" wrapText="1"/>
    </xf>
    <xf numFmtId="0" fontId="6" fillId="4" borderId="0" applyAlignment="1" pivotButton="0" quotePrefix="0" xfId="0">
      <alignment horizontal="general" vertical="bottom" wrapText="1"/>
    </xf>
    <xf numFmtId="0" fontId="7" fillId="7" borderId="0" applyAlignment="1" pivotButton="0" quotePrefix="0" xfId="0">
      <alignment horizontal="general" vertical="bottom" wrapText="1"/>
    </xf>
    <xf numFmtId="0" fontId="8" fillId="5"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6" borderId="0" applyAlignment="1" pivotButton="0" quotePrefix="0" xfId="0">
      <alignment horizontal="general" vertical="bottom" wrapText="1"/>
    </xf>
    <xf numFmtId="164" fontId="5" fillId="0" borderId="0" applyAlignment="1" pivotButton="0" quotePrefix="0" xfId="0">
      <alignment horizontal="general" vertical="bottom" wrapText="1"/>
    </xf>
    <xf numFmtId="169" fontId="5" fillId="0" borderId="0" applyAlignment="1" pivotButton="0" quotePrefix="0" xfId="0">
      <alignment horizontal="general" vertical="bottom" wrapText="1"/>
    </xf>
    <xf numFmtId="2" fontId="0" fillId="0" borderId="0" applyAlignment="1" pivotButton="0" quotePrefix="0" xfId="0">
      <alignment horizontal="general" vertical="bottom" wrapText="1"/>
    </xf>
    <xf numFmtId="0" fontId="0" fillId="23" borderId="0" applyAlignment="1" pivotButton="0" quotePrefix="0" xfId="0">
      <alignment horizontal="general" vertical="bottom"/>
    </xf>
    <xf numFmtId="0" fontId="27" fillId="23" borderId="0" applyAlignment="1" pivotButton="0" quotePrefix="0" xfId="0">
      <alignment horizontal="general" vertical="bottom"/>
    </xf>
    <xf numFmtId="169" fontId="27" fillId="23" borderId="0" applyAlignment="1" pivotButton="0" quotePrefix="0" xfId="0">
      <alignment horizontal="general" vertical="bottom"/>
    </xf>
    <xf numFmtId="0" fontId="0" fillId="24" borderId="0" applyAlignment="1" pivotButton="0" quotePrefix="0" xfId="0">
      <alignment horizontal="general" vertical="bottom"/>
    </xf>
    <xf numFmtId="169" fontId="0" fillId="24" borderId="0" applyAlignment="1" pivotButton="0" quotePrefix="0" xfId="0">
      <alignment horizontal="general" vertical="bottom"/>
    </xf>
    <xf numFmtId="170" fontId="5" fillId="0" borderId="0" applyAlignment="1" pivotButton="0" quotePrefix="0" xfId="0">
      <alignment horizontal="general" vertical="bottom"/>
    </xf>
    <xf numFmtId="170" fontId="0" fillId="0" borderId="0" applyAlignment="1" pivotButton="0" quotePrefix="0" xfId="0">
      <alignment horizontal="general" vertical="bottom"/>
    </xf>
    <xf numFmtId="173" fontId="0" fillId="0" borderId="0" applyAlignment="1" pivotButton="0" quotePrefix="0" xfId="0">
      <alignment horizontal="general" vertical="bottom"/>
    </xf>
    <xf numFmtId="0" fontId="13"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wrapText="1"/>
    </xf>
    <xf numFmtId="0" fontId="5" fillId="3" borderId="0" applyAlignment="1" pivotButton="0" quotePrefix="0" xfId="0">
      <alignment horizontal="general" vertical="bottom" wrapText="1"/>
    </xf>
    <xf numFmtId="0" fontId="6" fillId="4" borderId="0" applyAlignment="1" pivotButton="0" quotePrefix="0" xfId="0">
      <alignment horizontal="general" vertical="bottom" wrapText="1"/>
    </xf>
    <xf numFmtId="0" fontId="7" fillId="2" borderId="0" applyAlignment="1" pivotButton="0" quotePrefix="0" xfId="0">
      <alignment horizontal="general" vertical="bottom"/>
    </xf>
    <xf numFmtId="0" fontId="8" fillId="5"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6" borderId="0" applyAlignment="1" pivotButton="0" quotePrefix="0" xfId="0">
      <alignment horizontal="general" vertical="bottom" wrapText="1"/>
    </xf>
    <xf numFmtId="0" fontId="9" fillId="2" borderId="0" applyAlignment="1" pivotButton="0" quotePrefix="0" xfId="0">
      <alignment horizontal="center" vertical="center" wrapText="1"/>
    </xf>
    <xf numFmtId="0" fontId="7" fillId="7" borderId="0" applyAlignment="1" pivotButton="0" quotePrefix="0" xfId="0">
      <alignment horizontal="general" vertical="bottom"/>
    </xf>
    <xf numFmtId="0" fontId="8" fillId="8" borderId="0" applyAlignment="1" pivotButton="0" quotePrefix="0" xfId="0">
      <alignment horizontal="general" vertical="bottom"/>
    </xf>
    <xf numFmtId="0" fontId="25" fillId="22" borderId="2" applyAlignment="1" pivotButton="0" quotePrefix="0" xfId="0">
      <alignment horizontal="general" vertical="center" wrapText="1"/>
    </xf>
    <xf numFmtId="0" fontId="26" fillId="22" borderId="2" applyAlignment="1" pivotButton="0" quotePrefix="0" xfId="0">
      <alignment horizontal="general" vertical="center" wrapText="1"/>
    </xf>
    <xf numFmtId="0" fontId="0"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4" fillId="10" borderId="0" applyAlignment="1" pivotButton="0" quotePrefix="0" xfId="0">
      <alignment horizontal="general" vertical="bottom" wrapText="1"/>
    </xf>
    <xf numFmtId="0" fontId="7" fillId="10" borderId="0" applyAlignment="1" pivotButton="0" quotePrefix="0" xfId="0">
      <alignment horizontal="general" vertical="bottom"/>
    </xf>
    <xf numFmtId="0" fontId="12" fillId="6" borderId="0" applyAlignment="1" pivotButton="0" quotePrefix="0" xfId="0">
      <alignment horizontal="general" vertical="bottom" wrapText="1"/>
    </xf>
    <xf numFmtId="0" fontId="12" fillId="23" borderId="0" applyAlignment="1" pivotButton="0" quotePrefix="0" xfId="0">
      <alignment horizontal="general" vertical="bottom" wrapText="1"/>
    </xf>
    <xf numFmtId="0" fontId="12" fillId="6" borderId="0" applyAlignment="1" pivotButton="0" quotePrefix="0" xfId="0">
      <alignment horizontal="center" vertical="bottom" wrapText="1"/>
    </xf>
    <xf numFmtId="164" fontId="12" fillId="6" borderId="0" applyAlignment="1" pivotButton="0" quotePrefix="0" xfId="0">
      <alignment horizontal="center" vertical="bottom" wrapText="1"/>
    </xf>
    <xf numFmtId="164" fontId="5" fillId="0" borderId="0" applyAlignment="1" pivotButton="0" quotePrefix="0" xfId="0">
      <alignment horizontal="center" vertical="bottom" wrapText="1"/>
    </xf>
    <xf numFmtId="169" fontId="12" fillId="23" borderId="0" applyAlignment="1" pivotButton="0" quotePrefix="0" xfId="0">
      <alignment horizontal="general" vertical="bottom"/>
    </xf>
    <xf numFmtId="170" fontId="12" fillId="23" borderId="0" applyAlignment="1" pivotButton="0" quotePrefix="0" xfId="0">
      <alignment horizontal="general" vertical="bottom"/>
    </xf>
    <xf numFmtId="166" fontId="12" fillId="6" borderId="0" applyAlignment="1" pivotButton="0" quotePrefix="0" xfId="0">
      <alignment horizontal="general" vertical="bottom"/>
    </xf>
    <xf numFmtId="165" fontId="12" fillId="6" borderId="0" applyAlignment="1" pivotButton="0" quotePrefix="0" xfId="0">
      <alignment horizontal="general" vertical="bottom"/>
    </xf>
    <xf numFmtId="169" fontId="5" fillId="0" borderId="0" applyAlignment="1" pivotButton="0" quotePrefix="0" xfId="0">
      <alignment horizontal="general" vertical="bottom"/>
    </xf>
    <xf numFmtId="169" fontId="0" fillId="0" borderId="0" applyAlignment="1" pivotButton="0" quotePrefix="0" xfId="0">
      <alignment horizontal="general" vertical="bottom"/>
    </xf>
    <xf numFmtId="0" fontId="9" fillId="22" borderId="2" applyAlignment="1" pivotButton="0" quotePrefix="0" xfId="0">
      <alignment horizontal="center" vertical="center" wrapText="1"/>
    </xf>
    <xf numFmtId="165" fontId="12" fillId="6" borderId="0" applyAlignment="1" pivotButton="0" quotePrefix="0" xfId="0">
      <alignment horizontal="center" vertical="bottom" wrapText="1"/>
    </xf>
    <xf numFmtId="0" fontId="4" fillId="11" borderId="0" applyAlignment="1" pivotButton="0" quotePrefix="0" xfId="0">
      <alignment horizontal="general" vertical="bottom" wrapText="1"/>
    </xf>
    <xf numFmtId="0" fontId="7" fillId="11" borderId="0" applyAlignment="1" pivotButton="0" quotePrefix="0" xfId="0">
      <alignment horizontal="general" vertical="bottom"/>
    </xf>
    <xf numFmtId="0" fontId="13" fillId="0" borderId="0" applyAlignment="1" pivotButton="0" quotePrefix="0" xfId="0">
      <alignment horizontal="general" vertical="bottom" wrapText="1"/>
    </xf>
    <xf numFmtId="0" fontId="14" fillId="12" borderId="0" applyAlignment="1" pivotButton="0" quotePrefix="0" xfId="0">
      <alignment horizontal="general" vertical="bottom"/>
    </xf>
    <xf numFmtId="0" fontId="15" fillId="13" borderId="0" applyAlignment="1" pivotButton="0" quotePrefix="0" xfId="0">
      <alignment horizontal="general" vertical="top" wrapText="1"/>
    </xf>
    <xf numFmtId="0" fontId="16" fillId="13" borderId="0" applyAlignment="1" pivotButton="0" quotePrefix="0" xfId="0">
      <alignment horizontal="general" vertical="top" wrapText="1"/>
    </xf>
    <xf numFmtId="0" fontId="9" fillId="12" borderId="1" applyAlignment="1" pivotButton="0" quotePrefix="0" xfId="0">
      <alignment horizontal="general" vertical="center" wrapText="1"/>
    </xf>
    <xf numFmtId="0" fontId="9" fillId="12" borderId="1" applyAlignment="1" pivotButton="0" quotePrefix="0" xfId="0">
      <alignment horizontal="center" vertical="center" wrapText="1"/>
    </xf>
    <xf numFmtId="0" fontId="17" fillId="14" borderId="1" applyAlignment="1" pivotButton="0" quotePrefix="0" xfId="0">
      <alignment horizontal="left" vertical="center" wrapText="1"/>
    </xf>
    <xf numFmtId="0" fontId="18" fillId="14" borderId="1" applyAlignment="1" pivotButton="0" quotePrefix="0" xfId="0">
      <alignment horizontal="left" vertical="center" wrapText="1"/>
    </xf>
    <xf numFmtId="0" fontId="18" fillId="14" borderId="1" applyAlignment="1" pivotButton="0" quotePrefix="0" xfId="0">
      <alignment horizontal="center" vertical="center" wrapText="1"/>
    </xf>
    <xf numFmtId="0" fontId="17" fillId="15" borderId="1" applyAlignment="1" pivotButton="0" quotePrefix="0" xfId="0">
      <alignment horizontal="left" vertical="center" wrapText="1"/>
    </xf>
    <xf numFmtId="0" fontId="18" fillId="15" borderId="1" applyAlignment="1" pivotButton="0" quotePrefix="0" xfId="0">
      <alignment horizontal="left" vertical="center" wrapText="1"/>
    </xf>
    <xf numFmtId="0" fontId="18" fillId="15" borderId="1" applyAlignment="1" pivotButton="0" quotePrefix="0" xfId="0">
      <alignment horizontal="center" vertical="center" wrapText="1"/>
    </xf>
    <xf numFmtId="0" fontId="16" fillId="13" borderId="0" applyAlignment="1" pivotButton="0" quotePrefix="0" xfId="0">
      <alignment horizontal="general" vertical="bottom"/>
    </xf>
    <xf numFmtId="0" fontId="9" fillId="12" borderId="1" applyAlignment="1" pivotButton="0" quotePrefix="0" xfId="0">
      <alignment horizontal="general" vertical="top" wrapText="1"/>
    </xf>
    <xf numFmtId="0" fontId="19" fillId="14" borderId="1" applyAlignment="1" pivotButton="0" quotePrefix="0" xfId="0">
      <alignment horizontal="general" vertical="top" wrapText="1"/>
    </xf>
    <xf numFmtId="0" fontId="20" fillId="14" borderId="1" applyAlignment="1" pivotButton="0" quotePrefix="0" xfId="0">
      <alignment horizontal="general" vertical="top" wrapText="1"/>
    </xf>
    <xf numFmtId="0" fontId="19" fillId="15" borderId="1" applyAlignment="1" pivotButton="0" quotePrefix="0" xfId="0">
      <alignment horizontal="general" vertical="top" wrapText="1"/>
    </xf>
    <xf numFmtId="0" fontId="20" fillId="15" borderId="1" applyAlignment="1" pivotButton="0" quotePrefix="0" xfId="0">
      <alignment horizontal="general" vertical="top" wrapText="1"/>
    </xf>
    <xf numFmtId="164" fontId="5" fillId="0" borderId="0" applyAlignment="1" pivotButton="0" quotePrefix="0" xfId="0">
      <alignment horizontal="general" vertical="bottom" wrapText="1"/>
    </xf>
    <xf numFmtId="0" fontId="4" fillId="16" borderId="0" applyAlignment="1" pivotButton="0" quotePrefix="0" xfId="0">
      <alignment horizontal="general" vertical="bottom" wrapText="1"/>
    </xf>
    <xf numFmtId="0" fontId="7" fillId="16" borderId="0" applyAlignment="1" pivotButton="0" quotePrefix="0" xfId="0">
      <alignment horizontal="general" vertical="bottom"/>
    </xf>
    <xf numFmtId="171" fontId="12" fillId="23" borderId="0" applyAlignment="1" pivotButton="0" quotePrefix="0" xfId="0">
      <alignment horizontal="center" vertical="bottom" wrapText="1"/>
    </xf>
    <xf numFmtId="2" fontId="12" fillId="23" borderId="0" applyAlignment="1" pivotButton="0" quotePrefix="0" xfId="0">
      <alignment horizontal="center" vertical="bottom" wrapText="1"/>
    </xf>
    <xf numFmtId="0" fontId="12" fillId="23" borderId="0" applyAlignment="1" pivotButton="0" quotePrefix="0" xfId="0">
      <alignment horizontal="center" vertical="bottom" wrapText="1"/>
    </xf>
    <xf numFmtId="3" fontId="12" fillId="23" borderId="0" applyAlignment="1" pivotButton="0" quotePrefix="0" xfId="0">
      <alignment horizontal="center" vertical="bottom" wrapText="1"/>
    </xf>
    <xf numFmtId="0" fontId="9" fillId="16" borderId="0" applyAlignment="1" pivotButton="0" quotePrefix="0" xfId="0">
      <alignment horizontal="center" vertical="center" wrapText="1"/>
    </xf>
    <xf numFmtId="167" fontId="12" fillId="6" borderId="0" applyAlignment="1" pivotButton="0" quotePrefix="0" xfId="0">
      <alignment horizontal="center" vertical="bottom" wrapText="1"/>
    </xf>
    <xf numFmtId="2" fontId="12" fillId="6" borderId="0" applyAlignment="1" pivotButton="0" quotePrefix="0" xfId="0">
      <alignment horizontal="center" vertical="bottom" wrapText="1"/>
    </xf>
    <xf numFmtId="0" fontId="0" fillId="0" borderId="5" pivotButton="0" quotePrefix="0" xfId="0"/>
    <xf numFmtId="0" fontId="0" fillId="0" borderId="6" pivotButton="0" quotePrefix="0" xfId="0"/>
    <xf numFmtId="0" fontId="7" fillId="22" borderId="2" applyAlignment="1" pivotButton="0" quotePrefix="0" xfId="0">
      <alignment horizontal="general" vertical="center" wrapText="1"/>
    </xf>
    <xf numFmtId="172" fontId="12" fillId="23" borderId="0" applyAlignment="1" pivotButton="0" quotePrefix="0" xfId="0">
      <alignment horizontal="general" vertical="bottom" wrapText="1"/>
    </xf>
    <xf numFmtId="2" fontId="12" fillId="23" borderId="0" applyAlignment="1" pivotButton="0" quotePrefix="0" xfId="0">
      <alignment horizontal="general" vertical="bottom" wrapText="1"/>
    </xf>
    <xf numFmtId="0" fontId="4" fillId="7" borderId="0" applyAlignment="1" pivotButton="0" quotePrefix="0" xfId="0">
      <alignment horizontal="general" vertical="bottom" wrapText="1"/>
    </xf>
    <xf numFmtId="0" fontId="9" fillId="7" borderId="0" applyAlignment="1" pivotButton="0" quotePrefix="0" xfId="0">
      <alignment horizontal="center" vertical="center" wrapText="1"/>
    </xf>
    <xf numFmtId="0" fontId="13" fillId="0" borderId="0" applyAlignment="1" pivotButton="0" quotePrefix="0" xfId="0">
      <alignment horizontal="general" vertical="bottom"/>
    </xf>
    <xf numFmtId="168" fontId="5" fillId="0" borderId="0" applyAlignment="1" pivotButton="0" quotePrefix="0" xfId="0">
      <alignment horizontal="general" vertical="bottom"/>
    </xf>
    <xf numFmtId="168" fontId="9" fillId="7" borderId="0" applyAlignment="1" pivotButton="0" quotePrefix="0" xfId="0">
      <alignment horizontal="center" vertical="center" wrapText="1"/>
    </xf>
    <xf numFmtId="0" fontId="7" fillId="7" borderId="0" applyAlignment="1" pivotButton="0" quotePrefix="0" xfId="0">
      <alignment horizontal="general" vertical="bottom" wrapText="1"/>
    </xf>
    <xf numFmtId="169" fontId="5" fillId="0" borderId="0" applyAlignment="1" pivotButton="0" quotePrefix="0" xfId="0">
      <alignment horizontal="general" vertical="bottom" wrapText="1"/>
    </xf>
    <xf numFmtId="2" fontId="0" fillId="0" borderId="0" applyAlignment="1" pivotButton="0" quotePrefix="0" xfId="0">
      <alignment horizontal="general" vertical="bottom" wrapText="1"/>
    </xf>
    <xf numFmtId="0" fontId="4" fillId="17" borderId="0" applyAlignment="1" pivotButton="0" quotePrefix="0" xfId="0">
      <alignment horizontal="general" vertical="bottom" wrapText="1"/>
    </xf>
    <xf numFmtId="0" fontId="7" fillId="17" borderId="0" applyAlignment="1" pivotButton="0" quotePrefix="0" xfId="0">
      <alignment horizontal="general" vertical="bottom"/>
    </xf>
    <xf numFmtId="0" fontId="28" fillId="22" borderId="0" applyAlignment="1" pivotButton="0" quotePrefix="0" xfId="0">
      <alignment vertical="center"/>
    </xf>
    <xf numFmtId="0" fontId="28" fillId="22" borderId="0" pivotButton="0" quotePrefix="0" xfId="0"/>
    <xf numFmtId="0" fontId="28" fillId="22" borderId="0" applyAlignment="1" pivotButton="0" quotePrefix="0" xfId="0">
      <alignment vertical="center" wrapText="1"/>
    </xf>
    <xf numFmtId="174" fontId="5" fillId="0" borderId="0" applyAlignment="1" pivotButton="0" quotePrefix="0" xfId="0">
      <alignment horizontal="general" vertical="bottom"/>
    </xf>
    <xf numFmtId="174" fontId="0" fillId="0" borderId="0" applyAlignment="1" pivotButton="0" quotePrefix="0" xfId="0">
      <alignment horizontal="general" vertical="bottom"/>
    </xf>
    <xf numFmtId="0" fontId="0" fillId="0" borderId="0" applyAlignment="1" pivotButton="0" quotePrefix="0" xfId="0">
      <alignment vertical="center" wrapText="1"/>
    </xf>
    <xf numFmtId="2" fontId="5" fillId="0" borderId="0" applyAlignment="1" pivotButton="0" quotePrefix="0" xfId="0">
      <alignment horizontal="general" vertical="bottom"/>
    </xf>
    <xf numFmtId="170" fontId="5" fillId="0" borderId="0" applyAlignment="1" pivotButton="0" quotePrefix="0" xfId="0">
      <alignment horizontal="general" vertical="bottom"/>
    </xf>
    <xf numFmtId="0" fontId="5" fillId="0" borderId="0" applyAlignment="1" pivotButton="0" quotePrefix="0" xfId="0">
      <alignment horizontal="general" vertical="bottom"/>
    </xf>
    <xf numFmtId="170" fontId="0" fillId="0" borderId="0" applyAlignment="1" pivotButton="0" quotePrefix="0" xfId="0">
      <alignment horizontal="general" vertical="bottom"/>
    </xf>
    <xf numFmtId="173" fontId="5" fillId="0" borderId="0" applyAlignment="1" pivotButton="0" quotePrefix="0" xfId="0">
      <alignment horizontal="general" vertical="bottom"/>
    </xf>
    <xf numFmtId="173" fontId="0" fillId="0" borderId="0" pivotButton="0" quotePrefix="0" xfId="0"/>
    <xf numFmtId="175" fontId="5" fillId="0" borderId="0" applyAlignment="1" pivotButton="0" quotePrefix="0" xfId="0">
      <alignment horizontal="general" vertical="bottom"/>
    </xf>
    <xf numFmtId="175" fontId="0" fillId="0" borderId="0" pivotButton="0" quotePrefix="0" xfId="0"/>
    <xf numFmtId="3" fontId="0" fillId="0" borderId="0" pivotButton="0" quotePrefix="0" xfId="0"/>
    <xf numFmtId="171" fontId="0" fillId="0" borderId="0" pivotButton="0" quotePrefix="0" xfId="0"/>
    <xf numFmtId="2" fontId="0" fillId="0" borderId="0" pivotButton="0" quotePrefix="0" xfId="0"/>
    <xf numFmtId="0" fontId="29" fillId="4" borderId="0" applyAlignment="1" pivotButton="0" quotePrefix="0" xfId="0">
      <alignment vertical="center" wrapText="1"/>
    </xf>
    <xf numFmtId="0" fontId="0" fillId="4" borderId="0" pivotButton="0" quotePrefix="0" xfId="0"/>
    <xf numFmtId="0" fontId="9" fillId="17" borderId="0" applyAlignment="1" pivotButton="0" quotePrefix="0" xfId="0">
      <alignment horizontal="center" vertical="center" wrapText="1"/>
    </xf>
    <xf numFmtId="165" fontId="5" fillId="0" borderId="0" applyAlignment="1" pivotButton="0" quotePrefix="0" xfId="0">
      <alignment horizontal="general" vertical="bottom"/>
    </xf>
    <xf numFmtId="164" fontId="5" fillId="0" borderId="0" applyAlignment="1" pivotButton="0" quotePrefix="0" xfId="0">
      <alignment horizontal="general" vertical="bottom"/>
    </xf>
    <xf numFmtId="176" fontId="5" fillId="0" borderId="0" applyAlignment="1" pivotButton="0" quotePrefix="0" xfId="0">
      <alignment horizontal="general" vertical="bottom"/>
    </xf>
    <xf numFmtId="177" fontId="5" fillId="0" borderId="0" applyAlignment="1" pivotButton="0" quotePrefix="0" xfId="0">
      <alignment horizontal="general" vertical="bottom"/>
    </xf>
    <xf numFmtId="177" fontId="0" fillId="0" borderId="0" pivotButton="0" quotePrefix="0" xfId="0"/>
    <xf numFmtId="169" fontId="27" fillId="23" borderId="0" applyAlignment="1" pivotButton="0" quotePrefix="0" xfId="0">
      <alignment horizontal="general" vertical="bottom"/>
    </xf>
    <xf numFmtId="0" fontId="27" fillId="23" borderId="0" applyAlignment="1" pivotButton="0" quotePrefix="0" xfId="0">
      <alignment horizontal="general" vertical="bottom"/>
    </xf>
    <xf numFmtId="169" fontId="0" fillId="24" borderId="0" applyAlignment="1" pivotButton="0" quotePrefix="0" xfId="0">
      <alignment horizontal="general" vertical="bottom"/>
    </xf>
    <xf numFmtId="166" fontId="5" fillId="0" borderId="0" applyAlignment="1" pivotButton="0" quotePrefix="0" xfId="0">
      <alignment horizontal="general" vertical="bottom"/>
    </xf>
    <xf numFmtId="173" fontId="0" fillId="0" borderId="0" applyAlignment="1" pivotButton="0" quotePrefix="0" xfId="0">
      <alignment horizontal="general" vertical="bottom"/>
    </xf>
    <xf numFmtId="0" fontId="4" fillId="18" borderId="0" applyAlignment="1" pivotButton="0" quotePrefix="0" xfId="0">
      <alignment horizontal="general" vertical="bottom" wrapText="1"/>
    </xf>
    <xf numFmtId="0" fontId="7" fillId="18" borderId="0" applyAlignment="1" pivotButton="0" quotePrefix="0" xfId="0">
      <alignment horizontal="general" vertical="bottom"/>
    </xf>
    <xf numFmtId="0" fontId="0" fillId="0" borderId="0" applyAlignment="1" pivotButton="0" quotePrefix="0" xfId="0">
      <alignment horizontal="general" vertical="top" wrapText="1"/>
    </xf>
    <xf numFmtId="170" fontId="0" fillId="0" borderId="0" pivotButton="0" quotePrefix="0" xfId="0"/>
    <xf numFmtId="170" fontId="0" fillId="0" borderId="0" applyAlignment="1" pivotButton="0" quotePrefix="0" xfId="0">
      <alignment horizontal="general" vertical="top" wrapText="1"/>
    </xf>
    <xf numFmtId="0" fontId="4" fillId="19" borderId="0" applyAlignment="1" pivotButton="0" quotePrefix="0" xfId="0">
      <alignment horizontal="general" vertical="bottom" wrapText="1"/>
    </xf>
    <xf numFmtId="0" fontId="7" fillId="19" borderId="0" applyAlignment="1" pivotButton="0" quotePrefix="0" xfId="0">
      <alignment horizontal="general" vertical="bottom"/>
    </xf>
    <xf numFmtId="0" fontId="4" fillId="20" borderId="0" applyAlignment="1" pivotButton="0" quotePrefix="0" xfId="0">
      <alignment horizontal="general" vertical="bottom" wrapText="1"/>
    </xf>
    <xf numFmtId="0" fontId="7" fillId="20" borderId="0" applyAlignment="1" pivotButton="0" quotePrefix="0" xfId="0">
      <alignment horizontal="general" vertical="bottom"/>
    </xf>
    <xf numFmtId="0" fontId="24" fillId="21" borderId="0" applyAlignment="1" pivotButton="0" quotePrefix="0" xfId="0">
      <alignment horizontal="general" vertical="bottom"/>
    </xf>
    <xf numFmtId="0" fontId="9" fillId="20" borderId="0" applyAlignment="1" pivotButton="0" quotePrefix="0" xfId="0">
      <alignment horizontal="center" vertical="center" wrapText="1"/>
    </xf>
    <xf numFmtId="0" fontId="25" fillId="25" borderId="2" applyAlignment="1" pivotButton="0" quotePrefix="0" xfId="0">
      <alignment horizontal="general" vertical="center" wrapText="1"/>
    </xf>
    <xf numFmtId="0" fontId="26" fillId="25" borderId="2" applyAlignment="1" pivotButton="0" quotePrefix="0" xfId="0">
      <alignment horizontal="general" vertical="center" wrapText="1"/>
    </xf>
    <xf numFmtId="0" fontId="0"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0" fillId="26" borderId="0" applyAlignment="1" pivotButton="0" quotePrefix="0" xfId="0">
      <alignment horizontal="general" vertical="bottom"/>
    </xf>
    <xf numFmtId="0" fontId="26" fillId="26" borderId="0" applyAlignment="1" pivotButton="0" quotePrefix="0" xfId="0">
      <alignment horizontal="general" vertical="bottom"/>
    </xf>
    <xf numFmtId="0" fontId="26" fillId="26" borderId="2" applyAlignment="1" pivotButton="0" quotePrefix="0" xfId="0">
      <alignment horizontal="general" vertical="bottom"/>
    </xf>
    <xf numFmtId="0" fontId="26" fillId="26" borderId="2" applyAlignment="1" pivotButton="0" quotePrefix="0" xfId="0">
      <alignment horizontal="general" vertical="bottom" wrapText="1"/>
    </xf>
    <xf numFmtId="0" fontId="26" fillId="26" borderId="2" applyAlignment="1" pivotButton="0" quotePrefix="0" xfId="0">
      <alignment horizontal="general" vertical="center" wrapText="1"/>
    </xf>
    <xf numFmtId="0" fontId="30" fillId="26" borderId="2" applyAlignment="1" pivotButton="0" quotePrefix="0" xfId="0">
      <alignment horizontal="general" vertical="center" wrapText="1"/>
    </xf>
    <xf numFmtId="0" fontId="0" fillId="27" borderId="0" applyAlignment="1" pivotButton="0" quotePrefix="0" xfId="0">
      <alignment horizontal="general" vertical="bottom"/>
    </xf>
    <xf numFmtId="0" fontId="31" fillId="27" borderId="0" applyAlignment="1" pivotButton="0" quotePrefix="0" xfId="0">
      <alignment horizontal="general" vertical="bottom"/>
    </xf>
    <xf numFmtId="0" fontId="31" fillId="27" borderId="0" applyAlignment="1" pivotButton="0" quotePrefix="0" xfId="0">
      <alignment horizontal="general" vertical="bottom" wrapText="1"/>
    </xf>
    <xf numFmtId="0" fontId="31" fillId="27" borderId="0" applyAlignment="1" pivotButton="0" quotePrefix="0" xfId="0">
      <alignment horizontal="general" vertical="center" wrapText="1"/>
    </xf>
    <xf numFmtId="0" fontId="0" fillId="28" borderId="0" applyAlignment="1" pivotButton="0" quotePrefix="0" xfId="0">
      <alignment horizontal="general" vertical="bottom"/>
    </xf>
    <xf numFmtId="0" fontId="32" fillId="28" borderId="0" applyAlignment="1" pivotButton="0" quotePrefix="0" xfId="0">
      <alignment horizontal="general" vertical="bottom"/>
    </xf>
    <xf numFmtId="0" fontId="32" fillId="28" borderId="0" applyAlignment="1" pivotButton="0" quotePrefix="0" xfId="0">
      <alignment horizontal="general" vertical="bottom" wrapText="1"/>
    </xf>
    <xf numFmtId="0" fontId="0" fillId="29" borderId="0" applyAlignment="1" pivotButton="0" quotePrefix="0" xfId="0">
      <alignment horizontal="general" vertical="bottom"/>
    </xf>
    <xf numFmtId="0" fontId="31" fillId="29" borderId="0" applyAlignment="1" pivotButton="0" quotePrefix="0" xfId="0">
      <alignment horizontal="general" vertical="bottom"/>
    </xf>
    <xf numFmtId="0" fontId="31" fillId="29" borderId="0" applyAlignment="1" pivotButton="0" quotePrefix="0" xfId="0">
      <alignment horizontal="general" vertical="bottom" wrapText="1"/>
    </xf>
    <xf numFmtId="0" fontId="0" fillId="25" borderId="0" applyAlignment="1" pivotButton="0" quotePrefix="0" xfId="0">
      <alignment horizontal="general" vertical="bottom"/>
    </xf>
    <xf numFmtId="0" fontId="26" fillId="25" borderId="0" applyAlignment="1" pivotButton="0" quotePrefix="0" xfId="0">
      <alignment horizontal="general" vertical="bottom"/>
    </xf>
    <xf numFmtId="0" fontId="26" fillId="25" borderId="2" applyAlignment="1" pivotButton="0" quotePrefix="0" xfId="0">
      <alignment horizontal="general" vertical="bottom"/>
    </xf>
    <xf numFmtId="0" fontId="26" fillId="25" borderId="2" applyAlignment="1" pivotButton="0" quotePrefix="0" xfId="0">
      <alignment horizontal="general" vertical="bottom" wrapText="1"/>
    </xf>
    <xf numFmtId="0" fontId="0" fillId="30" borderId="0" applyAlignment="1" pivotButton="0" quotePrefix="0" xfId="0">
      <alignment horizontal="general" vertical="bottom"/>
    </xf>
    <xf numFmtId="0" fontId="27" fillId="30" borderId="0" applyAlignment="1" pivotButton="0" quotePrefix="0" xfId="0">
      <alignment horizontal="general" vertical="bottom"/>
    </xf>
    <xf numFmtId="178" fontId="27" fillId="30" borderId="0" applyAlignment="1" pivotButton="0" quotePrefix="0" xfId="0">
      <alignment horizontal="general" vertical="bottom"/>
    </xf>
    <xf numFmtId="170" fontId="27" fillId="30" borderId="0" applyAlignment="1" pivotButton="0" quotePrefix="0" xfId="0">
      <alignment horizontal="general" vertical="bottom"/>
    </xf>
    <xf numFmtId="3" fontId="27" fillId="30" borderId="0" applyAlignment="1" pivotButton="0" quotePrefix="0" xfId="0">
      <alignment horizontal="general" vertical="bottom"/>
    </xf>
    <xf numFmtId="178" fontId="0" fillId="0" borderId="0" applyAlignment="1" pivotButton="0" quotePrefix="0" xfId="0">
      <alignment horizontal="general" vertical="bottom"/>
    </xf>
    <xf numFmtId="0" fontId="0" fillId="31" borderId="0" applyAlignment="1" pivotButton="0" quotePrefix="0" xfId="0">
      <alignment horizontal="general" vertical="bottom"/>
    </xf>
    <xf numFmtId="0" fontId="33" fillId="31" borderId="0" applyAlignment="1" pivotButton="0" quotePrefix="0" xfId="0">
      <alignment horizontal="general" vertical="bottom"/>
    </xf>
    <xf numFmtId="0" fontId="33" fillId="31" borderId="2" applyAlignment="1" pivotButton="0" quotePrefix="0" xfId="0">
      <alignment horizontal="general" vertical="bottom"/>
    </xf>
    <xf numFmtId="0" fontId="33" fillId="31" borderId="2" applyAlignment="1" pivotButton="0" quotePrefix="0" xfId="0">
      <alignment horizontal="general" vertical="bottom" wrapText="1"/>
    </xf>
    <xf numFmtId="0" fontId="33" fillId="31" borderId="2" applyAlignment="1" pivotButton="0" quotePrefix="0" xfId="0">
      <alignment horizontal="general" vertical="center" wrapText="1"/>
    </xf>
    <xf numFmtId="0" fontId="34" fillId="29" borderId="0" applyAlignment="1" pivotButton="0" quotePrefix="0" xfId="0">
      <alignment horizontal="general" vertical="bottom"/>
    </xf>
    <xf numFmtId="0" fontId="34" fillId="29" borderId="7" applyAlignment="1" pivotButton="0" quotePrefix="0" xfId="0">
      <alignment horizontal="general" vertical="bottom"/>
    </xf>
    <xf numFmtId="0" fontId="0" fillId="0" borderId="7" applyAlignment="1" pivotButton="0" quotePrefix="0" xfId="0">
      <alignment horizontal="general" vertical="bottom"/>
    </xf>
    <xf numFmtId="0" fontId="0" fillId="0" borderId="7" applyAlignment="1" pivotButton="0" quotePrefix="0" xfId="0">
      <alignment horizontal="general" vertical="bottom" wrapText="1"/>
    </xf>
    <xf numFmtId="0" fontId="0" fillId="0" borderId="7" applyAlignment="1" pivotButton="0" quotePrefix="0" xfId="0">
      <alignment horizontal="general" vertical="center" wrapText="1"/>
    </xf>
    <xf numFmtId="0" fontId="35" fillId="0" borderId="7" applyAlignment="1" pivotButton="0" quotePrefix="0" xfId="0">
      <alignment horizontal="general" vertical="center" wrapText="1"/>
    </xf>
    <xf numFmtId="0" fontId="0" fillId="30" borderId="7" applyAlignment="1" pivotButton="0" quotePrefix="0" xfId="0">
      <alignment horizontal="general" vertical="center" wrapText="1"/>
    </xf>
    <xf numFmtId="0" fontId="27" fillId="30" borderId="7" applyAlignment="1" pivotButton="0" quotePrefix="0" xfId="0">
      <alignment horizontal="general" vertical="center" wrapText="1"/>
    </xf>
    <xf numFmtId="0" fontId="27" fillId="30" borderId="7" applyAlignment="1" pivotButton="0" quotePrefix="0" xfId="0">
      <alignment horizontal="center" vertical="center" wrapText="1"/>
    </xf>
    <xf numFmtId="0" fontId="27" fillId="30" borderId="7" applyAlignment="1" pivotButton="0" quotePrefix="0" xfId="0">
      <alignment horizontal="center" vertical="center" wrapText="1"/>
    </xf>
    <xf numFmtId="177" fontId="27" fillId="30" borderId="0" applyAlignment="1" pivotButton="0" quotePrefix="0" xfId="0">
      <alignment horizontal="general" vertical="bottom"/>
    </xf>
    <xf numFmtId="9" fontId="27" fillId="30" borderId="0" applyAlignment="1" pivotButton="0" quotePrefix="0" xfId="0">
      <alignment horizontal="general" vertical="bottom"/>
    </xf>
    <xf numFmtId="177" fontId="27" fillId="30" borderId="0" applyAlignment="1" pivotButton="0" quotePrefix="0" xfId="0">
      <alignment horizontal="general" vertical="bottom" wrapText="1"/>
    </xf>
    <xf numFmtId="9" fontId="27" fillId="30" borderId="0" applyAlignment="1" pivotButton="0" quotePrefix="0" xfId="0">
      <alignment horizontal="general" vertical="bottom" wrapText="1"/>
    </xf>
    <xf numFmtId="178" fontId="0" fillId="28" borderId="0" applyAlignment="1" pivotButton="0" quotePrefix="0" xfId="0">
      <alignment horizontal="general" vertical="bottom"/>
    </xf>
    <xf numFmtId="178" fontId="27" fillId="30" borderId="0" applyAlignment="1" pivotButton="0" quotePrefix="0" xfId="0">
      <alignment horizontal="general" vertical="bottom" wrapText="1"/>
    </xf>
    <xf numFmtId="178" fontId="0" fillId="28" borderId="0" applyAlignment="1" pivotButton="0" quotePrefix="0" xfId="0">
      <alignment horizontal="general" vertical="bottom" wrapText="1"/>
    </xf>
    <xf numFmtId="178" fontId="0" fillId="29" borderId="0" applyAlignment="1" pivotButton="0" quotePrefix="0" xfId="0">
      <alignment horizontal="general" vertical="bottom"/>
    </xf>
    <xf numFmtId="178" fontId="0" fillId="29" borderId="0" applyAlignment="1" pivotButton="0" quotePrefix="0" xfId="0">
      <alignment horizontal="general" vertical="bottom" wrapText="1"/>
    </xf>
    <xf numFmtId="0" fontId="0" fillId="29" borderId="0" applyAlignment="1" pivotButton="0" quotePrefix="0" xfId="0">
      <alignment horizontal="general" vertical="bottom" wrapText="1"/>
    </xf>
    <xf numFmtId="178" fontId="0" fillId="0" borderId="0" applyAlignment="1" pivotButton="0" quotePrefix="0" xfId="0">
      <alignment horizontal="general" vertical="bottom" wrapText="1"/>
    </xf>
    <xf numFmtId="170" fontId="27" fillId="30" borderId="0" applyAlignment="1" pivotButton="0" quotePrefix="0" xfId="0">
      <alignment horizontal="general" vertical="bottom" wrapText="1"/>
    </xf>
    <xf numFmtId="178" fontId="27" fillId="30" borderId="0" applyAlignment="1" pivotButton="0" quotePrefix="0" xfId="0">
      <alignment horizontal="general" vertical="bottom"/>
    </xf>
    <xf numFmtId="3" fontId="27" fillId="30" borderId="0" applyAlignment="1" pivotButton="0" quotePrefix="0" xfId="0">
      <alignment horizontal="general" vertical="bottom"/>
    </xf>
    <xf numFmtId="178" fontId="0" fillId="0" borderId="0" applyAlignment="1" pivotButton="0" quotePrefix="0" xfId="0">
      <alignment horizontal="general" vertical="bottom"/>
    </xf>
    <xf numFmtId="0" fontId="0" fillId="0" borderId="7" pivotButton="0" quotePrefix="0" xfId="0"/>
    <xf numFmtId="9" fontId="27" fillId="30" borderId="0" applyAlignment="1" pivotButton="0" quotePrefix="0" xfId="0">
      <alignment horizontal="general" vertical="bottom" wrapText="1"/>
    </xf>
    <xf numFmtId="178" fontId="27" fillId="30" borderId="0" applyAlignment="1" pivotButton="0" quotePrefix="0" xfId="0">
      <alignment horizontal="general" vertical="bottom" wrapText="1"/>
    </xf>
    <xf numFmtId="178" fontId="0" fillId="28" borderId="0" applyAlignment="1" pivotButton="0" quotePrefix="0" xfId="0">
      <alignment horizontal="general" vertical="bottom" wrapText="1"/>
    </xf>
    <xf numFmtId="178" fontId="0" fillId="29" borderId="0" applyAlignment="1" pivotButton="0" quotePrefix="0" xfId="0">
      <alignment horizontal="general" vertical="bottom" wrapText="1"/>
    </xf>
    <xf numFmtId="178" fontId="0" fillId="0" borderId="0" applyAlignment="1" pivotButton="0" quotePrefix="0" xfId="0">
      <alignment horizontal="general" vertical="bottom" wrapText="1"/>
    </xf>
    <xf numFmtId="0" fontId="36" fillId="25" borderId="0" applyAlignment="1" pivotButton="0" quotePrefix="0" xfId="0">
      <alignment vertical="center"/>
    </xf>
    <xf numFmtId="0" fontId="36" fillId="25" borderId="0" pivotButton="0" quotePrefix="0" xfId="0"/>
    <xf numFmtId="0" fontId="36" fillId="25" borderId="0" applyAlignment="1" pivotButton="0" quotePrefix="0" xfId="0">
      <alignment vertical="center" wrapText="1"/>
    </xf>
    <xf numFmtId="0" fontId="8" fillId="0" borderId="0" applyAlignment="1" pivotButton="0" quotePrefix="0" xfId="0">
      <alignment horizontal="general" vertical="bottom" wrapText="1"/>
    </xf>
    <xf numFmtId="0" fontId="8" fillId="0" borderId="0" applyAlignment="1" pivotButton="0" quotePrefix="0" xfId="0">
      <alignment horizontal="general" vertical="center" wrapText="1"/>
    </xf>
    <xf numFmtId="0" fontId="5" fillId="0" borderId="0" applyAlignment="1" pivotButton="0" quotePrefix="0" xfId="0">
      <alignment horizontal="general" vertical="bottom" wrapText="1"/>
    </xf>
    <xf numFmtId="0" fontId="5" fillId="0" borderId="0" applyAlignment="1" pivotButton="0" quotePrefix="0" xfId="0">
      <alignment horizontal="general" vertical="center" wrapText="1"/>
    </xf>
    <xf numFmtId="0" fontId="0" fillId="0" borderId="0" applyAlignment="1" pivotButton="0" quotePrefix="0" xfId="0">
      <alignment horizontal="general" vertical="bottom" wrapText="1"/>
    </xf>
    <xf numFmtId="0" fontId="4" fillId="25" borderId="0" applyAlignment="1" pivotButton="0" quotePrefix="0" xfId="0">
      <alignment horizontal="general" vertical="bottom" wrapText="1"/>
    </xf>
    <xf numFmtId="0" fontId="5" fillId="28" borderId="0" applyAlignment="1" pivotButton="0" quotePrefix="0" xfId="0">
      <alignment horizontal="general" vertical="bottom" wrapText="1"/>
    </xf>
    <xf numFmtId="0" fontId="7" fillId="25" borderId="0" applyAlignment="1" pivotButton="0" quotePrefix="0" xfId="0">
      <alignment horizontal="general" vertical="bottom"/>
    </xf>
    <xf numFmtId="0" fontId="6" fillId="30" borderId="0" applyAlignment="1" pivotButton="0" quotePrefix="0" xfId="0">
      <alignment horizontal="general" vertical="bottom" wrapText="1"/>
    </xf>
    <xf numFmtId="0" fontId="37" fillId="32" borderId="0" applyAlignment="1" pivotButton="0" quotePrefix="0" xfId="0">
      <alignment horizontal="left" vertical="center"/>
    </xf>
    <xf numFmtId="0" fontId="38" fillId="25" borderId="8" applyAlignment="1" pivotButton="0" quotePrefix="0" xfId="0">
      <alignment horizontal="center" vertical="center" wrapText="1"/>
    </xf>
    <xf numFmtId="0" fontId="0" fillId="0" borderId="9" pivotButton="0" quotePrefix="0" xfId="0"/>
    <xf numFmtId="0" fontId="0" fillId="0" borderId="10" pivotButton="0" quotePrefix="0" xfId="0"/>
    <xf numFmtId="0" fontId="39" fillId="33" borderId="8" applyAlignment="1" pivotButton="0" quotePrefix="0" xfId="0">
      <alignment vertical="center" wrapText="1"/>
    </xf>
    <xf numFmtId="174" fontId="40" fillId="0" borderId="8" applyAlignment="1" pivotButton="0" quotePrefix="0" xfId="0">
      <alignment horizontal="right" vertical="center"/>
    </xf>
    <xf numFmtId="0" fontId="40" fillId="0" borderId="8" applyAlignment="1" pivotButton="0" quotePrefix="0" xfId="0">
      <alignment vertical="center" wrapText="1"/>
    </xf>
    <xf numFmtId="174" fontId="40" fillId="34" borderId="8" applyAlignment="1" pivotButton="0" quotePrefix="0" xfId="0">
      <alignment horizontal="right" vertical="center"/>
    </xf>
    <xf numFmtId="0" fontId="40" fillId="34" borderId="8" applyAlignment="1" pivotButton="0" quotePrefix="0" xfId="0">
      <alignment vertical="center" wrapText="1"/>
    </xf>
    <xf numFmtId="0" fontId="29" fillId="0" borderId="0" pivotButton="0" quotePrefix="0" xfId="0"/>
    <xf numFmtId="170" fontId="40" fillId="0" borderId="8" applyAlignment="1" pivotButton="0" quotePrefix="0" xfId="0">
      <alignment horizontal="right" vertical="center"/>
    </xf>
    <xf numFmtId="173" fontId="40" fillId="34" borderId="8" applyAlignment="1" pivotButton="0" quotePrefix="0" xfId="0">
      <alignment horizontal="right" vertical="center"/>
    </xf>
    <xf numFmtId="173" fontId="40" fillId="0" borderId="8" applyAlignment="1" pivotButton="0" quotePrefix="0" xfId="0">
      <alignment horizontal="right" vertical="center"/>
    </xf>
    <xf numFmtId="175" fontId="40" fillId="0" borderId="8" applyAlignment="1" pivotButton="0" quotePrefix="0" xfId="0">
      <alignment horizontal="right" vertical="center"/>
    </xf>
    <xf numFmtId="3" fontId="40" fillId="34" borderId="8" applyAlignment="1" pivotButton="0" quotePrefix="0" xfId="0">
      <alignment horizontal="right" vertical="center"/>
    </xf>
    <xf numFmtId="171" fontId="40" fillId="0" borderId="8" applyAlignment="1" pivotButton="0" quotePrefix="0" xfId="0">
      <alignment horizontal="right" vertical="center"/>
    </xf>
    <xf numFmtId="171" fontId="40" fillId="34" borderId="8" applyAlignment="1" pivotButton="0" quotePrefix="0" xfId="0">
      <alignment horizontal="right" vertical="center"/>
    </xf>
    <xf numFmtId="2" fontId="40" fillId="0" borderId="8" applyAlignment="1" pivotButton="0" quotePrefix="0" xfId="0">
      <alignment horizontal="right" vertical="center"/>
    </xf>
    <xf numFmtId="0" fontId="41" fillId="33" borderId="0" applyAlignment="1" pivotButton="0" quotePrefix="0" xfId="0">
      <alignment vertical="center" wrapText="1"/>
    </xf>
    <xf numFmtId="1" fontId="40" fillId="0" borderId="8" applyAlignment="1" pivotButton="0" quotePrefix="0" xfId="0">
      <alignment horizontal="center" vertical="center"/>
    </xf>
    <xf numFmtId="170" fontId="40" fillId="34" borderId="8" applyAlignment="1" pivotButton="0" quotePrefix="0" xfId="0">
      <alignment horizontal="right" vertical="center"/>
    </xf>
    <xf numFmtId="1" fontId="40" fillId="34" borderId="8" applyAlignment="1" pivotButton="0" quotePrefix="0" xfId="0">
      <alignment horizontal="center" vertical="center"/>
    </xf>
    <xf numFmtId="0" fontId="42" fillId="25" borderId="8" applyAlignment="1" pivotButton="0" quotePrefix="0" xfId="0">
      <alignment horizontal="center" vertical="center" wrapText="1"/>
    </xf>
    <xf numFmtId="0" fontId="29" fillId="0" borderId="0" applyAlignment="1" pivotButton="0" quotePrefix="0" xfId="0">
      <alignment vertical="center" wrapText="1"/>
    </xf>
    <xf numFmtId="0" fontId="0" fillId="35" borderId="0" applyAlignment="1" pivotButton="0" quotePrefix="0" xfId="0">
      <alignment horizontal="general" vertical="bottom"/>
    </xf>
    <xf numFmtId="0" fontId="30" fillId="35" borderId="0" applyAlignment="1" pivotButton="0" quotePrefix="0" xfId="0">
      <alignment horizontal="general" vertical="bottom"/>
    </xf>
    <xf numFmtId="0" fontId="0" fillId="36" borderId="0" applyAlignment="1" pivotButton="0" quotePrefix="0" xfId="0">
      <alignment horizontal="general" vertical="bottom"/>
    </xf>
    <xf numFmtId="0" fontId="0" fillId="36" borderId="0" applyAlignment="1" pivotButton="0" quotePrefix="0" xfId="0">
      <alignment horizontal="general" vertical="bottom" wrapText="1"/>
    </xf>
    <xf numFmtId="0" fontId="43" fillId="36" borderId="0" applyAlignment="1" pivotButton="0" quotePrefix="0" xfId="0">
      <alignment horizontal="general" vertical="bottom"/>
    </xf>
    <xf numFmtId="0" fontId="43" fillId="36" borderId="0" applyAlignment="1" pivotButton="0" quotePrefix="0" xfId="0">
      <alignment horizontal="general" vertical="bottom" wrapText="1"/>
    </xf>
    <xf numFmtId="0" fontId="26" fillId="35" borderId="0" applyAlignment="1" pivotButton="0" quotePrefix="0" xfId="0">
      <alignment horizontal="general" vertical="bottom"/>
    </xf>
    <xf numFmtId="0" fontId="0" fillId="37" borderId="0" applyAlignment="1" pivotButton="0" quotePrefix="0" xfId="0">
      <alignment horizontal="general" vertical="bottom"/>
    </xf>
    <xf numFmtId="0" fontId="44" fillId="37" borderId="0" applyAlignment="1" pivotButton="0" quotePrefix="0" xfId="0">
      <alignment horizontal="general" vertical="bottom"/>
    </xf>
    <xf numFmtId="0" fontId="0" fillId="0" borderId="0" applyAlignment="1" pivotButton="0" quotePrefix="0" xfId="0">
      <alignment horizontal="general" vertical="bottom" wrapText="1"/>
    </xf>
    <xf numFmtId="0" fontId="0" fillId="38" borderId="0" applyAlignment="1" pivotButton="0" quotePrefix="0" xfId="0">
      <alignment horizontal="general" vertical="bottom"/>
    </xf>
    <xf numFmtId="0" fontId="43" fillId="38" borderId="0" applyAlignment="1" pivotButton="0" quotePrefix="0" xfId="0">
      <alignment horizontal="general" vertical="bottom"/>
    </xf>
    <xf numFmtId="0" fontId="43" fillId="38" borderId="0" applyAlignment="1" pivotButton="0" quotePrefix="0" xfId="0">
      <alignment horizontal="general" vertical="bottom" wrapText="1"/>
    </xf>
    <xf numFmtId="0" fontId="26" fillId="35" borderId="13" applyAlignment="1" pivotButton="0" quotePrefix="0" xfId="0">
      <alignment horizontal="general" vertical="bottom"/>
    </xf>
    <xf numFmtId="0" fontId="26" fillId="35" borderId="13" applyAlignment="1" pivotButton="0" quotePrefix="0" xfId="0">
      <alignment horizontal="general" vertical="bottom" wrapText="1"/>
    </xf>
    <xf numFmtId="0" fontId="0" fillId="0" borderId="14" applyAlignment="1" pivotButton="0" quotePrefix="0" xfId="0">
      <alignment horizontal="general" vertical="bottom"/>
    </xf>
    <xf numFmtId="0" fontId="0" fillId="0" borderId="14" applyAlignment="1" pivotButton="0" quotePrefix="0" xfId="0">
      <alignment horizontal="general" vertical="bottom" wrapText="1"/>
    </xf>
    <xf numFmtId="0" fontId="0" fillId="39" borderId="0" applyAlignment="1" pivotButton="0" quotePrefix="0" xfId="0">
      <alignment horizontal="general" vertical="bottom"/>
    </xf>
    <xf numFmtId="0" fontId="26" fillId="39" borderId="0" applyAlignment="1" pivotButton="0" quotePrefix="0" xfId="0">
      <alignment horizontal="general" vertical="bottom"/>
    </xf>
    <xf numFmtId="0" fontId="26" fillId="39" borderId="13" applyAlignment="1" pivotButton="0" quotePrefix="0" xfId="0">
      <alignment horizontal="general" vertical="bottom"/>
    </xf>
    <xf numFmtId="0" fontId="26" fillId="39" borderId="13" applyAlignment="1" pivotButton="0" quotePrefix="0" xfId="0">
      <alignment horizontal="general" vertical="bottom" wrapText="1"/>
    </xf>
    <xf numFmtId="0" fontId="0" fillId="38" borderId="14" applyAlignment="1" pivotButton="0" quotePrefix="0" xfId="0">
      <alignment horizontal="general" vertical="bottom" wrapText="1"/>
    </xf>
    <xf numFmtId="0" fontId="27" fillId="38" borderId="14" applyAlignment="1" pivotButton="0" quotePrefix="0" xfId="0">
      <alignment horizontal="general" vertical="bottom" wrapText="1"/>
    </xf>
    <xf numFmtId="179" fontId="27" fillId="38" borderId="14" applyAlignment="1" pivotButton="0" quotePrefix="0" xfId="0">
      <alignment horizontal="general" vertical="bottom" wrapText="1"/>
    </xf>
    <xf numFmtId="0" fontId="0" fillId="0" borderId="0" applyAlignment="1" pivotButton="0" quotePrefix="0" xfId="0">
      <alignment horizontal="general" vertical="bottom"/>
    </xf>
    <xf numFmtId="0" fontId="0" fillId="40" borderId="0" applyAlignment="1" pivotButton="0" quotePrefix="0" xfId="0">
      <alignment horizontal="general" vertical="bottom"/>
    </xf>
    <xf numFmtId="0" fontId="30" fillId="40" borderId="0" applyAlignment="1" pivotButton="0" quotePrefix="0" xfId="0">
      <alignment horizontal="general" vertical="bottom"/>
    </xf>
    <xf numFmtId="0" fontId="26" fillId="40" borderId="0" applyAlignment="1" pivotButton="0" quotePrefix="0" xfId="0">
      <alignment horizontal="general" vertical="bottom"/>
    </xf>
    <xf numFmtId="0" fontId="45" fillId="0" borderId="0" applyAlignment="1" pivotButton="0" quotePrefix="0" xfId="0">
      <alignment horizontal="general" vertical="bottom"/>
    </xf>
    <xf numFmtId="0" fontId="45" fillId="0" borderId="15" applyAlignment="1" pivotButton="0" quotePrefix="0" xfId="0">
      <alignment horizontal="general" vertical="bottom"/>
    </xf>
    <xf numFmtId="0" fontId="45" fillId="0" borderId="15" applyAlignment="1" pivotButton="0" quotePrefix="0" xfId="0">
      <alignment horizontal="general" vertical="bottom" wrapText="1"/>
    </xf>
    <xf numFmtId="0" fontId="0" fillId="41" borderId="0" applyAlignment="1" pivotButton="0" quotePrefix="0" xfId="0">
      <alignment horizontal="general" vertical="bottom"/>
    </xf>
    <xf numFmtId="0" fontId="26" fillId="41" borderId="0" applyAlignment="1" pivotButton="0" quotePrefix="0" xfId="0">
      <alignment horizontal="general" vertical="bottom"/>
    </xf>
    <xf numFmtId="0" fontId="46" fillId="37" borderId="0" applyAlignment="1" pivotButton="0" quotePrefix="0" xfId="0">
      <alignment horizontal="general" vertical="bottom"/>
    </xf>
    <xf numFmtId="0" fontId="46" fillId="37" borderId="0" applyAlignment="1" pivotButton="0" quotePrefix="0" xfId="0">
      <alignment horizontal="general" vertical="bottom" wrapText="1"/>
    </xf>
    <xf numFmtId="0" fontId="5" fillId="35" borderId="0" applyAlignment="1" pivotButton="0" quotePrefix="0" xfId="0">
      <alignment horizontal="general" vertical="bottom" wrapText="1"/>
    </xf>
    <xf numFmtId="0" fontId="7" fillId="35" borderId="0" applyAlignment="1" pivotButton="0" quotePrefix="0" xfId="0">
      <alignment horizontal="general" vertical="bottom" wrapText="1"/>
    </xf>
    <xf numFmtId="0" fontId="5" fillId="0" borderId="14" applyAlignment="1" pivotButton="0" quotePrefix="0" xfId="0">
      <alignment horizontal="general" vertical="bottom" wrapText="1"/>
    </xf>
    <xf numFmtId="0" fontId="5" fillId="0" borderId="0" applyAlignment="1" pivotButton="0" quotePrefix="0" xfId="0">
      <alignment horizontal="general" vertical="bottom" wrapText="1"/>
    </xf>
    <xf numFmtId="0" fontId="0" fillId="42" borderId="0" applyAlignment="1" pivotButton="0" quotePrefix="0" xfId="0">
      <alignment horizontal="general" vertical="bottom"/>
    </xf>
    <xf numFmtId="0" fontId="26" fillId="42" borderId="0" applyAlignment="1" pivotButton="0" quotePrefix="0" xfId="0">
      <alignment horizontal="general" vertical="bottom"/>
    </xf>
    <xf numFmtId="0" fontId="26" fillId="42" borderId="0" applyAlignment="1" pivotButton="0" quotePrefix="0" xfId="0">
      <alignment horizontal="general" vertical="bottom" wrapText="1"/>
    </xf>
    <xf numFmtId="179" fontId="27" fillId="38" borderId="14" applyAlignment="1" pivotButton="0" quotePrefix="0" xfId="0">
      <alignment horizontal="general" vertical="bottom" wrapText="1"/>
    </xf>
    <xf numFmtId="0" fontId="47" fillId="32" borderId="0" applyAlignment="1" pivotButton="0" quotePrefix="0" xfId="0">
      <alignment horizontal="left" vertical="center"/>
    </xf>
    <xf numFmtId="0" fontId="47" fillId="32" borderId="0" pivotButton="0" quotePrefix="0" xfId="0"/>
    <xf numFmtId="0" fontId="48" fillId="25" borderId="8" applyAlignment="1" pivotButton="0" quotePrefix="0" xfId="0">
      <alignment horizontal="center" vertical="center" wrapText="1"/>
    </xf>
    <xf numFmtId="0" fontId="39" fillId="33" borderId="8" applyAlignment="1" pivotButton="0" quotePrefix="0" xfId="0">
      <alignment vertical="center" wrapText="1"/>
    </xf>
    <xf numFmtId="0" fontId="40" fillId="0" borderId="8" applyAlignment="1" pivotButton="0" quotePrefix="0" xfId="0">
      <alignment vertical="center" wrapText="1"/>
    </xf>
    <xf numFmtId="0" fontId="40" fillId="34" borderId="8" applyAlignment="1" pivotButton="0" quotePrefix="0" xfId="0">
      <alignment vertical="center" wrapText="1"/>
    </xf>
    <xf numFmtId="0" fontId="40" fillId="34" borderId="8" applyAlignment="1" pivotButton="0" quotePrefix="0" xfId="0">
      <alignment horizontal="right" vertical="center"/>
    </xf>
    <xf numFmtId="0" fontId="40" fillId="0" borderId="8" applyAlignment="1" pivotButton="0" quotePrefix="0" xfId="0">
      <alignment horizontal="right" vertical="center"/>
    </xf>
    <xf numFmtId="0" fontId="41" fillId="33" borderId="0" applyAlignment="1" pivotButton="0" quotePrefix="0" xfId="0">
      <alignment vertical="center" wrapText="1"/>
    </xf>
    <xf numFmtId="0" fontId="0" fillId="33" borderId="0" pivotButton="0" quotePrefix="0" xfId="0"/>
    <xf numFmtId="0" fontId="49" fillId="25" borderId="8" applyAlignment="1" pivotButton="0" quotePrefix="0" xfId="0">
      <alignment horizontal="center" vertical="center" wrapText="1"/>
    </xf>
    <xf numFmtId="0" fontId="49" fillId="25" borderId="10" pivotButton="0" quotePrefix="0" xfId="0"/>
    <xf numFmtId="0" fontId="49" fillId="25" borderId="9" pivotButton="0" quotePrefix="0" xfId="0"/>
    <xf numFmtId="0" fontId="0" fillId="0" borderId="0" applyAlignment="1" pivotButton="0" quotePrefix="0" xfId="0">
      <alignment horizontal="general" vertical="bottom"/>
    </xf>
    <xf numFmtId="0" fontId="4" fillId="2" borderId="0" applyAlignment="1" pivotButton="0" quotePrefix="0" xfId="0">
      <alignment horizontal="general" vertical="bottom" wrapText="1"/>
    </xf>
    <xf numFmtId="0" fontId="5" fillId="3" borderId="0" applyAlignment="1" pivotButton="0" quotePrefix="0" xfId="0">
      <alignment horizontal="general" vertical="bottom" wrapText="1"/>
    </xf>
    <xf numFmtId="0" fontId="6" fillId="4" borderId="0" applyAlignment="1" pivotButton="0" quotePrefix="0" xfId="0">
      <alignment horizontal="general" vertical="bottom" wrapText="1"/>
    </xf>
    <xf numFmtId="0" fontId="7" fillId="2" borderId="0" applyAlignment="1" pivotButton="0" quotePrefix="0" xfId="0">
      <alignment horizontal="general" vertical="bottom"/>
    </xf>
    <xf numFmtId="0" fontId="8" fillId="5"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6" borderId="0" applyAlignment="1" pivotButton="0" quotePrefix="0" xfId="0">
      <alignment horizontal="general" vertical="bottom" wrapText="1"/>
    </xf>
    <xf numFmtId="0" fontId="9" fillId="2" borderId="0" applyAlignment="1" pivotButton="0" quotePrefix="0" xfId="0">
      <alignment horizontal="center" vertical="center" wrapText="1"/>
    </xf>
    <xf numFmtId="0" fontId="7" fillId="7" borderId="0" applyAlignment="1" pivotButton="0" quotePrefix="0" xfId="0">
      <alignment horizontal="general" vertical="bottom"/>
    </xf>
    <xf numFmtId="0" fontId="8" fillId="8" borderId="0" applyAlignment="1" pivotButton="0" quotePrefix="0" xfId="0">
      <alignment horizontal="general" vertical="bottom"/>
    </xf>
    <xf numFmtId="0" fontId="10" fillId="9" borderId="0" applyAlignment="1" pivotButton="0" quotePrefix="0" xfId="0">
      <alignment horizontal="general" vertical="bottom"/>
    </xf>
    <xf numFmtId="0" fontId="11" fillId="0" borderId="0" applyAlignment="1" pivotButton="0" quotePrefix="0" xfId="0">
      <alignment horizontal="general" vertical="bottom"/>
    </xf>
    <xf numFmtId="0" fontId="4" fillId="10" borderId="0" applyAlignment="1" pivotButton="0" quotePrefix="0" xfId="0">
      <alignment horizontal="general" vertical="bottom" wrapText="1"/>
    </xf>
    <xf numFmtId="0" fontId="7" fillId="10" borderId="0" applyAlignment="1" pivotButton="0" quotePrefix="0" xfId="0">
      <alignment horizontal="general" vertical="bottom"/>
    </xf>
    <xf numFmtId="0" fontId="12" fillId="6" borderId="0" applyAlignment="1" pivotButton="0" quotePrefix="0" xfId="0">
      <alignment horizontal="general" vertical="bottom" wrapText="1"/>
    </xf>
    <xf numFmtId="0" fontId="12" fillId="6" borderId="0" applyAlignment="1" pivotButton="0" quotePrefix="0" xfId="0">
      <alignment horizontal="center" vertical="bottom" wrapText="1"/>
    </xf>
    <xf numFmtId="164" fontId="12" fillId="6" borderId="0" applyAlignment="1" pivotButton="0" quotePrefix="0" xfId="0">
      <alignment horizontal="center" vertical="bottom" wrapText="1"/>
    </xf>
    <xf numFmtId="164" fontId="5" fillId="0" borderId="0" applyAlignment="1" pivotButton="0" quotePrefix="0" xfId="0">
      <alignment horizontal="center" vertical="bottom" wrapText="1"/>
    </xf>
    <xf numFmtId="165" fontId="12" fillId="6" borderId="0" applyAlignment="1" pivotButton="0" quotePrefix="0" xfId="0">
      <alignment horizontal="general" vertical="bottom"/>
    </xf>
    <xf numFmtId="164" fontId="12" fillId="6" borderId="0" applyAlignment="1" pivotButton="0" quotePrefix="0" xfId="0">
      <alignment horizontal="general" vertical="bottom"/>
    </xf>
    <xf numFmtId="166" fontId="12" fillId="6" borderId="0" applyAlignment="1" pivotButton="0" quotePrefix="0" xfId="0">
      <alignment horizontal="general" vertical="bottom"/>
    </xf>
    <xf numFmtId="165" fontId="5" fillId="0" borderId="0" applyAlignment="1" pivotButton="0" quotePrefix="0" xfId="0">
      <alignment horizontal="general" vertical="bottom"/>
    </xf>
    <xf numFmtId="165" fontId="12" fillId="6" borderId="0" applyAlignment="1" pivotButton="0" quotePrefix="0" xfId="0">
      <alignment horizontal="center" vertical="bottom" wrapText="1"/>
    </xf>
    <xf numFmtId="0" fontId="4" fillId="11" borderId="0" applyAlignment="1" pivotButton="0" quotePrefix="0" xfId="0">
      <alignment horizontal="general" vertical="bottom" wrapText="1"/>
    </xf>
    <xf numFmtId="0" fontId="7" fillId="11" borderId="0" applyAlignment="1" pivotButton="0" quotePrefix="0" xfId="0">
      <alignment horizontal="general" vertical="bottom"/>
    </xf>
    <xf numFmtId="0" fontId="13" fillId="0" borderId="0" applyAlignment="1" pivotButton="0" quotePrefix="0" xfId="0">
      <alignment horizontal="general" vertical="bottom" wrapText="1"/>
    </xf>
    <xf numFmtId="0" fontId="14" fillId="12" borderId="0" applyAlignment="1" pivotButton="0" quotePrefix="0" xfId="0">
      <alignment horizontal="general" vertical="bottom"/>
    </xf>
    <xf numFmtId="0" fontId="15" fillId="13" borderId="0" applyAlignment="1" pivotButton="0" quotePrefix="0" xfId="0">
      <alignment horizontal="general" vertical="top" wrapText="1"/>
    </xf>
    <xf numFmtId="0" fontId="16" fillId="13" borderId="0" applyAlignment="1" pivotButton="0" quotePrefix="0" xfId="0">
      <alignment horizontal="general" vertical="top" wrapText="1"/>
    </xf>
    <xf numFmtId="0" fontId="9" fillId="12" borderId="1" applyAlignment="1" pivotButton="0" quotePrefix="0" xfId="0">
      <alignment horizontal="general" vertical="center" wrapText="1"/>
    </xf>
    <xf numFmtId="0" fontId="9" fillId="12" borderId="1" applyAlignment="1" pivotButton="0" quotePrefix="0" xfId="0">
      <alignment horizontal="center" vertical="center" wrapText="1"/>
    </xf>
    <xf numFmtId="0" fontId="17" fillId="14" borderId="1" applyAlignment="1" pivotButton="0" quotePrefix="0" xfId="0">
      <alignment horizontal="left" vertical="center" wrapText="1"/>
    </xf>
    <xf numFmtId="0" fontId="18" fillId="14" borderId="1" applyAlignment="1" pivotButton="0" quotePrefix="0" xfId="0">
      <alignment horizontal="left" vertical="center" wrapText="1"/>
    </xf>
    <xf numFmtId="0" fontId="18" fillId="14" borderId="1" applyAlignment="1" pivotButton="0" quotePrefix="0" xfId="0">
      <alignment horizontal="center" vertical="center" wrapText="1"/>
    </xf>
    <xf numFmtId="0" fontId="17" fillId="15" borderId="1" applyAlignment="1" pivotButton="0" quotePrefix="0" xfId="0">
      <alignment horizontal="left" vertical="center" wrapText="1"/>
    </xf>
    <xf numFmtId="0" fontId="18" fillId="15" borderId="1" applyAlignment="1" pivotButton="0" quotePrefix="0" xfId="0">
      <alignment horizontal="left" vertical="center" wrapText="1"/>
    </xf>
    <xf numFmtId="0" fontId="18" fillId="15" borderId="1" applyAlignment="1" pivotButton="0" quotePrefix="0" xfId="0">
      <alignment horizontal="center" vertical="center" wrapText="1"/>
    </xf>
    <xf numFmtId="0" fontId="16" fillId="13" borderId="0" applyAlignment="1" pivotButton="0" quotePrefix="0" xfId="0">
      <alignment horizontal="general" vertical="bottom"/>
    </xf>
    <xf numFmtId="0" fontId="9" fillId="12" borderId="1" applyAlignment="1" pivotButton="0" quotePrefix="0" xfId="0">
      <alignment horizontal="general" vertical="top" wrapText="1"/>
    </xf>
    <xf numFmtId="0" fontId="19" fillId="14" borderId="1" applyAlignment="1" pivotButton="0" quotePrefix="0" xfId="0">
      <alignment horizontal="general" vertical="top" wrapText="1"/>
    </xf>
    <xf numFmtId="0" fontId="20" fillId="14" borderId="1" applyAlignment="1" pivotButton="0" quotePrefix="0" xfId="0">
      <alignment horizontal="general" vertical="top" wrapText="1"/>
    </xf>
    <xf numFmtId="0" fontId="19" fillId="15" borderId="1" applyAlignment="1" pivotButton="0" quotePrefix="0" xfId="0">
      <alignment horizontal="general" vertical="top" wrapText="1"/>
    </xf>
    <xf numFmtId="0" fontId="20" fillId="15" borderId="1" applyAlignment="1" pivotButton="0" quotePrefix="0" xfId="0">
      <alignment horizontal="general" vertical="top" wrapText="1"/>
    </xf>
    <xf numFmtId="164" fontId="5" fillId="0" borderId="0" applyAlignment="1" pivotButton="0" quotePrefix="0" xfId="0">
      <alignment horizontal="general" vertical="bottom" wrapText="1"/>
    </xf>
    <xf numFmtId="0" fontId="4" fillId="16" borderId="0" applyAlignment="1" pivotButton="0" quotePrefix="0" xfId="0">
      <alignment horizontal="general" vertical="bottom" wrapText="1"/>
    </xf>
    <xf numFmtId="0" fontId="7" fillId="16" borderId="0" applyAlignment="1" pivotButton="0" quotePrefix="0" xfId="0">
      <alignment horizontal="general" vertical="bottom"/>
    </xf>
    <xf numFmtId="0" fontId="9" fillId="16" borderId="0" applyAlignment="1" pivotButton="0" quotePrefix="0" xfId="0">
      <alignment horizontal="center" vertical="center" wrapText="1"/>
    </xf>
    <xf numFmtId="167" fontId="12" fillId="6" borderId="0" applyAlignment="1" pivotButton="0" quotePrefix="0" xfId="0">
      <alignment horizontal="center" vertical="bottom" wrapText="1"/>
    </xf>
    <xf numFmtId="2" fontId="12" fillId="6" borderId="0" applyAlignment="1" pivotButton="0" quotePrefix="0" xfId="0">
      <alignment horizontal="center" vertical="bottom" wrapText="1"/>
    </xf>
    <xf numFmtId="0" fontId="4" fillId="7" borderId="0" applyAlignment="1" pivotButton="0" quotePrefix="0" xfId="0">
      <alignment horizontal="general" vertical="bottom" wrapText="1"/>
    </xf>
    <xf numFmtId="0" fontId="9" fillId="7" borderId="0" applyAlignment="1" pivotButton="0" quotePrefix="0" xfId="0">
      <alignment horizontal="center" vertical="center" wrapText="1"/>
    </xf>
    <xf numFmtId="0" fontId="13" fillId="0" borderId="0" applyAlignment="1" pivotButton="0" quotePrefix="0" xfId="0">
      <alignment horizontal="general" vertical="bottom"/>
    </xf>
    <xf numFmtId="168" fontId="5" fillId="0" borderId="0" applyAlignment="1" pivotButton="0" quotePrefix="0" xfId="0">
      <alignment horizontal="general" vertical="bottom"/>
    </xf>
    <xf numFmtId="168" fontId="9" fillId="7" borderId="0" applyAlignment="1" pivotButton="0" quotePrefix="0" xfId="0">
      <alignment horizontal="center" vertical="center" wrapText="1"/>
    </xf>
    <xf numFmtId="164" fontId="5" fillId="0" borderId="0" applyAlignment="1" pivotButton="0" quotePrefix="0" xfId="0">
      <alignment horizontal="general" vertical="bottom"/>
    </xf>
    <xf numFmtId="0" fontId="4" fillId="17" borderId="0" applyAlignment="1" pivotButton="0" quotePrefix="0" xfId="0">
      <alignment horizontal="general" vertical="bottom" wrapText="1"/>
    </xf>
    <xf numFmtId="0" fontId="7" fillId="17" borderId="0" applyAlignment="1" pivotButton="0" quotePrefix="0" xfId="0">
      <alignment horizontal="general" vertical="bottom"/>
    </xf>
    <xf numFmtId="0" fontId="9" fillId="17" borderId="0" applyAlignment="1" pivotButton="0" quotePrefix="0" xfId="0">
      <alignment horizontal="center" vertical="center" wrapText="1"/>
    </xf>
    <xf numFmtId="166" fontId="5" fillId="0" borderId="0" applyAlignment="1" pivotButton="0" quotePrefix="0" xfId="0">
      <alignment horizontal="general" vertical="bottom"/>
    </xf>
    <xf numFmtId="0" fontId="4" fillId="18" borderId="0" applyAlignment="1" pivotButton="0" quotePrefix="0" xfId="0">
      <alignment horizontal="general" vertical="bottom" wrapText="1"/>
    </xf>
    <xf numFmtId="0" fontId="7" fillId="18" borderId="0" applyAlignment="1" pivotButton="0" quotePrefix="0" xfId="0">
      <alignment horizontal="general" vertical="bottom"/>
    </xf>
    <xf numFmtId="0" fontId="0" fillId="0" borderId="0" applyAlignment="1" pivotButton="0" quotePrefix="0" xfId="0">
      <alignment horizontal="general" vertical="top" wrapText="1"/>
    </xf>
    <xf numFmtId="0" fontId="4" fillId="19" borderId="0" applyAlignment="1" pivotButton="0" quotePrefix="0" xfId="0">
      <alignment horizontal="general" vertical="bottom" wrapText="1"/>
    </xf>
    <xf numFmtId="0" fontId="7" fillId="19" borderId="0" applyAlignment="1" pivotButton="0" quotePrefix="0" xfId="0">
      <alignment horizontal="general" vertical="bottom"/>
    </xf>
    <xf numFmtId="0" fontId="9" fillId="19" borderId="0" applyAlignment="1" pivotButton="0" quotePrefix="0" xfId="0">
      <alignment horizontal="center" vertical="center" wrapText="1"/>
    </xf>
    <xf numFmtId="0" fontId="4" fillId="20" borderId="0" applyAlignment="1" pivotButton="0" quotePrefix="0" xfId="0">
      <alignment horizontal="general" vertical="bottom" wrapText="1"/>
    </xf>
    <xf numFmtId="0" fontId="7" fillId="20" borderId="0" applyAlignment="1" pivotButton="0" quotePrefix="0" xfId="0">
      <alignment horizontal="general" vertical="bottom"/>
    </xf>
    <xf numFmtId="0" fontId="24" fillId="21" borderId="0" applyAlignment="1" pivotButton="0" quotePrefix="0" xfId="0">
      <alignment horizontal="general" vertical="bottom"/>
    </xf>
    <xf numFmtId="0" fontId="9" fillId="20" borderId="0" applyAlignment="1" pivotButton="0" quotePrefix="0" xfId="0">
      <alignment horizontal="center" vertical="center" wrapText="1"/>
    </xf>
    <xf numFmtId="0" fontId="10" fillId="17" borderId="0" applyAlignment="1" pivotButton="0" quotePrefix="0" xfId="0">
      <alignment horizontal="general" vertical="bottom"/>
    </xf>
    <xf numFmtId="0" fontId="0" fillId="17" borderId="0" applyAlignment="1" pivotButton="0" quotePrefix="0" xfId="0">
      <alignment horizontal="general" vertical="bottom"/>
    </xf>
    <xf numFmtId="0" fontId="25" fillId="17" borderId="0" applyAlignment="1" pivotButton="0" quotePrefix="0" xfId="0">
      <alignment horizontal="general" vertical="bottom"/>
    </xf>
    <xf numFmtId="0" fontId="26" fillId="17" borderId="0" applyAlignment="1" pivotButton="0" quotePrefix="0" xfId="0">
      <alignment horizontal="general" vertical="bottom"/>
    </xf>
    <xf numFmtId="0" fontId="25" fillId="17" borderId="2" applyAlignment="1" pivotButton="0" quotePrefix="0" xfId="0">
      <alignment horizontal="general" vertical="bottom"/>
    </xf>
    <xf numFmtId="0" fontId="26" fillId="17" borderId="2" applyAlignment="1" pivotButton="0" quotePrefix="0" xfId="0">
      <alignment horizontal="general" vertical="bottom"/>
    </xf>
    <xf numFmtId="0" fontId="25" fillId="17" borderId="2" applyAlignment="1" pivotButton="0" quotePrefix="0" xfId="0">
      <alignment horizontal="general" vertical="bottom" wrapText="1"/>
    </xf>
    <xf numFmtId="0" fontId="26" fillId="17" borderId="2" applyAlignment="1" pivotButton="0" quotePrefix="0" xfId="0">
      <alignment horizontal="general" vertical="bottom" wrapText="1"/>
    </xf>
    <xf numFmtId="0" fontId="25" fillId="17" borderId="2" applyAlignment="1" pivotButton="0" quotePrefix="0" xfId="0">
      <alignment horizontal="general" vertical="center" wrapText="1"/>
    </xf>
    <xf numFmtId="0" fontId="26" fillId="17" borderId="2" applyAlignment="1" pivotButton="0" quotePrefix="0" xfId="0">
      <alignment horizontal="general" vertical="center" wrapText="1"/>
    </xf>
    <xf numFmtId="0" fontId="0" fillId="0" borderId="0" applyAlignment="1" pivotButton="0" quotePrefix="0" xfId="0">
      <alignment horizontal="general" vertical="bottom" wrapText="1"/>
    </xf>
    <xf numFmtId="0" fontId="11" fillId="0" borderId="0" applyAlignment="1" pivotButton="0" quotePrefix="0" xfId="0">
      <alignment horizontal="general" vertical="bottom" wrapText="1"/>
    </xf>
    <xf numFmtId="169" fontId="12" fillId="6" borderId="0" applyAlignment="1" pivotButton="0" quotePrefix="0" xfId="0">
      <alignment horizontal="general" vertical="bottom"/>
    </xf>
    <xf numFmtId="170" fontId="12" fillId="6" borderId="0" applyAlignment="1" pivotButton="0" quotePrefix="0" xfId="0">
      <alignment horizontal="general" vertical="bottom"/>
    </xf>
    <xf numFmtId="169" fontId="5" fillId="0" borderId="0" applyAlignment="1" pivotButton="0" quotePrefix="0" xfId="0">
      <alignment horizontal="general" vertical="bottom"/>
    </xf>
    <xf numFmtId="169" fontId="0" fillId="0" borderId="0" applyAlignment="1" pivotButton="0" quotePrefix="0" xfId="0">
      <alignment horizontal="general" vertical="bottom"/>
    </xf>
    <xf numFmtId="0" fontId="9" fillId="17" borderId="2" applyAlignment="1" pivotButton="0" quotePrefix="0" xfId="0">
      <alignment horizontal="center" vertical="center" wrapText="1"/>
    </xf>
    <xf numFmtId="171" fontId="12" fillId="6" borderId="0" applyAlignment="1" pivotButton="0" quotePrefix="0" xfId="0">
      <alignment horizontal="center" vertical="bottom" wrapText="1"/>
    </xf>
    <xf numFmtId="3" fontId="12" fillId="6" borderId="0" applyAlignment="1" pivotButton="0" quotePrefix="0" xfId="0">
      <alignment horizontal="center" vertical="bottom" wrapText="1"/>
    </xf>
    <xf numFmtId="0" fontId="5" fillId="17" borderId="0" applyAlignment="1" pivotButton="0" quotePrefix="0" xfId="0">
      <alignment horizontal="general" vertical="bottom" wrapText="1"/>
    </xf>
    <xf numFmtId="0" fontId="7" fillId="17" borderId="0" applyAlignment="1" pivotButton="0" quotePrefix="0" xfId="0">
      <alignment horizontal="general" vertical="bottom" wrapText="1"/>
    </xf>
    <xf numFmtId="0" fontId="7" fillId="17" borderId="2" applyAlignment="1" pivotButton="0" quotePrefix="0" xfId="0">
      <alignment horizontal="general" vertical="bottom" wrapText="1"/>
    </xf>
    <xf numFmtId="0" fontId="7" fillId="17" borderId="2" applyAlignment="1" pivotButton="0" quotePrefix="0" xfId="0">
      <alignment horizontal="general" vertical="center" wrapText="1"/>
    </xf>
    <xf numFmtId="0" fontId="5" fillId="6" borderId="0" applyAlignment="1" pivotButton="0" quotePrefix="0" xfId="0">
      <alignment horizontal="general" vertical="bottom" wrapText="1"/>
    </xf>
    <xf numFmtId="172" fontId="12" fillId="6" borderId="0" applyAlignment="1" pivotButton="0" quotePrefix="0" xfId="0">
      <alignment horizontal="general" vertical="bottom" wrapText="1"/>
    </xf>
    <xf numFmtId="2" fontId="12" fillId="6" borderId="0" applyAlignment="1" pivotButton="0" quotePrefix="0" xfId="0">
      <alignment horizontal="general" vertical="bottom" wrapText="1"/>
    </xf>
    <xf numFmtId="2" fontId="0" fillId="0" borderId="0" applyAlignment="1" pivotButton="0" quotePrefix="0" xfId="0">
      <alignment horizontal="general" vertical="bottom"/>
    </xf>
    <xf numFmtId="0" fontId="7" fillId="7" borderId="0" applyAlignment="1" pivotButton="0" quotePrefix="0" xfId="0">
      <alignment horizontal="general" vertical="bottom" wrapText="1"/>
    </xf>
    <xf numFmtId="169" fontId="5" fillId="0" borderId="0" applyAlignment="1" pivotButton="0" quotePrefix="0" xfId="0">
      <alignment horizontal="general" vertical="bottom" wrapText="1"/>
    </xf>
    <xf numFmtId="2" fontId="0" fillId="0" borderId="0" applyAlignment="1" pivotButton="0" quotePrefix="0" xfId="0">
      <alignment horizontal="general" vertical="bottom" wrapText="1"/>
    </xf>
    <xf numFmtId="0" fontId="0" fillId="6" borderId="0" applyAlignment="1" pivotButton="0" quotePrefix="0" xfId="0">
      <alignment horizontal="general" vertical="bottom"/>
    </xf>
    <xf numFmtId="0" fontId="27" fillId="6" borderId="0" applyAlignment="1" pivotButton="0" quotePrefix="0" xfId="0">
      <alignment horizontal="general" vertical="bottom"/>
    </xf>
    <xf numFmtId="169" fontId="27" fillId="6" borderId="0" applyAlignment="1" pivotButton="0" quotePrefix="0" xfId="0">
      <alignment horizontal="general" vertical="bottom"/>
    </xf>
    <xf numFmtId="0" fontId="0" fillId="3" borderId="0" applyAlignment="1" pivotButton="0" quotePrefix="0" xfId="0">
      <alignment horizontal="general" vertical="bottom"/>
    </xf>
    <xf numFmtId="169" fontId="0" fillId="3" borderId="0" applyAlignment="1" pivotButton="0" quotePrefix="0" xfId="0">
      <alignment horizontal="general" vertical="bottom"/>
    </xf>
    <xf numFmtId="170" fontId="5" fillId="0" borderId="0" applyAlignment="1" pivotButton="0" quotePrefix="0" xfId="0">
      <alignment horizontal="general" vertical="bottom"/>
    </xf>
    <xf numFmtId="170" fontId="0" fillId="0" borderId="0" applyAlignment="1" pivotButton="0" quotePrefix="0" xfId="0">
      <alignment horizontal="general" vertical="bottom"/>
    </xf>
    <xf numFmtId="173" fontId="0" fillId="0" borderId="0" applyAlignment="1" pivotButton="0" quotePrefix="0" xfId="0">
      <alignment horizontal="general" vertical="bottom"/>
    </xf>
    <xf numFmtId="0" fontId="0" fillId="0" borderId="0" pivotButton="0" quotePrefix="0" xfId="0"/>
    <xf numFmtId="0" fontId="0" fillId="0" borderId="5" pivotButton="0" quotePrefix="0" xfId="0"/>
    <xf numFmtId="0" fontId="0" fillId="0" borderId="6" pivotButton="0" quotePrefix="0" xfId="0"/>
    <xf numFmtId="0" fontId="28" fillId="17" borderId="0" applyAlignment="1" pivotButton="0" quotePrefix="0" xfId="0">
      <alignment vertical="center"/>
    </xf>
    <xf numFmtId="0" fontId="28" fillId="17" borderId="0" pivotButton="0" quotePrefix="0" xfId="0"/>
    <xf numFmtId="0" fontId="28" fillId="17" borderId="0" applyAlignment="1" pivotButton="0" quotePrefix="0" xfId="0">
      <alignment vertical="center" wrapText="1"/>
    </xf>
    <xf numFmtId="174" fontId="5" fillId="0" borderId="0" applyAlignment="1" pivotButton="0" quotePrefix="0" xfId="0">
      <alignment horizontal="general" vertical="bottom"/>
    </xf>
    <xf numFmtId="174" fontId="0" fillId="0" borderId="0" applyAlignment="1" pivotButton="0" quotePrefix="0" xfId="0">
      <alignment horizontal="general" vertical="bottom"/>
    </xf>
    <xf numFmtId="0" fontId="0" fillId="0" borderId="0" applyAlignment="1" pivotButton="0" quotePrefix="0" xfId="0">
      <alignment vertical="center" wrapText="1"/>
    </xf>
    <xf numFmtId="2" fontId="5" fillId="0" borderId="0" applyAlignment="1" pivotButton="0" quotePrefix="0" xfId="0">
      <alignment horizontal="general" vertical="bottom"/>
    </xf>
    <xf numFmtId="0" fontId="5" fillId="0" borderId="0" applyAlignment="1" pivotButton="0" quotePrefix="0" xfId="0">
      <alignment horizontal="general" vertical="bottom"/>
    </xf>
    <xf numFmtId="173" fontId="5" fillId="0" borderId="0" applyAlignment="1" pivotButton="0" quotePrefix="0" xfId="0">
      <alignment horizontal="general" vertical="bottom"/>
    </xf>
    <xf numFmtId="173" fontId="0" fillId="0" borderId="0" pivotButton="0" quotePrefix="0" xfId="0"/>
    <xf numFmtId="175" fontId="5" fillId="0" borderId="0" applyAlignment="1" pivotButton="0" quotePrefix="0" xfId="0">
      <alignment horizontal="general" vertical="bottom"/>
    </xf>
    <xf numFmtId="175" fontId="0" fillId="0" borderId="0" pivotButton="0" quotePrefix="0" xfId="0"/>
    <xf numFmtId="3" fontId="0" fillId="0" borderId="0" pivotButton="0" quotePrefix="0" xfId="0"/>
    <xf numFmtId="171" fontId="0" fillId="0" borderId="0" pivotButton="0" quotePrefix="0" xfId="0"/>
    <xf numFmtId="2" fontId="0" fillId="0" borderId="0" pivotButton="0" quotePrefix="0" xfId="0"/>
    <xf numFmtId="0" fontId="29" fillId="4" borderId="0" applyAlignment="1" pivotButton="0" quotePrefix="0" xfId="0">
      <alignment vertical="center" wrapText="1"/>
    </xf>
    <xf numFmtId="0" fontId="0" fillId="4" borderId="0" pivotButton="0" quotePrefix="0" xfId="0"/>
    <xf numFmtId="176" fontId="5" fillId="0" borderId="0" applyAlignment="1" pivotButton="0" quotePrefix="0" xfId="0">
      <alignment horizontal="general" vertical="bottom"/>
    </xf>
    <xf numFmtId="177" fontId="5" fillId="0" borderId="0" applyAlignment="1" pivotButton="0" quotePrefix="0" xfId="0">
      <alignment horizontal="general" vertical="bottom"/>
    </xf>
    <xf numFmtId="177" fontId="0" fillId="0" borderId="0" pivotButton="0" quotePrefix="0" xfId="0"/>
    <xf numFmtId="170" fontId="0" fillId="0" borderId="0" pivotButton="0" quotePrefix="0" xfId="0"/>
    <xf numFmtId="170" fontId="0" fillId="0" borderId="0" applyAlignment="1" pivotButton="0" quotePrefix="0" xfId="0">
      <alignment horizontal="general" vertical="top" wrapText="1"/>
    </xf>
    <xf numFmtId="0" fontId="0" fillId="18" borderId="0" applyAlignment="1" pivotButton="0" quotePrefix="0" xfId="0">
      <alignment horizontal="general" vertical="bottom"/>
    </xf>
    <xf numFmtId="0" fontId="26" fillId="18" borderId="0" applyAlignment="1" pivotButton="0" quotePrefix="0" xfId="0">
      <alignment horizontal="general" vertical="bottom"/>
    </xf>
    <xf numFmtId="0" fontId="26" fillId="18" borderId="2" applyAlignment="1" pivotButton="0" quotePrefix="0" xfId="0">
      <alignment horizontal="general" vertical="bottom"/>
    </xf>
    <xf numFmtId="0" fontId="26" fillId="18" borderId="2" applyAlignment="1" pivotButton="0" quotePrefix="0" xfId="0">
      <alignment horizontal="general" vertical="bottom" wrapText="1"/>
    </xf>
    <xf numFmtId="0" fontId="26" fillId="18" borderId="2" applyAlignment="1" pivotButton="0" quotePrefix="0" xfId="0">
      <alignment horizontal="general" vertical="center" wrapText="1"/>
    </xf>
    <xf numFmtId="0" fontId="30" fillId="18" borderId="2" applyAlignment="1" pivotButton="0" quotePrefix="0" xfId="0">
      <alignment horizontal="general" vertical="center" wrapText="1"/>
    </xf>
    <xf numFmtId="0" fontId="0" fillId="8" borderId="0" applyAlignment="1" pivotButton="0" quotePrefix="0" xfId="0">
      <alignment horizontal="general" vertical="bottom"/>
    </xf>
    <xf numFmtId="0" fontId="31" fillId="8" borderId="0" applyAlignment="1" pivotButton="0" quotePrefix="0" xfId="0">
      <alignment horizontal="general" vertical="bottom"/>
    </xf>
    <xf numFmtId="0" fontId="31" fillId="8" borderId="0" applyAlignment="1" pivotButton="0" quotePrefix="0" xfId="0">
      <alignment horizontal="general" vertical="bottom" wrapText="1"/>
    </xf>
    <xf numFmtId="0" fontId="31" fillId="8" borderId="0" applyAlignment="1" pivotButton="0" quotePrefix="0" xfId="0">
      <alignment horizontal="general" vertical="center" wrapText="1"/>
    </xf>
    <xf numFmtId="0" fontId="32" fillId="3" borderId="0" applyAlignment="1" pivotButton="0" quotePrefix="0" xfId="0">
      <alignment horizontal="general" vertical="bottom"/>
    </xf>
    <xf numFmtId="0" fontId="32" fillId="3" borderId="0" applyAlignment="1" pivotButton="0" quotePrefix="0" xfId="0">
      <alignment horizontal="general" vertical="bottom" wrapText="1"/>
    </xf>
    <xf numFmtId="0" fontId="0" fillId="29" borderId="0" applyAlignment="1" pivotButton="0" quotePrefix="0" xfId="0">
      <alignment horizontal="general" vertical="bottom"/>
    </xf>
    <xf numFmtId="0" fontId="31" fillId="29" borderId="0" applyAlignment="1" pivotButton="0" quotePrefix="0" xfId="0">
      <alignment horizontal="general" vertical="bottom"/>
    </xf>
    <xf numFmtId="0" fontId="31" fillId="29" borderId="0" applyAlignment="1" pivotButton="0" quotePrefix="0" xfId="0">
      <alignment horizontal="general" vertical="bottom" wrapText="1"/>
    </xf>
    <xf numFmtId="178" fontId="27" fillId="6" borderId="0" applyAlignment="1" pivotButton="0" quotePrefix="0" xfId="0">
      <alignment horizontal="general" vertical="bottom"/>
    </xf>
    <xf numFmtId="170" fontId="27" fillId="6" borderId="0" applyAlignment="1" pivotButton="0" quotePrefix="0" xfId="0">
      <alignment horizontal="general" vertical="bottom"/>
    </xf>
    <xf numFmtId="3" fontId="27" fillId="6" borderId="0" applyAlignment="1" pivotButton="0" quotePrefix="0" xfId="0">
      <alignment horizontal="general" vertical="bottom"/>
    </xf>
    <xf numFmtId="178" fontId="0" fillId="0" borderId="0" applyAlignment="1" pivotButton="0" quotePrefix="0" xfId="0">
      <alignment horizontal="general" vertical="bottom"/>
    </xf>
    <xf numFmtId="0" fontId="0" fillId="31" borderId="0" applyAlignment="1" pivotButton="0" quotePrefix="0" xfId="0">
      <alignment horizontal="general" vertical="bottom"/>
    </xf>
    <xf numFmtId="0" fontId="33" fillId="31" borderId="0" applyAlignment="1" pivotButton="0" quotePrefix="0" xfId="0">
      <alignment horizontal="general" vertical="bottom"/>
    </xf>
    <xf numFmtId="0" fontId="33" fillId="31" borderId="2" applyAlignment="1" pivotButton="0" quotePrefix="0" xfId="0">
      <alignment horizontal="general" vertical="bottom"/>
    </xf>
    <xf numFmtId="0" fontId="33" fillId="31" borderId="2" applyAlignment="1" pivotButton="0" quotePrefix="0" xfId="0">
      <alignment horizontal="general" vertical="bottom" wrapText="1"/>
    </xf>
    <xf numFmtId="0" fontId="33" fillId="31" borderId="2" applyAlignment="1" pivotButton="0" quotePrefix="0" xfId="0">
      <alignment horizontal="general" vertical="center" wrapText="1"/>
    </xf>
    <xf numFmtId="0" fontId="34" fillId="29" borderId="0" applyAlignment="1" pivotButton="0" quotePrefix="0" xfId="0">
      <alignment horizontal="general" vertical="bottom"/>
    </xf>
    <xf numFmtId="0" fontId="34" fillId="29" borderId="7" applyAlignment="1" pivotButton="0" quotePrefix="0" xfId="0">
      <alignment horizontal="general" vertical="bottom"/>
    </xf>
    <xf numFmtId="0" fontId="0" fillId="0" borderId="7" applyAlignment="1" pivotButton="0" quotePrefix="0" xfId="0">
      <alignment horizontal="general" vertical="bottom"/>
    </xf>
    <xf numFmtId="0" fontId="0" fillId="0" borderId="7" applyAlignment="1" pivotButton="0" quotePrefix="0" xfId="0">
      <alignment horizontal="general" vertical="bottom" wrapText="1"/>
    </xf>
    <xf numFmtId="0" fontId="0" fillId="0" borderId="7" applyAlignment="1" pivotButton="0" quotePrefix="0" xfId="0">
      <alignment horizontal="general" vertical="center" wrapText="1"/>
    </xf>
    <xf numFmtId="0" fontId="35" fillId="0" borderId="7" applyAlignment="1" pivotButton="0" quotePrefix="0" xfId="0">
      <alignment horizontal="general" vertical="center" wrapText="1"/>
    </xf>
    <xf numFmtId="0" fontId="0" fillId="6" borderId="7" applyAlignment="1" pivotButton="0" quotePrefix="0" xfId="0">
      <alignment horizontal="general" vertical="center" wrapText="1"/>
    </xf>
    <xf numFmtId="0" fontId="27" fillId="6" borderId="7" applyAlignment="1" pivotButton="0" quotePrefix="0" xfId="0">
      <alignment horizontal="general" vertical="center" wrapText="1"/>
    </xf>
    <xf numFmtId="0" fontId="27" fillId="6" borderId="7" applyAlignment="1" pivotButton="0" quotePrefix="0" xfId="0">
      <alignment horizontal="center" vertical="center" wrapText="1"/>
    </xf>
    <xf numFmtId="177" fontId="27" fillId="6" borderId="0" applyAlignment="1" pivotButton="0" quotePrefix="0" xfId="0">
      <alignment horizontal="general" vertical="bottom"/>
    </xf>
    <xf numFmtId="9" fontId="27" fillId="6" borderId="0" applyAlignment="1" pivotButton="0" quotePrefix="0" xfId="0">
      <alignment horizontal="general" vertical="bottom"/>
    </xf>
    <xf numFmtId="177" fontId="27" fillId="6" borderId="0" applyAlignment="1" pivotButton="0" quotePrefix="0" xfId="0">
      <alignment horizontal="general" vertical="bottom" wrapText="1"/>
    </xf>
    <xf numFmtId="9" fontId="27" fillId="6" borderId="0" applyAlignment="1" pivotButton="0" quotePrefix="0" xfId="0">
      <alignment horizontal="general" vertical="bottom" wrapText="1"/>
    </xf>
    <xf numFmtId="178" fontId="0" fillId="3" borderId="0" applyAlignment="1" pivotButton="0" quotePrefix="0" xfId="0">
      <alignment horizontal="general" vertical="bottom"/>
    </xf>
    <xf numFmtId="178" fontId="27" fillId="6" borderId="0" applyAlignment="1" pivotButton="0" quotePrefix="0" xfId="0">
      <alignment horizontal="general" vertical="bottom" wrapText="1"/>
    </xf>
    <xf numFmtId="178" fontId="0" fillId="3" borderId="0" applyAlignment="1" pivotButton="0" quotePrefix="0" xfId="0">
      <alignment horizontal="general" vertical="bottom" wrapText="1"/>
    </xf>
    <xf numFmtId="178" fontId="0" fillId="29" borderId="0" applyAlignment="1" pivotButton="0" quotePrefix="0" xfId="0">
      <alignment horizontal="general" vertical="bottom"/>
    </xf>
    <xf numFmtId="178" fontId="0" fillId="29" borderId="0" applyAlignment="1" pivotButton="0" quotePrefix="0" xfId="0">
      <alignment horizontal="general" vertical="bottom" wrapText="1"/>
    </xf>
    <xf numFmtId="0" fontId="0" fillId="29" borderId="0" applyAlignment="1" pivotButton="0" quotePrefix="0" xfId="0">
      <alignment horizontal="general" vertical="bottom" wrapText="1"/>
    </xf>
    <xf numFmtId="178" fontId="0" fillId="0" borderId="0" applyAlignment="1" pivotButton="0" quotePrefix="0" xfId="0">
      <alignment horizontal="general" vertical="bottom" wrapText="1"/>
    </xf>
    <xf numFmtId="170" fontId="27" fillId="6" borderId="0" applyAlignment="1" pivotButton="0" quotePrefix="0" xfId="0">
      <alignment horizontal="general" vertical="bottom" wrapText="1"/>
    </xf>
    <xf numFmtId="0" fontId="0" fillId="0" borderId="7" pivotButton="0" quotePrefix="0" xfId="0"/>
    <xf numFmtId="0" fontId="8" fillId="0" borderId="0" applyAlignment="1" pivotButton="0" quotePrefix="0" xfId="0">
      <alignment horizontal="general" vertical="bottom" wrapText="1"/>
    </xf>
    <xf numFmtId="0" fontId="8" fillId="0" borderId="0" applyAlignment="1" pivotButton="0" quotePrefix="0" xfId="0">
      <alignment horizontal="general" vertical="center" wrapText="1"/>
    </xf>
    <xf numFmtId="0" fontId="5" fillId="0" borderId="0" applyAlignment="1" pivotButton="0" quotePrefix="0" xfId="0">
      <alignment horizontal="general" vertical="center" wrapText="1"/>
    </xf>
    <xf numFmtId="0" fontId="37" fillId="32" borderId="0" applyAlignment="1" pivotButton="0" quotePrefix="0" xfId="0">
      <alignment horizontal="left" vertical="center"/>
    </xf>
    <xf numFmtId="0" fontId="38" fillId="17" borderId="8" applyAlignment="1" pivotButton="0" quotePrefix="0" xfId="0">
      <alignment horizontal="center" vertical="center" wrapText="1"/>
    </xf>
    <xf numFmtId="0" fontId="0" fillId="0" borderId="9" pivotButton="0" quotePrefix="0" xfId="0"/>
    <xf numFmtId="0" fontId="0" fillId="0" borderId="10" pivotButton="0" quotePrefix="0" xfId="0"/>
    <xf numFmtId="0" fontId="39" fillId="33" borderId="8" applyAlignment="1" pivotButton="0" quotePrefix="0" xfId="0">
      <alignment vertical="center" wrapText="1"/>
    </xf>
    <xf numFmtId="174" fontId="40" fillId="0" borderId="8" applyAlignment="1" pivotButton="0" quotePrefix="0" xfId="0">
      <alignment horizontal="right" vertical="center"/>
    </xf>
    <xf numFmtId="0" fontId="40" fillId="0" borderId="8" applyAlignment="1" pivotButton="0" quotePrefix="0" xfId="0">
      <alignment vertical="center" wrapText="1"/>
    </xf>
    <xf numFmtId="174" fontId="40" fillId="34" borderId="8" applyAlignment="1" pivotButton="0" quotePrefix="0" xfId="0">
      <alignment horizontal="right" vertical="center"/>
    </xf>
    <xf numFmtId="0" fontId="40" fillId="34" borderId="8" applyAlignment="1" pivotButton="0" quotePrefix="0" xfId="0">
      <alignment vertical="center" wrapText="1"/>
    </xf>
    <xf numFmtId="0" fontId="29" fillId="0" borderId="0" pivotButton="0" quotePrefix="0" xfId="0"/>
    <xf numFmtId="170" fontId="40" fillId="0" borderId="8" applyAlignment="1" pivotButton="0" quotePrefix="0" xfId="0">
      <alignment horizontal="right" vertical="center"/>
    </xf>
    <xf numFmtId="173" fontId="40" fillId="34" borderId="8" applyAlignment="1" pivotButton="0" quotePrefix="0" xfId="0">
      <alignment horizontal="right" vertical="center"/>
    </xf>
    <xf numFmtId="173" fontId="40" fillId="0" borderId="8" applyAlignment="1" pivotButton="0" quotePrefix="0" xfId="0">
      <alignment horizontal="right" vertical="center"/>
    </xf>
    <xf numFmtId="175" fontId="40" fillId="0" borderId="8" applyAlignment="1" pivotButton="0" quotePrefix="0" xfId="0">
      <alignment horizontal="right" vertical="center"/>
    </xf>
    <xf numFmtId="3" fontId="40" fillId="34" borderId="8" applyAlignment="1" pivotButton="0" quotePrefix="0" xfId="0">
      <alignment horizontal="right" vertical="center"/>
    </xf>
    <xf numFmtId="171" fontId="40" fillId="0" borderId="8" applyAlignment="1" pivotButton="0" quotePrefix="0" xfId="0">
      <alignment horizontal="right" vertical="center"/>
    </xf>
    <xf numFmtId="171" fontId="40" fillId="34" borderId="8" applyAlignment="1" pivotButton="0" quotePrefix="0" xfId="0">
      <alignment horizontal="right" vertical="center"/>
    </xf>
    <xf numFmtId="2" fontId="40" fillId="0" borderId="8" applyAlignment="1" pivotButton="0" quotePrefix="0" xfId="0">
      <alignment horizontal="right" vertical="center"/>
    </xf>
    <xf numFmtId="0" fontId="41" fillId="33" borderId="0" applyAlignment="1" pivotButton="0" quotePrefix="0" xfId="0">
      <alignment vertical="center" wrapText="1"/>
    </xf>
    <xf numFmtId="1" fontId="40" fillId="0" borderId="8" applyAlignment="1" pivotButton="0" quotePrefix="0" xfId="0">
      <alignment horizontal="center" vertical="center"/>
    </xf>
    <xf numFmtId="170" fontId="40" fillId="34" borderId="8" applyAlignment="1" pivotButton="0" quotePrefix="0" xfId="0">
      <alignment horizontal="right" vertical="center"/>
    </xf>
    <xf numFmtId="1" fontId="40" fillId="34" borderId="8" applyAlignment="1" pivotButton="0" quotePrefix="0" xfId="0">
      <alignment horizontal="center" vertical="center"/>
    </xf>
    <xf numFmtId="0" fontId="28" fillId="17" borderId="8" applyAlignment="1" pivotButton="0" quotePrefix="0" xfId="0">
      <alignment horizontal="center" vertical="center" wrapText="1"/>
    </xf>
    <xf numFmtId="0" fontId="29" fillId="0" borderId="0" applyAlignment="1" pivotButton="0" quotePrefix="0" xfId="0">
      <alignment vertical="center" wrapText="1"/>
    </xf>
    <xf numFmtId="0" fontId="0" fillId="35" borderId="0" applyAlignment="1" pivotButton="0" quotePrefix="0" xfId="0">
      <alignment horizontal="general" vertical="bottom"/>
    </xf>
    <xf numFmtId="0" fontId="30" fillId="35" borderId="0" applyAlignment="1" pivotButton="0" quotePrefix="0" xfId="0">
      <alignment horizontal="general" vertical="bottom"/>
    </xf>
    <xf numFmtId="0" fontId="0" fillId="3" borderId="0" applyAlignment="1" pivotButton="0" quotePrefix="0" xfId="0">
      <alignment horizontal="general" vertical="bottom" wrapText="1"/>
    </xf>
    <xf numFmtId="0" fontId="43" fillId="3" borderId="0" applyAlignment="1" pivotButton="0" quotePrefix="0" xfId="0">
      <alignment horizontal="general" vertical="bottom"/>
    </xf>
    <xf numFmtId="0" fontId="43" fillId="3" borderId="0" applyAlignment="1" pivotButton="0" quotePrefix="0" xfId="0">
      <alignment horizontal="general" vertical="bottom" wrapText="1"/>
    </xf>
    <xf numFmtId="0" fontId="26" fillId="35" borderId="0" applyAlignment="1" pivotButton="0" quotePrefix="0" xfId="0">
      <alignment horizontal="general" vertical="bottom"/>
    </xf>
    <xf numFmtId="0" fontId="0" fillId="5" borderId="0" applyAlignment="1" pivotButton="0" quotePrefix="0" xfId="0">
      <alignment horizontal="general" vertical="bottom"/>
    </xf>
    <xf numFmtId="0" fontId="44" fillId="5" borderId="0" applyAlignment="1" pivotButton="0" quotePrefix="0" xfId="0">
      <alignment horizontal="general" vertical="bottom"/>
    </xf>
    <xf numFmtId="0" fontId="43" fillId="6" borderId="0" applyAlignment="1" pivotButton="0" quotePrefix="0" xfId="0">
      <alignment horizontal="general" vertical="bottom"/>
    </xf>
    <xf numFmtId="0" fontId="43" fillId="6" borderId="0" applyAlignment="1" pivotButton="0" quotePrefix="0" xfId="0">
      <alignment horizontal="general" vertical="bottom" wrapText="1"/>
    </xf>
    <xf numFmtId="0" fontId="26" fillId="35" borderId="13" applyAlignment="1" pivotButton="0" quotePrefix="0" xfId="0">
      <alignment horizontal="general" vertical="bottom"/>
    </xf>
    <xf numFmtId="0" fontId="26" fillId="35" borderId="13" applyAlignment="1" pivotButton="0" quotePrefix="0" xfId="0">
      <alignment horizontal="general" vertical="bottom" wrapText="1"/>
    </xf>
    <xf numFmtId="0" fontId="0" fillId="0" borderId="14" applyAlignment="1" pivotButton="0" quotePrefix="0" xfId="0">
      <alignment horizontal="general" vertical="bottom"/>
    </xf>
    <xf numFmtId="0" fontId="0" fillId="0" borderId="14" applyAlignment="1" pivotButton="0" quotePrefix="0" xfId="0">
      <alignment horizontal="general" vertical="bottom" wrapText="1"/>
    </xf>
    <xf numFmtId="0" fontId="0" fillId="39" borderId="0" applyAlignment="1" pivotButton="0" quotePrefix="0" xfId="0">
      <alignment horizontal="general" vertical="bottom"/>
    </xf>
    <xf numFmtId="0" fontId="26" fillId="39" borderId="0" applyAlignment="1" pivotButton="0" quotePrefix="0" xfId="0">
      <alignment horizontal="general" vertical="bottom"/>
    </xf>
    <xf numFmtId="0" fontId="26" fillId="39" borderId="13" applyAlignment="1" pivotButton="0" quotePrefix="0" xfId="0">
      <alignment horizontal="general" vertical="bottom"/>
    </xf>
    <xf numFmtId="0" fontId="26" fillId="39" borderId="13" applyAlignment="1" pivotButton="0" quotePrefix="0" xfId="0">
      <alignment horizontal="general" vertical="bottom" wrapText="1"/>
    </xf>
    <xf numFmtId="0" fontId="0" fillId="6" borderId="14" applyAlignment="1" pivotButton="0" quotePrefix="0" xfId="0">
      <alignment horizontal="general" vertical="bottom" wrapText="1"/>
    </xf>
    <xf numFmtId="0" fontId="27" fillId="6" borderId="14" applyAlignment="1" pivotButton="0" quotePrefix="0" xfId="0">
      <alignment horizontal="general" vertical="bottom" wrapText="1"/>
    </xf>
    <xf numFmtId="179" fontId="27" fillId="6" borderId="14" applyAlignment="1" pivotButton="0" quotePrefix="0" xfId="0">
      <alignment horizontal="general" vertical="bottom" wrapText="1"/>
    </xf>
    <xf numFmtId="0" fontId="0" fillId="11" borderId="0" applyAlignment="1" pivotButton="0" quotePrefix="0" xfId="0">
      <alignment horizontal="general" vertical="bottom"/>
    </xf>
    <xf numFmtId="0" fontId="30" fillId="11" borderId="0" applyAlignment="1" pivotButton="0" quotePrefix="0" xfId="0">
      <alignment horizontal="general" vertical="bottom"/>
    </xf>
    <xf numFmtId="0" fontId="26" fillId="11" borderId="0" applyAlignment="1" pivotButton="0" quotePrefix="0" xfId="0">
      <alignment horizontal="general" vertical="bottom"/>
    </xf>
    <xf numFmtId="0" fontId="45" fillId="0" borderId="0" applyAlignment="1" pivotButton="0" quotePrefix="0" xfId="0">
      <alignment horizontal="general" vertical="bottom"/>
    </xf>
    <xf numFmtId="0" fontId="45" fillId="0" borderId="15" applyAlignment="1" pivotButton="0" quotePrefix="0" xfId="0">
      <alignment horizontal="general" vertical="bottom"/>
    </xf>
    <xf numFmtId="0" fontId="45" fillId="0" borderId="15" applyAlignment="1" pivotButton="0" quotePrefix="0" xfId="0">
      <alignment horizontal="general" vertical="bottom" wrapText="1"/>
    </xf>
    <xf numFmtId="0" fontId="0" fillId="41" borderId="0" applyAlignment="1" pivotButton="0" quotePrefix="0" xfId="0">
      <alignment horizontal="general" vertical="bottom"/>
    </xf>
    <xf numFmtId="0" fontId="26" fillId="41" borderId="0" applyAlignment="1" pivotButton="0" quotePrefix="0" xfId="0">
      <alignment horizontal="general" vertical="bottom"/>
    </xf>
    <xf numFmtId="0" fontId="46" fillId="5" borderId="0" applyAlignment="1" pivotButton="0" quotePrefix="0" xfId="0">
      <alignment horizontal="general" vertical="bottom"/>
    </xf>
    <xf numFmtId="0" fontId="46" fillId="5" borderId="0" applyAlignment="1" pivotButton="0" quotePrefix="0" xfId="0">
      <alignment horizontal="general" vertical="bottom" wrapText="1"/>
    </xf>
    <xf numFmtId="0" fontId="5" fillId="35" borderId="0" applyAlignment="1" pivotButton="0" quotePrefix="0" xfId="0">
      <alignment horizontal="general" vertical="bottom" wrapText="1"/>
    </xf>
    <xf numFmtId="0" fontId="7" fillId="35" borderId="0" applyAlignment="1" pivotButton="0" quotePrefix="0" xfId="0">
      <alignment horizontal="general" vertical="bottom" wrapText="1"/>
    </xf>
    <xf numFmtId="0" fontId="5" fillId="0" borderId="14" applyAlignment="1" pivotButton="0" quotePrefix="0" xfId="0">
      <alignment horizontal="general" vertical="bottom" wrapText="1"/>
    </xf>
    <xf numFmtId="0" fontId="0" fillId="7" borderId="0" applyAlignment="1" pivotButton="0" quotePrefix="0" xfId="0">
      <alignment horizontal="general" vertical="bottom"/>
    </xf>
    <xf numFmtId="0" fontId="26" fillId="7" borderId="0" applyAlignment="1" pivotButton="0" quotePrefix="0" xfId="0">
      <alignment horizontal="general" vertical="bottom"/>
    </xf>
    <xf numFmtId="0" fontId="26" fillId="7" borderId="0" applyAlignment="1" pivotButton="0" quotePrefix="0" xfId="0">
      <alignment horizontal="general" vertical="bottom" wrapText="1"/>
    </xf>
    <xf numFmtId="0" fontId="37" fillId="32" borderId="0" pivotButton="0" quotePrefix="0" xfId="0"/>
    <xf numFmtId="0" fontId="40" fillId="34" borderId="8" applyAlignment="1" pivotButton="0" quotePrefix="0" xfId="0">
      <alignment horizontal="right" vertical="center"/>
    </xf>
    <xf numFmtId="0" fontId="40" fillId="0" borderId="8" applyAlignment="1" pivotButton="0" quotePrefix="0" xfId="0">
      <alignment horizontal="right" vertical="center"/>
    </xf>
    <xf numFmtId="0" fontId="0" fillId="33" borderId="0" pivotButton="0" quotePrefix="0" xfId="0"/>
    <xf numFmtId="0" fontId="28" fillId="17" borderId="10" pivotButton="0" quotePrefix="0" xfId="0"/>
    <xf numFmtId="0" fontId="28" fillId="17" borderId="9" pivotButton="0" quotePrefix="0" xfId="0"/>
    <xf numFmtId="0" fontId="0" fillId="43" borderId="0" applyAlignment="1" pivotButton="0" quotePrefix="0" xfId="0">
      <alignment horizontal="general" vertical="bottom"/>
    </xf>
    <xf numFmtId="0" fontId="26" fillId="43" borderId="0" applyAlignment="1" pivotButton="0" quotePrefix="0" xfId="0">
      <alignment horizontal="general" vertical="bottom"/>
    </xf>
    <xf numFmtId="0" fontId="26" fillId="43" borderId="0" applyAlignment="1" pivotButton="0" quotePrefix="0" xfId="0">
      <alignment horizontal="general" vertical="center"/>
    </xf>
    <xf numFmtId="0" fontId="0" fillId="44" borderId="0" applyAlignment="1" pivotButton="0" quotePrefix="0" xfId="0">
      <alignment horizontal="general" vertical="bottom"/>
    </xf>
    <xf numFmtId="0" fontId="31" fillId="44" borderId="0" applyAlignment="1" pivotButton="0" quotePrefix="0" xfId="0">
      <alignment horizontal="general" vertical="bottom"/>
    </xf>
    <xf numFmtId="0" fontId="31" fillId="44" borderId="0" applyAlignment="1" pivotButton="0" quotePrefix="0" xfId="0">
      <alignment horizontal="general" vertical="bottom" wrapText="1"/>
    </xf>
    <xf numFmtId="0" fontId="31" fillId="44" borderId="0" applyAlignment="1" pivotButton="0" quotePrefix="0" xfId="0">
      <alignment horizontal="general" vertical="top" wrapText="1"/>
    </xf>
    <xf numFmtId="0" fontId="0" fillId="45" borderId="0" applyAlignment="1" pivotButton="0" quotePrefix="0" xfId="0">
      <alignment horizontal="general" vertical="bottom"/>
    </xf>
    <xf numFmtId="0" fontId="26" fillId="45" borderId="0" applyAlignment="1" pivotButton="0" quotePrefix="0" xfId="0">
      <alignment horizontal="general" vertical="bottom"/>
    </xf>
    <xf numFmtId="0" fontId="26" fillId="45" borderId="16" applyAlignment="1" pivotButton="0" quotePrefix="0" xfId="0">
      <alignment horizontal="general" vertical="bottom"/>
    </xf>
    <xf numFmtId="0" fontId="0" fillId="46" borderId="0" applyAlignment="1" pivotButton="0" quotePrefix="0" xfId="0">
      <alignment horizontal="general" vertical="bottom"/>
    </xf>
    <xf numFmtId="0" fontId="26" fillId="46" borderId="0" applyAlignment="1" pivotButton="0" quotePrefix="0" xfId="0">
      <alignment horizontal="general" vertical="bottom"/>
    </xf>
    <xf numFmtId="0" fontId="26" fillId="46" borderId="17" applyAlignment="1" pivotButton="0" quotePrefix="0" xfId="0">
      <alignment horizontal="general" vertical="bottom"/>
    </xf>
    <xf numFmtId="0" fontId="26" fillId="46" borderId="16" applyAlignment="1" pivotButton="0" quotePrefix="0" xfId="0">
      <alignment horizontal="general" vertical="bottom"/>
    </xf>
    <xf numFmtId="0" fontId="26" fillId="46" borderId="18" applyAlignment="1" pivotButton="0" quotePrefix="0" xfId="0">
      <alignment horizontal="general" vertical="bottom"/>
    </xf>
    <xf numFmtId="0" fontId="26" fillId="46" borderId="17" applyAlignment="1" pivotButton="0" quotePrefix="0" xfId="0">
      <alignment horizontal="general" vertical="bottom" wrapText="1"/>
    </xf>
    <xf numFmtId="0" fontId="26" fillId="46" borderId="16" applyAlignment="1" pivotButton="0" quotePrefix="0" xfId="0">
      <alignment horizontal="general" vertical="bottom" wrapText="1"/>
    </xf>
    <xf numFmtId="0" fontId="26" fillId="46" borderId="18" applyAlignment="1" pivotButton="0" quotePrefix="0" xfId="0">
      <alignment horizontal="general" vertical="bottom" wrapText="1"/>
    </xf>
    <xf numFmtId="0" fontId="26" fillId="46" borderId="17" applyAlignment="1" pivotButton="0" quotePrefix="0" xfId="0">
      <alignment horizontal="center" vertical="bottom" wrapText="1"/>
    </xf>
    <xf numFmtId="0" fontId="26" fillId="46" borderId="16" applyAlignment="1" pivotButton="0" quotePrefix="0" xfId="0">
      <alignment horizontal="center" vertical="bottom" wrapText="1"/>
    </xf>
    <xf numFmtId="0" fontId="26" fillId="46" borderId="18" applyAlignment="1" pivotButton="0" quotePrefix="0" xfId="0">
      <alignment horizontal="center" vertical="bottom" wrapText="1"/>
    </xf>
    <xf numFmtId="0" fontId="26" fillId="46" borderId="17" applyAlignment="1" pivotButton="0" quotePrefix="0" xfId="0">
      <alignment horizontal="center" vertical="center" wrapText="1"/>
    </xf>
    <xf numFmtId="0" fontId="26" fillId="46" borderId="16" applyAlignment="1" pivotButton="0" quotePrefix="0" xfId="0">
      <alignment horizontal="center" vertical="center" wrapText="1"/>
    </xf>
    <xf numFmtId="0" fontId="26" fillId="46" borderId="18" applyAlignment="1" pivotButton="0" quotePrefix="0" xfId="0">
      <alignment horizontal="center" vertical="center" wrapText="1"/>
    </xf>
    <xf numFmtId="0" fontId="31" fillId="0" borderId="0" applyAlignment="1" pivotButton="0" quotePrefix="0" xfId="0">
      <alignment horizontal="general" vertical="bottom"/>
    </xf>
    <xf numFmtId="0" fontId="31" fillId="0" borderId="17" applyAlignment="1" pivotButton="0" quotePrefix="0" xfId="0">
      <alignment horizontal="general" vertical="bottom"/>
    </xf>
    <xf numFmtId="0" fontId="31" fillId="0" borderId="16" applyAlignment="1" pivotButton="0" quotePrefix="0" xfId="0">
      <alignment horizontal="general" vertical="bottom"/>
    </xf>
    <xf numFmtId="0" fontId="31" fillId="0" borderId="18" applyAlignment="1" pivotButton="0" quotePrefix="0" xfId="0">
      <alignment horizontal="general" vertical="bottom"/>
    </xf>
    <xf numFmtId="0" fontId="31" fillId="0" borderId="17" applyAlignment="1" pivotButton="0" quotePrefix="0" xfId="0">
      <alignment horizontal="general" vertical="bottom" wrapText="1"/>
    </xf>
    <xf numFmtId="0" fontId="31" fillId="0" borderId="16" applyAlignment="1" pivotButton="0" quotePrefix="0" xfId="0">
      <alignment horizontal="general" vertical="bottom" wrapText="1"/>
    </xf>
    <xf numFmtId="0" fontId="31" fillId="0" borderId="18" applyAlignment="1" pivotButton="0" quotePrefix="0" xfId="0">
      <alignment horizontal="general" vertical="bottom" wrapText="1"/>
    </xf>
    <xf numFmtId="0" fontId="31" fillId="0" borderId="17" applyAlignment="1" pivotButton="0" quotePrefix="0" xfId="0">
      <alignment horizontal="general" vertical="top" wrapText="1"/>
    </xf>
    <xf numFmtId="0" fontId="31" fillId="0" borderId="16" applyAlignment="1" pivotButton="0" quotePrefix="0" xfId="0">
      <alignment horizontal="general" vertical="top" wrapText="1"/>
    </xf>
    <xf numFmtId="0" fontId="31" fillId="0" borderId="18" applyAlignment="1" pivotButton="0" quotePrefix="0" xfId="0">
      <alignment horizontal="general" vertical="top" wrapText="1"/>
    </xf>
    <xf numFmtId="0" fontId="0" fillId="47" borderId="0" applyAlignment="1" pivotButton="0" quotePrefix="0" xfId="0">
      <alignment horizontal="general" vertical="bottom"/>
    </xf>
    <xf numFmtId="0" fontId="31" fillId="47" borderId="0" applyAlignment="1" pivotButton="0" quotePrefix="0" xfId="0">
      <alignment horizontal="general" vertical="bottom"/>
    </xf>
    <xf numFmtId="0" fontId="31" fillId="47" borderId="17" applyAlignment="1" pivotButton="0" quotePrefix="0" xfId="0">
      <alignment horizontal="general" vertical="bottom"/>
    </xf>
    <xf numFmtId="0" fontId="31" fillId="47" borderId="16" applyAlignment="1" pivotButton="0" quotePrefix="0" xfId="0">
      <alignment horizontal="general" vertical="bottom"/>
    </xf>
    <xf numFmtId="0" fontId="31" fillId="47" borderId="18" applyAlignment="1" pivotButton="0" quotePrefix="0" xfId="0">
      <alignment horizontal="general" vertical="bottom"/>
    </xf>
    <xf numFmtId="0" fontId="31" fillId="47" borderId="17" applyAlignment="1" pivotButton="0" quotePrefix="0" xfId="0">
      <alignment horizontal="general" vertical="bottom" wrapText="1"/>
    </xf>
    <xf numFmtId="0" fontId="31" fillId="47" borderId="16" applyAlignment="1" pivotButton="0" quotePrefix="0" xfId="0">
      <alignment horizontal="general" vertical="bottom" wrapText="1"/>
    </xf>
    <xf numFmtId="0" fontId="31" fillId="47" borderId="18" applyAlignment="1" pivotButton="0" quotePrefix="0" xfId="0">
      <alignment horizontal="general" vertical="bottom" wrapText="1"/>
    </xf>
    <xf numFmtId="0" fontId="31" fillId="47" borderId="17" applyAlignment="1" pivotButton="0" quotePrefix="0" xfId="0">
      <alignment horizontal="general" vertical="top" wrapText="1"/>
    </xf>
    <xf numFmtId="0" fontId="31" fillId="47" borderId="16" applyAlignment="1" pivotButton="0" quotePrefix="0" xfId="0">
      <alignment horizontal="general" vertical="top" wrapText="1"/>
    </xf>
    <xf numFmtId="0" fontId="31" fillId="47" borderId="18" applyAlignment="1" pivotButton="0" quotePrefix="0" xfId="0">
      <alignment horizontal="general" vertical="top" wrapText="1"/>
    </xf>
    <xf numFmtId="0" fontId="31" fillId="48" borderId="16" applyAlignment="1" pivotButton="0" quotePrefix="0" xfId="0">
      <alignment horizontal="general" vertical="top" wrapText="1"/>
    </xf>
    <xf numFmtId="0" fontId="50" fillId="48" borderId="16" applyAlignment="1" pivotButton="0" quotePrefix="0" xfId="0">
      <alignment horizontal="general" vertical="top" wrapText="1"/>
    </xf>
    <xf numFmtId="0" fontId="50" fillId="48" borderId="13" applyAlignment="1" pivotButton="0" quotePrefix="0" xfId="0">
      <alignment horizontal="general" vertical="top" wrapText="1"/>
    </xf>
    <xf numFmtId="0" fontId="50" fillId="48" borderId="13" applyAlignment="1" pivotButton="0" quotePrefix="0" xfId="0">
      <alignment horizontal="center" vertical="top" wrapText="1"/>
    </xf>
    <xf numFmtId="0" fontId="51" fillId="48" borderId="16" applyAlignment="1" pivotButton="0" quotePrefix="0" xfId="0">
      <alignment horizontal="general" vertical="top" wrapText="1"/>
    </xf>
    <xf numFmtId="0" fontId="51" fillId="48" borderId="17" applyAlignment="1" pivotButton="0" quotePrefix="0" xfId="0">
      <alignment horizontal="general" vertical="top" wrapText="1"/>
    </xf>
    <xf numFmtId="0" fontId="51" fillId="48" borderId="18" applyAlignment="1" pivotButton="0" quotePrefix="0" xfId="0">
      <alignment horizontal="general" vertical="top" wrapText="1"/>
    </xf>
    <xf numFmtId="0" fontId="51" fillId="48" borderId="17" applyAlignment="1" pivotButton="0" quotePrefix="0" xfId="0">
      <alignment horizontal="center" vertical="top" wrapText="1"/>
    </xf>
    <xf numFmtId="0" fontId="51" fillId="48" borderId="16" applyAlignment="1" pivotButton="0" quotePrefix="0" xfId="0">
      <alignment horizontal="center" vertical="top" wrapText="1"/>
    </xf>
    <xf numFmtId="0" fontId="51" fillId="48" borderId="18" applyAlignment="1" pivotButton="0" quotePrefix="0" xfId="0">
      <alignment horizontal="center" vertical="top" wrapText="1"/>
    </xf>
    <xf numFmtId="0" fontId="0" fillId="49" borderId="0" applyAlignment="1" pivotButton="0" quotePrefix="0" xfId="0">
      <alignment horizontal="general" vertical="bottom"/>
    </xf>
    <xf numFmtId="0" fontId="34" fillId="49" borderId="0" applyAlignment="1" pivotButton="0" quotePrefix="0" xfId="0">
      <alignment horizontal="general" vertical="bottom"/>
    </xf>
    <xf numFmtId="0" fontId="34" fillId="49" borderId="0" applyAlignment="1" pivotButton="0" quotePrefix="0" xfId="0">
      <alignment horizontal="general" vertical="bottom" wrapText="1"/>
    </xf>
    <xf numFmtId="0" fontId="26" fillId="43" borderId="0" applyAlignment="1" pivotButton="0" quotePrefix="0" xfId="0">
      <alignment horizontal="general" vertical="center" wrapText="1"/>
    </xf>
    <xf numFmtId="0" fontId="26" fillId="45" borderId="16" applyAlignment="1" pivotButton="0" quotePrefix="0" xfId="0">
      <alignment horizontal="general" vertical="bottom" wrapText="1"/>
    </xf>
    <xf numFmtId="0" fontId="0" fillId="48" borderId="0" applyAlignment="1" pivotButton="0" quotePrefix="0" xfId="0">
      <alignment horizontal="general" vertical="bottom"/>
    </xf>
    <xf numFmtId="0" fontId="31" fillId="48" borderId="0" applyAlignment="1" pivotButton="0" quotePrefix="0" xfId="0">
      <alignment horizontal="general" vertical="bottom"/>
    </xf>
    <xf numFmtId="0" fontId="31" fillId="48" borderId="17" applyAlignment="1" pivotButton="0" quotePrefix="0" xfId="0">
      <alignment horizontal="general" vertical="bottom"/>
    </xf>
    <xf numFmtId="0" fontId="31" fillId="48" borderId="16" applyAlignment="1" pivotButton="0" quotePrefix="0" xfId="0">
      <alignment horizontal="general" vertical="bottom"/>
    </xf>
    <xf numFmtId="0" fontId="31" fillId="48" borderId="18" applyAlignment="1" pivotButton="0" quotePrefix="0" xfId="0">
      <alignment horizontal="general" vertical="bottom"/>
    </xf>
    <xf numFmtId="0" fontId="31" fillId="48" borderId="17" applyAlignment="1" pivotButton="0" quotePrefix="0" xfId="0">
      <alignment horizontal="general" vertical="bottom" wrapText="1"/>
    </xf>
    <xf numFmtId="0" fontId="31" fillId="48" borderId="16" applyAlignment="1" pivotButton="0" quotePrefix="0" xfId="0">
      <alignment horizontal="general" vertical="bottom" wrapText="1"/>
    </xf>
    <xf numFmtId="0" fontId="31" fillId="48" borderId="18" applyAlignment="1" pivotButton="0" quotePrefix="0" xfId="0">
      <alignment horizontal="general" vertical="bottom" wrapText="1"/>
    </xf>
    <xf numFmtId="0" fontId="31" fillId="48" borderId="17" applyAlignment="1" pivotButton="0" quotePrefix="0" xfId="0">
      <alignment horizontal="general" vertical="top" wrapText="1"/>
    </xf>
    <xf numFmtId="0" fontId="31" fillId="48" borderId="18" applyAlignment="1" pivotButton="0" quotePrefix="0" xfId="0">
      <alignment horizontal="general" vertical="top" wrapText="1"/>
    </xf>
    <xf numFmtId="0" fontId="50" fillId="48" borderId="17" applyAlignment="1" pivotButton="0" quotePrefix="0" xfId="0">
      <alignment horizontal="general" vertical="top" wrapText="1"/>
    </xf>
    <xf numFmtId="0" fontId="50" fillId="48" borderId="18" applyAlignment="1" pivotButton="0" quotePrefix="0" xfId="0">
      <alignment horizontal="general" vertical="top" wrapText="1"/>
    </xf>
    <xf numFmtId="0" fontId="50" fillId="48" borderId="17" applyAlignment="1" pivotButton="0" quotePrefix="0" xfId="0">
      <alignment horizontal="center" vertical="top" wrapText="1"/>
    </xf>
    <xf numFmtId="0" fontId="50" fillId="48" borderId="16" applyAlignment="1" pivotButton="0" quotePrefix="0" xfId="0">
      <alignment horizontal="center" vertical="top" wrapText="1"/>
    </xf>
    <xf numFmtId="0" fontId="50" fillId="48" borderId="18" applyAlignment="1" pivotButton="0" quotePrefix="0" xfId="0">
      <alignment horizontal="center" vertical="top" wrapText="1"/>
    </xf>
    <xf numFmtId="167" fontId="12" fillId="48" borderId="0" applyAlignment="1" pivotButton="0" quotePrefix="0" xfId="0">
      <alignment horizontal="center" vertical="bottom" wrapText="1"/>
    </xf>
    <xf numFmtId="167" fontId="52" fillId="48" borderId="0" applyAlignment="1" pivotButton="0" quotePrefix="0" xfId="0">
      <alignment horizontal="center" vertical="bottom" wrapText="1"/>
    </xf>
    <xf numFmtId="0" fontId="31" fillId="47" borderId="19" applyAlignment="1" pivotButton="0" quotePrefix="0" xfId="0">
      <alignment horizontal="general" vertical="bottom"/>
    </xf>
    <xf numFmtId="0" fontId="31" fillId="47" borderId="20" applyAlignment="1" pivotButton="0" quotePrefix="0" xfId="0">
      <alignment horizontal="general" vertical="bottom"/>
    </xf>
    <xf numFmtId="0" fontId="31" fillId="47" borderId="21" applyAlignment="1" pivotButton="0" quotePrefix="0" xfId="0">
      <alignment horizontal="general" vertical="bottom"/>
    </xf>
    <xf numFmtId="0" fontId="31" fillId="47" borderId="22" applyAlignment="1" pivotButton="0" quotePrefix="0" xfId="0">
      <alignment horizontal="general" vertical="bottom"/>
    </xf>
    <xf numFmtId="0" fontId="31" fillId="47" borderId="0" applyAlignment="1" pivotButton="0" quotePrefix="0" xfId="0">
      <alignment horizontal="general" vertical="bottom"/>
    </xf>
    <xf numFmtId="0" fontId="31" fillId="47" borderId="23" applyAlignment="1" pivotButton="0" quotePrefix="0" xfId="0">
      <alignment horizontal="general" vertical="bottom"/>
    </xf>
    <xf numFmtId="0" fontId="31" fillId="47" borderId="24" applyAlignment="1" pivotButton="0" quotePrefix="0" xfId="0">
      <alignment horizontal="general" vertical="bottom"/>
    </xf>
    <xf numFmtId="0" fontId="31" fillId="47" borderId="25" applyAlignment="1" pivotButton="0" quotePrefix="0" xfId="0">
      <alignment horizontal="general" vertical="bottom"/>
    </xf>
    <xf numFmtId="0" fontId="31" fillId="47" borderId="26" applyAlignment="1" pivotButton="0" quotePrefix="0" xfId="0">
      <alignment horizontal="general" vertical="bottom"/>
    </xf>
    <xf numFmtId="0" fontId="31" fillId="47" borderId="19" applyAlignment="1" pivotButton="0" quotePrefix="0" xfId="0">
      <alignment horizontal="general" vertical="bottom" wrapText="1"/>
    </xf>
    <xf numFmtId="0" fontId="31" fillId="47" borderId="20" applyAlignment="1" pivotButton="0" quotePrefix="0" xfId="0">
      <alignment horizontal="general" vertical="bottom" wrapText="1"/>
    </xf>
    <xf numFmtId="0" fontId="31" fillId="47" borderId="21" applyAlignment="1" pivotButton="0" quotePrefix="0" xfId="0">
      <alignment horizontal="general" vertical="bottom" wrapText="1"/>
    </xf>
    <xf numFmtId="0" fontId="31" fillId="47" borderId="22" applyAlignment="1" pivotButton="0" quotePrefix="0" xfId="0">
      <alignment horizontal="general" vertical="bottom" wrapText="1"/>
    </xf>
    <xf numFmtId="0" fontId="31" fillId="47" borderId="0" applyAlignment="1" pivotButton="0" quotePrefix="0" xfId="0">
      <alignment horizontal="general" vertical="bottom" wrapText="1"/>
    </xf>
    <xf numFmtId="0" fontId="31" fillId="47" borderId="23" applyAlignment="1" pivotButton="0" quotePrefix="0" xfId="0">
      <alignment horizontal="general" vertical="bottom" wrapText="1"/>
    </xf>
    <xf numFmtId="0" fontId="31" fillId="47" borderId="24" applyAlignment="1" pivotButton="0" quotePrefix="0" xfId="0">
      <alignment horizontal="general" vertical="bottom" wrapText="1"/>
    </xf>
    <xf numFmtId="0" fontId="31" fillId="47" borderId="25" applyAlignment="1" pivotButton="0" quotePrefix="0" xfId="0">
      <alignment horizontal="general" vertical="bottom" wrapText="1"/>
    </xf>
    <xf numFmtId="0" fontId="31" fillId="47" borderId="26" applyAlignment="1" pivotButton="0" quotePrefix="0" xfId="0">
      <alignment horizontal="general" vertical="bottom" wrapText="1"/>
    </xf>
    <xf numFmtId="0" fontId="31" fillId="47" borderId="19" applyAlignment="1" pivotButton="0" quotePrefix="0" xfId="0">
      <alignment horizontal="general" vertical="top" wrapText="1"/>
    </xf>
    <xf numFmtId="0" fontId="31" fillId="47" borderId="20" applyAlignment="1" pivotButton="0" quotePrefix="0" xfId="0">
      <alignment horizontal="general" vertical="top" wrapText="1"/>
    </xf>
    <xf numFmtId="0" fontId="31" fillId="47" borderId="21" applyAlignment="1" pivotButton="0" quotePrefix="0" xfId="0">
      <alignment horizontal="general" vertical="top" wrapText="1"/>
    </xf>
    <xf numFmtId="0" fontId="31" fillId="47" borderId="22" applyAlignment="1" pivotButton="0" quotePrefix="0" xfId="0">
      <alignment horizontal="general" vertical="top" wrapText="1"/>
    </xf>
    <xf numFmtId="0" fontId="31" fillId="47" borderId="0" applyAlignment="1" pivotButton="0" quotePrefix="0" xfId="0">
      <alignment horizontal="general" vertical="top" wrapText="1"/>
    </xf>
    <xf numFmtId="0" fontId="31" fillId="47" borderId="23" applyAlignment="1" pivotButton="0" quotePrefix="0" xfId="0">
      <alignment horizontal="general" vertical="top" wrapText="1"/>
    </xf>
    <xf numFmtId="0" fontId="31" fillId="47" borderId="24" applyAlignment="1" pivotButton="0" quotePrefix="0" xfId="0">
      <alignment horizontal="general" vertical="top" wrapText="1"/>
    </xf>
    <xf numFmtId="0" fontId="31" fillId="47" borderId="25" applyAlignment="1" pivotButton="0" quotePrefix="0" xfId="0">
      <alignment horizontal="general" vertical="top" wrapText="1"/>
    </xf>
    <xf numFmtId="0" fontId="31" fillId="47" borderId="26" applyAlignment="1" pivotButton="0" quotePrefix="0" xfId="0">
      <alignment horizontal="general" vertical="top" wrapText="1"/>
    </xf>
    <xf numFmtId="0" fontId="26" fillId="35" borderId="0" applyAlignment="1" pivotButton="0" quotePrefix="0" xfId="0">
      <alignment horizontal="general" vertical="center"/>
    </xf>
    <xf numFmtId="0" fontId="0" fillId="21" borderId="0" applyAlignment="1" pivotButton="0" quotePrefix="0" xfId="0">
      <alignment horizontal="general" vertical="bottom"/>
    </xf>
    <xf numFmtId="0" fontId="31" fillId="21" borderId="0" applyAlignment="1" pivotButton="0" quotePrefix="0" xfId="0">
      <alignment horizontal="general" vertical="bottom"/>
    </xf>
    <xf numFmtId="0" fontId="31" fillId="21" borderId="0" applyAlignment="1" pivotButton="0" quotePrefix="0" xfId="0">
      <alignment horizontal="general" vertical="bottom" wrapText="1"/>
    </xf>
    <xf numFmtId="0" fontId="31" fillId="21" borderId="0" applyAlignment="1" pivotButton="0" quotePrefix="0" xfId="0">
      <alignment horizontal="general" vertical="top" wrapText="1"/>
    </xf>
    <xf numFmtId="0" fontId="26" fillId="39" borderId="16" applyAlignment="1" pivotButton="0" quotePrefix="0" xfId="0">
      <alignment horizontal="general" vertical="bottom"/>
    </xf>
    <xf numFmtId="0" fontId="0" fillId="2" borderId="0" applyAlignment="1" pivotButton="0" quotePrefix="0" xfId="0">
      <alignment horizontal="general" vertical="bottom"/>
    </xf>
    <xf numFmtId="0" fontId="26" fillId="2" borderId="0" applyAlignment="1" pivotButton="0" quotePrefix="0" xfId="0">
      <alignment horizontal="general" vertical="bottom"/>
    </xf>
    <xf numFmtId="0" fontId="26" fillId="2" borderId="17" applyAlignment="1" pivotButton="0" quotePrefix="0" xfId="0">
      <alignment horizontal="general" vertical="bottom"/>
    </xf>
    <xf numFmtId="0" fontId="26" fillId="2" borderId="16" applyAlignment="1" pivotButton="0" quotePrefix="0" xfId="0">
      <alignment horizontal="general" vertical="bottom"/>
    </xf>
    <xf numFmtId="0" fontId="26" fillId="2" borderId="18" applyAlignment="1" pivotButton="0" quotePrefix="0" xfId="0">
      <alignment horizontal="general" vertical="bottom"/>
    </xf>
    <xf numFmtId="0" fontId="26" fillId="2" borderId="17" applyAlignment="1" pivotButton="0" quotePrefix="0" xfId="0">
      <alignment horizontal="general" vertical="bottom" wrapText="1"/>
    </xf>
    <xf numFmtId="0" fontId="26" fillId="2" borderId="16" applyAlignment="1" pivotButton="0" quotePrefix="0" xfId="0">
      <alignment horizontal="general" vertical="bottom" wrapText="1"/>
    </xf>
    <xf numFmtId="0" fontId="26" fillId="2" borderId="18" applyAlignment="1" pivotButton="0" quotePrefix="0" xfId="0">
      <alignment horizontal="general" vertical="bottom" wrapText="1"/>
    </xf>
    <xf numFmtId="0" fontId="26" fillId="2" borderId="17" applyAlignment="1" pivotButton="0" quotePrefix="0" xfId="0">
      <alignment horizontal="center" vertical="bottom" wrapText="1"/>
    </xf>
    <xf numFmtId="0" fontId="26" fillId="2" borderId="16" applyAlignment="1" pivotButton="0" quotePrefix="0" xfId="0">
      <alignment horizontal="center" vertical="bottom" wrapText="1"/>
    </xf>
    <xf numFmtId="0" fontId="26" fillId="2" borderId="18" applyAlignment="1" pivotButton="0" quotePrefix="0" xfId="0">
      <alignment horizontal="center" vertical="bottom" wrapText="1"/>
    </xf>
    <xf numFmtId="0" fontId="26" fillId="2" borderId="17" applyAlignment="1" pivotButton="0" quotePrefix="0" xfId="0">
      <alignment horizontal="center" vertical="center" wrapText="1"/>
    </xf>
    <xf numFmtId="0" fontId="26" fillId="2" borderId="16" applyAlignment="1" pivotButton="0" quotePrefix="0" xfId="0">
      <alignment horizontal="center" vertical="center" wrapText="1"/>
    </xf>
    <xf numFmtId="0" fontId="26" fillId="2" borderId="18" applyAlignment="1" pivotButton="0" quotePrefix="0" xfId="0">
      <alignment horizontal="center" vertical="center" wrapText="1"/>
    </xf>
    <xf numFmtId="0" fontId="31" fillId="29" borderId="17" applyAlignment="1" pivotButton="0" quotePrefix="0" xfId="0">
      <alignment horizontal="general" vertical="bottom"/>
    </xf>
    <xf numFmtId="0" fontId="31" fillId="29" borderId="16" applyAlignment="1" pivotButton="0" quotePrefix="0" xfId="0">
      <alignment horizontal="general" vertical="bottom"/>
    </xf>
    <xf numFmtId="0" fontId="31" fillId="29" borderId="18" applyAlignment="1" pivotButton="0" quotePrefix="0" xfId="0">
      <alignment horizontal="general" vertical="bottom"/>
    </xf>
    <xf numFmtId="0" fontId="31" fillId="29" borderId="17" applyAlignment="1" pivotButton="0" quotePrefix="0" xfId="0">
      <alignment horizontal="general" vertical="bottom" wrapText="1"/>
    </xf>
    <xf numFmtId="0" fontId="31" fillId="29" borderId="16" applyAlignment="1" pivotButton="0" quotePrefix="0" xfId="0">
      <alignment horizontal="general" vertical="bottom" wrapText="1"/>
    </xf>
    <xf numFmtId="0" fontId="31" fillId="29" borderId="18" applyAlignment="1" pivotButton="0" quotePrefix="0" xfId="0">
      <alignment horizontal="general" vertical="bottom" wrapText="1"/>
    </xf>
    <xf numFmtId="0" fontId="31" fillId="29" borderId="17" applyAlignment="1" pivotButton="0" quotePrefix="0" xfId="0">
      <alignment horizontal="general" vertical="top" wrapText="1"/>
    </xf>
    <xf numFmtId="0" fontId="31" fillId="29" borderId="16" applyAlignment="1" pivotButton="0" quotePrefix="0" xfId="0">
      <alignment horizontal="general" vertical="top" wrapText="1"/>
    </xf>
    <xf numFmtId="0" fontId="31" fillId="29" borderId="18" applyAlignment="1" pivotButton="0" quotePrefix="0" xfId="0">
      <alignment horizontal="general" vertical="top" wrapText="1"/>
    </xf>
    <xf numFmtId="0" fontId="31" fillId="6" borderId="16" applyAlignment="1" pivotButton="0" quotePrefix="0" xfId="0">
      <alignment horizontal="general" vertical="top" wrapText="1"/>
    </xf>
    <xf numFmtId="0" fontId="50" fillId="6" borderId="16" applyAlignment="1" pivotButton="0" quotePrefix="0" xfId="0">
      <alignment horizontal="general" vertical="top" wrapText="1"/>
    </xf>
    <xf numFmtId="0" fontId="50" fillId="6" borderId="13" applyAlignment="1" pivotButton="0" quotePrefix="0" xfId="0">
      <alignment horizontal="general" vertical="top" wrapText="1"/>
    </xf>
    <xf numFmtId="0" fontId="50" fillId="6" borderId="13" applyAlignment="1" pivotButton="0" quotePrefix="0" xfId="0">
      <alignment horizontal="center" vertical="top" wrapText="1"/>
    </xf>
    <xf numFmtId="0" fontId="51" fillId="6" borderId="16" applyAlignment="1" pivotButton="0" quotePrefix="0" xfId="0">
      <alignment horizontal="general" vertical="top" wrapText="1"/>
    </xf>
    <xf numFmtId="0" fontId="51" fillId="6" borderId="17" applyAlignment="1" pivotButton="0" quotePrefix="0" xfId="0">
      <alignment horizontal="general" vertical="top" wrapText="1"/>
    </xf>
    <xf numFmtId="0" fontId="51" fillId="6" borderId="18" applyAlignment="1" pivotButton="0" quotePrefix="0" xfId="0">
      <alignment horizontal="general" vertical="top" wrapText="1"/>
    </xf>
    <xf numFmtId="0" fontId="51" fillId="6" borderId="17" applyAlignment="1" pivotButton="0" quotePrefix="0" xfId="0">
      <alignment horizontal="center" vertical="top" wrapText="1"/>
    </xf>
    <xf numFmtId="0" fontId="51" fillId="6" borderId="16" applyAlignment="1" pivotButton="0" quotePrefix="0" xfId="0">
      <alignment horizontal="center" vertical="top" wrapText="1"/>
    </xf>
    <xf numFmtId="0" fontId="51" fillId="6" borderId="18" applyAlignment="1" pivotButton="0" quotePrefix="0" xfId="0">
      <alignment horizontal="center" vertical="top" wrapText="1"/>
    </xf>
    <xf numFmtId="0" fontId="26" fillId="35" borderId="0" applyAlignment="1" pivotButton="0" quotePrefix="0" xfId="0">
      <alignment horizontal="general" vertical="center" wrapText="1"/>
    </xf>
    <xf numFmtId="0" fontId="26" fillId="39" borderId="16" applyAlignment="1" pivotButton="0" quotePrefix="0" xfId="0">
      <alignment horizontal="general" vertical="bottom" wrapText="1"/>
    </xf>
    <xf numFmtId="0" fontId="31" fillId="6" borderId="0" applyAlignment="1" pivotButton="0" quotePrefix="0" xfId="0">
      <alignment horizontal="general" vertical="bottom"/>
    </xf>
    <xf numFmtId="0" fontId="31" fillId="6" borderId="17" applyAlignment="1" pivotButton="0" quotePrefix="0" xfId="0">
      <alignment horizontal="general" vertical="bottom"/>
    </xf>
    <xf numFmtId="0" fontId="31" fillId="6" borderId="16" applyAlignment="1" pivotButton="0" quotePrefix="0" xfId="0">
      <alignment horizontal="general" vertical="bottom"/>
    </xf>
    <xf numFmtId="0" fontId="31" fillId="6" borderId="18" applyAlignment="1" pivotButton="0" quotePrefix="0" xfId="0">
      <alignment horizontal="general" vertical="bottom"/>
    </xf>
    <xf numFmtId="0" fontId="31" fillId="6" borderId="17" applyAlignment="1" pivotButton="0" quotePrefix="0" xfId="0">
      <alignment horizontal="general" vertical="bottom" wrapText="1"/>
    </xf>
    <xf numFmtId="0" fontId="31" fillId="6" borderId="16" applyAlignment="1" pivotButton="0" quotePrefix="0" xfId="0">
      <alignment horizontal="general" vertical="bottom" wrapText="1"/>
    </xf>
    <xf numFmtId="0" fontId="31" fillId="6" borderId="18" applyAlignment="1" pivotButton="0" quotePrefix="0" xfId="0">
      <alignment horizontal="general" vertical="bottom" wrapText="1"/>
    </xf>
    <xf numFmtId="0" fontId="31" fillId="6" borderId="17" applyAlignment="1" pivotButton="0" quotePrefix="0" xfId="0">
      <alignment horizontal="general" vertical="top" wrapText="1"/>
    </xf>
    <xf numFmtId="0" fontId="31" fillId="6" borderId="18" applyAlignment="1" pivotButton="0" quotePrefix="0" xfId="0">
      <alignment horizontal="general" vertical="top" wrapText="1"/>
    </xf>
    <xf numFmtId="0" fontId="50" fillId="6" borderId="17" applyAlignment="1" pivotButton="0" quotePrefix="0" xfId="0">
      <alignment horizontal="general" vertical="top" wrapText="1"/>
    </xf>
    <xf numFmtId="0" fontId="50" fillId="6" borderId="18" applyAlignment="1" pivotButton="0" quotePrefix="0" xfId="0">
      <alignment horizontal="general" vertical="top" wrapText="1"/>
    </xf>
    <xf numFmtId="0" fontId="50" fillId="6" borderId="17" applyAlignment="1" pivotButton="0" quotePrefix="0" xfId="0">
      <alignment horizontal="center" vertical="top" wrapText="1"/>
    </xf>
    <xf numFmtId="0" fontId="50" fillId="6" borderId="16" applyAlignment="1" pivotButton="0" quotePrefix="0" xfId="0">
      <alignment horizontal="center" vertical="top" wrapText="1"/>
    </xf>
    <xf numFmtId="0" fontId="50" fillId="6" borderId="18" applyAlignment="1" pivotButton="0" quotePrefix="0" xfId="0">
      <alignment horizontal="center" vertical="top" wrapText="1"/>
    </xf>
    <xf numFmtId="167" fontId="52" fillId="6" borderId="0" applyAlignment="1" pivotButton="0" quotePrefix="0" xfId="0">
      <alignment horizontal="center" vertical="bottom" wrapText="1"/>
    </xf>
    <xf numFmtId="0" fontId="31" fillId="29" borderId="19" applyAlignment="1" pivotButton="0" quotePrefix="0" xfId="0">
      <alignment horizontal="general" vertical="bottom"/>
    </xf>
    <xf numFmtId="0" fontId="31" fillId="29" borderId="20" applyAlignment="1" pivotButton="0" quotePrefix="0" xfId="0">
      <alignment horizontal="general" vertical="bottom"/>
    </xf>
    <xf numFmtId="0" fontId="31" fillId="29" borderId="21" applyAlignment="1" pivotButton="0" quotePrefix="0" xfId="0">
      <alignment horizontal="general" vertical="bottom"/>
    </xf>
    <xf numFmtId="0" fontId="31" fillId="29" borderId="22" applyAlignment="1" pivotButton="0" quotePrefix="0" xfId="0">
      <alignment horizontal="general" vertical="bottom"/>
    </xf>
    <xf numFmtId="0" fontId="31" fillId="29" borderId="0" applyAlignment="1" pivotButton="0" quotePrefix="0" xfId="0">
      <alignment horizontal="general" vertical="bottom"/>
    </xf>
    <xf numFmtId="0" fontId="31" fillId="29" borderId="23" applyAlignment="1" pivotButton="0" quotePrefix="0" xfId="0">
      <alignment horizontal="general" vertical="bottom"/>
    </xf>
    <xf numFmtId="0" fontId="31" fillId="29" borderId="24" applyAlignment="1" pivotButton="0" quotePrefix="0" xfId="0">
      <alignment horizontal="general" vertical="bottom"/>
    </xf>
    <xf numFmtId="0" fontId="31" fillId="29" borderId="25" applyAlignment="1" pivotButton="0" quotePrefix="0" xfId="0">
      <alignment horizontal="general" vertical="bottom"/>
    </xf>
    <xf numFmtId="0" fontId="31" fillId="29" borderId="26" applyAlignment="1" pivotButton="0" quotePrefix="0" xfId="0">
      <alignment horizontal="general" vertical="bottom"/>
    </xf>
    <xf numFmtId="0" fontId="31" fillId="29" borderId="19" applyAlignment="1" pivotButton="0" quotePrefix="0" xfId="0">
      <alignment horizontal="general" vertical="bottom" wrapText="1"/>
    </xf>
    <xf numFmtId="0" fontId="31" fillId="29" borderId="20" applyAlignment="1" pivotButton="0" quotePrefix="0" xfId="0">
      <alignment horizontal="general" vertical="bottom" wrapText="1"/>
    </xf>
    <xf numFmtId="0" fontId="31" fillId="29" borderId="21" applyAlignment="1" pivotButton="0" quotePrefix="0" xfId="0">
      <alignment horizontal="general" vertical="bottom" wrapText="1"/>
    </xf>
    <xf numFmtId="0" fontId="31" fillId="29" borderId="22" applyAlignment="1" pivotButton="0" quotePrefix="0" xfId="0">
      <alignment horizontal="general" vertical="bottom" wrapText="1"/>
    </xf>
    <xf numFmtId="0" fontId="31" fillId="29" borderId="0" applyAlignment="1" pivotButton="0" quotePrefix="0" xfId="0">
      <alignment horizontal="general" vertical="bottom" wrapText="1"/>
    </xf>
    <xf numFmtId="0" fontId="31" fillId="29" borderId="23" applyAlignment="1" pivotButton="0" quotePrefix="0" xfId="0">
      <alignment horizontal="general" vertical="bottom" wrapText="1"/>
    </xf>
    <xf numFmtId="0" fontId="31" fillId="29" borderId="24" applyAlignment="1" pivotButton="0" quotePrefix="0" xfId="0">
      <alignment horizontal="general" vertical="bottom" wrapText="1"/>
    </xf>
    <xf numFmtId="0" fontId="31" fillId="29" borderId="25" applyAlignment="1" pivotButton="0" quotePrefix="0" xfId="0">
      <alignment horizontal="general" vertical="bottom" wrapText="1"/>
    </xf>
    <xf numFmtId="0" fontId="31" fillId="29" borderId="26" applyAlignment="1" pivotButton="0" quotePrefix="0" xfId="0">
      <alignment horizontal="general" vertical="bottom" wrapText="1"/>
    </xf>
    <xf numFmtId="0" fontId="31" fillId="29" borderId="19" applyAlignment="1" pivotButton="0" quotePrefix="0" xfId="0">
      <alignment horizontal="general" vertical="top" wrapText="1"/>
    </xf>
    <xf numFmtId="0" fontId="31" fillId="29" borderId="20" applyAlignment="1" pivotButton="0" quotePrefix="0" xfId="0">
      <alignment horizontal="general" vertical="top" wrapText="1"/>
    </xf>
    <xf numFmtId="0" fontId="31" fillId="29" borderId="21" applyAlignment="1" pivotButton="0" quotePrefix="0" xfId="0">
      <alignment horizontal="general" vertical="top" wrapText="1"/>
    </xf>
    <xf numFmtId="0" fontId="31" fillId="29" borderId="22" applyAlignment="1" pivotButton="0" quotePrefix="0" xfId="0">
      <alignment horizontal="general" vertical="top" wrapText="1"/>
    </xf>
    <xf numFmtId="0" fontId="31" fillId="29" borderId="0" applyAlignment="1" pivotButton="0" quotePrefix="0" xfId="0">
      <alignment horizontal="general" vertical="top" wrapText="1"/>
    </xf>
    <xf numFmtId="0" fontId="31" fillId="29" borderId="23" applyAlignment="1" pivotButton="0" quotePrefix="0" xfId="0">
      <alignment horizontal="general" vertical="top" wrapText="1"/>
    </xf>
    <xf numFmtId="0" fontId="31" fillId="29" borderId="24" applyAlignment="1" pivotButton="0" quotePrefix="0" xfId="0">
      <alignment horizontal="general" vertical="top" wrapText="1"/>
    </xf>
    <xf numFmtId="0" fontId="31" fillId="29" borderId="25" applyAlignment="1" pivotButton="0" quotePrefix="0" xfId="0">
      <alignment horizontal="general" vertical="top" wrapText="1"/>
    </xf>
    <xf numFmtId="0" fontId="31" fillId="29" borderId="26" applyAlignment="1" pivotButton="0" quotePrefix="0" xfId="0">
      <alignment horizontal="general" vertical="top" wrapText="1"/>
    </xf>
    <xf numFmtId="0" fontId="0" fillId="50" borderId="0" applyAlignment="1" pivotButton="0" quotePrefix="0" xfId="0">
      <alignment horizontal="general" vertical="bottom"/>
    </xf>
    <xf numFmtId="0" fontId="53" fillId="50" borderId="0" applyAlignment="1" pivotButton="0" quotePrefix="0" xfId="0">
      <alignment horizontal="general" vertical="bottom"/>
    </xf>
    <xf numFmtId="0" fontId="53" fillId="50" borderId="0" applyAlignment="1" pivotButton="0" quotePrefix="0" xfId="0">
      <alignment horizontal="general" vertical="center"/>
    </xf>
    <xf numFmtId="0" fontId="0" fillId="51" borderId="0" applyAlignment="1" pivotButton="0" quotePrefix="0" xfId="0">
      <alignment horizontal="general" vertical="bottom"/>
    </xf>
    <xf numFmtId="0" fontId="54" fillId="51" borderId="0" applyAlignment="1" pivotButton="0" quotePrefix="0" xfId="0">
      <alignment horizontal="general" vertical="bottom"/>
    </xf>
    <xf numFmtId="0" fontId="54" fillId="51" borderId="0" applyAlignment="1" pivotButton="0" quotePrefix="0" xfId="0">
      <alignment horizontal="general" vertical="bottom" wrapText="1"/>
    </xf>
    <xf numFmtId="0" fontId="54" fillId="51" borderId="0" applyAlignment="1" pivotButton="0" quotePrefix="0" xfId="0">
      <alignment horizontal="general" vertical="center" wrapText="1"/>
    </xf>
    <xf numFmtId="0" fontId="0" fillId="52" borderId="0" applyAlignment="1" pivotButton="0" quotePrefix="0" xfId="0">
      <alignment horizontal="general" vertical="bottom"/>
    </xf>
    <xf numFmtId="0" fontId="55" fillId="52" borderId="0" applyAlignment="1" pivotButton="0" quotePrefix="0" xfId="0">
      <alignment horizontal="general" vertical="bottom"/>
    </xf>
    <xf numFmtId="0" fontId="55" fillId="52" borderId="0" applyAlignment="1" pivotButton="0" quotePrefix="0" xfId="0">
      <alignment horizontal="general" vertical="center"/>
    </xf>
    <xf numFmtId="0" fontId="0" fillId="53" borderId="0" applyAlignment="1" pivotButton="0" quotePrefix="0" xfId="0">
      <alignment horizontal="general" vertical="bottom"/>
    </xf>
    <xf numFmtId="0" fontId="56" fillId="53" borderId="0" applyAlignment="1" pivotButton="0" quotePrefix="0" xfId="0">
      <alignment horizontal="general" vertical="bottom"/>
    </xf>
    <xf numFmtId="0" fontId="56" fillId="53" borderId="0" applyAlignment="1" pivotButton="0" quotePrefix="0" xfId="0">
      <alignment horizontal="general" vertical="bottom"/>
    </xf>
    <xf numFmtId="0" fontId="56" fillId="53" borderId="0" applyAlignment="1" pivotButton="0" quotePrefix="0" xfId="0">
      <alignment horizontal="general" vertical="bottom" wrapText="1"/>
    </xf>
    <xf numFmtId="0" fontId="56" fillId="53" borderId="0" applyAlignment="1" pivotButton="0" quotePrefix="0" xfId="0">
      <alignment horizontal="center" vertical="bottom" wrapText="1"/>
    </xf>
    <xf numFmtId="0" fontId="56" fillId="53" borderId="0" applyAlignment="1" pivotButton="0" quotePrefix="0" xfId="0">
      <alignment horizontal="center" vertical="center" wrapText="1"/>
    </xf>
    <xf numFmtId="0" fontId="57" fillId="0" borderId="0" applyAlignment="1" pivotButton="0" quotePrefix="0" xfId="0">
      <alignment horizontal="general" vertical="bottom"/>
    </xf>
    <xf numFmtId="0" fontId="57" fillId="0" borderId="0" applyAlignment="1" pivotButton="0" quotePrefix="0" xfId="0">
      <alignment horizontal="general" vertical="bottom"/>
    </xf>
    <xf numFmtId="0" fontId="57" fillId="0" borderId="0" applyAlignment="1" pivotButton="0" quotePrefix="0" xfId="0">
      <alignment horizontal="general" vertical="bottom" wrapText="1"/>
    </xf>
    <xf numFmtId="0" fontId="57" fillId="0" borderId="0" applyAlignment="1" pivotButton="0" quotePrefix="0" xfId="0">
      <alignment horizontal="general" vertical="top" wrapText="1"/>
    </xf>
    <xf numFmtId="0" fontId="0" fillId="54" borderId="0" applyAlignment="1" pivotButton="0" quotePrefix="0" xfId="0">
      <alignment horizontal="general" vertical="bottom"/>
    </xf>
    <xf numFmtId="0" fontId="58" fillId="54" borderId="0" applyAlignment="1" pivotButton="0" quotePrefix="0" xfId="0">
      <alignment horizontal="general" vertical="bottom"/>
    </xf>
    <xf numFmtId="0" fontId="58" fillId="54" borderId="0" applyAlignment="1" pivotButton="0" quotePrefix="0" xfId="0">
      <alignment horizontal="general" vertical="bottom"/>
    </xf>
    <xf numFmtId="0" fontId="58" fillId="54" borderId="0" applyAlignment="1" pivotButton="0" quotePrefix="0" xfId="0">
      <alignment horizontal="general" vertical="bottom" wrapText="1"/>
    </xf>
    <xf numFmtId="0" fontId="58" fillId="54" borderId="0" applyAlignment="1" pivotButton="0" quotePrefix="0" xfId="0">
      <alignment horizontal="general" vertical="center" wrapText="1"/>
    </xf>
    <xf numFmtId="0" fontId="58" fillId="55" borderId="0" applyAlignment="1" pivotButton="0" quotePrefix="0" xfId="0">
      <alignment horizontal="general" vertical="center" wrapText="1"/>
    </xf>
    <xf numFmtId="0" fontId="59" fillId="55" borderId="0" applyAlignment="1" pivotButton="0" quotePrefix="0" xfId="0">
      <alignment horizontal="general" vertical="center" wrapText="1"/>
    </xf>
    <xf numFmtId="0" fontId="0" fillId="56" borderId="0" applyAlignment="1" pivotButton="0" quotePrefix="0" xfId="0">
      <alignment horizontal="general" vertical="bottom"/>
    </xf>
    <xf numFmtId="0" fontId="55" fillId="56" borderId="0" applyAlignment="1" pivotButton="0" quotePrefix="0" xfId="0">
      <alignment horizontal="general" vertical="bottom"/>
    </xf>
    <xf numFmtId="0" fontId="55" fillId="56" borderId="0" applyAlignment="1" pivotButton="0" quotePrefix="0" xfId="0">
      <alignment horizontal="general" vertical="center"/>
    </xf>
    <xf numFmtId="0" fontId="0" fillId="57" borderId="0" applyAlignment="1" pivotButton="0" quotePrefix="0" xfId="0">
      <alignment horizontal="general" vertical="bottom"/>
    </xf>
    <xf numFmtId="0" fontId="60" fillId="57" borderId="0" applyAlignment="1" pivotButton="0" quotePrefix="0" xfId="0">
      <alignment horizontal="general" vertical="bottom"/>
    </xf>
    <xf numFmtId="0" fontId="60" fillId="57" borderId="0" applyAlignment="1" pivotButton="0" quotePrefix="0" xfId="0">
      <alignment horizontal="general" vertical="bottom"/>
    </xf>
    <xf numFmtId="0" fontId="60" fillId="57" borderId="0" applyAlignment="1" pivotButton="0" quotePrefix="0" xfId="0">
      <alignment horizontal="general" vertical="bottom" wrapText="1"/>
    </xf>
    <xf numFmtId="0" fontId="60" fillId="57" borderId="0" applyAlignment="1" pivotButton="0" quotePrefix="0" xfId="0">
      <alignment horizontal="general" vertical="center" wrapText="1"/>
    </xf>
    <xf numFmtId="0" fontId="0" fillId="58" borderId="0" applyAlignment="1" pivotButton="0" quotePrefix="0" xfId="0">
      <alignment horizontal="general" vertical="bottom"/>
    </xf>
    <xf numFmtId="0" fontId="57" fillId="58" borderId="0" applyAlignment="1" pivotButton="0" quotePrefix="0" xfId="0">
      <alignment horizontal="general" vertical="bottom"/>
    </xf>
    <xf numFmtId="0" fontId="57" fillId="58" borderId="0" applyAlignment="1" pivotButton="0" quotePrefix="0" xfId="0">
      <alignment horizontal="general" vertical="bottom"/>
    </xf>
    <xf numFmtId="0" fontId="57" fillId="58" borderId="0" applyAlignment="1" pivotButton="0" quotePrefix="0" xfId="0">
      <alignment horizontal="general" vertical="bottom" wrapText="1"/>
    </xf>
    <xf numFmtId="0" fontId="57" fillId="58" borderId="0" applyAlignment="1" pivotButton="0" quotePrefix="0" xfId="0">
      <alignment horizontal="general" vertical="top" wrapText="1"/>
    </xf>
    <xf numFmtId="170" fontId="57" fillId="0" borderId="0" applyAlignment="1" pivotButton="0" quotePrefix="0" xfId="0">
      <alignment horizontal="general" vertical="top" wrapText="1"/>
    </xf>
    <xf numFmtId="180" fontId="57" fillId="0" borderId="0" applyAlignment="1" pivotButton="0" quotePrefix="0" xfId="0">
      <alignment horizontal="general" vertical="top" wrapText="1"/>
    </xf>
    <xf numFmtId="181" fontId="57" fillId="0" borderId="0" applyAlignment="1" pivotButton="0" quotePrefix="0" xfId="0">
      <alignment horizontal="general" vertical="top" wrapText="1"/>
    </xf>
    <xf numFmtId="171" fontId="57" fillId="0" borderId="0" applyAlignment="1" pivotButton="0" quotePrefix="0" xfId="0">
      <alignment horizontal="general" vertical="top" wrapText="1"/>
    </xf>
    <xf numFmtId="0" fontId="0" fillId="59" borderId="0" applyAlignment="1" pivotButton="0" quotePrefix="0" xfId="0">
      <alignment horizontal="general" vertical="bottom"/>
    </xf>
    <xf numFmtId="0" fontId="57" fillId="59" borderId="0" applyAlignment="1" pivotButton="0" quotePrefix="0" xfId="0">
      <alignment horizontal="general" vertical="bottom"/>
    </xf>
    <xf numFmtId="0" fontId="57" fillId="59" borderId="0" applyAlignment="1" pivotButton="0" quotePrefix="0" xfId="0">
      <alignment horizontal="general" vertical="bottom"/>
    </xf>
    <xf numFmtId="0" fontId="57" fillId="59" borderId="0" applyAlignment="1" pivotButton="0" quotePrefix="0" xfId="0">
      <alignment horizontal="general" vertical="bottom" wrapText="1"/>
    </xf>
    <xf numFmtId="0" fontId="57" fillId="59" borderId="0" applyAlignment="1" pivotButton="0" quotePrefix="0" xfId="0">
      <alignment horizontal="general" vertical="center" wrapText="1"/>
    </xf>
    <xf numFmtId="182" fontId="57" fillId="0" borderId="0" applyAlignment="1" pivotButton="0" quotePrefix="0" xfId="0">
      <alignment horizontal="general" vertical="top" wrapText="1"/>
    </xf>
    <xf numFmtId="0" fontId="0" fillId="55" borderId="0" applyAlignment="1" pivotButton="0" quotePrefix="0" xfId="0">
      <alignment horizontal="general" vertical="bottom"/>
    </xf>
    <xf numFmtId="0" fontId="61" fillId="55" borderId="0" applyAlignment="1" pivotButton="0" quotePrefix="0" xfId="0">
      <alignment horizontal="general" vertical="bottom"/>
    </xf>
    <xf numFmtId="0" fontId="61" fillId="55" borderId="0" applyAlignment="1" pivotButton="0" quotePrefix="0" xfId="0">
      <alignment horizontal="general" vertical="bottom"/>
    </xf>
    <xf numFmtId="0" fontId="56" fillId="52" borderId="0" applyAlignment="1" pivotButton="0" quotePrefix="0" xfId="0">
      <alignment horizontal="general" vertical="bottom"/>
    </xf>
    <xf numFmtId="0" fontId="56" fillId="52" borderId="0" applyAlignment="1" pivotButton="0" quotePrefix="0" xfId="0">
      <alignment horizontal="center" vertical="bottom"/>
    </xf>
    <xf numFmtId="0" fontId="62" fillId="58" borderId="0" applyAlignment="1" pivotButton="0" quotePrefix="0" xfId="0">
      <alignment horizontal="general" vertical="bottom"/>
    </xf>
    <xf numFmtId="0" fontId="62" fillId="58" borderId="0" applyAlignment="1" pivotButton="0" quotePrefix="0" xfId="0">
      <alignment horizontal="general" vertical="bottom"/>
    </xf>
    <xf numFmtId="0" fontId="62" fillId="58" borderId="0" applyAlignment="1" pivotButton="0" quotePrefix="0" xfId="0">
      <alignment horizontal="center" vertical="bottom"/>
    </xf>
    <xf numFmtId="0" fontId="62" fillId="58" borderId="0" applyAlignment="1" pivotButton="0" quotePrefix="0" xfId="0">
      <alignment horizontal="center" vertical="center"/>
    </xf>
    <xf numFmtId="181" fontId="62" fillId="58" borderId="0" applyAlignment="1" pivotButton="0" quotePrefix="0" xfId="0">
      <alignment horizontal="center" vertical="center"/>
    </xf>
    <xf numFmtId="170" fontId="62" fillId="58" borderId="0" applyAlignment="1" pivotButton="0" quotePrefix="0" xfId="0">
      <alignment horizontal="center" vertical="center"/>
    </xf>
    <xf numFmtId="171" fontId="62" fillId="58" borderId="0" applyAlignment="1" pivotButton="0" quotePrefix="0" xfId="0">
      <alignment horizontal="center" vertical="center"/>
    </xf>
    <xf numFmtId="0" fontId="63" fillId="54" borderId="0" applyAlignment="1" pivotButton="0" quotePrefix="0" xfId="0">
      <alignment horizontal="general" vertical="bottom"/>
    </xf>
    <xf numFmtId="0" fontId="63" fillId="54" borderId="0" applyAlignment="1" pivotButton="0" quotePrefix="0" xfId="0">
      <alignment horizontal="general" vertical="bottom"/>
    </xf>
    <xf numFmtId="171" fontId="0" fillId="0" borderId="0" applyAlignment="1" pivotButton="0" quotePrefix="0" xfId="0">
      <alignment horizontal="general" vertical="bottom"/>
    </xf>
    <xf numFmtId="181" fontId="0" fillId="0" borderId="0" applyAlignment="1" pivotButton="0" quotePrefix="0" xfId="0">
      <alignment horizontal="general" vertical="bottom"/>
    </xf>
    <xf numFmtId="0" fontId="54" fillId="59" borderId="0" applyAlignment="1" pivotButton="0" quotePrefix="0" xfId="0">
      <alignment horizontal="general" vertical="bottom"/>
    </xf>
    <xf numFmtId="0" fontId="54" fillId="59" borderId="0" applyAlignment="1" pivotButton="0" quotePrefix="0" xfId="0">
      <alignment horizontal="general" vertical="bottom" wrapText="1"/>
    </xf>
    <xf numFmtId="0" fontId="54" fillId="59" borderId="0" applyAlignment="1" pivotButton="0" quotePrefix="0" xfId="0">
      <alignment horizontal="general" vertical="center" wrapText="1"/>
    </xf>
    <xf numFmtId="177" fontId="57" fillId="0" borderId="0" applyAlignment="1" pivotButton="0" quotePrefix="0" xfId="0">
      <alignment horizontal="general" vertical="top" wrapText="1"/>
    </xf>
    <xf numFmtId="0" fontId="60" fillId="57" borderId="0" applyAlignment="1" pivotButton="0" quotePrefix="0" xfId="0">
      <alignment horizontal="general" vertical="bottom" wrapText="1"/>
    </xf>
    <xf numFmtId="0" fontId="60" fillId="57" borderId="0" applyAlignment="1" pivotButton="0" quotePrefix="0" xfId="0">
      <alignment horizontal="general" vertical="center" wrapText="1"/>
    </xf>
    <xf numFmtId="0" fontId="54" fillId="59" borderId="0" applyAlignment="1" pivotButton="0" quotePrefix="0" xfId="0">
      <alignment horizontal="general" vertical="bottom"/>
    </xf>
    <xf numFmtId="0" fontId="54" fillId="59" borderId="0" applyAlignment="1" pivotButton="0" quotePrefix="0" xfId="0">
      <alignment horizontal="general" vertical="bottom" wrapText="1"/>
    </xf>
    <xf numFmtId="0" fontId="54" fillId="59" borderId="0" applyAlignment="1" pivotButton="0" quotePrefix="0" xfId="0">
      <alignment horizontal="general" vertical="center" wrapText="1"/>
    </xf>
    <xf numFmtId="0" fontId="58" fillId="53" borderId="0" applyAlignment="1" pivotButton="0" quotePrefix="0" xfId="0">
      <alignment horizontal="general" vertical="center" wrapText="1"/>
    </xf>
    <xf numFmtId="0" fontId="26" fillId="53" borderId="0" applyAlignment="1" pivotButton="0" quotePrefix="0" xfId="0">
      <alignment horizontal="general" vertical="center" wrapText="1"/>
    </xf>
    <xf numFmtId="0" fontId="26" fillId="53" borderId="0" applyAlignment="1" pivotButton="0" quotePrefix="0" xfId="0">
      <alignment horizontal="center" vertical="center" wrapText="1"/>
    </xf>
    <xf numFmtId="0" fontId="59" fillId="54" borderId="0" applyAlignment="1" pivotButton="0" quotePrefix="0" xfId="0">
      <alignment horizontal="general" vertical="center" wrapText="1"/>
    </xf>
    <xf numFmtId="0" fontId="63" fillId="54" borderId="0" applyAlignment="1" pivotButton="0" quotePrefix="0" xfId="0">
      <alignment horizontal="general" vertical="center" wrapText="1"/>
    </xf>
    <xf numFmtId="0" fontId="63" fillId="55" borderId="0" applyAlignment="1" pivotButton="0" quotePrefix="0" xfId="0">
      <alignment horizontal="general" vertical="center" wrapText="1"/>
    </xf>
    <xf numFmtId="0" fontId="57" fillId="0" borderId="0" applyAlignment="1" pivotButton="0" quotePrefix="0" xfId="0">
      <alignment horizontal="general" vertical="bottom" wrapText="1"/>
    </xf>
    <xf numFmtId="0" fontId="57" fillId="0" borderId="0" applyAlignment="1" pivotButton="0" quotePrefix="0" xfId="0">
      <alignment horizontal="general" vertical="top" wrapText="1"/>
    </xf>
    <xf numFmtId="0" fontId="57" fillId="50" borderId="0" applyAlignment="1" pivotButton="0" quotePrefix="0" xfId="0">
      <alignment horizontal="general" vertical="top" wrapText="1"/>
    </xf>
    <xf numFmtId="0" fontId="64" fillId="50" borderId="0" applyAlignment="1" pivotButton="0" quotePrefix="0" xfId="0">
      <alignment horizontal="general" vertical="top" wrapText="1"/>
    </xf>
    <xf numFmtId="0" fontId="57" fillId="53" borderId="0" applyAlignment="1" pivotButton="0" quotePrefix="0" xfId="0">
      <alignment horizontal="general" vertical="top" wrapText="1"/>
    </xf>
    <xf numFmtId="0" fontId="56" fillId="53" borderId="0" applyAlignment="1" pivotButton="0" quotePrefix="0" xfId="0">
      <alignment horizontal="general" vertical="top" wrapText="1"/>
    </xf>
    <xf numFmtId="0" fontId="56" fillId="53" borderId="0" applyAlignment="1" pivotButton="0" quotePrefix="0" xfId="0">
      <alignment horizontal="general" vertical="top" wrapText="1"/>
    </xf>
    <xf numFmtId="0" fontId="56" fillId="53" borderId="0" applyAlignment="1" pivotButton="0" quotePrefix="0" xfId="0">
      <alignment horizontal="center" vertical="top" wrapText="1"/>
    </xf>
    <xf numFmtId="0" fontId="57" fillId="54" borderId="0" applyAlignment="1" pivotButton="0" quotePrefix="0" xfId="0">
      <alignment horizontal="general" vertical="top" wrapText="1"/>
    </xf>
    <xf numFmtId="0" fontId="65" fillId="54" borderId="0" applyAlignment="1" pivotButton="0" quotePrefix="0" xfId="0">
      <alignment horizontal="general" vertical="top" wrapText="1"/>
    </xf>
    <xf numFmtId="0" fontId="61" fillId="51" borderId="0" applyAlignment="1" pivotButton="0" quotePrefix="0" xfId="0">
      <alignment horizontal="general" vertical="bottom"/>
    </xf>
    <xf numFmtId="0" fontId="61" fillId="51" borderId="0" applyAlignment="1" pivotButton="0" quotePrefix="0" xfId="0">
      <alignment horizontal="general" vertical="bottom" wrapText="1"/>
    </xf>
    <xf numFmtId="0" fontId="61" fillId="51" borderId="0" applyAlignment="1" pivotButton="0" quotePrefix="0" xfId="0">
      <alignment horizontal="general" vertical="center" wrapText="1"/>
    </xf>
    <xf numFmtId="0" fontId="55" fillId="53" borderId="0" applyAlignment="1" pivotButton="0" quotePrefix="0" xfId="0">
      <alignment horizontal="general" vertical="bottom"/>
    </xf>
    <xf numFmtId="0" fontId="55" fillId="53" borderId="0" applyAlignment="1" pivotButton="0" quotePrefix="0" xfId="0">
      <alignment horizontal="general" vertical="center"/>
    </xf>
    <xf numFmtId="0" fontId="53" fillId="39" borderId="0" applyAlignment="1" pivotButton="0" quotePrefix="0" xfId="0">
      <alignment horizontal="general" vertical="bottom"/>
    </xf>
    <xf numFmtId="0" fontId="53" fillId="39" borderId="0" applyAlignment="1" pivotButton="0" quotePrefix="0" xfId="0">
      <alignment horizontal="general" vertical="center"/>
    </xf>
    <xf numFmtId="0" fontId="54" fillId="49" borderId="0" applyAlignment="1" pivotButton="0" quotePrefix="0" xfId="0">
      <alignment horizontal="general" vertical="bottom"/>
    </xf>
    <xf numFmtId="0" fontId="54" fillId="49" borderId="0" applyAlignment="1" pivotButton="0" quotePrefix="0" xfId="0">
      <alignment horizontal="general" vertical="bottom" wrapText="1"/>
    </xf>
    <xf numFmtId="0" fontId="54" fillId="49" borderId="0" applyAlignment="1" pivotButton="0" quotePrefix="0" xfId="0">
      <alignment horizontal="general" vertical="center" wrapText="1"/>
    </xf>
    <xf numFmtId="0" fontId="58" fillId="6" borderId="0" applyAlignment="1" pivotButton="0" quotePrefix="0" xfId="0">
      <alignment horizontal="general" vertical="bottom"/>
    </xf>
    <xf numFmtId="0" fontId="58" fillId="6" borderId="0" applyAlignment="1" pivotButton="0" quotePrefix="0" xfId="0">
      <alignment horizontal="general" vertical="bottom"/>
    </xf>
    <xf numFmtId="0" fontId="58" fillId="6" borderId="0" applyAlignment="1" pivotButton="0" quotePrefix="0" xfId="0">
      <alignment horizontal="general" vertical="bottom" wrapText="1"/>
    </xf>
    <xf numFmtId="0" fontId="58" fillId="6" borderId="0" applyAlignment="1" pivotButton="0" quotePrefix="0" xfId="0">
      <alignment horizontal="general" vertical="center" wrapText="1"/>
    </xf>
    <xf numFmtId="0" fontId="0" fillId="32" borderId="0" applyAlignment="1" pivotButton="0" quotePrefix="0" xfId="0">
      <alignment horizontal="general" vertical="bottom"/>
    </xf>
    <xf numFmtId="0" fontId="55" fillId="32" borderId="0" applyAlignment="1" pivotButton="0" quotePrefix="0" xfId="0">
      <alignment horizontal="general" vertical="bottom"/>
    </xf>
    <xf numFmtId="0" fontId="55" fillId="32" borderId="0" applyAlignment="1" pivotButton="0" quotePrefix="0" xfId="0">
      <alignment horizontal="general" vertical="center"/>
    </xf>
    <xf numFmtId="0" fontId="60" fillId="21" borderId="0" applyAlignment="1" pivotButton="0" quotePrefix="0" xfId="0">
      <alignment horizontal="general" vertical="bottom"/>
    </xf>
    <xf numFmtId="0" fontId="60" fillId="21" borderId="0" applyAlignment="1" pivotButton="0" quotePrefix="0" xfId="0">
      <alignment horizontal="general" vertical="bottom"/>
    </xf>
    <xf numFmtId="0" fontId="60" fillId="21" borderId="0" applyAlignment="1" pivotButton="0" quotePrefix="0" xfId="0">
      <alignment horizontal="general" vertical="bottom" wrapText="1"/>
    </xf>
    <xf numFmtId="0" fontId="60" fillId="21" borderId="0" applyAlignment="1" pivotButton="0" quotePrefix="0" xfId="0">
      <alignment horizontal="general" vertical="center" wrapText="1"/>
    </xf>
    <xf numFmtId="0" fontId="63" fillId="6" borderId="0" applyAlignment="1" pivotButton="0" quotePrefix="0" xfId="0">
      <alignment horizontal="general" vertical="bottom"/>
    </xf>
    <xf numFmtId="0" fontId="63" fillId="6" borderId="0" applyAlignment="1" pivotButton="0" quotePrefix="0" xfId="0">
      <alignment horizontal="general" vertical="bottom"/>
    </xf>
    <xf numFmtId="0" fontId="60" fillId="21" borderId="0" applyAlignment="1" pivotButton="0" quotePrefix="0" xfId="0">
      <alignment horizontal="general" vertical="bottom" wrapText="1"/>
    </xf>
    <xf numFmtId="0" fontId="60" fillId="21" borderId="0" applyAlignment="1" pivotButton="0" quotePrefix="0" xfId="0">
      <alignment horizontal="general" vertical="center" wrapText="1"/>
    </xf>
    <xf numFmtId="0" fontId="59" fillId="6" borderId="0" applyAlignment="1" pivotButton="0" quotePrefix="0" xfId="0">
      <alignment horizontal="general" vertical="center" wrapText="1"/>
    </xf>
    <xf numFmtId="0" fontId="63" fillId="6" borderId="0" applyAlignment="1" pivotButton="0" quotePrefix="0" xfId="0">
      <alignment horizontal="general" vertical="center" wrapText="1"/>
    </xf>
    <xf numFmtId="0" fontId="57" fillId="39" borderId="0" applyAlignment="1" pivotButton="0" quotePrefix="0" xfId="0">
      <alignment horizontal="general" vertical="top" wrapText="1"/>
    </xf>
    <xf numFmtId="0" fontId="64" fillId="39" borderId="0" applyAlignment="1" pivotButton="0" quotePrefix="0" xfId="0">
      <alignment horizontal="general" vertical="top" wrapText="1"/>
    </xf>
    <xf numFmtId="0" fontId="57" fillId="6" borderId="0" applyAlignment="1" pivotButton="0" quotePrefix="0" xfId="0">
      <alignment horizontal="general" vertical="top" wrapText="1"/>
    </xf>
    <xf numFmtId="0" fontId="65" fillId="6" borderId="0" applyAlignment="1" pivotButton="0" quotePrefix="0" xfId="0">
      <alignment horizontal="general" vertical="top" wrapText="1"/>
    </xf>
    <xf numFmtId="0" fontId="61" fillId="49" borderId="0" applyAlignment="1" pivotButton="0" quotePrefix="0" xfId="0">
      <alignment horizontal="general" vertical="bottom"/>
    </xf>
    <xf numFmtId="0" fontId="61" fillId="49" borderId="0" applyAlignment="1" pivotButton="0" quotePrefix="0" xfId="0">
      <alignment horizontal="general" vertical="bottom" wrapText="1"/>
    </xf>
    <xf numFmtId="0" fontId="61" fillId="49" borderId="0" applyAlignment="1" pivotButton="0" quotePrefix="0" xfId="0">
      <alignment horizontal="general" vertical="center" wrapText="1"/>
    </xf>
    <xf numFmtId="0" fontId="0" fillId="60" borderId="0" applyAlignment="1" pivotButton="0" quotePrefix="0" xfId="0">
      <alignment horizontal="general" vertical="bottom"/>
    </xf>
    <xf numFmtId="0" fontId="30" fillId="60" borderId="0" applyAlignment="1" pivotButton="0" quotePrefix="0" xfId="0">
      <alignment horizontal="general" vertical="bottom"/>
    </xf>
    <xf numFmtId="0" fontId="30" fillId="60" borderId="0" applyAlignment="1" pivotButton="0" quotePrefix="0" xfId="0">
      <alignment horizontal="general" vertical="center"/>
    </xf>
    <xf numFmtId="0" fontId="0" fillId="61" borderId="0" applyAlignment="1" pivotButton="0" quotePrefix="0" xfId="0">
      <alignment horizontal="general" vertical="bottom"/>
    </xf>
    <xf numFmtId="0" fontId="66" fillId="61" borderId="0" applyAlignment="1" pivotButton="0" quotePrefix="0" xfId="0">
      <alignment horizontal="general" vertical="bottom"/>
    </xf>
    <xf numFmtId="0" fontId="66" fillId="61" borderId="0" applyAlignment="1" pivotButton="0" quotePrefix="0" xfId="0">
      <alignment horizontal="general" vertical="bottom" wrapText="1"/>
    </xf>
    <xf numFmtId="0" fontId="0" fillId="62" borderId="0" applyAlignment="1" pivotButton="0" quotePrefix="0" xfId="0">
      <alignment horizontal="general" vertical="bottom"/>
    </xf>
    <xf numFmtId="0" fontId="26" fillId="62" borderId="0" applyAlignment="1" pivotButton="0" quotePrefix="0" xfId="0">
      <alignment horizontal="general" vertical="bottom"/>
    </xf>
    <xf numFmtId="0" fontId="26" fillId="62" borderId="0" applyAlignment="1" pivotButton="0" quotePrefix="0" xfId="0">
      <alignment horizontal="general" vertical="bottom" wrapText="1"/>
    </xf>
    <xf numFmtId="0" fontId="30" fillId="60" borderId="0" applyAlignment="1" pivotButton="0" quotePrefix="0" xfId="0">
      <alignment horizontal="general" vertical="center" wrapText="1"/>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63" borderId="0" applyAlignment="1" pivotButton="0" quotePrefix="0" xfId="0">
      <alignment horizontal="general" vertical="bottom"/>
    </xf>
    <xf numFmtId="0" fontId="67" fillId="63" borderId="0" applyAlignment="1" pivotButton="0" quotePrefix="0" xfId="0">
      <alignment horizontal="general" vertical="bottom"/>
    </xf>
    <xf numFmtId="0" fontId="67" fillId="63" borderId="0" applyAlignment="1" pivotButton="0" quotePrefix="0" xfId="0">
      <alignment horizontal="general" vertical="center"/>
    </xf>
    <xf numFmtId="0" fontId="0" fillId="64" borderId="0" applyAlignment="1" pivotButton="0" quotePrefix="0" xfId="0">
      <alignment horizontal="general" vertical="bottom"/>
    </xf>
    <xf numFmtId="0" fontId="68" fillId="64" borderId="0" applyAlignment="1" pivotButton="0" quotePrefix="0" xfId="0">
      <alignment horizontal="general" vertical="bottom"/>
    </xf>
    <xf numFmtId="0" fontId="68" fillId="64" borderId="0" applyAlignment="1" pivotButton="0" quotePrefix="0" xfId="0">
      <alignment horizontal="general" vertical="bottom" wrapText="1"/>
    </xf>
    <xf numFmtId="0" fontId="68" fillId="64" borderId="0" applyAlignment="1" pivotButton="0" quotePrefix="0" xfId="0">
      <alignment horizontal="general" vertical="center" wrapText="1"/>
    </xf>
    <xf numFmtId="0" fontId="26" fillId="60" borderId="0" applyAlignment="1" pivotButton="0" quotePrefix="0" xfId="0">
      <alignment horizontal="general" vertical="bottom"/>
    </xf>
    <xf numFmtId="0" fontId="0" fillId="0" borderId="0" applyAlignment="1" pivotButton="0" quotePrefix="0" xfId="0">
      <alignment horizontal="general" vertical="center"/>
    </xf>
    <xf numFmtId="0" fontId="0" fillId="65" borderId="0" applyAlignment="1" pivotButton="0" quotePrefix="0" xfId="0">
      <alignment horizontal="general" vertical="bottom"/>
    </xf>
    <xf numFmtId="0" fontId="67" fillId="65" borderId="0" applyAlignment="1" pivotButton="0" quotePrefix="0" xfId="0">
      <alignment horizontal="general" vertical="bottom"/>
    </xf>
    <xf numFmtId="0" fontId="67" fillId="65" borderId="0" applyAlignment="1" pivotButton="0" quotePrefix="0" xfId="0">
      <alignment horizontal="general" vertical="center"/>
    </xf>
    <xf numFmtId="0" fontId="0" fillId="66" borderId="0" applyAlignment="1" pivotButton="0" quotePrefix="0" xfId="0">
      <alignment horizontal="general" vertical="bottom"/>
    </xf>
    <xf numFmtId="0" fontId="67" fillId="66" borderId="0" applyAlignment="1" pivotButton="0" quotePrefix="0" xfId="0">
      <alignment horizontal="general" vertical="bottom"/>
    </xf>
    <xf numFmtId="0" fontId="67" fillId="66" borderId="0" applyAlignment="1" pivotButton="0" quotePrefix="0" xfId="0">
      <alignment horizontal="general" vertical="center"/>
    </xf>
    <xf numFmtId="0" fontId="0" fillId="67" borderId="0" applyAlignment="1" pivotButton="0" quotePrefix="0" xfId="0">
      <alignment horizontal="general" vertical="bottom"/>
    </xf>
    <xf numFmtId="0" fontId="67" fillId="67" borderId="0" applyAlignment="1" pivotButton="0" quotePrefix="0" xfId="0">
      <alignment horizontal="general" vertical="bottom"/>
    </xf>
    <xf numFmtId="0" fontId="67" fillId="67" borderId="0" applyAlignment="1" pivotButton="0" quotePrefix="0" xfId="0">
      <alignment horizontal="general" vertical="center"/>
    </xf>
    <xf numFmtId="0" fontId="0" fillId="68" borderId="0" applyAlignment="1" pivotButton="0" quotePrefix="0" xfId="0">
      <alignment horizontal="general" vertical="bottom"/>
    </xf>
    <xf numFmtId="0" fontId="67" fillId="68" borderId="0" applyAlignment="1" pivotButton="0" quotePrefix="0" xfId="0">
      <alignment horizontal="general" vertical="bottom"/>
    </xf>
    <xf numFmtId="0" fontId="67" fillId="68" borderId="0" applyAlignment="1" pivotButton="0" quotePrefix="0" xfId="0">
      <alignment horizontal="general" vertical="center"/>
    </xf>
    <xf numFmtId="0" fontId="60" fillId="61" borderId="0" applyAlignment="1" pivotButton="0" quotePrefix="0" xfId="0">
      <alignment horizontal="general" vertical="center" wrapText="1"/>
    </xf>
    <xf numFmtId="0" fontId="69" fillId="61" borderId="0" applyAlignment="1" pivotButton="0" quotePrefix="0" xfId="0">
      <alignment horizontal="general" vertical="center" wrapText="1"/>
    </xf>
    <xf numFmtId="181" fontId="62" fillId="58" borderId="0" applyAlignment="1" pivotButton="0" quotePrefix="0" xfId="0">
      <alignment horizontal="center" vertical="center"/>
    </xf>
    <xf numFmtId="181" fontId="57" fillId="0" borderId="0" applyAlignment="1" pivotButton="0" quotePrefix="0" xfId="0">
      <alignment horizontal="general" vertical="top" wrapText="1"/>
    </xf>
    <xf numFmtId="181" fontId="0" fillId="0" borderId="0" applyAlignment="1" pivotButton="0" quotePrefix="0" xfId="0">
      <alignment horizontal="general" vertical="bottom"/>
    </xf>
    <xf numFmtId="180" fontId="57" fillId="0" borderId="0" applyAlignment="1" pivotButton="0" quotePrefix="0" xfId="0">
      <alignment horizontal="general" vertical="top" wrapText="1"/>
    </xf>
    <xf numFmtId="0" fontId="0" fillId="0" borderId="16" pivotButton="0" quotePrefix="0" xfId="0"/>
    <xf numFmtId="182" fontId="57" fillId="0" borderId="0" applyAlignment="1" pivotButton="0" quotePrefix="0" xfId="0">
      <alignment horizontal="general" vertical="top" wrapText="1"/>
    </xf>
    <xf numFmtId="0" fontId="1" fillId="10" borderId="0" pivotButton="0" quotePrefix="0" xfId="0"/>
    <xf numFmtId="0" fontId="2" fillId="3" borderId="0" applyAlignment="1" pivotButton="0" quotePrefix="0" xfId="0">
      <alignment horizontal="general" vertical="bottom"/>
    </xf>
    <xf numFmtId="0" fontId="3" fillId="10" borderId="0" pivotButton="0" quotePrefix="0" xfId="0"/>
    <xf numFmtId="0" fontId="3" fillId="10" borderId="6" applyAlignment="1" pivotButton="0" quotePrefix="0" xfId="0">
      <alignment horizontal="center" vertical="center" wrapText="1"/>
    </xf>
    <xf numFmtId="0" fontId="3" fillId="10" borderId="10" applyAlignment="1" pivotButton="0" quotePrefix="0" xfId="0">
      <alignment horizontal="center" vertical="center" wrapText="1"/>
    </xf>
    <xf numFmtId="0" fontId="3" fillId="10" borderId="4" applyAlignment="1" pivotButton="0" quotePrefix="0" xfId="0">
      <alignment horizontal="center" vertical="center" wrapText="1"/>
    </xf>
    <xf numFmtId="0" fontId="5" fillId="0" borderId="1" applyAlignment="1" pivotButton="0" quotePrefix="0" xfId="0">
      <alignment horizontal="general" vertical="bottom" wrapText="1"/>
    </xf>
    <xf numFmtId="165" fontId="5" fillId="0" borderId="2" applyAlignment="1" pivotButton="0" quotePrefix="0" xfId="0">
      <alignment horizontal="general" vertical="bottom" wrapText="1"/>
    </xf>
    <xf numFmtId="0" fontId="5" fillId="0" borderId="3" applyAlignment="1" pivotButton="0" quotePrefix="0" xfId="0">
      <alignment horizontal="general" vertical="bottom" wrapText="1"/>
    </xf>
    <xf numFmtId="0" fontId="5" fillId="0" borderId="4" applyAlignment="1" pivotButton="0" quotePrefix="0" xfId="0">
      <alignment horizontal="general" vertical="bottom" wrapText="1"/>
    </xf>
    <xf numFmtId="165" fontId="5" fillId="0" borderId="5" applyAlignment="1" pivotButton="0" quotePrefix="0" xfId="0">
      <alignment horizontal="general" vertical="bottom" wrapText="1"/>
    </xf>
    <xf numFmtId="0" fontId="5" fillId="0" borderId="6" applyAlignment="1" pivotButton="0" quotePrefix="0" xfId="0">
      <alignment horizontal="general" vertical="bottom" wrapText="1"/>
    </xf>
    <xf numFmtId="167" fontId="5" fillId="0" borderId="5" applyAlignment="1" pivotButton="0" quotePrefix="0" xfId="0">
      <alignment horizontal="general" vertical="bottom" wrapText="1"/>
    </xf>
    <xf numFmtId="0" fontId="5" fillId="0" borderId="5" applyAlignment="1" pivotButton="0" quotePrefix="0" xfId="0">
      <alignment horizontal="general" vertical="bottom" wrapText="1"/>
    </xf>
    <xf numFmtId="0" fontId="5" fillId="0" borderId="7" applyAlignment="1" pivotButton="0" quotePrefix="0" xfId="0">
      <alignment horizontal="general" vertical="bottom" wrapText="1"/>
    </xf>
    <xf numFmtId="0" fontId="5" fillId="0" borderId="8" applyAlignment="1" pivotButton="0" quotePrefix="0" xfId="0">
      <alignment horizontal="general" vertical="bottom" wrapText="1"/>
    </xf>
    <xf numFmtId="0" fontId="5" fillId="0" borderId="9" applyAlignment="1" pivotButton="0" quotePrefix="0" xfId="0">
      <alignment horizontal="general" vertical="bottom" wrapText="1"/>
    </xf>
    <xf numFmtId="0" fontId="5" fillId="0" borderId="2" applyAlignment="1" pivotButton="0" quotePrefix="0" xfId="0">
      <alignment horizontal="general" vertical="bottom" wrapText="1"/>
    </xf>
    <xf numFmtId="0" fontId="6" fillId="9" borderId="2" applyAlignment="1" pivotButton="0" quotePrefix="0" xfId="0">
      <alignment horizontal="general" vertical="bottom" wrapText="1"/>
    </xf>
    <xf numFmtId="0" fontId="6" fillId="9" borderId="5" applyAlignment="1" pivotButton="0" quotePrefix="0" xfId="0">
      <alignment horizontal="general" vertical="bottom" wrapText="1"/>
    </xf>
    <xf numFmtId="0" fontId="6" fillId="9" borderId="8" applyAlignment="1" pivotButton="0" quotePrefix="0" xfId="0">
      <alignment horizontal="general" vertical="bottom" wrapText="1"/>
    </xf>
    <xf numFmtId="0" fontId="71" fillId="70" borderId="0" pivotButton="0" quotePrefix="0" xfId="0"/>
    <xf numFmtId="0" fontId="0" fillId="0" borderId="0" applyAlignment="1" pivotButton="0" quotePrefix="0" xfId="0">
      <alignment wrapText="1"/>
    </xf>
    <xf numFmtId="0" fontId="71" fillId="70" borderId="0" applyAlignment="1" pivotButton="0" quotePrefix="0" xfId="0">
      <alignment horizontal="general" vertical="center"/>
    </xf>
    <xf numFmtId="0" fontId="26" fillId="60" borderId="0" applyAlignment="1" pivotButton="0" quotePrefix="0" xfId="0">
      <alignment wrapText="1"/>
    </xf>
    <xf numFmtId="0" fontId="70" fillId="69" borderId="0" pivotButton="0" quotePrefix="0" xfId="0"/>
    <xf numFmtId="0" fontId="70" fillId="71" borderId="0" applyAlignment="1" pivotButton="0" quotePrefix="0" xfId="0">
      <alignment horizontal="general" vertical="top" wrapText="1"/>
    </xf>
    <xf numFmtId="0" fontId="70" fillId="71" borderId="0" applyAlignment="1" pivotButton="0" quotePrefix="0" xfId="0">
      <alignment horizontal="general" vertical="bottom" wrapText="1"/>
    </xf>
    <xf numFmtId="0" fontId="70" fillId="72" borderId="0" applyAlignment="1" pivotButton="0" quotePrefix="0" xfId="0">
      <alignment horizontal="general" vertical="bottom" wrapText="1"/>
    </xf>
    <xf numFmtId="0" fontId="70" fillId="72" borderId="0" applyAlignment="1" pivotButton="0" quotePrefix="0" xfId="0">
      <alignment horizontal="general" vertical="center" wrapText="1"/>
    </xf>
    <xf numFmtId="0" fontId="73" fillId="0" borderId="0" pivotButton="0" quotePrefix="0" xfId="0"/>
    <xf numFmtId="0" fontId="74" fillId="0" borderId="0" applyAlignment="1" pivotButton="0" quotePrefix="0" xfId="0">
      <alignment wrapText="1"/>
    </xf>
    <xf numFmtId="0" fontId="75" fillId="74" borderId="0" pivotButton="0" quotePrefix="0" xfId="0"/>
    <xf numFmtId="0" fontId="0" fillId="74" borderId="0" pivotButton="0" quotePrefix="0" xfId="0"/>
    <xf numFmtId="0" fontId="76" fillId="0" borderId="27" pivotButton="0" quotePrefix="0" xfId="0"/>
    <xf numFmtId="0" fontId="77" fillId="0" borderId="27" pivotButton="0" quotePrefix="0" xfId="0"/>
    <xf numFmtId="0" fontId="77" fillId="73" borderId="27" pivotButton="0" quotePrefix="0" xfId="0"/>
    <xf numFmtId="181" fontId="77" fillId="73" borderId="27" pivotButton="0" quotePrefix="0" xfId="0"/>
    <xf numFmtId="9" fontId="77" fillId="73" borderId="27" pivotButton="0" quotePrefix="0" xfId="0"/>
    <xf numFmtId="0" fontId="72" fillId="0" borderId="0" applyAlignment="1" pivotButton="0" quotePrefix="0" xfId="0">
      <alignment horizontal="general" vertical="bottom"/>
    </xf>
    <xf numFmtId="0" fontId="0" fillId="73" borderId="0" pivotButton="0" quotePrefix="0" xfId="0"/>
  </cellXfs>
  <cellStyles count="6">
    <cellStyle name="Normal" xfId="0"/>
    <cellStyle name="Comma" xfId="1"/>
    <cellStyle name="Comma [0]" xfId="2"/>
    <cellStyle name="Currency" xfId="3"/>
    <cellStyle name="Currency [0]" xfId="4"/>
    <cellStyle name="Percent" xfId="5"/>
  </cellStyles>
  <dxfs count="10">
    <dxf>
      <font>
        <b val="1"/>
        <color rgb="FFC00000"/>
      </font>
      <fill>
        <patternFill>
          <bgColor rgb="FFF4CCCC"/>
        </patternFill>
      </fill>
    </dxf>
    <dxf>
      <font>
        <b val="1"/>
        <color rgb="FF008000"/>
      </font>
      <fill>
        <patternFill>
          <bgColor rgb="FFE2F0D9"/>
        </patternFill>
      </fill>
    </dxf>
    <dxf>
      <font>
        <b val="1"/>
        <color rgb="FFC00000"/>
      </font>
      <fill>
        <patternFill>
          <bgColor rgb="FFF4CCCC"/>
        </patternFill>
      </fill>
    </dxf>
    <dxf>
      <fill>
        <patternFill>
          <bgColor rgb="FFE7E6E6"/>
        </patternFill>
      </fill>
    </dxf>
    <dxf>
      <fill>
        <patternFill>
          <bgColor rgb="FFFFF2CC"/>
        </patternFill>
      </fill>
    </dxf>
    <dxf>
      <fill>
        <patternFill>
          <bgColor rgb="FFD9EAD3"/>
        </patternFill>
      </fill>
    </dxf>
    <dxf>
      <fill>
        <patternFill>
          <bgColor rgb="FFFCE5CD"/>
        </patternFill>
      </fill>
    </dxf>
    <dxf>
      <fill>
        <patternFill>
          <bgColor rgb="FFD9EAD3"/>
        </patternFill>
      </fill>
    </dxf>
    <dxf>
      <fill>
        <patternFill>
          <bgColor rgb="FFF4CCCC"/>
        </patternFill>
      </fill>
    </dxf>
    <dxf>
      <fill>
        <patternFill>
          <bgColor rgb="FFFFF2CC"/>
        </patternFill>
      </fill>
    </dxf>
  </dxfs>
  <colors>
    <indexedColors>
      <rgbColor rgb="FF000000"/>
      <rgbColor rgb="FFFFFFFF"/>
      <rgbColor rgb="FFC00000"/>
      <rgbColor rgb="FF00FF00"/>
      <rgbColor rgb="FF0000FF"/>
      <rgbColor rgb="FFE7E6E6"/>
      <rgbColor rgb="FFFF00FF"/>
      <rgbColor rgb="FF00FFFF"/>
      <rgbColor rgb="FF800000"/>
      <rgbColor rgb="FF008000"/>
      <rgbColor rgb="FF125573"/>
      <rgbColor rgb="FF548235"/>
      <rgbColor rgb="FF800080"/>
      <rgbColor rgb="FF1F7A8C"/>
      <rgbColor rgb="FFB3B3B3"/>
      <rgbColor rgb="FF889E89"/>
      <rgbColor rgb="FFD9EAD3"/>
      <rgbColor rgb="FF8E2682"/>
      <rgbColor rgb="FFFFF2CC"/>
      <rgbColor rgb="FFDDEFF2"/>
      <rgbColor rgb="FF196B24"/>
      <rgbColor rgb="FFCF642C"/>
      <rgbColor rgb="FF0563C1"/>
      <rgbColor rgb="FFBFD3D8"/>
      <rgbColor rgb="FF156082"/>
      <rgbColor rgb="FFFF00FF"/>
      <rgbColor rgb="FFE8F1F3"/>
      <rgbColor rgb="FF00FFFF"/>
      <rgbColor rgb="FF800080"/>
      <rgbColor rgb="FF800000"/>
      <rgbColor rgb="FF0F6B78"/>
      <rgbColor rgb="FF0000FF"/>
      <rgbColor rgb="FF0F9ED5"/>
      <rgbColor rgb="FFDDEBF7"/>
      <rgbColor rgb="FFE2F0D9"/>
      <rgbColor rgb="FFFCE4D6"/>
      <rgbColor rgb="FF87BADF"/>
      <rgbColor rgb="FFEEA18B"/>
      <rgbColor rgb="FFD9D9D9"/>
      <rgbColor rgb="FFF4CCCC"/>
      <rgbColor rgb="FF2F75B5"/>
      <rgbColor rgb="FF0D8CBD"/>
      <rgbColor rgb="FF99CC00"/>
      <rgbColor rgb="FFF7F9FA"/>
      <rgbColor rgb="FFC68900"/>
      <rgbColor rgb="FFE97132"/>
      <rgbColor rgb="FF666666"/>
      <rgbColor rgb="FF889AAA"/>
      <rgbColor rgb="FF17324D"/>
      <rgbColor rgb="FF459428"/>
      <rgbColor rgb="FF165F20"/>
      <rgbColor rgb="FF15505E"/>
      <rgbColor rgb="FFC65911"/>
      <rgbColor rgb="FFA02B93"/>
      <rgbColor rgb="FF7030A0"/>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styles" Target="styles.xml" Id="rId80" /><Relationship Type="http://schemas.openxmlformats.org/officeDocument/2006/relationships/theme" Target="theme/theme1.xml" Id="rId81" /></Relationships>
</file>

<file path=xl/charts/chart1.xml><?xml version="1.0" encoding="utf-8"?>
<chartSpace xmlns:a="http://schemas.openxmlformats.org/drawingml/2006/main" xmlns="http://schemas.openxmlformats.org/drawingml/2006/chart">
  <chart>
    <title>
      <tx>
        <rich>
          <a:bodyPr/>
          <a:lstStyle/>
          <a:p>
            <a:r>
              <a:t>Aggregate loss-exceedance curve</a:t>
            </a:r>
          </a:p>
        </rich>
      </tx>
    </title>
    <plotArea>
      <lineChart>
        <grouping val="standard"/>
        <varyColors val="0"/>
        <ser>
          <idx val="0"/>
          <order val="0"/>
          <tx>
            <v>AEP</v>
          </tx>
          <spPr>
            <a:ln>
              <a:prstDash val="solid"/>
            </a:ln>
          </spPr>
          <marker>
            <symbol val="none"/>
            <spPr>
              <a:ln>
                <a:prstDash val="solid"/>
              </a:ln>
            </spPr>
          </marker>
          <cat>
            <strRef>
              <f>'00 Dashboard'!$A$14:$A$24</f>
              <strCache>
                <ptCount val="0"/>
              </strCache>
            </strRef>
          </cat>
          <val>
            <numRef>
              <f>'00 Dashboard'!$B$14:$B$24</f>
              <numCache>
                <formatCode>$#,##0</formatCode>
                <ptCount val="0"/>
              </numCache>
            </numRef>
          </val>
        </ser>
        <ser>
          <idx val="1"/>
          <order val="1"/>
          <tx>
            <v>OEP</v>
          </tx>
          <spPr>
            <a:ln>
              <a:prstDash val="solid"/>
            </a:ln>
          </spPr>
          <marker>
            <symbol val="none"/>
            <spPr>
              <a:ln>
                <a:prstDash val="solid"/>
              </a:ln>
            </spPr>
          </marker>
          <cat>
            <strRef>
              <f>'00 Dashboard'!$A$14:$A$24</f>
              <strCache>
                <ptCount val="0"/>
              </strCache>
            </strRef>
          </cat>
          <val>
            <numRef>
              <f>'00 Dashboard'!$C$14:$C$24</f>
              <numCache>
                <formatCode>$#,##0</formatCode>
                <ptCount val="0"/>
              </numCache>
            </numRef>
          </val>
        </ser>
        <axId val="48650112"/>
        <axId val="48672768"/>
      </line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title>
      <tx>
        <rich>
          <a:bodyPr/>
          <a:lstStyle/>
          <a:p>
            <a:r>
              <a:t>AAL by threat actor</a:t>
            </a:r>
          </a:p>
        </rich>
      </tx>
    </title>
    <plotArea>
      <barChart>
        <barDir val="col"/>
        <grouping val="clustered"/>
        <varyColors val="0"/>
        <ser>
          <idx val="0"/>
          <order val="0"/>
          <tx>
            <v>AAL</v>
          </tx>
          <spPr>
            <a:ln>
              <a:prstDash val="solid"/>
            </a:ln>
          </spPr>
          <cat>
            <strRef>
              <f>'00 Dashboard'!$A$31:$A$34</f>
              <strCache>
                <ptCount val="0"/>
              </strCache>
            </strRef>
          </cat>
          <val>
            <numRef>
              <f>'00 Dashboard'!$B$31:$B$34</f>
              <numCache>
                <formatCode>$#,##0</formatCode>
                <ptCount val="0"/>
              </numCache>
            </numRef>
          </val>
        </ser>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w="9525">
      <a:solidFill>
        <a:srgbClr val="D9D9D9"/>
      </a:solidFill>
      <a:prstDash val="solid"/>
    </a:ln>
  </spPr>
</chartSpace>
</file>

<file path=xl/charts/chart3.xml><?xml version="1.0" encoding="utf-8"?>
<chartSpace xmlns:a="http://schemas.openxmlformats.org/drawingml/2006/main" xmlns="http://schemas.openxmlformats.org/drawingml/2006/chart">
  <chart>
    <title>
      <tx>
        <rich>
          <a:bodyPr/>
          <a:lstStyle/>
          <a:p>
            <a:r>
              <a:t>AAL by adverse scenario</a:t>
            </a:r>
          </a:p>
        </rich>
      </tx>
    </title>
    <plotArea>
      <barChart>
        <barDir val="col"/>
        <grouping val="clustered"/>
        <varyColors val="0"/>
        <ser>
          <idx val="0"/>
          <order val="0"/>
          <tx>
            <v>AAL</v>
          </tx>
          <spPr>
            <a:ln>
              <a:prstDash val="solid"/>
            </a:ln>
          </spPr>
          <cat>
            <strRef>
              <f>'00 Dashboard'!$I$31:$I$35</f>
              <strCache>
                <ptCount val="0"/>
              </strCache>
            </strRef>
          </cat>
          <val>
            <numRef>
              <f>'00 Dashboard'!$J$31:$J$35</f>
              <numCache>
                <formatCode>$#,##0</formatCode>
                <ptCount val="0"/>
              </numCache>
            </numRef>
          </val>
        </ser>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w="9525">
      <a:solidFill>
        <a:srgbClr val="D9D9D9"/>
      </a:solidFill>
      <a:prstDash val="solid"/>
    </a:ln>
  </spPr>
</chartSpace>
</file>

<file path=xl/charts/chart4.xml><?xml version="1.0" encoding="utf-8"?>
<chartSpace xmlns:a="http://schemas.openxmlformats.org/drawingml/2006/main" xmlns="http://schemas.openxmlformats.org/drawingml/2006/chart">
  <chart>
    <title>
      <tx>
        <rich>
          <a:bodyPr/>
          <a:lstStyle/>
          <a:p>
            <a:r>
              <a:t>Event loss decomposition</a:t>
            </a:r>
          </a:p>
        </rich>
      </tx>
    </title>
    <plotArea>
      <barChart>
        <barDir val="col"/>
        <grouping val="clustered"/>
        <varyColors val="0"/>
        <ser>
          <idx val="0"/>
          <order val="0"/>
          <tx>
            <v>P50</v>
          </tx>
          <spPr>
            <a:ln>
              <a:prstDash val="solid"/>
            </a:ln>
          </spPr>
          <cat>
            <strRef>
              <f>'00 Loss Analysis'!$A$16:$A$17</f>
              <strCache>
                <ptCount val="0"/>
              </strCache>
            </strRef>
          </cat>
          <val>
            <numRef>
              <f>'00 Loss Analysis'!$B$16:$B$17</f>
              <numCache>
                <formatCode>$#,##0</formatCode>
                <ptCount val="0"/>
              </numCache>
            </numRef>
          </val>
        </ser>
        <ser>
          <idx val="1"/>
          <order val="1"/>
          <tx>
            <v>P99</v>
          </tx>
          <spPr>
            <a:ln>
              <a:prstDash val="solid"/>
            </a:ln>
          </spPr>
          <cat>
            <strRef>
              <f>'00 Loss Analysis'!$A$16:$A$17</f>
              <strCache>
                <ptCount val="0"/>
              </strCache>
            </strRef>
          </cat>
          <val>
            <numRef>
              <f>'00 Loss Analysis'!$C$16:$C$17</f>
              <numCache>
                <formatCode>$#,##0</formatCode>
                <ptCount val="0"/>
              </numCache>
            </numRef>
          </val>
        </ser>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w="9525">
      <a:solidFill>
        <a:srgbClr val="D9D9D9"/>
      </a:solidFill>
      <a:prstDash val="solid"/>
    </a:ln>
  </spPr>
</chartSpace>
</file>

<file path=xl/charts/chart5.xml><?xml version="1.0" encoding="utf-8"?>
<chartSpace xmlns:a="http://schemas.openxmlformats.org/drawingml/2006/main" xmlns="http://schemas.openxmlformats.org/drawingml/2006/chart">
  <chart>
    <title>
      <tx>
        <rich>
          <a:bodyPr/>
          <a:lstStyle/>
          <a:p>
            <a:r>
              <a:t>AEP loss vs retention</a:t>
            </a:r>
          </a:p>
        </rich>
      </tx>
    </title>
    <plotArea>
      <lineChart>
        <grouping val="standard"/>
        <varyColors val="0"/>
        <ser>
          <idx val="0"/>
          <order val="0"/>
          <tx>
            <v>Exceedance probability</v>
          </tx>
          <spPr>
            <a:ln>
              <a:prstDash val="solid"/>
            </a:ln>
          </spPr>
          <marker>
            <symbol val="none"/>
            <spPr>
              <a:ln>
                <a:prstDash val="solid"/>
              </a:ln>
            </spPr>
          </marker>
          <cat>
            <strRef>
              <f>'00 Risk Transfer'!$A$17:$A$26</f>
              <strCache>
                <ptCount val="0"/>
              </strCache>
            </strRef>
          </cat>
          <val>
            <numRef>
              <f>'00 Risk Transfer'!$B$17:$B$26</f>
              <numCache>
                <formatCode>0.0%</formatCode>
                <ptCount val="0"/>
              </numCache>
            </numRef>
          </val>
        </ser>
        <ser>
          <idx val="1"/>
          <order val="1"/>
          <tx>
            <v>AEP loss</v>
          </tx>
          <spPr>
            <a:ln>
              <a:prstDash val="solid"/>
            </a:ln>
          </spPr>
          <marker>
            <symbol val="none"/>
            <spPr>
              <a:ln>
                <a:prstDash val="solid"/>
              </a:ln>
            </spPr>
          </marker>
          <cat>
            <strRef>
              <f>'00 Risk Transfer'!$A$17:$A$26</f>
              <strCache>
                <ptCount val="0"/>
              </strCache>
            </strRef>
          </cat>
          <val>
            <numRef>
              <f>'00 Risk Transfer'!$C$17:$C$26</f>
              <numCache>
                <formatCode>$#,##0</formatCode>
                <ptCount val="0"/>
              </numCache>
            </numRef>
          </val>
        </ser>
        <ser>
          <idx val="2"/>
          <order val="2"/>
          <tx>
            <v>Loss above retention</v>
          </tx>
          <spPr>
            <a:ln>
              <a:prstDash val="solid"/>
            </a:ln>
          </spPr>
          <marker>
            <symbol val="none"/>
            <spPr>
              <a:ln>
                <a:prstDash val="solid"/>
              </a:ln>
            </spPr>
          </marker>
          <cat>
            <strRef>
              <f>'00 Risk Transfer'!$A$17:$A$26</f>
              <strCache>
                <ptCount val="0"/>
              </strCache>
            </strRef>
          </cat>
          <val>
            <numRef>
              <f>'00 Risk Transfer'!$D$17:$D$26</f>
              <numCache>
                <formatCode>$#,##0</formatCode>
                <ptCount val="0"/>
              </numCache>
            </numRef>
          </val>
        </ser>
        <axId val="48650112"/>
        <axId val="48672768"/>
      </line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w="9525">
      <a:solidFill>
        <a:srgbClr val="D9D9D9"/>
      </a:solidFill>
      <a:prstDash val="solid"/>
    </a:ln>
  </spPr>
</chartSpace>
</file>

<file path=xl/charts/chart6.xml><?xml version="1.0" encoding="utf-8"?>
<chartSpace xmlns:a="http://schemas.openxmlformats.org/drawingml/2006/main" xmlns="http://schemas.openxmlformats.org/drawingml/2006/chart">
  <chart>
    <title>
      <tx>
        <rich>
          <a:bodyPr/>
          <a:lstStyle/>
          <a:p>
            <a:r>
              <a:t>AAL by Threat Actor</a:t>
            </a:r>
          </a:p>
        </rich>
      </tx>
    </title>
    <plotArea>
      <barChart>
        <barDir val="col"/>
        <grouping val="clustered"/>
        <varyColors val="0"/>
        <ser>
          <idx val="0"/>
          <order val="0"/>
          <tx>
            <v>AAL</v>
          </tx>
          <spPr>
            <a:ln>
              <a:prstDash val="solid"/>
            </a:ln>
          </spPr>
          <cat>
            <strRef>
              <f>'25 Risk Charts'!$P$16:$P$18</f>
              <strCache>
                <ptCount val="0"/>
              </strCache>
            </strRef>
          </cat>
          <val>
            <numRef>
              <f>'25 Risk Charts'!$Q$16:$Q$18</f>
              <numCache>
                <formatCode>General</formatCode>
                <ptCount val="0"/>
              </numCache>
            </numRef>
          </val>
        </ser>
        <gapWidth val="150"/>
        <axId val="48650112"/>
        <axId val="48672768"/>
      </barChart>
      <catAx>
        <axId val="48650112"/>
        <scaling>
          <orientation val="minMax"/>
        </scaling>
        <delete val="0"/>
        <axPos val="b"/>
        <majorGridlines>
          <spPr>
            <a:ln w="9525">
              <a:solidFill>
                <a:srgbClr val="CCCCCC"/>
              </a:solidFill>
              <a:prstDash val="dash"/>
            </a:ln>
          </spPr>
        </majorGridlines>
        <numFmt formatCode="&quot;$&quot;0.0,,&quot;M&quot;" sourceLinked="0"/>
        <majorTickMark val="none"/>
        <minorTickMark val="none"/>
        <tickLblPos val="nextTo"/>
        <txPr>
          <a:bodyPr anchorCtr="1"/>
          <a:lstStyle/>
          <a:p>
            <a:pPr>
              <a:defRPr sz="675"/>
            </a:pPr>
            <a:r>
              <a:t>None</a:t>
            </a:r>
          </a:p>
        </txPr>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quot;$&quot;0.0,,&quot;M&quot;" sourceLinked="0"/>
        <majorTickMark val="none"/>
        <minorTickMark val="none"/>
        <txPr>
          <a:bodyPr anchorCtr="1"/>
          <a:lstStyle/>
          <a:p>
            <a:pPr>
              <a:defRPr sz="750"/>
            </a:pPr>
            <a:r>
              <a:t>None</a:t>
            </a:r>
          </a:p>
        </txPr>
        <crossAx val="48650112"/>
        <crossBetween val="between"/>
        <majorUnit val="100000"/>
      </valAx>
    </plotArea>
    <plotVisOnly val="1"/>
    <dispBlanksAs val="gap"/>
  </chart>
  <spPr>
    <a:ln w="9525">
      <a:solidFill>
        <a:srgbClr val="D9D9D9"/>
      </a:solidFill>
      <a:prstDash val="solid"/>
    </a:ln>
  </spPr>
</chartSpace>
</file>

<file path=xl/charts/chart7.xml><?xml version="1.0" encoding="utf-8"?>
<chartSpace xmlns:a="http://schemas.openxmlformats.org/drawingml/2006/main" xmlns="http://schemas.openxmlformats.org/drawingml/2006/chart">
  <chart>
    <title>
      <tx>
        <rich>
          <a:bodyPr/>
          <a:lstStyle/>
          <a:p>
            <a:r>
              <a:t>AAL by Adverse Scenario</a:t>
            </a:r>
          </a:p>
        </rich>
      </tx>
    </title>
    <plotArea>
      <barChart>
        <barDir val="col"/>
        <grouping val="clustered"/>
        <varyColors val="0"/>
        <ser>
          <idx val="0"/>
          <order val="0"/>
          <tx>
            <v>AAL</v>
          </tx>
          <spPr>
            <a:ln>
              <a:prstDash val="solid"/>
            </a:ln>
          </spPr>
          <cat>
            <strRef>
              <f>'25 Risk Charts'!$S$16:$S$20</f>
              <strCache>
                <ptCount val="0"/>
              </strCache>
            </strRef>
          </cat>
          <val>
            <numRef>
              <f>'25 Risk Charts'!$T$16:$T$20</f>
              <numCache>
                <formatCode>General</formatCode>
                <ptCount val="0"/>
              </numCache>
            </numRef>
          </val>
        </ser>
        <gapWidth val="150"/>
        <axId val="48650112"/>
        <axId val="48672768"/>
      </barChart>
      <catAx>
        <axId val="48650112"/>
        <scaling>
          <orientation val="minMax"/>
        </scaling>
        <delete val="0"/>
        <axPos val="b"/>
        <majorGridlines>
          <spPr>
            <a:ln w="9525">
              <a:solidFill>
                <a:srgbClr val="CCCCCC"/>
              </a:solidFill>
              <a:prstDash val="dash"/>
            </a:ln>
          </spPr>
        </majorGridlines>
        <numFmt formatCode="&quot;$&quot;0.0,,&quot;M&quot;" sourceLinked="0"/>
        <majorTickMark val="none"/>
        <minorTickMark val="none"/>
        <tickLblPos val="nextTo"/>
        <txPr>
          <a:bodyPr anchorCtr="1"/>
          <a:lstStyle/>
          <a:p>
            <a:pPr>
              <a:defRPr sz="675"/>
            </a:pPr>
            <a:r>
              <a:t>None</a:t>
            </a:r>
          </a:p>
        </txPr>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quot;$&quot;0.0,,&quot;M&quot;" sourceLinked="0"/>
        <majorTickMark val="none"/>
        <minorTickMark val="none"/>
        <txPr>
          <a:bodyPr anchorCtr="1"/>
          <a:lstStyle/>
          <a:p>
            <a:pPr>
              <a:defRPr sz="675"/>
            </a:pPr>
            <a:r>
              <a:t>None</a:t>
            </a:r>
          </a:p>
        </txPr>
        <crossAx val="48650112"/>
        <crossBetween val="between"/>
        <majorUnit val="100000"/>
      </valAx>
    </plotArea>
    <plotVisOnly val="1"/>
    <dispBlanksAs val="gap"/>
  </chart>
  <spPr>
    <a:ln w="9525">
      <a:solidFill>
        <a:srgbClr val="D9D9D9"/>
      </a:solidFill>
      <a:prstDash val="solid"/>
    </a:ln>
  </spPr>
</chartSpace>
</file>

<file path=xl/charts/chart8.xml><?xml version="1.0" encoding="utf-8"?>
<chartSpace xmlns:a="http://schemas.openxmlformats.org/drawingml/2006/main" xmlns="http://schemas.openxmlformats.org/drawingml/2006/chart">
  <chart>
    <title>
      <tx>
        <rich>
          <a:bodyPr/>
          <a:lstStyle/>
          <a:p>
            <a:r>
              <a:t>Facility Loss Exceedance Curves (LECs) — AEP vs OEP</a:t>
            </a:r>
          </a:p>
        </rich>
      </tx>
    </title>
    <plotArea>
      <scatterChart>
        <scatterStyle val="line"/>
        <ser>
          <idx val="0"/>
          <order val="0"/>
          <tx>
            <v>AEP — Annual Aggregate</v>
          </tx>
          <spPr>
            <a:solidFill>
              <a:srgbClr val="1F4E79"/>
            </a:solidFill>
            <a:ln w="25000">
              <a:solidFill>
                <a:srgbClr val="1F4E79"/>
              </a:solidFill>
              <a:prstDash val="solid"/>
            </a:ln>
          </spPr>
          <marker>
            <symbol val="none"/>
            <spPr>
              <a:ln>
                <a:prstDash val="solid"/>
              </a:ln>
            </spPr>
          </marker>
          <xVal>
            <numLit>
              <formatCode>General</formatCode>
              <ptCount val="0"/>
            </numLit>
          </xVal>
          <yVal>
            <numRef>
              <f>'25 Risk Charts'!$W$16:$W$216</f>
              <numCache>
                <formatCode>General</formatCode>
                <ptCount val="201"/>
                <pt idx="0">
                  <v>0.05048</v>
                </pt>
                <pt idx="1">
                  <v>0.05048</v>
                </pt>
                <pt idx="2">
                  <v>0.050228</v>
                </pt>
                <pt idx="3">
                  <v>0.049974</v>
                </pt>
                <pt idx="4">
                  <v>0.04972</v>
                </pt>
                <pt idx="5">
                  <v>0.049466</v>
                </pt>
                <pt idx="6">
                  <v>0.049212</v>
                </pt>
                <pt idx="7">
                  <v>0.04896</v>
                </pt>
                <pt idx="8">
                  <v>0.048706</v>
                </pt>
                <pt idx="9">
                  <v>0.048452</v>
                </pt>
                <pt idx="10">
                  <v>0.048198</v>
                </pt>
                <pt idx="11">
                  <v>0.047944</v>
                </pt>
                <pt idx="12">
                  <v>0.04769</v>
                </pt>
                <pt idx="13">
                  <v>0.047438</v>
                </pt>
                <pt idx="14">
                  <v>0.047184</v>
                </pt>
                <pt idx="15">
                  <v>0.04693</v>
                </pt>
                <pt idx="16">
                  <v>0.046676</v>
                </pt>
                <pt idx="17">
                  <v>0.046422</v>
                </pt>
                <pt idx="18">
                  <v>0.046168</v>
                </pt>
                <pt idx="19">
                  <v>0.045916</v>
                </pt>
                <pt idx="20">
                  <v>0.045662</v>
                </pt>
                <pt idx="21">
                  <v>0.045408</v>
                </pt>
                <pt idx="22">
                  <v>0.045154</v>
                </pt>
                <pt idx="23">
                  <v>0.0449</v>
                </pt>
                <pt idx="24">
                  <v>0.044646</v>
                </pt>
                <pt idx="25">
                  <v>0.044394</v>
                </pt>
                <pt idx="26">
                  <v>0.04414</v>
                </pt>
                <pt idx="27">
                  <v>0.043886</v>
                </pt>
                <pt idx="28">
                  <v>0.043632</v>
                </pt>
                <pt idx="29">
                  <v>0.043378</v>
                </pt>
                <pt idx="30">
                  <v>0.043124</v>
                </pt>
                <pt idx="31">
                  <v>0.042872</v>
                </pt>
                <pt idx="32">
                  <v>0.042618</v>
                </pt>
                <pt idx="33">
                  <v>0.042364</v>
                </pt>
                <pt idx="34">
                  <v>0.04211</v>
                </pt>
                <pt idx="35">
                  <v>0.041856</v>
                </pt>
                <pt idx="36">
                  <v>0.041602</v>
                </pt>
                <pt idx="37">
                  <v>0.04135</v>
                </pt>
                <pt idx="38">
                  <v>0.041096</v>
                </pt>
                <pt idx="39">
                  <v>0.040842</v>
                </pt>
                <pt idx="40">
                  <v>0.040588</v>
                </pt>
                <pt idx="41">
                  <v>0.040334</v>
                </pt>
                <pt idx="42">
                  <v>0.040082</v>
                </pt>
                <pt idx="43">
                  <v>0.039828</v>
                </pt>
                <pt idx="44">
                  <v>0.039574</v>
                </pt>
                <pt idx="45">
                  <v>0.03932</v>
                </pt>
                <pt idx="46">
                  <v>0.039066</v>
                </pt>
                <pt idx="47">
                  <v>0.038812</v>
                </pt>
                <pt idx="48">
                  <v>0.03856</v>
                </pt>
                <pt idx="49">
                  <v>0.038306</v>
                </pt>
                <pt idx="50">
                  <v>0.038052</v>
                </pt>
                <pt idx="51">
                  <v>0.037798</v>
                </pt>
                <pt idx="52">
                  <v>0.037544</v>
                </pt>
                <pt idx="53">
                  <v>0.03729</v>
                </pt>
                <pt idx="54">
                  <v>0.037038</v>
                </pt>
                <pt idx="55">
                  <v>0.036784</v>
                </pt>
                <pt idx="56">
                  <v>0.03653</v>
                </pt>
                <pt idx="57">
                  <v>0.036276</v>
                </pt>
                <pt idx="58">
                  <v>0.036022</v>
                </pt>
                <pt idx="59">
                  <v>0.035768</v>
                </pt>
                <pt idx="60">
                  <v>0.035516</v>
                </pt>
                <pt idx="61">
                  <v>0.035262</v>
                </pt>
                <pt idx="62">
                  <v>0.035008</v>
                </pt>
                <pt idx="63">
                  <v>0.034754</v>
                </pt>
                <pt idx="64">
                  <v>0.0345</v>
                </pt>
                <pt idx="65">
                  <v>0.034246</v>
                </pt>
                <pt idx="66">
                  <v>0.033994</v>
                </pt>
                <pt idx="67">
                  <v>0.03374</v>
                </pt>
                <pt idx="68">
                  <v>0.033486</v>
                </pt>
                <pt idx="69">
                  <v>0.033232</v>
                </pt>
                <pt idx="70">
                  <v>0.032978</v>
                </pt>
                <pt idx="71">
                  <v>0.032724</v>
                </pt>
                <pt idx="72">
                  <v>0.032472</v>
                </pt>
                <pt idx="73">
                  <v>0.032218</v>
                </pt>
                <pt idx="74">
                  <v>0.031964</v>
                </pt>
                <pt idx="75">
                  <v>0.03171</v>
                </pt>
                <pt idx="76">
                  <v>0.031456</v>
                </pt>
                <pt idx="77">
                  <v>0.031202</v>
                </pt>
                <pt idx="78">
                  <v>0.03095</v>
                </pt>
                <pt idx="79">
                  <v>0.030696</v>
                </pt>
                <pt idx="80">
                  <v>0.030442</v>
                </pt>
                <pt idx="81">
                  <v>0.030188</v>
                </pt>
                <pt idx="82">
                  <v>0.029934</v>
                </pt>
                <pt idx="83">
                  <v>0.029682</v>
                </pt>
                <pt idx="84">
                  <v>0.029428</v>
                </pt>
                <pt idx="85">
                  <v>0.029174</v>
                </pt>
                <pt idx="86">
                  <v>0.02892</v>
                </pt>
                <pt idx="87">
                  <v>0.028666</v>
                </pt>
                <pt idx="88">
                  <v>0.028412</v>
                </pt>
                <pt idx="89">
                  <v>0.02816</v>
                </pt>
                <pt idx="90">
                  <v>0.027906</v>
                </pt>
                <pt idx="91">
                  <v>0.027652</v>
                </pt>
                <pt idx="92">
                  <v>0.027398</v>
                </pt>
                <pt idx="93">
                  <v>0.027144</v>
                </pt>
                <pt idx="94">
                  <v>0.02689</v>
                </pt>
                <pt idx="95">
                  <v>0.026638</v>
                </pt>
                <pt idx="96">
                  <v>0.026384</v>
                </pt>
                <pt idx="97">
                  <v>0.02613</v>
                </pt>
                <pt idx="98">
                  <v>0.025876</v>
                </pt>
                <pt idx="99">
                  <v>0.025622</v>
                </pt>
                <pt idx="100">
                  <v>0.025368</v>
                </pt>
                <pt idx="101">
                  <v>0.025116</v>
                </pt>
                <pt idx="102">
                  <v>0.024862</v>
                </pt>
                <pt idx="103">
                  <v>0.024608</v>
                </pt>
                <pt idx="104">
                  <v>0.024354</v>
                </pt>
                <pt idx="105">
                  <v>0.0241</v>
                </pt>
                <pt idx="106">
                  <v>0.023846</v>
                </pt>
                <pt idx="107">
                  <v>0.023594</v>
                </pt>
                <pt idx="108">
                  <v>0.02334</v>
                </pt>
                <pt idx="109">
                  <v>0.023086</v>
                </pt>
                <pt idx="110">
                  <v>0.022832</v>
                </pt>
                <pt idx="111">
                  <v>0.022578</v>
                </pt>
                <pt idx="112">
                  <v>0.022324</v>
                </pt>
                <pt idx="113">
                  <v>0.022072</v>
                </pt>
                <pt idx="114">
                  <v>0.021818</v>
                </pt>
                <pt idx="115">
                  <v>0.021564</v>
                </pt>
                <pt idx="116">
                  <v>0.02131</v>
                </pt>
                <pt idx="117">
                  <v>0.021056</v>
                </pt>
                <pt idx="118">
                  <v>0.020802</v>
                </pt>
                <pt idx="119">
                  <v>0.02055</v>
                </pt>
                <pt idx="120">
                  <v>0.020296</v>
                </pt>
                <pt idx="121">
                  <v>0.020042</v>
                </pt>
                <pt idx="122">
                  <v>0.019788</v>
                </pt>
                <pt idx="123">
                  <v>0.019534</v>
                </pt>
                <pt idx="124">
                  <v>0.019282</v>
                </pt>
                <pt idx="125">
                  <v>0.019028</v>
                </pt>
                <pt idx="126">
                  <v>0.018774</v>
                </pt>
                <pt idx="127">
                  <v>0.01852</v>
                </pt>
                <pt idx="128">
                  <v>0.018266</v>
                </pt>
                <pt idx="129">
                  <v>0.018012</v>
                </pt>
                <pt idx="130">
                  <v>0.01776</v>
                </pt>
                <pt idx="131">
                  <v>0.017506</v>
                </pt>
                <pt idx="132">
                  <v>0.017252</v>
                </pt>
                <pt idx="133">
                  <v>0.016998</v>
                </pt>
                <pt idx="134">
                  <v>0.016744</v>
                </pt>
                <pt idx="135">
                  <v>0.01649</v>
                </pt>
                <pt idx="136">
                  <v>0.016238</v>
                </pt>
                <pt idx="137">
                  <v>0.015984</v>
                </pt>
                <pt idx="138">
                  <v>0.01573</v>
                </pt>
                <pt idx="139">
                  <v>0.015476</v>
                </pt>
                <pt idx="140">
                  <v>0.015222</v>
                </pt>
                <pt idx="141">
                  <v>0.014968</v>
                </pt>
                <pt idx="142">
                  <v>0.014716</v>
                </pt>
                <pt idx="143">
                  <v>0.014462</v>
                </pt>
                <pt idx="144">
                  <v>0.014208</v>
                </pt>
                <pt idx="145">
                  <v>0.013954</v>
                </pt>
                <pt idx="146">
                  <v>0.0137</v>
                </pt>
                <pt idx="147">
                  <v>0.013446</v>
                </pt>
                <pt idx="148">
                  <v>0.013194</v>
                </pt>
                <pt idx="149">
                  <v>0.01294</v>
                </pt>
                <pt idx="150">
                  <v>0.012686</v>
                </pt>
                <pt idx="151">
                  <v>0.012432</v>
                </pt>
                <pt idx="152">
                  <v>0.012178</v>
                </pt>
                <pt idx="153">
                  <v>0.011924</v>
                </pt>
                <pt idx="154">
                  <v>0.011672</v>
                </pt>
                <pt idx="155">
                  <v>0.011418</v>
                </pt>
                <pt idx="156">
                  <v>0.011164</v>
                </pt>
                <pt idx="157">
                  <v>0.01091</v>
                </pt>
                <pt idx="158">
                  <v>0.010656</v>
                </pt>
                <pt idx="159">
                  <v>0.010402</v>
                </pt>
                <pt idx="160">
                  <v>0.01015</v>
                </pt>
                <pt idx="161">
                  <v>0.009896</v>
                </pt>
                <pt idx="162">
                  <v>0.009642</v>
                </pt>
                <pt idx="163">
                  <v>0.009388000000000001</v>
                </pt>
                <pt idx="164">
                  <v>0.009134</v>
                </pt>
                <pt idx="165">
                  <v>0.008881999999999999</v>
                </pt>
                <pt idx="166">
                  <v>0.008628</v>
                </pt>
                <pt idx="167">
                  <v>0.008373999999999999</v>
                </pt>
                <pt idx="168">
                  <v>0.00812</v>
                </pt>
                <pt idx="169">
                  <v>0.007866</v>
                </pt>
                <pt idx="170">
                  <v>0.007612</v>
                </pt>
                <pt idx="171">
                  <v>0.00736</v>
                </pt>
                <pt idx="172">
                  <v>0.007106</v>
                </pt>
                <pt idx="173">
                  <v>0.006852</v>
                </pt>
                <pt idx="174">
                  <v>0.006598</v>
                </pt>
                <pt idx="175">
                  <v>0.006344</v>
                </pt>
                <pt idx="176">
                  <v>0.00609</v>
                </pt>
                <pt idx="177">
                  <v>0.005838</v>
                </pt>
                <pt idx="178">
                  <v>0.005584</v>
                </pt>
                <pt idx="179">
                  <v>0.00533</v>
                </pt>
                <pt idx="180">
                  <v>0.005076</v>
                </pt>
                <pt idx="181">
                  <v>0.004822</v>
                </pt>
                <pt idx="182">
                  <v>0.004568</v>
                </pt>
                <pt idx="183">
                  <v>0.004316</v>
                </pt>
                <pt idx="184">
                  <v>0.004062</v>
                </pt>
                <pt idx="185">
                  <v>0.003808</v>
                </pt>
                <pt idx="186">
                  <v>0.003554</v>
                </pt>
                <pt idx="187">
                  <v>0.0033</v>
                </pt>
                <pt idx="188">
                  <v>0.003046</v>
                </pt>
                <pt idx="189">
                  <v>0.002794</v>
                </pt>
                <pt idx="190">
                  <v>0.00254</v>
                </pt>
                <pt idx="191">
                  <v>0.002286</v>
                </pt>
                <pt idx="192">
                  <v>0.002032</v>
                </pt>
                <pt idx="193">
                  <v>0.001778</v>
                </pt>
                <pt idx="194">
                  <v>0.001524</v>
                </pt>
                <pt idx="195">
                  <v>0.001272</v>
                </pt>
                <pt idx="196">
                  <v>0.001018</v>
                </pt>
                <pt idx="197">
                  <v>0.000764</v>
                </pt>
                <pt idx="198">
                  <v>0.00051</v>
                </pt>
                <pt idx="199">
                  <v>0.000256</v>
                </pt>
                <pt idx="200">
                  <v>2e-06</v>
                </pt>
              </numCache>
            </numRef>
          </yVal>
        </ser>
        <ser>
          <idx val="1"/>
          <order val="1"/>
          <tx>
            <v>OEP — Single Occurrence</v>
          </tx>
          <spPr>
            <a:solidFill>
              <a:srgbClr val="C45911"/>
            </a:solidFill>
            <a:ln w="25000">
              <a:solidFill>
                <a:srgbClr val="C45911"/>
              </a:solidFill>
              <a:prstDash val="solid"/>
            </a:ln>
          </spPr>
          <marker>
            <symbol val="none"/>
            <spPr>
              <a:ln>
                <a:prstDash val="solid"/>
              </a:ln>
            </spPr>
          </marker>
          <xVal>
            <numLit>
              <formatCode>General</formatCode>
              <ptCount val="0"/>
            </numLit>
          </xVal>
          <yVal>
            <numRef>
              <f>'25 Risk Charts'!$Y$16:$Y$216</f>
              <numCache>
                <formatCode>General</formatCode>
                <ptCount val="201"/>
                <pt idx="0">
                  <v>0.05048</v>
                </pt>
                <pt idx="1">
                  <v>0.05048</v>
                </pt>
                <pt idx="2">
                  <v>0.050228</v>
                </pt>
                <pt idx="3">
                  <v>0.049974</v>
                </pt>
                <pt idx="4">
                  <v>0.04972</v>
                </pt>
                <pt idx="5">
                  <v>0.049466</v>
                </pt>
                <pt idx="6">
                  <v>0.049212</v>
                </pt>
                <pt idx="7">
                  <v>0.04896</v>
                </pt>
                <pt idx="8">
                  <v>0.048706</v>
                </pt>
                <pt idx="9">
                  <v>0.048452</v>
                </pt>
                <pt idx="10">
                  <v>0.048198</v>
                </pt>
                <pt idx="11">
                  <v>0.047944</v>
                </pt>
                <pt idx="12">
                  <v>0.04769</v>
                </pt>
                <pt idx="13">
                  <v>0.047438</v>
                </pt>
                <pt idx="14">
                  <v>0.047184</v>
                </pt>
                <pt idx="15">
                  <v>0.04693</v>
                </pt>
                <pt idx="16">
                  <v>0.046676</v>
                </pt>
                <pt idx="17">
                  <v>0.046422</v>
                </pt>
                <pt idx="18">
                  <v>0.046168</v>
                </pt>
                <pt idx="19">
                  <v>0.045916</v>
                </pt>
                <pt idx="20">
                  <v>0.045662</v>
                </pt>
                <pt idx="21">
                  <v>0.045408</v>
                </pt>
                <pt idx="22">
                  <v>0.045154</v>
                </pt>
                <pt idx="23">
                  <v>0.0449</v>
                </pt>
                <pt idx="24">
                  <v>0.044646</v>
                </pt>
                <pt idx="25">
                  <v>0.044394</v>
                </pt>
                <pt idx="26">
                  <v>0.04414</v>
                </pt>
                <pt idx="27">
                  <v>0.043886</v>
                </pt>
                <pt idx="28">
                  <v>0.043632</v>
                </pt>
                <pt idx="29">
                  <v>0.043378</v>
                </pt>
                <pt idx="30">
                  <v>0.043124</v>
                </pt>
                <pt idx="31">
                  <v>0.042872</v>
                </pt>
                <pt idx="32">
                  <v>0.042618</v>
                </pt>
                <pt idx="33">
                  <v>0.042364</v>
                </pt>
                <pt idx="34">
                  <v>0.04211</v>
                </pt>
                <pt idx="35">
                  <v>0.041856</v>
                </pt>
                <pt idx="36">
                  <v>0.041602</v>
                </pt>
                <pt idx="37">
                  <v>0.04135</v>
                </pt>
                <pt idx="38">
                  <v>0.041096</v>
                </pt>
                <pt idx="39">
                  <v>0.040842</v>
                </pt>
                <pt idx="40">
                  <v>0.040588</v>
                </pt>
                <pt idx="41">
                  <v>0.040334</v>
                </pt>
                <pt idx="42">
                  <v>0.040082</v>
                </pt>
                <pt idx="43">
                  <v>0.039828</v>
                </pt>
                <pt idx="44">
                  <v>0.039574</v>
                </pt>
                <pt idx="45">
                  <v>0.03932</v>
                </pt>
                <pt idx="46">
                  <v>0.039066</v>
                </pt>
                <pt idx="47">
                  <v>0.038812</v>
                </pt>
                <pt idx="48">
                  <v>0.03856</v>
                </pt>
                <pt idx="49">
                  <v>0.038306</v>
                </pt>
                <pt idx="50">
                  <v>0.038052</v>
                </pt>
                <pt idx="51">
                  <v>0.037798</v>
                </pt>
                <pt idx="52">
                  <v>0.037544</v>
                </pt>
                <pt idx="53">
                  <v>0.03729</v>
                </pt>
                <pt idx="54">
                  <v>0.037038</v>
                </pt>
                <pt idx="55">
                  <v>0.036784</v>
                </pt>
                <pt idx="56">
                  <v>0.03653</v>
                </pt>
                <pt idx="57">
                  <v>0.036276</v>
                </pt>
                <pt idx="58">
                  <v>0.036022</v>
                </pt>
                <pt idx="59">
                  <v>0.035768</v>
                </pt>
                <pt idx="60">
                  <v>0.035516</v>
                </pt>
                <pt idx="61">
                  <v>0.035262</v>
                </pt>
                <pt idx="62">
                  <v>0.035008</v>
                </pt>
                <pt idx="63">
                  <v>0.034754</v>
                </pt>
                <pt idx="64">
                  <v>0.0345</v>
                </pt>
                <pt idx="65">
                  <v>0.034246</v>
                </pt>
                <pt idx="66">
                  <v>0.033994</v>
                </pt>
                <pt idx="67">
                  <v>0.03374</v>
                </pt>
                <pt idx="68">
                  <v>0.033486</v>
                </pt>
                <pt idx="69">
                  <v>0.033232</v>
                </pt>
                <pt idx="70">
                  <v>0.032978</v>
                </pt>
                <pt idx="71">
                  <v>0.032724</v>
                </pt>
                <pt idx="72">
                  <v>0.032472</v>
                </pt>
                <pt idx="73">
                  <v>0.032218</v>
                </pt>
                <pt idx="74">
                  <v>0.031964</v>
                </pt>
                <pt idx="75">
                  <v>0.03171</v>
                </pt>
                <pt idx="76">
                  <v>0.031456</v>
                </pt>
                <pt idx="77">
                  <v>0.031202</v>
                </pt>
                <pt idx="78">
                  <v>0.03095</v>
                </pt>
                <pt idx="79">
                  <v>0.030696</v>
                </pt>
                <pt idx="80">
                  <v>0.030442</v>
                </pt>
                <pt idx="81">
                  <v>0.030188</v>
                </pt>
                <pt idx="82">
                  <v>0.029934</v>
                </pt>
                <pt idx="83">
                  <v>0.029682</v>
                </pt>
                <pt idx="84">
                  <v>0.029428</v>
                </pt>
                <pt idx="85">
                  <v>0.029174</v>
                </pt>
                <pt idx="86">
                  <v>0.02892</v>
                </pt>
                <pt idx="87">
                  <v>0.028666</v>
                </pt>
                <pt idx="88">
                  <v>0.028412</v>
                </pt>
                <pt idx="89">
                  <v>0.02816</v>
                </pt>
                <pt idx="90">
                  <v>0.027906</v>
                </pt>
                <pt idx="91">
                  <v>0.027652</v>
                </pt>
                <pt idx="92">
                  <v>0.027398</v>
                </pt>
                <pt idx="93">
                  <v>0.027144</v>
                </pt>
                <pt idx="94">
                  <v>0.02689</v>
                </pt>
                <pt idx="95">
                  <v>0.026638</v>
                </pt>
                <pt idx="96">
                  <v>0.026384</v>
                </pt>
                <pt idx="97">
                  <v>0.02613</v>
                </pt>
                <pt idx="98">
                  <v>0.025876</v>
                </pt>
                <pt idx="99">
                  <v>0.025622</v>
                </pt>
                <pt idx="100">
                  <v>0.025368</v>
                </pt>
                <pt idx="101">
                  <v>0.025116</v>
                </pt>
                <pt idx="102">
                  <v>0.024862</v>
                </pt>
                <pt idx="103">
                  <v>0.024608</v>
                </pt>
                <pt idx="104">
                  <v>0.024354</v>
                </pt>
                <pt idx="105">
                  <v>0.0241</v>
                </pt>
                <pt idx="106">
                  <v>0.023846</v>
                </pt>
                <pt idx="107">
                  <v>0.023594</v>
                </pt>
                <pt idx="108">
                  <v>0.02334</v>
                </pt>
                <pt idx="109">
                  <v>0.023086</v>
                </pt>
                <pt idx="110">
                  <v>0.022832</v>
                </pt>
                <pt idx="111">
                  <v>0.022578</v>
                </pt>
                <pt idx="112">
                  <v>0.022324</v>
                </pt>
                <pt idx="113">
                  <v>0.022072</v>
                </pt>
                <pt idx="114">
                  <v>0.021818</v>
                </pt>
                <pt idx="115">
                  <v>0.021564</v>
                </pt>
                <pt idx="116">
                  <v>0.02131</v>
                </pt>
                <pt idx="117">
                  <v>0.021056</v>
                </pt>
                <pt idx="118">
                  <v>0.020802</v>
                </pt>
                <pt idx="119">
                  <v>0.02055</v>
                </pt>
                <pt idx="120">
                  <v>0.020296</v>
                </pt>
                <pt idx="121">
                  <v>0.020042</v>
                </pt>
                <pt idx="122">
                  <v>0.019788</v>
                </pt>
                <pt idx="123">
                  <v>0.019534</v>
                </pt>
                <pt idx="124">
                  <v>0.019282</v>
                </pt>
                <pt idx="125">
                  <v>0.019028</v>
                </pt>
                <pt idx="126">
                  <v>0.018774</v>
                </pt>
                <pt idx="127">
                  <v>0.01852</v>
                </pt>
                <pt idx="128">
                  <v>0.018266</v>
                </pt>
                <pt idx="129">
                  <v>0.018012</v>
                </pt>
                <pt idx="130">
                  <v>0.01776</v>
                </pt>
                <pt idx="131">
                  <v>0.017506</v>
                </pt>
                <pt idx="132">
                  <v>0.017252</v>
                </pt>
                <pt idx="133">
                  <v>0.016998</v>
                </pt>
                <pt idx="134">
                  <v>0.016744</v>
                </pt>
                <pt idx="135">
                  <v>0.01649</v>
                </pt>
                <pt idx="136">
                  <v>0.016238</v>
                </pt>
                <pt idx="137">
                  <v>0.015984</v>
                </pt>
                <pt idx="138">
                  <v>0.01573</v>
                </pt>
                <pt idx="139">
                  <v>0.015476</v>
                </pt>
                <pt idx="140">
                  <v>0.015222</v>
                </pt>
                <pt idx="141">
                  <v>0.014968</v>
                </pt>
                <pt idx="142">
                  <v>0.014716</v>
                </pt>
                <pt idx="143">
                  <v>0.014462</v>
                </pt>
                <pt idx="144">
                  <v>0.014208</v>
                </pt>
                <pt idx="145">
                  <v>0.013954</v>
                </pt>
                <pt idx="146">
                  <v>0.0137</v>
                </pt>
                <pt idx="147">
                  <v>0.013446</v>
                </pt>
                <pt idx="148">
                  <v>0.013194</v>
                </pt>
                <pt idx="149">
                  <v>0.01294</v>
                </pt>
                <pt idx="150">
                  <v>0.012686</v>
                </pt>
                <pt idx="151">
                  <v>0.012432</v>
                </pt>
                <pt idx="152">
                  <v>0.012178</v>
                </pt>
                <pt idx="153">
                  <v>0.011924</v>
                </pt>
                <pt idx="154">
                  <v>0.011672</v>
                </pt>
                <pt idx="155">
                  <v>0.011418</v>
                </pt>
                <pt idx="156">
                  <v>0.011164</v>
                </pt>
                <pt idx="157">
                  <v>0.01091</v>
                </pt>
                <pt idx="158">
                  <v>0.010656</v>
                </pt>
                <pt idx="159">
                  <v>0.010402</v>
                </pt>
                <pt idx="160">
                  <v>0.01015</v>
                </pt>
                <pt idx="161">
                  <v>0.009896</v>
                </pt>
                <pt idx="162">
                  <v>0.009642</v>
                </pt>
                <pt idx="163">
                  <v>0.009388000000000001</v>
                </pt>
                <pt idx="164">
                  <v>0.009134</v>
                </pt>
                <pt idx="165">
                  <v>0.008881999999999999</v>
                </pt>
                <pt idx="166">
                  <v>0.008628</v>
                </pt>
                <pt idx="167">
                  <v>0.008373999999999999</v>
                </pt>
                <pt idx="168">
                  <v>0.00812</v>
                </pt>
                <pt idx="169">
                  <v>0.007866</v>
                </pt>
                <pt idx="170">
                  <v>0.007612</v>
                </pt>
                <pt idx="171">
                  <v>0.00736</v>
                </pt>
                <pt idx="172">
                  <v>0.007106</v>
                </pt>
                <pt idx="173">
                  <v>0.006852</v>
                </pt>
                <pt idx="174">
                  <v>0.006598</v>
                </pt>
                <pt idx="175">
                  <v>0.006344</v>
                </pt>
                <pt idx="176">
                  <v>0.00609</v>
                </pt>
                <pt idx="177">
                  <v>0.005838</v>
                </pt>
                <pt idx="178">
                  <v>0.005584</v>
                </pt>
                <pt idx="179">
                  <v>0.00533</v>
                </pt>
                <pt idx="180">
                  <v>0.005076</v>
                </pt>
                <pt idx="181">
                  <v>0.004822</v>
                </pt>
                <pt idx="182">
                  <v>0.004568</v>
                </pt>
                <pt idx="183">
                  <v>0.004316</v>
                </pt>
                <pt idx="184">
                  <v>0.004062</v>
                </pt>
                <pt idx="185">
                  <v>0.003808</v>
                </pt>
                <pt idx="186">
                  <v>0.003554</v>
                </pt>
                <pt idx="187">
                  <v>0.0033</v>
                </pt>
                <pt idx="188">
                  <v>0.003046</v>
                </pt>
                <pt idx="189">
                  <v>0.002794</v>
                </pt>
                <pt idx="190">
                  <v>0.00254</v>
                </pt>
                <pt idx="191">
                  <v>0.002286</v>
                </pt>
                <pt idx="192">
                  <v>0.002032</v>
                </pt>
                <pt idx="193">
                  <v>0.001778</v>
                </pt>
                <pt idx="194">
                  <v>0.001524</v>
                </pt>
                <pt idx="195">
                  <v>0.001272</v>
                </pt>
                <pt idx="196">
                  <v>0.001018</v>
                </pt>
                <pt idx="197">
                  <v>0.000764</v>
                </pt>
                <pt idx="198">
                  <v>0.00051</v>
                </pt>
                <pt idx="199">
                  <v>0.000256</v>
                </pt>
                <pt idx="200">
                  <v>2e-06</v>
                </pt>
              </numCache>
            </numRef>
          </yVal>
        </ser>
        <axId val="48650112"/>
        <axId val="48672768"/>
      </scatterChart>
      <valAx>
        <axId val="48650112"/>
        <scaling>
          <orientation val="minMax"/>
          <min val="0"/>
        </scaling>
        <delete val="0"/>
        <axPos val="b"/>
        <majorGridlines>
          <spPr>
            <a:ln w="9525">
              <a:solidFill>
                <a:srgbClr val="CCCCCC"/>
              </a:solidFill>
              <a:prstDash val="dash"/>
            </a:ln>
          </spPr>
        </majorGridlines>
        <title>
          <tx>
            <rich>
              <a:bodyPr/>
              <a:lstStyle/>
              <a:p>
                <a:r>
                  <a:t>Loss ($m)</a:t>
                </a:r>
              </a:p>
            </rich>
          </tx>
        </title>
        <numFmt formatCode="&quot;$&quot;#,##0" sourceLinked="0"/>
        <majorTickMark val="none"/>
        <minorTickMark val="none"/>
        <tickLblPos val="nextTo"/>
        <txPr>
          <a:bodyPr anchorCtr="1"/>
          <a:lstStyle/>
          <a:p>
            <a:pPr>
              <a:defRPr sz="675"/>
            </a:pPr>
            <a:r>
              <a:t>None</a:t>
            </a:r>
          </a:p>
        </txPr>
        <crossAx val="48672768"/>
        <crosses val="min"/>
        <majorUnit val="50000000"/>
      </valAx>
      <valAx>
        <axId val="48672768"/>
        <scaling>
          <orientation val="minMax"/>
          <max val="0.1"/>
          <min val="0"/>
        </scaling>
        <delete val="0"/>
        <axPos val="l"/>
        <majorGridlines>
          <spPr>
            <a:ln w="9525">
              <a:solidFill>
                <a:srgbClr val="CCCCCC"/>
              </a:solidFill>
              <a:prstDash val="dash"/>
            </a:ln>
          </spPr>
        </majorGridlines>
        <title>
          <tx>
            <rich>
              <a:bodyPr/>
              <a:lstStyle/>
              <a:p>
                <a:r>
                  <a:t>Annual exceedance probability</a:t>
                </a:r>
              </a:p>
            </rich>
          </tx>
        </title>
        <numFmt formatCode="0%" sourceLinked="0"/>
        <majorTickMark val="none"/>
        <minorTickMark val="none"/>
        <txPr>
          <a:bodyPr anchorCtr="1"/>
          <a:lstStyle/>
          <a:p>
            <a:pPr>
              <a:defRPr sz="675"/>
            </a:pPr>
            <a:r>
              <a:t>None</a:t>
            </a:r>
          </a:p>
        </txPr>
        <crossAx val="48650112"/>
        <crosses val="min"/>
        <majorUnit val="0.05"/>
      </valAx>
    </plotArea>
    <legend>
      <legendPos val="b"/>
      <overlay val="0"/>
    </legend>
    <plotVisOnly val="1"/>
    <dispBlanksAs val="gap"/>
  </chart>
  <spPr>
    <a:ln w="9525">
      <a:solidFill>
        <a:srgbClr val="D9D9D9"/>
      </a:solidFill>
      <a:prstDash val="solid"/>
    </a:ln>
  </spPr>
</chartSpace>
</file>

<file path=xl/comments/comment1.xml><?xml version="1.0" encoding="utf-8"?>
<comments xmlns="http://schemas.openxmlformats.org/spreadsheetml/2006/main">
  <authors>
    <author>tc={3FCA985D-9A1E-96B8-302A-AA1E787CC340}</author>
    <author>tc={E2BEC81B-BBD7-C10F-D0FC-63CCEC737B2A}</author>
  </authors>
  <commentList>
    <comment ref="C20" authorId="0" shapeId="0">
      <text>
        <t>[Threaded comment]
Your version of Excel allows you to read this threaded comment; however, any edits to it will get removed if the file is opened in a newer version of Excel. Learn more: https://go.microsoft.com/fwlink/?linkid=870924
Comment:
    Select the facility sector. Energy Assets and Manufacturing are development packs until their frequency calibration is approved.</t>
      </text>
    </comment>
    <comment ref="C21" authorId="1" shapeId="0">
      <text>
        <t>[Threaded comment]
Your version of Excel allows you to read this threaded comment; however, any edits to it will get removed if the file is opened in a newer version of Excel. Learn more: https://go.microsoft.com/fwlink/?linkid=870924
Comment:
    Select an asset type that belongs to the chosen sector. ASSET_TYPE_VALID must show Yes.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_rels/drawing4.xml.rels><Relationships xmlns="http://schemas.openxmlformats.org/package/2006/relationships"><Relationship Type="http://schemas.openxmlformats.org/officeDocument/2006/relationships/chart" Target="/xl/charts/chart6.xml" Id="rId1" /><Relationship Type="http://schemas.openxmlformats.org/officeDocument/2006/relationships/chart" Target="/xl/charts/chart7.xml" Id="rId2" /><Relationship Type="http://schemas.openxmlformats.org/officeDocument/2006/relationships/chart" Target="/xl/charts/chart8.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col>
      <colOff>0</colOff>
      <row>12</row>
      <rowOff>0</rowOff>
    </from>
    <to>
      <col>14</col>
      <colOff>0</colOff>
      <row>27</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3</col>
      <colOff>0</colOff>
      <row>29</row>
      <rowOff>0</rowOff>
    </from>
    <to>
      <col>8</col>
      <colOff>0</colOff>
      <row>43</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10</col>
      <colOff>0</colOff>
      <row>29</row>
      <rowOff>0</rowOff>
    </from>
    <to>
      <col>14</col>
      <colOff>0</colOff>
      <row>43</row>
      <rowOff>0</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col>
      <colOff>0</colOff>
      <row>14</row>
      <rowOff>0</rowOff>
    </from>
    <to>
      <col>14</col>
      <colOff>0</colOff>
      <row>29</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0</colOff>
      <row>15</row>
      <rowOff>0</rowOff>
    </from>
    <to>
      <col>14</col>
      <colOff>0</colOff>
      <row>31</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14</row>
      <rowOff>0</rowOff>
    </from>
    <to>
      <col>6</col>
      <colOff>0</colOff>
      <row>29</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7</col>
      <colOff>0</colOff>
      <row>14</row>
      <rowOff>0</rowOff>
    </from>
    <to>
      <col>13</col>
      <colOff>0</colOff>
      <row>29</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0</col>
      <colOff>0</colOff>
      <row>31</row>
      <rowOff>0</rowOff>
    </from>
    <to>
      <col>15</col>
      <colOff>0</colOff>
      <row>51</row>
      <rowOff>0</rowOff>
    </to>
    <graphicFrame>
      <nvGraphicFramePr>
        <cNvPr id="3" name="Chart 3"/>
        <cNvGraphicFramePr/>
      </nvGraphicFramePr>
      <xfrm/>
      <a:graphic>
        <a:graphicData uri="http://schemas.openxmlformats.org/drawingml/2006/chart">
          <c:chart r:id="rId3"/>
        </a:graphicData>
      </a:graphic>
    </graphicFrame>
    <clientData/>
  </twoCellAnchor>
</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9.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drawing" Target="/xl/drawings/drawing2.xml" Id="rId1" /></Relationships>
</file>

<file path=xl/worksheets/_rels/sheet13.xml.rels><Relationships xmlns="http://schemas.openxmlformats.org/package/2006/relationships"><Relationship Type="http://schemas.openxmlformats.org/officeDocument/2006/relationships/drawing" Target="/xl/drawings/drawing3.xml" Id="rId1" /></Relationships>
</file>

<file path=xl/worksheets/_rels/sheet2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2.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tabColor rgb="007F7F7F"/>
    <outlinePr summaryBelow="1" summaryRight="1"/>
    <pageSetUpPr/>
  </sheetPr>
  <dimension ref="A1:F3"/>
  <sheetViews>
    <sheetView workbookViewId="0">
      <selection activeCell="A1" sqref="A1"/>
    </sheetView>
  </sheetViews>
  <sheetFormatPr baseColWidth="8" defaultRowHeight="15"/>
  <cols>
    <col width="28" customWidth="1" style="508" min="1" max="1"/>
  </cols>
  <sheetData>
    <row r="1">
      <c r="A1" s="1024" t="inlineStr">
        <is>
          <t>1 Executive dashboards</t>
        </is>
      </c>
    </row>
    <row r="3" ht="48" customHeight="1" s="508">
      <c r="A3" s="1025" t="inlineStr">
        <is>
          <t>Read after python -m crq run. Do not enter assessment data here.</t>
        </is>
      </c>
    </row>
  </sheetData>
  <mergeCells count="2">
    <mergeCell ref="A1:F1"/>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cols>
    <col width="36" customWidth="1" style="508" min="1" max="1"/>
    <col width="18" customWidth="1" style="508" min="2" max="2"/>
    <col width="16" customWidth="1" style="508" min="3" max="3"/>
    <col width="16" customWidth="1" style="508" min="4" max="4"/>
    <col width="16" customWidth="1" style="508" min="5" max="5"/>
    <col width="16" customWidth="1" style="508" min="6" max="6"/>
    <col width="16" customWidth="1" style="508" min="7" max="7"/>
    <col width="16" customWidth="1" style="508" min="8" max="8"/>
    <col width="16" customWidth="1" style="508" min="9" max="9"/>
    <col width="16" customWidth="1" style="508" min="10" max="10"/>
    <col width="16" customWidth="1" style="508" min="11" max="11"/>
    <col width="16" customWidth="1" style="508" min="12" max="12"/>
    <col width="16" customWidth="1" style="508" min="13" max="13"/>
    <col width="16" customWidth="1" style="508" min="14" max="14"/>
    <col width="16" customWidth="1" style="508" min="15" max="15"/>
  </cols>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cols>
    <col width="36" customWidth="1" style="508" min="1" max="1"/>
    <col width="18" customWidth="1" style="508" min="2" max="2"/>
    <col width="16" customWidth="1" style="508" min="3" max="3"/>
    <col width="16" customWidth="1" style="508" min="4" max="4"/>
    <col width="16" customWidth="1" style="508" min="5" max="5"/>
    <col width="16" customWidth="1" style="508" min="6" max="6"/>
    <col width="16" customWidth="1" style="508" min="7" max="7"/>
    <col width="16" customWidth="1" style="508" min="8" max="8"/>
    <col width="16" customWidth="1" style="508" min="9" max="9"/>
    <col width="16" customWidth="1" style="508" min="10" max="10"/>
    <col width="16" customWidth="1" style="508" min="11" max="11"/>
    <col width="16" customWidth="1" style="508" min="12" max="12"/>
    <col width="16" customWidth="1" style="508" min="13" max="13"/>
    <col width="16" customWidth="1" style="508" min="14" max="14"/>
    <col width="16" customWidth="1" style="508" min="15" max="15"/>
  </cols>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cols>
    <col width="36" customWidth="1" style="508" min="1" max="1"/>
    <col width="18" customWidth="1" style="508" min="2" max="2"/>
    <col width="16" customWidth="1" style="508" min="3" max="3"/>
    <col width="16" customWidth="1" style="508" min="4" max="4"/>
    <col width="16" customWidth="1" style="508" min="5" max="5"/>
    <col width="16" customWidth="1" style="508" min="6" max="6"/>
    <col width="16" customWidth="1" style="508" min="7" max="7"/>
    <col width="16" customWidth="1" style="508" min="8" max="8"/>
    <col width="16" customWidth="1" style="508" min="9" max="9"/>
    <col width="16" customWidth="1" style="508" min="10" max="10"/>
    <col width="16" customWidth="1" style="508" min="11" max="11"/>
    <col width="16" customWidth="1" style="508" min="12" max="12"/>
    <col width="16" customWidth="1" style="508" min="13" max="13"/>
    <col width="16" customWidth="1" style="508" min="14" max="14"/>
    <col width="16" customWidth="1" style="508" min="15" max="15"/>
  </cols>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cols>
    <col width="36" customWidth="1" style="508" min="1" max="1"/>
    <col width="18" customWidth="1" style="508" min="2" max="2"/>
    <col width="16" customWidth="1" style="508" min="3" max="3"/>
    <col width="16" customWidth="1" style="508" min="4" max="4"/>
    <col width="16" customWidth="1" style="508" min="5" max="5"/>
    <col width="16" customWidth="1" style="508" min="6" max="6"/>
    <col width="16" customWidth="1" style="508" min="7" max="7"/>
    <col width="16" customWidth="1" style="508" min="8" max="8"/>
    <col width="16" customWidth="1" style="508" min="9" max="9"/>
    <col width="16" customWidth="1" style="508" min="10" max="10"/>
    <col width="16" customWidth="1" style="508" min="11" max="11"/>
    <col width="16" customWidth="1" style="508" min="12" max="12"/>
    <col width="16" customWidth="1" style="508" min="13" max="13"/>
    <col width="16" customWidth="1" style="508" min="14" max="14"/>
    <col width="16" customWidth="1" style="508" min="15" max="15"/>
  </cols>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cols>
    <col width="36" customWidth="1" style="508" min="1" max="1"/>
    <col width="18" customWidth="1" style="508" min="2" max="2"/>
    <col width="16" customWidth="1" style="508" min="3" max="3"/>
    <col width="16" customWidth="1" style="508" min="4" max="4"/>
    <col width="16" customWidth="1" style="508" min="5" max="5"/>
    <col width="16" customWidth="1" style="508" min="6" max="6"/>
    <col width="16" customWidth="1" style="508" min="7" max="7"/>
    <col width="16" customWidth="1" style="508" min="8" max="8"/>
    <col width="16" customWidth="1" style="508" min="9" max="9"/>
    <col width="16" customWidth="1" style="508" min="10" max="10"/>
    <col width="16" customWidth="1" style="508" min="11" max="11"/>
    <col width="16" customWidth="1" style="508" min="12" max="12"/>
    <col width="16" customWidth="1" style="508" min="13" max="13"/>
    <col width="16" customWidth="1" style="508" min="14" max="14"/>
    <col width="16" customWidth="1" style="508" min="15" max="15"/>
  </cols>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6" customWidth="1" style="508" min="1" max="1"/>
    <col width="18" customWidth="1" style="508" min="2" max="2"/>
    <col width="16" customWidth="1" style="508" min="3" max="3"/>
    <col width="16" customWidth="1" style="508" min="4" max="4"/>
    <col width="16" customWidth="1" style="508" min="5" max="5"/>
    <col width="16" customWidth="1" style="508" min="6" max="6"/>
    <col width="16" customWidth="1" style="508" min="7" max="7"/>
    <col width="16" customWidth="1" style="508" min="8" max="8"/>
    <col width="16" customWidth="1" style="508" min="9" max="9"/>
    <col width="16" customWidth="1" style="508" min="10" max="10"/>
    <col width="16" customWidth="1" style="508" min="11" max="11"/>
    <col width="16" customWidth="1" style="508" min="12" max="12"/>
    <col width="16" customWidth="1" style="508" min="13" max="13"/>
    <col width="16" customWidth="1" style="508" min="14" max="14"/>
    <col width="16" customWidth="1" style="508" min="15" max="15"/>
  </cols>
  <sheetData>
    <row r="1" ht="28" customHeight="1" s="508">
      <c r="A1" s="1033" t="inlineStr">
        <is>
          <t>06 — Appetite &amp; Insurance</t>
        </is>
      </c>
    </row>
    <row r="2" ht="36" customHeight="1" s="508">
      <c r="A2" s="1034" t="inlineStr">
        <is>
          <t>Risk-appetite thresholds are organisational policy inputs. Insurance programme terms are risk-financing inputs — not pricing.</t>
        </is>
      </c>
    </row>
    <row r="4">
      <c r="A4" s="1035" t="inlineStr">
        <is>
          <t>RISK APPETITE INPUTS (optional — leave blank if unset)</t>
        </is>
      </c>
      <c r="B4" s="1036" t="n"/>
      <c r="C4" s="1036" t="n"/>
      <c r="D4" s="1036" t="n"/>
      <c r="E4" s="1036" t="n"/>
      <c r="F4" s="1036" t="n"/>
      <c r="G4" s="1036" t="n"/>
      <c r="H4" s="1036" t="n"/>
      <c r="I4" s="1036" t="n"/>
      <c r="J4" s="1036" t="n"/>
      <c r="K4" s="1036" t="n"/>
      <c r="L4" s="1036" t="n"/>
    </row>
    <row r="5">
      <c r="A5" s="1037" t="inlineStr">
        <is>
          <t>Parameter</t>
        </is>
      </c>
      <c r="B5" s="1037" t="inlineStr">
        <is>
          <t>Value</t>
        </is>
      </c>
    </row>
    <row r="6">
      <c r="A6" s="1038" t="inlineStr">
        <is>
          <t>ANNUAL_LOSS_TOLERANCE</t>
        </is>
      </c>
      <c r="B6" s="1039" t="n"/>
      <c r="C6" s="1038" t="inlineStr">
        <is>
          <t>Annual aggregate loss tolerance ($)</t>
        </is>
      </c>
    </row>
    <row r="7">
      <c r="A7" s="1038" t="inlineStr">
        <is>
          <t>MAX_ACCEPTABLE_EVENT_PROBABILITY</t>
        </is>
      </c>
      <c r="B7" s="1039" t="n"/>
      <c r="C7" s="1038" t="inlineStr">
        <is>
          <t>Max acceptable annual event probability</t>
        </is>
      </c>
    </row>
    <row r="8">
      <c r="A8" s="1038" t="inlineStr">
        <is>
          <t>MAX_ACCEPTABLE_TVAR_95</t>
        </is>
      </c>
      <c r="B8" s="1039" t="n"/>
      <c r="C8" s="1038" t="inlineStr">
        <is>
          <t>Max acceptable TVaR 95 ($)</t>
        </is>
      </c>
    </row>
    <row r="9">
      <c r="A9" s="1038" t="inlineStr">
        <is>
          <t>MAX_ACCEPTABLE_TVAR_99</t>
        </is>
      </c>
      <c r="B9" s="1039" t="n"/>
      <c r="C9" s="1038" t="inlineStr">
        <is>
          <t>Max acceptable TVaR 99 ($)</t>
        </is>
      </c>
    </row>
    <row r="10">
      <c r="A10" s="1038" t="inlineStr">
        <is>
          <t>MAX_ACCEPTABLE_DOWNTIME_DAYS</t>
        </is>
      </c>
      <c r="B10" s="1039" t="n"/>
      <c r="C10" s="1038" t="inlineStr">
        <is>
          <t>Max acceptable downtime P95 (days)</t>
        </is>
      </c>
    </row>
    <row r="12">
      <c r="A12" s="1035" t="inlineStr">
        <is>
          <t>INSURANCE PROGRAMME INPUTS (risk-financing — not pricing)</t>
        </is>
      </c>
      <c r="B12" s="1036" t="n"/>
      <c r="C12" s="1036" t="n"/>
      <c r="D12" s="1036" t="n"/>
      <c r="E12" s="1036" t="n"/>
      <c r="F12" s="1036" t="n"/>
      <c r="G12" s="1036" t="n"/>
      <c r="H12" s="1036" t="n"/>
      <c r="I12" s="1036" t="n"/>
      <c r="J12" s="1036" t="n"/>
      <c r="K12" s="1036" t="n"/>
      <c r="L12" s="1036" t="n"/>
    </row>
    <row r="13">
      <c r="A13" s="1037" t="inlineStr">
        <is>
          <t>INSURANCE_RETENTION</t>
        </is>
      </c>
      <c r="B13" s="1040" t="n">
        <v>0</v>
      </c>
    </row>
    <row r="14">
      <c r="A14" s="1037" t="inlineStr">
        <is>
          <t>PRIMARY_LIMIT</t>
        </is>
      </c>
      <c r="B14" s="1040" t="n"/>
    </row>
    <row r="15">
      <c r="A15" s="1037" t="inlineStr">
        <is>
          <t>AGGREGATE_PROGRAMME_LIMIT</t>
        </is>
      </c>
      <c r="B15" s="1040" t="n"/>
    </row>
    <row r="17">
      <c r="A17" s="1037" t="inlineStr">
        <is>
          <t>Layer</t>
        </is>
      </c>
      <c r="B17" s="1037" t="inlineStr">
        <is>
          <t>Attachment</t>
        </is>
      </c>
      <c r="C17" s="1037" t="inlineStr">
        <is>
          <t>Limit</t>
        </is>
      </c>
      <c r="D17" s="1037" t="inlineStr">
        <is>
          <t>Coinsurance</t>
        </is>
      </c>
    </row>
    <row r="18">
      <c r="A18" s="1039" t="inlineStr">
        <is>
          <t>Primary</t>
        </is>
      </c>
      <c r="B18" s="1040" t="n"/>
      <c r="C18" s="1040" t="n"/>
      <c r="D18" s="1041" t="n">
        <v>1</v>
      </c>
    </row>
    <row r="19">
      <c r="A19" s="1039" t="inlineStr">
        <is>
          <t>Excess 1</t>
        </is>
      </c>
      <c r="B19" s="1040" t="n"/>
      <c r="C19" s="1040" t="n"/>
      <c r="D19" s="1041" t="n">
        <v>1</v>
      </c>
    </row>
    <row r="20">
      <c r="A20" s="1039" t="inlineStr">
        <is>
          <t>INSURANCE PROGRAMME INPUTS</t>
        </is>
      </c>
      <c r="B20" s="1040" t="n"/>
      <c r="C20" s="1040" t="n"/>
      <c r="D20" s="1041" t="n">
        <v>1</v>
      </c>
    </row>
    <row r="21">
      <c r="A21" s="1039" t="inlineStr">
        <is>
          <t>Excess 3</t>
        </is>
      </c>
      <c r="B21" s="1040" t="n"/>
      <c r="C21" s="1040" t="n"/>
      <c r="D21" s="1041" t="n">
        <v>1</v>
      </c>
    </row>
  </sheetData>
  <mergeCells count="2">
    <mergeCell ref="A2:L2"/>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cols>
    <col width="36" customWidth="1" style="508" min="1" max="1"/>
    <col width="18" customWidth="1" style="508" min="2" max="2"/>
    <col width="16" customWidth="1" style="508" min="3" max="3"/>
    <col width="16" customWidth="1" style="508" min="4" max="4"/>
    <col width="16" customWidth="1" style="508" min="5" max="5"/>
    <col width="16" customWidth="1" style="508" min="6" max="6"/>
    <col width="16" customWidth="1" style="508" min="7" max="7"/>
    <col width="16" customWidth="1" style="508" min="8" max="8"/>
    <col width="16" customWidth="1" style="508" min="9" max="9"/>
    <col width="16" customWidth="1" style="508" min="10" max="10"/>
    <col width="16" customWidth="1" style="508" min="11" max="11"/>
    <col width="16" customWidth="1" style="508" min="12" max="12"/>
    <col width="16" customWidth="1" style="508" min="13" max="13"/>
    <col width="16" customWidth="1" style="508" min="14" max="14"/>
    <col width="16" customWidth="1" style="508" min="15" max="15"/>
  </cols>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N50"/>
  <sheetViews>
    <sheetView workbookViewId="0">
      <selection activeCell="A1" sqref="A1"/>
    </sheetView>
  </sheetViews>
  <sheetFormatPr baseColWidth="8" defaultRowHeight="15"/>
  <cols>
    <col width="12" customWidth="1" style="508" min="1" max="1"/>
    <col width="12" customWidth="1" style="508" min="2" max="2"/>
    <col width="12" customWidth="1" style="508" min="3" max="3"/>
    <col width="12" customWidth="1" style="508" min="4" max="4"/>
    <col width="12" customWidth="1" style="508" min="5" max="5"/>
    <col width="12" customWidth="1" style="508" min="6" max="6"/>
    <col width="12" customWidth="1" style="508" min="7" max="7"/>
    <col width="12" customWidth="1" style="508" min="8" max="8"/>
    <col width="12" customWidth="1" style="508" min="9" max="9"/>
    <col width="12" customWidth="1" style="508" min="10" max="10"/>
    <col width="12" customWidth="1" style="508" min="11" max="11"/>
    <col width="12" customWidth="1" style="508" min="12" max="12"/>
    <col width="12" customWidth="1" style="508" min="13" max="13"/>
    <col width="12" customWidth="1" style="508" min="14" max="14"/>
  </cols>
  <sheetData>
    <row r="1" ht="30" customHeight="1" s="508">
      <c r="A1" s="838" t="inlineStr">
        <is>
          <t>IT / OT CYBER RISK QUANTIFICATION | EXECUTIVE DASHBOARD</t>
        </is>
      </c>
    </row>
    <row r="2" ht="32" customHeight="1" s="508">
      <c r="A2" s="842" t="inlineStr">
        <is>
          <t>Common decision view. The selected sector determines the governed calculation engine; dashboard metrics read the normalized output bridge.</t>
        </is>
      </c>
    </row>
    <row r="4">
      <c r="A4" s="888" t="inlineStr">
        <is>
          <t>Sector</t>
        </is>
      </c>
      <c r="B4" s="888">
        <f>'00 COMMON - Output Bridge'!B6</f>
        <v/>
      </c>
      <c r="C4" s="888" t="inlineStr">
        <is>
          <t>Domain</t>
        </is>
      </c>
      <c r="D4" s="888">
        <f>'00 COMMON - Output Bridge'!B7</f>
        <v/>
      </c>
      <c r="E4" s="888" t="inlineStr">
        <is>
          <t>Pack</t>
        </is>
      </c>
      <c r="F4" s="888">
        <f>'00 COMMON - Output Bridge'!B9</f>
        <v/>
      </c>
      <c r="G4" s="888" t="inlineStr">
        <is>
          <t>Basis</t>
        </is>
      </c>
      <c r="H4" s="888">
        <f>IF('00 COMMON - Run Setup'!C6="IT",'IT 08 - Reporting Settings'!B16,'00 COMMON - Run Setup'!C9)</f>
        <v/>
      </c>
      <c r="I4" s="888" t="inlineStr">
        <is>
          <t>Outside-in</t>
        </is>
      </c>
      <c r="J4" s="888">
        <f>'00 COMMON - Run Setup'!C10</f>
        <v/>
      </c>
      <c r="K4" s="888" t="inlineStr">
        <is>
          <t>Asset / scope</t>
        </is>
      </c>
      <c r="L4" s="888">
        <f>'00 COMMON - Output Bridge'!B8</f>
        <v/>
      </c>
      <c r="M4" s="888" t="n"/>
      <c r="N4" s="888" t="n"/>
    </row>
    <row r="5">
      <c r="A5" s="972" t="n"/>
      <c r="B5" s="972" t="n"/>
      <c r="C5" s="972" t="n"/>
      <c r="D5" s="972" t="n"/>
      <c r="E5" s="972" t="n"/>
      <c r="F5" s="972" t="n"/>
      <c r="G5" s="972" t="n"/>
      <c r="H5" s="972" t="n"/>
      <c r="I5" s="972" t="n"/>
      <c r="J5" s="972" t="n"/>
      <c r="K5" s="972" t="n"/>
      <c r="L5" s="972" t="n"/>
      <c r="M5" s="972" t="n"/>
      <c r="N5" s="972" t="n"/>
    </row>
    <row r="7">
      <c r="A7" s="890" t="inlineStr">
        <is>
          <t>ANNUAL AVERAGE LOSS</t>
        </is>
      </c>
      <c r="D7" s="890" t="inlineStr">
        <is>
          <t>TVaR 95%</t>
        </is>
      </c>
      <c r="G7" s="890" t="inlineStr">
        <is>
          <t>TVaR 99%</t>
        </is>
      </c>
      <c r="J7" s="890" t="inlineStr">
        <is>
          <t>P(ANY SUCCESSFUL EVENT)</t>
        </is>
      </c>
      <c r="M7" s="890" t="inlineStr">
        <is>
          <t>CAMPAIGNS / YEAR</t>
        </is>
      </c>
    </row>
    <row r="8">
      <c r="A8" s="997">
        <f>IF('00 COMMON - Run Setup'!C9="Best Estimate",'00 COMMON - Output Bridge'!B15,'00 COMMON - Output Bridge'!C15)</f>
        <v/>
      </c>
      <c r="D8" s="997">
        <f>IF('00 COMMON - Run Setup'!C9="Best Estimate",'00 COMMON - Output Bridge'!B17,'00 COMMON - Output Bridge'!C17)</f>
        <v/>
      </c>
      <c r="G8" s="997">
        <f>IF('00 COMMON - Run Setup'!C9="Best Estimate",'00 COMMON - Output Bridge'!B19,'00 COMMON - Output Bridge'!C19)</f>
        <v/>
      </c>
      <c r="J8" s="896">
        <f>IF('00 COMMON - Run Setup'!C9="Best Estimate",'00 COMMON - Output Bridge'!B20,'00 COMMON - Output Bridge'!C20)</f>
        <v/>
      </c>
      <c r="M8" s="897">
        <f>IF('00 COMMON - Run Setup'!C9="Best Estimate",'00 COMMON - Output Bridge'!B21,'00 COMMON - Output Bridge'!C21)</f>
        <v/>
      </c>
    </row>
    <row r="9"/>
    <row r="12" ht="22" customHeight="1" s="508">
      <c r="A12" s="845" t="inlineStr">
        <is>
          <t>AGGREGATE LOSS EXCEEDANCE</t>
        </is>
      </c>
    </row>
    <row r="13" ht="30" customHeight="1" s="508">
      <c r="A13" s="851" t="inlineStr">
        <is>
          <t>Exceedance probability</t>
        </is>
      </c>
      <c r="B13" s="851" t="inlineStr">
        <is>
          <t>AEP</t>
        </is>
      </c>
      <c r="C13" s="851" t="inlineStr">
        <is>
          <t>OEP</t>
        </is>
      </c>
    </row>
    <row r="14">
      <c r="A14" s="876">
        <f>'00 COMMON - Output Bridge'!A43</f>
        <v/>
      </c>
      <c r="B14" s="998">
        <f>IF('00 COMMON - Run Setup'!C9="Best Estimate",'00 COMMON - Output Bridge'!B43,'00 COMMON - Output Bridge'!D43)</f>
        <v/>
      </c>
      <c r="C14" s="998">
        <f>IF('00 COMMON - Run Setup'!C9="Best Estimate",'00 COMMON - Output Bridge'!C43,'00 COMMON - Output Bridge'!E43)</f>
        <v/>
      </c>
    </row>
    <row r="15">
      <c r="A15" s="876">
        <f>'00 COMMON - Output Bridge'!A44</f>
        <v/>
      </c>
      <c r="B15" s="998">
        <f>IF('00 COMMON - Run Setup'!C9="Best Estimate",'00 COMMON - Output Bridge'!B44,'00 COMMON - Output Bridge'!D44)</f>
        <v/>
      </c>
      <c r="C15" s="998">
        <f>IF('00 COMMON - Run Setup'!C9="Best Estimate",'00 COMMON - Output Bridge'!C44,'00 COMMON - Output Bridge'!E44)</f>
        <v/>
      </c>
    </row>
    <row r="16">
      <c r="A16" s="876">
        <f>'00 COMMON - Output Bridge'!A45</f>
        <v/>
      </c>
      <c r="B16" s="998">
        <f>IF('00 COMMON - Run Setup'!C9="Best Estimate",'00 COMMON - Output Bridge'!B45,'00 COMMON - Output Bridge'!D45)</f>
        <v/>
      </c>
      <c r="C16" s="998">
        <f>IF('00 COMMON - Run Setup'!C9="Best Estimate",'00 COMMON - Output Bridge'!C45,'00 COMMON - Output Bridge'!E45)</f>
        <v/>
      </c>
    </row>
    <row r="17">
      <c r="A17" s="876">
        <f>'00 COMMON - Output Bridge'!A46</f>
        <v/>
      </c>
      <c r="B17" s="998">
        <f>IF('00 COMMON - Run Setup'!C9="Best Estimate",'00 COMMON - Output Bridge'!B46,'00 COMMON - Output Bridge'!D46)</f>
        <v/>
      </c>
      <c r="C17" s="998">
        <f>IF('00 COMMON - Run Setup'!C9="Best Estimate",'00 COMMON - Output Bridge'!C46,'00 COMMON - Output Bridge'!E46)</f>
        <v/>
      </c>
    </row>
    <row r="18">
      <c r="A18" s="876">
        <f>'00 COMMON - Output Bridge'!A47</f>
        <v/>
      </c>
      <c r="B18" s="998">
        <f>IF('00 COMMON - Run Setup'!C9="Best Estimate",'00 COMMON - Output Bridge'!B47,'00 COMMON - Output Bridge'!D47)</f>
        <v/>
      </c>
      <c r="C18" s="998">
        <f>IF('00 COMMON - Run Setup'!C9="Best Estimate",'00 COMMON - Output Bridge'!C47,'00 COMMON - Output Bridge'!E47)</f>
        <v/>
      </c>
    </row>
    <row r="19">
      <c r="A19" s="876">
        <f>'00 COMMON - Output Bridge'!A48</f>
        <v/>
      </c>
      <c r="B19" s="998">
        <f>IF('00 COMMON - Run Setup'!C9="Best Estimate",'00 COMMON - Output Bridge'!B48,'00 COMMON - Output Bridge'!D48)</f>
        <v/>
      </c>
      <c r="C19" s="998">
        <f>IF('00 COMMON - Run Setup'!C9="Best Estimate",'00 COMMON - Output Bridge'!C48,'00 COMMON - Output Bridge'!E48)</f>
        <v/>
      </c>
    </row>
    <row r="20">
      <c r="A20" s="876">
        <f>'00 COMMON - Output Bridge'!A49</f>
        <v/>
      </c>
      <c r="B20" s="998">
        <f>IF('00 COMMON - Run Setup'!C9="Best Estimate",'00 COMMON - Output Bridge'!B49,'00 COMMON - Output Bridge'!D49)</f>
        <v/>
      </c>
      <c r="C20" s="998">
        <f>IF('00 COMMON - Run Setup'!C9="Best Estimate",'00 COMMON - Output Bridge'!C49,'00 COMMON - Output Bridge'!E49)</f>
        <v/>
      </c>
    </row>
    <row r="21">
      <c r="A21" s="876">
        <f>'00 COMMON - Output Bridge'!A50</f>
        <v/>
      </c>
      <c r="B21" s="998">
        <f>IF('00 COMMON - Run Setup'!C9="Best Estimate",'00 COMMON - Output Bridge'!B50,'00 COMMON - Output Bridge'!D50)</f>
        <v/>
      </c>
      <c r="C21" s="998">
        <f>IF('00 COMMON - Run Setup'!C9="Best Estimate",'00 COMMON - Output Bridge'!C50,'00 COMMON - Output Bridge'!E50)</f>
        <v/>
      </c>
    </row>
    <row r="22">
      <c r="A22" s="876">
        <f>'00 COMMON - Output Bridge'!A51</f>
        <v/>
      </c>
      <c r="B22" s="998">
        <f>IF('00 COMMON - Run Setup'!C9="Best Estimate",'00 COMMON - Output Bridge'!B51,'00 COMMON - Output Bridge'!D51)</f>
        <v/>
      </c>
      <c r="C22" s="998">
        <f>IF('00 COMMON - Run Setup'!C9="Best Estimate",'00 COMMON - Output Bridge'!C51,'00 COMMON - Output Bridge'!E51)</f>
        <v/>
      </c>
    </row>
    <row r="23">
      <c r="A23" s="876">
        <f>'00 COMMON - Output Bridge'!A52</f>
        <v/>
      </c>
      <c r="B23" s="998">
        <f>IF('00 COMMON - Run Setup'!C9="Best Estimate",'00 COMMON - Output Bridge'!B52,'00 COMMON - Output Bridge'!D52)</f>
        <v/>
      </c>
      <c r="C23" s="998">
        <f>IF('00 COMMON - Run Setup'!C9="Best Estimate",'00 COMMON - Output Bridge'!C52,'00 COMMON - Output Bridge'!E52)</f>
        <v/>
      </c>
    </row>
    <row r="24">
      <c r="A24" s="876">
        <f>'00 COMMON - Output Bridge'!A53</f>
        <v/>
      </c>
      <c r="B24" s="998">
        <f>IF('00 COMMON - Run Setup'!C9="Best Estimate",'00 COMMON - Output Bridge'!B53,'00 COMMON - Output Bridge'!D53)</f>
        <v/>
      </c>
      <c r="C24" s="998">
        <f>IF('00 COMMON - Run Setup'!C9="Best Estimate",'00 COMMON - Output Bridge'!C53,'00 COMMON - Output Bridge'!E53)</f>
        <v/>
      </c>
    </row>
    <row r="29" ht="22" customHeight="1" s="508">
      <c r="A29" s="845" t="inlineStr">
        <is>
          <t>RISK CONCENTRATION</t>
        </is>
      </c>
    </row>
    <row r="30" ht="30" customHeight="1" s="508">
      <c r="A30" s="851" t="inlineStr">
        <is>
          <t>Threat actor</t>
        </is>
      </c>
      <c r="B30" s="851" t="inlineStr">
        <is>
          <t>AAL</t>
        </is>
      </c>
      <c r="I30" s="851" t="inlineStr">
        <is>
          <t>Scenario</t>
        </is>
      </c>
      <c r="J30" s="851" t="inlineStr">
        <is>
          <t>AAL</t>
        </is>
      </c>
    </row>
    <row r="31">
      <c r="A31" s="918">
        <f>'00 COMMON - Output Bridge'!A27</f>
        <v/>
      </c>
      <c r="B31" s="998">
        <f>'00 COMMON - Output Bridge'!B27</f>
        <v/>
      </c>
      <c r="I31" s="918">
        <f>'00 COMMON - Output Bridge'!A34</f>
        <v/>
      </c>
      <c r="J31" s="998">
        <f>'00 COMMON - Output Bridge'!B34</f>
        <v/>
      </c>
    </row>
    <row r="32">
      <c r="A32" s="918">
        <f>'00 COMMON - Output Bridge'!A28</f>
        <v/>
      </c>
      <c r="B32" s="998">
        <f>'00 COMMON - Output Bridge'!B28</f>
        <v/>
      </c>
      <c r="I32" s="918">
        <f>'00 COMMON - Output Bridge'!A35</f>
        <v/>
      </c>
      <c r="J32" s="998">
        <f>'00 COMMON - Output Bridge'!B35</f>
        <v/>
      </c>
    </row>
    <row r="33">
      <c r="A33" s="918">
        <f>'00 COMMON - Output Bridge'!A29</f>
        <v/>
      </c>
      <c r="B33" s="998">
        <f>'00 COMMON - Output Bridge'!B29</f>
        <v/>
      </c>
      <c r="I33" s="918">
        <f>'00 COMMON - Output Bridge'!A36</f>
        <v/>
      </c>
      <c r="J33" s="998">
        <f>'00 COMMON - Output Bridge'!B36</f>
        <v/>
      </c>
    </row>
    <row r="34">
      <c r="A34" s="972">
        <f>'00 COMMON - Output Bridge'!A30</f>
        <v/>
      </c>
      <c r="B34" s="972">
        <f>'00 COMMON - Output Bridge'!B30</f>
        <v/>
      </c>
      <c r="I34" s="918">
        <f>'00 COMMON - Output Bridge'!A37</f>
        <v/>
      </c>
      <c r="J34" s="998">
        <f>'00 COMMON - Output Bridge'!B37</f>
        <v/>
      </c>
    </row>
    <row r="35">
      <c r="I35" s="918">
        <f>'00 COMMON - Output Bridge'!A38</f>
        <v/>
      </c>
      <c r="J35" s="998">
        <f>'00 COMMON - Output Bridge'!B38</f>
        <v/>
      </c>
    </row>
    <row r="46" ht="22" customHeight="1" s="508">
      <c r="A46" s="845" t="inlineStr">
        <is>
          <t>OUTSIDE-IN CONDITIONING STATUS</t>
        </is>
      </c>
    </row>
    <row r="47">
      <c r="A47" s="973" t="inlineStr">
        <is>
          <t>Scan applied?</t>
        </is>
      </c>
      <c r="B47" s="973">
        <f>'00 COMMON - Run Setup'!C10</f>
        <v/>
      </c>
      <c r="C47" s="973" t="inlineStr">
        <is>
          <t>Normalized file</t>
        </is>
      </c>
      <c r="D47" s="973">
        <f>'00 COMMON - Run Setup'!C11</f>
        <v/>
      </c>
      <c r="E47" s="973" t="n"/>
      <c r="F47" s="973" t="n"/>
      <c r="G47" s="973" t="inlineStr">
        <is>
          <t>Finding count</t>
        </is>
      </c>
      <c r="H47" s="973">
        <f>'00 COMMON - Outside-In'!B10</f>
        <v/>
      </c>
      <c r="I47" s="973" t="inlineStr">
        <is>
          <t>Quantitative adjustments</t>
        </is>
      </c>
      <c r="J47" s="973">
        <f>'00 COMMON - Outside-In'!B11</f>
        <v/>
      </c>
      <c r="K47" s="973" t="inlineStr">
        <is>
          <t>Baseline retained?</t>
        </is>
      </c>
      <c r="L47" s="973">
        <f>IF('00 COMMON - Run Setup'!C10="No","Yes","See rationale register")</f>
        <v/>
      </c>
      <c r="M47" s="973" t="n"/>
      <c r="N47" s="973" t="n"/>
    </row>
    <row r="48">
      <c r="A48" s="973" t="n"/>
      <c r="B48" s="973" t="n"/>
      <c r="C48" s="973" t="n"/>
      <c r="D48" s="973" t="n"/>
      <c r="E48" s="973" t="n"/>
      <c r="F48" s="973" t="n"/>
      <c r="G48" s="973" t="n"/>
      <c r="H48" s="973" t="n"/>
      <c r="I48" s="973" t="n"/>
      <c r="J48" s="973" t="n"/>
      <c r="K48" s="973" t="n"/>
      <c r="L48" s="973" t="n"/>
      <c r="M48" s="973" t="n"/>
      <c r="N48" s="973" t="n"/>
    </row>
    <row r="49">
      <c r="A49" s="973" t="inlineStr">
        <is>
          <t>Interpretation</t>
        </is>
      </c>
      <c r="B49" s="973" t="inlineStr">
        <is>
          <t>No scan is a valid model state. When a scan is used, the final result must remain explainable through 00 OI Adjustment Rationale; no opaque scan-score multiplier is permitted.</t>
        </is>
      </c>
    </row>
    <row r="50">
      <c r="A50" s="973" t="n"/>
    </row>
  </sheetData>
  <mergeCells count="16">
    <mergeCell ref="J7:L7"/>
    <mergeCell ref="A12:H12"/>
    <mergeCell ref="M7:N7"/>
    <mergeCell ref="A1:N1"/>
    <mergeCell ref="A2:N2"/>
    <mergeCell ref="B49:N50"/>
    <mergeCell ref="A8:C9"/>
    <mergeCell ref="A29:N29"/>
    <mergeCell ref="G8:I9"/>
    <mergeCell ref="A7:C7"/>
    <mergeCell ref="J8:L9"/>
    <mergeCell ref="D7:F7"/>
    <mergeCell ref="A46:N46"/>
    <mergeCell ref="G7:I7"/>
    <mergeCell ref="D8:F9"/>
    <mergeCell ref="M8:N9"/>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00548235"/>
    <outlinePr summaryBelow="1" summaryRight="1"/>
    <pageSetUpPr/>
  </sheetPr>
  <dimension ref="A1:N25"/>
  <sheetViews>
    <sheetView workbookViewId="0">
      <selection activeCell="A1" sqref="A1"/>
    </sheetView>
  </sheetViews>
  <sheetFormatPr baseColWidth="8" defaultRowHeight="15"/>
  <cols>
    <col width="18" customWidth="1" style="508" min="1" max="1"/>
    <col width="18" customWidth="1" style="508" min="2" max="2"/>
    <col width="18" customWidth="1" style="508" min="3" max="3"/>
    <col width="18" customWidth="1" style="508" min="4" max="4"/>
    <col width="18" customWidth="1" style="508" min="5" max="5"/>
    <col width="18" customWidth="1" style="508" min="6" max="6"/>
    <col width="18" customWidth="1" style="508" min="7" max="7"/>
    <col width="12" customWidth="1" style="508" min="8" max="8"/>
    <col width="12" customWidth="1" style="508" min="9" max="9"/>
    <col width="12" customWidth="1" style="508" min="10" max="10"/>
    <col width="12" customWidth="1" style="508" min="11" max="11"/>
    <col width="12" customWidth="1" style="508" min="12" max="12"/>
    <col width="12" customWidth="1" style="508" min="13" max="13"/>
    <col width="12" customWidth="1" style="508" min="14" max="14"/>
  </cols>
  <sheetData>
    <row r="1" ht="30" customHeight="1" s="508">
      <c r="A1" s="838" t="inlineStr">
        <is>
          <t>IT / OT CYBER RISK QUANTIFICATION | RISK DRIVERS</t>
        </is>
      </c>
    </row>
    <row r="2" ht="32" customHeight="1" s="508">
      <c r="A2" s="842" t="inlineStr">
        <is>
          <t>OT view: drill from actor/scenario into the five composite stages. For an IT run, the common runner should populate the normalized route/stage bridge using the IT route model rather than forcing OT stages.</t>
        </is>
      </c>
    </row>
    <row r="4">
      <c r="A4" s="972" t="inlineStr">
        <is>
          <t>Threat actor</t>
        </is>
      </c>
      <c r="B4" s="899" t="inlineStr">
        <is>
          <t>Nation State</t>
        </is>
      </c>
      <c r="C4" s="972" t="inlineStr">
        <is>
          <t>Scenario</t>
        </is>
      </c>
      <c r="D4" s="972" t="inlineStr">
        <is>
          <t>Operational Disruption</t>
        </is>
      </c>
      <c r="E4" s="972" t="inlineStr">
        <is>
          <t>Detailed view</t>
        </is>
      </c>
      <c r="F4" s="972" t="inlineStr">
        <is>
          <t>Current engine output</t>
        </is>
      </c>
    </row>
    <row r="5">
      <c r="A5" s="972" t="n"/>
      <c r="B5" s="972" t="n"/>
      <c r="C5" s="972" t="n"/>
      <c r="D5" s="972" t="n"/>
      <c r="E5" s="972" t="n"/>
      <c r="F5" s="972" t="n"/>
    </row>
    <row r="7" ht="22" customHeight="1" s="508">
      <c r="A7" s="845" t="inlineStr">
        <is>
          <t>SELECTED ACTOR × SCENARIO</t>
        </is>
      </c>
    </row>
    <row r="8">
      <c r="A8" s="972" t="inlineStr">
        <is>
          <t>Attempts / yr</t>
        </is>
      </c>
      <c r="B8" s="900">
        <f>IF('00 COMMON - Run Setup'!C6="OT",SUMIFS('OT CALC - Threat Frequency'!L16:L30,'OT CALC - Threat Frequency'!A16:A30,B4,'OT CALC - Threat Frequency'!B16:B30,D4),"")</f>
        <v/>
      </c>
      <c r="C8" s="972" t="inlineStr">
        <is>
          <t>P(success)</t>
        </is>
      </c>
      <c r="D8" s="506">
        <f>IFERROR(IF('00 COMMON - Run Setup'!C6="OT",SUMIFS('OT CALC - Threat Frequency'!M16:M30,'OT CALC - Threat Frequency'!A16:A30,B4,'OT CALC - Threat Frequency'!B16:B30,D4),""),"")</f>
        <v/>
      </c>
      <c r="E8" s="972" t="inlineStr">
        <is>
          <t>Successful events / yr</t>
        </is>
      </c>
      <c r="F8" s="972">
        <f>IF('00 COMMON - Run Setup'!C6="OT",SUMIFS('OT CALC - Threat Frequency'!N16:N30,'OT CALC - Threat Frequency'!A16:A30,B4,'OT CALC - Threat Frequency'!B16:B30,D4),"")</f>
        <v/>
      </c>
      <c r="G8" s="972" t="inlineStr">
        <is>
          <t>AAL contribution</t>
        </is>
      </c>
      <c r="H8" s="999">
        <f>IF('00 COMMON - Run Setup'!C6="OT",INDEX('OT CALC - Actor-Scenario Matrix'!B16:F18,MATCH(B4,'OT CALC - Actor-Scenario Matrix'!A16:A18,0),MATCH(D4,'OT CALC - Actor-Scenario Matrix'!B15:F15,0)),"")</f>
        <v/>
      </c>
    </row>
    <row r="9">
      <c r="A9" s="972" t="n"/>
      <c r="B9" s="972" t="n"/>
      <c r="C9" s="972" t="n"/>
      <c r="D9" s="972" t="n"/>
      <c r="E9" s="972" t="n"/>
      <c r="F9" s="972" t="n"/>
      <c r="G9" s="972" t="n"/>
      <c r="H9" s="972" t="n"/>
    </row>
    <row r="12" ht="22" customHeight="1" s="508">
      <c r="A12" s="845" t="inlineStr">
        <is>
          <t>COMPOSITE ATTACK-PATH STAGES</t>
        </is>
      </c>
    </row>
    <row r="13" ht="30" customHeight="1" s="508">
      <c r="A13" s="851" t="inlineStr">
        <is>
          <t>Stage</t>
        </is>
      </c>
      <c r="B13" s="851" t="inlineStr">
        <is>
          <t>Required?</t>
        </is>
      </c>
      <c r="C13" s="851" t="inlineStr">
        <is>
          <t>Relevant TTPs</t>
        </is>
      </c>
      <c r="D13" s="851" t="inlineStr">
        <is>
          <t>Reference prior</t>
        </is>
      </c>
      <c r="E13" s="851" t="inlineStr">
        <is>
          <t>Actual barrier</t>
        </is>
      </c>
      <c r="F13" s="851" t="inlineStr">
        <is>
          <t>Through probability</t>
        </is>
      </c>
      <c r="G13" s="851" t="inlineStr">
        <is>
          <t>Interpretation</t>
        </is>
      </c>
    </row>
    <row r="14">
      <c r="A14" s="918" t="inlineStr">
        <is>
          <t>S1</t>
        </is>
      </c>
      <c r="B14" s="918">
        <f>IF('00 COMMON - Run Setup'!C6="OT",IF(COUNTIFS('OT CALC - Attack Path'!A16:A200,$B$4,'OT CALC - Attack Path'!B16:B200,$D$4,'OT CALC - Attack Path'!C16:C200,A14,'OT CALC - Attack Path'!D16:D200,"Yes")&gt;0,"Yes","No"),"")</f>
        <v/>
      </c>
      <c r="C14" s="918">
        <f>IF('00 COMMON - Run Setup'!C6="OT",SUMIFS('OT CALC - Attack Path'!E16:E200,'OT CALC - Attack Path'!A16:A200,$B$4,'OT CALC - Attack Path'!B16:B200,$D$4,'OT CALC - Attack Path'!C16:C200,A14),"")</f>
        <v/>
      </c>
      <c r="D14" s="876">
        <f>IF('00 COMMON - Run Setup'!C6="OT",SUMIFS('OT CALC - Attack Path'!H16:H200,'OT CALC - Attack Path'!A16:A200,$B$4,'OT CALC - Attack Path'!B16:B200,$D$4,'OT CALC - Attack Path'!C16:C200,A14),"")</f>
        <v/>
      </c>
      <c r="E14" s="876">
        <f>IF('00 COMMON - Run Setup'!C6="OT",SUMIFS('OT CALC - Attack Path'!J16:J200,'OT CALC - Attack Path'!A16:A200,$B$4,'OT CALC - Attack Path'!B16:B200,$D$4,'OT CALC - Attack Path'!C16:C200,A14),"")</f>
        <v/>
      </c>
      <c r="F14" s="876">
        <f>IF('00 COMMON - Run Setup'!C6="OT",SUMIFS('OT CALC - Attack Path'!L16:L200,'OT CALC - Attack Path'!A16:A200,$B$4,'OT CALC - Attack Path'!B16:B200,$D$4,'OT CALC - Attack Path'!C16:C200,A14),"")</f>
        <v/>
      </c>
      <c r="G14" s="918" t="inlineStr">
        <is>
          <t>Initial access</t>
        </is>
      </c>
    </row>
    <row r="15">
      <c r="A15" s="918" t="inlineStr">
        <is>
          <t>S2</t>
        </is>
      </c>
      <c r="B15" s="918">
        <f>IF('00 COMMON - Run Setup'!C6="OT",IF(COUNTIFS('OT CALC - Attack Path'!A16:A200,$B$4,'OT CALC - Attack Path'!B16:B200,$D$4,'OT CALC - Attack Path'!C16:C200,A15,'OT CALC - Attack Path'!D16:D200,"Yes")&gt;0,"Yes","No"),"")</f>
        <v/>
      </c>
      <c r="C15" s="918">
        <f>IF('00 COMMON - Run Setup'!C6="OT",SUMIFS('OT CALC - Attack Path'!E16:E200,'OT CALC - Attack Path'!A16:A200,$B$4,'OT CALC - Attack Path'!B16:B200,$D$4,'OT CALC - Attack Path'!C16:C200,A15),"")</f>
        <v/>
      </c>
      <c r="D15" s="876">
        <f>IF('00 COMMON - Run Setup'!C6="OT",SUMIFS('OT CALC - Attack Path'!H16:H200,'OT CALC - Attack Path'!A16:A200,$B$4,'OT CALC - Attack Path'!B16:B200,$D$4,'OT CALC - Attack Path'!C16:C200,A15),"")</f>
        <v/>
      </c>
      <c r="E15" s="876">
        <f>IF('00 COMMON - Run Setup'!C6="OT",SUMIFS('OT CALC - Attack Path'!J16:J200,'OT CALC - Attack Path'!A16:A200,$B$4,'OT CALC - Attack Path'!B16:B200,$D$4,'OT CALC - Attack Path'!C16:C200,A15),"")</f>
        <v/>
      </c>
      <c r="F15" s="876">
        <f>IF('00 COMMON - Run Setup'!C6="OT",SUMIFS('OT CALC - Attack Path'!L16:L200,'OT CALC - Attack Path'!A16:A200,$B$4,'OT CALC - Attack Path'!B16:B200,$D$4,'OT CALC - Attack Path'!C16:C200,A15),"")</f>
        <v/>
      </c>
      <c r="G15" s="918" t="inlineStr">
        <is>
          <t>Establish presence</t>
        </is>
      </c>
    </row>
    <row r="16">
      <c r="A16" s="918" t="inlineStr">
        <is>
          <t>S3</t>
        </is>
      </c>
      <c r="B16" s="918">
        <f>IF('00 COMMON - Run Setup'!C6="OT",IF(COUNTIFS('OT CALC - Attack Path'!A16:A200,$B$4,'OT CALC - Attack Path'!B16:B200,$D$4,'OT CALC - Attack Path'!C16:C200,A16,'OT CALC - Attack Path'!D16:D200,"Yes")&gt;0,"Yes","No"),"")</f>
        <v/>
      </c>
      <c r="C16" s="918">
        <f>IF('00 COMMON - Run Setup'!C6="OT",SUMIFS('OT CALC - Attack Path'!E16:E200,'OT CALC - Attack Path'!A16:A200,$B$4,'OT CALC - Attack Path'!B16:B200,$D$4,'OT CALC - Attack Path'!C16:C200,A16),"")</f>
        <v/>
      </c>
      <c r="D16" s="876">
        <f>IF('00 COMMON - Run Setup'!C6="OT",SUMIFS('OT CALC - Attack Path'!H16:H200,'OT CALC - Attack Path'!A16:A200,$B$4,'OT CALC - Attack Path'!B16:B200,$D$4,'OT CALC - Attack Path'!C16:C200,A16),"")</f>
        <v/>
      </c>
      <c r="E16" s="876">
        <f>IF('00 COMMON - Run Setup'!C6="OT",SUMIFS('OT CALC - Attack Path'!J16:J200,'OT CALC - Attack Path'!A16:A200,$B$4,'OT CALC - Attack Path'!B16:B200,$D$4,'OT CALC - Attack Path'!C16:C200,A16),"")</f>
        <v/>
      </c>
      <c r="F16" s="876">
        <f>IF('00 COMMON - Run Setup'!C6="OT",SUMIFS('OT CALC - Attack Path'!L16:L200,'OT CALC - Attack Path'!A16:A200,$B$4,'OT CALC - Attack Path'!B16:B200,$D$4,'OT CALC - Attack Path'!C16:C200,A16),"")</f>
        <v/>
      </c>
      <c r="G16" s="918" t="inlineStr">
        <is>
          <t>Move into OT</t>
        </is>
      </c>
    </row>
    <row r="17">
      <c r="A17" s="918" t="inlineStr">
        <is>
          <t>S4</t>
        </is>
      </c>
      <c r="B17" s="918">
        <f>IF('00 COMMON - Run Setup'!C6="OT",IF(COUNTIFS('OT CALC - Attack Path'!A16:A200,$B$4,'OT CALC - Attack Path'!B16:B200,$D$4,'OT CALC - Attack Path'!C16:C200,A17,'OT CALC - Attack Path'!D16:D200,"Yes")&gt;0,"Yes","No"),"")</f>
        <v/>
      </c>
      <c r="C17" s="918">
        <f>IF('00 COMMON - Run Setup'!C6="OT",SUMIFS('OT CALC - Attack Path'!E16:E200,'OT CALC - Attack Path'!A16:A200,$B$4,'OT CALC - Attack Path'!B16:B200,$D$4,'OT CALC - Attack Path'!C16:C200,A17),"")</f>
        <v/>
      </c>
      <c r="D17" s="876">
        <f>IF('00 COMMON - Run Setup'!C6="OT",SUMIFS('OT CALC - Attack Path'!H16:H200,'OT CALC - Attack Path'!A16:A200,$B$4,'OT CALC - Attack Path'!B16:B200,$D$4,'OT CALC - Attack Path'!C16:C200,A17),"")</f>
        <v/>
      </c>
      <c r="E17" s="876">
        <f>IF('00 COMMON - Run Setup'!C6="OT",SUMIFS('OT CALC - Attack Path'!J16:J200,'OT CALC - Attack Path'!A16:A200,$B$4,'OT CALC - Attack Path'!B16:B200,$D$4,'OT CALC - Attack Path'!C16:C200,A17),"")</f>
        <v/>
      </c>
      <c r="F17" s="876">
        <f>IF('00 COMMON - Run Setup'!C6="OT",SUMIFS('OT CALC - Attack Path'!L16:L200,'OT CALC - Attack Path'!A16:A200,$B$4,'OT CALC - Attack Path'!B16:B200,$D$4,'OT CALC - Attack Path'!C16:C200,A17),"")</f>
        <v/>
      </c>
      <c r="G17" s="918" t="inlineStr">
        <is>
          <t>Understand the process</t>
        </is>
      </c>
    </row>
    <row r="18">
      <c r="A18" s="918" t="inlineStr">
        <is>
          <t>S5</t>
        </is>
      </c>
      <c r="B18" s="918">
        <f>IF('00 COMMON - Run Setup'!C6="OT",IF(COUNTIFS('OT CALC - Attack Path'!A16:A200,$B$4,'OT CALC - Attack Path'!B16:B200,$D$4,'OT CALC - Attack Path'!C16:C200,A18,'OT CALC - Attack Path'!D16:D200,"Yes")&gt;0,"Yes","No"),"")</f>
        <v/>
      </c>
      <c r="C18" s="918">
        <f>IF('00 COMMON - Run Setup'!C6="OT",SUMIFS('OT CALC - Attack Path'!E16:E200,'OT CALC - Attack Path'!A16:A200,$B$4,'OT CALC - Attack Path'!B16:B200,$D$4,'OT CALC - Attack Path'!C16:C200,A18),"")</f>
        <v/>
      </c>
      <c r="D18" s="876">
        <f>IF('00 COMMON - Run Setup'!C6="OT",SUMIFS('OT CALC - Attack Path'!H16:H200,'OT CALC - Attack Path'!A16:A200,$B$4,'OT CALC - Attack Path'!B16:B200,$D$4,'OT CALC - Attack Path'!C16:C200,A18),"")</f>
        <v/>
      </c>
      <c r="E18" s="876">
        <f>IF('00 COMMON - Run Setup'!C6="OT",SUMIFS('OT CALC - Attack Path'!J16:J200,'OT CALC - Attack Path'!A16:A200,$B$4,'OT CALC - Attack Path'!B16:B200,$D$4,'OT CALC - Attack Path'!C16:C200,A18),"")</f>
        <v/>
      </c>
      <c r="F18" s="876">
        <f>IF('00 COMMON - Run Setup'!C6="OT",SUMIFS('OT CALC - Attack Path'!L16:L200,'OT CALC - Attack Path'!A16:A200,$B$4,'OT CALC - Attack Path'!B16:B200,$D$4,'OT CALC - Attack Path'!C16:C200,A18),"")</f>
        <v/>
      </c>
      <c r="G18" s="918" t="inlineStr">
        <is>
          <t>Achieve adverse outcome</t>
        </is>
      </c>
    </row>
    <row r="21" ht="22" customHeight="1" s="508">
      <c r="A21" s="845" t="inlineStr">
        <is>
          <t>OUTSIDE-IN EVIDENCE LINK</t>
        </is>
      </c>
    </row>
    <row r="22">
      <c r="A22" s="910" t="inlineStr">
        <is>
          <t>When applied, outside-in evidence should appear as a traceable change to an existing exposure/frequency input, a route-feasibility gate, or a relevant stage/barrier. Use 00 Outside-In for the observed evidence and 00 OI Adjustment Rationale for the baseline-to-conditioned bridge. Do not insert a scan score directly into AAL.</t>
        </is>
      </c>
    </row>
    <row r="23"/>
    <row r="24"/>
    <row r="25"/>
  </sheetData>
  <mergeCells count="6">
    <mergeCell ref="A22:N25"/>
    <mergeCell ref="A12:N12"/>
    <mergeCell ref="A21:N21"/>
    <mergeCell ref="A2:N2"/>
    <mergeCell ref="A7:N7"/>
    <mergeCell ref="A1:N1"/>
  </mergeCells>
  <dataValidations count="2">
    <dataValidation sqref="B4" showDropDown="0" showInputMessage="0" showErrorMessage="0" allowBlank="0" type="list">
      <formula1>"Nation State,Cybercriminal,Malicious Insider"</formula1>
    </dataValidation>
    <dataValidation sqref="D4" showDropDown="0" showInputMessage="0" showErrorMessage="0" allowBlank="0" type="list">
      <formula1>"Operational Disruption,Loss of Control or Visibility,Process Manipulation,Safety System Compromise,Destructive or Integrity Attack"</formula1>
    </dataValidation>
  </dataValidations>
  <pageMargins left="0.7" right="0.7" top="0.75" bottom="0.75" header="0.3" footer="0.3"/>
</worksheet>
</file>

<file path=xl/worksheets/sheet11.xml><?xml version="1.0" encoding="utf-8"?>
<worksheet xmlns="http://schemas.openxmlformats.org/spreadsheetml/2006/main">
  <sheetPr>
    <tabColor rgb="00548235"/>
    <outlinePr summaryBelow="1" summaryRight="1"/>
    <pageSetUpPr/>
  </sheetPr>
  <dimension ref="A1:N35"/>
  <sheetViews>
    <sheetView workbookViewId="0">
      <selection activeCell="A1" sqref="A1"/>
    </sheetView>
  </sheetViews>
  <sheetFormatPr baseColWidth="8" defaultRowHeight="15"/>
  <cols>
    <col width="22" customWidth="1" style="508" min="1" max="1"/>
    <col width="22" customWidth="1" style="508" min="2" max="2"/>
    <col width="22" customWidth="1" style="508" min="3" max="3"/>
    <col width="22" customWidth="1" style="508" min="4" max="4"/>
    <col width="12" customWidth="1" style="508" min="5" max="5"/>
    <col width="12" customWidth="1" style="508" min="6" max="6"/>
    <col width="12" customWidth="1" style="508" min="7" max="7"/>
    <col width="12" customWidth="1" style="508" min="8" max="8"/>
    <col width="12" customWidth="1" style="508" min="9" max="9"/>
    <col width="12" customWidth="1" style="508" min="10" max="10"/>
    <col width="12" customWidth="1" style="508" min="11" max="11"/>
    <col width="12" customWidth="1" style="508" min="12" max="12"/>
    <col width="12" customWidth="1" style="508" min="13" max="13"/>
    <col width="12" customWidth="1" style="508" min="14" max="14"/>
  </cols>
  <sheetData>
    <row r="1" ht="30" customHeight="1" s="508">
      <c r="A1" s="838" t="inlineStr">
        <is>
          <t>IT / OT CYBER RISK QUANTIFICATION | LOSS ANALYSIS</t>
        </is>
      </c>
    </row>
    <row r="2" ht="32" customHeight="1" s="508">
      <c r="A2" s="842" t="inlineStr">
        <is>
          <t>Event-level consequence view. Outside-in evidence does not alter these financial impact assumptions solely because an external exposure is observed.</t>
        </is>
      </c>
    </row>
    <row r="4">
      <c r="A4" s="972" t="inlineStr">
        <is>
          <t>Threat actor</t>
        </is>
      </c>
      <c r="B4" s="899" t="inlineStr">
        <is>
          <t>Nation State</t>
        </is>
      </c>
      <c r="C4" s="972" t="inlineStr">
        <is>
          <t>Scenario</t>
        </is>
      </c>
      <c r="D4" s="972" t="inlineStr">
        <is>
          <t>Operational Disruption</t>
        </is>
      </c>
      <c r="E4" s="972" t="inlineStr">
        <is>
          <t>Loss view</t>
        </is>
      </c>
      <c r="F4" s="972" t="inlineStr">
        <is>
          <t>P50 / P99</t>
        </is>
      </c>
    </row>
    <row r="7" ht="22" customHeight="1" s="508">
      <c r="A7" s="845" t="inlineStr">
        <is>
          <t>SELECTED EVENT CONSEQUENCE</t>
        </is>
      </c>
    </row>
    <row r="8" ht="30" customHeight="1" s="508">
      <c r="A8" s="851" t="inlineStr">
        <is>
          <t>Metric</t>
        </is>
      </c>
      <c r="B8" s="851" t="inlineStr">
        <is>
          <t>P50</t>
        </is>
      </c>
      <c r="C8" s="851" t="inlineStr">
        <is>
          <t>P99</t>
        </is>
      </c>
      <c r="D8" s="851" t="inlineStr">
        <is>
          <t>Meaning</t>
        </is>
      </c>
      <c r="E8" s="851" t="n"/>
      <c r="F8" s="851" t="n"/>
      <c r="G8" s="851" t="n"/>
      <c r="H8" s="851" t="n"/>
    </row>
    <row r="9">
      <c r="A9" s="918" t="inlineStr">
        <is>
          <t>Downtime (days)</t>
        </is>
      </c>
      <c r="B9" s="905">
        <f>IF('00 COMMON - Run Setup'!C6="OT",SUMIFS('OT CALC - Consequence'!C16:C30,'OT CALC - Consequence'!A16:A30,$B$4,'OT CALC - Consequence'!B16:B30,$D$4),"")</f>
        <v/>
      </c>
      <c r="C9" s="905">
        <f>IF('00 COMMON - Run Setup'!C6="OT",SUMIFS('OT CALC - Consequence'!D16:D30,'OT CALC - Consequence'!A16:A30,$B$4,'OT CALC - Consequence'!B16:B30,$D$4),"")</f>
        <v/>
      </c>
      <c r="D9" s="918" t="inlineStr">
        <is>
          <t>Scenario/facility recovery duration</t>
        </is>
      </c>
      <c r="E9" s="918" t="n"/>
      <c r="F9" s="918" t="n"/>
      <c r="G9" s="918" t="n"/>
      <c r="H9" s="918" t="n"/>
    </row>
    <row r="10">
      <c r="A10" s="918" t="inlineStr">
        <is>
          <t>Capacity affected</t>
        </is>
      </c>
      <c r="B10" s="876">
        <f>IF('00 COMMON - Run Setup'!C6="OT",SUMIFS('OT CALC - Consequence'!E16:E30,'OT CALC - Consequence'!A16:A30,$B$4,'OT CALC - Consequence'!B16:B30,$D$4),"")</f>
        <v/>
      </c>
      <c r="C10" s="876">
        <f>IF('00 COMMON - Run Setup'!C6="OT",SUMIFS('OT CALC - Consequence'!F16:F30,'OT CALC - Consequence'!A16:A30,$B$4,'OT CALC - Consequence'!B16:B30,$D$4),"")</f>
        <v/>
      </c>
      <c r="D10" s="918" t="inlineStr">
        <is>
          <t>Share of scoped capacity affected</t>
        </is>
      </c>
      <c r="E10" s="918" t="n"/>
      <c r="F10" s="918" t="n"/>
      <c r="G10" s="918" t="n"/>
      <c r="H10" s="918" t="n"/>
    </row>
    <row r="11">
      <c r="A11" s="918" t="inlineStr">
        <is>
          <t>Total event loss</t>
        </is>
      </c>
      <c r="B11" s="998">
        <f>IF('00 COMMON - Run Setup'!C6="OT",SUMIFS('OT CALC - Consequence'!M16:M30,'OT CALC - Consequence'!A16:A30,$B$4,'OT CALC - Consequence'!B16:B30,$D$4),"")</f>
        <v/>
      </c>
      <c r="C11" s="998">
        <f>IF('00 COMMON - Run Setup'!C6="OT",SUMIFS('OT CALC - Consequence'!N16:N30,'OT CALC - Consequence'!A16:A30,$B$4,'OT CALC - Consequence'!B16:B30,$D$4),"")</f>
        <v/>
      </c>
      <c r="D11" s="918" t="inlineStr">
        <is>
          <t>Modelled BI + non-BI consequence</t>
        </is>
      </c>
      <c r="E11" s="918" t="n"/>
      <c r="F11" s="918" t="n"/>
      <c r="G11" s="918" t="n"/>
      <c r="H11" s="918" t="n"/>
    </row>
    <row r="14" ht="22" customHeight="1" s="508">
      <c r="A14" s="845" t="inlineStr">
        <is>
          <t>BI / NON-BI DECOMPOSITION</t>
        </is>
      </c>
    </row>
    <row r="15" ht="30" customHeight="1" s="508">
      <c r="A15" s="851" t="inlineStr">
        <is>
          <t>Component</t>
        </is>
      </c>
      <c r="B15" s="851" t="inlineStr">
        <is>
          <t>P50</t>
        </is>
      </c>
      <c r="C15" s="851" t="inlineStr">
        <is>
          <t>P99</t>
        </is>
      </c>
    </row>
    <row r="16">
      <c r="A16" s="918" t="inlineStr">
        <is>
          <t>Modelled BI</t>
        </is>
      </c>
      <c r="B16" s="998">
        <f>IF('00 COMMON - Run Setup'!C6="OT",SUMIFS('OT CALC - Consequence'!I16:I30,'OT CALC - Consequence'!A16:A30,$B$4,'OT CALC - Consequence'!B16:B30,$D$4),"")</f>
        <v/>
      </c>
      <c r="C16" s="998">
        <f>IF('00 COMMON - Run Setup'!C6="OT",SUMIFS('OT CALC - Consequence'!J16:J30,'OT CALC - Consequence'!A16:A30,$B$4,'OT CALC - Consequence'!B16:B30,$D$4),"")</f>
        <v/>
      </c>
    </row>
    <row r="17">
      <c r="A17" s="918" t="inlineStr">
        <is>
          <t>Non-BI consequence</t>
        </is>
      </c>
      <c r="B17" s="998">
        <f>IF('00 COMMON - Run Setup'!C6="OT",SUMIFS('OT CALC - Consequence'!K16:K30,'OT CALC - Consequence'!A16:A30,$B$4,'OT CALC - Consequence'!B16:B30,$D$4),"")</f>
        <v/>
      </c>
      <c r="C17" s="998">
        <f>IF('00 COMMON - Run Setup'!C6="OT",SUMIFS('OT CALC - Consequence'!L16:L30,'OT CALC - Consequence'!A16:A30,$B$4,'OT CALC - Consequence'!B16:B30,$D$4),"")</f>
        <v/>
      </c>
    </row>
    <row r="32">
      <c r="A32" s="907" t="inlineStr">
        <is>
          <t>OUTSIDE-IN BOUNDARY — Scan evidence can change likelihood because it provides evidence about external opportunity, exposed services, exploitable vulnerabilities or route feasibility. It does not independently evidence revenue-at-risk, restoration time, capacity affected, physical damage, safety, environmental loss or other consequence drivers.</t>
        </is>
      </c>
    </row>
    <row r="33"/>
    <row r="34"/>
    <row r="35"/>
  </sheetData>
  <mergeCells count="5">
    <mergeCell ref="A32:N35"/>
    <mergeCell ref="A2:N2"/>
    <mergeCell ref="A7:N7"/>
    <mergeCell ref="A14:N14"/>
    <mergeCell ref="A1:N1"/>
  </mergeCells>
  <dataValidations count="2">
    <dataValidation sqref="B4" showDropDown="0" showInputMessage="0" showErrorMessage="0" allowBlank="0" type="list">
      <formula1>"Nation State,Cybercriminal,Malicious Insider"</formula1>
    </dataValidation>
    <dataValidation sqref="D4" showDropDown="0" showInputMessage="0" showErrorMessage="0" allowBlank="0" type="list">
      <formula1>"Operational Disruption,Loss of Control or Visibility,Process Manipulation,Safety System Compromise,Destructive or Integrity Attack"</formula1>
    </dataValidation>
  </dataValidations>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tabColor rgb="00548235"/>
    <outlinePr summaryBelow="1" summaryRight="1"/>
    <pageSetUpPr/>
  </sheetPr>
  <dimension ref="A1:N23"/>
  <sheetViews>
    <sheetView workbookViewId="0">
      <selection activeCell="A1" sqref="A1"/>
    </sheetView>
  </sheetViews>
  <sheetFormatPr baseColWidth="8" defaultRowHeight="15"/>
  <cols>
    <col width="20" customWidth="1" style="508" min="1" max="1"/>
    <col width="20" customWidth="1" style="508" min="2" max="2"/>
    <col width="20" customWidth="1" style="508" min="3" max="3"/>
    <col width="20" customWidth="1" style="508" min="4" max="4"/>
    <col width="20" customWidth="1" style="508" min="5" max="5"/>
    <col width="20" customWidth="1" style="508" min="6" max="6"/>
    <col width="20" customWidth="1" style="508" min="7" max="7"/>
    <col width="12" customWidth="1" style="508" min="8" max="8"/>
    <col width="12" customWidth="1" style="508" min="9" max="9"/>
    <col width="12" customWidth="1" style="508" min="10" max="10"/>
    <col width="12" customWidth="1" style="508" min="11" max="11"/>
    <col width="12" customWidth="1" style="508" min="12" max="12"/>
    <col width="12" customWidth="1" style="508" min="13" max="13"/>
    <col width="12" customWidth="1" style="508" min="14" max="14"/>
  </cols>
  <sheetData>
    <row r="1" ht="30" customHeight="1" s="508">
      <c r="A1" s="838" t="inlineStr">
        <is>
          <t>IT / OT CYBER RISK QUANTIFICATION | CONTROL WHAT-IF</t>
        </is>
      </c>
    </row>
    <row r="2" ht="32" customHeight="1" s="508">
      <c r="A2" s="842" t="inlineStr">
        <is>
          <t>Decision view of modelled control improvement. Engine-generated what-if values remain the system of record.</t>
        </is>
      </c>
    </row>
    <row r="4">
      <c r="A4" s="972" t="inlineStr">
        <is>
          <t>Basis</t>
        </is>
      </c>
      <c r="B4" s="899">
        <f>'00 COMMON - Run Setup'!C9</f>
        <v/>
      </c>
      <c r="C4" s="972" t="inlineStr">
        <is>
          <t>Source</t>
        </is>
      </c>
      <c r="D4" s="972" t="inlineStr">
        <is>
          <t>20 Control What-If</t>
        </is>
      </c>
    </row>
    <row r="7" ht="22" customHeight="1" s="508">
      <c r="A7" s="845" t="inlineStr">
        <is>
          <t>CONTROL IMPROVEMENT RESULTS</t>
        </is>
      </c>
    </row>
    <row r="8" ht="30" customHeight="1" s="508">
      <c r="A8" s="851" t="inlineStr">
        <is>
          <t>Control ID</t>
        </is>
      </c>
      <c r="B8" s="851" t="inlineStr">
        <is>
          <t>Control</t>
        </is>
      </c>
      <c r="C8" s="851" t="inlineStr">
        <is>
          <t>Channel</t>
        </is>
      </c>
      <c r="D8" s="851" t="inlineStr">
        <is>
          <t>Current maturity</t>
        </is>
      </c>
      <c r="E8" s="851" t="inlineStr">
        <is>
          <t>What-if maturity</t>
        </is>
      </c>
      <c r="F8" s="851" t="inlineStr">
        <is>
          <t>AAL reduction</t>
        </is>
      </c>
      <c r="G8" s="851" t="inlineStr">
        <is>
          <t>Reduction %</t>
        </is>
      </c>
      <c r="I8" s="910" t="inlineStr">
        <is>
          <t>Outside-in findings should not become a second what-if framework. Where a scan identifies a real exposure or exploitable weakness, the evidence-conditioned baseline is recorded first. Control what-if analysis then asks what happens if the relevant control is improved from that evidenced current state.</t>
        </is>
      </c>
    </row>
    <row r="9">
      <c r="A9" s="918">
        <f>'OT CALC - Control What-If'!A16</f>
        <v/>
      </c>
      <c r="B9" s="918">
        <f>'OT CALC - Control What-If'!B16</f>
        <v/>
      </c>
      <c r="C9" s="918">
        <f>'OT CALC - Control What-If'!C16</f>
        <v/>
      </c>
      <c r="D9" s="918">
        <f>'OT CALC - Control What-If'!D16</f>
        <v/>
      </c>
      <c r="E9" s="918">
        <f>'OT CALC - Control What-If'!E16</f>
        <v/>
      </c>
      <c r="F9" s="998">
        <f>IF($B$4="Best Estimate",'OT CALC - Control What-If'!H16,'OT CALC - Control What-If'!L16)</f>
        <v/>
      </c>
      <c r="G9" s="876">
        <f>IF($B$4="Best Estimate",'OT CALC - Control What-If'!I16,'OT CALC - Control What-If'!M16)</f>
        <v/>
      </c>
    </row>
    <row r="10">
      <c r="A10" s="918">
        <f>'OT CALC - Control What-If'!A17</f>
        <v/>
      </c>
      <c r="B10" s="918">
        <f>'OT CALC - Control What-If'!B17</f>
        <v/>
      </c>
      <c r="C10" s="918">
        <f>'OT CALC - Control What-If'!C17</f>
        <v/>
      </c>
      <c r="D10" s="918">
        <f>'OT CALC - Control What-If'!D17</f>
        <v/>
      </c>
      <c r="E10" s="918">
        <f>'OT CALC - Control What-If'!E17</f>
        <v/>
      </c>
      <c r="F10" s="998">
        <f>IF($B$4="Best Estimate",'OT CALC - Control What-If'!H17,'OT CALC - Control What-If'!L17)</f>
        <v/>
      </c>
      <c r="G10" s="876">
        <f>IF($B$4="Best Estimate",'OT CALC - Control What-If'!I17,'OT CALC - Control What-If'!M17)</f>
        <v/>
      </c>
    </row>
    <row r="11">
      <c r="A11" s="918">
        <f>'OT CALC - Control What-If'!A18</f>
        <v/>
      </c>
      <c r="B11" s="918">
        <f>'OT CALC - Control What-If'!B18</f>
        <v/>
      </c>
      <c r="C11" s="918">
        <f>'OT CALC - Control What-If'!C18</f>
        <v/>
      </c>
      <c r="D11" s="918">
        <f>'OT CALC - Control What-If'!D18</f>
        <v/>
      </c>
      <c r="E11" s="918">
        <f>'OT CALC - Control What-If'!E18</f>
        <v/>
      </c>
      <c r="F11" s="998">
        <f>IF($B$4="Best Estimate",'OT CALC - Control What-If'!H18,'OT CALC - Control What-If'!L18)</f>
        <v/>
      </c>
      <c r="G11" s="876">
        <f>IF($B$4="Best Estimate",'OT CALC - Control What-If'!I18,'OT CALC - Control What-If'!M18)</f>
        <v/>
      </c>
    </row>
    <row r="12">
      <c r="A12" s="918">
        <f>'OT CALC - Control What-If'!A19</f>
        <v/>
      </c>
      <c r="B12" s="918">
        <f>'OT CALC - Control What-If'!B19</f>
        <v/>
      </c>
      <c r="C12" s="918">
        <f>'OT CALC - Control What-If'!C19</f>
        <v/>
      </c>
      <c r="D12" s="918">
        <f>'OT CALC - Control What-If'!D19</f>
        <v/>
      </c>
      <c r="E12" s="918">
        <f>'OT CALC - Control What-If'!E19</f>
        <v/>
      </c>
      <c r="F12" s="998">
        <f>IF($B$4="Best Estimate",'OT CALC - Control What-If'!H19,'OT CALC - Control What-If'!L19)</f>
        <v/>
      </c>
      <c r="G12" s="876">
        <f>IF($B$4="Best Estimate",'OT CALC - Control What-If'!I19,'OT CALC - Control What-If'!M19)</f>
        <v/>
      </c>
    </row>
    <row r="13">
      <c r="A13" s="918">
        <f>'OT CALC - Control What-If'!A20</f>
        <v/>
      </c>
      <c r="B13" s="918">
        <f>'OT CALC - Control What-If'!B20</f>
        <v/>
      </c>
      <c r="C13" s="918">
        <f>'OT CALC - Control What-If'!C20</f>
        <v/>
      </c>
      <c r="D13" s="918">
        <f>'OT CALC - Control What-If'!D20</f>
        <v/>
      </c>
      <c r="E13" s="918">
        <f>'OT CALC - Control What-If'!E20</f>
        <v/>
      </c>
      <c r="F13" s="998">
        <f>IF($B$4="Best Estimate",'OT CALC - Control What-If'!H20,'OT CALC - Control What-If'!L20)</f>
        <v/>
      </c>
      <c r="G13" s="876">
        <f>IF($B$4="Best Estimate",'OT CALC - Control What-If'!I20,'OT CALC - Control What-If'!M20)</f>
        <v/>
      </c>
    </row>
    <row r="14">
      <c r="A14" s="918">
        <f>'OT CALC - Control What-If'!A21</f>
        <v/>
      </c>
      <c r="B14" s="918">
        <f>'OT CALC - Control What-If'!B21</f>
        <v/>
      </c>
      <c r="C14" s="918">
        <f>'OT CALC - Control What-If'!C21</f>
        <v/>
      </c>
      <c r="D14" s="918">
        <f>'OT CALC - Control What-If'!D21</f>
        <v/>
      </c>
      <c r="E14" s="918">
        <f>'OT CALC - Control What-If'!E21</f>
        <v/>
      </c>
      <c r="F14" s="998">
        <f>IF($B$4="Best Estimate",'OT CALC - Control What-If'!H21,'OT CALC - Control What-If'!L21)</f>
        <v/>
      </c>
      <c r="G14" s="876">
        <f>IF($B$4="Best Estimate",'OT CALC - Control What-If'!I21,'OT CALC - Control What-If'!M21)</f>
        <v/>
      </c>
    </row>
    <row r="15">
      <c r="A15" s="918">
        <f>'OT CALC - Control What-If'!A22</f>
        <v/>
      </c>
      <c r="B15" s="918">
        <f>'OT CALC - Control What-If'!B22</f>
        <v/>
      </c>
      <c r="C15" s="918">
        <f>'OT CALC - Control What-If'!C22</f>
        <v/>
      </c>
      <c r="D15" s="918">
        <f>'OT CALC - Control What-If'!D22</f>
        <v/>
      </c>
      <c r="E15" s="918">
        <f>'OT CALC - Control What-If'!E22</f>
        <v/>
      </c>
      <c r="F15" s="998">
        <f>IF($B$4="Best Estimate",'OT CALC - Control What-If'!H22,'OT CALC - Control What-If'!L22)</f>
        <v/>
      </c>
      <c r="G15" s="876">
        <f>IF($B$4="Best Estimate",'OT CALC - Control What-If'!I22,'OT CALC - Control What-If'!M22)</f>
        <v/>
      </c>
    </row>
    <row r="16">
      <c r="A16" s="918">
        <f>'OT CALC - Control What-If'!A23</f>
        <v/>
      </c>
      <c r="B16" s="918">
        <f>'OT CALC - Control What-If'!B23</f>
        <v/>
      </c>
      <c r="C16" s="918">
        <f>'OT CALC - Control What-If'!C23</f>
        <v/>
      </c>
      <c r="D16" s="918">
        <f>'OT CALC - Control What-If'!D23</f>
        <v/>
      </c>
      <c r="E16" s="918">
        <f>'OT CALC - Control What-If'!E23</f>
        <v/>
      </c>
      <c r="F16" s="998">
        <f>IF($B$4="Best Estimate",'OT CALC - Control What-If'!H23,'OT CALC - Control What-If'!L23)</f>
        <v/>
      </c>
      <c r="G16" s="876">
        <f>IF($B$4="Best Estimate",'OT CALC - Control What-If'!I23,'OT CALC - Control What-If'!M23)</f>
        <v/>
      </c>
    </row>
    <row r="17">
      <c r="A17" s="918">
        <f>'OT CALC - Control What-If'!A24</f>
        <v/>
      </c>
      <c r="B17" s="918">
        <f>'OT CALC - Control What-If'!B24</f>
        <v/>
      </c>
      <c r="C17" s="918">
        <f>'OT CALC - Control What-If'!C24</f>
        <v/>
      </c>
      <c r="D17" s="918">
        <f>'OT CALC - Control What-If'!D24</f>
        <v/>
      </c>
      <c r="E17" s="918">
        <f>'OT CALC - Control What-If'!E24</f>
        <v/>
      </c>
      <c r="F17" s="998">
        <f>IF($B$4="Best Estimate",'OT CALC - Control What-If'!H24,'OT CALC - Control What-If'!L24)</f>
        <v/>
      </c>
      <c r="G17" s="876">
        <f>IF($B$4="Best Estimate",'OT CALC - Control What-If'!I24,'OT CALC - Control What-If'!M24)</f>
        <v/>
      </c>
    </row>
    <row r="18">
      <c r="A18" s="918">
        <f>'OT CALC - Control What-If'!A25</f>
        <v/>
      </c>
      <c r="B18" s="918">
        <f>'OT CALC - Control What-If'!B25</f>
        <v/>
      </c>
      <c r="C18" s="918">
        <f>'OT CALC - Control What-If'!C25</f>
        <v/>
      </c>
      <c r="D18" s="918">
        <f>'OT CALC - Control What-If'!D25</f>
        <v/>
      </c>
      <c r="E18" s="918">
        <f>'OT CALC - Control What-If'!E25</f>
        <v/>
      </c>
      <c r="F18" s="998">
        <f>IF($B$4="Best Estimate",'OT CALC - Control What-If'!H25,'OT CALC - Control What-If'!L25)</f>
        <v/>
      </c>
      <c r="G18" s="876">
        <f>IF($B$4="Best Estimate",'OT CALC - Control What-If'!I25,'OT CALC - Control What-If'!M25)</f>
        <v/>
      </c>
    </row>
    <row r="19">
      <c r="A19" s="918">
        <f>'OT CALC - Control What-If'!A26</f>
        <v/>
      </c>
      <c r="B19" s="918">
        <f>'OT CALC - Control What-If'!B26</f>
        <v/>
      </c>
      <c r="C19" s="918">
        <f>'OT CALC - Control What-If'!C26</f>
        <v/>
      </c>
      <c r="D19" s="918">
        <f>'OT CALC - Control What-If'!D26</f>
        <v/>
      </c>
      <c r="E19" s="918">
        <f>'OT CALC - Control What-If'!E26</f>
        <v/>
      </c>
      <c r="F19" s="998">
        <f>IF($B$4="Best Estimate",'OT CALC - Control What-If'!H26,'OT CALC - Control What-If'!L26)</f>
        <v/>
      </c>
      <c r="G19" s="876">
        <f>IF($B$4="Best Estimate",'OT CALC - Control What-If'!I26,'OT CALC - Control What-If'!M26)</f>
        <v/>
      </c>
    </row>
    <row r="20">
      <c r="A20" s="918">
        <f>'OT CALC - Control What-If'!A27</f>
        <v/>
      </c>
      <c r="B20" s="918">
        <f>'OT CALC - Control What-If'!B27</f>
        <v/>
      </c>
      <c r="C20" s="918">
        <f>'OT CALC - Control What-If'!C27</f>
        <v/>
      </c>
      <c r="D20" s="918">
        <f>'OT CALC - Control What-If'!D27</f>
        <v/>
      </c>
      <c r="E20" s="918">
        <f>'OT CALC - Control What-If'!E27</f>
        <v/>
      </c>
      <c r="F20" s="998">
        <f>IF($B$4="Best Estimate",'OT CALC - Control What-If'!H27,'OT CALC - Control What-If'!L27)</f>
        <v/>
      </c>
      <c r="G20" s="876">
        <f>IF($B$4="Best Estimate",'OT CALC - Control What-If'!I27,'OT CALC - Control What-If'!M27)</f>
        <v/>
      </c>
    </row>
    <row r="21">
      <c r="A21" s="918">
        <f>'OT CALC - Control What-If'!A28</f>
        <v/>
      </c>
      <c r="B21" s="918">
        <f>'OT CALC - Control What-If'!B28</f>
        <v/>
      </c>
      <c r="C21" s="918">
        <f>'OT CALC - Control What-If'!C28</f>
        <v/>
      </c>
      <c r="D21" s="918">
        <f>'OT CALC - Control What-If'!D28</f>
        <v/>
      </c>
      <c r="E21" s="918">
        <f>'OT CALC - Control What-If'!E28</f>
        <v/>
      </c>
      <c r="F21" s="998">
        <f>IF($B$4="Best Estimate",'OT CALC - Control What-If'!H28,'OT CALC - Control What-If'!L28)</f>
        <v/>
      </c>
      <c r="G21" s="876">
        <f>IF($B$4="Best Estimate",'OT CALC - Control What-If'!I28,'OT CALC - Control What-If'!M28)</f>
        <v/>
      </c>
    </row>
    <row r="22">
      <c r="A22" s="918">
        <f>'OT CALC - Control What-If'!A29</f>
        <v/>
      </c>
      <c r="B22" s="918">
        <f>'OT CALC - Control What-If'!B29</f>
        <v/>
      </c>
      <c r="C22" s="918">
        <f>'OT CALC - Control What-If'!C29</f>
        <v/>
      </c>
      <c r="D22" s="918">
        <f>'OT CALC - Control What-If'!D29</f>
        <v/>
      </c>
      <c r="E22" s="918">
        <f>'OT CALC - Control What-If'!E29</f>
        <v/>
      </c>
      <c r="F22" s="998">
        <f>IF($B$4="Best Estimate",'OT CALC - Control What-If'!H29,'OT CALC - Control What-If'!L29)</f>
        <v/>
      </c>
      <c r="G22" s="876">
        <f>IF($B$4="Best Estimate",'OT CALC - Control What-If'!I29,'OT CALC - Control What-If'!M29)</f>
        <v/>
      </c>
    </row>
    <row r="23">
      <c r="A23" s="918">
        <f>'OT CALC - Control What-If'!A30</f>
        <v/>
      </c>
      <c r="B23" s="918">
        <f>'OT CALC - Control What-If'!B30</f>
        <v/>
      </c>
      <c r="C23" s="918">
        <f>'OT CALC - Control What-If'!C30</f>
        <v/>
      </c>
      <c r="D23" s="918">
        <f>'OT CALC - Control What-If'!D30</f>
        <v/>
      </c>
      <c r="E23" s="918">
        <f>'OT CALC - Control What-If'!E30</f>
        <v/>
      </c>
      <c r="F23" s="998">
        <f>IF($B$4="Best Estimate",'OT CALC - Control What-If'!H30,'OT CALC - Control What-If'!L30)</f>
        <v/>
      </c>
      <c r="G23" s="876">
        <f>IF($B$4="Best Estimate",'OT CALC - Control What-If'!I30,'OT CALC - Control What-If'!M30)</f>
        <v/>
      </c>
    </row>
  </sheetData>
  <mergeCells count="4">
    <mergeCell ref="A7:N7"/>
    <mergeCell ref="A1:N1"/>
    <mergeCell ref="A2:N2"/>
    <mergeCell ref="I8:N20"/>
  </mergeCells>
  <conditionalFormatting sqref="G9:G23">
    <cfRule type="dataBar" priority="1">
      <dataBar>
        <cfvo type="min"/>
        <cfvo type="max"/>
        <color rgb="FFA02B93"/>
      </dataBar>
    </cfRule>
  </conditionalFormatting>
  <dataValidations count="1">
    <dataValidation sqref="B4" showDropDown="0" showInputMessage="0" showErrorMessage="0" allowBlank="0" type="list">
      <formula1>"Best Estimate,Prudent"</formula1>
    </dataValidation>
  </dataValidations>
  <pageMargins left="0.7" right="0.7" top="0.75" bottom="0.75" header="0.3" footer="0.3"/>
</worksheet>
</file>

<file path=xl/worksheets/sheet13.xml><?xml version="1.0" encoding="utf-8"?>
<worksheet xmlns="http://schemas.openxmlformats.org/spreadsheetml/2006/main">
  <sheetPr>
    <tabColor rgb="00548235"/>
    <outlinePr summaryBelow="1" summaryRight="1"/>
    <pageSetUpPr/>
  </sheetPr>
  <dimension ref="A1:N26"/>
  <sheetViews>
    <sheetView workbookViewId="0">
      <selection activeCell="A1" sqref="A1"/>
    </sheetView>
  </sheetViews>
  <sheetFormatPr baseColWidth="8" defaultRowHeight="15"/>
  <cols>
    <col width="22" customWidth="1" style="508" min="1" max="1"/>
    <col width="22" customWidth="1" style="508" min="2" max="2"/>
    <col width="22" customWidth="1" style="508" min="3" max="3"/>
    <col width="22" customWidth="1" style="508" min="4" max="4"/>
    <col width="12" customWidth="1" style="508" min="5" max="5"/>
    <col width="12" customWidth="1" style="508" min="6" max="6"/>
    <col width="12" customWidth="1" style="508" min="7" max="7"/>
    <col width="12" customWidth="1" style="508" min="8" max="8"/>
    <col width="12" customWidth="1" style="508" min="9" max="9"/>
    <col width="12" customWidth="1" style="508" min="10" max="10"/>
    <col width="12" customWidth="1" style="508" min="11" max="11"/>
    <col width="12" customWidth="1" style="508" min="12" max="12"/>
    <col width="12" customWidth="1" style="508" min="13" max="13"/>
    <col width="12" customWidth="1" style="508" min="14" max="14"/>
  </cols>
  <sheetData>
    <row r="1" ht="30" customHeight="1" s="508">
      <c r="A1" s="838" t="inlineStr">
        <is>
          <t>IT / OT CYBER RISK QUANTIFICATION | RISK TRANSFER</t>
        </is>
      </c>
    </row>
    <row r="2" ht="32" customHeight="1" s="508">
      <c r="A2" s="842" t="inlineStr">
        <is>
          <t>Indicative financing diagnostics using modelled annual tail risk. This is not a policy-pricing engine and does not simulate coverage terms or recoveries.</t>
        </is>
      </c>
    </row>
    <row r="4">
      <c r="A4" s="972" t="inlineStr">
        <is>
          <t>Basis</t>
        </is>
      </c>
      <c r="B4" s="899">
        <f>IF('00 COMMON - Run Setup'!C6="IT",'IT 08 - Reporting Settings'!B16,'00 COMMON - Run Setup'!C9)</f>
        <v/>
      </c>
      <c r="C4" s="972" t="inlineStr">
        <is>
          <t>Illustrative retention</t>
        </is>
      </c>
      <c r="D4" s="999">
        <f>IF('00 COMMON - Run Setup'!C6="IT",'IT 08 - Reporting Settings'!B18,0)</f>
        <v/>
      </c>
      <c r="E4" s="972" t="inlineStr">
        <is>
          <t>Selected tail basis</t>
        </is>
      </c>
      <c r="F4" s="972">
        <f>IF('00 COMMON - Run Setup'!C6="IT",'IT 08 - Reporting Settings'!B17,"TVaR 99%")</f>
        <v/>
      </c>
    </row>
    <row r="5">
      <c r="A5" s="972" t="n"/>
      <c r="B5" s="972" t="n"/>
      <c r="C5" s="972" t="n"/>
      <c r="D5" s="972" t="n"/>
      <c r="E5" s="972" t="n"/>
      <c r="F5" s="972" t="n"/>
    </row>
    <row r="6">
      <c r="A6" s="972" t="n"/>
      <c r="B6" s="972" t="n"/>
      <c r="C6" s="972" t="n"/>
      <c r="D6" s="972" t="n"/>
      <c r="E6" s="972" t="n"/>
      <c r="F6" s="972" t="n"/>
    </row>
    <row r="8" ht="22" customHeight="1" s="508">
      <c r="A8" s="845" t="inlineStr">
        <is>
          <t>TAIL RISK DIAGNOSTIC</t>
        </is>
      </c>
    </row>
    <row r="9" ht="30" customHeight="1" s="508">
      <c r="A9" s="851" t="inlineStr">
        <is>
          <t>Metric</t>
        </is>
      </c>
      <c r="B9" s="851" t="inlineStr">
        <is>
          <t>Value</t>
        </is>
      </c>
      <c r="C9" s="851" t="inlineStr">
        <is>
          <t>Interpretation</t>
        </is>
      </c>
      <c r="D9" s="851" t="n"/>
      <c r="E9" s="851" t="n"/>
      <c r="F9" s="851" t="n"/>
      <c r="G9" s="851" t="n"/>
      <c r="H9" s="851" t="n"/>
    </row>
    <row r="10">
      <c r="A10" s="918">
        <f>F4</f>
        <v/>
      </c>
      <c r="B10" s="998">
        <f>IF(F4="TVaR 95%",IF($B$4="Best Estimate",'00 COMMON - Output Bridge'!B17,'00 COMMON - Output Bridge'!C17),IF($B$4="Best Estimate",'00 COMMON - Output Bridge'!B19,'00 COMMON - Output Bridge'!C19))</f>
        <v/>
      </c>
      <c r="C10" s="918" t="inlineStr">
        <is>
          <t>Mean of the worst 1% of annual aggregate-loss outcomes.</t>
        </is>
      </c>
      <c r="D10" s="918" t="n"/>
      <c r="E10" s="918" t="n"/>
      <c r="F10" s="918" t="n"/>
      <c r="G10" s="918" t="n"/>
      <c r="H10" s="918" t="n"/>
    </row>
    <row r="11">
      <c r="A11" s="918" t="inlineStr">
        <is>
          <t>Tail above illustrative retention</t>
        </is>
      </c>
      <c r="B11" s="998">
        <f>MAX(B10-$D$4,0)</f>
        <v/>
      </c>
      <c r="C11" s="918" t="inlineStr">
        <is>
          <t>TVaR99 minus retention, floored at zero. Indicative only.</t>
        </is>
      </c>
      <c r="D11" s="918" t="n"/>
      <c r="E11" s="918" t="n"/>
      <c r="F11" s="918" t="n"/>
      <c r="G11" s="918" t="n"/>
      <c r="H11" s="918" t="n"/>
    </row>
    <row r="12">
      <c r="A12" s="918" t="inlineStr">
        <is>
          <t>P(any successful event)</t>
        </is>
      </c>
      <c r="B12" s="876">
        <f>IF($B$4="Best Estimate",'00 COMMON - Output Bridge'!B20,'00 COMMON - Output Bridge'!C20)</f>
        <v/>
      </c>
      <c r="C12" s="918" t="inlineStr">
        <is>
          <t>Positive-loss year share from the selected model view.</t>
        </is>
      </c>
      <c r="D12" s="918" t="n"/>
      <c r="E12" s="918" t="n"/>
      <c r="F12" s="918" t="n"/>
      <c r="G12" s="918" t="n"/>
      <c r="H12" s="918" t="n"/>
    </row>
    <row r="15" ht="22" customHeight="1" s="508">
      <c r="A15" s="845" t="inlineStr">
        <is>
          <t>RETURN-PERIOD LOSS DIAGNOSTIC</t>
        </is>
      </c>
    </row>
    <row r="16" ht="30" customHeight="1" s="508">
      <c r="A16" s="851" t="inlineStr">
        <is>
          <t>Return period</t>
        </is>
      </c>
      <c r="B16" s="851" t="inlineStr">
        <is>
          <t>Exceedance probability</t>
        </is>
      </c>
      <c r="C16" s="851" t="inlineStr">
        <is>
          <t>AEP loss</t>
        </is>
      </c>
      <c r="D16" s="851" t="inlineStr">
        <is>
          <t>Loss above retention</t>
        </is>
      </c>
    </row>
    <row r="17">
      <c r="A17" s="918" t="n">
        <v>2</v>
      </c>
      <c r="B17" s="876">
        <f>'00 COMMON - Output Bridge'!A43</f>
        <v/>
      </c>
      <c r="C17" s="998">
        <f>IF($B$4="Best Estimate",'00 COMMON - Output Bridge'!B43,'00 COMMON - Output Bridge'!D43)</f>
        <v/>
      </c>
      <c r="D17" s="998">
        <f>MAX(C17-$D$4,0)</f>
        <v/>
      </c>
    </row>
    <row r="18">
      <c r="A18" s="918" t="n">
        <v>5</v>
      </c>
      <c r="B18" s="876">
        <f>'00 COMMON - Output Bridge'!A44</f>
        <v/>
      </c>
      <c r="C18" s="998">
        <f>IF($B$4="Best Estimate",'00 COMMON - Output Bridge'!B44,'00 COMMON - Output Bridge'!D44)</f>
        <v/>
      </c>
      <c r="D18" s="998">
        <f>MAX(C18-$D$4,0)</f>
        <v/>
      </c>
    </row>
    <row r="19">
      <c r="A19" s="918" t="n">
        <v>10</v>
      </c>
      <c r="B19" s="876">
        <f>'00 COMMON - Output Bridge'!A45</f>
        <v/>
      </c>
      <c r="C19" s="998">
        <f>IF($B$4="Best Estimate",'00 COMMON - Output Bridge'!B45,'00 COMMON - Output Bridge'!D45)</f>
        <v/>
      </c>
      <c r="D19" s="998">
        <f>MAX(C19-$D$4,0)</f>
        <v/>
      </c>
    </row>
    <row r="20">
      <c r="A20" s="918" t="n">
        <v>20</v>
      </c>
      <c r="B20" s="876">
        <f>'00 COMMON - Output Bridge'!A46</f>
        <v/>
      </c>
      <c r="C20" s="998">
        <f>IF($B$4="Best Estimate",'00 COMMON - Output Bridge'!B46,'00 COMMON - Output Bridge'!D46)</f>
        <v/>
      </c>
      <c r="D20" s="998">
        <f>MAX(C20-$D$4,0)</f>
        <v/>
      </c>
    </row>
    <row r="21">
      <c r="A21" s="918" t="n">
        <v>25</v>
      </c>
      <c r="B21" s="876">
        <f>'00 COMMON - Output Bridge'!A47</f>
        <v/>
      </c>
      <c r="C21" s="998">
        <f>IF($B$4="Best Estimate",'00 COMMON - Output Bridge'!B47,'00 COMMON - Output Bridge'!D47)</f>
        <v/>
      </c>
      <c r="D21" s="998">
        <f>MAX(C21-$D$4,0)</f>
        <v/>
      </c>
    </row>
    <row r="22">
      <c r="A22" s="918" t="n">
        <v>50</v>
      </c>
      <c r="B22" s="876">
        <f>'00 COMMON - Output Bridge'!A48</f>
        <v/>
      </c>
      <c r="C22" s="998">
        <f>IF($B$4="Best Estimate",'00 COMMON - Output Bridge'!B48,'00 COMMON - Output Bridge'!D48)</f>
        <v/>
      </c>
      <c r="D22" s="998">
        <f>MAX(C22-$D$4,0)</f>
        <v/>
      </c>
    </row>
    <row r="23">
      <c r="A23" s="918" t="n">
        <v>100</v>
      </c>
      <c r="B23" s="876">
        <f>'00 COMMON - Output Bridge'!A49</f>
        <v/>
      </c>
      <c r="C23" s="998">
        <f>IF($B$4="Best Estimate",'00 COMMON - Output Bridge'!B49,'00 COMMON - Output Bridge'!D49)</f>
        <v/>
      </c>
      <c r="D23" s="998">
        <f>MAX(C23-$D$4,0)</f>
        <v/>
      </c>
    </row>
    <row r="24">
      <c r="A24" s="918" t="n">
        <v>200</v>
      </c>
      <c r="B24" s="876">
        <f>'00 COMMON - Output Bridge'!A50</f>
        <v/>
      </c>
      <c r="C24" s="998">
        <f>IF($B$4="Best Estimate",'00 COMMON - Output Bridge'!B50,'00 COMMON - Output Bridge'!D50)</f>
        <v/>
      </c>
      <c r="D24" s="998">
        <f>MAX(C24-$D$4,0)</f>
        <v/>
      </c>
    </row>
    <row r="25">
      <c r="A25" s="918" t="n">
        <v>250</v>
      </c>
      <c r="B25" s="876">
        <f>'00 COMMON - Output Bridge'!A51</f>
        <v/>
      </c>
      <c r="C25" s="998">
        <f>IF($B$4="Best Estimate",'00 COMMON - Output Bridge'!B51,'00 COMMON - Output Bridge'!D51)</f>
        <v/>
      </c>
      <c r="D25" s="998">
        <f>MAX(C25-$D$4,0)</f>
        <v/>
      </c>
    </row>
    <row r="26">
      <c r="A26" s="918" t="n">
        <v>500</v>
      </c>
      <c r="B26" s="876">
        <f>'00 COMMON - Output Bridge'!A52</f>
        <v/>
      </c>
      <c r="C26" s="998">
        <f>IF($B$4="Best Estimate",'00 COMMON - Output Bridge'!B52,'00 COMMON - Output Bridge'!D52)</f>
        <v/>
      </c>
      <c r="D26" s="998">
        <f>MAX(C26-$D$4,0)</f>
        <v/>
      </c>
    </row>
  </sheetData>
  <mergeCells count="4">
    <mergeCell ref="A1:N1"/>
    <mergeCell ref="A8:N8"/>
    <mergeCell ref="A2:N2"/>
    <mergeCell ref="A15:N15"/>
  </mergeCells>
  <dataValidations count="1">
    <dataValidation sqref="B4" showDropDown="0" showInputMessage="0" showErrorMessage="0" allowBlank="0" type="list">
      <formula1>"Best Estimate,Prudent"</formula1>
    </dataValidation>
  </dataValidations>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tabColor rgb="007F7F7F"/>
    <outlinePr summaryBelow="1" summaryRight="1"/>
    <pageSetUpPr/>
  </sheetPr>
  <dimension ref="A1:F12"/>
  <sheetViews>
    <sheetView workbookViewId="0">
      <selection activeCell="A1" sqref="A1"/>
    </sheetView>
  </sheetViews>
  <sheetFormatPr baseColWidth="8" defaultRowHeight="15"/>
  <cols>
    <col width="28" customWidth="1" style="508" min="1" max="1"/>
    <col width="34" customWidth="1" style="508" min="2" max="2"/>
    <col width="12" customWidth="1" style="508" min="3" max="3"/>
  </cols>
  <sheetData>
    <row r="1" ht="32" customHeight="1" s="508">
      <c r="A1" s="1026" t="inlineStr">
        <is>
          <t>2 User-input navigation</t>
        </is>
      </c>
    </row>
    <row r="2" ht="38" customHeight="1" s="508">
      <c r="A2" s="980" t="inlineStr">
        <is>
          <t>Editable assessment inputs. Complete only the selected IT or OT domain; outside-in evidence remains optional.</t>
        </is>
      </c>
    </row>
    <row r="3" ht="48" customHeight="1" s="508">
      <c r="A3" s="1025">
        <f>IF('00 COMMON - Run Setup'!C6="IT","Complete the IT input section only",IF('00 COMMON - Run Setup'!C6="OT","Complete the OT input section only","Set Model domain first"))</f>
        <v/>
      </c>
    </row>
    <row r="4">
      <c r="A4" s="1027" t="inlineStr">
        <is>
          <t>Common every run: 00 COMMON - Run Setup; 00 COMMON - Outside-In (optional).</t>
        </is>
      </c>
    </row>
    <row r="5">
      <c r="A5" s="1025" t="inlineStr">
        <is>
          <t>IT only: IT 03, optional IT 04, IT 05, IT 06 overrides, IT 07 adjustments, IT 08 reporting.</t>
        </is>
      </c>
    </row>
    <row r="6">
      <c r="A6" s="1025" t="inlineStr">
        <is>
          <t>OT only: OT 03, OT 04, OT 05, OT 06 adjustments.</t>
        </is>
      </c>
    </row>
    <row r="7">
      <c r="A7" s="1025" t="inlineStr">
        <is>
          <t>Governed packs and core methodology are Advanced / Read Only / Not required to complete an assessment.</t>
        </is>
      </c>
    </row>
    <row r="8">
      <c r="A8" s="982" t="inlineStr">
        <is>
          <t>04 Control Assessment</t>
        </is>
      </c>
      <c r="B8" s="982" t="inlineStr">
        <is>
          <t>Assessment input / configuration</t>
        </is>
      </c>
      <c r="C8" s="982">
        <f>HYPERLINK("#'OT 04 - Control Assessment'!A1","Open")</f>
        <v/>
      </c>
    </row>
    <row r="9">
      <c r="A9" s="982" t="inlineStr">
        <is>
          <t>05 Impact and BIA</t>
        </is>
      </c>
      <c r="B9" s="982" t="inlineStr">
        <is>
          <t>Assessment input / configuration</t>
        </is>
      </c>
      <c r="C9" s="982">
        <f>HYPERLINK("#'OT 05 - Impact &amp; BIA'!A1","Open")</f>
        <v/>
      </c>
    </row>
    <row r="10">
      <c r="A10" s="982" t="inlineStr">
        <is>
          <t>IT 03 Organisation Inputs</t>
        </is>
      </c>
      <c r="B10" s="982" t="inlineStr">
        <is>
          <t>Assessment input / configuration</t>
        </is>
      </c>
      <c r="C10" s="982">
        <f>HYPERLINK("#'IT 03 - Organisation Inputs'!A1","Open")</f>
        <v/>
      </c>
    </row>
    <row r="11">
      <c r="A11" s="982" t="inlineStr">
        <is>
          <t>IT 05 Control Assessment</t>
        </is>
      </c>
      <c r="B11" s="982" t="inlineStr">
        <is>
          <t>Assessment input / configuration</t>
        </is>
      </c>
      <c r="C11" s="982">
        <f>HYPERLINK("#'IT 05 - Control Assessment'!A1","Open")</f>
        <v/>
      </c>
    </row>
    <row r="12">
      <c r="A12" s="982" t="inlineStr">
        <is>
          <t>IT 06 Impact and BIA</t>
        </is>
      </c>
      <c r="B12" s="982" t="inlineStr">
        <is>
          <t>Assessment input / configuration</t>
        </is>
      </c>
      <c r="C12" s="982">
        <f>HYPERLINK("#'IT 06 - Impact &amp; BIA Overrides'!A1","Open")</f>
        <v/>
      </c>
    </row>
  </sheetData>
  <mergeCells count="6">
    <mergeCell ref="A5:F5"/>
    <mergeCell ref="A1:F1"/>
    <mergeCell ref="A6:F6"/>
    <mergeCell ref="A4:F4"/>
    <mergeCell ref="A3:F3"/>
    <mergeCell ref="A7:F7"/>
  </mergeCells>
  <pageMargins left="0.7" right="0.7" top="0.75" bottom="0.75" header="0.3" footer="0.3"/>
</worksheet>
</file>

<file path=xl/worksheets/sheet15.xml><?xml version="1.0" encoding="utf-8"?>
<worksheet xmlns="http://schemas.openxmlformats.org/spreadsheetml/2006/main">
  <sheetPr>
    <tabColor rgb="001F4E79"/>
    <outlinePr summaryBelow="1" summaryRight="1"/>
    <pageSetUpPr/>
  </sheetPr>
  <dimension ref="A1:AB57"/>
  <sheetViews>
    <sheetView workbookViewId="0">
      <selection activeCell="A1" sqref="A1"/>
    </sheetView>
  </sheetViews>
  <sheetFormatPr baseColWidth="8" defaultRowHeight="15"/>
  <cols>
    <col width="22" customWidth="1" style="508" min="1" max="1"/>
    <col width="42" customWidth="1" style="508" min="2" max="2"/>
    <col width="30" customWidth="1" style="508" min="3" max="3"/>
    <col width="14" customWidth="1" style="508" min="4" max="4"/>
    <col width="14" customWidth="1" style="508" min="5" max="5"/>
    <col width="14" customWidth="1" style="508" min="6" max="6"/>
    <col width="14" customWidth="1" style="508" min="7" max="7"/>
    <col width="14" customWidth="1" style="508" min="8" max="8"/>
    <col width="14" customWidth="1" style="508" min="9" max="9"/>
    <col width="14" customWidth="1" style="508" min="10" max="10"/>
    <col width="14" customWidth="1" style="508" min="11" max="11"/>
    <col width="14" customWidth="1" style="508" min="12" max="12"/>
    <col width="14" customWidth="1" style="508" min="13" max="13"/>
    <col width="14" customWidth="1" style="508" min="14" max="14"/>
  </cols>
  <sheetData>
    <row r="1" ht="30" customHeight="1" s="508">
      <c r="A1" s="838" t="inlineStr">
        <is>
          <t>GUIDED IT / OT CYBER RISK QUANTIFICATION — RUN SETUP</t>
        </is>
      </c>
    </row>
    <row r="2" ht="32" customHeight="1" s="508">
      <c r="A2" s="842" t="inlineStr">
        <is>
          <t>Single assessment front end. Sector selection routes to the governed IT or OT methodology; outside-in evidence is optional and must never be treated as a standalone risk score.</t>
        </is>
      </c>
    </row>
    <row r="4" ht="22" customHeight="1" s="508">
      <c r="A4" s="845" t="inlineStr">
        <is>
          <t>ASSESSMENT &amp; MODEL ROUTING</t>
        </is>
      </c>
    </row>
    <row r="5" ht="30" customHeight="1" s="508">
      <c r="A5" s="851" t="inlineStr">
        <is>
          <t>Input</t>
        </is>
      </c>
      <c r="B5" s="851" t="inlineStr">
        <is>
          <t>Purpose</t>
        </is>
      </c>
      <c r="C5" s="913" t="inlineStr">
        <is>
          <t>Selection</t>
        </is>
      </c>
      <c r="Z5" s="972" t="inlineStr">
        <is>
          <t>IT</t>
        </is>
      </c>
      <c r="AA5" s="972" t="inlineStr">
        <is>
          <t>Financial Services</t>
        </is>
      </c>
      <c r="AB5" s="972" t="inlineStr">
        <is>
          <t>Power Generation</t>
        </is>
      </c>
    </row>
    <row r="6">
      <c r="A6" s="918" t="inlineStr">
        <is>
          <t>Model domain</t>
        </is>
      </c>
      <c r="B6" s="918" t="inlineStr">
        <is>
          <t>Explicit user selection. Filters the Sector list.</t>
        </is>
      </c>
      <c r="C6" s="915" t="inlineStr">
        <is>
          <t>OT</t>
        </is>
      </c>
      <c r="Z6" s="972" t="inlineStr">
        <is>
          <t>OT</t>
        </is>
      </c>
      <c r="AA6" s="972" t="inlineStr">
        <is>
          <t>Financial_Services</t>
        </is>
      </c>
      <c r="AB6" s="972" t="inlineStr">
        <is>
          <t>Energy Assets</t>
        </is>
      </c>
    </row>
    <row r="7">
      <c r="A7" s="918" t="inlineStr">
        <is>
          <t>Sector</t>
        </is>
      </c>
      <c r="B7" s="918" t="inlineStr">
        <is>
          <t>Filtered by Model domain. Resolves the external sector pack.</t>
        </is>
      </c>
      <c r="C7" s="862" t="inlineStr">
        <is>
          <t>Power Generation</t>
        </is>
      </c>
      <c r="AB7" s="972" t="inlineStr">
        <is>
          <t>Manufacturing</t>
        </is>
      </c>
    </row>
    <row r="8">
      <c r="A8" s="918" t="inlineStr">
        <is>
          <t>Asset type / scope</t>
        </is>
      </c>
      <c r="B8" s="918" t="inlineStr">
        <is>
          <t>Filtered by Sector: Organisation for IT; facility archetype for OT.</t>
        </is>
      </c>
      <c r="C8" s="915" t="inlineStr">
        <is>
          <t>CCGT</t>
        </is>
      </c>
      <c r="D8" s="972">
        <f>IF(C6="IT",IF(C8="Organisation","","IT requires Asset type = Organisation"),"")</f>
        <v/>
      </c>
      <c r="Z8" s="972" t="inlineStr">
        <is>
          <t>Organisation</t>
        </is>
      </c>
    </row>
    <row r="9">
      <c r="A9" s="918" t="inlineStr">
        <is>
          <t>Basis</t>
        </is>
      </c>
      <c r="B9" s="918" t="inlineStr">
        <is>
          <t>Best Estimate or Prudent dashboard view.</t>
        </is>
      </c>
      <c r="C9" s="915" t="inlineStr">
        <is>
          <t>Prudent</t>
        </is>
      </c>
    </row>
    <row r="10">
      <c r="A10" s="918" t="inlineStr">
        <is>
          <t>Apply outside-in scan?</t>
        </is>
      </c>
      <c r="B10" s="918" t="inlineStr">
        <is>
          <t>Optional evidence layer. No scan = baseline model remains fully valid.</t>
        </is>
      </c>
      <c r="C10" s="915" t="inlineStr">
        <is>
          <t>No</t>
        </is>
      </c>
    </row>
    <row r="11">
      <c r="A11" s="918" t="inlineStr">
        <is>
          <t>Outside-in file</t>
        </is>
      </c>
      <c r="B11" s="918" t="inlineStr">
        <is>
          <t>Expected relative path for approved normalized scan results.</t>
        </is>
      </c>
      <c r="C11" s="862">
        <f>"evidence/outside_in/"&amp;IF(C6="OT",'OT 03 - Facility Inputs'!C16,'IT 03 - Organisation Inputs'!C16)&amp;"_outside_in.csv"</f>
        <v/>
      </c>
    </row>
    <row r="12">
      <c r="A12" s="918" t="inlineStr">
        <is>
          <t>Resolved engine</t>
        </is>
      </c>
      <c r="B12" s="918" t="inlineStr">
        <is>
          <t>Common runner dispatches to the governed domain engine.</t>
        </is>
      </c>
      <c r="C12" s="862">
        <f>IF(C6="IT","it_crq v1.1.1","ot_crq v1.7.1")</f>
        <v/>
      </c>
    </row>
    <row r="13">
      <c r="A13" s="918" t="inlineStr">
        <is>
          <t>Unit of analysis</t>
        </is>
      </c>
      <c r="B13" s="918" t="inlineStr">
        <is>
          <t>Organisation for IT; one facility for OT.</t>
        </is>
      </c>
      <c r="C13" s="862">
        <f>IF(C6="IT","Organisation","Facility")</f>
        <v/>
      </c>
    </row>
    <row r="14">
      <c r="A14" s="918" t="inlineStr">
        <is>
          <t>Resolved pack</t>
        </is>
      </c>
      <c r="B14" s="918" t="inlineStr">
        <is>
          <t>Engine-resolved pack identifier.</t>
        </is>
      </c>
      <c r="C14" s="862">
        <f>IF(C6="OT",'OT 03 - Facility Inputs'!C32,'IT 03 - Organisation Inputs'!C34)</f>
        <v/>
      </c>
    </row>
    <row r="17" ht="22" customHeight="1" s="508">
      <c r="A17" s="865" t="inlineStr">
        <is>
          <t>DOMAIN ROUTING CONTRACT</t>
        </is>
      </c>
    </row>
    <row r="18" ht="30" customHeight="1" s="508">
      <c r="A18" s="851" t="inlineStr">
        <is>
          <t>Sector</t>
        </is>
      </c>
      <c r="B18" s="851" t="inlineStr">
        <is>
          <t>Domain</t>
        </is>
      </c>
      <c r="C18" s="851" t="inlineStr">
        <is>
          <t>Unit</t>
        </is>
      </c>
      <c r="D18" s="851" t="inlineStr">
        <is>
          <t>Underlying methodology</t>
        </is>
      </c>
      <c r="E18" s="851" t="inlineStr">
        <is>
          <t>Engine</t>
        </is>
      </c>
      <c r="F18" s="851" t="inlineStr">
        <is>
          <t>Template / pack</t>
        </is>
      </c>
      <c r="G18" s="851" t="inlineStr">
        <is>
          <t>Outside-in allowed?</t>
        </is>
      </c>
      <c r="H18" s="851" t="inlineStr">
        <is>
          <t>Routing note</t>
        </is>
      </c>
    </row>
    <row r="19">
      <c r="A19" s="918" t="inlineStr">
        <is>
          <t>Financial Services</t>
        </is>
      </c>
      <c r="B19" s="918" t="inlineStr">
        <is>
          <t>IT</t>
        </is>
      </c>
      <c r="C19" s="918" t="inlineStr">
        <is>
          <t>Organisation</t>
        </is>
      </c>
      <c r="D19" s="918" t="inlineStr">
        <is>
          <t>IT-CRQ v1.1.1</t>
        </is>
      </c>
      <c r="E19" s="918" t="inlineStr">
        <is>
          <t>it_crq</t>
        </is>
      </c>
      <c r="F19" s="918" t="inlineStr">
        <is>
          <t>Guided_IT_CRQ_Model_v1_1_1_Dashboard.xlsx / FS-v1.1.1</t>
        </is>
      </c>
      <c r="G19" s="918" t="inlineStr">
        <is>
          <t>Yes</t>
        </is>
      </c>
      <c r="H19" s="918" t="inlineStr">
        <is>
          <t>Enterprise ATT&amp;CK; 4 actors; IT scenario/route model.</t>
        </is>
      </c>
    </row>
    <row r="20">
      <c r="A20" s="918" t="inlineStr">
        <is>
          <t>Power Generation</t>
        </is>
      </c>
      <c r="B20" s="918" t="inlineStr">
        <is>
          <t>OT</t>
        </is>
      </c>
      <c r="C20" s="918" t="inlineStr">
        <is>
          <t>Facility</t>
        </is>
      </c>
      <c r="D20" s="918" t="inlineStr">
        <is>
          <t>OT-CRQ v1.7 + PG pack</t>
        </is>
      </c>
      <c r="E20" s="918" t="inlineStr">
        <is>
          <t>ot_crq</t>
        </is>
      </c>
      <c r="F20" s="918" t="inlineStr">
        <is>
          <t>PG-v1.6</t>
        </is>
      </c>
      <c r="G20" s="918" t="inlineStr">
        <is>
          <t>Yes</t>
        </is>
      </c>
      <c r="H20" s="918" t="inlineStr">
        <is>
          <t>ATT&amp;CK for ICS; 3 actors; five-stage OT composite path.</t>
        </is>
      </c>
    </row>
    <row r="21">
      <c r="A21" s="918" t="inlineStr">
        <is>
          <t>Energy Assets</t>
        </is>
      </c>
      <c r="B21" s="918" t="inlineStr">
        <is>
          <t>OT</t>
        </is>
      </c>
      <c r="C21" s="918" t="inlineStr">
        <is>
          <t>Facility</t>
        </is>
      </c>
      <c r="D21" s="918" t="inlineStr">
        <is>
          <t>OT-CRQ v1.7 + EA pack</t>
        </is>
      </c>
      <c r="E21" s="918" t="inlineStr">
        <is>
          <t>ot_crq</t>
        </is>
      </c>
      <c r="F21" s="918" t="inlineStr">
        <is>
          <t>EA-v1.0</t>
        </is>
      </c>
      <c r="G21" s="918" t="inlineStr">
        <is>
          <t>Yes</t>
        </is>
      </c>
      <c r="H21" s="918" t="inlineStr">
        <is>
          <t>Same OT method; Energy calibration pack.</t>
        </is>
      </c>
    </row>
    <row r="22">
      <c r="A22" s="918" t="inlineStr">
        <is>
          <t>Manufacturing</t>
        </is>
      </c>
      <c r="B22" s="918" t="inlineStr">
        <is>
          <t>OT</t>
        </is>
      </c>
      <c r="C22" s="918" t="inlineStr">
        <is>
          <t>Facility</t>
        </is>
      </c>
      <c r="D22" s="918" t="inlineStr">
        <is>
          <t>OT-CRQ v1.7 + MF pack</t>
        </is>
      </c>
      <c r="E22" s="918" t="inlineStr">
        <is>
          <t>ot_crq</t>
        </is>
      </c>
      <c r="F22" s="918" t="inlineStr">
        <is>
          <t>MF-v1.0</t>
        </is>
      </c>
      <c r="G22" s="918" t="inlineStr">
        <is>
          <t>Yes</t>
        </is>
      </c>
      <c r="H22" s="918" t="inlineStr">
        <is>
          <t>Same OT method; Manufacturing calibration pack.</t>
        </is>
      </c>
    </row>
    <row r="25" ht="22" customHeight="1" s="508">
      <c r="A25" s="845" t="inlineStr">
        <is>
          <t>RUN WORKFLOW</t>
        </is>
      </c>
    </row>
    <row r="26" ht="30" customHeight="1" s="508">
      <c r="A26" s="851" t="inlineStr">
        <is>
          <t>Step</t>
        </is>
      </c>
      <c r="B26" s="851" t="inlineStr">
        <is>
          <t>Operator action</t>
        </is>
      </c>
      <c r="C26" s="851" t="inlineStr">
        <is>
          <t>Engine behaviour</t>
        </is>
      </c>
      <c r="D26" s="851" t="inlineStr">
        <is>
          <t>Audit result</t>
        </is>
      </c>
      <c r="E26" s="851" t="n"/>
      <c r="F26" s="851" t="n"/>
      <c r="G26" s="851" t="n"/>
      <c r="H26" s="851" t="n"/>
      <c r="I26" s="851" t="n"/>
      <c r="J26" s="851" t="n"/>
      <c r="K26" s="851" t="n"/>
      <c r="L26" s="851" t="n"/>
      <c r="M26" s="851" t="n"/>
      <c r="N26" s="851" t="n"/>
    </row>
    <row r="27">
      <c r="A27" s="918" t="n">
        <v>1</v>
      </c>
      <c r="B27" s="918" t="inlineStr">
        <is>
          <t>Select sector and scope above.</t>
        </is>
      </c>
      <c r="C27" s="918" t="inlineStr">
        <is>
          <t>Router resolves IT vs OT and governed pack.</t>
        </is>
      </c>
      <c r="D27" s="918" t="inlineStr">
        <is>
          <t>Domain/pack recorded in result workbook.</t>
        </is>
      </c>
      <c r="E27" s="918" t="n"/>
      <c r="F27" s="918" t="n"/>
      <c r="G27" s="918" t="n"/>
      <c r="H27" s="918" t="n"/>
      <c r="I27" s="918" t="n"/>
      <c r="J27" s="918" t="n"/>
      <c r="K27" s="918" t="n"/>
      <c r="L27" s="918" t="n"/>
      <c r="M27" s="918" t="n"/>
      <c r="N27" s="918" t="n"/>
    </row>
    <row r="28">
      <c r="A28" s="918" t="n">
        <v>2</v>
      </c>
      <c r="B28" s="918" t="inlineStr">
        <is>
          <t>Complete the relevant IT or OT assessment inputs.</t>
        </is>
      </c>
      <c r="C28" s="918" t="inlineStr">
        <is>
          <t>Only the selected domain methodology is executed.</t>
        </is>
      </c>
      <c r="D28" s="918" t="inlineStr">
        <is>
          <t>Unselected domain is not blended into the result.</t>
        </is>
      </c>
      <c r="E28" s="918" t="n"/>
      <c r="F28" s="918" t="n"/>
      <c r="G28" s="918" t="n"/>
      <c r="H28" s="918" t="n"/>
      <c r="I28" s="918" t="n"/>
      <c r="J28" s="918" t="n"/>
      <c r="K28" s="918" t="n"/>
      <c r="L28" s="918" t="n"/>
      <c r="M28" s="918" t="n"/>
      <c r="N28" s="918" t="n"/>
    </row>
    <row r="29">
      <c r="A29" s="918" t="n">
        <v>3</v>
      </c>
      <c r="B29" s="918" t="inlineStr">
        <is>
          <t>If a scan exists, set Apply outside-in = Yes and place normalized file at the shown path.</t>
        </is>
      </c>
      <c r="C29" s="918" t="inlineStr">
        <is>
          <t>Engine validates schema, attribution and approved mapping rules.</t>
        </is>
      </c>
      <c r="D29" s="918" t="inlineStr">
        <is>
          <t>00 Outside-In stores the normalized evidence snapshot.</t>
        </is>
      </c>
      <c r="E29" s="918" t="n"/>
      <c r="F29" s="918" t="n"/>
      <c r="G29" s="918" t="n"/>
      <c r="H29" s="918" t="n"/>
      <c r="I29" s="918" t="n"/>
      <c r="J29" s="918" t="n"/>
      <c r="K29" s="918" t="n"/>
      <c r="L29" s="918" t="n"/>
      <c r="M29" s="918" t="n"/>
      <c r="N29" s="918" t="n"/>
    </row>
    <row r="30">
      <c r="A30" s="918" t="n">
        <v>4</v>
      </c>
      <c r="B30" s="918" t="inlineStr">
        <is>
          <t>Run the common launcher.</t>
        </is>
      </c>
      <c r="C30" s="918" t="inlineStr">
        <is>
          <t>Launcher dispatches to it_crq or ot_crq.</t>
        </is>
      </c>
      <c r="D30" s="918" t="inlineStr">
        <is>
          <t>Baseline assumptions and scan-conditioned amendments are preserved separately.</t>
        </is>
      </c>
      <c r="E30" s="918" t="n"/>
      <c r="F30" s="918" t="n"/>
      <c r="G30" s="918" t="n"/>
      <c r="H30" s="918" t="n"/>
      <c r="I30" s="918" t="n"/>
      <c r="J30" s="918" t="n"/>
      <c r="K30" s="918" t="n"/>
      <c r="L30" s="918" t="n"/>
      <c r="M30" s="918" t="n"/>
      <c r="N30" s="918" t="n"/>
    </row>
    <row r="31">
      <c r="A31" s="918" t="n">
        <v>5</v>
      </c>
      <c r="B31" s="918" t="inlineStr">
        <is>
          <t>Review dashboards and validation.</t>
        </is>
      </c>
      <c r="C31" s="918" t="inlineStr">
        <is>
          <t>Dashboard reads the common output bridge.</t>
        </is>
      </c>
      <c r="D31" s="918" t="inlineStr">
        <is>
          <t>00 OI Adjustment Rationale explains every quantitative amendment.</t>
        </is>
      </c>
      <c r="E31" s="918" t="n"/>
      <c r="F31" s="918" t="n"/>
      <c r="G31" s="918" t="n"/>
      <c r="H31" s="918" t="n"/>
      <c r="I31" s="918" t="n"/>
      <c r="J31" s="918" t="n"/>
      <c r="K31" s="918" t="n"/>
      <c r="L31" s="918" t="n"/>
      <c r="M31" s="918" t="n"/>
      <c r="N31" s="918" t="n"/>
    </row>
    <row r="32">
      <c r="A32" s="918" t="n">
        <v>6</v>
      </c>
      <c r="B32" s="918" t="inlineStr">
        <is>
          <t>Archive workbook + scan + engine version.</t>
        </is>
      </c>
      <c r="C32" s="918" t="inlineStr">
        <is>
          <t>No scan is a valid run state.</t>
        </is>
      </c>
      <c r="D32" s="918" t="inlineStr">
        <is>
          <t>Reproducible assessment package.</t>
        </is>
      </c>
      <c r="E32" s="918" t="n"/>
      <c r="F32" s="918" t="n"/>
      <c r="G32" s="918" t="n"/>
      <c r="H32" s="918" t="n"/>
      <c r="I32" s="918" t="n"/>
      <c r="J32" s="918" t="n"/>
      <c r="K32" s="918" t="n"/>
      <c r="L32" s="918" t="n"/>
      <c r="M32" s="918" t="n"/>
      <c r="N32" s="918" t="n"/>
    </row>
    <row r="35" ht="44" customHeight="1" s="508">
      <c r="A35" s="996" t="inlineStr">
        <is>
          <t>EXECUTION CONTRACT — one combined workbook is the operator-facing assessment file. The common Python launcher routes by sector. IT runs use the supplied v1.1.1 code against the IT staging sheets; OT runs remain on the governed OT methodology. The unselected domain is not blended into the calculation.</t>
        </is>
      </c>
    </row>
    <row r="36"/>
    <row r="37"/>
    <row r="38"/>
    <row r="39"/>
    <row r="42" ht="22" customHeight="1" s="508">
      <c r="A42" s="931" t="inlineStr">
        <is>
          <t>FINANCIAL SERVICES — IT INPUT SYNC CONTRACT</t>
        </is>
      </c>
    </row>
    <row r="43" ht="30" customHeight="1" s="508">
      <c r="A43" s="851" t="inlineStr">
        <is>
          <t>Combined workbook sheet</t>
        </is>
      </c>
      <c r="B43" s="851" t="inlineStr">
        <is>
          <t>IT template destination</t>
        </is>
      </c>
      <c r="C43" s="851" t="inlineStr">
        <is>
          <t>Values to sync</t>
        </is>
      </c>
      <c r="D43" s="851" t="inlineStr">
        <is>
          <t>Direction</t>
        </is>
      </c>
      <c r="E43" s="851" t="inlineStr">
        <is>
          <t>When</t>
        </is>
      </c>
      <c r="F43" s="851" t="inlineStr">
        <is>
          <t>Purpose</t>
        </is>
      </c>
    </row>
    <row r="44">
      <c r="A44" s="918" t="inlineStr">
        <is>
          <t>IT 03 Organisation Inputs</t>
        </is>
      </c>
      <c r="B44" s="918" t="inlineStr">
        <is>
          <t>03 Organisation Inputs</t>
        </is>
      </c>
      <c r="C44" s="918" t="inlineStr">
        <is>
          <t>User input cells / keys</t>
        </is>
      </c>
      <c r="D44" s="918" t="inlineStr">
        <is>
          <t>Master → IT template</t>
        </is>
      </c>
      <c r="E44" s="918" t="inlineStr">
        <is>
          <t>Before IT run</t>
        </is>
      </c>
      <c r="F44" s="918" t="inlineStr">
        <is>
          <t>Organisation scale and model settings</t>
        </is>
      </c>
    </row>
    <row r="45">
      <c r="A45" s="918" t="inlineStr">
        <is>
          <t>IT 05 Control Assessment</t>
        </is>
      </c>
      <c r="B45" s="918" t="inlineStr">
        <is>
          <t>05 Control Assessment</t>
        </is>
      </c>
      <c r="C45" s="918" t="inlineStr">
        <is>
          <t>Actual maturity / coverage / evidence</t>
        </is>
      </c>
      <c r="D45" s="918" t="inlineStr">
        <is>
          <t>Master → IT template</t>
        </is>
      </c>
      <c r="E45" s="918" t="inlineStr">
        <is>
          <t>Before IT run</t>
        </is>
      </c>
      <c r="F45" s="918" t="inlineStr">
        <is>
          <t>Control barriers</t>
        </is>
      </c>
    </row>
    <row r="46">
      <c r="A46" s="918" t="inlineStr">
        <is>
          <t>IT 06 Impact and BIA</t>
        </is>
      </c>
      <c r="B46" s="918" t="inlineStr">
        <is>
          <t>06 Impact and BIA</t>
        </is>
      </c>
      <c r="C46" s="918" t="inlineStr">
        <is>
          <t>Organisation overrides</t>
        </is>
      </c>
      <c r="D46" s="918" t="inlineStr">
        <is>
          <t>Master → IT template</t>
        </is>
      </c>
      <c r="E46" s="918" t="inlineStr">
        <is>
          <t>Before IT run</t>
        </is>
      </c>
      <c r="F46" s="918" t="inlineStr">
        <is>
          <t>Financial consequence</t>
        </is>
      </c>
    </row>
    <row r="47">
      <c r="A47" s="918" t="inlineStr">
        <is>
          <t>IT 07 Frequency Assumptions</t>
        </is>
      </c>
      <c r="B47" s="918" t="inlineStr">
        <is>
          <t>07 Frequency Assumptions</t>
        </is>
      </c>
      <c r="C47" s="918" t="inlineStr">
        <is>
          <t>User input frequency multipliers</t>
        </is>
      </c>
      <c r="D47" s="918" t="inlineStr">
        <is>
          <t>Master → IT template</t>
        </is>
      </c>
      <c r="E47" s="918" t="inlineStr">
        <is>
          <t>Before IT run</t>
        </is>
      </c>
      <c r="F47" s="918" t="inlineStr">
        <is>
          <t>Campaign frequency</t>
        </is>
      </c>
    </row>
    <row r="48">
      <c r="A48" s="918" t="inlineStr">
        <is>
          <t>IT 08 Tail Risk Settings</t>
        </is>
      </c>
      <c r="B48" s="918" t="inlineStr">
        <is>
          <t>08 Tail Risk Settings</t>
        </is>
      </c>
      <c r="C48" s="918" t="inlineStr">
        <is>
          <t>Reporting / retention inputs</t>
        </is>
      </c>
      <c r="D48" s="918" t="inlineStr">
        <is>
          <t>Master → IT template</t>
        </is>
      </c>
      <c r="E48" s="918" t="inlineStr">
        <is>
          <t>Before IT run</t>
        </is>
      </c>
      <c r="F48" s="918" t="inlineStr">
        <is>
          <t>Reporting configuration</t>
        </is>
      </c>
    </row>
    <row r="49">
      <c r="A49" s="918" t="inlineStr">
        <is>
          <t>00 Output Bridge</t>
        </is>
      </c>
      <c r="B49" s="918" t="inlineStr">
        <is>
          <t>IT result workbook</t>
        </is>
      </c>
      <c r="C49" s="918" t="inlineStr">
        <is>
          <t>Normalized metrics / curves / decompositions</t>
        </is>
      </c>
      <c r="D49" s="918" t="inlineStr">
        <is>
          <t>IT result → Master</t>
        </is>
      </c>
      <c r="E49" s="918" t="inlineStr">
        <is>
          <t>After IT run</t>
        </is>
      </c>
      <c r="F49" s="918" t="inlineStr">
        <is>
          <t>Common dashboards</t>
        </is>
      </c>
    </row>
    <row r="50">
      <c r="A50" s="1042" t="inlineStr">
        <is>
          <t>Required workflow</t>
        </is>
      </c>
    </row>
    <row r="51">
      <c r="A51" s="1025">
        <f>IF(C6="IT","Complete the IT input section only",IF(C6="OT","Complete the OT input section only","Select IT or OT"))</f>
        <v/>
      </c>
    </row>
    <row r="52">
      <c r="A52" t="inlineStr">
        <is>
          <t>Parameter</t>
        </is>
      </c>
      <c r="B52" t="inlineStr">
        <is>
          <t>Description</t>
        </is>
      </c>
      <c r="C52" t="inlineStr">
        <is>
          <t>Value</t>
        </is>
      </c>
    </row>
    <row r="53">
      <c r="A53" s="972" t="inlineStr">
        <is>
          <t>Selected domain</t>
        </is>
      </c>
      <c r="B53" s="972">
        <f>C6</f>
        <v/>
      </c>
      <c r="C53" s="1043" t="n"/>
    </row>
    <row r="54">
      <c r="A54" s="972" t="inlineStr">
        <is>
          <t>Selected sector</t>
        </is>
      </c>
      <c r="B54" s="972">
        <f>C7</f>
        <v/>
      </c>
      <c r="C54" s="1043" t="n"/>
    </row>
    <row r="55">
      <c r="A55" s="972" t="inlineStr">
        <is>
          <t>Unit of analysis</t>
        </is>
      </c>
      <c r="B55" s="972">
        <f>C13</f>
        <v/>
      </c>
      <c r="C55" s="1043" t="n"/>
    </row>
    <row r="56">
      <c r="A56" t="inlineStr">
        <is>
          <t>MAX_ACCEPTABLE_TVAR_99</t>
        </is>
      </c>
      <c r="B56" t="inlineStr">
        <is>
          <t>Max acceptable TVaR 99 ($)</t>
        </is>
      </c>
      <c r="C56" s="1043" t="n"/>
    </row>
    <row r="57">
      <c r="A57" t="inlineStr">
        <is>
          <t>MAX_ACCEPTABLE_DOWNTIME_DAYS</t>
        </is>
      </c>
      <c r="B57" t="inlineStr">
        <is>
          <t>Max acceptable downtime P95 (days)</t>
        </is>
      </c>
      <c r="C57" s="1043" t="n"/>
    </row>
  </sheetData>
  <mergeCells count="8">
    <mergeCell ref="A17:N17"/>
    <mergeCell ref="A35:N39"/>
    <mergeCell ref="A35:H35"/>
    <mergeCell ref="A2:N2"/>
    <mergeCell ref="A4:G4"/>
    <mergeCell ref="A25:N25"/>
    <mergeCell ref="A42:N42"/>
    <mergeCell ref="A1:N1"/>
  </mergeCells>
  <dataValidations count="3">
    <dataValidation sqref="C6" showDropDown="0" showInputMessage="0" showErrorMessage="1" allowBlank="0" type="list">
      <formula1>"IT,OT"</formula1>
    </dataValidation>
    <dataValidation sqref="C7" showDropDown="0" showInputMessage="1" showErrorMessage="1" allowBlank="0" errorTitle="Sector not valid for domain" error="Select a sector that belongs to the Model domain in C6." promptTitle="Sector" prompt="This list is filtered by Model domain." type="list">
      <formula1>INDIRECT($C$6&amp;"_Sectors")</formula1>
    </dataValidation>
    <dataValidation sqref="C8" showDropDown="0" showInputMessage="1" showErrorMessage="1" allowBlank="0" errorTitle="Asset type not valid for sector" error="Select an asset type that belongs to the Sector in C7." promptTitle="Asset type / scope" prompt="This list is filtered by Sector." type="list">
      <formula1>INDIRECT(SUBSTITUTE($C$7," ","_"))</formula1>
    </dataValidation>
  </dataValidations>
  <pageMargins left="0.7" right="0.7" top="0.75" bottom="0.75" header="0.3" footer="0.3"/>
</worksheet>
</file>

<file path=xl/worksheets/sheet16.xml><?xml version="1.0" encoding="utf-8"?>
<worksheet xmlns="http://schemas.openxmlformats.org/spreadsheetml/2006/main">
  <sheetPr>
    <tabColor rgb="001F4E79"/>
    <outlinePr summaryBelow="1" summaryRight="1"/>
    <pageSetUpPr/>
  </sheetPr>
  <dimension ref="A1:R115"/>
  <sheetViews>
    <sheetView workbookViewId="0">
      <selection activeCell="A1" sqref="A1"/>
    </sheetView>
  </sheetViews>
  <sheetFormatPr baseColWidth="8" defaultRowHeight="15"/>
  <cols>
    <col width="15" customWidth="1" style="508" min="1" max="1"/>
    <col width="28" customWidth="1" style="508" min="2" max="2"/>
    <col width="22" customWidth="1" style="508" min="3" max="3"/>
    <col width="22" customWidth="1" style="508" min="4" max="4"/>
    <col width="14" customWidth="1" style="508" min="5" max="5"/>
    <col width="14" customWidth="1" style="508" min="6" max="6"/>
    <col width="14" customWidth="1" style="508" min="7" max="7"/>
    <col width="14" customWidth="1" style="508" min="8" max="8"/>
    <col width="22" customWidth="1" style="508" min="9" max="9"/>
    <col width="22" customWidth="1" style="508" min="10" max="10"/>
    <col width="14" customWidth="1" style="508" min="11" max="11"/>
    <col width="14" customWidth="1" style="508" min="12" max="12"/>
    <col width="20" customWidth="1" style="508" min="13" max="13"/>
    <col width="20" customWidth="1" style="508" min="14" max="14"/>
    <col width="20" customWidth="1" style="508" min="15" max="15"/>
    <col width="20" customWidth="1" style="508" min="16" max="16"/>
    <col width="20" customWidth="1" style="508" min="17" max="17"/>
    <col width="14" customWidth="1" style="508" min="18" max="18"/>
  </cols>
  <sheetData>
    <row r="1" ht="30" customHeight="1" s="508">
      <c r="A1" s="838" t="inlineStr">
        <is>
          <t>OPTIONAL OUTSIDE-IN EVIDENCE</t>
        </is>
      </c>
    </row>
    <row r="2" ht="32" customHeight="1" s="508">
      <c r="A2" s="842" t="inlineStr">
        <is>
          <t>Engine-populated normalized scan evidence. The model must run with this sheet empty when no scan is available. Positive evidence may condition existing likelihood inputs; absence of a finding does not automatically earn risk credit.</t>
        </is>
      </c>
    </row>
    <row r="4" ht="22" customHeight="1" s="508">
      <c r="A4" s="845" t="inlineStr">
        <is>
          <t>SCAN STATUS &amp; GOVERNANCE</t>
        </is>
      </c>
    </row>
    <row r="5" ht="30" customHeight="1" s="508">
      <c r="A5" s="851" t="inlineStr">
        <is>
          <t>Field</t>
        </is>
      </c>
      <c r="B5" s="851" t="inlineStr">
        <is>
          <t>Value</t>
        </is>
      </c>
      <c r="D5" s="875" t="inlineStr">
        <is>
          <t>INCLUSION RULES
• Finding must map to an in-scope organisation/facility asset or route.
• Direct exposure can change exposure/frequency or route feasibility.
• KEV/high-EPSS/CVE evidence can inform the relevant access/stage barrier; EPSS is not P(success).
• Do not change financial severity, downtime, physical damage or safety consequence solely from outside-in data.
• Uncertain ownership or facility attribution is retained as evidence but receives no automatic quantitative adjustment.
• A clean scan does not, by itself, reduce baseline risk.</t>
        </is>
      </c>
    </row>
    <row r="6">
      <c r="A6" s="918" t="inlineStr">
        <is>
          <t>Apply outside-in?</t>
        </is>
      </c>
      <c r="B6" s="918">
        <f>'00 COMMON - Run Setup'!C10</f>
        <v/>
      </c>
    </row>
    <row r="7">
      <c r="A7" s="918" t="inlineStr">
        <is>
          <t>Expected file</t>
        </is>
      </c>
      <c r="B7" s="918">
        <f>'00 COMMON - Run Setup'!C11</f>
        <v/>
      </c>
    </row>
    <row r="8">
      <c r="A8" s="918" t="inlineStr">
        <is>
          <t>Scan supplied?</t>
        </is>
      </c>
      <c r="B8" s="918" t="inlineStr">
        <is>
          <t>No</t>
        </is>
      </c>
    </row>
    <row r="9">
      <c r="A9" s="918" t="inlineStr">
        <is>
          <t>Schema status</t>
        </is>
      </c>
      <c r="B9" s="918" t="inlineStr">
        <is>
          <t>NOT LOADED</t>
        </is>
      </c>
    </row>
    <row r="10">
      <c r="A10" s="918" t="inlineStr">
        <is>
          <t>Finding count</t>
        </is>
      </c>
      <c r="B10" s="918" t="n">
        <v>0</v>
      </c>
    </row>
    <row r="11">
      <c r="A11" s="918" t="inlineStr">
        <is>
          <t>Quantitative adjustments</t>
        </is>
      </c>
      <c r="B11" s="918" t="n">
        <v>0</v>
      </c>
    </row>
    <row r="12">
      <c r="A12" s="918" t="inlineStr">
        <is>
          <t>Scan / observation date</t>
        </is>
      </c>
      <c r="B12" s="918" t="n"/>
    </row>
    <row r="14" ht="22" customHeight="1" s="508">
      <c r="A14" s="845" t="inlineStr">
        <is>
          <t>NORMALIZED FINDING SNAPSHOT — ENGINE OUTPUT</t>
        </is>
      </c>
    </row>
    <row r="15" ht="30" customHeight="1" s="508">
      <c r="A15" s="851" t="inlineStr">
        <is>
          <t>Finding ID</t>
        </is>
      </c>
      <c r="B15" s="851" t="inlineStr">
        <is>
          <t>Observed asset / endpoint</t>
        </is>
      </c>
      <c r="C15" s="851" t="inlineStr">
        <is>
          <t>Finding type</t>
        </is>
      </c>
      <c r="D15" s="851" t="inlineStr">
        <is>
          <t>Technology / service</t>
        </is>
      </c>
      <c r="E15" s="851" t="inlineStr">
        <is>
          <t>CVE</t>
        </is>
      </c>
      <c r="F15" s="851" t="inlineStr">
        <is>
          <t>KEV?</t>
        </is>
      </c>
      <c r="G15" s="851" t="inlineStr">
        <is>
          <t>EPSS</t>
        </is>
      </c>
      <c r="H15" s="851" t="inlineStr">
        <is>
          <t>Internet exposed?</t>
        </is>
      </c>
      <c r="I15" s="851" t="inlineStr">
        <is>
          <t>Organisation attribution</t>
        </is>
      </c>
      <c r="J15" s="851" t="inlineStr">
        <is>
          <t>Facility attribution</t>
        </is>
      </c>
      <c r="K15" s="851" t="inlineStr">
        <is>
          <t>Attribution confidence</t>
        </is>
      </c>
      <c r="L15" s="851" t="inlineStr">
        <is>
          <t>IT/OT relevance</t>
        </is>
      </c>
      <c r="M15" s="851" t="inlineStr">
        <is>
          <t>ATT&amp;CK / route mapping</t>
        </is>
      </c>
      <c r="N15" s="851" t="inlineStr">
        <is>
          <t>Model stage</t>
        </is>
      </c>
      <c r="O15" s="851" t="inlineStr">
        <is>
          <t>Proposed treatment</t>
        </is>
      </c>
      <c r="P15" s="851" t="inlineStr">
        <is>
          <t>Evidence strength</t>
        </is>
      </c>
      <c r="Q15" s="851" t="inlineStr">
        <is>
          <t>Source / scanner</t>
        </is>
      </c>
      <c r="R15" s="851" t="inlineStr">
        <is>
          <t>Observation date</t>
        </is>
      </c>
    </row>
    <row r="16">
      <c r="A16" s="918" t="n"/>
      <c r="B16" s="918" t="n"/>
      <c r="C16" s="918" t="n"/>
      <c r="D16" s="918" t="n"/>
      <c r="E16" s="918" t="n"/>
      <c r="F16" s="918" t="n"/>
      <c r="G16" s="876" t="n"/>
      <c r="H16" s="918" t="n"/>
      <c r="I16" s="918" t="n"/>
      <c r="J16" s="918" t="n"/>
      <c r="K16" s="918" t="n"/>
      <c r="L16" s="918" t="n"/>
      <c r="M16" s="918" t="n"/>
      <c r="N16" s="918" t="n"/>
      <c r="O16" s="918" t="n"/>
      <c r="P16" s="918" t="n"/>
      <c r="Q16" s="918" t="n"/>
      <c r="R16" s="1000" t="n"/>
    </row>
    <row r="17">
      <c r="A17" s="918" t="n"/>
      <c r="B17" s="918" t="n"/>
      <c r="C17" s="918" t="n"/>
      <c r="D17" s="918" t="n"/>
      <c r="E17" s="918" t="n"/>
      <c r="F17" s="918" t="n"/>
      <c r="G17" s="876" t="n"/>
      <c r="H17" s="918" t="n"/>
      <c r="I17" s="918" t="n"/>
      <c r="J17" s="918" t="n"/>
      <c r="K17" s="918" t="n"/>
      <c r="L17" s="918" t="n"/>
      <c r="M17" s="918" t="n"/>
      <c r="N17" s="918" t="n"/>
      <c r="O17" s="918" t="n"/>
      <c r="P17" s="918" t="n"/>
      <c r="Q17" s="918" t="n"/>
      <c r="R17" s="1000" t="n"/>
    </row>
    <row r="18">
      <c r="A18" s="918" t="n"/>
      <c r="B18" s="918" t="n"/>
      <c r="C18" s="918" t="n"/>
      <c r="D18" s="918" t="n"/>
      <c r="E18" s="918" t="n"/>
      <c r="F18" s="918" t="n"/>
      <c r="G18" s="876" t="n"/>
      <c r="H18" s="918" t="n"/>
      <c r="I18" s="918" t="n"/>
      <c r="J18" s="918" t="n"/>
      <c r="K18" s="918" t="n"/>
      <c r="L18" s="918" t="n"/>
      <c r="M18" s="918" t="n"/>
      <c r="N18" s="918" t="n"/>
      <c r="O18" s="918" t="n"/>
      <c r="P18" s="918" t="n"/>
      <c r="Q18" s="918" t="n"/>
      <c r="R18" s="1000" t="n"/>
    </row>
    <row r="19">
      <c r="A19" s="918" t="n"/>
      <c r="B19" s="918" t="n"/>
      <c r="C19" s="918" t="n"/>
      <c r="D19" s="918" t="n"/>
      <c r="E19" s="918" t="n"/>
      <c r="F19" s="918" t="n"/>
      <c r="G19" s="876" t="n"/>
      <c r="H19" s="918" t="n"/>
      <c r="I19" s="918" t="n"/>
      <c r="J19" s="918" t="n"/>
      <c r="K19" s="918" t="n"/>
      <c r="L19" s="918" t="n"/>
      <c r="M19" s="918" t="n"/>
      <c r="N19" s="918" t="n"/>
      <c r="O19" s="918" t="n"/>
      <c r="P19" s="918" t="n"/>
      <c r="Q19" s="918" t="n"/>
      <c r="R19" s="1000" t="n"/>
    </row>
    <row r="20">
      <c r="A20" s="918" t="n"/>
      <c r="B20" s="918" t="n"/>
      <c r="C20" s="918" t="n"/>
      <c r="D20" s="918" t="n"/>
      <c r="E20" s="918" t="n"/>
      <c r="F20" s="918" t="n"/>
      <c r="G20" s="876" t="n"/>
      <c r="H20" s="918" t="n"/>
      <c r="I20" s="918" t="n"/>
      <c r="J20" s="918" t="n"/>
      <c r="K20" s="918" t="n"/>
      <c r="L20" s="918" t="n"/>
      <c r="M20" s="918" t="n"/>
      <c r="N20" s="918" t="n"/>
      <c r="O20" s="918" t="n"/>
      <c r="P20" s="918" t="n"/>
      <c r="Q20" s="918" t="n"/>
      <c r="R20" s="1000" t="n"/>
    </row>
    <row r="21">
      <c r="A21" s="918" t="n"/>
      <c r="B21" s="918" t="n"/>
      <c r="C21" s="918" t="n"/>
      <c r="D21" s="918" t="n"/>
      <c r="E21" s="918" t="n"/>
      <c r="F21" s="918" t="n"/>
      <c r="G21" s="876" t="n"/>
      <c r="H21" s="918" t="n"/>
      <c r="I21" s="918" t="n"/>
      <c r="J21" s="918" t="n"/>
      <c r="K21" s="918" t="n"/>
      <c r="L21" s="918" t="n"/>
      <c r="M21" s="918" t="n"/>
      <c r="N21" s="918" t="n"/>
      <c r="O21" s="918" t="n"/>
      <c r="P21" s="918" t="n"/>
      <c r="Q21" s="918" t="n"/>
      <c r="R21" s="1000" t="n"/>
    </row>
    <row r="22">
      <c r="A22" s="918" t="n"/>
      <c r="B22" s="918" t="n"/>
      <c r="C22" s="918" t="n"/>
      <c r="D22" s="918" t="n"/>
      <c r="E22" s="918" t="n"/>
      <c r="F22" s="918" t="n"/>
      <c r="G22" s="876" t="n"/>
      <c r="H22" s="918" t="n"/>
      <c r="I22" s="918" t="n"/>
      <c r="J22" s="918" t="n"/>
      <c r="K22" s="918" t="n"/>
      <c r="L22" s="918" t="n"/>
      <c r="M22" s="918" t="n"/>
      <c r="N22" s="918" t="n"/>
      <c r="O22" s="918" t="n"/>
      <c r="P22" s="918" t="n"/>
      <c r="Q22" s="918" t="n"/>
      <c r="R22" s="1000" t="n"/>
    </row>
    <row r="23">
      <c r="A23" s="918" t="n"/>
      <c r="B23" s="918" t="n"/>
      <c r="C23" s="918" t="n"/>
      <c r="D23" s="918" t="n"/>
      <c r="E23" s="918" t="n"/>
      <c r="F23" s="918" t="n"/>
      <c r="G23" s="876" t="n"/>
      <c r="H23" s="918" t="n"/>
      <c r="I23" s="918" t="n"/>
      <c r="J23" s="918" t="n"/>
      <c r="K23" s="918" t="n"/>
      <c r="L23" s="918" t="n"/>
      <c r="M23" s="918" t="n"/>
      <c r="N23" s="918" t="n"/>
      <c r="O23" s="918" t="n"/>
      <c r="P23" s="918" t="n"/>
      <c r="Q23" s="918" t="n"/>
      <c r="R23" s="1000" t="n"/>
    </row>
    <row r="24">
      <c r="A24" s="918" t="n"/>
      <c r="B24" s="918" t="n"/>
      <c r="C24" s="918" t="n"/>
      <c r="D24" s="918" t="n"/>
      <c r="E24" s="918" t="n"/>
      <c r="F24" s="918" t="n"/>
      <c r="G24" s="876" t="n"/>
      <c r="H24" s="918" t="n"/>
      <c r="I24" s="918" t="n"/>
      <c r="J24" s="918" t="n"/>
      <c r="K24" s="918" t="n"/>
      <c r="L24" s="918" t="n"/>
      <c r="M24" s="918" t="n"/>
      <c r="N24" s="918" t="n"/>
      <c r="O24" s="918" t="n"/>
      <c r="P24" s="918" t="n"/>
      <c r="Q24" s="918" t="n"/>
      <c r="R24" s="1000" t="n"/>
    </row>
    <row r="25">
      <c r="A25" s="918" t="n"/>
      <c r="B25" s="918" t="n"/>
      <c r="C25" s="918" t="n"/>
      <c r="D25" s="918" t="n"/>
      <c r="E25" s="918" t="n"/>
      <c r="F25" s="918" t="n"/>
      <c r="G25" s="876" t="n"/>
      <c r="H25" s="918" t="n"/>
      <c r="I25" s="918" t="n"/>
      <c r="J25" s="918" t="n"/>
      <c r="K25" s="918" t="n"/>
      <c r="L25" s="918" t="n"/>
      <c r="M25" s="918" t="n"/>
      <c r="N25" s="918" t="n"/>
      <c r="O25" s="918" t="n"/>
      <c r="P25" s="918" t="n"/>
      <c r="Q25" s="918" t="n"/>
      <c r="R25" s="1000" t="n"/>
    </row>
    <row r="26">
      <c r="A26" s="918" t="n"/>
      <c r="B26" s="918" t="n"/>
      <c r="C26" s="918" t="n"/>
      <c r="D26" s="918" t="n"/>
      <c r="E26" s="918" t="n"/>
      <c r="F26" s="918" t="n"/>
      <c r="G26" s="876" t="n"/>
      <c r="H26" s="918" t="n"/>
      <c r="I26" s="918" t="n"/>
      <c r="J26" s="918" t="n"/>
      <c r="K26" s="918" t="n"/>
      <c r="L26" s="918" t="n"/>
      <c r="M26" s="918" t="n"/>
      <c r="N26" s="918" t="n"/>
      <c r="O26" s="918" t="n"/>
      <c r="P26" s="918" t="n"/>
      <c r="Q26" s="918" t="n"/>
      <c r="R26" s="1000" t="n"/>
    </row>
    <row r="27">
      <c r="A27" s="918" t="n"/>
      <c r="B27" s="918" t="n"/>
      <c r="C27" s="918" t="n"/>
      <c r="D27" s="918" t="n"/>
      <c r="E27" s="918" t="n"/>
      <c r="F27" s="918" t="n"/>
      <c r="G27" s="876" t="n"/>
      <c r="H27" s="918" t="n"/>
      <c r="I27" s="918" t="n"/>
      <c r="J27" s="918" t="n"/>
      <c r="K27" s="918" t="n"/>
      <c r="L27" s="918" t="n"/>
      <c r="M27" s="918" t="n"/>
      <c r="N27" s="918" t="n"/>
      <c r="O27" s="918" t="n"/>
      <c r="P27" s="918" t="n"/>
      <c r="Q27" s="918" t="n"/>
      <c r="R27" s="1000" t="n"/>
    </row>
    <row r="28">
      <c r="A28" s="918" t="n"/>
      <c r="B28" s="918" t="n"/>
      <c r="C28" s="918" t="n"/>
      <c r="D28" s="918" t="n"/>
      <c r="E28" s="918" t="n"/>
      <c r="F28" s="918" t="n"/>
      <c r="G28" s="876" t="n"/>
      <c r="H28" s="918" t="n"/>
      <c r="I28" s="918" t="n"/>
      <c r="J28" s="918" t="n"/>
      <c r="K28" s="918" t="n"/>
      <c r="L28" s="918" t="n"/>
      <c r="M28" s="918" t="n"/>
      <c r="N28" s="918" t="n"/>
      <c r="O28" s="918" t="n"/>
      <c r="P28" s="918" t="n"/>
      <c r="Q28" s="918" t="n"/>
      <c r="R28" s="1000" t="n"/>
    </row>
    <row r="29">
      <c r="A29" s="918" t="n"/>
      <c r="B29" s="918" t="n"/>
      <c r="C29" s="918" t="n"/>
      <c r="D29" s="918" t="n"/>
      <c r="E29" s="918" t="n"/>
      <c r="F29" s="918" t="n"/>
      <c r="G29" s="876" t="n"/>
      <c r="H29" s="918" t="n"/>
      <c r="I29" s="918" t="n"/>
      <c r="J29" s="918" t="n"/>
      <c r="K29" s="918" t="n"/>
      <c r="L29" s="918" t="n"/>
      <c r="M29" s="918" t="n"/>
      <c r="N29" s="918" t="n"/>
      <c r="O29" s="918" t="n"/>
      <c r="P29" s="918" t="n"/>
      <c r="Q29" s="918" t="n"/>
      <c r="R29" s="1000" t="n"/>
    </row>
    <row r="30">
      <c r="A30" s="918" t="n"/>
      <c r="B30" s="918" t="n"/>
      <c r="C30" s="918" t="n"/>
      <c r="D30" s="918" t="n"/>
      <c r="E30" s="918" t="n"/>
      <c r="F30" s="918" t="n"/>
      <c r="G30" s="876" t="n"/>
      <c r="H30" s="918" t="n"/>
      <c r="I30" s="918" t="n"/>
      <c r="J30" s="918" t="n"/>
      <c r="K30" s="918" t="n"/>
      <c r="L30" s="918" t="n"/>
      <c r="M30" s="918" t="n"/>
      <c r="N30" s="918" t="n"/>
      <c r="O30" s="918" t="n"/>
      <c r="P30" s="918" t="n"/>
      <c r="Q30" s="918" t="n"/>
      <c r="R30" s="1000" t="n"/>
    </row>
    <row r="31">
      <c r="A31" s="918" t="n"/>
      <c r="B31" s="918" t="n"/>
      <c r="C31" s="918" t="n"/>
      <c r="D31" s="918" t="n"/>
      <c r="E31" s="918" t="n"/>
      <c r="F31" s="918" t="n"/>
      <c r="G31" s="876" t="n"/>
      <c r="H31" s="918" t="n"/>
      <c r="I31" s="918" t="n"/>
      <c r="J31" s="918" t="n"/>
      <c r="K31" s="918" t="n"/>
      <c r="L31" s="918" t="n"/>
      <c r="M31" s="918" t="n"/>
      <c r="N31" s="918" t="n"/>
      <c r="O31" s="918" t="n"/>
      <c r="P31" s="918" t="n"/>
      <c r="Q31" s="918" t="n"/>
      <c r="R31" s="1000" t="n"/>
    </row>
    <row r="32">
      <c r="A32" s="918" t="n"/>
      <c r="B32" s="918" t="n"/>
      <c r="C32" s="918" t="n"/>
      <c r="D32" s="918" t="n"/>
      <c r="E32" s="918" t="n"/>
      <c r="F32" s="918" t="n"/>
      <c r="G32" s="876" t="n"/>
      <c r="H32" s="918" t="n"/>
      <c r="I32" s="918" t="n"/>
      <c r="J32" s="918" t="n"/>
      <c r="K32" s="918" t="n"/>
      <c r="L32" s="918" t="n"/>
      <c r="M32" s="918" t="n"/>
      <c r="N32" s="918" t="n"/>
      <c r="O32" s="918" t="n"/>
      <c r="P32" s="918" t="n"/>
      <c r="Q32" s="918" t="n"/>
      <c r="R32" s="1000" t="n"/>
    </row>
    <row r="33">
      <c r="A33" s="918" t="n"/>
      <c r="B33" s="918" t="n"/>
      <c r="C33" s="918" t="n"/>
      <c r="D33" s="918" t="n"/>
      <c r="E33" s="918" t="n"/>
      <c r="F33" s="918" t="n"/>
      <c r="G33" s="876" t="n"/>
      <c r="H33" s="918" t="n"/>
      <c r="I33" s="918" t="n"/>
      <c r="J33" s="918" t="n"/>
      <c r="K33" s="918" t="n"/>
      <c r="L33" s="918" t="n"/>
      <c r="M33" s="918" t="n"/>
      <c r="N33" s="918" t="n"/>
      <c r="O33" s="918" t="n"/>
      <c r="P33" s="918" t="n"/>
      <c r="Q33" s="918" t="n"/>
      <c r="R33" s="1000" t="n"/>
    </row>
    <row r="34">
      <c r="A34" s="918" t="n"/>
      <c r="B34" s="918" t="n"/>
      <c r="C34" s="918" t="n"/>
      <c r="D34" s="918" t="n"/>
      <c r="E34" s="918" t="n"/>
      <c r="F34" s="918" t="n"/>
      <c r="G34" s="876" t="n"/>
      <c r="H34" s="918" t="n"/>
      <c r="I34" s="918" t="n"/>
      <c r="J34" s="918" t="n"/>
      <c r="K34" s="918" t="n"/>
      <c r="L34" s="918" t="n"/>
      <c r="M34" s="918" t="n"/>
      <c r="N34" s="918" t="n"/>
      <c r="O34" s="918" t="n"/>
      <c r="P34" s="918" t="n"/>
      <c r="Q34" s="918" t="n"/>
      <c r="R34" s="1000" t="n"/>
    </row>
    <row r="35">
      <c r="A35" s="918" t="n"/>
      <c r="B35" s="918" t="n"/>
      <c r="C35" s="918" t="n"/>
      <c r="D35" s="918" t="n"/>
      <c r="E35" s="918" t="n"/>
      <c r="F35" s="918" t="n"/>
      <c r="G35" s="876" t="n"/>
      <c r="H35" s="918" t="n"/>
      <c r="I35" s="918" t="n"/>
      <c r="J35" s="918" t="n"/>
      <c r="K35" s="918" t="n"/>
      <c r="L35" s="918" t="n"/>
      <c r="M35" s="918" t="n"/>
      <c r="N35" s="918" t="n"/>
      <c r="O35" s="918" t="n"/>
      <c r="P35" s="918" t="n"/>
      <c r="Q35" s="918" t="n"/>
      <c r="R35" s="1000" t="n"/>
    </row>
    <row r="36">
      <c r="A36" s="918" t="n"/>
      <c r="B36" s="918" t="n"/>
      <c r="C36" s="918" t="n"/>
      <c r="D36" s="918" t="n"/>
      <c r="E36" s="918" t="n"/>
      <c r="F36" s="918" t="n"/>
      <c r="G36" s="876" t="n"/>
      <c r="H36" s="918" t="n"/>
      <c r="I36" s="918" t="n"/>
      <c r="J36" s="918" t="n"/>
      <c r="K36" s="918" t="n"/>
      <c r="L36" s="918" t="n"/>
      <c r="M36" s="918" t="n"/>
      <c r="N36" s="918" t="n"/>
      <c r="O36" s="918" t="n"/>
      <c r="P36" s="918" t="n"/>
      <c r="Q36" s="918" t="n"/>
      <c r="R36" s="1000" t="n"/>
    </row>
    <row r="37">
      <c r="A37" s="918" t="n"/>
      <c r="B37" s="918" t="n"/>
      <c r="C37" s="918" t="n"/>
      <c r="D37" s="918" t="n"/>
      <c r="E37" s="918" t="n"/>
      <c r="F37" s="918" t="n"/>
      <c r="G37" s="876" t="n"/>
      <c r="H37" s="918" t="n"/>
      <c r="I37" s="918" t="n"/>
      <c r="J37" s="918" t="n"/>
      <c r="K37" s="918" t="n"/>
      <c r="L37" s="918" t="n"/>
      <c r="M37" s="918" t="n"/>
      <c r="N37" s="918" t="n"/>
      <c r="O37" s="918" t="n"/>
      <c r="P37" s="918" t="n"/>
      <c r="Q37" s="918" t="n"/>
      <c r="R37" s="1000" t="n"/>
    </row>
    <row r="38">
      <c r="A38" s="918" t="n"/>
      <c r="B38" s="918" t="n"/>
      <c r="C38" s="918" t="n"/>
      <c r="D38" s="918" t="n"/>
      <c r="E38" s="918" t="n"/>
      <c r="F38" s="918" t="n"/>
      <c r="G38" s="876" t="n"/>
      <c r="H38" s="918" t="n"/>
      <c r="I38" s="918" t="n"/>
      <c r="J38" s="918" t="n"/>
      <c r="K38" s="918" t="n"/>
      <c r="L38" s="918" t="n"/>
      <c r="M38" s="918" t="n"/>
      <c r="N38" s="918" t="n"/>
      <c r="O38" s="918" t="n"/>
      <c r="P38" s="918" t="n"/>
      <c r="Q38" s="918" t="n"/>
      <c r="R38" s="1000" t="n"/>
    </row>
    <row r="39">
      <c r="A39" s="918" t="n"/>
      <c r="B39" s="918" t="n"/>
      <c r="C39" s="918" t="n"/>
      <c r="D39" s="918" t="n"/>
      <c r="E39" s="918" t="n"/>
      <c r="F39" s="918" t="n"/>
      <c r="G39" s="876" t="n"/>
      <c r="H39" s="918" t="n"/>
      <c r="I39" s="918" t="n"/>
      <c r="J39" s="918" t="n"/>
      <c r="K39" s="918" t="n"/>
      <c r="L39" s="918" t="n"/>
      <c r="M39" s="918" t="n"/>
      <c r="N39" s="918" t="n"/>
      <c r="O39" s="918" t="n"/>
      <c r="P39" s="918" t="n"/>
      <c r="Q39" s="918" t="n"/>
      <c r="R39" s="1000" t="n"/>
    </row>
    <row r="40">
      <c r="A40" s="918" t="n"/>
      <c r="B40" s="918" t="n"/>
      <c r="C40" s="918" t="n"/>
      <c r="D40" s="918" t="n"/>
      <c r="E40" s="918" t="n"/>
      <c r="F40" s="918" t="n"/>
      <c r="G40" s="876" t="n"/>
      <c r="H40" s="918" t="n"/>
      <c r="I40" s="918" t="n"/>
      <c r="J40" s="918" t="n"/>
      <c r="K40" s="918" t="n"/>
      <c r="L40" s="918" t="n"/>
      <c r="M40" s="918" t="n"/>
      <c r="N40" s="918" t="n"/>
      <c r="O40" s="918" t="n"/>
      <c r="P40" s="918" t="n"/>
      <c r="Q40" s="918" t="n"/>
      <c r="R40" s="1000" t="n"/>
    </row>
    <row r="41">
      <c r="A41" s="918" t="n"/>
      <c r="B41" s="918" t="n"/>
      <c r="C41" s="918" t="n"/>
      <c r="D41" s="918" t="n"/>
      <c r="E41" s="918" t="n"/>
      <c r="F41" s="918" t="n"/>
      <c r="G41" s="876" t="n"/>
      <c r="H41" s="918" t="n"/>
      <c r="I41" s="918" t="n"/>
      <c r="J41" s="918" t="n"/>
      <c r="K41" s="918" t="n"/>
      <c r="L41" s="918" t="n"/>
      <c r="M41" s="918" t="n"/>
      <c r="N41" s="918" t="n"/>
      <c r="O41" s="918" t="n"/>
      <c r="P41" s="918" t="n"/>
      <c r="Q41" s="918" t="n"/>
      <c r="R41" s="1000" t="n"/>
    </row>
    <row r="42">
      <c r="A42" s="918" t="n"/>
      <c r="B42" s="918" t="n"/>
      <c r="C42" s="918" t="n"/>
      <c r="D42" s="918" t="n"/>
      <c r="E42" s="918" t="n"/>
      <c r="F42" s="918" t="n"/>
      <c r="G42" s="876" t="n"/>
      <c r="H42" s="918" t="n"/>
      <c r="I42" s="918" t="n"/>
      <c r="J42" s="918" t="n"/>
      <c r="K42" s="918" t="n"/>
      <c r="L42" s="918" t="n"/>
      <c r="M42" s="918" t="n"/>
      <c r="N42" s="918" t="n"/>
      <c r="O42" s="918" t="n"/>
      <c r="P42" s="918" t="n"/>
      <c r="Q42" s="918" t="n"/>
      <c r="R42" s="1000" t="n"/>
    </row>
    <row r="43">
      <c r="A43" s="918" t="n"/>
      <c r="B43" s="918" t="n"/>
      <c r="C43" s="918" t="n"/>
      <c r="D43" s="918" t="n"/>
      <c r="E43" s="918" t="n"/>
      <c r="F43" s="918" t="n"/>
      <c r="G43" s="876" t="n"/>
      <c r="H43" s="918" t="n"/>
      <c r="I43" s="918" t="n"/>
      <c r="J43" s="918" t="n"/>
      <c r="K43" s="918" t="n"/>
      <c r="L43" s="918" t="n"/>
      <c r="M43" s="918" t="n"/>
      <c r="N43" s="918" t="n"/>
      <c r="O43" s="918" t="n"/>
      <c r="P43" s="918" t="n"/>
      <c r="Q43" s="918" t="n"/>
      <c r="R43" s="1000" t="n"/>
    </row>
    <row r="44">
      <c r="A44" s="918" t="n"/>
      <c r="B44" s="918" t="n"/>
      <c r="C44" s="918" t="n"/>
      <c r="D44" s="918" t="n"/>
      <c r="E44" s="918" t="n"/>
      <c r="F44" s="918" t="n"/>
      <c r="G44" s="876" t="n"/>
      <c r="H44" s="918" t="n"/>
      <c r="I44" s="918" t="n"/>
      <c r="J44" s="918" t="n"/>
      <c r="K44" s="918" t="n"/>
      <c r="L44" s="918" t="n"/>
      <c r="M44" s="918" t="n"/>
      <c r="N44" s="918" t="n"/>
      <c r="O44" s="918" t="n"/>
      <c r="P44" s="918" t="n"/>
      <c r="Q44" s="918" t="n"/>
      <c r="R44" s="1000" t="n"/>
    </row>
    <row r="45">
      <c r="A45" s="918" t="n"/>
      <c r="B45" s="918" t="n"/>
      <c r="C45" s="918" t="n"/>
      <c r="D45" s="918" t="n"/>
      <c r="E45" s="918" t="n"/>
      <c r="F45" s="918" t="n"/>
      <c r="G45" s="876" t="n"/>
      <c r="H45" s="918" t="n"/>
      <c r="I45" s="918" t="n"/>
      <c r="J45" s="918" t="n"/>
      <c r="K45" s="918" t="n"/>
      <c r="L45" s="918" t="n"/>
      <c r="M45" s="918" t="n"/>
      <c r="N45" s="918" t="n"/>
      <c r="O45" s="918" t="n"/>
      <c r="P45" s="918" t="n"/>
      <c r="Q45" s="918" t="n"/>
      <c r="R45" s="1000" t="n"/>
    </row>
    <row r="46">
      <c r="A46" s="918" t="n"/>
      <c r="B46" s="918" t="n"/>
      <c r="C46" s="918" t="n"/>
      <c r="D46" s="918" t="n"/>
      <c r="E46" s="918" t="n"/>
      <c r="F46" s="918" t="n"/>
      <c r="G46" s="876" t="n"/>
      <c r="H46" s="918" t="n"/>
      <c r="I46" s="918" t="n"/>
      <c r="J46" s="918" t="n"/>
      <c r="K46" s="918" t="n"/>
      <c r="L46" s="918" t="n"/>
      <c r="M46" s="918" t="n"/>
      <c r="N46" s="918" t="n"/>
      <c r="O46" s="918" t="n"/>
      <c r="P46" s="918" t="n"/>
      <c r="Q46" s="918" t="n"/>
      <c r="R46" s="1000" t="n"/>
    </row>
    <row r="47">
      <c r="A47" s="918" t="n"/>
      <c r="B47" s="918" t="n"/>
      <c r="C47" s="918" t="n"/>
      <c r="D47" s="918" t="n"/>
      <c r="E47" s="918" t="n"/>
      <c r="F47" s="918" t="n"/>
      <c r="G47" s="876" t="n"/>
      <c r="H47" s="918" t="n"/>
      <c r="I47" s="918" t="n"/>
      <c r="J47" s="918" t="n"/>
      <c r="K47" s="918" t="n"/>
      <c r="L47" s="918" t="n"/>
      <c r="M47" s="918" t="n"/>
      <c r="N47" s="918" t="n"/>
      <c r="O47" s="918" t="n"/>
      <c r="P47" s="918" t="n"/>
      <c r="Q47" s="918" t="n"/>
      <c r="R47" s="1000" t="n"/>
    </row>
    <row r="48">
      <c r="A48" s="918" t="n"/>
      <c r="B48" s="918" t="n"/>
      <c r="C48" s="918" t="n"/>
      <c r="D48" s="918" t="n"/>
      <c r="E48" s="918" t="n"/>
      <c r="F48" s="918" t="n"/>
      <c r="G48" s="876" t="n"/>
      <c r="H48" s="918" t="n"/>
      <c r="I48" s="918" t="n"/>
      <c r="J48" s="918" t="n"/>
      <c r="K48" s="918" t="n"/>
      <c r="L48" s="918" t="n"/>
      <c r="M48" s="918" t="n"/>
      <c r="N48" s="918" t="n"/>
      <c r="O48" s="918" t="n"/>
      <c r="P48" s="918" t="n"/>
      <c r="Q48" s="918" t="n"/>
      <c r="R48" s="1000" t="n"/>
    </row>
    <row r="49">
      <c r="A49" s="918" t="n"/>
      <c r="B49" s="918" t="n"/>
      <c r="C49" s="918" t="n"/>
      <c r="D49" s="918" t="n"/>
      <c r="E49" s="918" t="n"/>
      <c r="F49" s="918" t="n"/>
      <c r="G49" s="876" t="n"/>
      <c r="H49" s="918" t="n"/>
      <c r="I49" s="918" t="n"/>
      <c r="J49" s="918" t="n"/>
      <c r="K49" s="918" t="n"/>
      <c r="L49" s="918" t="n"/>
      <c r="M49" s="918" t="n"/>
      <c r="N49" s="918" t="n"/>
      <c r="O49" s="918" t="n"/>
      <c r="P49" s="918" t="n"/>
      <c r="Q49" s="918" t="n"/>
      <c r="R49" s="1000" t="n"/>
    </row>
    <row r="50">
      <c r="A50" s="918" t="n"/>
      <c r="B50" s="918" t="n"/>
      <c r="C50" s="918" t="n"/>
      <c r="D50" s="918" t="n"/>
      <c r="E50" s="918" t="n"/>
      <c r="F50" s="918" t="n"/>
      <c r="G50" s="876" t="n"/>
      <c r="H50" s="918" t="n"/>
      <c r="I50" s="918" t="n"/>
      <c r="J50" s="918" t="n"/>
      <c r="K50" s="918" t="n"/>
      <c r="L50" s="918" t="n"/>
      <c r="M50" s="918" t="n"/>
      <c r="N50" s="918" t="n"/>
      <c r="O50" s="918" t="n"/>
      <c r="P50" s="918" t="n"/>
      <c r="Q50" s="918" t="n"/>
      <c r="R50" s="1000" t="n"/>
    </row>
    <row r="51">
      <c r="A51" s="918" t="n"/>
      <c r="B51" s="918" t="n"/>
      <c r="C51" s="918" t="n"/>
      <c r="D51" s="918" t="n"/>
      <c r="E51" s="918" t="n"/>
      <c r="F51" s="918" t="n"/>
      <c r="G51" s="876" t="n"/>
      <c r="H51" s="918" t="n"/>
      <c r="I51" s="918" t="n"/>
      <c r="J51" s="918" t="n"/>
      <c r="K51" s="918" t="n"/>
      <c r="L51" s="918" t="n"/>
      <c r="M51" s="918" t="n"/>
      <c r="N51" s="918" t="n"/>
      <c r="O51" s="918" t="n"/>
      <c r="P51" s="918" t="n"/>
      <c r="Q51" s="918" t="n"/>
      <c r="R51" s="1000" t="n"/>
    </row>
    <row r="52">
      <c r="A52" s="918" t="n"/>
      <c r="B52" s="918" t="n"/>
      <c r="C52" s="918" t="n"/>
      <c r="D52" s="918" t="n"/>
      <c r="E52" s="918" t="n"/>
      <c r="F52" s="918" t="n"/>
      <c r="G52" s="876" t="n"/>
      <c r="H52" s="918" t="n"/>
      <c r="I52" s="918" t="n"/>
      <c r="J52" s="918" t="n"/>
      <c r="K52" s="918" t="n"/>
      <c r="L52" s="918" t="n"/>
      <c r="M52" s="918" t="n"/>
      <c r="N52" s="918" t="n"/>
      <c r="O52" s="918" t="n"/>
      <c r="P52" s="918" t="n"/>
      <c r="Q52" s="918" t="n"/>
      <c r="R52" s="1000" t="n"/>
    </row>
    <row r="53">
      <c r="A53" s="918" t="n"/>
      <c r="B53" s="918" t="n"/>
      <c r="C53" s="918" t="n"/>
      <c r="D53" s="918" t="n"/>
      <c r="E53" s="918" t="n"/>
      <c r="F53" s="918" t="n"/>
      <c r="G53" s="876" t="n"/>
      <c r="H53" s="918" t="n"/>
      <c r="I53" s="918" t="n"/>
      <c r="J53" s="918" t="n"/>
      <c r="K53" s="918" t="n"/>
      <c r="L53" s="918" t="n"/>
      <c r="M53" s="918" t="n"/>
      <c r="N53" s="918" t="n"/>
      <c r="O53" s="918" t="n"/>
      <c r="P53" s="918" t="n"/>
      <c r="Q53" s="918" t="n"/>
      <c r="R53" s="1000" t="n"/>
    </row>
    <row r="54">
      <c r="A54" s="918" t="n"/>
      <c r="B54" s="918" t="n"/>
      <c r="C54" s="918" t="n"/>
      <c r="D54" s="918" t="n"/>
      <c r="E54" s="918" t="n"/>
      <c r="F54" s="918" t="n"/>
      <c r="G54" s="876" t="n"/>
      <c r="H54" s="918" t="n"/>
      <c r="I54" s="918" t="n"/>
      <c r="J54" s="918" t="n"/>
      <c r="K54" s="918" t="n"/>
      <c r="L54" s="918" t="n"/>
      <c r="M54" s="918" t="n"/>
      <c r="N54" s="918" t="n"/>
      <c r="O54" s="918" t="n"/>
      <c r="P54" s="918" t="n"/>
      <c r="Q54" s="918" t="n"/>
      <c r="R54" s="1000" t="n"/>
    </row>
    <row r="55">
      <c r="A55" s="918" t="n"/>
      <c r="B55" s="918" t="n"/>
      <c r="C55" s="918" t="n"/>
      <c r="D55" s="918" t="n"/>
      <c r="E55" s="918" t="n"/>
      <c r="F55" s="918" t="n"/>
      <c r="G55" s="876" t="n"/>
      <c r="H55" s="918" t="n"/>
      <c r="I55" s="918" t="n"/>
      <c r="J55" s="918" t="n"/>
      <c r="K55" s="918" t="n"/>
      <c r="L55" s="918" t="n"/>
      <c r="M55" s="918" t="n"/>
      <c r="N55" s="918" t="n"/>
      <c r="O55" s="918" t="n"/>
      <c r="P55" s="918" t="n"/>
      <c r="Q55" s="918" t="n"/>
      <c r="R55" s="1000" t="n"/>
    </row>
    <row r="56">
      <c r="A56" s="918" t="n"/>
      <c r="B56" s="918" t="n"/>
      <c r="C56" s="918" t="n"/>
      <c r="D56" s="918" t="n"/>
      <c r="E56" s="918" t="n"/>
      <c r="F56" s="918" t="n"/>
      <c r="G56" s="876" t="n"/>
      <c r="H56" s="918" t="n"/>
      <c r="I56" s="918" t="n"/>
      <c r="J56" s="918" t="n"/>
      <c r="K56" s="918" t="n"/>
      <c r="L56" s="918" t="n"/>
      <c r="M56" s="918" t="n"/>
      <c r="N56" s="918" t="n"/>
      <c r="O56" s="918" t="n"/>
      <c r="P56" s="918" t="n"/>
      <c r="Q56" s="918" t="n"/>
      <c r="R56" s="1000" t="n"/>
    </row>
    <row r="57">
      <c r="A57" s="918" t="n"/>
      <c r="B57" s="918" t="n"/>
      <c r="C57" s="918" t="n"/>
      <c r="D57" s="918" t="n"/>
      <c r="E57" s="918" t="n"/>
      <c r="F57" s="918" t="n"/>
      <c r="G57" s="876" t="n"/>
      <c r="H57" s="918" t="n"/>
      <c r="I57" s="918" t="n"/>
      <c r="J57" s="918" t="n"/>
      <c r="K57" s="918" t="n"/>
      <c r="L57" s="918" t="n"/>
      <c r="M57" s="918" t="n"/>
      <c r="N57" s="918" t="n"/>
      <c r="O57" s="918" t="n"/>
      <c r="P57" s="918" t="n"/>
      <c r="Q57" s="918" t="n"/>
      <c r="R57" s="1000" t="n"/>
    </row>
    <row r="58">
      <c r="A58" s="918" t="n"/>
      <c r="B58" s="918" t="n"/>
      <c r="C58" s="918" t="n"/>
      <c r="D58" s="918" t="n"/>
      <c r="E58" s="918" t="n"/>
      <c r="F58" s="918" t="n"/>
      <c r="G58" s="876" t="n"/>
      <c r="H58" s="918" t="n"/>
      <c r="I58" s="918" t="n"/>
      <c r="J58" s="918" t="n"/>
      <c r="K58" s="918" t="n"/>
      <c r="L58" s="918" t="n"/>
      <c r="M58" s="918" t="n"/>
      <c r="N58" s="918" t="n"/>
      <c r="O58" s="918" t="n"/>
      <c r="P58" s="918" t="n"/>
      <c r="Q58" s="918" t="n"/>
      <c r="R58" s="1000" t="n"/>
    </row>
    <row r="59">
      <c r="A59" s="918" t="n"/>
      <c r="B59" s="918" t="n"/>
      <c r="C59" s="918" t="n"/>
      <c r="D59" s="918" t="n"/>
      <c r="E59" s="918" t="n"/>
      <c r="F59" s="918" t="n"/>
      <c r="G59" s="876" t="n"/>
      <c r="H59" s="918" t="n"/>
      <c r="I59" s="918" t="n"/>
      <c r="J59" s="918" t="n"/>
      <c r="K59" s="918" t="n"/>
      <c r="L59" s="918" t="n"/>
      <c r="M59" s="918" t="n"/>
      <c r="N59" s="918" t="n"/>
      <c r="O59" s="918" t="n"/>
      <c r="P59" s="918" t="n"/>
      <c r="Q59" s="918" t="n"/>
      <c r="R59" s="1000" t="n"/>
    </row>
    <row r="60">
      <c r="A60" s="918" t="n"/>
      <c r="B60" s="918" t="n"/>
      <c r="C60" s="918" t="n"/>
      <c r="D60" s="918" t="n"/>
      <c r="E60" s="918" t="n"/>
      <c r="F60" s="918" t="n"/>
      <c r="G60" s="876" t="n"/>
      <c r="H60" s="918" t="n"/>
      <c r="I60" s="918" t="n"/>
      <c r="J60" s="918" t="n"/>
      <c r="K60" s="918" t="n"/>
      <c r="L60" s="918" t="n"/>
      <c r="M60" s="918" t="n"/>
      <c r="N60" s="918" t="n"/>
      <c r="O60" s="918" t="n"/>
      <c r="P60" s="918" t="n"/>
      <c r="Q60" s="918" t="n"/>
      <c r="R60" s="1000" t="n"/>
    </row>
    <row r="61">
      <c r="A61" s="918" t="n"/>
      <c r="B61" s="918" t="n"/>
      <c r="C61" s="918" t="n"/>
      <c r="D61" s="918" t="n"/>
      <c r="E61" s="918" t="n"/>
      <c r="F61" s="918" t="n"/>
      <c r="G61" s="876" t="n"/>
      <c r="H61" s="918" t="n"/>
      <c r="I61" s="918" t="n"/>
      <c r="J61" s="918" t="n"/>
      <c r="K61" s="918" t="n"/>
      <c r="L61" s="918" t="n"/>
      <c r="M61" s="918" t="n"/>
      <c r="N61" s="918" t="n"/>
      <c r="O61" s="918" t="n"/>
      <c r="P61" s="918" t="n"/>
      <c r="Q61" s="918" t="n"/>
      <c r="R61" s="1000" t="n"/>
    </row>
    <row r="62">
      <c r="A62" s="918" t="n"/>
      <c r="B62" s="918" t="n"/>
      <c r="C62" s="918" t="n"/>
      <c r="D62" s="918" t="n"/>
      <c r="E62" s="918" t="n"/>
      <c r="F62" s="918" t="n"/>
      <c r="G62" s="876" t="n"/>
      <c r="H62" s="918" t="n"/>
      <c r="I62" s="918" t="n"/>
      <c r="J62" s="918" t="n"/>
      <c r="K62" s="918" t="n"/>
      <c r="L62" s="918" t="n"/>
      <c r="M62" s="918" t="n"/>
      <c r="N62" s="918" t="n"/>
      <c r="O62" s="918" t="n"/>
      <c r="P62" s="918" t="n"/>
      <c r="Q62" s="918" t="n"/>
      <c r="R62" s="1000" t="n"/>
    </row>
    <row r="63">
      <c r="A63" s="918" t="n"/>
      <c r="B63" s="918" t="n"/>
      <c r="C63" s="918" t="n"/>
      <c r="D63" s="918" t="n"/>
      <c r="E63" s="918" t="n"/>
      <c r="F63" s="918" t="n"/>
      <c r="G63" s="876" t="n"/>
      <c r="H63" s="918" t="n"/>
      <c r="I63" s="918" t="n"/>
      <c r="J63" s="918" t="n"/>
      <c r="K63" s="918" t="n"/>
      <c r="L63" s="918" t="n"/>
      <c r="M63" s="918" t="n"/>
      <c r="N63" s="918" t="n"/>
      <c r="O63" s="918" t="n"/>
      <c r="P63" s="918" t="n"/>
      <c r="Q63" s="918" t="n"/>
      <c r="R63" s="1000" t="n"/>
    </row>
    <row r="64">
      <c r="A64" s="918" t="n"/>
      <c r="B64" s="918" t="n"/>
      <c r="C64" s="918" t="n"/>
      <c r="D64" s="918" t="n"/>
      <c r="E64" s="918" t="n"/>
      <c r="F64" s="918" t="n"/>
      <c r="G64" s="876" t="n"/>
      <c r="H64" s="918" t="n"/>
      <c r="I64" s="918" t="n"/>
      <c r="J64" s="918" t="n"/>
      <c r="K64" s="918" t="n"/>
      <c r="L64" s="918" t="n"/>
      <c r="M64" s="918" t="n"/>
      <c r="N64" s="918" t="n"/>
      <c r="O64" s="918" t="n"/>
      <c r="P64" s="918" t="n"/>
      <c r="Q64" s="918" t="n"/>
      <c r="R64" s="1000" t="n"/>
    </row>
    <row r="65">
      <c r="A65" s="918" t="n"/>
      <c r="B65" s="918" t="n"/>
      <c r="C65" s="918" t="n"/>
      <c r="D65" s="918" t="n"/>
      <c r="E65" s="918" t="n"/>
      <c r="F65" s="918" t="n"/>
      <c r="G65" s="876" t="n"/>
      <c r="H65" s="918" t="n"/>
      <c r="I65" s="918" t="n"/>
      <c r="J65" s="918" t="n"/>
      <c r="K65" s="918" t="n"/>
      <c r="L65" s="918" t="n"/>
      <c r="M65" s="918" t="n"/>
      <c r="N65" s="918" t="n"/>
      <c r="O65" s="918" t="n"/>
      <c r="P65" s="918" t="n"/>
      <c r="Q65" s="918" t="n"/>
      <c r="R65" s="1000" t="n"/>
    </row>
    <row r="66">
      <c r="A66" s="918" t="n"/>
      <c r="B66" s="918" t="n"/>
      <c r="C66" s="918" t="n"/>
      <c r="D66" s="918" t="n"/>
      <c r="E66" s="918" t="n"/>
      <c r="F66" s="918" t="n"/>
      <c r="G66" s="876" t="n"/>
      <c r="H66" s="918" t="n"/>
      <c r="I66" s="918" t="n"/>
      <c r="J66" s="918" t="n"/>
      <c r="K66" s="918" t="n"/>
      <c r="L66" s="918" t="n"/>
      <c r="M66" s="918" t="n"/>
      <c r="N66" s="918" t="n"/>
      <c r="O66" s="918" t="n"/>
      <c r="P66" s="918" t="n"/>
      <c r="Q66" s="918" t="n"/>
      <c r="R66" s="1000" t="n"/>
    </row>
    <row r="67">
      <c r="A67" s="918" t="n"/>
      <c r="B67" s="918" t="n"/>
      <c r="C67" s="918" t="n"/>
      <c r="D67" s="918" t="n"/>
      <c r="E67" s="918" t="n"/>
      <c r="F67" s="918" t="n"/>
      <c r="G67" s="876" t="n"/>
      <c r="H67" s="918" t="n"/>
      <c r="I67" s="918" t="n"/>
      <c r="J67" s="918" t="n"/>
      <c r="K67" s="918" t="n"/>
      <c r="L67" s="918" t="n"/>
      <c r="M67" s="918" t="n"/>
      <c r="N67" s="918" t="n"/>
      <c r="O67" s="918" t="n"/>
      <c r="P67" s="918" t="n"/>
      <c r="Q67" s="918" t="n"/>
      <c r="R67" s="1000" t="n"/>
    </row>
    <row r="68">
      <c r="A68" s="918" t="n"/>
      <c r="B68" s="918" t="n"/>
      <c r="C68" s="918" t="n"/>
      <c r="D68" s="918" t="n"/>
      <c r="E68" s="918" t="n"/>
      <c r="F68" s="918" t="n"/>
      <c r="G68" s="876" t="n"/>
      <c r="H68" s="918" t="n"/>
      <c r="I68" s="918" t="n"/>
      <c r="J68" s="918" t="n"/>
      <c r="K68" s="918" t="n"/>
      <c r="L68" s="918" t="n"/>
      <c r="M68" s="918" t="n"/>
      <c r="N68" s="918" t="n"/>
      <c r="O68" s="918" t="n"/>
      <c r="P68" s="918" t="n"/>
      <c r="Q68" s="918" t="n"/>
      <c r="R68" s="1000" t="n"/>
    </row>
    <row r="69">
      <c r="A69" s="918" t="n"/>
      <c r="B69" s="918" t="n"/>
      <c r="C69" s="918" t="n"/>
      <c r="D69" s="918" t="n"/>
      <c r="E69" s="918" t="n"/>
      <c r="F69" s="918" t="n"/>
      <c r="G69" s="876" t="n"/>
      <c r="H69" s="918" t="n"/>
      <c r="I69" s="918" t="n"/>
      <c r="J69" s="918" t="n"/>
      <c r="K69" s="918" t="n"/>
      <c r="L69" s="918" t="n"/>
      <c r="M69" s="918" t="n"/>
      <c r="N69" s="918" t="n"/>
      <c r="O69" s="918" t="n"/>
      <c r="P69" s="918" t="n"/>
      <c r="Q69" s="918" t="n"/>
      <c r="R69" s="1000" t="n"/>
    </row>
    <row r="70">
      <c r="A70" s="918" t="n"/>
      <c r="B70" s="918" t="n"/>
      <c r="C70" s="918" t="n"/>
      <c r="D70" s="918" t="n"/>
      <c r="E70" s="918" t="n"/>
      <c r="F70" s="918" t="n"/>
      <c r="G70" s="876" t="n"/>
      <c r="H70" s="918" t="n"/>
      <c r="I70" s="918" t="n"/>
      <c r="J70" s="918" t="n"/>
      <c r="K70" s="918" t="n"/>
      <c r="L70" s="918" t="n"/>
      <c r="M70" s="918" t="n"/>
      <c r="N70" s="918" t="n"/>
      <c r="O70" s="918" t="n"/>
      <c r="P70" s="918" t="n"/>
      <c r="Q70" s="918" t="n"/>
      <c r="R70" s="1000" t="n"/>
    </row>
    <row r="71">
      <c r="A71" s="918" t="n"/>
      <c r="B71" s="918" t="n"/>
      <c r="C71" s="918" t="n"/>
      <c r="D71" s="918" t="n"/>
      <c r="E71" s="918" t="n"/>
      <c r="F71" s="918" t="n"/>
      <c r="G71" s="876" t="n"/>
      <c r="H71" s="918" t="n"/>
      <c r="I71" s="918" t="n"/>
      <c r="J71" s="918" t="n"/>
      <c r="K71" s="918" t="n"/>
      <c r="L71" s="918" t="n"/>
      <c r="M71" s="918" t="n"/>
      <c r="N71" s="918" t="n"/>
      <c r="O71" s="918" t="n"/>
      <c r="P71" s="918" t="n"/>
      <c r="Q71" s="918" t="n"/>
      <c r="R71" s="1000" t="n"/>
    </row>
    <row r="72">
      <c r="A72" s="918" t="n"/>
      <c r="B72" s="918" t="n"/>
      <c r="C72" s="918" t="n"/>
      <c r="D72" s="918" t="n"/>
      <c r="E72" s="918" t="n"/>
      <c r="F72" s="918" t="n"/>
      <c r="G72" s="876" t="n"/>
      <c r="H72" s="918" t="n"/>
      <c r="I72" s="918" t="n"/>
      <c r="J72" s="918" t="n"/>
      <c r="K72" s="918" t="n"/>
      <c r="L72" s="918" t="n"/>
      <c r="M72" s="918" t="n"/>
      <c r="N72" s="918" t="n"/>
      <c r="O72" s="918" t="n"/>
      <c r="P72" s="918" t="n"/>
      <c r="Q72" s="918" t="n"/>
      <c r="R72" s="1000" t="n"/>
    </row>
    <row r="73">
      <c r="A73" s="918" t="n"/>
      <c r="B73" s="918" t="n"/>
      <c r="C73" s="918" t="n"/>
      <c r="D73" s="918" t="n"/>
      <c r="E73" s="918" t="n"/>
      <c r="F73" s="918" t="n"/>
      <c r="G73" s="876" t="n"/>
      <c r="H73" s="918" t="n"/>
      <c r="I73" s="918" t="n"/>
      <c r="J73" s="918" t="n"/>
      <c r="K73" s="918" t="n"/>
      <c r="L73" s="918" t="n"/>
      <c r="M73" s="918" t="n"/>
      <c r="N73" s="918" t="n"/>
      <c r="O73" s="918" t="n"/>
      <c r="P73" s="918" t="n"/>
      <c r="Q73" s="918" t="n"/>
      <c r="R73" s="1000" t="n"/>
    </row>
    <row r="74">
      <c r="A74" s="918" t="n"/>
      <c r="B74" s="918" t="n"/>
      <c r="C74" s="918" t="n"/>
      <c r="D74" s="918" t="n"/>
      <c r="E74" s="918" t="n"/>
      <c r="F74" s="918" t="n"/>
      <c r="G74" s="876" t="n"/>
      <c r="H74" s="918" t="n"/>
      <c r="I74" s="918" t="n"/>
      <c r="J74" s="918" t="n"/>
      <c r="K74" s="918" t="n"/>
      <c r="L74" s="918" t="n"/>
      <c r="M74" s="918" t="n"/>
      <c r="N74" s="918" t="n"/>
      <c r="O74" s="918" t="n"/>
      <c r="P74" s="918" t="n"/>
      <c r="Q74" s="918" t="n"/>
      <c r="R74" s="1000" t="n"/>
    </row>
    <row r="75">
      <c r="A75" s="918" t="n"/>
      <c r="B75" s="918" t="n"/>
      <c r="C75" s="918" t="n"/>
      <c r="D75" s="918" t="n"/>
      <c r="E75" s="918" t="n"/>
      <c r="F75" s="918" t="n"/>
      <c r="G75" s="876" t="n"/>
      <c r="H75" s="918" t="n"/>
      <c r="I75" s="918" t="n"/>
      <c r="J75" s="918" t="n"/>
      <c r="K75" s="918" t="n"/>
      <c r="L75" s="918" t="n"/>
      <c r="M75" s="918" t="n"/>
      <c r="N75" s="918" t="n"/>
      <c r="O75" s="918" t="n"/>
      <c r="P75" s="918" t="n"/>
      <c r="Q75" s="918" t="n"/>
      <c r="R75" s="1000" t="n"/>
    </row>
    <row r="76">
      <c r="A76" s="918" t="n"/>
      <c r="B76" s="918" t="n"/>
      <c r="C76" s="918" t="n"/>
      <c r="D76" s="918" t="n"/>
      <c r="E76" s="918" t="n"/>
      <c r="F76" s="918" t="n"/>
      <c r="G76" s="876" t="n"/>
      <c r="H76" s="918" t="n"/>
      <c r="I76" s="918" t="n"/>
      <c r="J76" s="918" t="n"/>
      <c r="K76" s="918" t="n"/>
      <c r="L76" s="918" t="n"/>
      <c r="M76" s="918" t="n"/>
      <c r="N76" s="918" t="n"/>
      <c r="O76" s="918" t="n"/>
      <c r="P76" s="918" t="n"/>
      <c r="Q76" s="918" t="n"/>
      <c r="R76" s="1000" t="n"/>
    </row>
    <row r="77">
      <c r="A77" s="918" t="n"/>
      <c r="B77" s="918" t="n"/>
      <c r="C77" s="918" t="n"/>
      <c r="D77" s="918" t="n"/>
      <c r="E77" s="918" t="n"/>
      <c r="F77" s="918" t="n"/>
      <c r="G77" s="876" t="n"/>
      <c r="H77" s="918" t="n"/>
      <c r="I77" s="918" t="n"/>
      <c r="J77" s="918" t="n"/>
      <c r="K77" s="918" t="n"/>
      <c r="L77" s="918" t="n"/>
      <c r="M77" s="918" t="n"/>
      <c r="N77" s="918" t="n"/>
      <c r="O77" s="918" t="n"/>
      <c r="P77" s="918" t="n"/>
      <c r="Q77" s="918" t="n"/>
      <c r="R77" s="1000" t="n"/>
    </row>
    <row r="78">
      <c r="A78" s="918" t="n"/>
      <c r="B78" s="918" t="n"/>
      <c r="C78" s="918" t="n"/>
      <c r="D78" s="918" t="n"/>
      <c r="E78" s="918" t="n"/>
      <c r="F78" s="918" t="n"/>
      <c r="G78" s="876" t="n"/>
      <c r="H78" s="918" t="n"/>
      <c r="I78" s="918" t="n"/>
      <c r="J78" s="918" t="n"/>
      <c r="K78" s="918" t="n"/>
      <c r="L78" s="918" t="n"/>
      <c r="M78" s="918" t="n"/>
      <c r="N78" s="918" t="n"/>
      <c r="O78" s="918" t="n"/>
      <c r="P78" s="918" t="n"/>
      <c r="Q78" s="918" t="n"/>
      <c r="R78" s="1000" t="n"/>
    </row>
    <row r="79">
      <c r="A79" s="918" t="n"/>
      <c r="B79" s="918" t="n"/>
      <c r="C79" s="918" t="n"/>
      <c r="D79" s="918" t="n"/>
      <c r="E79" s="918" t="n"/>
      <c r="F79" s="918" t="n"/>
      <c r="G79" s="876" t="n"/>
      <c r="H79" s="918" t="n"/>
      <c r="I79" s="918" t="n"/>
      <c r="J79" s="918" t="n"/>
      <c r="K79" s="918" t="n"/>
      <c r="L79" s="918" t="n"/>
      <c r="M79" s="918" t="n"/>
      <c r="N79" s="918" t="n"/>
      <c r="O79" s="918" t="n"/>
      <c r="P79" s="918" t="n"/>
      <c r="Q79" s="918" t="n"/>
      <c r="R79" s="1000" t="n"/>
    </row>
    <row r="80">
      <c r="A80" s="918" t="n"/>
      <c r="B80" s="918" t="n"/>
      <c r="C80" s="918" t="n"/>
      <c r="D80" s="918" t="n"/>
      <c r="E80" s="918" t="n"/>
      <c r="F80" s="918" t="n"/>
      <c r="G80" s="876" t="n"/>
      <c r="H80" s="918" t="n"/>
      <c r="I80" s="918" t="n"/>
      <c r="J80" s="918" t="n"/>
      <c r="K80" s="918" t="n"/>
      <c r="L80" s="918" t="n"/>
      <c r="M80" s="918" t="n"/>
      <c r="N80" s="918" t="n"/>
      <c r="O80" s="918" t="n"/>
      <c r="P80" s="918" t="n"/>
      <c r="Q80" s="918" t="n"/>
      <c r="R80" s="1000" t="n"/>
    </row>
    <row r="81">
      <c r="A81" s="918" t="n"/>
      <c r="B81" s="918" t="n"/>
      <c r="C81" s="918" t="n"/>
      <c r="D81" s="918" t="n"/>
      <c r="E81" s="918" t="n"/>
      <c r="F81" s="918" t="n"/>
      <c r="G81" s="876" t="n"/>
      <c r="H81" s="918" t="n"/>
      <c r="I81" s="918" t="n"/>
      <c r="J81" s="918" t="n"/>
      <c r="K81" s="918" t="n"/>
      <c r="L81" s="918" t="n"/>
      <c r="M81" s="918" t="n"/>
      <c r="N81" s="918" t="n"/>
      <c r="O81" s="918" t="n"/>
      <c r="P81" s="918" t="n"/>
      <c r="Q81" s="918" t="n"/>
      <c r="R81" s="1000" t="n"/>
    </row>
    <row r="82">
      <c r="A82" s="918" t="n"/>
      <c r="B82" s="918" t="n"/>
      <c r="C82" s="918" t="n"/>
      <c r="D82" s="918" t="n"/>
      <c r="E82" s="918" t="n"/>
      <c r="F82" s="918" t="n"/>
      <c r="G82" s="876" t="n"/>
      <c r="H82" s="918" t="n"/>
      <c r="I82" s="918" t="n"/>
      <c r="J82" s="918" t="n"/>
      <c r="K82" s="918" t="n"/>
      <c r="L82" s="918" t="n"/>
      <c r="M82" s="918" t="n"/>
      <c r="N82" s="918" t="n"/>
      <c r="O82" s="918" t="n"/>
      <c r="P82" s="918" t="n"/>
      <c r="Q82" s="918" t="n"/>
      <c r="R82" s="1000" t="n"/>
    </row>
    <row r="83">
      <c r="A83" s="918" t="n"/>
      <c r="B83" s="918" t="n"/>
      <c r="C83" s="918" t="n"/>
      <c r="D83" s="918" t="n"/>
      <c r="E83" s="918" t="n"/>
      <c r="F83" s="918" t="n"/>
      <c r="G83" s="876" t="n"/>
      <c r="H83" s="918" t="n"/>
      <c r="I83" s="918" t="n"/>
      <c r="J83" s="918" t="n"/>
      <c r="K83" s="918" t="n"/>
      <c r="L83" s="918" t="n"/>
      <c r="M83" s="918" t="n"/>
      <c r="N83" s="918" t="n"/>
      <c r="O83" s="918" t="n"/>
      <c r="P83" s="918" t="n"/>
      <c r="Q83" s="918" t="n"/>
      <c r="R83" s="1000" t="n"/>
    </row>
    <row r="84">
      <c r="A84" s="918" t="n"/>
      <c r="B84" s="918" t="n"/>
      <c r="C84" s="918" t="n"/>
      <c r="D84" s="918" t="n"/>
      <c r="E84" s="918" t="n"/>
      <c r="F84" s="918" t="n"/>
      <c r="G84" s="876" t="n"/>
      <c r="H84" s="918" t="n"/>
      <c r="I84" s="918" t="n"/>
      <c r="J84" s="918" t="n"/>
      <c r="K84" s="918" t="n"/>
      <c r="L84" s="918" t="n"/>
      <c r="M84" s="918" t="n"/>
      <c r="N84" s="918" t="n"/>
      <c r="O84" s="918" t="n"/>
      <c r="P84" s="918" t="n"/>
      <c r="Q84" s="918" t="n"/>
      <c r="R84" s="1000" t="n"/>
    </row>
    <row r="85">
      <c r="A85" s="918" t="n"/>
      <c r="B85" s="918" t="n"/>
      <c r="C85" s="918" t="n"/>
      <c r="D85" s="918" t="n"/>
      <c r="E85" s="918" t="n"/>
      <c r="F85" s="918" t="n"/>
      <c r="G85" s="876" t="n"/>
      <c r="H85" s="918" t="n"/>
      <c r="I85" s="918" t="n"/>
      <c r="J85" s="918" t="n"/>
      <c r="K85" s="918" t="n"/>
      <c r="L85" s="918" t="n"/>
      <c r="M85" s="918" t="n"/>
      <c r="N85" s="918" t="n"/>
      <c r="O85" s="918" t="n"/>
      <c r="P85" s="918" t="n"/>
      <c r="Q85" s="918" t="n"/>
      <c r="R85" s="1000" t="n"/>
    </row>
    <row r="86">
      <c r="A86" s="918" t="n"/>
      <c r="B86" s="918" t="n"/>
      <c r="C86" s="918" t="n"/>
      <c r="D86" s="918" t="n"/>
      <c r="E86" s="918" t="n"/>
      <c r="F86" s="918" t="n"/>
      <c r="G86" s="876" t="n"/>
      <c r="H86" s="918" t="n"/>
      <c r="I86" s="918" t="n"/>
      <c r="J86" s="918" t="n"/>
      <c r="K86" s="918" t="n"/>
      <c r="L86" s="918" t="n"/>
      <c r="M86" s="918" t="n"/>
      <c r="N86" s="918" t="n"/>
      <c r="O86" s="918" t="n"/>
      <c r="P86" s="918" t="n"/>
      <c r="Q86" s="918" t="n"/>
      <c r="R86" s="1000" t="n"/>
    </row>
    <row r="87">
      <c r="A87" s="918" t="n"/>
      <c r="B87" s="918" t="n"/>
      <c r="C87" s="918" t="n"/>
      <c r="D87" s="918" t="n"/>
      <c r="E87" s="918" t="n"/>
      <c r="F87" s="918" t="n"/>
      <c r="G87" s="876" t="n"/>
      <c r="H87" s="918" t="n"/>
      <c r="I87" s="918" t="n"/>
      <c r="J87" s="918" t="n"/>
      <c r="K87" s="918" t="n"/>
      <c r="L87" s="918" t="n"/>
      <c r="M87" s="918" t="n"/>
      <c r="N87" s="918" t="n"/>
      <c r="O87" s="918" t="n"/>
      <c r="P87" s="918" t="n"/>
      <c r="Q87" s="918" t="n"/>
      <c r="R87" s="1000" t="n"/>
    </row>
    <row r="88">
      <c r="A88" s="918" t="n"/>
      <c r="B88" s="918" t="n"/>
      <c r="C88" s="918" t="n"/>
      <c r="D88" s="918" t="n"/>
      <c r="E88" s="918" t="n"/>
      <c r="F88" s="918" t="n"/>
      <c r="G88" s="876" t="n"/>
      <c r="H88" s="918" t="n"/>
      <c r="I88" s="918" t="n"/>
      <c r="J88" s="918" t="n"/>
      <c r="K88" s="918" t="n"/>
      <c r="L88" s="918" t="n"/>
      <c r="M88" s="918" t="n"/>
      <c r="N88" s="918" t="n"/>
      <c r="O88" s="918" t="n"/>
      <c r="P88" s="918" t="n"/>
      <c r="Q88" s="918" t="n"/>
      <c r="R88" s="1000" t="n"/>
    </row>
    <row r="89">
      <c r="A89" s="918" t="n"/>
      <c r="B89" s="918" t="n"/>
      <c r="C89" s="918" t="n"/>
      <c r="D89" s="918" t="n"/>
      <c r="E89" s="918" t="n"/>
      <c r="F89" s="918" t="n"/>
      <c r="G89" s="876" t="n"/>
      <c r="H89" s="918" t="n"/>
      <c r="I89" s="918" t="n"/>
      <c r="J89" s="918" t="n"/>
      <c r="K89" s="918" t="n"/>
      <c r="L89" s="918" t="n"/>
      <c r="M89" s="918" t="n"/>
      <c r="N89" s="918" t="n"/>
      <c r="O89" s="918" t="n"/>
      <c r="P89" s="918" t="n"/>
      <c r="Q89" s="918" t="n"/>
      <c r="R89" s="1000" t="n"/>
    </row>
    <row r="90">
      <c r="A90" s="918" t="n"/>
      <c r="B90" s="918" t="n"/>
      <c r="C90" s="918" t="n"/>
      <c r="D90" s="918" t="n"/>
      <c r="E90" s="918" t="n"/>
      <c r="F90" s="918" t="n"/>
      <c r="G90" s="876" t="n"/>
      <c r="H90" s="918" t="n"/>
      <c r="I90" s="918" t="n"/>
      <c r="J90" s="918" t="n"/>
      <c r="K90" s="918" t="n"/>
      <c r="L90" s="918" t="n"/>
      <c r="M90" s="918" t="n"/>
      <c r="N90" s="918" t="n"/>
      <c r="O90" s="918" t="n"/>
      <c r="P90" s="918" t="n"/>
      <c r="Q90" s="918" t="n"/>
      <c r="R90" s="1000" t="n"/>
    </row>
    <row r="91">
      <c r="A91" s="918" t="n"/>
      <c r="B91" s="918" t="n"/>
      <c r="C91" s="918" t="n"/>
      <c r="D91" s="918" t="n"/>
      <c r="E91" s="918" t="n"/>
      <c r="F91" s="918" t="n"/>
      <c r="G91" s="876" t="n"/>
      <c r="H91" s="918" t="n"/>
      <c r="I91" s="918" t="n"/>
      <c r="J91" s="918" t="n"/>
      <c r="K91" s="918" t="n"/>
      <c r="L91" s="918" t="n"/>
      <c r="M91" s="918" t="n"/>
      <c r="N91" s="918" t="n"/>
      <c r="O91" s="918" t="n"/>
      <c r="P91" s="918" t="n"/>
      <c r="Q91" s="918" t="n"/>
      <c r="R91" s="1000" t="n"/>
    </row>
    <row r="92">
      <c r="A92" s="918" t="n"/>
      <c r="B92" s="918" t="n"/>
      <c r="C92" s="918" t="n"/>
      <c r="D92" s="918" t="n"/>
      <c r="E92" s="918" t="n"/>
      <c r="F92" s="918" t="n"/>
      <c r="G92" s="876" t="n"/>
      <c r="H92" s="918" t="n"/>
      <c r="I92" s="918" t="n"/>
      <c r="J92" s="918" t="n"/>
      <c r="K92" s="918" t="n"/>
      <c r="L92" s="918" t="n"/>
      <c r="M92" s="918" t="n"/>
      <c r="N92" s="918" t="n"/>
      <c r="O92" s="918" t="n"/>
      <c r="P92" s="918" t="n"/>
      <c r="Q92" s="918" t="n"/>
      <c r="R92" s="1000" t="n"/>
    </row>
    <row r="93">
      <c r="A93" s="918" t="n"/>
      <c r="B93" s="918" t="n"/>
      <c r="C93" s="918" t="n"/>
      <c r="D93" s="918" t="n"/>
      <c r="E93" s="918" t="n"/>
      <c r="F93" s="918" t="n"/>
      <c r="G93" s="876" t="n"/>
      <c r="H93" s="918" t="n"/>
      <c r="I93" s="918" t="n"/>
      <c r="J93" s="918" t="n"/>
      <c r="K93" s="918" t="n"/>
      <c r="L93" s="918" t="n"/>
      <c r="M93" s="918" t="n"/>
      <c r="N93" s="918" t="n"/>
      <c r="O93" s="918" t="n"/>
      <c r="P93" s="918" t="n"/>
      <c r="Q93" s="918" t="n"/>
      <c r="R93" s="1000" t="n"/>
    </row>
    <row r="94">
      <c r="A94" s="918" t="n"/>
      <c r="B94" s="918" t="n"/>
      <c r="C94" s="918" t="n"/>
      <c r="D94" s="918" t="n"/>
      <c r="E94" s="918" t="n"/>
      <c r="F94" s="918" t="n"/>
      <c r="G94" s="876" t="n"/>
      <c r="H94" s="918" t="n"/>
      <c r="I94" s="918" t="n"/>
      <c r="J94" s="918" t="n"/>
      <c r="K94" s="918" t="n"/>
      <c r="L94" s="918" t="n"/>
      <c r="M94" s="918" t="n"/>
      <c r="N94" s="918" t="n"/>
      <c r="O94" s="918" t="n"/>
      <c r="P94" s="918" t="n"/>
      <c r="Q94" s="918" t="n"/>
      <c r="R94" s="1000" t="n"/>
    </row>
    <row r="95">
      <c r="A95" s="918" t="n"/>
      <c r="B95" s="918" t="n"/>
      <c r="C95" s="918" t="n"/>
      <c r="D95" s="918" t="n"/>
      <c r="E95" s="918" t="n"/>
      <c r="F95" s="918" t="n"/>
      <c r="G95" s="876" t="n"/>
      <c r="H95" s="918" t="n"/>
      <c r="I95" s="918" t="n"/>
      <c r="J95" s="918" t="n"/>
      <c r="K95" s="918" t="n"/>
      <c r="L95" s="918" t="n"/>
      <c r="M95" s="918" t="n"/>
      <c r="N95" s="918" t="n"/>
      <c r="O95" s="918" t="n"/>
      <c r="P95" s="918" t="n"/>
      <c r="Q95" s="918" t="n"/>
      <c r="R95" s="1000" t="n"/>
    </row>
    <row r="96">
      <c r="A96" s="918" t="n"/>
      <c r="B96" s="918" t="n"/>
      <c r="C96" s="918" t="n"/>
      <c r="D96" s="918" t="n"/>
      <c r="E96" s="918" t="n"/>
      <c r="F96" s="918" t="n"/>
      <c r="G96" s="876" t="n"/>
      <c r="H96" s="918" t="n"/>
      <c r="I96" s="918" t="n"/>
      <c r="J96" s="918" t="n"/>
      <c r="K96" s="918" t="n"/>
      <c r="L96" s="918" t="n"/>
      <c r="M96" s="918" t="n"/>
      <c r="N96" s="918" t="n"/>
      <c r="O96" s="918" t="n"/>
      <c r="P96" s="918" t="n"/>
      <c r="Q96" s="918" t="n"/>
      <c r="R96" s="1000" t="n"/>
    </row>
    <row r="97">
      <c r="A97" s="918" t="n"/>
      <c r="B97" s="918" t="n"/>
      <c r="C97" s="918" t="n"/>
      <c r="D97" s="918" t="n"/>
      <c r="E97" s="918" t="n"/>
      <c r="F97" s="918" t="n"/>
      <c r="G97" s="876" t="n"/>
      <c r="H97" s="918" t="n"/>
      <c r="I97" s="918" t="n"/>
      <c r="J97" s="918" t="n"/>
      <c r="K97" s="918" t="n"/>
      <c r="L97" s="918" t="n"/>
      <c r="M97" s="918" t="n"/>
      <c r="N97" s="918" t="n"/>
      <c r="O97" s="918" t="n"/>
      <c r="P97" s="918" t="n"/>
      <c r="Q97" s="918" t="n"/>
      <c r="R97" s="1000" t="n"/>
    </row>
    <row r="98">
      <c r="A98" s="918" t="n"/>
      <c r="B98" s="918" t="n"/>
      <c r="C98" s="918" t="n"/>
      <c r="D98" s="918" t="n"/>
      <c r="E98" s="918" t="n"/>
      <c r="F98" s="918" t="n"/>
      <c r="G98" s="876" t="n"/>
      <c r="H98" s="918" t="n"/>
      <c r="I98" s="918" t="n"/>
      <c r="J98" s="918" t="n"/>
      <c r="K98" s="918" t="n"/>
      <c r="L98" s="918" t="n"/>
      <c r="M98" s="918" t="n"/>
      <c r="N98" s="918" t="n"/>
      <c r="O98" s="918" t="n"/>
      <c r="P98" s="918" t="n"/>
      <c r="Q98" s="918" t="n"/>
      <c r="R98" s="1000" t="n"/>
    </row>
    <row r="99">
      <c r="A99" s="918" t="n"/>
      <c r="B99" s="918" t="n"/>
      <c r="C99" s="918" t="n"/>
      <c r="D99" s="918" t="n"/>
      <c r="E99" s="918" t="n"/>
      <c r="F99" s="918" t="n"/>
      <c r="G99" s="876" t="n"/>
      <c r="H99" s="918" t="n"/>
      <c r="I99" s="918" t="n"/>
      <c r="J99" s="918" t="n"/>
      <c r="K99" s="918" t="n"/>
      <c r="L99" s="918" t="n"/>
      <c r="M99" s="918" t="n"/>
      <c r="N99" s="918" t="n"/>
      <c r="O99" s="918" t="n"/>
      <c r="P99" s="918" t="n"/>
      <c r="Q99" s="918" t="n"/>
      <c r="R99" s="1000" t="n"/>
    </row>
    <row r="100">
      <c r="A100" s="918" t="n"/>
      <c r="B100" s="918" t="n"/>
      <c r="C100" s="918" t="n"/>
      <c r="D100" s="918" t="n"/>
      <c r="E100" s="918" t="n"/>
      <c r="F100" s="918" t="n"/>
      <c r="G100" s="876" t="n"/>
      <c r="H100" s="918" t="n"/>
      <c r="I100" s="918" t="n"/>
      <c r="J100" s="918" t="n"/>
      <c r="K100" s="918" t="n"/>
      <c r="L100" s="918" t="n"/>
      <c r="M100" s="918" t="n"/>
      <c r="N100" s="918" t="n"/>
      <c r="O100" s="918" t="n"/>
      <c r="P100" s="918" t="n"/>
      <c r="Q100" s="918" t="n"/>
      <c r="R100" s="1000" t="n"/>
    </row>
    <row r="101">
      <c r="A101" s="918" t="n"/>
      <c r="B101" s="918" t="n"/>
      <c r="C101" s="918" t="n"/>
      <c r="D101" s="918" t="n"/>
      <c r="E101" s="918" t="n"/>
      <c r="F101" s="918" t="n"/>
      <c r="G101" s="876" t="n"/>
      <c r="H101" s="918" t="n"/>
      <c r="I101" s="918" t="n"/>
      <c r="J101" s="918" t="n"/>
      <c r="K101" s="918" t="n"/>
      <c r="L101" s="918" t="n"/>
      <c r="M101" s="918" t="n"/>
      <c r="N101" s="918" t="n"/>
      <c r="O101" s="918" t="n"/>
      <c r="P101" s="918" t="n"/>
      <c r="Q101" s="918" t="n"/>
      <c r="R101" s="1000" t="n"/>
    </row>
    <row r="102">
      <c r="A102" s="918" t="n"/>
      <c r="B102" s="918" t="n"/>
      <c r="C102" s="918" t="n"/>
      <c r="D102" s="918" t="n"/>
      <c r="E102" s="918" t="n"/>
      <c r="F102" s="918" t="n"/>
      <c r="G102" s="876" t="n"/>
      <c r="H102" s="918" t="n"/>
      <c r="I102" s="918" t="n"/>
      <c r="J102" s="918" t="n"/>
      <c r="K102" s="918" t="n"/>
      <c r="L102" s="918" t="n"/>
      <c r="M102" s="918" t="n"/>
      <c r="N102" s="918" t="n"/>
      <c r="O102" s="918" t="n"/>
      <c r="P102" s="918" t="n"/>
      <c r="Q102" s="918" t="n"/>
      <c r="R102" s="1000" t="n"/>
    </row>
    <row r="103">
      <c r="A103" s="918" t="n"/>
      <c r="B103" s="918" t="n"/>
      <c r="C103" s="918" t="n"/>
      <c r="D103" s="918" t="n"/>
      <c r="E103" s="918" t="n"/>
      <c r="F103" s="918" t="n"/>
      <c r="G103" s="876" t="n"/>
      <c r="H103" s="918" t="n"/>
      <c r="I103" s="918" t="n"/>
      <c r="J103" s="918" t="n"/>
      <c r="K103" s="918" t="n"/>
      <c r="L103" s="918" t="n"/>
      <c r="M103" s="918" t="n"/>
      <c r="N103" s="918" t="n"/>
      <c r="O103" s="918" t="n"/>
      <c r="P103" s="918" t="n"/>
      <c r="Q103" s="918" t="n"/>
      <c r="R103" s="1000" t="n"/>
    </row>
    <row r="104">
      <c r="A104" s="918" t="n"/>
      <c r="B104" s="918" t="n"/>
      <c r="C104" s="918" t="n"/>
      <c r="D104" s="918" t="n"/>
      <c r="E104" s="918" t="n"/>
      <c r="F104" s="918" t="n"/>
      <c r="G104" s="876" t="n"/>
      <c r="H104" s="918" t="n"/>
      <c r="I104" s="918" t="n"/>
      <c r="J104" s="918" t="n"/>
      <c r="K104" s="918" t="n"/>
      <c r="L104" s="918" t="n"/>
      <c r="M104" s="918" t="n"/>
      <c r="N104" s="918" t="n"/>
      <c r="O104" s="918" t="n"/>
      <c r="P104" s="918" t="n"/>
      <c r="Q104" s="918" t="n"/>
      <c r="R104" s="1000" t="n"/>
    </row>
    <row r="105">
      <c r="A105" s="918" t="n"/>
      <c r="B105" s="918" t="n"/>
      <c r="C105" s="918" t="n"/>
      <c r="D105" s="918" t="n"/>
      <c r="E105" s="918" t="n"/>
      <c r="F105" s="918" t="n"/>
      <c r="G105" s="876" t="n"/>
      <c r="H105" s="918" t="n"/>
      <c r="I105" s="918" t="n"/>
      <c r="J105" s="918" t="n"/>
      <c r="K105" s="918" t="n"/>
      <c r="L105" s="918" t="n"/>
      <c r="M105" s="918" t="n"/>
      <c r="N105" s="918" t="n"/>
      <c r="O105" s="918" t="n"/>
      <c r="P105" s="918" t="n"/>
      <c r="Q105" s="918" t="n"/>
      <c r="R105" s="1000" t="n"/>
    </row>
    <row r="106">
      <c r="A106" s="918" t="n"/>
      <c r="B106" s="918" t="n"/>
      <c r="C106" s="918" t="n"/>
      <c r="D106" s="918" t="n"/>
      <c r="E106" s="918" t="n"/>
      <c r="F106" s="918" t="n"/>
      <c r="G106" s="876" t="n"/>
      <c r="H106" s="918" t="n"/>
      <c r="I106" s="918" t="n"/>
      <c r="J106" s="918" t="n"/>
      <c r="K106" s="918" t="n"/>
      <c r="L106" s="918" t="n"/>
      <c r="M106" s="918" t="n"/>
      <c r="N106" s="918" t="n"/>
      <c r="O106" s="918" t="n"/>
      <c r="P106" s="918" t="n"/>
      <c r="Q106" s="918" t="n"/>
      <c r="R106" s="1000" t="n"/>
    </row>
    <row r="107">
      <c r="A107" s="918" t="n"/>
      <c r="B107" s="918" t="n"/>
      <c r="C107" s="918" t="n"/>
      <c r="D107" s="918" t="n"/>
      <c r="E107" s="918" t="n"/>
      <c r="F107" s="918" t="n"/>
      <c r="G107" s="876" t="n"/>
      <c r="H107" s="918" t="n"/>
      <c r="I107" s="918" t="n"/>
      <c r="J107" s="918" t="n"/>
      <c r="K107" s="918" t="n"/>
      <c r="L107" s="918" t="n"/>
      <c r="M107" s="918" t="n"/>
      <c r="N107" s="918" t="n"/>
      <c r="O107" s="918" t="n"/>
      <c r="P107" s="918" t="n"/>
      <c r="Q107" s="918" t="n"/>
      <c r="R107" s="1000" t="n"/>
    </row>
    <row r="108">
      <c r="A108" s="918" t="n"/>
      <c r="B108" s="918" t="n"/>
      <c r="C108" s="918" t="n"/>
      <c r="D108" s="918" t="n"/>
      <c r="E108" s="918" t="n"/>
      <c r="F108" s="918" t="n"/>
      <c r="G108" s="876" t="n"/>
      <c r="H108" s="918" t="n"/>
      <c r="I108" s="918" t="n"/>
      <c r="J108" s="918" t="n"/>
      <c r="K108" s="918" t="n"/>
      <c r="L108" s="918" t="n"/>
      <c r="M108" s="918" t="n"/>
      <c r="N108" s="918" t="n"/>
      <c r="O108" s="918" t="n"/>
      <c r="P108" s="918" t="n"/>
      <c r="Q108" s="918" t="n"/>
      <c r="R108" s="1000" t="n"/>
    </row>
    <row r="109">
      <c r="A109" s="918" t="n"/>
      <c r="B109" s="918" t="n"/>
      <c r="C109" s="918" t="n"/>
      <c r="D109" s="918" t="n"/>
      <c r="E109" s="918" t="n"/>
      <c r="F109" s="918" t="n"/>
      <c r="G109" s="876" t="n"/>
      <c r="H109" s="918" t="n"/>
      <c r="I109" s="918" t="n"/>
      <c r="J109" s="918" t="n"/>
      <c r="K109" s="918" t="n"/>
      <c r="L109" s="918" t="n"/>
      <c r="M109" s="918" t="n"/>
      <c r="N109" s="918" t="n"/>
      <c r="O109" s="918" t="n"/>
      <c r="P109" s="918" t="n"/>
      <c r="Q109" s="918" t="n"/>
      <c r="R109" s="1000" t="n"/>
    </row>
    <row r="110">
      <c r="A110" s="918" t="n"/>
      <c r="B110" s="918" t="n"/>
      <c r="C110" s="918" t="n"/>
      <c r="D110" s="918" t="n"/>
      <c r="E110" s="918" t="n"/>
      <c r="F110" s="918" t="n"/>
      <c r="G110" s="876" t="n"/>
      <c r="H110" s="918" t="n"/>
      <c r="I110" s="918" t="n"/>
      <c r="J110" s="918" t="n"/>
      <c r="K110" s="918" t="n"/>
      <c r="L110" s="918" t="n"/>
      <c r="M110" s="918" t="n"/>
      <c r="N110" s="918" t="n"/>
      <c r="O110" s="918" t="n"/>
      <c r="P110" s="918" t="n"/>
      <c r="Q110" s="918" t="n"/>
      <c r="R110" s="1000" t="n"/>
    </row>
    <row r="111">
      <c r="A111" s="918" t="n"/>
      <c r="B111" s="918" t="n"/>
      <c r="C111" s="918" t="n"/>
      <c r="D111" s="918" t="n"/>
      <c r="E111" s="918" t="n"/>
      <c r="F111" s="918" t="n"/>
      <c r="G111" s="876" t="n"/>
      <c r="H111" s="918" t="n"/>
      <c r="I111" s="918" t="n"/>
      <c r="J111" s="918" t="n"/>
      <c r="K111" s="918" t="n"/>
      <c r="L111" s="918" t="n"/>
      <c r="M111" s="918" t="n"/>
      <c r="N111" s="918" t="n"/>
      <c r="O111" s="918" t="n"/>
      <c r="P111" s="918" t="n"/>
      <c r="Q111" s="918" t="n"/>
      <c r="R111" s="1000" t="n"/>
    </row>
    <row r="112">
      <c r="A112" s="918" t="n"/>
      <c r="B112" s="918" t="n"/>
      <c r="C112" s="918" t="n"/>
      <c r="D112" s="918" t="n"/>
      <c r="E112" s="918" t="n"/>
      <c r="F112" s="918" t="n"/>
      <c r="G112" s="876" t="n"/>
      <c r="H112" s="918" t="n"/>
      <c r="I112" s="918" t="n"/>
      <c r="J112" s="918" t="n"/>
      <c r="K112" s="918" t="n"/>
      <c r="L112" s="918" t="n"/>
      <c r="M112" s="918" t="n"/>
      <c r="N112" s="918" t="n"/>
      <c r="O112" s="918" t="n"/>
      <c r="P112" s="918" t="n"/>
      <c r="Q112" s="918" t="n"/>
      <c r="R112" s="1000" t="n"/>
    </row>
    <row r="113">
      <c r="A113" s="918" t="n"/>
      <c r="B113" s="918" t="n"/>
      <c r="C113" s="918" t="n"/>
      <c r="D113" s="918" t="n"/>
      <c r="E113" s="918" t="n"/>
      <c r="F113" s="918" t="n"/>
      <c r="G113" s="876" t="n"/>
      <c r="H113" s="918" t="n"/>
      <c r="I113" s="918" t="n"/>
      <c r="J113" s="918" t="n"/>
      <c r="K113" s="918" t="n"/>
      <c r="L113" s="918" t="n"/>
      <c r="M113" s="918" t="n"/>
      <c r="N113" s="918" t="n"/>
      <c r="O113" s="918" t="n"/>
      <c r="P113" s="918" t="n"/>
      <c r="Q113" s="918" t="n"/>
      <c r="R113" s="1000" t="n"/>
    </row>
    <row r="114">
      <c r="A114" s="918" t="n"/>
      <c r="B114" s="918" t="n"/>
      <c r="C114" s="918" t="n"/>
      <c r="D114" s="918" t="n"/>
      <c r="E114" s="918" t="n"/>
      <c r="F114" s="918" t="n"/>
      <c r="G114" s="876" t="n"/>
      <c r="H114" s="918" t="n"/>
      <c r="I114" s="918" t="n"/>
      <c r="J114" s="918" t="n"/>
      <c r="K114" s="918" t="n"/>
      <c r="L114" s="918" t="n"/>
      <c r="M114" s="918" t="n"/>
      <c r="N114" s="918" t="n"/>
      <c r="O114" s="918" t="n"/>
      <c r="P114" s="918" t="n"/>
      <c r="Q114" s="918" t="n"/>
      <c r="R114" s="1000" t="n"/>
    </row>
    <row r="115">
      <c r="A115" s="918" t="n"/>
      <c r="B115" s="918" t="n"/>
      <c r="C115" s="918" t="n"/>
      <c r="D115" s="918" t="n"/>
      <c r="E115" s="918" t="n"/>
      <c r="F115" s="918" t="n"/>
      <c r="G115" s="876" t="n"/>
      <c r="H115" s="918" t="n"/>
      <c r="I115" s="918" t="n"/>
      <c r="J115" s="918" t="n"/>
      <c r="K115" s="918" t="n"/>
      <c r="L115" s="918" t="n"/>
      <c r="M115" s="918" t="n"/>
      <c r="N115" s="918" t="n"/>
      <c r="O115" s="918" t="n"/>
      <c r="P115" s="918" t="n"/>
      <c r="Q115" s="918" t="n"/>
      <c r="R115" s="1000" t="n"/>
    </row>
  </sheetData>
  <mergeCells count="5">
    <mergeCell ref="A4:H4"/>
    <mergeCell ref="A2:R2"/>
    <mergeCell ref="A14:R14"/>
    <mergeCell ref="A1:R1"/>
    <mergeCell ref="D5:H12"/>
  </mergeCells>
  <conditionalFormatting sqref="O16:O115">
    <cfRule type="expression" priority="1" dxfId="3">
      <formula>O16="No quantitative change"</formula>
    </cfRule>
    <cfRule type="expression" priority="2" dxfId="4">
      <formula>O16="Frequency / exposure"</formula>
    </cfRule>
    <cfRule type="expression" priority="3" dxfId="5">
      <formula>O16="Route feasibility"</formula>
    </cfRule>
    <cfRule type="expression" priority="4" dxfId="6">
      <formula>O16="Success / stage barrier"</formula>
    </cfRule>
  </conditionalFormatting>
  <pageMargins left="0.7" right="0.7" top="0.75" bottom="0.75" header="0.3" footer="0.3"/>
</worksheet>
</file>

<file path=xl/worksheets/sheet17.xml><?xml version="1.0" encoding="utf-8"?>
<worksheet xmlns="http://schemas.openxmlformats.org/spreadsheetml/2006/main">
  <sheetPr>
    <tabColor rgb="001F4E79"/>
    <outlinePr summaryBelow="1" summaryRight="1"/>
    <pageSetUpPr/>
  </sheetPr>
  <dimension ref="A1:K22"/>
  <sheetViews>
    <sheetView workbookViewId="0">
      <selection activeCell="A1" sqref="A1"/>
    </sheetView>
  </sheetViews>
  <sheetFormatPr baseColWidth="8" defaultRowHeight="15"/>
  <cols>
    <col width="34" customWidth="1" style="508" min="1" max="1"/>
    <col width="34" customWidth="1" style="508" min="2" max="2"/>
    <col width="12" customWidth="1" style="508" min="3" max="3"/>
  </cols>
  <sheetData>
    <row r="1" ht="32" customHeight="1" s="508">
      <c r="A1" s="988" t="inlineStr">
        <is>
          <t>3 Assumption Ownership</t>
        </is>
      </c>
    </row>
    <row r="2" ht="38" customHeight="1" s="508">
      <c r="A2" s="980" t="inlineStr">
        <is>
          <t>Governed calibration, scenario/TTP mappings, sector packs and frequency/tail assumptions.</t>
        </is>
      </c>
    </row>
    <row r="3">
      <c r="A3" s="1028" t="inlineStr">
        <is>
          <t>Group</t>
        </is>
      </c>
      <c r="B3" s="1028" t="inlineStr">
        <is>
          <t>Domain</t>
        </is>
      </c>
      <c r="C3" s="1028" t="inlineStr">
        <is>
          <t>Sector</t>
        </is>
      </c>
      <c r="D3" s="1028" t="inlineStr">
        <is>
          <t>Assumption layer</t>
        </is>
      </c>
      <c r="E3" s="1028" t="inlineStr">
        <is>
          <t>Sheet or file</t>
        </is>
      </c>
      <c r="F3" s="1028" t="inlineStr">
        <is>
          <t>Purpose</t>
        </is>
      </c>
      <c r="G3" s="1028" t="inlineStr">
        <is>
          <t>Owner</t>
        </is>
      </c>
      <c r="H3" s="1028" t="inlineStr">
        <is>
          <t>Editable during assessment?</t>
        </is>
      </c>
      <c r="I3" s="1028" t="inlineStr">
        <is>
          <t>Authoritative location</t>
        </is>
      </c>
      <c r="J3" s="1028" t="inlineStr">
        <is>
          <t>Required evidence</t>
        </is>
      </c>
      <c r="K3" s="1028" t="inlineStr">
        <is>
          <t>Calibration status</t>
        </is>
      </c>
    </row>
    <row r="4">
      <c r="A4" s="981" t="inlineStr">
        <is>
          <t>1 Common setup</t>
        </is>
      </c>
      <c r="B4" s="981" t="inlineStr">
        <is>
          <t>Common</t>
        </is>
      </c>
      <c r="C4" s="981" t="inlineStr">
        <is>
          <t>All</t>
        </is>
      </c>
      <c r="D4" s="972" t="inlineStr">
        <is>
          <t>Assessment setup</t>
        </is>
      </c>
      <c r="E4" s="972" t="inlineStr">
        <is>
          <t>00 COMMON - Run Setup</t>
        </is>
      </c>
      <c r="F4" s="972" t="inlineStr">
        <is>
          <t>Domain, sector, pack, basis, outside-in</t>
        </is>
      </c>
      <c r="G4" s="972" t="inlineStr">
        <is>
          <t>Assessment Team</t>
        </is>
      </c>
      <c r="H4" s="972" t="inlineStr">
        <is>
          <t>Yes</t>
        </is>
      </c>
      <c r="I4" s="972" t="inlineStr">
        <is>
          <t>00 COMMON - Run Setup</t>
        </is>
      </c>
      <c r="J4" s="972" t="inlineStr">
        <is>
          <t>Assessment ID / sector selection</t>
        </is>
      </c>
      <c r="K4" s="972" t="inlineStr">
        <is>
          <t>n/a</t>
        </is>
      </c>
    </row>
    <row r="5">
      <c r="A5" s="982" t="inlineStr">
        <is>
          <t>1 Common setup</t>
        </is>
      </c>
      <c r="B5" s="982" t="inlineStr">
        <is>
          <t>Common</t>
        </is>
      </c>
      <c r="C5" s="982" t="inlineStr">
        <is>
          <t>All</t>
        </is>
      </c>
      <c r="D5" s="972" t="inlineStr">
        <is>
          <t>Optional evidence</t>
        </is>
      </c>
      <c r="E5" s="972" t="inlineStr">
        <is>
          <t>00 COMMON - Outside-In</t>
        </is>
      </c>
      <c r="F5" s="972" t="inlineStr">
        <is>
          <t>Approved outside-in findings</t>
        </is>
      </c>
      <c r="G5" s="972" t="inlineStr">
        <is>
          <t>Assessment Team</t>
        </is>
      </c>
      <c r="H5" s="972" t="inlineStr">
        <is>
          <t>Optional</t>
        </is>
      </c>
      <c r="I5" s="972" t="inlineStr">
        <is>
          <t>00 COMMON - Outside-In</t>
        </is>
      </c>
      <c r="J5" s="972" t="inlineStr">
        <is>
          <t>Approved CSV</t>
        </is>
      </c>
      <c r="K5" s="972" t="inlineStr">
        <is>
          <t>n/a</t>
        </is>
      </c>
    </row>
    <row r="6">
      <c r="A6" s="982" t="inlineStr">
        <is>
          <t>2 IT assessment</t>
        </is>
      </c>
      <c r="B6" s="982" t="inlineStr">
        <is>
          <t>IT</t>
        </is>
      </c>
      <c r="C6" s="982" t="inlineStr">
        <is>
          <t>Financial Services</t>
        </is>
      </c>
      <c r="D6" s="972" t="inlineStr">
        <is>
          <t>Assessment input</t>
        </is>
      </c>
      <c r="E6" s="972" t="inlineStr">
        <is>
          <t>IT 03 - Organisation Inputs</t>
        </is>
      </c>
      <c r="F6" s="972" t="inlineStr">
        <is>
          <t>Organisation scale and run inputs</t>
        </is>
      </c>
      <c r="G6" s="972" t="inlineStr">
        <is>
          <t>Assessment Team</t>
        </is>
      </c>
      <c r="H6" s="972" t="inlineStr">
        <is>
          <t>Yes</t>
        </is>
      </c>
      <c r="I6" s="972" t="inlineStr">
        <is>
          <t>IT 03 - Organisation Inputs</t>
        </is>
      </c>
      <c r="J6" s="972" t="inlineStr">
        <is>
          <t>Client evidence</t>
        </is>
      </c>
      <c r="K6" s="972" t="inlineStr">
        <is>
          <t>n/a</t>
        </is>
      </c>
    </row>
    <row r="7">
      <c r="A7" s="982" t="inlineStr">
        <is>
          <t>2 IT assessment</t>
        </is>
      </c>
      <c r="B7" s="982" t="inlineStr">
        <is>
          <t>IT</t>
        </is>
      </c>
      <c r="C7" s="982" t="inlineStr">
        <is>
          <t>Financial Services</t>
        </is>
      </c>
      <c r="D7" s="972" t="inlineStr">
        <is>
          <t>Optional override</t>
        </is>
      </c>
      <c r="E7" s="972" t="inlineStr">
        <is>
          <t>IT 04 - Exposure Adjustments</t>
        </is>
      </c>
      <c r="F7" s="972" t="inlineStr">
        <is>
          <t>Exposure-model recommendations</t>
        </is>
      </c>
      <c r="G7" s="972" t="inlineStr">
        <is>
          <t>Assessment Team</t>
        </is>
      </c>
      <c r="H7" s="972" t="inlineStr">
        <is>
          <t>Optional</t>
        </is>
      </c>
      <c r="I7" s="972" t="inlineStr">
        <is>
          <t>IT 04 - Exposure Adjustments</t>
        </is>
      </c>
      <c r="J7" s="972" t="inlineStr">
        <is>
          <t>Exposure model</t>
        </is>
      </c>
      <c r="K7" s="972" t="inlineStr">
        <is>
          <t>n/a</t>
        </is>
      </c>
    </row>
    <row r="8">
      <c r="A8" s="982" t="inlineStr">
        <is>
          <t>2 IT assessment</t>
        </is>
      </c>
      <c r="B8" s="982" t="inlineStr">
        <is>
          <t>IT</t>
        </is>
      </c>
      <c r="C8" s="982" t="inlineStr">
        <is>
          <t>Financial Services</t>
        </is>
      </c>
      <c r="D8" s="972" t="inlineStr">
        <is>
          <t>Assessment input</t>
        </is>
      </c>
      <c r="E8" s="972" t="inlineStr">
        <is>
          <t>IT 05 - Control Assessment</t>
        </is>
      </c>
      <c r="F8" s="972" t="inlineStr">
        <is>
          <t>Actual IT control maturity</t>
        </is>
      </c>
      <c r="G8" s="972" t="inlineStr">
        <is>
          <t>Assessment Team</t>
        </is>
      </c>
      <c r="H8" s="972" t="inlineStr">
        <is>
          <t>Yes</t>
        </is>
      </c>
      <c r="I8" s="972" t="inlineStr">
        <is>
          <t>IT 05 - Control Assessment</t>
        </is>
      </c>
      <c r="J8" s="972" t="inlineStr">
        <is>
          <t>Control evidence</t>
        </is>
      </c>
      <c r="K8" s="972" t="inlineStr">
        <is>
          <t>n/a</t>
        </is>
      </c>
    </row>
    <row r="9">
      <c r="A9" s="982" t="inlineStr">
        <is>
          <t>2 IT assessment</t>
        </is>
      </c>
      <c r="B9" s="982" t="inlineStr">
        <is>
          <t>IT</t>
        </is>
      </c>
      <c r="C9" s="982" t="inlineStr">
        <is>
          <t>Financial Services</t>
        </is>
      </c>
      <c r="D9" s="972" t="inlineStr">
        <is>
          <t>Optional override</t>
        </is>
      </c>
      <c r="E9" s="972" t="inlineStr">
        <is>
          <t>IT 06 - Impact &amp; BIA Overrides</t>
        </is>
      </c>
      <c r="F9" s="972" t="inlineStr">
        <is>
          <t>Org-specific BIA overrides</t>
        </is>
      </c>
      <c r="G9" s="972" t="inlineStr">
        <is>
          <t>Assessment Team</t>
        </is>
      </c>
      <c r="H9" s="972" t="inlineStr">
        <is>
          <t>Optional</t>
        </is>
      </c>
      <c r="I9" s="972" t="inlineStr">
        <is>
          <t>IT 06; blank keeps pack</t>
        </is>
      </c>
      <c r="J9" s="972" t="inlineStr">
        <is>
          <t>Org BIA</t>
        </is>
      </c>
      <c r="K9" s="972" t="inlineStr">
        <is>
          <t>n/a</t>
        </is>
      </c>
    </row>
    <row r="10">
      <c r="A10" s="982" t="inlineStr">
        <is>
          <t>2 IT assessment</t>
        </is>
      </c>
      <c r="B10" s="982" t="inlineStr">
        <is>
          <t>IT</t>
        </is>
      </c>
      <c r="C10" s="982" t="inlineStr">
        <is>
          <t>Financial Services</t>
        </is>
      </c>
      <c r="D10" s="972" t="inlineStr">
        <is>
          <t>Optional override</t>
        </is>
      </c>
      <c r="E10" s="972" t="inlineStr">
        <is>
          <t>IT 07 - Assessment Adjustments</t>
        </is>
      </c>
      <c r="F10" s="972" t="inlineStr">
        <is>
          <t>Org frequency/threat overlays</t>
        </is>
      </c>
      <c r="G10" s="972" t="inlineStr">
        <is>
          <t>Assessment Team</t>
        </is>
      </c>
      <c r="H10" s="972" t="inlineStr">
        <is>
          <t>Optional</t>
        </is>
      </c>
      <c r="I10" s="972" t="inlineStr">
        <is>
          <t>IT 07; pack owns reference λ</t>
        </is>
      </c>
      <c r="J10" s="972" t="inlineStr">
        <is>
          <t>Threat intel</t>
        </is>
      </c>
      <c r="K10" s="972" t="inlineStr">
        <is>
          <t>n/a</t>
        </is>
      </c>
    </row>
    <row r="11">
      <c r="A11" s="982" t="inlineStr">
        <is>
          <t>2 IT assessment</t>
        </is>
      </c>
      <c r="B11" s="982" t="inlineStr">
        <is>
          <t>IT</t>
        </is>
      </c>
      <c r="C11" s="982" t="inlineStr">
        <is>
          <t>Financial Services</t>
        </is>
      </c>
      <c r="D11" s="972" t="inlineStr">
        <is>
          <t>Assessment input</t>
        </is>
      </c>
      <c r="E11" s="972" t="inlineStr">
        <is>
          <t>IT 08 - Reporting Settings</t>
        </is>
      </c>
      <c r="F11" s="972" t="inlineStr">
        <is>
          <t>Basis, retention, tail metric</t>
        </is>
      </c>
      <c r="G11" s="972" t="inlineStr">
        <is>
          <t>Assessment Team</t>
        </is>
      </c>
      <c r="H11" s="972" t="inlineStr">
        <is>
          <t>Yes</t>
        </is>
      </c>
      <c r="I11" s="972" t="inlineStr">
        <is>
          <t>IT 08 - Reporting Settings</t>
        </is>
      </c>
      <c r="J11" s="972" t="inlineStr">
        <is>
          <t>Reporting policy</t>
        </is>
      </c>
      <c r="K11" s="972" t="inlineStr">
        <is>
          <t>n/a</t>
        </is>
      </c>
    </row>
    <row r="12">
      <c r="A12" s="982" t="inlineStr">
        <is>
          <t>3 Core IT</t>
        </is>
      </c>
      <c r="B12" s="982" t="inlineStr">
        <is>
          <t>IT</t>
        </is>
      </c>
      <c r="C12" s="982" t="inlineStr">
        <is>
          <t>All IT</t>
        </is>
      </c>
      <c r="D12" s="972" t="inlineStr">
        <is>
          <t>Core methodology</t>
        </is>
      </c>
      <c r="E12" s="972" t="inlineStr">
        <is>
          <t>IT CORE / IT CALC sheets</t>
        </is>
      </c>
      <c r="F12" s="972" t="inlineStr">
        <is>
          <t>IT calculation method</t>
        </is>
      </c>
      <c r="G12" s="972" t="inlineStr">
        <is>
          <t>Core IT Model Owner</t>
        </is>
      </c>
      <c r="H12" s="972" t="inlineStr">
        <is>
          <t>No</t>
        </is>
      </c>
      <c r="I12" s="972" t="inlineStr">
        <is>
          <t>src/it_crq + IT CORE sheets</t>
        </is>
      </c>
      <c r="J12" s="972" t="inlineStr">
        <is>
          <t>n/a</t>
        </is>
      </c>
      <c r="K12" s="972" t="inlineStr">
        <is>
          <t>Governed</t>
        </is>
      </c>
    </row>
    <row r="13">
      <c r="A13" s="982" t="inlineStr">
        <is>
          <t>4 FS pack</t>
        </is>
      </c>
      <c r="B13" s="982" t="inlineStr">
        <is>
          <t>IT</t>
        </is>
      </c>
      <c r="C13" s="982" t="inlineStr">
        <is>
          <t>Financial Services</t>
        </is>
      </c>
      <c r="D13" s="972" t="inlineStr">
        <is>
          <t>Sector pack</t>
        </is>
      </c>
      <c r="E13" s="972" t="inlineStr">
        <is>
          <t>sector_packs/IT/IT_CRQ_Sector_Pack_Financial_Services_v1_1_1.xlsx</t>
        </is>
      </c>
      <c r="F13" s="972" t="inlineStr">
        <is>
          <t>FS reference calibration</t>
        </is>
      </c>
      <c r="G13" s="972" t="inlineStr">
        <is>
          <t>Sector Pack Owner</t>
        </is>
      </c>
      <c r="H13" s="972" t="inlineStr">
        <is>
          <t>No</t>
        </is>
      </c>
      <c r="I13" s="972" t="inlineStr">
        <is>
          <t>External FS pack</t>
        </is>
      </c>
      <c r="J13" s="972" t="inlineStr">
        <is>
          <t>Pack evidence register</t>
        </is>
      </c>
      <c r="K13" s="972" t="inlineStr">
        <is>
          <t>Working priors</t>
        </is>
      </c>
    </row>
    <row r="14">
      <c r="A14" s="982" t="inlineStr">
        <is>
          <t>5 OT assessment</t>
        </is>
      </c>
      <c r="B14" s="982" t="inlineStr">
        <is>
          <t>OT</t>
        </is>
      </c>
      <c r="C14" s="982" t="inlineStr">
        <is>
          <t>Selected OT sector</t>
        </is>
      </c>
      <c r="D14" s="972" t="inlineStr">
        <is>
          <t>Assessment input</t>
        </is>
      </c>
      <c r="E14" s="972" t="inlineStr">
        <is>
          <t>OT 03 - Facility Inputs</t>
        </is>
      </c>
      <c r="F14" s="972" t="inlineStr">
        <is>
          <t>Facility identity and architecture</t>
        </is>
      </c>
      <c r="G14" s="972" t="inlineStr">
        <is>
          <t>Assessment Team</t>
        </is>
      </c>
      <c r="H14" s="972" t="inlineStr">
        <is>
          <t>Yes</t>
        </is>
      </c>
      <c r="I14" s="972" t="inlineStr">
        <is>
          <t>OT 03 - Facility Inputs</t>
        </is>
      </c>
      <c r="J14" s="972" t="inlineStr">
        <is>
          <t>Facility evidence</t>
        </is>
      </c>
      <c r="K14" s="972" t="inlineStr">
        <is>
          <t>n/a</t>
        </is>
      </c>
    </row>
    <row r="15">
      <c r="A15" s="982" t="inlineStr">
        <is>
          <t>5 OT assessment</t>
        </is>
      </c>
      <c r="B15" s="982" t="inlineStr">
        <is>
          <t>OT</t>
        </is>
      </c>
      <c r="C15" s="982" t="inlineStr">
        <is>
          <t>Selected OT sector</t>
        </is>
      </c>
      <c r="D15" s="972" t="inlineStr">
        <is>
          <t>Assessment input</t>
        </is>
      </c>
      <c r="E15" s="972" t="inlineStr">
        <is>
          <t>OT 04 - Control Assessment</t>
        </is>
      </c>
      <c r="F15" s="972" t="inlineStr">
        <is>
          <t>Actual OT control maturity</t>
        </is>
      </c>
      <c r="G15" s="972" t="inlineStr">
        <is>
          <t>Assessment Team</t>
        </is>
      </c>
      <c r="H15" s="972" t="inlineStr">
        <is>
          <t>Yes</t>
        </is>
      </c>
      <c r="I15" s="972" t="inlineStr">
        <is>
          <t>OT 04 - Control Assessment</t>
        </is>
      </c>
      <c r="J15" s="972" t="inlineStr">
        <is>
          <t>Control evidence</t>
        </is>
      </c>
      <c r="K15" s="972" t="inlineStr">
        <is>
          <t>n/a</t>
        </is>
      </c>
    </row>
    <row r="16">
      <c r="A16" s="982" t="inlineStr">
        <is>
          <t>5 OT assessment</t>
        </is>
      </c>
      <c r="B16" s="982" t="inlineStr">
        <is>
          <t>OT</t>
        </is>
      </c>
      <c r="C16" s="982" t="inlineStr">
        <is>
          <t>Selected OT sector</t>
        </is>
      </c>
      <c r="D16" s="972" t="inlineStr">
        <is>
          <t>Facility override</t>
        </is>
      </c>
      <c r="E16" s="972" t="inlineStr">
        <is>
          <t>OT 05 - Impact &amp; BIA</t>
        </is>
      </c>
      <c r="F16" s="972" t="inlineStr">
        <is>
          <t>Facility BIA and overrides</t>
        </is>
      </c>
      <c r="G16" s="972" t="inlineStr">
        <is>
          <t>Assessment Team</t>
        </is>
      </c>
      <c r="H16" s="972" t="inlineStr">
        <is>
          <t>Yes</t>
        </is>
      </c>
      <c r="I16" s="972" t="inlineStr">
        <is>
          <t>OT 05; pack owns sector BIA refs</t>
        </is>
      </c>
      <c r="J16" s="972" t="inlineStr">
        <is>
          <t>Facility BIA</t>
        </is>
      </c>
      <c r="K16" s="972" t="inlineStr">
        <is>
          <t>n/a</t>
        </is>
      </c>
    </row>
    <row r="17">
      <c r="A17" s="982" t="inlineStr">
        <is>
          <t>5 OT assessment</t>
        </is>
      </c>
      <c r="B17" s="982" t="inlineStr">
        <is>
          <t>OT</t>
        </is>
      </c>
      <c r="C17" s="982" t="inlineStr">
        <is>
          <t>Selected OT sector</t>
        </is>
      </c>
      <c r="D17" s="972" t="inlineStr">
        <is>
          <t>Facility adjustment</t>
        </is>
      </c>
      <c r="E17" s="972" t="inlineStr">
        <is>
          <t>OT 06 - Assessment Adjustments</t>
        </is>
      </c>
      <c r="F17" s="972" t="inlineStr">
        <is>
          <t>Prudence, geography, reporting</t>
        </is>
      </c>
      <c r="G17" s="972" t="inlineStr">
        <is>
          <t>Assessment Team</t>
        </is>
      </c>
      <c r="H17" s="972" t="inlineStr">
        <is>
          <t>Yes</t>
        </is>
      </c>
      <c r="I17" s="972" t="inlineStr">
        <is>
          <t>OT 06; pack owns sector λ overlays</t>
        </is>
      </c>
      <c r="J17" s="972" t="inlineStr">
        <is>
          <t>Facility threat context</t>
        </is>
      </c>
      <c r="K17" s="972" t="inlineStr">
        <is>
          <t>n/a</t>
        </is>
      </c>
    </row>
    <row r="18">
      <c r="A18" s="982" t="inlineStr">
        <is>
          <t>6 Core OT</t>
        </is>
      </c>
      <c r="B18" s="982" t="inlineStr">
        <is>
          <t>OT</t>
        </is>
      </c>
      <c r="C18" s="982" t="inlineStr">
        <is>
          <t>All OT</t>
        </is>
      </c>
      <c r="D18" s="972" t="inlineStr">
        <is>
          <t>Core methodology</t>
        </is>
      </c>
      <c r="E18" s="972" t="inlineStr">
        <is>
          <t>OT CORE sheets</t>
        </is>
      </c>
      <c r="F18" s="972" t="inlineStr">
        <is>
          <t>Five-stage path, controls, floors</t>
        </is>
      </c>
      <c r="G18" s="972" t="inlineStr">
        <is>
          <t>Core OT Model Owner</t>
        </is>
      </c>
      <c r="H18" s="972" t="inlineStr">
        <is>
          <t>No</t>
        </is>
      </c>
      <c r="I18" s="972" t="inlineStr">
        <is>
          <t>src/ot_crq + OT CORE sheets</t>
        </is>
      </c>
      <c r="J18" s="972" t="inlineStr">
        <is>
          <t>n/a</t>
        </is>
      </c>
      <c r="K18" s="972" t="inlineStr">
        <is>
          <t>Governed</t>
        </is>
      </c>
    </row>
    <row r="19">
      <c r="A19" s="982" t="inlineStr">
        <is>
          <t>7 PG pack</t>
        </is>
      </c>
      <c r="B19" s="982" t="inlineStr">
        <is>
          <t>OT</t>
        </is>
      </c>
      <c r="C19" s="982" t="inlineStr">
        <is>
          <t>Power Generation</t>
        </is>
      </c>
      <c r="D19" s="972" t="inlineStr">
        <is>
          <t>Sector pack</t>
        </is>
      </c>
      <c r="E19" s="972" t="inlineStr">
        <is>
          <t>sector_packs/OT/OT_CRQ_Sector_Pack_Power_Generation_v1_6.xlsx</t>
        </is>
      </c>
      <c r="F19" s="972" t="inlineStr">
        <is>
          <t>PG calibration</t>
        </is>
      </c>
      <c r="G19" s="972" t="inlineStr">
        <is>
          <t>Sector Pack Owner</t>
        </is>
      </c>
      <c r="H19" s="972" t="inlineStr">
        <is>
          <t>No</t>
        </is>
      </c>
      <c r="I19" s="972" t="inlineStr">
        <is>
          <t>External PG pack</t>
        </is>
      </c>
      <c r="J19" s="972" t="inlineStr">
        <is>
          <t>Pack evidence</t>
        </is>
      </c>
      <c r="K19" s="972" t="inlineStr">
        <is>
          <t>PG-v1.6</t>
        </is>
      </c>
    </row>
    <row r="20">
      <c r="A20" s="982" t="inlineStr">
        <is>
          <t>8 EA pack</t>
        </is>
      </c>
      <c r="B20" s="982" t="inlineStr">
        <is>
          <t>OT</t>
        </is>
      </c>
      <c r="C20" s="982" t="inlineStr">
        <is>
          <t>Energy Assets</t>
        </is>
      </c>
      <c r="D20" s="972" t="inlineStr">
        <is>
          <t>Sector pack</t>
        </is>
      </c>
      <c r="E20" s="972" t="inlineStr">
        <is>
          <t>sector_packs/OT/OT_CRQ_Sector_Pack_Energy_Assets_v1_0.xlsx</t>
        </is>
      </c>
      <c r="F20" s="972" t="inlineStr">
        <is>
          <t>EA calibration</t>
        </is>
      </c>
      <c r="G20" s="972" t="inlineStr">
        <is>
          <t>Sector Pack Owner</t>
        </is>
      </c>
      <c r="H20" s="972" t="inlineStr">
        <is>
          <t>No</t>
        </is>
      </c>
      <c r="I20" s="972" t="inlineStr">
        <is>
          <t>External EA pack</t>
        </is>
      </c>
      <c r="J20" s="972" t="inlineStr">
        <is>
          <t>Pack evidence</t>
        </is>
      </c>
      <c r="K20" s="972" t="inlineStr">
        <is>
          <t>EA-v1.0</t>
        </is>
      </c>
    </row>
    <row r="21">
      <c r="A21" s="982" t="inlineStr">
        <is>
          <t>9 MF pack</t>
        </is>
      </c>
      <c r="B21" s="982" t="inlineStr">
        <is>
          <t>OT</t>
        </is>
      </c>
      <c r="C21" s="982" t="inlineStr">
        <is>
          <t>Manufacturing</t>
        </is>
      </c>
      <c r="D21" s="972" t="inlineStr">
        <is>
          <t>Sector pack</t>
        </is>
      </c>
      <c r="E21" s="972" t="inlineStr">
        <is>
          <t>sector_packs/OT/OT_CRQ_Sector_Pack_Manufacturing_v1_0.xlsx</t>
        </is>
      </c>
      <c r="F21" s="972" t="inlineStr">
        <is>
          <t>MF calibration</t>
        </is>
      </c>
      <c r="G21" s="972" t="inlineStr">
        <is>
          <t>Sector Pack Owner</t>
        </is>
      </c>
      <c r="H21" s="972" t="inlineStr">
        <is>
          <t>No</t>
        </is>
      </c>
      <c r="I21" s="972" t="inlineStr">
        <is>
          <t>External MF pack</t>
        </is>
      </c>
      <c r="J21" s="972" t="inlineStr">
        <is>
          <t>Pack evidence</t>
        </is>
      </c>
      <c r="K21" s="972" t="inlineStr">
        <is>
          <t>MF-v1.0</t>
        </is>
      </c>
    </row>
    <row r="22">
      <c r="A22" s="972" t="inlineStr">
        <is>
          <t>10 Outputs</t>
        </is>
      </c>
      <c r="B22" s="972" t="inlineStr">
        <is>
          <t>Common</t>
        </is>
      </c>
      <c r="C22" s="972" t="inlineStr">
        <is>
          <t>All</t>
        </is>
      </c>
      <c r="D22" s="972" t="inlineStr">
        <is>
          <t>Calculated</t>
        </is>
      </c>
      <c r="E22" s="972" t="inlineStr">
        <is>
          <t>00 dashboards / Engine Results</t>
        </is>
      </c>
      <c r="F22" s="972" t="inlineStr">
        <is>
          <t>AAL, LEC, validation</t>
        </is>
      </c>
      <c r="G22" s="972" t="inlineStr">
        <is>
          <t>Python engine</t>
        </is>
      </c>
      <c r="H22" s="972" t="inlineStr">
        <is>
          <t>No</t>
        </is>
      </c>
      <c r="I22" s="972" t="inlineStr">
        <is>
          <t>00 COMMON - Engine Results</t>
        </is>
      </c>
      <c r="J22" s="972" t="inlineStr">
        <is>
          <t>n/a</t>
        </is>
      </c>
      <c r="K22" s="972" t="inlineStr">
        <is>
          <t>Run-specific</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tabColor rgb="007F7F7F"/>
    <outlinePr summaryBelow="1" summaryRight="1"/>
    <pageSetUpPr/>
  </sheetPr>
  <dimension ref="A1:F3"/>
  <sheetViews>
    <sheetView workbookViewId="0">
      <selection activeCell="A1" sqref="A1"/>
    </sheetView>
  </sheetViews>
  <sheetFormatPr baseColWidth="8" defaultRowHeight="15"/>
  <cols>
    <col width="28" customWidth="1" style="508" min="1" max="1"/>
  </cols>
  <sheetData>
    <row r="1">
      <c r="A1" s="1024" t="inlineStr">
        <is>
          <t>FILL IT assessment only</t>
        </is>
      </c>
    </row>
    <row r="3" ht="48" customHeight="1" s="508">
      <c r="A3" s="1025">
        <f>IF('00 COMMON - Run Setup'!C6="IT","FILL the cyan IT tabs. Ignore FILL OT.","Not used for this run.")</f>
        <v/>
      </c>
    </row>
  </sheetData>
  <mergeCells count="2">
    <mergeCell ref="A1:F1"/>
    <mergeCell ref="A3:F3"/>
  </mergeCells>
  <pageMargins left="0.75" right="0.75" top="1" bottom="1" header="0.5" footer="0.5"/>
</worksheet>
</file>

<file path=xl/worksheets/sheet19.xml><?xml version="1.0" encoding="utf-8"?>
<worksheet xmlns="http://schemas.openxmlformats.org/spreadsheetml/2006/main">
  <sheetPr>
    <tabColor rgb="0000B0F0"/>
    <outlinePr summaryBelow="1" summaryRight="1"/>
    <pageSetUpPr/>
  </sheetPr>
  <dimension ref="A1:F43"/>
  <sheetViews>
    <sheetView workbookViewId="0">
      <selection activeCell="A1" sqref="A1"/>
    </sheetView>
  </sheetViews>
  <sheetFormatPr baseColWidth="8" defaultRowHeight="15"/>
  <cols>
    <col width="26" customWidth="1" style="508" min="1" max="1"/>
    <col width="32" customWidth="1" style="508" min="2" max="2"/>
    <col width="24" customWidth="1" style="508" min="3" max="3"/>
    <col width="24" customWidth="1" style="508" min="4" max="4"/>
    <col width="24" customWidth="1" style="508" min="5" max="5"/>
    <col width="24" customWidth="1" style="508" min="6" max="6"/>
    <col width="14" customWidth="1" style="508" min="7" max="7"/>
    <col width="14" customWidth="1" style="508" min="8" max="8"/>
    <col width="14" customWidth="1" style="508" min="9" max="9"/>
    <col width="14" customWidth="1" style="508" min="10" max="10"/>
    <col width="14" customWidth="1" style="508" min="11" max="11"/>
    <col width="14" customWidth="1" style="508" min="12" max="12"/>
    <col width="14" customWidth="1" style="508" min="13" max="13"/>
    <col width="14" customWidth="1" style="508" min="14" max="14"/>
    <col width="14" customWidth="1" style="508" min="15" max="15"/>
    <col width="14" customWidth="1" style="508" min="16" max="16"/>
    <col width="14" customWidth="1" style="508" min="17" max="17"/>
    <col width="14" customWidth="1" style="508" min="18" max="18"/>
    <col width="14" customWidth="1" style="508" min="19" max="19"/>
    <col width="14" customWidth="1" style="508" min="20" max="20"/>
    <col width="14" customWidth="1" style="508" min="21" max="21"/>
    <col width="14" customWidth="1" style="508" min="22" max="22"/>
    <col width="14" customWidth="1" style="508" min="23" max="23"/>
    <col width="14" customWidth="1" style="508" min="24" max="24"/>
    <col width="14" customWidth="1" style="508" min="25" max="25"/>
    <col width="14" customWidth="1" style="508" min="26" max="26"/>
  </cols>
  <sheetData>
    <row r="1">
      <c r="A1" s="920" t="inlineStr">
        <is>
          <t>03 — Organisation and Run Inputs</t>
        </is>
      </c>
      <c r="B1" s="920" t="n"/>
      <c r="C1" s="920" t="n"/>
      <c r="D1" s="920" t="n"/>
      <c r="E1" s="920" t="n"/>
      <c r="F1" s="920" t="n"/>
    </row>
    <row r="2">
      <c r="A2" s="918" t="inlineStr">
        <is>
          <t>Select the sector, organisation scale and whether upstream IT Exposure Adjustment Model recommendations are applied.</t>
        </is>
      </c>
      <c r="B2" s="918" t="n"/>
      <c r="C2" s="918" t="n"/>
      <c r="D2" s="918" t="n"/>
      <c r="E2" s="918" t="n"/>
      <c r="F2" s="918" t="n"/>
    </row>
    <row r="3">
      <c r="A3" s="1029">
        <f>IF('00 COMMON - Run Setup'!C6="IT","FILL this sheet — IT assessment.","Not used for this run. Complete the OT assessment section only.")</f>
        <v/>
      </c>
      <c r="B3" s="918" t="n"/>
      <c r="C3" s="918" t="n"/>
      <c r="D3" s="918" t="n"/>
      <c r="E3" s="918" t="n"/>
      <c r="F3" s="918" t="n"/>
    </row>
    <row r="4">
      <c r="A4" s="918" t="inlineStr">
        <is>
          <t>Enter organisation identity and scale here. Python uses these Value cells for the IT calculation. Sector is taken from Run Setup. Currency and Use exposure model are dropdowns.</t>
        </is>
      </c>
      <c r="B4" s="918" t="n"/>
      <c r="C4" s="918" t="n"/>
      <c r="D4" s="918" t="n"/>
      <c r="E4" s="918" t="n"/>
      <c r="F4" s="918" t="n"/>
    </row>
    <row r="5">
      <c r="A5" s="918" t="n"/>
      <c r="B5" s="918" t="n"/>
      <c r="C5" s="918" t="n"/>
      <c r="D5" s="918" t="n"/>
      <c r="E5" s="918" t="n"/>
      <c r="F5" s="918" t="n"/>
    </row>
    <row r="6">
      <c r="A6" s="918" t="n"/>
      <c r="B6" s="918" t="n"/>
      <c r="C6" s="918" t="n"/>
      <c r="D6" s="918" t="n"/>
      <c r="E6" s="918" t="n"/>
      <c r="F6" s="918" t="n"/>
    </row>
    <row r="7">
      <c r="A7" s="918" t="n"/>
      <c r="B7" s="918" t="n"/>
      <c r="C7" s="918" t="n"/>
      <c r="D7" s="918" t="n"/>
      <c r="E7" s="918" t="n"/>
      <c r="F7" s="918" t="n"/>
    </row>
    <row r="8">
      <c r="A8" s="918" t="n"/>
      <c r="B8" s="918" t="n"/>
      <c r="C8" s="918" t="n"/>
      <c r="D8" s="918" t="n"/>
      <c r="E8" s="918" t="n"/>
      <c r="F8" s="918" t="n"/>
    </row>
    <row r="9">
      <c r="A9" s="918" t="n"/>
      <c r="B9" s="918" t="n"/>
      <c r="C9" s="918" t="n"/>
      <c r="D9" s="918" t="n"/>
      <c r="E9" s="918" t="n"/>
      <c r="F9" s="918" t="n"/>
    </row>
    <row r="10">
      <c r="A10" s="918" t="n"/>
      <c r="B10" s="918" t="n"/>
      <c r="C10" s="918" t="n"/>
      <c r="D10" s="918" t="n"/>
      <c r="E10" s="918" t="n"/>
      <c r="F10" s="918" t="n"/>
    </row>
    <row r="11">
      <c r="A11" s="918" t="n"/>
      <c r="B11" s="918" t="n"/>
      <c r="C11" s="918" t="n"/>
      <c r="D11" s="918" t="n"/>
      <c r="E11" s="918" t="n"/>
      <c r="F11" s="918" t="n"/>
    </row>
    <row r="12">
      <c r="A12" s="918" t="n"/>
      <c r="B12" s="918" t="n"/>
      <c r="C12" s="918" t="n"/>
      <c r="D12" s="918" t="n"/>
      <c r="E12" s="918" t="n"/>
      <c r="F12" s="918" t="n"/>
    </row>
    <row r="13">
      <c r="A13" s="918" t="n"/>
      <c r="B13" s="918" t="n"/>
      <c r="C13" s="918" t="n"/>
      <c r="D13" s="918" t="n"/>
      <c r="E13" s="918" t="n"/>
      <c r="F13" s="918" t="n"/>
    </row>
    <row r="14">
      <c r="A14" s="918" t="n"/>
      <c r="B14" s="918" t="n"/>
      <c r="C14" s="918" t="n"/>
      <c r="D14" s="918" t="n"/>
      <c r="E14" s="918" t="n"/>
      <c r="F14" s="918" t="n"/>
    </row>
    <row r="15" ht="30" customHeight="1" s="508">
      <c r="A15" s="851" t="inlineStr">
        <is>
          <t>Input</t>
        </is>
      </c>
      <c r="B15" s="851" t="inlineStr">
        <is>
          <t>Question</t>
        </is>
      </c>
      <c r="C15" s="851" t="inlineStr">
        <is>
          <t>Value</t>
        </is>
      </c>
      <c r="D15" s="851" t="inlineStr">
        <is>
          <t>Type</t>
        </is>
      </c>
      <c r="E15" s="851" t="inlineStr">
        <is>
          <t>How used</t>
        </is>
      </c>
      <c r="F15" s="851" t="inlineStr">
        <is>
          <t>Basis / evidence</t>
        </is>
      </c>
    </row>
    <row r="16">
      <c r="A16" s="918" t="inlineStr">
        <is>
          <t>ASSESSMENT_ID</t>
        </is>
      </c>
      <c r="B16" s="918" t="inlineStr">
        <is>
          <t>Assessment reference</t>
        </is>
      </c>
      <c r="C16" s="926" t="inlineStr">
        <is>
          <t>IT-CRQ-001</t>
        </is>
      </c>
      <c r="D16" s="918" t="inlineStr">
        <is>
          <t>Text</t>
        </is>
      </c>
      <c r="E16" s="918" t="inlineStr">
        <is>
          <t>Reporting and traceability</t>
        </is>
      </c>
      <c r="F16" s="918" t="inlineStr">
        <is>
          <t>Client</t>
        </is>
      </c>
    </row>
    <row r="17">
      <c r="A17" s="918" t="inlineStr">
        <is>
          <t>ORGANISATION</t>
        </is>
      </c>
      <c r="B17" s="918" t="inlineStr">
        <is>
          <t>Organisation</t>
        </is>
      </c>
      <c r="C17" s="926" t="inlineStr">
        <is>
          <t>Example Financial Institution</t>
        </is>
      </c>
      <c r="D17" s="918" t="inlineStr">
        <is>
          <t>Text</t>
        </is>
      </c>
      <c r="E17" s="918" t="inlineStr">
        <is>
          <t>Organisation-level unit of analysis</t>
        </is>
      </c>
      <c r="F17" s="918" t="inlineStr">
        <is>
          <t>Client</t>
        </is>
      </c>
    </row>
    <row r="18">
      <c r="A18" s="918" t="inlineStr">
        <is>
          <t>COUNTRY_REGION</t>
        </is>
      </c>
      <c r="B18" s="918" t="inlineStr">
        <is>
          <t>Country / region</t>
        </is>
      </c>
      <c r="C18" s="926" t="inlineStr">
        <is>
          <t>UAE / GCC</t>
        </is>
      </c>
      <c r="D18" s="918" t="inlineStr">
        <is>
          <t>Text</t>
        </is>
      </c>
      <c r="E18" s="918" t="inlineStr">
        <is>
          <t>Reporting context; explicit multiplier is on 07</t>
        </is>
      </c>
      <c r="F18" s="918" t="inlineStr">
        <is>
          <t>Client</t>
        </is>
      </c>
    </row>
    <row r="19">
      <c r="A19" s="918" t="inlineStr">
        <is>
          <t>SECTOR</t>
        </is>
      </c>
      <c r="B19" s="918" t="inlineStr">
        <is>
          <t>Sector</t>
        </is>
      </c>
      <c r="C19" s="926">
        <f>'00 COMMON - Run Setup'!C7</f>
        <v/>
      </c>
      <c r="D19" s="918" t="inlineStr">
        <is>
          <t>Dropdown</t>
        </is>
      </c>
      <c r="E19" s="918" t="inlineStr">
        <is>
          <t>Resolves the separate sector-pack workbook</t>
        </is>
      </c>
      <c r="F19" s="918" t="inlineStr">
        <is>
          <t>09 Sector Pack Registry</t>
        </is>
      </c>
    </row>
    <row r="20">
      <c r="A20" s="918" t="inlineStr">
        <is>
          <t>CURRENCY</t>
        </is>
      </c>
      <c r="B20" s="918" t="inlineStr">
        <is>
          <t>Reporting currency</t>
        </is>
      </c>
      <c r="C20" s="926" t="inlineStr">
        <is>
          <t>USD</t>
        </is>
      </c>
      <c r="D20" s="918" t="inlineStr">
        <is>
          <t>Dropdown</t>
        </is>
      </c>
      <c r="E20" s="918" t="inlineStr">
        <is>
          <t>Financial result labels</t>
        </is>
      </c>
      <c r="F20" s="918" t="inlineStr">
        <is>
          <t>Client</t>
        </is>
      </c>
    </row>
    <row r="21">
      <c r="A21" s="918" t="inlineStr">
        <is>
          <t>ANNUAL_REVENUE_AT_RISK</t>
        </is>
      </c>
      <c r="B21" s="918" t="inlineStr">
        <is>
          <t>Annual revenue at risk</t>
        </is>
      </c>
      <c r="C21" s="926" t="n">
        <v>1000000000</v>
      </c>
      <c r="D21" s="918" t="inlineStr">
        <is>
          <t>Currency/year</t>
        </is>
      </c>
      <c r="E21" s="918" t="inlineStr">
        <is>
          <t>Business interruption and revenue-scaled drivers</t>
        </is>
      </c>
      <c r="F21" s="918" t="inlineStr">
        <is>
          <t>Client Finance</t>
        </is>
      </c>
    </row>
    <row r="22">
      <c r="A22" s="918" t="inlineStr">
        <is>
          <t>ANNUAL_PAYMENT_VALUE</t>
        </is>
      </c>
      <c r="B22" s="918" t="inlineStr">
        <is>
          <t>Annual payment / transaction value</t>
        </is>
      </c>
      <c r="C22" s="926" t="n">
        <v>5000000000</v>
      </c>
      <c r="D22" s="918" t="inlineStr">
        <is>
          <t>Currency/year</t>
        </is>
      </c>
      <c r="E22" s="918" t="inlineStr">
        <is>
          <t>Funds-at-risk model for integrity and fraud scenarios</t>
        </is>
      </c>
      <c r="F22" s="918" t="inlineStr">
        <is>
          <t>Client Finance</t>
        </is>
      </c>
    </row>
    <row r="23">
      <c r="A23" s="918" t="inlineStr">
        <is>
          <t>BI_LOSS_FACTOR</t>
        </is>
      </c>
      <c r="B23" s="918" t="inlineStr">
        <is>
          <t>Business-interruption loss factor</t>
        </is>
      </c>
      <c r="C23" s="926" t="n">
        <v>1</v>
      </c>
      <c r="D23" s="918" t="inlineStr">
        <is>
          <t>Percentage</t>
        </is>
      </c>
      <c r="E23" s="918" t="inlineStr">
        <is>
          <t>Share of revenue at risk treated as avoidable loss</t>
        </is>
      </c>
      <c r="F23" s="918" t="inlineStr">
        <is>
          <t>Client Finance</t>
        </is>
      </c>
    </row>
    <row r="24">
      <c r="A24" s="918" t="inlineStr">
        <is>
          <t>EMPLOYEES</t>
        </is>
      </c>
      <c r="B24" s="918" t="inlineStr">
        <is>
          <t>Employees</t>
        </is>
      </c>
      <c r="C24" s="926" t="n">
        <v>10000</v>
      </c>
      <c r="D24" s="918" t="inlineStr">
        <is>
          <t>Count</t>
        </is>
      </c>
      <c r="E24" s="918" t="inlineStr">
        <is>
          <t>Organisation context</t>
        </is>
      </c>
      <c r="F24" s="918" t="inlineStr">
        <is>
          <t>Client</t>
        </is>
      </c>
    </row>
    <row r="25">
      <c r="A25" s="918" t="inlineStr">
        <is>
          <t>CUSTOMERS</t>
        </is>
      </c>
      <c r="B25" s="918" t="inlineStr">
        <is>
          <t>Customers / accounts</t>
        </is>
      </c>
      <c r="C25" s="926" t="n">
        <v>2000000</v>
      </c>
      <c r="D25" s="918" t="inlineStr">
        <is>
          <t>Count</t>
        </is>
      </c>
      <c r="E25" s="918" t="inlineStr">
        <is>
          <t>Potential notification and monitoring scale</t>
        </is>
      </c>
      <c r="F25" s="918" t="inlineStr">
        <is>
          <t>Client</t>
        </is>
      </c>
    </row>
    <row r="26">
      <c r="A26" s="918" t="inlineStr">
        <is>
          <t>SENSITIVE_RECORDS</t>
        </is>
      </c>
      <c r="B26" s="918" t="inlineStr">
        <is>
          <t>Sensitive records</t>
        </is>
      </c>
      <c r="C26" s="926" t="n">
        <v>5000000</v>
      </c>
      <c r="D26" s="918" t="inlineStr">
        <is>
          <t>Count</t>
        </is>
      </c>
      <c r="E26" s="918" t="inlineStr">
        <is>
          <t>Data-compromise scaling</t>
        </is>
      </c>
      <c r="F26" s="918" t="inlineStr">
        <is>
          <t>Client</t>
        </is>
      </c>
    </row>
    <row r="27">
      <c r="A27" s="918" t="inlineStr">
        <is>
          <t>CRITICAL_ENDPOINTS</t>
        </is>
      </c>
      <c r="B27" s="918" t="inlineStr">
        <is>
          <t>Critical endpoints</t>
        </is>
      </c>
      <c r="C27" s="926" t="n">
        <v>5000</v>
      </c>
      <c r="D27" s="918" t="inlineStr">
        <is>
          <t>Count</t>
        </is>
      </c>
      <c r="E27" s="918" t="inlineStr">
        <is>
          <t>Recovery-cost scaling</t>
        </is>
      </c>
      <c r="F27" s="918" t="inlineStr">
        <is>
          <t>Client</t>
        </is>
      </c>
    </row>
    <row r="28">
      <c r="A28" s="918" t="inlineStr">
        <is>
          <t>CRITICAL_SERVERS</t>
        </is>
      </c>
      <c r="B28" s="918" t="inlineStr">
        <is>
          <t>Critical servers / workloads</t>
        </is>
      </c>
      <c r="C28" s="926" t="n">
        <v>500</v>
      </c>
      <c r="D28" s="918" t="inlineStr">
        <is>
          <t>Count</t>
        </is>
      </c>
      <c r="E28" s="918" t="inlineStr">
        <is>
          <t>Recovery-cost scaling</t>
        </is>
      </c>
      <c r="F28" s="918" t="inlineStr">
        <is>
          <t>Client</t>
        </is>
      </c>
    </row>
    <row r="29">
      <c r="A29" s="918" t="inlineStr">
        <is>
          <t>USE_EXPOSURE_MODEL</t>
        </is>
      </c>
      <c r="B29" s="918" t="inlineStr">
        <is>
          <t>Use IT Exposure Adjustment Model inputs?</t>
        </is>
      </c>
      <c r="C29" s="926" t="inlineStr">
        <is>
          <t>No</t>
        </is>
      </c>
      <c r="D29" s="918" t="inlineStr">
        <is>
          <t>Yes / No dropdown</t>
        </is>
      </c>
      <c r="E29" s="918" t="inlineStr">
        <is>
          <t>Controls whether sheet 04 recommendations are applied</t>
        </is>
      </c>
      <c r="F29" s="918" t="inlineStr">
        <is>
          <t>User decision</t>
        </is>
      </c>
    </row>
    <row r="30">
      <c r="A30" s="918" t="inlineStr">
        <is>
          <t>SIMULATION_YEARS</t>
        </is>
      </c>
      <c r="B30" s="918" t="inlineStr">
        <is>
          <t>Monte Carlo organisation-years</t>
        </is>
      </c>
      <c r="C30" s="926" t="n">
        <v>500000</v>
      </c>
      <c r="D30" s="918" t="inlineStr">
        <is>
          <t>Count</t>
        </is>
      </c>
      <c r="E30" s="918" t="inlineStr">
        <is>
          <t>Annual-loss simulation size</t>
        </is>
      </c>
      <c r="F30" s="918" t="inlineStr">
        <is>
          <t>Model setting</t>
        </is>
      </c>
    </row>
    <row r="31">
      <c r="A31" s="918" t="inlineStr">
        <is>
          <t>RANDOM_SEED</t>
        </is>
      </c>
      <c r="B31" s="918" t="inlineStr">
        <is>
          <t>Random seed</t>
        </is>
      </c>
      <c r="C31" s="926" t="n">
        <v>20260821</v>
      </c>
      <c r="D31" s="918" t="inlineStr">
        <is>
          <t>Integer</t>
        </is>
      </c>
      <c r="E31" s="918" t="inlineStr">
        <is>
          <t>Reproducible simulation</t>
        </is>
      </c>
      <c r="F31" s="918" t="inlineStr">
        <is>
          <t>Model setting</t>
        </is>
      </c>
    </row>
    <row r="32">
      <c r="A32" s="918" t="n"/>
      <c r="B32" s="918" t="n"/>
      <c r="C32" s="926" t="n"/>
      <c r="D32" s="918" t="n"/>
      <c r="E32" s="918" t="n"/>
      <c r="F32" s="918" t="n"/>
    </row>
    <row r="33">
      <c r="A33" s="918" t="inlineStr">
        <is>
          <t>RESOLVED SECTOR PACK</t>
        </is>
      </c>
      <c r="B33" s="918" t="n"/>
      <c r="C33" s="918" t="n"/>
      <c r="D33" s="918" t="n"/>
      <c r="E33" s="918" t="n"/>
      <c r="F33" s="918" t="n"/>
    </row>
    <row r="34">
      <c r="A34" s="918" t="inlineStr">
        <is>
          <t>PACK_ID</t>
        </is>
      </c>
      <c r="B34" s="918" t="inlineStr">
        <is>
          <t>Resolved pack ID</t>
        </is>
      </c>
      <c r="C34" s="918" t="inlineStr">
        <is>
          <t>FS-v1.1.1</t>
        </is>
      </c>
      <c r="D34" s="918" t="inlineStr">
        <is>
          <t>Engine output</t>
        </is>
      </c>
      <c r="E34" s="918" t="inlineStr">
        <is>
          <t>Traceability</t>
        </is>
      </c>
      <c r="F34" s="918" t="inlineStr">
        <is>
          <t>Separate sector-pack workbook</t>
        </is>
      </c>
    </row>
    <row r="35">
      <c r="A35" s="918" t="inlineStr">
        <is>
          <t>PACK_VERSION</t>
        </is>
      </c>
      <c r="B35" s="918" t="inlineStr">
        <is>
          <t>Resolved pack version</t>
        </is>
      </c>
      <c r="C35" s="918" t="inlineStr">
        <is>
          <t>1.1.1</t>
        </is>
      </c>
      <c r="D35" s="918" t="inlineStr">
        <is>
          <t>Engine output</t>
        </is>
      </c>
      <c r="E35" s="918" t="inlineStr">
        <is>
          <t>Compatibility</t>
        </is>
      </c>
      <c r="F35" s="918" t="inlineStr">
        <is>
          <t>Separate sector-pack workbook</t>
        </is>
      </c>
    </row>
    <row r="36">
      <c r="A36" s="918" t="inlineStr">
        <is>
          <t>PACK_STATUS</t>
        </is>
      </c>
      <c r="B36" s="918" t="inlineStr">
        <is>
          <t>Pack calibration status</t>
        </is>
      </c>
      <c r="C36" s="918" t="inlineStr">
        <is>
          <t>Development — working priors; calibration required</t>
        </is>
      </c>
      <c r="D36" s="918" t="inlineStr">
        <is>
          <t>Engine output</t>
        </is>
      </c>
      <c r="E36" s="918" t="inlineStr">
        <is>
          <t>Governance</t>
        </is>
      </c>
      <c r="F36" s="918" t="inlineStr">
        <is>
          <t>Separate sector-pack workbook</t>
        </is>
      </c>
    </row>
    <row r="37">
      <c r="A37" s="918" t="inlineStr">
        <is>
          <t>MODEL_STATUS</t>
        </is>
      </c>
      <c r="B37" s="918" t="inlineStr">
        <is>
          <t>Last validation status</t>
        </is>
      </c>
      <c r="C37" s="918" t="inlineStr">
        <is>
          <t>PASS</t>
        </is>
      </c>
      <c r="D37" s="918" t="inlineStr">
        <is>
          <t>Engine output</t>
        </is>
      </c>
      <c r="E37" s="918" t="inlineStr">
        <is>
          <t>Model governance</t>
        </is>
      </c>
      <c r="F37" s="918" t="inlineStr">
        <is>
          <t>22 Validation Tests</t>
        </is>
      </c>
    </row>
    <row r="38">
      <c r="A38" s="918" t="n"/>
      <c r="B38" s="918" t="n"/>
      <c r="C38" s="918" t="n"/>
      <c r="D38" s="918" t="n"/>
      <c r="E38" s="918" t="n"/>
      <c r="F38" s="918" t="n"/>
    </row>
    <row r="40">
      <c r="A40" s="929" t="inlineStr">
        <is>
          <t>COMBINED-MODEL NOTE — These IT sheets are the user-input staging area for Financial Services. The common runner must copy the staged values into the governed IT v1.1.1 template, execute it_crq, then write the normalized results back to 00 Output Bridge. The IT calculation methodology itself is not replaced by OT logic.</t>
        </is>
      </c>
    </row>
    <row r="41"/>
    <row r="42"/>
    <row r="43"/>
  </sheetData>
  <mergeCells count="1">
    <mergeCell ref="A40:F43"/>
  </mergeCells>
  <dataValidations count="2">
    <dataValidation sqref="C20" showDropDown="0" showInputMessage="0" showErrorMessage="1" allowBlank="0" errorTitle="Invalid selection" error="Select a value from the list." type="list">
      <formula1>"USD,GBP,EUR,AED"</formula1>
    </dataValidation>
    <dataValidation sqref="C29" showDropDown="0" showInputMessage="0" showErrorMessage="1" allowBlank="0" errorTitle="Invalid selection" error="Select a value from the list." type="list">
      <formula1>"Yes,No"</formula1>
    </dataValidation>
  </dataValidations>
  <pageMargins left="0.7" right="0.7" top="0.75" bottom="0.75" header="0.3" footer="0.3"/>
</worksheet>
</file>

<file path=xl/worksheets/sheet20.xml><?xml version="1.0" encoding="utf-8"?>
<worksheet xmlns="http://schemas.openxmlformats.org/spreadsheetml/2006/main">
  <sheetPr>
    <tabColor rgb="0000B0F0"/>
    <outlinePr summaryBelow="1" summaryRight="1"/>
    <pageSetUpPr/>
  </sheetPr>
  <dimension ref="A1:V115"/>
  <sheetViews>
    <sheetView workbookViewId="0">
      <selection activeCell="A1" sqref="A1"/>
    </sheetView>
  </sheetViews>
  <sheetFormatPr baseColWidth="8" defaultRowHeight="15"/>
  <sheetData>
    <row r="1">
      <c r="A1" s="970" t="inlineStr">
        <is>
          <t>04 — IT Exposure Adjustment Inputs</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row>
    <row r="2">
      <c r="A2" s="966" t="inlineStr">
        <is>
          <t>Optional upstream recommendations. The CRQ workbook does not ingest raw asset or vulnerability records.</t>
        </is>
      </c>
      <c r="B2" s="966" t="n"/>
      <c r="C2" s="966" t="n"/>
      <c r="D2" s="966" t="n"/>
      <c r="E2" s="966" t="n"/>
      <c r="F2" s="966" t="n"/>
      <c r="G2" s="966" t="n"/>
      <c r="H2" s="966" t="n"/>
      <c r="I2" s="966" t="n"/>
      <c r="J2" s="966" t="n"/>
      <c r="K2" s="966" t="n"/>
      <c r="L2" s="966" t="n"/>
      <c r="M2" s="966" t="n"/>
      <c r="N2" s="966" t="n"/>
      <c r="O2" s="966" t="n"/>
      <c r="P2" s="966" t="n"/>
      <c r="Q2" s="966" t="n"/>
      <c r="R2" s="966" t="n"/>
      <c r="S2" s="966" t="n"/>
      <c r="T2" s="966" t="n"/>
      <c r="U2" s="966" t="n"/>
      <c r="V2" s="966" t="n"/>
    </row>
    <row r="3">
      <c r="A3" s="1030">
        <f>IF('00 COMMON - Run Setup'!C6="IT","FILL this sheet — IT assessment.","Not used for this run. Complete the OT assessment section only.")</f>
        <v/>
      </c>
      <c r="B3" s="973" t="n"/>
      <c r="C3" s="973" t="n"/>
      <c r="D3" s="973" t="n"/>
      <c r="E3" s="973" t="n"/>
      <c r="F3" s="973" t="n"/>
      <c r="G3" s="973" t="n"/>
      <c r="H3" s="973" t="n"/>
      <c r="I3" s="973" t="n"/>
      <c r="J3" s="973" t="n"/>
      <c r="K3" s="973" t="n"/>
      <c r="L3" s="973" t="n"/>
      <c r="M3" s="973" t="n"/>
      <c r="N3" s="973" t="n"/>
      <c r="O3" s="973" t="n"/>
      <c r="P3" s="973" t="n"/>
      <c r="Q3" s="973" t="n"/>
      <c r="R3" s="973" t="n"/>
      <c r="S3" s="973" t="n"/>
      <c r="T3" s="973" t="n"/>
      <c r="U3" s="973" t="n"/>
      <c r="V3" s="973" t="n"/>
    </row>
    <row r="4">
      <c r="A4" s="973" t="inlineStr">
        <is>
          <t>Optional. Leave this sheet at Yes / Unknown / 1.0 unless you set USE_EXPOSURE_MODEL = Yes on IT 03 and have a governed exposure-model recommendation. Organisation applicable? can still mark a route as out of scope.</t>
        </is>
      </c>
      <c r="B4" s="973" t="n"/>
      <c r="C4" s="973" t="n"/>
      <c r="D4" s="973" t="n"/>
      <c r="E4" s="973" t="n"/>
      <c r="F4" s="973" t="n"/>
      <c r="G4" s="973" t="n"/>
      <c r="H4" s="973" t="n"/>
      <c r="I4" s="973" t="n"/>
      <c r="J4" s="973" t="n"/>
      <c r="K4" s="973" t="n"/>
      <c r="L4" s="973" t="n"/>
      <c r="M4" s="973" t="n"/>
      <c r="N4" s="973" t="n"/>
      <c r="O4" s="973" t="n"/>
      <c r="P4" s="973" t="n"/>
      <c r="Q4" s="973" t="n"/>
      <c r="R4" s="973" t="n"/>
      <c r="S4" s="973" t="n"/>
      <c r="T4" s="973" t="n"/>
      <c r="U4" s="973" t="n"/>
      <c r="V4" s="973" t="n"/>
    </row>
    <row r="5">
      <c r="A5" s="973" t="n"/>
      <c r="B5" s="973" t="n"/>
      <c r="C5" s="973" t="n"/>
      <c r="D5" s="973" t="n"/>
      <c r="E5" s="973" t="n"/>
      <c r="F5" s="973" t="n"/>
      <c r="G5" s="973" t="n"/>
      <c r="H5" s="973" t="n"/>
      <c r="I5" s="973" t="n"/>
      <c r="J5" s="973" t="n"/>
      <c r="K5" s="973" t="n"/>
      <c r="L5" s="973" t="n"/>
      <c r="M5" s="973" t="n"/>
      <c r="N5" s="973" t="n"/>
      <c r="O5" s="973" t="n"/>
      <c r="P5" s="973" t="n"/>
      <c r="Q5" s="973" t="n"/>
      <c r="R5" s="973" t="n"/>
      <c r="S5" s="973" t="n"/>
      <c r="T5" s="973" t="n"/>
      <c r="U5" s="973" t="n"/>
      <c r="V5" s="973" t="n"/>
    </row>
    <row r="6">
      <c r="A6" s="973" t="n"/>
      <c r="B6" s="973" t="n"/>
      <c r="C6" s="973" t="n"/>
      <c r="D6" s="973" t="n"/>
      <c r="E6" s="973" t="n"/>
      <c r="F6" s="973" t="n"/>
      <c r="G6" s="973" t="n"/>
      <c r="H6" s="973" t="n"/>
      <c r="I6" s="973" t="n"/>
      <c r="J6" s="973" t="n"/>
      <c r="K6" s="973" t="n"/>
      <c r="L6" s="973" t="n"/>
      <c r="M6" s="973" t="n"/>
      <c r="N6" s="973" t="n"/>
      <c r="O6" s="973" t="n"/>
      <c r="P6" s="973" t="n"/>
      <c r="Q6" s="973" t="n"/>
      <c r="R6" s="973" t="n"/>
      <c r="S6" s="973" t="n"/>
      <c r="T6" s="973" t="n"/>
      <c r="U6" s="973" t="n"/>
      <c r="V6" s="973" t="n"/>
    </row>
    <row r="7">
      <c r="A7" s="973" t="n"/>
      <c r="B7" s="973" t="n"/>
      <c r="C7" s="973" t="n"/>
      <c r="D7" s="973" t="n"/>
      <c r="E7" s="973" t="n"/>
      <c r="F7" s="973" t="n"/>
      <c r="G7" s="973" t="n"/>
      <c r="H7" s="973" t="n"/>
      <c r="I7" s="973" t="n"/>
      <c r="J7" s="973" t="n"/>
      <c r="K7" s="973" t="n"/>
      <c r="L7" s="973" t="n"/>
      <c r="M7" s="973" t="n"/>
      <c r="N7" s="973" t="n"/>
      <c r="O7" s="973" t="n"/>
      <c r="P7" s="973" t="n"/>
      <c r="Q7" s="973" t="n"/>
      <c r="R7" s="973" t="n"/>
      <c r="S7" s="973" t="n"/>
      <c r="T7" s="973" t="n"/>
      <c r="U7" s="973" t="n"/>
      <c r="V7" s="973" t="n"/>
    </row>
    <row r="8">
      <c r="A8" s="973" t="n"/>
      <c r="B8" s="973" t="n"/>
      <c r="C8" s="973" t="n"/>
      <c r="D8" s="973" t="n"/>
      <c r="E8" s="973" t="n"/>
      <c r="F8" s="973" t="n"/>
      <c r="G8" s="973" t="n"/>
      <c r="H8" s="973" t="n"/>
      <c r="I8" s="973" t="n"/>
      <c r="J8" s="973" t="n"/>
      <c r="K8" s="973" t="n"/>
      <c r="L8" s="973" t="n"/>
      <c r="M8" s="973" t="n"/>
      <c r="N8" s="973" t="n"/>
      <c r="O8" s="973" t="n"/>
      <c r="P8" s="973" t="n"/>
      <c r="Q8" s="973" t="n"/>
      <c r="R8" s="973" t="n"/>
      <c r="S8" s="973" t="n"/>
      <c r="T8" s="973" t="n"/>
      <c r="U8" s="973" t="n"/>
      <c r="V8" s="973" t="n"/>
    </row>
    <row r="9">
      <c r="A9" s="973" t="n"/>
      <c r="B9" s="973" t="n"/>
      <c r="C9" s="973" t="n"/>
      <c r="D9" s="973" t="n"/>
      <c r="E9" s="973" t="n"/>
      <c r="F9" s="973" t="n"/>
      <c r="G9" s="973" t="n"/>
      <c r="H9" s="973" t="n"/>
      <c r="I9" s="973" t="n"/>
      <c r="J9" s="973" t="n"/>
      <c r="K9" s="973" t="n"/>
      <c r="L9" s="973" t="n"/>
      <c r="M9" s="973" t="n"/>
      <c r="N9" s="973" t="n"/>
      <c r="O9" s="973" t="n"/>
      <c r="P9" s="973" t="n"/>
      <c r="Q9" s="973" t="n"/>
      <c r="R9" s="973" t="n"/>
      <c r="S9" s="973" t="n"/>
      <c r="T9" s="973" t="n"/>
      <c r="U9" s="973" t="n"/>
      <c r="V9" s="973" t="n"/>
    </row>
    <row r="10">
      <c r="A10" s="973" t="n"/>
      <c r="B10" s="973" t="n"/>
      <c r="C10" s="973" t="n"/>
      <c r="D10" s="973" t="n"/>
      <c r="E10" s="973" t="n"/>
      <c r="F10" s="973" t="n"/>
      <c r="G10" s="973" t="n"/>
      <c r="H10" s="973" t="n"/>
      <c r="I10" s="973" t="n"/>
      <c r="J10" s="973" t="n"/>
      <c r="K10" s="973" t="n"/>
      <c r="L10" s="973" t="n"/>
      <c r="M10" s="973" t="n"/>
      <c r="N10" s="973" t="n"/>
      <c r="O10" s="973" t="n"/>
      <c r="P10" s="973" t="n"/>
      <c r="Q10" s="973" t="n"/>
      <c r="R10" s="973" t="n"/>
      <c r="S10" s="973" t="n"/>
      <c r="T10" s="973" t="n"/>
      <c r="U10" s="973" t="n"/>
      <c r="V10" s="973" t="n"/>
    </row>
    <row r="11">
      <c r="A11" s="973" t="n"/>
      <c r="B11" s="973" t="n"/>
      <c r="C11" s="973" t="n"/>
      <c r="D11" s="973" t="n"/>
      <c r="E11" s="973" t="n"/>
      <c r="F11" s="973" t="n"/>
      <c r="G11" s="973" t="n"/>
      <c r="H11" s="973" t="n"/>
      <c r="I11" s="973" t="n"/>
      <c r="J11" s="973" t="n"/>
      <c r="K11" s="973" t="n"/>
      <c r="L11" s="973" t="n"/>
      <c r="M11" s="973" t="n"/>
      <c r="N11" s="973" t="n"/>
      <c r="O11" s="973" t="n"/>
      <c r="P11" s="973" t="n"/>
      <c r="Q11" s="973" t="n"/>
      <c r="R11" s="973" t="n"/>
      <c r="S11" s="973" t="n"/>
      <c r="T11" s="973" t="n"/>
      <c r="U11" s="973" t="n"/>
      <c r="V11" s="973" t="n"/>
    </row>
    <row r="12">
      <c r="A12" s="973" t="n"/>
      <c r="B12" s="973" t="n"/>
      <c r="C12" s="973" t="n"/>
      <c r="D12" s="973" t="n"/>
      <c r="E12" s="973" t="n"/>
      <c r="F12" s="973" t="n"/>
      <c r="G12" s="973" t="n"/>
      <c r="H12" s="973" t="n"/>
      <c r="I12" s="973" t="n"/>
      <c r="J12" s="973" t="n"/>
      <c r="K12" s="973" t="n"/>
      <c r="L12" s="973" t="n"/>
      <c r="M12" s="973" t="n"/>
      <c r="N12" s="973" t="n"/>
      <c r="O12" s="973" t="n"/>
      <c r="P12" s="973" t="n"/>
      <c r="Q12" s="973" t="n"/>
      <c r="R12" s="973" t="n"/>
      <c r="S12" s="973" t="n"/>
      <c r="T12" s="973" t="n"/>
      <c r="U12" s="973" t="n"/>
      <c r="V12" s="973" t="n"/>
    </row>
    <row r="13">
      <c r="A13" s="973" t="n"/>
      <c r="B13" s="973" t="n"/>
      <c r="C13" s="973" t="n"/>
      <c r="D13" s="973" t="n"/>
      <c r="E13" s="973" t="n"/>
      <c r="F13" s="973" t="n"/>
      <c r="G13" s="973" t="n"/>
      <c r="H13" s="973" t="n"/>
      <c r="I13" s="973" t="n"/>
      <c r="J13" s="973" t="n"/>
      <c r="K13" s="973" t="n"/>
      <c r="L13" s="973" t="n"/>
      <c r="M13" s="973" t="n"/>
      <c r="N13" s="973" t="n"/>
      <c r="O13" s="973" t="n"/>
      <c r="P13" s="973" t="n"/>
      <c r="Q13" s="973" t="n"/>
      <c r="R13" s="973" t="n"/>
      <c r="S13" s="973" t="n"/>
      <c r="T13" s="973" t="n"/>
      <c r="U13" s="973" t="n"/>
      <c r="V13" s="973" t="n"/>
    </row>
    <row r="14">
      <c r="A14" s="973" t="n"/>
      <c r="B14" s="973" t="n"/>
      <c r="C14" s="973" t="n"/>
      <c r="D14" s="973" t="n"/>
      <c r="E14" s="973" t="n"/>
      <c r="F14" s="973" t="n"/>
      <c r="G14" s="973" t="n"/>
      <c r="H14" s="973" t="n"/>
      <c r="I14" s="973" t="n"/>
      <c r="J14" s="973" t="n"/>
      <c r="K14" s="973" t="n"/>
      <c r="L14" s="973" t="n"/>
      <c r="M14" s="973" t="n"/>
      <c r="N14" s="973" t="n"/>
      <c r="O14" s="973" t="n"/>
      <c r="P14" s="973" t="n"/>
      <c r="Q14" s="973" t="n"/>
      <c r="R14" s="973" t="n"/>
      <c r="S14" s="973" t="n"/>
      <c r="T14" s="973" t="n"/>
      <c r="U14" s="973" t="n"/>
      <c r="V14" s="973" t="n"/>
    </row>
    <row r="15">
      <c r="A15" s="969" t="inlineStr">
        <is>
          <t>Route ID</t>
        </is>
      </c>
      <c r="B15" s="969" t="inlineStr">
        <is>
          <t>Attack route</t>
        </is>
      </c>
      <c r="C15" s="969" t="inlineStr">
        <is>
          <t>Organisation applicable?</t>
        </is>
      </c>
      <c r="D15" s="969" t="inlineStr">
        <is>
          <t>Evidence-model feasible?</t>
        </is>
      </c>
      <c r="E15" s="969" t="inlineStr">
        <is>
          <t>Opportunity factor</t>
        </is>
      </c>
      <c r="F15" s="969" t="inlineStr">
        <is>
          <t>S1 factor</t>
        </is>
      </c>
      <c r="G15" s="969" t="inlineStr">
        <is>
          <t>S2 factor</t>
        </is>
      </c>
      <c r="H15" s="969" t="inlineStr">
        <is>
          <t>S3 factor</t>
        </is>
      </c>
      <c r="I15" s="969" t="inlineStr">
        <is>
          <t>S4 factor</t>
        </is>
      </c>
      <c r="J15" s="969" t="inlineStr">
        <is>
          <t>S5 factor</t>
        </is>
      </c>
      <c r="K15" s="969" t="inlineStr">
        <is>
          <t>Impact factor</t>
        </is>
      </c>
      <c r="L15" s="969" t="inlineStr">
        <is>
          <t>Confidence</t>
        </is>
      </c>
      <c r="M15" s="969" t="inlineStr">
        <is>
          <t>Recommendation ID</t>
        </is>
      </c>
      <c r="N15" s="969" t="inlineStr">
        <is>
          <t>Evidence date</t>
        </is>
      </c>
      <c r="O15" s="969" t="inlineStr">
        <is>
          <t>Rationale</t>
        </is>
      </c>
      <c r="P15" s="969" t="inlineStr">
        <is>
          <t>Used opportunity</t>
        </is>
      </c>
      <c r="Q15" s="969" t="inlineStr">
        <is>
          <t>Used S1</t>
        </is>
      </c>
      <c r="R15" s="969" t="inlineStr">
        <is>
          <t>Used S2</t>
        </is>
      </c>
      <c r="S15" s="969" t="inlineStr">
        <is>
          <t>Used S3</t>
        </is>
      </c>
      <c r="T15" s="969" t="inlineStr">
        <is>
          <t>Used S4</t>
        </is>
      </c>
      <c r="U15" s="969" t="inlineStr">
        <is>
          <t>Used S5</t>
        </is>
      </c>
      <c r="V15" s="969" t="inlineStr">
        <is>
          <t>Used impact</t>
        </is>
      </c>
    </row>
    <row r="16">
      <c r="A16" s="973" t="inlineStr">
        <is>
          <t>R_ID</t>
        </is>
      </c>
      <c r="B16" s="973" t="inlineStr">
        <is>
          <t>Identity and credential compromise</t>
        </is>
      </c>
      <c r="C16" s="973" t="inlineStr">
        <is>
          <t>Yes</t>
        </is>
      </c>
      <c r="D16" s="973" t="inlineStr">
        <is>
          <t>Unknown</t>
        </is>
      </c>
      <c r="E16" s="973" t="n">
        <v>1</v>
      </c>
      <c r="F16" s="973" t="n">
        <v>1</v>
      </c>
      <c r="G16" s="973" t="n">
        <v>1</v>
      </c>
      <c r="H16" s="973" t="n">
        <v>1</v>
      </c>
      <c r="I16" s="973" t="n">
        <v>1</v>
      </c>
      <c r="J16" s="973" t="n">
        <v>1</v>
      </c>
      <c r="K16" s="973" t="n">
        <v>1</v>
      </c>
      <c r="L16" s="973" t="inlineStr">
        <is>
          <t>Not assessed</t>
        </is>
      </c>
      <c r="M16" s="973" t="n"/>
      <c r="N16" s="973" t="n"/>
      <c r="O16" s="973" t="inlineStr">
        <is>
          <t>No exposure-model recommendation loaded.</t>
        </is>
      </c>
      <c r="P16" s="973" t="n">
        <v>1</v>
      </c>
      <c r="Q16" s="973" t="n">
        <v>1</v>
      </c>
      <c r="R16" s="973" t="n">
        <v>1</v>
      </c>
      <c r="S16" s="973" t="n">
        <v>1</v>
      </c>
      <c r="T16" s="973" t="n">
        <v>1</v>
      </c>
      <c r="U16" s="973" t="n">
        <v>1</v>
      </c>
      <c r="V16" s="973" t="n">
        <v>1</v>
      </c>
    </row>
    <row r="17">
      <c r="A17" s="973" t="inlineStr">
        <is>
          <t>R_USER</t>
        </is>
      </c>
      <c r="B17" s="973" t="inlineStr">
        <is>
          <t>User endpoint and social engineering</t>
        </is>
      </c>
      <c r="C17" s="973" t="inlineStr">
        <is>
          <t>Yes</t>
        </is>
      </c>
      <c r="D17" s="973" t="inlineStr">
        <is>
          <t>Unknown</t>
        </is>
      </c>
      <c r="E17" s="973" t="n">
        <v>1</v>
      </c>
      <c r="F17" s="973" t="n">
        <v>1</v>
      </c>
      <c r="G17" s="973" t="n">
        <v>1</v>
      </c>
      <c r="H17" s="973" t="n">
        <v>1</v>
      </c>
      <c r="I17" s="973" t="n">
        <v>1</v>
      </c>
      <c r="J17" s="973" t="n">
        <v>1</v>
      </c>
      <c r="K17" s="973" t="n">
        <v>1</v>
      </c>
      <c r="L17" s="973" t="inlineStr">
        <is>
          <t>Not assessed</t>
        </is>
      </c>
      <c r="M17" s="973" t="n"/>
      <c r="N17" s="973" t="n"/>
      <c r="O17" s="973" t="inlineStr">
        <is>
          <t>No exposure-model recommendation loaded.</t>
        </is>
      </c>
      <c r="P17" s="973" t="n">
        <v>1</v>
      </c>
      <c r="Q17" s="973" t="n">
        <v>1</v>
      </c>
      <c r="R17" s="973" t="n">
        <v>1</v>
      </c>
      <c r="S17" s="973" t="n">
        <v>1</v>
      </c>
      <c r="T17" s="973" t="n">
        <v>1</v>
      </c>
      <c r="U17" s="973" t="n">
        <v>1</v>
      </c>
      <c r="V17" s="973" t="n">
        <v>1</v>
      </c>
    </row>
    <row r="18">
      <c r="A18" s="973" t="inlineStr">
        <is>
          <t>R_EXP</t>
        </is>
      </c>
      <c r="B18" s="973" t="inlineStr">
        <is>
          <t>Public-facing application exploitation</t>
        </is>
      </c>
      <c r="C18" s="973" t="inlineStr">
        <is>
          <t>Yes</t>
        </is>
      </c>
      <c r="D18" s="973" t="inlineStr">
        <is>
          <t>Unknown</t>
        </is>
      </c>
      <c r="E18" s="973" t="n">
        <v>1</v>
      </c>
      <c r="F18" s="973" t="n">
        <v>1</v>
      </c>
      <c r="G18" s="973" t="n">
        <v>1</v>
      </c>
      <c r="H18" s="973" t="n">
        <v>1</v>
      </c>
      <c r="I18" s="973" t="n">
        <v>1</v>
      </c>
      <c r="J18" s="973" t="n">
        <v>1</v>
      </c>
      <c r="K18" s="973" t="n">
        <v>1</v>
      </c>
      <c r="L18" s="973" t="inlineStr">
        <is>
          <t>Not assessed</t>
        </is>
      </c>
      <c r="M18" s="973" t="n"/>
      <c r="N18" s="973" t="n"/>
      <c r="O18" s="973" t="inlineStr">
        <is>
          <t>No exposure-model recommendation loaded.</t>
        </is>
      </c>
      <c r="P18" s="973" t="n">
        <v>1</v>
      </c>
      <c r="Q18" s="973" t="n">
        <v>1</v>
      </c>
      <c r="R18" s="973" t="n">
        <v>1</v>
      </c>
      <c r="S18" s="973" t="n">
        <v>1</v>
      </c>
      <c r="T18" s="973" t="n">
        <v>1</v>
      </c>
      <c r="U18" s="973" t="n">
        <v>1</v>
      </c>
      <c r="V18" s="973" t="n">
        <v>1</v>
      </c>
    </row>
    <row r="19">
      <c r="A19" s="973" t="inlineStr">
        <is>
          <t>R_TP</t>
        </is>
      </c>
      <c r="B19" s="973" t="inlineStr">
        <is>
          <t>Third-party or software supply chain</t>
        </is>
      </c>
      <c r="C19" s="973" t="inlineStr">
        <is>
          <t>Yes</t>
        </is>
      </c>
      <c r="D19" s="973" t="inlineStr">
        <is>
          <t>Unknown</t>
        </is>
      </c>
      <c r="E19" s="973" t="n">
        <v>1</v>
      </c>
      <c r="F19" s="973" t="n">
        <v>1</v>
      </c>
      <c r="G19" s="973" t="n">
        <v>1</v>
      </c>
      <c r="H19" s="973" t="n">
        <v>1</v>
      </c>
      <c r="I19" s="973" t="n">
        <v>1</v>
      </c>
      <c r="J19" s="973" t="n">
        <v>1</v>
      </c>
      <c r="K19" s="973" t="n">
        <v>1</v>
      </c>
      <c r="L19" s="973" t="inlineStr">
        <is>
          <t>Not assessed</t>
        </is>
      </c>
      <c r="M19" s="973" t="n"/>
      <c r="N19" s="973" t="n"/>
      <c r="O19" s="973" t="inlineStr">
        <is>
          <t>No exposure-model recommendation loaded.</t>
        </is>
      </c>
      <c r="P19" s="973" t="n">
        <v>1</v>
      </c>
      <c r="Q19" s="973" t="n">
        <v>1</v>
      </c>
      <c r="R19" s="973" t="n">
        <v>1</v>
      </c>
      <c r="S19" s="973" t="n">
        <v>1</v>
      </c>
      <c r="T19" s="973" t="n">
        <v>1</v>
      </c>
      <c r="U19" s="973" t="n">
        <v>1</v>
      </c>
      <c r="V19" s="973" t="n">
        <v>1</v>
      </c>
    </row>
    <row r="20">
      <c r="A20" s="973" t="inlineStr">
        <is>
          <t>R_DDOS</t>
        </is>
      </c>
      <c r="B20" s="973" t="inlineStr">
        <is>
          <t>Direct availability or DDoS</t>
        </is>
      </c>
      <c r="C20" s="973" t="inlineStr">
        <is>
          <t>Yes</t>
        </is>
      </c>
      <c r="D20" s="973" t="inlineStr">
        <is>
          <t>Unknown</t>
        </is>
      </c>
      <c r="E20" s="973" t="n">
        <v>1</v>
      </c>
      <c r="F20" s="973" t="n">
        <v>1</v>
      </c>
      <c r="G20" s="973" t="n">
        <v>1</v>
      </c>
      <c r="H20" s="973" t="n">
        <v>1</v>
      </c>
      <c r="I20" s="973" t="n">
        <v>1</v>
      </c>
      <c r="J20" s="973" t="n">
        <v>1</v>
      </c>
      <c r="K20" s="973" t="n">
        <v>1</v>
      </c>
      <c r="L20" s="973" t="inlineStr">
        <is>
          <t>Not assessed</t>
        </is>
      </c>
      <c r="M20" s="973" t="n"/>
      <c r="N20" s="973" t="n"/>
      <c r="O20" s="973" t="inlineStr">
        <is>
          <t>No exposure-model recommendation loaded.</t>
        </is>
      </c>
      <c r="P20" s="973" t="n">
        <v>1</v>
      </c>
      <c r="Q20" s="973" t="n">
        <v>1</v>
      </c>
      <c r="R20" s="973" t="n">
        <v>1</v>
      </c>
      <c r="S20" s="973" t="n">
        <v>1</v>
      </c>
      <c r="T20" s="973" t="n">
        <v>1</v>
      </c>
      <c r="U20" s="973" t="n">
        <v>1</v>
      </c>
      <c r="V20" s="973" t="n">
        <v>1</v>
      </c>
    </row>
    <row r="21">
      <c r="A21" s="973" t="inlineStr">
        <is>
          <t>R_INS</t>
        </is>
      </c>
      <c r="B21" s="973" t="inlineStr">
        <is>
          <t>Insider or trusted access</t>
        </is>
      </c>
      <c r="C21" s="973" t="inlineStr">
        <is>
          <t>Yes</t>
        </is>
      </c>
      <c r="D21" s="973" t="inlineStr">
        <is>
          <t>Unknown</t>
        </is>
      </c>
      <c r="E21" s="973" t="n">
        <v>1</v>
      </c>
      <c r="F21" s="973" t="n">
        <v>1</v>
      </c>
      <c r="G21" s="973" t="n">
        <v>1</v>
      </c>
      <c r="H21" s="973" t="n">
        <v>1</v>
      </c>
      <c r="I21" s="973" t="n">
        <v>1</v>
      </c>
      <c r="J21" s="973" t="n">
        <v>1</v>
      </c>
      <c r="K21" s="973" t="n">
        <v>1</v>
      </c>
      <c r="L21" s="973" t="inlineStr">
        <is>
          <t>Not assessed</t>
        </is>
      </c>
      <c r="M21" s="973" t="n"/>
      <c r="N21" s="973" t="n"/>
      <c r="O21" s="973" t="inlineStr">
        <is>
          <t>No exposure-model recommendation loaded.</t>
        </is>
      </c>
      <c r="P21" s="973" t="n">
        <v>1</v>
      </c>
      <c r="Q21" s="973" t="n">
        <v>1</v>
      </c>
      <c r="R21" s="973" t="n">
        <v>1</v>
      </c>
      <c r="S21" s="973" t="n">
        <v>1</v>
      </c>
      <c r="T21" s="973" t="n">
        <v>1</v>
      </c>
      <c r="U21" s="973" t="n">
        <v>1</v>
      </c>
      <c r="V21" s="973" t="n">
        <v>1</v>
      </c>
    </row>
    <row r="22">
      <c r="A22" s="973" t="n"/>
      <c r="B22" s="973" t="n"/>
      <c r="C22" s="973" t="n"/>
      <c r="D22" s="973" t="n"/>
      <c r="E22" s="973" t="n"/>
      <c r="F22" s="973" t="n"/>
      <c r="G22" s="973" t="n"/>
      <c r="H22" s="973" t="n"/>
      <c r="I22" s="973" t="n"/>
      <c r="J22" s="973" t="n"/>
      <c r="K22" s="973" t="n"/>
      <c r="L22" s="973" t="n"/>
      <c r="M22" s="973" t="n"/>
      <c r="N22" s="973" t="n"/>
      <c r="O22" s="973" t="n"/>
      <c r="P22" s="973" t="n"/>
      <c r="Q22" s="973" t="n"/>
      <c r="R22" s="973" t="n"/>
      <c r="S22" s="973" t="n"/>
      <c r="T22" s="973" t="n"/>
      <c r="U22" s="973" t="n"/>
      <c r="V22" s="973" t="n"/>
    </row>
    <row r="23">
      <c r="A23" s="973" t="n"/>
      <c r="B23" s="973" t="n"/>
      <c r="C23" s="973" t="n"/>
      <c r="D23" s="973" t="n"/>
      <c r="E23" s="973" t="n"/>
      <c r="F23" s="973" t="n"/>
      <c r="G23" s="973" t="n"/>
      <c r="H23" s="973" t="n"/>
      <c r="I23" s="973" t="n"/>
      <c r="J23" s="973" t="n"/>
      <c r="K23" s="973" t="n"/>
      <c r="L23" s="973" t="n"/>
      <c r="M23" s="973" t="n"/>
      <c r="N23" s="973" t="n"/>
      <c r="O23" s="973" t="n"/>
      <c r="P23" s="973" t="n"/>
      <c r="Q23" s="973" t="n"/>
      <c r="R23" s="973" t="n"/>
      <c r="S23" s="973" t="n"/>
      <c r="T23" s="973" t="n"/>
      <c r="U23" s="973" t="n"/>
      <c r="V23" s="973" t="n"/>
    </row>
    <row r="24">
      <c r="A24" s="973" t="n"/>
      <c r="B24" s="973" t="n"/>
      <c r="C24" s="973" t="n"/>
      <c r="D24" s="973" t="n"/>
      <c r="E24" s="973" t="n"/>
      <c r="F24" s="973" t="n"/>
      <c r="G24" s="973" t="n"/>
      <c r="H24" s="973" t="n"/>
      <c r="I24" s="973" t="n"/>
      <c r="J24" s="973" t="n"/>
      <c r="K24" s="973" t="n"/>
      <c r="L24" s="973" t="n"/>
      <c r="M24" s="973" t="n"/>
      <c r="N24" s="973" t="n"/>
      <c r="O24" s="973" t="n"/>
      <c r="P24" s="973" t="n"/>
      <c r="Q24" s="973" t="n"/>
      <c r="R24" s="973" t="n"/>
      <c r="S24" s="973" t="n"/>
      <c r="T24" s="973" t="n"/>
      <c r="U24" s="973" t="n"/>
      <c r="V24" s="973" t="n"/>
    </row>
    <row r="25">
      <c r="A25" s="973" t="n"/>
      <c r="B25" s="973" t="n"/>
      <c r="C25" s="973" t="n"/>
      <c r="D25" s="973" t="n"/>
      <c r="E25" s="973" t="n"/>
      <c r="F25" s="973" t="n"/>
      <c r="G25" s="973" t="n"/>
      <c r="H25" s="973" t="n"/>
      <c r="I25" s="973" t="n"/>
      <c r="J25" s="973" t="n"/>
      <c r="K25" s="973" t="n"/>
      <c r="L25" s="973" t="n"/>
      <c r="M25" s="973" t="n"/>
      <c r="N25" s="973" t="n"/>
      <c r="O25" s="973" t="n"/>
      <c r="P25" s="973" t="n"/>
      <c r="Q25" s="973" t="n"/>
      <c r="R25" s="973" t="n"/>
      <c r="S25" s="973" t="n"/>
      <c r="T25" s="973" t="n"/>
      <c r="U25" s="973" t="n"/>
      <c r="V25" s="973" t="n"/>
    </row>
    <row r="26">
      <c r="A26" s="973" t="n"/>
      <c r="B26" s="973" t="n"/>
      <c r="C26" s="973" t="n"/>
      <c r="D26" s="973" t="n"/>
      <c r="E26" s="973" t="n"/>
      <c r="F26" s="973" t="n"/>
      <c r="G26" s="973" t="n"/>
      <c r="H26" s="973" t="n"/>
      <c r="I26" s="973" t="n"/>
      <c r="J26" s="973" t="n"/>
      <c r="K26" s="973" t="n"/>
      <c r="L26" s="973" t="n"/>
      <c r="M26" s="973" t="n"/>
      <c r="N26" s="973" t="n"/>
      <c r="O26" s="973" t="n"/>
      <c r="P26" s="973" t="n"/>
      <c r="Q26" s="973" t="n"/>
      <c r="R26" s="973" t="n"/>
      <c r="S26" s="973" t="n"/>
      <c r="T26" s="973" t="n"/>
      <c r="U26" s="973" t="n"/>
      <c r="V26" s="973" t="n"/>
    </row>
    <row r="27">
      <c r="A27" s="973" t="n"/>
      <c r="B27" s="973" t="n"/>
      <c r="C27" s="973" t="n"/>
      <c r="D27" s="973" t="n"/>
      <c r="E27" s="973" t="n"/>
      <c r="F27" s="973" t="n"/>
      <c r="G27" s="973" t="n"/>
      <c r="H27" s="973" t="n"/>
      <c r="I27" s="973" t="n"/>
      <c r="J27" s="973" t="n"/>
      <c r="K27" s="973" t="n"/>
      <c r="L27" s="973" t="n"/>
      <c r="M27" s="973" t="n"/>
      <c r="N27" s="973" t="n"/>
      <c r="O27" s="973" t="n"/>
      <c r="P27" s="973" t="n"/>
      <c r="Q27" s="973" t="n"/>
      <c r="R27" s="973" t="n"/>
      <c r="S27" s="973" t="n"/>
      <c r="T27" s="973" t="n"/>
      <c r="U27" s="973" t="n"/>
      <c r="V27" s="973" t="n"/>
    </row>
    <row r="28">
      <c r="A28" s="973" t="n"/>
      <c r="B28" s="973" t="n"/>
      <c r="C28" s="973" t="n"/>
      <c r="D28" s="973" t="n"/>
      <c r="E28" s="973" t="n"/>
      <c r="F28" s="973" t="n"/>
      <c r="G28" s="973" t="n"/>
      <c r="H28" s="973" t="n"/>
      <c r="I28" s="973" t="n"/>
      <c r="J28" s="973" t="n"/>
      <c r="K28" s="973" t="n"/>
      <c r="L28" s="973" t="n"/>
      <c r="M28" s="973" t="n"/>
      <c r="N28" s="973" t="n"/>
      <c r="O28" s="973" t="n"/>
      <c r="P28" s="973" t="n"/>
      <c r="Q28" s="973" t="n"/>
      <c r="R28" s="973" t="n"/>
      <c r="S28" s="973" t="n"/>
      <c r="T28" s="973" t="n"/>
      <c r="U28" s="973" t="n"/>
      <c r="V28" s="973" t="n"/>
    </row>
    <row r="29">
      <c r="A29" s="973" t="n"/>
      <c r="B29" s="973" t="n"/>
      <c r="C29" s="973" t="n"/>
      <c r="D29" s="973" t="n"/>
      <c r="E29" s="973" t="n"/>
      <c r="F29" s="973" t="n"/>
      <c r="G29" s="973" t="n"/>
      <c r="H29" s="973" t="n"/>
      <c r="I29" s="973" t="n"/>
      <c r="J29" s="973" t="n"/>
      <c r="K29" s="973" t="n"/>
      <c r="L29" s="973" t="n"/>
      <c r="M29" s="973" t="n"/>
      <c r="N29" s="973" t="n"/>
      <c r="O29" s="973" t="n"/>
      <c r="P29" s="973" t="n"/>
      <c r="Q29" s="973" t="n"/>
      <c r="R29" s="973" t="n"/>
      <c r="S29" s="973" t="n"/>
      <c r="T29" s="973" t="n"/>
      <c r="U29" s="973" t="n"/>
      <c r="V29" s="973" t="n"/>
    </row>
    <row r="30">
      <c r="A30" s="973" t="n"/>
      <c r="B30" s="973" t="n"/>
      <c r="C30" s="973" t="n"/>
      <c r="D30" s="973" t="n"/>
      <c r="E30" s="973" t="n"/>
      <c r="F30" s="973" t="n"/>
      <c r="G30" s="973" t="n"/>
      <c r="H30" s="973" t="n"/>
      <c r="I30" s="973" t="n"/>
      <c r="J30" s="973" t="n"/>
      <c r="K30" s="973" t="n"/>
      <c r="L30" s="973" t="n"/>
      <c r="M30" s="973" t="n"/>
      <c r="N30" s="973" t="n"/>
      <c r="O30" s="973" t="n"/>
      <c r="P30" s="973" t="n"/>
      <c r="Q30" s="973" t="n"/>
      <c r="R30" s="973" t="n"/>
      <c r="S30" s="973" t="n"/>
      <c r="T30" s="973" t="n"/>
      <c r="U30" s="973" t="n"/>
      <c r="V30" s="973" t="n"/>
    </row>
    <row r="31">
      <c r="A31" s="973" t="n"/>
      <c r="B31" s="973" t="n"/>
      <c r="C31" s="973" t="n"/>
      <c r="D31" s="973" t="n"/>
      <c r="E31" s="973" t="n"/>
      <c r="F31" s="973" t="n"/>
      <c r="G31" s="973" t="n"/>
      <c r="H31" s="973" t="n"/>
      <c r="I31" s="973" t="n"/>
      <c r="J31" s="973" t="n"/>
      <c r="K31" s="973" t="n"/>
      <c r="L31" s="973" t="n"/>
      <c r="M31" s="973" t="n"/>
      <c r="N31" s="973" t="n"/>
      <c r="O31" s="973" t="n"/>
      <c r="P31" s="973" t="n"/>
      <c r="Q31" s="973" t="n"/>
      <c r="R31" s="973" t="n"/>
      <c r="S31" s="973" t="n"/>
      <c r="T31" s="973" t="n"/>
      <c r="U31" s="973" t="n"/>
      <c r="V31" s="973" t="n"/>
    </row>
    <row r="32">
      <c r="A32" s="973" t="n"/>
      <c r="B32" s="973" t="n"/>
      <c r="C32" s="973" t="n"/>
      <c r="D32" s="973" t="n"/>
      <c r="E32" s="973" t="n"/>
      <c r="F32" s="973" t="n"/>
      <c r="G32" s="973" t="n"/>
      <c r="H32" s="973" t="n"/>
      <c r="I32" s="973" t="n"/>
      <c r="J32" s="973" t="n"/>
      <c r="K32" s="973" t="n"/>
      <c r="L32" s="973" t="n"/>
      <c r="M32" s="973" t="n"/>
      <c r="N32" s="973" t="n"/>
      <c r="O32" s="973" t="n"/>
      <c r="P32" s="973" t="n"/>
      <c r="Q32" s="973" t="n"/>
      <c r="R32" s="973" t="n"/>
      <c r="S32" s="973" t="n"/>
      <c r="T32" s="973" t="n"/>
      <c r="U32" s="973" t="n"/>
      <c r="V32" s="973" t="n"/>
    </row>
    <row r="33">
      <c r="A33" s="973" t="n"/>
      <c r="B33" s="973" t="n"/>
      <c r="C33" s="973" t="n"/>
      <c r="D33" s="973" t="n"/>
      <c r="E33" s="973" t="n"/>
      <c r="F33" s="973" t="n"/>
      <c r="G33" s="973" t="n"/>
      <c r="H33" s="973" t="n"/>
      <c r="I33" s="973" t="n"/>
      <c r="J33" s="973" t="n"/>
      <c r="K33" s="973" t="n"/>
      <c r="L33" s="973" t="n"/>
      <c r="M33" s="973" t="n"/>
      <c r="N33" s="973" t="n"/>
      <c r="O33" s="973" t="n"/>
      <c r="P33" s="973" t="n"/>
      <c r="Q33" s="973" t="n"/>
      <c r="R33" s="973" t="n"/>
      <c r="S33" s="973" t="n"/>
      <c r="T33" s="973" t="n"/>
      <c r="U33" s="973" t="n"/>
      <c r="V33" s="973" t="n"/>
    </row>
    <row r="34">
      <c r="A34" s="973" t="n"/>
      <c r="B34" s="973" t="n"/>
      <c r="C34" s="973" t="n"/>
      <c r="D34" s="973" t="n"/>
      <c r="E34" s="973" t="n"/>
      <c r="F34" s="973" t="n"/>
      <c r="G34" s="973" t="n"/>
      <c r="H34" s="973" t="n"/>
      <c r="I34" s="973" t="n"/>
      <c r="J34" s="973" t="n"/>
      <c r="K34" s="973" t="n"/>
      <c r="L34" s="973" t="n"/>
      <c r="M34" s="973" t="n"/>
      <c r="N34" s="973" t="n"/>
      <c r="O34" s="973" t="n"/>
      <c r="P34" s="973" t="n"/>
      <c r="Q34" s="973" t="n"/>
      <c r="R34" s="973" t="n"/>
      <c r="S34" s="973" t="n"/>
      <c r="T34" s="973" t="n"/>
      <c r="U34" s="973" t="n"/>
      <c r="V34" s="973" t="n"/>
    </row>
    <row r="35">
      <c r="A35" s="973" t="n"/>
      <c r="B35" s="973" t="n"/>
      <c r="C35" s="973" t="n"/>
      <c r="D35" s="973" t="n"/>
      <c r="E35" s="973" t="n"/>
      <c r="F35" s="973" t="n"/>
      <c r="G35" s="973" t="n"/>
      <c r="H35" s="973" t="n"/>
      <c r="I35" s="973" t="n"/>
      <c r="J35" s="973" t="n"/>
      <c r="K35" s="973" t="n"/>
      <c r="L35" s="973" t="n"/>
      <c r="M35" s="973" t="n"/>
      <c r="N35" s="973" t="n"/>
      <c r="O35" s="973" t="n"/>
      <c r="P35" s="973" t="n"/>
      <c r="Q35" s="973" t="n"/>
      <c r="R35" s="973" t="n"/>
      <c r="S35" s="973" t="n"/>
      <c r="T35" s="973" t="n"/>
      <c r="U35" s="973" t="n"/>
      <c r="V35" s="973" t="n"/>
    </row>
    <row r="36">
      <c r="A36" s="973" t="n"/>
      <c r="B36" s="973" t="n"/>
      <c r="C36" s="973" t="n"/>
      <c r="D36" s="973" t="n"/>
      <c r="E36" s="973" t="n"/>
      <c r="F36" s="973" t="n"/>
      <c r="G36" s="973" t="n"/>
      <c r="H36" s="973" t="n"/>
      <c r="I36" s="973" t="n"/>
      <c r="J36" s="973" t="n"/>
      <c r="K36" s="973" t="n"/>
      <c r="L36" s="973" t="n"/>
      <c r="M36" s="973" t="n"/>
      <c r="N36" s="973" t="n"/>
      <c r="O36" s="973" t="n"/>
      <c r="P36" s="973" t="n"/>
      <c r="Q36" s="973" t="n"/>
      <c r="R36" s="973" t="n"/>
      <c r="S36" s="973" t="n"/>
      <c r="T36" s="973" t="n"/>
      <c r="U36" s="973" t="n"/>
      <c r="V36" s="973" t="n"/>
    </row>
    <row r="37">
      <c r="A37" s="973" t="n"/>
      <c r="B37" s="973" t="n"/>
      <c r="C37" s="973" t="n"/>
      <c r="D37" s="973" t="n"/>
      <c r="E37" s="973" t="n"/>
      <c r="F37" s="973" t="n"/>
      <c r="G37" s="973" t="n"/>
      <c r="H37" s="973" t="n"/>
      <c r="I37" s="973" t="n"/>
      <c r="J37" s="973" t="n"/>
      <c r="K37" s="973" t="n"/>
      <c r="L37" s="973" t="n"/>
      <c r="M37" s="973" t="n"/>
      <c r="N37" s="973" t="n"/>
      <c r="O37" s="973" t="n"/>
      <c r="P37" s="973" t="n"/>
      <c r="Q37" s="973" t="n"/>
      <c r="R37" s="973" t="n"/>
      <c r="S37" s="973" t="n"/>
      <c r="T37" s="973" t="n"/>
      <c r="U37" s="973" t="n"/>
      <c r="V37" s="973" t="n"/>
    </row>
    <row r="38">
      <c r="A38" s="973" t="n"/>
      <c r="B38" s="973" t="n"/>
      <c r="C38" s="973" t="n"/>
      <c r="D38" s="973" t="n"/>
      <c r="E38" s="973" t="n"/>
      <c r="F38" s="973" t="n"/>
      <c r="G38" s="973" t="n"/>
      <c r="H38" s="973" t="n"/>
      <c r="I38" s="973" t="n"/>
      <c r="J38" s="973" t="n"/>
      <c r="K38" s="973" t="n"/>
      <c r="L38" s="973" t="n"/>
      <c r="M38" s="973" t="n"/>
      <c r="N38" s="973" t="n"/>
      <c r="O38" s="973" t="n"/>
      <c r="P38" s="973" t="n"/>
      <c r="Q38" s="973" t="n"/>
      <c r="R38" s="973" t="n"/>
      <c r="S38" s="973" t="n"/>
      <c r="T38" s="973" t="n"/>
      <c r="U38" s="973" t="n"/>
      <c r="V38" s="973" t="n"/>
    </row>
    <row r="39">
      <c r="A39" s="973" t="n"/>
      <c r="B39" s="973" t="n"/>
      <c r="C39" s="973" t="n"/>
      <c r="D39" s="973" t="n"/>
      <c r="E39" s="973" t="n"/>
      <c r="F39" s="973" t="n"/>
      <c r="G39" s="973" t="n"/>
      <c r="H39" s="973" t="n"/>
      <c r="I39" s="973" t="n"/>
      <c r="J39" s="973" t="n"/>
      <c r="K39" s="973" t="n"/>
      <c r="L39" s="973" t="n"/>
      <c r="M39" s="973" t="n"/>
      <c r="N39" s="973" t="n"/>
      <c r="O39" s="973" t="n"/>
      <c r="P39" s="973" t="n"/>
      <c r="Q39" s="973" t="n"/>
      <c r="R39" s="973" t="n"/>
      <c r="S39" s="973" t="n"/>
      <c r="T39" s="973" t="n"/>
      <c r="U39" s="973" t="n"/>
      <c r="V39" s="973" t="n"/>
    </row>
    <row r="40">
      <c r="A40" s="973" t="n"/>
      <c r="B40" s="973" t="n"/>
      <c r="C40" s="973" t="n"/>
      <c r="D40" s="973" t="n"/>
      <c r="E40" s="973" t="n"/>
      <c r="F40" s="973" t="n"/>
      <c r="G40" s="973" t="n"/>
      <c r="H40" s="973" t="n"/>
      <c r="I40" s="973" t="n"/>
      <c r="J40" s="973" t="n"/>
      <c r="K40" s="973" t="n"/>
      <c r="L40" s="973" t="n"/>
      <c r="M40" s="973" t="n"/>
      <c r="N40" s="973" t="n"/>
      <c r="O40" s="973" t="n"/>
      <c r="P40" s="973" t="n"/>
      <c r="Q40" s="973" t="n"/>
      <c r="R40" s="973" t="n"/>
      <c r="S40" s="973" t="n"/>
      <c r="T40" s="973" t="n"/>
      <c r="U40" s="973" t="n"/>
      <c r="V40" s="973" t="n"/>
    </row>
    <row r="41">
      <c r="A41" s="973" t="n"/>
      <c r="B41" s="973" t="n"/>
      <c r="C41" s="973" t="n"/>
      <c r="D41" s="973" t="n"/>
      <c r="E41" s="973" t="n"/>
      <c r="F41" s="973" t="n"/>
      <c r="G41" s="973" t="n"/>
      <c r="H41" s="973" t="n"/>
      <c r="I41" s="973" t="n"/>
      <c r="J41" s="973" t="n"/>
      <c r="K41" s="973" t="n"/>
      <c r="L41" s="973" t="n"/>
      <c r="M41" s="973" t="n"/>
      <c r="N41" s="973" t="n"/>
      <c r="O41" s="973" t="n"/>
      <c r="P41" s="973" t="n"/>
      <c r="Q41" s="973" t="n"/>
      <c r="R41" s="973" t="n"/>
      <c r="S41" s="973" t="n"/>
      <c r="T41" s="973" t="n"/>
      <c r="U41" s="973" t="n"/>
      <c r="V41" s="973" t="n"/>
    </row>
    <row r="42">
      <c r="A42" s="973" t="n"/>
      <c r="B42" s="973" t="n"/>
      <c r="C42" s="973" t="n"/>
      <c r="D42" s="973" t="n"/>
      <c r="E42" s="973" t="n"/>
      <c r="F42" s="973" t="n"/>
      <c r="G42" s="973" t="n"/>
      <c r="H42" s="973" t="n"/>
      <c r="I42" s="973" t="n"/>
      <c r="J42" s="973" t="n"/>
      <c r="K42" s="973" t="n"/>
      <c r="L42" s="973" t="n"/>
      <c r="M42" s="973" t="n"/>
      <c r="N42" s="973" t="n"/>
      <c r="O42" s="973" t="n"/>
      <c r="P42" s="973" t="n"/>
      <c r="Q42" s="973" t="n"/>
      <c r="R42" s="973" t="n"/>
      <c r="S42" s="973" t="n"/>
      <c r="T42" s="973" t="n"/>
      <c r="U42" s="973" t="n"/>
      <c r="V42" s="973" t="n"/>
    </row>
    <row r="43">
      <c r="A43" s="973" t="n"/>
      <c r="B43" s="973" t="n"/>
      <c r="C43" s="973" t="n"/>
      <c r="D43" s="973" t="n"/>
      <c r="E43" s="973" t="n"/>
      <c r="F43" s="973" t="n"/>
      <c r="G43" s="973" t="n"/>
      <c r="H43" s="973" t="n"/>
      <c r="I43" s="973" t="n"/>
      <c r="J43" s="973" t="n"/>
      <c r="K43" s="973" t="n"/>
      <c r="L43" s="973" t="n"/>
      <c r="M43" s="973" t="n"/>
      <c r="N43" s="973" t="n"/>
      <c r="O43" s="973" t="n"/>
      <c r="P43" s="973" t="n"/>
      <c r="Q43" s="973" t="n"/>
      <c r="R43" s="973" t="n"/>
      <c r="S43" s="973" t="n"/>
      <c r="T43" s="973" t="n"/>
      <c r="U43" s="973" t="n"/>
      <c r="V43" s="973" t="n"/>
    </row>
    <row r="44">
      <c r="A44" s="973" t="n"/>
      <c r="B44" s="973" t="n"/>
      <c r="C44" s="973" t="n"/>
      <c r="D44" s="973" t="n"/>
      <c r="E44" s="973" t="n"/>
      <c r="F44" s="973" t="n"/>
      <c r="G44" s="973" t="n"/>
      <c r="H44" s="973" t="n"/>
      <c r="I44" s="973" t="n"/>
      <c r="J44" s="973" t="n"/>
      <c r="K44" s="973" t="n"/>
      <c r="L44" s="973" t="n"/>
      <c r="M44" s="973" t="n"/>
      <c r="N44" s="973" t="n"/>
      <c r="O44" s="973" t="n"/>
      <c r="P44" s="973" t="n"/>
      <c r="Q44" s="973" t="n"/>
      <c r="R44" s="973" t="n"/>
      <c r="S44" s="973" t="n"/>
      <c r="T44" s="973" t="n"/>
      <c r="U44" s="973" t="n"/>
      <c r="V44" s="973" t="n"/>
    </row>
    <row r="45">
      <c r="A45" s="973" t="n"/>
      <c r="B45" s="973" t="n"/>
      <c r="C45" s="973" t="n"/>
      <c r="D45" s="973" t="n"/>
      <c r="E45" s="973" t="n"/>
      <c r="F45" s="973" t="n"/>
      <c r="G45" s="973" t="n"/>
      <c r="H45" s="973" t="n"/>
      <c r="I45" s="973" t="n"/>
      <c r="J45" s="973" t="n"/>
      <c r="K45" s="973" t="n"/>
      <c r="L45" s="973" t="n"/>
      <c r="M45" s="973" t="n"/>
      <c r="N45" s="973" t="n"/>
      <c r="O45" s="973" t="n"/>
      <c r="P45" s="973" t="n"/>
      <c r="Q45" s="973" t="n"/>
      <c r="R45" s="973" t="n"/>
      <c r="S45" s="973" t="n"/>
      <c r="T45" s="973" t="n"/>
      <c r="U45" s="973" t="n"/>
      <c r="V45" s="973" t="n"/>
    </row>
    <row r="46">
      <c r="A46" s="973" t="n"/>
      <c r="B46" s="973" t="n"/>
      <c r="C46" s="973" t="n"/>
      <c r="D46" s="973" t="n"/>
      <c r="E46" s="973" t="n"/>
      <c r="F46" s="973" t="n"/>
      <c r="G46" s="973" t="n"/>
      <c r="H46" s="973" t="n"/>
      <c r="I46" s="973" t="n"/>
      <c r="J46" s="973" t="n"/>
      <c r="K46" s="973" t="n"/>
      <c r="L46" s="973" t="n"/>
      <c r="M46" s="973" t="n"/>
      <c r="N46" s="973" t="n"/>
      <c r="O46" s="973" t="n"/>
      <c r="P46" s="973" t="n"/>
      <c r="Q46" s="973" t="n"/>
      <c r="R46" s="973" t="n"/>
      <c r="S46" s="973" t="n"/>
      <c r="T46" s="973" t="n"/>
      <c r="U46" s="973" t="n"/>
      <c r="V46" s="973" t="n"/>
    </row>
    <row r="47">
      <c r="A47" s="973" t="n"/>
      <c r="B47" s="973" t="n"/>
      <c r="C47" s="973" t="n"/>
      <c r="D47" s="973" t="n"/>
      <c r="E47" s="973" t="n"/>
      <c r="F47" s="973" t="n"/>
      <c r="G47" s="973" t="n"/>
      <c r="H47" s="973" t="n"/>
      <c r="I47" s="973" t="n"/>
      <c r="J47" s="973" t="n"/>
      <c r="K47" s="973" t="n"/>
      <c r="L47" s="973" t="n"/>
      <c r="M47" s="973" t="n"/>
      <c r="N47" s="973" t="n"/>
      <c r="O47" s="973" t="n"/>
      <c r="P47" s="973" t="n"/>
      <c r="Q47" s="973" t="n"/>
      <c r="R47" s="973" t="n"/>
      <c r="S47" s="973" t="n"/>
      <c r="T47" s="973" t="n"/>
      <c r="U47" s="973" t="n"/>
      <c r="V47" s="973" t="n"/>
    </row>
    <row r="48">
      <c r="A48" s="973" t="n"/>
      <c r="B48" s="973" t="n"/>
      <c r="C48" s="973" t="n"/>
      <c r="D48" s="973" t="n"/>
      <c r="E48" s="973" t="n"/>
      <c r="F48" s="973" t="n"/>
      <c r="G48" s="973" t="n"/>
      <c r="H48" s="973" t="n"/>
      <c r="I48" s="973" t="n"/>
      <c r="J48" s="973" t="n"/>
      <c r="K48" s="973" t="n"/>
      <c r="L48" s="973" t="n"/>
      <c r="M48" s="973" t="n"/>
      <c r="N48" s="973" t="n"/>
      <c r="O48" s="973" t="n"/>
      <c r="P48" s="973" t="n"/>
      <c r="Q48" s="973" t="n"/>
      <c r="R48" s="973" t="n"/>
      <c r="S48" s="973" t="n"/>
      <c r="T48" s="973" t="n"/>
      <c r="U48" s="973" t="n"/>
      <c r="V48" s="973" t="n"/>
    </row>
    <row r="49">
      <c r="A49" s="973" t="n"/>
      <c r="B49" s="973" t="n"/>
      <c r="C49" s="973" t="n"/>
      <c r="D49" s="973" t="n"/>
      <c r="E49" s="973" t="n"/>
      <c r="F49" s="973" t="n"/>
      <c r="G49" s="973" t="n"/>
      <c r="H49" s="973" t="n"/>
      <c r="I49" s="973" t="n"/>
      <c r="J49" s="973" t="n"/>
      <c r="K49" s="973" t="n"/>
      <c r="L49" s="973" t="n"/>
      <c r="M49" s="973" t="n"/>
      <c r="N49" s="973" t="n"/>
      <c r="O49" s="973" t="n"/>
      <c r="P49" s="973" t="n"/>
      <c r="Q49" s="973" t="n"/>
      <c r="R49" s="973" t="n"/>
      <c r="S49" s="973" t="n"/>
      <c r="T49" s="973" t="n"/>
      <c r="U49" s="973" t="n"/>
      <c r="V49" s="973" t="n"/>
    </row>
    <row r="50">
      <c r="A50" s="973" t="n"/>
      <c r="B50" s="973" t="n"/>
      <c r="C50" s="973" t="n"/>
      <c r="D50" s="973" t="n"/>
      <c r="E50" s="973" t="n"/>
      <c r="F50" s="973" t="n"/>
      <c r="G50" s="973" t="n"/>
      <c r="H50" s="973" t="n"/>
      <c r="I50" s="973" t="n"/>
      <c r="J50" s="973" t="n"/>
      <c r="K50" s="973" t="n"/>
      <c r="L50" s="973" t="n"/>
      <c r="M50" s="973" t="n"/>
      <c r="N50" s="973" t="n"/>
      <c r="O50" s="973" t="n"/>
      <c r="P50" s="973" t="n"/>
      <c r="Q50" s="973" t="n"/>
      <c r="R50" s="973" t="n"/>
      <c r="S50" s="973" t="n"/>
      <c r="T50" s="973" t="n"/>
      <c r="U50" s="973" t="n"/>
      <c r="V50" s="973" t="n"/>
    </row>
    <row r="51">
      <c r="A51" s="973" t="n"/>
      <c r="B51" s="973" t="n"/>
      <c r="C51" s="973" t="n"/>
      <c r="D51" s="973" t="n"/>
      <c r="E51" s="973" t="n"/>
      <c r="F51" s="973" t="n"/>
      <c r="G51" s="973" t="n"/>
      <c r="H51" s="973" t="n"/>
      <c r="I51" s="973" t="n"/>
      <c r="J51" s="973" t="n"/>
      <c r="K51" s="973" t="n"/>
      <c r="L51" s="973" t="n"/>
      <c r="M51" s="973" t="n"/>
      <c r="N51" s="973" t="n"/>
      <c r="O51" s="973" t="n"/>
      <c r="P51" s="973" t="n"/>
      <c r="Q51" s="973" t="n"/>
      <c r="R51" s="973" t="n"/>
      <c r="S51" s="973" t="n"/>
      <c r="T51" s="973" t="n"/>
      <c r="U51" s="973" t="n"/>
      <c r="V51" s="973" t="n"/>
    </row>
    <row r="52">
      <c r="A52" s="973" t="n"/>
      <c r="B52" s="973" t="n"/>
      <c r="C52" s="973" t="n"/>
      <c r="D52" s="973" t="n"/>
      <c r="E52" s="973" t="n"/>
      <c r="F52" s="973" t="n"/>
      <c r="G52" s="973" t="n"/>
      <c r="H52" s="973" t="n"/>
      <c r="I52" s="973" t="n"/>
      <c r="J52" s="973" t="n"/>
      <c r="K52" s="973" t="n"/>
      <c r="L52" s="973" t="n"/>
      <c r="M52" s="973" t="n"/>
      <c r="N52" s="973" t="n"/>
      <c r="O52" s="973" t="n"/>
      <c r="P52" s="973" t="n"/>
      <c r="Q52" s="973" t="n"/>
      <c r="R52" s="973" t="n"/>
      <c r="S52" s="973" t="n"/>
      <c r="T52" s="973" t="n"/>
      <c r="U52" s="973" t="n"/>
      <c r="V52" s="973" t="n"/>
    </row>
    <row r="53">
      <c r="A53" s="973" t="n"/>
      <c r="B53" s="973" t="n"/>
      <c r="C53" s="973" t="n"/>
      <c r="D53" s="973" t="n"/>
      <c r="E53" s="973" t="n"/>
      <c r="F53" s="973" t="n"/>
      <c r="G53" s="973" t="n"/>
      <c r="H53" s="973" t="n"/>
      <c r="I53" s="973" t="n"/>
      <c r="J53" s="973" t="n"/>
      <c r="K53" s="973" t="n"/>
      <c r="L53" s="973" t="n"/>
      <c r="M53" s="973" t="n"/>
      <c r="N53" s="973" t="n"/>
      <c r="O53" s="973" t="n"/>
      <c r="P53" s="973" t="n"/>
      <c r="Q53" s="973" t="n"/>
      <c r="R53" s="973" t="n"/>
      <c r="S53" s="973" t="n"/>
      <c r="T53" s="973" t="n"/>
      <c r="U53" s="973" t="n"/>
      <c r="V53" s="973" t="n"/>
    </row>
    <row r="54">
      <c r="A54" s="973" t="n"/>
      <c r="B54" s="973" t="n"/>
      <c r="C54" s="973" t="n"/>
      <c r="D54" s="973" t="n"/>
      <c r="E54" s="973" t="n"/>
      <c r="F54" s="973" t="n"/>
      <c r="G54" s="973" t="n"/>
      <c r="H54" s="973" t="n"/>
      <c r="I54" s="973" t="n"/>
      <c r="J54" s="973" t="n"/>
      <c r="K54" s="973" t="n"/>
      <c r="L54" s="973" t="n"/>
      <c r="M54" s="973" t="n"/>
      <c r="N54" s="973" t="n"/>
      <c r="O54" s="973" t="n"/>
      <c r="P54" s="973" t="n"/>
      <c r="Q54" s="973" t="n"/>
      <c r="R54" s="973" t="n"/>
      <c r="S54" s="973" t="n"/>
      <c r="T54" s="973" t="n"/>
      <c r="U54" s="973" t="n"/>
      <c r="V54" s="973" t="n"/>
    </row>
    <row r="55">
      <c r="A55" s="973" t="n"/>
      <c r="B55" s="973" t="n"/>
      <c r="C55" s="973" t="n"/>
      <c r="D55" s="973" t="n"/>
      <c r="E55" s="973" t="n"/>
      <c r="F55" s="973" t="n"/>
      <c r="G55" s="973" t="n"/>
      <c r="H55" s="973" t="n"/>
      <c r="I55" s="973" t="n"/>
      <c r="J55" s="973" t="n"/>
      <c r="K55" s="973" t="n"/>
      <c r="L55" s="973" t="n"/>
      <c r="M55" s="973" t="n"/>
      <c r="N55" s="973" t="n"/>
      <c r="O55" s="973" t="n"/>
      <c r="P55" s="973" t="n"/>
      <c r="Q55" s="973" t="n"/>
      <c r="R55" s="973" t="n"/>
      <c r="S55" s="973" t="n"/>
      <c r="T55" s="973" t="n"/>
      <c r="U55" s="973" t="n"/>
      <c r="V55" s="973" t="n"/>
    </row>
    <row r="56">
      <c r="A56" s="973" t="n"/>
      <c r="B56" s="973" t="n"/>
      <c r="C56" s="973" t="n"/>
      <c r="D56" s="973" t="n"/>
      <c r="E56" s="973" t="n"/>
      <c r="F56" s="973" t="n"/>
      <c r="G56" s="973" t="n"/>
      <c r="H56" s="973" t="n"/>
      <c r="I56" s="973" t="n"/>
      <c r="J56" s="973" t="n"/>
      <c r="K56" s="973" t="n"/>
      <c r="L56" s="973" t="n"/>
      <c r="M56" s="973" t="n"/>
      <c r="N56" s="973" t="n"/>
      <c r="O56" s="973" t="n"/>
      <c r="P56" s="973" t="n"/>
      <c r="Q56" s="973" t="n"/>
      <c r="R56" s="973" t="n"/>
      <c r="S56" s="973" t="n"/>
      <c r="T56" s="973" t="n"/>
      <c r="U56" s="973" t="n"/>
      <c r="V56" s="973" t="n"/>
    </row>
    <row r="57">
      <c r="A57" s="973" t="n"/>
      <c r="B57" s="973" t="n"/>
      <c r="C57" s="973" t="n"/>
      <c r="D57" s="973" t="n"/>
      <c r="E57" s="973" t="n"/>
      <c r="F57" s="973" t="n"/>
      <c r="G57" s="973" t="n"/>
      <c r="H57" s="973" t="n"/>
      <c r="I57" s="973" t="n"/>
      <c r="J57" s="973" t="n"/>
      <c r="K57" s="973" t="n"/>
      <c r="L57" s="973" t="n"/>
      <c r="M57" s="973" t="n"/>
      <c r="N57" s="973" t="n"/>
      <c r="O57" s="973" t="n"/>
      <c r="P57" s="973" t="n"/>
      <c r="Q57" s="973" t="n"/>
      <c r="R57" s="973" t="n"/>
      <c r="S57" s="973" t="n"/>
      <c r="T57" s="973" t="n"/>
      <c r="U57" s="973" t="n"/>
      <c r="V57" s="973" t="n"/>
    </row>
    <row r="58">
      <c r="A58" s="973" t="n"/>
      <c r="B58" s="973" t="n"/>
      <c r="C58" s="973" t="n"/>
      <c r="D58" s="973" t="n"/>
      <c r="E58" s="973" t="n"/>
      <c r="F58" s="973" t="n"/>
      <c r="G58" s="973" t="n"/>
      <c r="H58" s="973" t="n"/>
      <c r="I58" s="973" t="n"/>
      <c r="J58" s="973" t="n"/>
      <c r="K58" s="973" t="n"/>
      <c r="L58" s="973" t="n"/>
      <c r="M58" s="973" t="n"/>
      <c r="N58" s="973" t="n"/>
      <c r="O58" s="973" t="n"/>
      <c r="P58" s="973" t="n"/>
      <c r="Q58" s="973" t="n"/>
      <c r="R58" s="973" t="n"/>
      <c r="S58" s="973" t="n"/>
      <c r="T58" s="973" t="n"/>
      <c r="U58" s="973" t="n"/>
      <c r="V58" s="973" t="n"/>
    </row>
    <row r="59">
      <c r="A59" s="973" t="n"/>
      <c r="B59" s="973" t="n"/>
      <c r="C59" s="973" t="n"/>
      <c r="D59" s="973" t="n"/>
      <c r="E59" s="973" t="n"/>
      <c r="F59" s="973" t="n"/>
      <c r="G59" s="973" t="n"/>
      <c r="H59" s="973" t="n"/>
      <c r="I59" s="973" t="n"/>
      <c r="J59" s="973" t="n"/>
      <c r="K59" s="973" t="n"/>
      <c r="L59" s="973" t="n"/>
      <c r="M59" s="973" t="n"/>
      <c r="N59" s="973" t="n"/>
      <c r="O59" s="973" t="n"/>
      <c r="P59" s="973" t="n"/>
      <c r="Q59" s="973" t="n"/>
      <c r="R59" s="973" t="n"/>
      <c r="S59" s="973" t="n"/>
      <c r="T59" s="973" t="n"/>
      <c r="U59" s="973" t="n"/>
      <c r="V59" s="973" t="n"/>
    </row>
    <row r="60">
      <c r="A60" s="973" t="n"/>
      <c r="B60" s="973" t="n"/>
      <c r="C60" s="973" t="n"/>
      <c r="D60" s="973" t="n"/>
      <c r="E60" s="973" t="n"/>
      <c r="F60" s="973" t="n"/>
      <c r="G60" s="973" t="n"/>
      <c r="H60" s="973" t="n"/>
      <c r="I60" s="973" t="n"/>
      <c r="J60" s="973" t="n"/>
      <c r="K60" s="973" t="n"/>
      <c r="L60" s="973" t="n"/>
      <c r="M60" s="973" t="n"/>
      <c r="N60" s="973" t="n"/>
      <c r="O60" s="973" t="n"/>
      <c r="P60" s="973" t="n"/>
      <c r="Q60" s="973" t="n"/>
      <c r="R60" s="973" t="n"/>
      <c r="S60" s="973" t="n"/>
      <c r="T60" s="973" t="n"/>
      <c r="U60" s="973" t="n"/>
      <c r="V60" s="973" t="n"/>
    </row>
    <row r="61">
      <c r="A61" s="973" t="n"/>
      <c r="B61" s="973" t="n"/>
      <c r="C61" s="973" t="n"/>
      <c r="D61" s="973" t="n"/>
      <c r="E61" s="973" t="n"/>
      <c r="F61" s="973" t="n"/>
      <c r="G61" s="973" t="n"/>
      <c r="H61" s="973" t="n"/>
      <c r="I61" s="973" t="n"/>
      <c r="J61" s="973" t="n"/>
      <c r="K61" s="973" t="n"/>
      <c r="L61" s="973" t="n"/>
      <c r="M61" s="973" t="n"/>
      <c r="N61" s="973" t="n"/>
      <c r="O61" s="973" t="n"/>
      <c r="P61" s="973" t="n"/>
      <c r="Q61" s="973" t="n"/>
      <c r="R61" s="973" t="n"/>
      <c r="S61" s="973" t="n"/>
      <c r="T61" s="973" t="n"/>
      <c r="U61" s="973" t="n"/>
      <c r="V61" s="973" t="n"/>
    </row>
    <row r="62">
      <c r="A62" s="973" t="n"/>
      <c r="B62" s="973" t="n"/>
      <c r="C62" s="973" t="n"/>
      <c r="D62" s="973" t="n"/>
      <c r="E62" s="973" t="n"/>
      <c r="F62" s="973" t="n"/>
      <c r="G62" s="973" t="n"/>
      <c r="H62" s="973" t="n"/>
      <c r="I62" s="973" t="n"/>
      <c r="J62" s="973" t="n"/>
      <c r="K62" s="973" t="n"/>
      <c r="L62" s="973" t="n"/>
      <c r="M62" s="973" t="n"/>
      <c r="N62" s="973" t="n"/>
      <c r="O62" s="973" t="n"/>
      <c r="P62" s="973" t="n"/>
      <c r="Q62" s="973" t="n"/>
      <c r="R62" s="973" t="n"/>
      <c r="S62" s="973" t="n"/>
      <c r="T62" s="973" t="n"/>
      <c r="U62" s="973" t="n"/>
      <c r="V62" s="973" t="n"/>
    </row>
    <row r="63">
      <c r="A63" s="973" t="n"/>
      <c r="B63" s="973" t="n"/>
      <c r="C63" s="973" t="n"/>
      <c r="D63" s="973" t="n"/>
      <c r="E63" s="973" t="n"/>
      <c r="F63" s="973" t="n"/>
      <c r="G63" s="973" t="n"/>
      <c r="H63" s="973" t="n"/>
      <c r="I63" s="973" t="n"/>
      <c r="J63" s="973" t="n"/>
      <c r="K63" s="973" t="n"/>
      <c r="L63" s="973" t="n"/>
      <c r="M63" s="973" t="n"/>
      <c r="N63" s="973" t="n"/>
      <c r="O63" s="973" t="n"/>
      <c r="P63" s="973" t="n"/>
      <c r="Q63" s="973" t="n"/>
      <c r="R63" s="973" t="n"/>
      <c r="S63" s="973" t="n"/>
      <c r="T63" s="973" t="n"/>
      <c r="U63" s="973" t="n"/>
      <c r="V63" s="973" t="n"/>
    </row>
    <row r="64">
      <c r="A64" s="973" t="n"/>
      <c r="B64" s="973" t="n"/>
      <c r="C64" s="973" t="n"/>
      <c r="D64" s="973" t="n"/>
      <c r="E64" s="973" t="n"/>
      <c r="F64" s="973" t="n"/>
      <c r="G64" s="973" t="n"/>
      <c r="H64" s="973" t="n"/>
      <c r="I64" s="973" t="n"/>
      <c r="J64" s="973" t="n"/>
      <c r="K64" s="973" t="n"/>
      <c r="L64" s="973" t="n"/>
      <c r="M64" s="973" t="n"/>
      <c r="N64" s="973" t="n"/>
      <c r="O64" s="973" t="n"/>
      <c r="P64" s="973" t="n"/>
      <c r="Q64" s="973" t="n"/>
      <c r="R64" s="973" t="n"/>
      <c r="S64" s="973" t="n"/>
      <c r="T64" s="973" t="n"/>
      <c r="U64" s="973" t="n"/>
      <c r="V64" s="973" t="n"/>
    </row>
    <row r="65">
      <c r="A65" s="973" t="n"/>
      <c r="B65" s="973" t="n"/>
      <c r="C65" s="973" t="n"/>
      <c r="D65" s="973" t="n"/>
      <c r="E65" s="973" t="n"/>
      <c r="F65" s="973" t="n"/>
      <c r="G65" s="973" t="n"/>
      <c r="H65" s="973" t="n"/>
      <c r="I65" s="973" t="n"/>
      <c r="J65" s="973" t="n"/>
      <c r="K65" s="973" t="n"/>
      <c r="L65" s="973" t="n"/>
      <c r="M65" s="973" t="n"/>
      <c r="N65" s="973" t="n"/>
      <c r="O65" s="973" t="n"/>
      <c r="P65" s="973" t="n"/>
      <c r="Q65" s="973" t="n"/>
      <c r="R65" s="973" t="n"/>
      <c r="S65" s="973" t="n"/>
      <c r="T65" s="973" t="n"/>
      <c r="U65" s="973" t="n"/>
      <c r="V65" s="973" t="n"/>
    </row>
    <row r="66">
      <c r="A66" s="973" t="n"/>
      <c r="B66" s="973" t="n"/>
      <c r="C66" s="973" t="n"/>
      <c r="D66" s="973" t="n"/>
      <c r="E66" s="973" t="n"/>
      <c r="F66" s="973" t="n"/>
      <c r="G66" s="973" t="n"/>
      <c r="H66" s="973" t="n"/>
      <c r="I66" s="973" t="n"/>
      <c r="J66" s="973" t="n"/>
      <c r="K66" s="973" t="n"/>
      <c r="L66" s="973" t="n"/>
      <c r="M66" s="973" t="n"/>
      <c r="N66" s="973" t="n"/>
      <c r="O66" s="973" t="n"/>
      <c r="P66" s="973" t="n"/>
      <c r="Q66" s="973" t="n"/>
      <c r="R66" s="973" t="n"/>
      <c r="S66" s="973" t="n"/>
      <c r="T66" s="973" t="n"/>
      <c r="U66" s="973" t="n"/>
      <c r="V66" s="973" t="n"/>
    </row>
    <row r="67">
      <c r="A67" s="973" t="n"/>
      <c r="B67" s="973" t="n"/>
      <c r="C67" s="973" t="n"/>
      <c r="D67" s="973" t="n"/>
      <c r="E67" s="973" t="n"/>
      <c r="F67" s="973" t="n"/>
      <c r="G67" s="973" t="n"/>
      <c r="H67" s="973" t="n"/>
      <c r="I67" s="973" t="n"/>
      <c r="J67" s="973" t="n"/>
      <c r="K67" s="973" t="n"/>
      <c r="L67" s="973" t="n"/>
      <c r="M67" s="973" t="n"/>
      <c r="N67" s="973" t="n"/>
      <c r="O67" s="973" t="n"/>
      <c r="P67" s="973" t="n"/>
      <c r="Q67" s="973" t="n"/>
      <c r="R67" s="973" t="n"/>
      <c r="S67" s="973" t="n"/>
      <c r="T67" s="973" t="n"/>
      <c r="U67" s="973" t="n"/>
      <c r="V67" s="973" t="n"/>
    </row>
    <row r="68">
      <c r="A68" s="973" t="n"/>
      <c r="B68" s="973" t="n"/>
      <c r="C68" s="973" t="n"/>
      <c r="D68" s="973" t="n"/>
      <c r="E68" s="973" t="n"/>
      <c r="F68" s="973" t="n"/>
      <c r="G68" s="973" t="n"/>
      <c r="H68" s="973" t="n"/>
      <c r="I68" s="973" t="n"/>
      <c r="J68" s="973" t="n"/>
      <c r="K68" s="973" t="n"/>
      <c r="L68" s="973" t="n"/>
      <c r="M68" s="973" t="n"/>
      <c r="N68" s="973" t="n"/>
      <c r="O68" s="973" t="n"/>
      <c r="P68" s="973" t="n"/>
      <c r="Q68" s="973" t="n"/>
      <c r="R68" s="973" t="n"/>
      <c r="S68" s="973" t="n"/>
      <c r="T68" s="973" t="n"/>
      <c r="U68" s="973" t="n"/>
      <c r="V68" s="973" t="n"/>
    </row>
    <row r="69">
      <c r="A69" s="973" t="n"/>
      <c r="B69" s="973" t="n"/>
      <c r="C69" s="973" t="n"/>
      <c r="D69" s="973" t="n"/>
      <c r="E69" s="973" t="n"/>
      <c r="F69" s="973" t="n"/>
      <c r="G69" s="973" t="n"/>
      <c r="H69" s="973" t="n"/>
      <c r="I69" s="973" t="n"/>
      <c r="J69" s="973" t="n"/>
      <c r="K69" s="973" t="n"/>
      <c r="L69" s="973" t="n"/>
      <c r="M69" s="973" t="n"/>
      <c r="N69" s="973" t="n"/>
      <c r="O69" s="973" t="n"/>
      <c r="P69" s="973" t="n"/>
      <c r="Q69" s="973" t="n"/>
      <c r="R69" s="973" t="n"/>
      <c r="S69" s="973" t="n"/>
      <c r="T69" s="973" t="n"/>
      <c r="U69" s="973" t="n"/>
      <c r="V69" s="973" t="n"/>
    </row>
    <row r="70">
      <c r="A70" s="973" t="n"/>
      <c r="B70" s="973" t="n"/>
      <c r="C70" s="973" t="n"/>
      <c r="D70" s="973" t="n"/>
      <c r="E70" s="973" t="n"/>
      <c r="F70" s="973" t="n"/>
      <c r="G70" s="973" t="n"/>
      <c r="H70" s="973" t="n"/>
      <c r="I70" s="973" t="n"/>
      <c r="J70" s="973" t="n"/>
      <c r="K70" s="973" t="n"/>
      <c r="L70" s="973" t="n"/>
      <c r="M70" s="973" t="n"/>
      <c r="N70" s="973" t="n"/>
      <c r="O70" s="973" t="n"/>
      <c r="P70" s="973" t="n"/>
      <c r="Q70" s="973" t="n"/>
      <c r="R70" s="973" t="n"/>
      <c r="S70" s="973" t="n"/>
      <c r="T70" s="973" t="n"/>
      <c r="U70" s="973" t="n"/>
      <c r="V70" s="973" t="n"/>
    </row>
    <row r="71">
      <c r="A71" s="973" t="n"/>
      <c r="B71" s="973" t="n"/>
      <c r="C71" s="973" t="n"/>
      <c r="D71" s="973" t="n"/>
      <c r="E71" s="973" t="n"/>
      <c r="F71" s="973" t="n"/>
      <c r="G71" s="973" t="n"/>
      <c r="H71" s="973" t="n"/>
      <c r="I71" s="973" t="n"/>
      <c r="J71" s="973" t="n"/>
      <c r="K71" s="973" t="n"/>
      <c r="L71" s="973" t="n"/>
      <c r="M71" s="973" t="n"/>
      <c r="N71" s="973" t="n"/>
      <c r="O71" s="973" t="n"/>
      <c r="P71" s="973" t="n"/>
      <c r="Q71" s="973" t="n"/>
      <c r="R71" s="973" t="n"/>
      <c r="S71" s="973" t="n"/>
      <c r="T71" s="973" t="n"/>
      <c r="U71" s="973" t="n"/>
      <c r="V71" s="973" t="n"/>
    </row>
    <row r="72">
      <c r="A72" s="973" t="n"/>
      <c r="B72" s="973" t="n"/>
      <c r="C72" s="973" t="n"/>
      <c r="D72" s="973" t="n"/>
      <c r="E72" s="973" t="n"/>
      <c r="F72" s="973" t="n"/>
      <c r="G72" s="973" t="n"/>
      <c r="H72" s="973" t="n"/>
      <c r="I72" s="973" t="n"/>
      <c r="J72" s="973" t="n"/>
      <c r="K72" s="973" t="n"/>
      <c r="L72" s="973" t="n"/>
      <c r="M72" s="973" t="n"/>
      <c r="N72" s="973" t="n"/>
      <c r="O72" s="973" t="n"/>
      <c r="P72" s="973" t="n"/>
      <c r="Q72" s="973" t="n"/>
      <c r="R72" s="973" t="n"/>
      <c r="S72" s="973" t="n"/>
      <c r="T72" s="973" t="n"/>
      <c r="U72" s="973" t="n"/>
      <c r="V72" s="973" t="n"/>
    </row>
    <row r="73">
      <c r="A73" s="973" t="n"/>
      <c r="B73" s="973" t="n"/>
      <c r="C73" s="973" t="n"/>
      <c r="D73" s="973" t="n"/>
      <c r="E73" s="973" t="n"/>
      <c r="F73" s="973" t="n"/>
      <c r="G73" s="973" t="n"/>
      <c r="H73" s="973" t="n"/>
      <c r="I73" s="973" t="n"/>
      <c r="J73" s="973" t="n"/>
      <c r="K73" s="973" t="n"/>
      <c r="L73" s="973" t="n"/>
      <c r="M73" s="973" t="n"/>
      <c r="N73" s="973" t="n"/>
      <c r="O73" s="973" t="n"/>
      <c r="P73" s="973" t="n"/>
      <c r="Q73" s="973" t="n"/>
      <c r="R73" s="973" t="n"/>
      <c r="S73" s="973" t="n"/>
      <c r="T73" s="973" t="n"/>
      <c r="U73" s="973" t="n"/>
      <c r="V73" s="973" t="n"/>
    </row>
    <row r="74">
      <c r="A74" s="973" t="n"/>
      <c r="B74" s="973" t="n"/>
      <c r="C74" s="973" t="n"/>
      <c r="D74" s="973" t="n"/>
      <c r="E74" s="973" t="n"/>
      <c r="F74" s="973" t="n"/>
      <c r="G74" s="973" t="n"/>
      <c r="H74" s="973" t="n"/>
      <c r="I74" s="973" t="n"/>
      <c r="J74" s="973" t="n"/>
      <c r="K74" s="973" t="n"/>
      <c r="L74" s="973" t="n"/>
      <c r="M74" s="973" t="n"/>
      <c r="N74" s="973" t="n"/>
      <c r="O74" s="973" t="n"/>
      <c r="P74" s="973" t="n"/>
      <c r="Q74" s="973" t="n"/>
      <c r="R74" s="973" t="n"/>
      <c r="S74" s="973" t="n"/>
      <c r="T74" s="973" t="n"/>
      <c r="U74" s="973" t="n"/>
      <c r="V74" s="973" t="n"/>
    </row>
    <row r="75">
      <c r="A75" s="973" t="n"/>
      <c r="B75" s="973" t="n"/>
      <c r="C75" s="973" t="n"/>
      <c r="D75" s="973" t="n"/>
      <c r="E75" s="973" t="n"/>
      <c r="F75" s="973" t="n"/>
      <c r="G75" s="973" t="n"/>
      <c r="H75" s="973" t="n"/>
      <c r="I75" s="973" t="n"/>
      <c r="J75" s="973" t="n"/>
      <c r="K75" s="973" t="n"/>
      <c r="L75" s="973" t="n"/>
      <c r="M75" s="973" t="n"/>
      <c r="N75" s="973" t="n"/>
      <c r="O75" s="973" t="n"/>
      <c r="P75" s="973" t="n"/>
      <c r="Q75" s="973" t="n"/>
      <c r="R75" s="973" t="n"/>
      <c r="S75" s="973" t="n"/>
      <c r="T75" s="973" t="n"/>
      <c r="U75" s="973" t="n"/>
      <c r="V75" s="973" t="n"/>
    </row>
    <row r="76">
      <c r="A76" s="973" t="n"/>
      <c r="B76" s="973" t="n"/>
      <c r="C76" s="973" t="n"/>
      <c r="D76" s="973" t="n"/>
      <c r="E76" s="973" t="n"/>
      <c r="F76" s="973" t="n"/>
      <c r="G76" s="973" t="n"/>
      <c r="H76" s="973" t="n"/>
      <c r="I76" s="973" t="n"/>
      <c r="J76" s="973" t="n"/>
      <c r="K76" s="973" t="n"/>
      <c r="L76" s="973" t="n"/>
      <c r="M76" s="973" t="n"/>
      <c r="N76" s="973" t="n"/>
      <c r="O76" s="973" t="n"/>
      <c r="P76" s="973" t="n"/>
      <c r="Q76" s="973" t="n"/>
      <c r="R76" s="973" t="n"/>
      <c r="S76" s="973" t="n"/>
      <c r="T76" s="973" t="n"/>
      <c r="U76" s="973" t="n"/>
      <c r="V76" s="973" t="n"/>
    </row>
    <row r="77">
      <c r="A77" s="973" t="n"/>
      <c r="B77" s="973" t="n"/>
      <c r="C77" s="973" t="n"/>
      <c r="D77" s="973" t="n"/>
      <c r="E77" s="973" t="n"/>
      <c r="F77" s="973" t="n"/>
      <c r="G77" s="973" t="n"/>
      <c r="H77" s="973" t="n"/>
      <c r="I77" s="973" t="n"/>
      <c r="J77" s="973" t="n"/>
      <c r="K77" s="973" t="n"/>
      <c r="L77" s="973" t="n"/>
      <c r="M77" s="973" t="n"/>
      <c r="N77" s="973" t="n"/>
      <c r="O77" s="973" t="n"/>
      <c r="P77" s="973" t="n"/>
      <c r="Q77" s="973" t="n"/>
      <c r="R77" s="973" t="n"/>
      <c r="S77" s="973" t="n"/>
      <c r="T77" s="973" t="n"/>
      <c r="U77" s="973" t="n"/>
      <c r="V77" s="973" t="n"/>
    </row>
    <row r="78">
      <c r="A78" s="973" t="n"/>
      <c r="B78" s="973" t="n"/>
      <c r="C78" s="973" t="n"/>
      <c r="D78" s="973" t="n"/>
      <c r="E78" s="973" t="n"/>
      <c r="F78" s="973" t="n"/>
      <c r="G78" s="973" t="n"/>
      <c r="H78" s="973" t="n"/>
      <c r="I78" s="973" t="n"/>
      <c r="J78" s="973" t="n"/>
      <c r="K78" s="973" t="n"/>
      <c r="L78" s="973" t="n"/>
      <c r="M78" s="973" t="n"/>
      <c r="N78" s="973" t="n"/>
      <c r="O78" s="973" t="n"/>
      <c r="P78" s="973" t="n"/>
      <c r="Q78" s="973" t="n"/>
      <c r="R78" s="973" t="n"/>
      <c r="S78" s="973" t="n"/>
      <c r="T78" s="973" t="n"/>
      <c r="U78" s="973" t="n"/>
      <c r="V78" s="973" t="n"/>
    </row>
    <row r="79">
      <c r="A79" s="973" t="n"/>
      <c r="B79" s="973" t="n"/>
      <c r="C79" s="973" t="n"/>
      <c r="D79" s="973" t="n"/>
      <c r="E79" s="973" t="n"/>
      <c r="F79" s="973" t="n"/>
      <c r="G79" s="973" t="n"/>
      <c r="H79" s="973" t="n"/>
      <c r="I79" s="973" t="n"/>
      <c r="J79" s="973" t="n"/>
      <c r="K79" s="973" t="n"/>
      <c r="L79" s="973" t="n"/>
      <c r="M79" s="973" t="n"/>
      <c r="N79" s="973" t="n"/>
      <c r="O79" s="973" t="n"/>
      <c r="P79" s="973" t="n"/>
      <c r="Q79" s="973" t="n"/>
      <c r="R79" s="973" t="n"/>
      <c r="S79" s="973" t="n"/>
      <c r="T79" s="973" t="n"/>
      <c r="U79" s="973" t="n"/>
      <c r="V79" s="973" t="n"/>
    </row>
    <row r="80">
      <c r="A80" s="973" t="n"/>
      <c r="B80" s="973" t="n"/>
      <c r="C80" s="973" t="n"/>
      <c r="D80" s="973" t="n"/>
      <c r="E80" s="973" t="n"/>
      <c r="F80" s="973" t="n"/>
      <c r="G80" s="973" t="n"/>
      <c r="H80" s="973" t="n"/>
      <c r="I80" s="973" t="n"/>
      <c r="J80" s="973" t="n"/>
      <c r="K80" s="973" t="n"/>
      <c r="L80" s="973" t="n"/>
      <c r="M80" s="973" t="n"/>
      <c r="N80" s="973" t="n"/>
      <c r="O80" s="973" t="n"/>
      <c r="P80" s="973" t="n"/>
      <c r="Q80" s="973" t="n"/>
      <c r="R80" s="973" t="n"/>
      <c r="S80" s="973" t="n"/>
      <c r="T80" s="973" t="n"/>
      <c r="U80" s="973" t="n"/>
      <c r="V80" s="973" t="n"/>
    </row>
    <row r="81">
      <c r="A81" s="973" t="n"/>
      <c r="B81" s="973" t="n"/>
      <c r="C81" s="973" t="n"/>
      <c r="D81" s="973" t="n"/>
      <c r="E81" s="973" t="n"/>
      <c r="F81" s="973" t="n"/>
      <c r="G81" s="973" t="n"/>
      <c r="H81" s="973" t="n"/>
      <c r="I81" s="973" t="n"/>
      <c r="J81" s="973" t="n"/>
      <c r="K81" s="973" t="n"/>
      <c r="L81" s="973" t="n"/>
      <c r="M81" s="973" t="n"/>
      <c r="N81" s="973" t="n"/>
      <c r="O81" s="973" t="n"/>
      <c r="P81" s="973" t="n"/>
      <c r="Q81" s="973" t="n"/>
      <c r="R81" s="973" t="n"/>
      <c r="S81" s="973" t="n"/>
      <c r="T81" s="973" t="n"/>
      <c r="U81" s="973" t="n"/>
      <c r="V81" s="973" t="n"/>
    </row>
    <row r="82">
      <c r="A82" s="973" t="n"/>
      <c r="B82" s="973" t="n"/>
      <c r="C82" s="973" t="n"/>
      <c r="D82" s="973" t="n"/>
      <c r="E82" s="973" t="n"/>
      <c r="F82" s="973" t="n"/>
      <c r="G82" s="973" t="n"/>
      <c r="H82" s="973" t="n"/>
      <c r="I82" s="973" t="n"/>
      <c r="J82" s="973" t="n"/>
      <c r="K82" s="973" t="n"/>
      <c r="L82" s="973" t="n"/>
      <c r="M82" s="973" t="n"/>
      <c r="N82" s="973" t="n"/>
      <c r="O82" s="973" t="n"/>
      <c r="P82" s="973" t="n"/>
      <c r="Q82" s="973" t="n"/>
      <c r="R82" s="973" t="n"/>
      <c r="S82" s="973" t="n"/>
      <c r="T82" s="973" t="n"/>
      <c r="U82" s="973" t="n"/>
      <c r="V82" s="973" t="n"/>
    </row>
    <row r="83">
      <c r="A83" s="973" t="n"/>
      <c r="B83" s="973" t="n"/>
      <c r="C83" s="973" t="n"/>
      <c r="D83" s="973" t="n"/>
      <c r="E83" s="973" t="n"/>
      <c r="F83" s="973" t="n"/>
      <c r="G83" s="973" t="n"/>
      <c r="H83" s="973" t="n"/>
      <c r="I83" s="973" t="n"/>
      <c r="J83" s="973" t="n"/>
      <c r="K83" s="973" t="n"/>
      <c r="L83" s="973" t="n"/>
      <c r="M83" s="973" t="n"/>
      <c r="N83" s="973" t="n"/>
      <c r="O83" s="973" t="n"/>
      <c r="P83" s="973" t="n"/>
      <c r="Q83" s="973" t="n"/>
      <c r="R83" s="973" t="n"/>
      <c r="S83" s="973" t="n"/>
      <c r="T83" s="973" t="n"/>
      <c r="U83" s="973" t="n"/>
      <c r="V83" s="973" t="n"/>
    </row>
    <row r="84">
      <c r="A84" s="973" t="n"/>
      <c r="B84" s="973" t="n"/>
      <c r="C84" s="973" t="n"/>
      <c r="D84" s="973" t="n"/>
      <c r="E84" s="973" t="n"/>
      <c r="F84" s="973" t="n"/>
      <c r="G84" s="973" t="n"/>
      <c r="H84" s="973" t="n"/>
      <c r="I84" s="973" t="n"/>
      <c r="J84" s="973" t="n"/>
      <c r="K84" s="973" t="n"/>
      <c r="L84" s="973" t="n"/>
      <c r="M84" s="973" t="n"/>
      <c r="N84" s="973" t="n"/>
      <c r="O84" s="973" t="n"/>
      <c r="P84" s="973" t="n"/>
      <c r="Q84" s="973" t="n"/>
      <c r="R84" s="973" t="n"/>
      <c r="S84" s="973" t="n"/>
      <c r="T84" s="973" t="n"/>
      <c r="U84" s="973" t="n"/>
      <c r="V84" s="973" t="n"/>
    </row>
    <row r="85">
      <c r="A85" s="973" t="n"/>
      <c r="B85" s="973" t="n"/>
      <c r="C85" s="973" t="n"/>
      <c r="D85" s="973" t="n"/>
      <c r="E85" s="973" t="n"/>
      <c r="F85" s="973" t="n"/>
      <c r="G85" s="973" t="n"/>
      <c r="H85" s="973" t="n"/>
      <c r="I85" s="973" t="n"/>
      <c r="J85" s="973" t="n"/>
      <c r="K85" s="973" t="n"/>
      <c r="L85" s="973" t="n"/>
      <c r="M85" s="973" t="n"/>
      <c r="N85" s="973" t="n"/>
      <c r="O85" s="973" t="n"/>
      <c r="P85" s="973" t="n"/>
      <c r="Q85" s="973" t="n"/>
      <c r="R85" s="973" t="n"/>
      <c r="S85" s="973" t="n"/>
      <c r="T85" s="973" t="n"/>
      <c r="U85" s="973" t="n"/>
      <c r="V85" s="973" t="n"/>
    </row>
    <row r="86">
      <c r="A86" s="973" t="n"/>
      <c r="B86" s="973" t="n"/>
      <c r="C86" s="973" t="n"/>
      <c r="D86" s="973" t="n"/>
      <c r="E86" s="973" t="n"/>
      <c r="F86" s="973" t="n"/>
      <c r="G86" s="973" t="n"/>
      <c r="H86" s="973" t="n"/>
      <c r="I86" s="973" t="n"/>
      <c r="J86" s="973" t="n"/>
      <c r="K86" s="973" t="n"/>
      <c r="L86" s="973" t="n"/>
      <c r="M86" s="973" t="n"/>
      <c r="N86" s="973" t="n"/>
      <c r="O86" s="973" t="n"/>
      <c r="P86" s="973" t="n"/>
      <c r="Q86" s="973" t="n"/>
      <c r="R86" s="973" t="n"/>
      <c r="S86" s="973" t="n"/>
      <c r="T86" s="973" t="n"/>
      <c r="U86" s="973" t="n"/>
      <c r="V86" s="973" t="n"/>
    </row>
    <row r="87">
      <c r="A87" s="973" t="n"/>
      <c r="B87" s="973" t="n"/>
      <c r="C87" s="973" t="n"/>
      <c r="D87" s="973" t="n"/>
      <c r="E87" s="973" t="n"/>
      <c r="F87" s="973" t="n"/>
      <c r="G87" s="973" t="n"/>
      <c r="H87" s="973" t="n"/>
      <c r="I87" s="973" t="n"/>
      <c r="J87" s="973" t="n"/>
      <c r="K87" s="973" t="n"/>
      <c r="L87" s="973" t="n"/>
      <c r="M87" s="973" t="n"/>
      <c r="N87" s="973" t="n"/>
      <c r="O87" s="973" t="n"/>
      <c r="P87" s="973" t="n"/>
      <c r="Q87" s="973" t="n"/>
      <c r="R87" s="973" t="n"/>
      <c r="S87" s="973" t="n"/>
      <c r="T87" s="973" t="n"/>
      <c r="U87" s="973" t="n"/>
      <c r="V87" s="973" t="n"/>
    </row>
    <row r="88">
      <c r="A88" s="973" t="n"/>
      <c r="B88" s="973" t="n"/>
      <c r="C88" s="973" t="n"/>
      <c r="D88" s="973" t="n"/>
      <c r="E88" s="973" t="n"/>
      <c r="F88" s="973" t="n"/>
      <c r="G88" s="973" t="n"/>
      <c r="H88" s="973" t="n"/>
      <c r="I88" s="973" t="n"/>
      <c r="J88" s="973" t="n"/>
      <c r="K88" s="973" t="n"/>
      <c r="L88" s="973" t="n"/>
      <c r="M88" s="973" t="n"/>
      <c r="N88" s="973" t="n"/>
      <c r="O88" s="973" t="n"/>
      <c r="P88" s="973" t="n"/>
      <c r="Q88" s="973" t="n"/>
      <c r="R88" s="973" t="n"/>
      <c r="S88" s="973" t="n"/>
      <c r="T88" s="973" t="n"/>
      <c r="U88" s="973" t="n"/>
      <c r="V88" s="973" t="n"/>
    </row>
    <row r="89">
      <c r="A89" s="973" t="n"/>
      <c r="B89" s="973" t="n"/>
      <c r="C89" s="973" t="n"/>
      <c r="D89" s="973" t="n"/>
      <c r="E89" s="973" t="n"/>
      <c r="F89" s="973" t="n"/>
      <c r="G89" s="973" t="n"/>
      <c r="H89" s="973" t="n"/>
      <c r="I89" s="973" t="n"/>
      <c r="J89" s="973" t="n"/>
      <c r="K89" s="973" t="n"/>
      <c r="L89" s="973" t="n"/>
      <c r="M89" s="973" t="n"/>
      <c r="N89" s="973" t="n"/>
      <c r="O89" s="973" t="n"/>
      <c r="P89" s="973" t="n"/>
      <c r="Q89" s="973" t="n"/>
      <c r="R89" s="973" t="n"/>
      <c r="S89" s="973" t="n"/>
      <c r="T89" s="973" t="n"/>
      <c r="U89" s="973" t="n"/>
      <c r="V89" s="973" t="n"/>
    </row>
    <row r="90">
      <c r="A90" s="973" t="n"/>
      <c r="B90" s="973" t="n"/>
      <c r="C90" s="973" t="n"/>
      <c r="D90" s="973" t="n"/>
      <c r="E90" s="973" t="n"/>
      <c r="F90" s="973" t="n"/>
      <c r="G90" s="973" t="n"/>
      <c r="H90" s="973" t="n"/>
      <c r="I90" s="973" t="n"/>
      <c r="J90" s="973" t="n"/>
      <c r="K90" s="973" t="n"/>
      <c r="L90" s="973" t="n"/>
      <c r="M90" s="973" t="n"/>
      <c r="N90" s="973" t="n"/>
      <c r="O90" s="973" t="n"/>
      <c r="P90" s="973" t="n"/>
      <c r="Q90" s="973" t="n"/>
      <c r="R90" s="973" t="n"/>
      <c r="S90" s="973" t="n"/>
      <c r="T90" s="973" t="n"/>
      <c r="U90" s="973" t="n"/>
      <c r="V90" s="973" t="n"/>
    </row>
    <row r="91">
      <c r="A91" s="973" t="n"/>
      <c r="B91" s="973" t="n"/>
      <c r="C91" s="973" t="n"/>
      <c r="D91" s="973" t="n"/>
      <c r="E91" s="973" t="n"/>
      <c r="F91" s="973" t="n"/>
      <c r="G91" s="973" t="n"/>
      <c r="H91" s="973" t="n"/>
      <c r="I91" s="973" t="n"/>
      <c r="J91" s="973" t="n"/>
      <c r="K91" s="973" t="n"/>
      <c r="L91" s="973" t="n"/>
      <c r="M91" s="973" t="n"/>
      <c r="N91" s="973" t="n"/>
      <c r="O91" s="973" t="n"/>
      <c r="P91" s="973" t="n"/>
      <c r="Q91" s="973" t="n"/>
      <c r="R91" s="973" t="n"/>
      <c r="S91" s="973" t="n"/>
      <c r="T91" s="973" t="n"/>
      <c r="U91" s="973" t="n"/>
      <c r="V91" s="973" t="n"/>
    </row>
    <row r="92">
      <c r="A92" s="973" t="n"/>
      <c r="B92" s="973" t="n"/>
      <c r="C92" s="973" t="n"/>
      <c r="D92" s="973" t="n"/>
      <c r="E92" s="973" t="n"/>
      <c r="F92" s="973" t="n"/>
      <c r="G92" s="973" t="n"/>
      <c r="H92" s="973" t="n"/>
      <c r="I92" s="973" t="n"/>
      <c r="J92" s="973" t="n"/>
      <c r="K92" s="973" t="n"/>
      <c r="L92" s="973" t="n"/>
      <c r="M92" s="973" t="n"/>
      <c r="N92" s="973" t="n"/>
      <c r="O92" s="973" t="n"/>
      <c r="P92" s="973" t="n"/>
      <c r="Q92" s="973" t="n"/>
      <c r="R92" s="973" t="n"/>
      <c r="S92" s="973" t="n"/>
      <c r="T92" s="973" t="n"/>
      <c r="U92" s="973" t="n"/>
      <c r="V92" s="973" t="n"/>
    </row>
    <row r="93">
      <c r="A93" s="973" t="n"/>
      <c r="B93" s="973" t="n"/>
      <c r="C93" s="973" t="n"/>
      <c r="D93" s="973" t="n"/>
      <c r="E93" s="973" t="n"/>
      <c r="F93" s="973" t="n"/>
      <c r="G93" s="973" t="n"/>
      <c r="H93" s="973" t="n"/>
      <c r="I93" s="973" t="n"/>
      <c r="J93" s="973" t="n"/>
      <c r="K93" s="973" t="n"/>
      <c r="L93" s="973" t="n"/>
      <c r="M93" s="973" t="n"/>
      <c r="N93" s="973" t="n"/>
      <c r="O93" s="973" t="n"/>
      <c r="P93" s="973" t="n"/>
      <c r="Q93" s="973" t="n"/>
      <c r="R93" s="973" t="n"/>
      <c r="S93" s="973" t="n"/>
      <c r="T93" s="973" t="n"/>
      <c r="U93" s="973" t="n"/>
      <c r="V93" s="973" t="n"/>
    </row>
    <row r="94">
      <c r="A94" s="973" t="n"/>
      <c r="B94" s="973" t="n"/>
      <c r="C94" s="973" t="n"/>
      <c r="D94" s="973" t="n"/>
      <c r="E94" s="973" t="n"/>
      <c r="F94" s="973" t="n"/>
      <c r="G94" s="973" t="n"/>
      <c r="H94" s="973" t="n"/>
      <c r="I94" s="973" t="n"/>
      <c r="J94" s="973" t="n"/>
      <c r="K94" s="973" t="n"/>
      <c r="L94" s="973" t="n"/>
      <c r="M94" s="973" t="n"/>
      <c r="N94" s="973" t="n"/>
      <c r="O94" s="973" t="n"/>
      <c r="P94" s="973" t="n"/>
      <c r="Q94" s="973" t="n"/>
      <c r="R94" s="973" t="n"/>
      <c r="S94" s="973" t="n"/>
      <c r="T94" s="973" t="n"/>
      <c r="U94" s="973" t="n"/>
      <c r="V94" s="973" t="n"/>
    </row>
    <row r="95">
      <c r="A95" s="973" t="n"/>
      <c r="B95" s="973" t="n"/>
      <c r="C95" s="973" t="n"/>
      <c r="D95" s="973" t="n"/>
      <c r="E95" s="973" t="n"/>
      <c r="F95" s="973" t="n"/>
      <c r="G95" s="973" t="n"/>
      <c r="H95" s="973" t="n"/>
      <c r="I95" s="973" t="n"/>
      <c r="J95" s="973" t="n"/>
      <c r="K95" s="973" t="n"/>
      <c r="L95" s="973" t="n"/>
      <c r="M95" s="973" t="n"/>
      <c r="N95" s="973" t="n"/>
      <c r="O95" s="973" t="n"/>
      <c r="P95" s="973" t="n"/>
      <c r="Q95" s="973" t="n"/>
      <c r="R95" s="973" t="n"/>
      <c r="S95" s="973" t="n"/>
      <c r="T95" s="973" t="n"/>
      <c r="U95" s="973" t="n"/>
      <c r="V95" s="973" t="n"/>
    </row>
    <row r="96">
      <c r="A96" s="973" t="n"/>
      <c r="B96" s="973" t="n"/>
      <c r="C96" s="973" t="n"/>
      <c r="D96" s="973" t="n"/>
      <c r="E96" s="973" t="n"/>
      <c r="F96" s="973" t="n"/>
      <c r="G96" s="973" t="n"/>
      <c r="H96" s="973" t="n"/>
      <c r="I96" s="973" t="n"/>
      <c r="J96" s="973" t="n"/>
      <c r="K96" s="973" t="n"/>
      <c r="L96" s="973" t="n"/>
      <c r="M96" s="973" t="n"/>
      <c r="N96" s="973" t="n"/>
      <c r="O96" s="973" t="n"/>
      <c r="P96" s="973" t="n"/>
      <c r="Q96" s="973" t="n"/>
      <c r="R96" s="973" t="n"/>
      <c r="S96" s="973" t="n"/>
      <c r="T96" s="973" t="n"/>
      <c r="U96" s="973" t="n"/>
      <c r="V96" s="973" t="n"/>
    </row>
    <row r="97">
      <c r="A97" s="973" t="n"/>
      <c r="B97" s="973" t="n"/>
      <c r="C97" s="973" t="n"/>
      <c r="D97" s="973" t="n"/>
      <c r="E97" s="973" t="n"/>
      <c r="F97" s="973" t="n"/>
      <c r="G97" s="973" t="n"/>
      <c r="H97" s="973" t="n"/>
      <c r="I97" s="973" t="n"/>
      <c r="J97" s="973" t="n"/>
      <c r="K97" s="973" t="n"/>
      <c r="L97" s="973" t="n"/>
      <c r="M97" s="973" t="n"/>
      <c r="N97" s="973" t="n"/>
      <c r="O97" s="973" t="n"/>
      <c r="P97" s="973" t="n"/>
      <c r="Q97" s="973" t="n"/>
      <c r="R97" s="973" t="n"/>
      <c r="S97" s="973" t="n"/>
      <c r="T97" s="973" t="n"/>
      <c r="U97" s="973" t="n"/>
      <c r="V97" s="973" t="n"/>
    </row>
    <row r="98">
      <c r="A98" s="973" t="n"/>
      <c r="B98" s="973" t="n"/>
      <c r="C98" s="973" t="n"/>
      <c r="D98" s="973" t="n"/>
      <c r="E98" s="973" t="n"/>
      <c r="F98" s="973" t="n"/>
      <c r="G98" s="973" t="n"/>
      <c r="H98" s="973" t="n"/>
      <c r="I98" s="973" t="n"/>
      <c r="J98" s="973" t="n"/>
      <c r="K98" s="973" t="n"/>
      <c r="L98" s="973" t="n"/>
      <c r="M98" s="973" t="n"/>
      <c r="N98" s="973" t="n"/>
      <c r="O98" s="973" t="n"/>
      <c r="P98" s="973" t="n"/>
      <c r="Q98" s="973" t="n"/>
      <c r="R98" s="973" t="n"/>
      <c r="S98" s="973" t="n"/>
      <c r="T98" s="973" t="n"/>
      <c r="U98" s="973" t="n"/>
      <c r="V98" s="973" t="n"/>
    </row>
    <row r="99">
      <c r="A99" s="973" t="n"/>
      <c r="B99" s="973" t="n"/>
      <c r="C99" s="973" t="n"/>
      <c r="D99" s="973" t="n"/>
      <c r="E99" s="973" t="n"/>
      <c r="F99" s="973" t="n"/>
      <c r="G99" s="973" t="n"/>
      <c r="H99" s="973" t="n"/>
      <c r="I99" s="973" t="n"/>
      <c r="J99" s="973" t="n"/>
      <c r="K99" s="973" t="n"/>
      <c r="L99" s="973" t="n"/>
      <c r="M99" s="973" t="n"/>
      <c r="N99" s="973" t="n"/>
      <c r="O99" s="973" t="n"/>
      <c r="P99" s="973" t="n"/>
      <c r="Q99" s="973" t="n"/>
      <c r="R99" s="973" t="n"/>
      <c r="S99" s="973" t="n"/>
      <c r="T99" s="973" t="n"/>
      <c r="U99" s="973" t="n"/>
      <c r="V99" s="973" t="n"/>
    </row>
    <row r="100">
      <c r="A100" s="973" t="n"/>
      <c r="B100" s="973" t="n"/>
      <c r="C100" s="973" t="n"/>
      <c r="D100" s="973" t="n"/>
      <c r="E100" s="973" t="n"/>
      <c r="F100" s="973" t="n"/>
      <c r="G100" s="973" t="n"/>
      <c r="H100" s="973" t="n"/>
      <c r="I100" s="973" t="n"/>
      <c r="J100" s="973" t="n"/>
      <c r="K100" s="973" t="n"/>
      <c r="L100" s="973" t="n"/>
      <c r="M100" s="973" t="n"/>
      <c r="N100" s="973" t="n"/>
      <c r="O100" s="973" t="n"/>
      <c r="P100" s="973" t="n"/>
      <c r="Q100" s="973" t="n"/>
      <c r="R100" s="973" t="n"/>
      <c r="S100" s="973" t="n"/>
      <c r="T100" s="973" t="n"/>
      <c r="U100" s="973" t="n"/>
      <c r="V100" s="973" t="n"/>
    </row>
    <row r="101">
      <c r="A101" s="973" t="n"/>
      <c r="B101" s="973" t="n"/>
      <c r="C101" s="973" t="n"/>
      <c r="D101" s="973" t="n"/>
      <c r="E101" s="973" t="n"/>
      <c r="F101" s="973" t="n"/>
      <c r="G101" s="973" t="n"/>
      <c r="H101" s="973" t="n"/>
      <c r="I101" s="973" t="n"/>
      <c r="J101" s="973" t="n"/>
      <c r="K101" s="973" t="n"/>
      <c r="L101" s="973" t="n"/>
      <c r="M101" s="973" t="n"/>
      <c r="N101" s="973" t="n"/>
      <c r="O101" s="973" t="n"/>
      <c r="P101" s="973" t="n"/>
      <c r="Q101" s="973" t="n"/>
      <c r="R101" s="973" t="n"/>
      <c r="S101" s="973" t="n"/>
      <c r="T101" s="973" t="n"/>
      <c r="U101" s="973" t="n"/>
      <c r="V101" s="973" t="n"/>
    </row>
    <row r="102">
      <c r="A102" s="973" t="n"/>
      <c r="B102" s="973" t="n"/>
      <c r="C102" s="973" t="n"/>
      <c r="D102" s="973" t="n"/>
      <c r="E102" s="973" t="n"/>
      <c r="F102" s="973" t="n"/>
      <c r="G102" s="973" t="n"/>
      <c r="H102" s="973" t="n"/>
      <c r="I102" s="973" t="n"/>
      <c r="J102" s="973" t="n"/>
      <c r="K102" s="973" t="n"/>
      <c r="L102" s="973" t="n"/>
      <c r="M102" s="973" t="n"/>
      <c r="N102" s="973" t="n"/>
      <c r="O102" s="973" t="n"/>
      <c r="P102" s="973" t="n"/>
      <c r="Q102" s="973" t="n"/>
      <c r="R102" s="973" t="n"/>
      <c r="S102" s="973" t="n"/>
      <c r="T102" s="973" t="n"/>
      <c r="U102" s="973" t="n"/>
      <c r="V102" s="973" t="n"/>
    </row>
    <row r="103">
      <c r="A103" s="973" t="n"/>
      <c r="B103" s="973" t="n"/>
      <c r="C103" s="973" t="n"/>
      <c r="D103" s="973" t="n"/>
      <c r="E103" s="973" t="n"/>
      <c r="F103" s="973" t="n"/>
      <c r="G103" s="973" t="n"/>
      <c r="H103" s="973" t="n"/>
      <c r="I103" s="973" t="n"/>
      <c r="J103" s="973" t="n"/>
      <c r="K103" s="973" t="n"/>
      <c r="L103" s="973" t="n"/>
      <c r="M103" s="973" t="n"/>
      <c r="N103" s="973" t="n"/>
      <c r="O103" s="973" t="n"/>
      <c r="P103" s="973" t="n"/>
      <c r="Q103" s="973" t="n"/>
      <c r="R103" s="973" t="n"/>
      <c r="S103" s="973" t="n"/>
      <c r="T103" s="973" t="n"/>
      <c r="U103" s="973" t="n"/>
      <c r="V103" s="973" t="n"/>
    </row>
    <row r="104">
      <c r="A104" s="973" t="n"/>
      <c r="B104" s="973" t="n"/>
      <c r="C104" s="973" t="n"/>
      <c r="D104" s="973" t="n"/>
      <c r="E104" s="973" t="n"/>
      <c r="F104" s="973" t="n"/>
      <c r="G104" s="973" t="n"/>
      <c r="H104" s="973" t="n"/>
      <c r="I104" s="973" t="n"/>
      <c r="J104" s="973" t="n"/>
      <c r="K104" s="973" t="n"/>
      <c r="L104" s="973" t="n"/>
      <c r="M104" s="973" t="n"/>
      <c r="N104" s="973" t="n"/>
      <c r="O104" s="973" t="n"/>
      <c r="P104" s="973" t="n"/>
      <c r="Q104" s="973" t="n"/>
      <c r="R104" s="973" t="n"/>
      <c r="S104" s="973" t="n"/>
      <c r="T104" s="973" t="n"/>
      <c r="U104" s="973" t="n"/>
      <c r="V104" s="973" t="n"/>
    </row>
    <row r="105">
      <c r="A105" s="973" t="n"/>
      <c r="B105" s="973" t="n"/>
      <c r="C105" s="973" t="n"/>
      <c r="D105" s="973" t="n"/>
      <c r="E105" s="973" t="n"/>
      <c r="F105" s="973" t="n"/>
      <c r="G105" s="973" t="n"/>
      <c r="H105" s="973" t="n"/>
      <c r="I105" s="973" t="n"/>
      <c r="J105" s="973" t="n"/>
      <c r="K105" s="973" t="n"/>
      <c r="L105" s="973" t="n"/>
      <c r="M105" s="973" t="n"/>
      <c r="N105" s="973" t="n"/>
      <c r="O105" s="973" t="n"/>
      <c r="P105" s="973" t="n"/>
      <c r="Q105" s="973" t="n"/>
      <c r="R105" s="973" t="n"/>
      <c r="S105" s="973" t="n"/>
      <c r="T105" s="973" t="n"/>
      <c r="U105" s="973" t="n"/>
      <c r="V105" s="973" t="n"/>
    </row>
    <row r="106">
      <c r="A106" s="973" t="n"/>
      <c r="B106" s="973" t="n"/>
      <c r="C106" s="973" t="n"/>
      <c r="D106" s="973" t="n"/>
      <c r="E106" s="973" t="n"/>
      <c r="F106" s="973" t="n"/>
      <c r="G106" s="973" t="n"/>
      <c r="H106" s="973" t="n"/>
      <c r="I106" s="973" t="n"/>
      <c r="J106" s="973" t="n"/>
      <c r="K106" s="973" t="n"/>
      <c r="L106" s="973" t="n"/>
      <c r="M106" s="973" t="n"/>
      <c r="N106" s="973" t="n"/>
      <c r="O106" s="973" t="n"/>
      <c r="P106" s="973" t="n"/>
      <c r="Q106" s="973" t="n"/>
      <c r="R106" s="973" t="n"/>
      <c r="S106" s="973" t="n"/>
      <c r="T106" s="973" t="n"/>
      <c r="U106" s="973" t="n"/>
      <c r="V106" s="973" t="n"/>
    </row>
    <row r="107">
      <c r="A107" s="973" t="n"/>
      <c r="B107" s="973" t="n"/>
      <c r="C107" s="973" t="n"/>
      <c r="D107" s="973" t="n"/>
      <c r="E107" s="973" t="n"/>
      <c r="F107" s="973" t="n"/>
      <c r="G107" s="973" t="n"/>
      <c r="H107" s="973" t="n"/>
      <c r="I107" s="973" t="n"/>
      <c r="J107" s="973" t="n"/>
      <c r="K107" s="973" t="n"/>
      <c r="L107" s="973" t="n"/>
      <c r="M107" s="973" t="n"/>
      <c r="N107" s="973" t="n"/>
      <c r="O107" s="973" t="n"/>
      <c r="P107" s="973" t="n"/>
      <c r="Q107" s="973" t="n"/>
      <c r="R107" s="973" t="n"/>
      <c r="S107" s="973" t="n"/>
      <c r="T107" s="973" t="n"/>
      <c r="U107" s="973" t="n"/>
      <c r="V107" s="973" t="n"/>
    </row>
    <row r="108">
      <c r="A108" s="973" t="n"/>
      <c r="B108" s="973" t="n"/>
      <c r="C108" s="973" t="n"/>
      <c r="D108" s="973" t="n"/>
      <c r="E108" s="973" t="n"/>
      <c r="F108" s="973" t="n"/>
      <c r="G108" s="973" t="n"/>
      <c r="H108" s="973" t="n"/>
      <c r="I108" s="973" t="n"/>
      <c r="J108" s="973" t="n"/>
      <c r="K108" s="973" t="n"/>
      <c r="L108" s="973" t="n"/>
      <c r="M108" s="973" t="n"/>
      <c r="N108" s="973" t="n"/>
      <c r="O108" s="973" t="n"/>
      <c r="P108" s="973" t="n"/>
      <c r="Q108" s="973" t="n"/>
      <c r="R108" s="973" t="n"/>
      <c r="S108" s="973" t="n"/>
      <c r="T108" s="973" t="n"/>
      <c r="U108" s="973" t="n"/>
      <c r="V108" s="973" t="n"/>
    </row>
    <row r="109">
      <c r="A109" s="973" t="n"/>
      <c r="B109" s="973" t="n"/>
      <c r="C109" s="973" t="n"/>
      <c r="D109" s="973" t="n"/>
      <c r="E109" s="973" t="n"/>
      <c r="F109" s="973" t="n"/>
      <c r="G109" s="973" t="n"/>
      <c r="H109" s="973" t="n"/>
      <c r="I109" s="973" t="n"/>
      <c r="J109" s="973" t="n"/>
      <c r="K109" s="973" t="n"/>
      <c r="L109" s="973" t="n"/>
      <c r="M109" s="973" t="n"/>
      <c r="N109" s="973" t="n"/>
      <c r="O109" s="973" t="n"/>
      <c r="P109" s="973" t="n"/>
      <c r="Q109" s="973" t="n"/>
      <c r="R109" s="973" t="n"/>
      <c r="S109" s="973" t="n"/>
      <c r="T109" s="973" t="n"/>
      <c r="U109" s="973" t="n"/>
      <c r="V109" s="973" t="n"/>
    </row>
    <row r="110">
      <c r="A110" s="973" t="n"/>
      <c r="B110" s="973" t="n"/>
      <c r="C110" s="973" t="n"/>
      <c r="D110" s="973" t="n"/>
      <c r="E110" s="973" t="n"/>
      <c r="F110" s="973" t="n"/>
      <c r="G110" s="973" t="n"/>
      <c r="H110" s="973" t="n"/>
      <c r="I110" s="973" t="n"/>
      <c r="J110" s="973" t="n"/>
      <c r="K110" s="973" t="n"/>
      <c r="L110" s="973" t="n"/>
      <c r="M110" s="973" t="n"/>
      <c r="N110" s="973" t="n"/>
      <c r="O110" s="973" t="n"/>
      <c r="P110" s="973" t="n"/>
      <c r="Q110" s="973" t="n"/>
      <c r="R110" s="973" t="n"/>
      <c r="S110" s="973" t="n"/>
      <c r="T110" s="973" t="n"/>
      <c r="U110" s="973" t="n"/>
      <c r="V110" s="973" t="n"/>
    </row>
    <row r="111">
      <c r="A111" s="973" t="n"/>
      <c r="B111" s="973" t="n"/>
      <c r="C111" s="973" t="n"/>
      <c r="D111" s="973" t="n"/>
      <c r="E111" s="973" t="n"/>
      <c r="F111" s="973" t="n"/>
      <c r="G111" s="973" t="n"/>
      <c r="H111" s="973" t="n"/>
      <c r="I111" s="973" t="n"/>
      <c r="J111" s="973" t="n"/>
      <c r="K111" s="973" t="n"/>
      <c r="L111" s="973" t="n"/>
      <c r="M111" s="973" t="n"/>
      <c r="N111" s="973" t="n"/>
      <c r="O111" s="973" t="n"/>
      <c r="P111" s="973" t="n"/>
      <c r="Q111" s="973" t="n"/>
      <c r="R111" s="973" t="n"/>
      <c r="S111" s="973" t="n"/>
      <c r="T111" s="973" t="n"/>
      <c r="U111" s="973" t="n"/>
      <c r="V111" s="973" t="n"/>
    </row>
    <row r="112">
      <c r="A112" s="973" t="n"/>
      <c r="B112" s="973" t="n"/>
      <c r="C112" s="973" t="n"/>
      <c r="D112" s="973" t="n"/>
      <c r="E112" s="973" t="n"/>
      <c r="F112" s="973" t="n"/>
      <c r="G112" s="973" t="n"/>
      <c r="H112" s="973" t="n"/>
      <c r="I112" s="973" t="n"/>
      <c r="J112" s="973" t="n"/>
      <c r="K112" s="973" t="n"/>
      <c r="L112" s="973" t="n"/>
      <c r="M112" s="973" t="n"/>
      <c r="N112" s="973" t="n"/>
      <c r="O112" s="973" t="n"/>
      <c r="P112" s="973" t="n"/>
      <c r="Q112" s="973" t="n"/>
      <c r="R112" s="973" t="n"/>
      <c r="S112" s="973" t="n"/>
      <c r="T112" s="973" t="n"/>
      <c r="U112" s="973" t="n"/>
      <c r="V112" s="973" t="n"/>
    </row>
    <row r="113">
      <c r="A113" s="973" t="n"/>
      <c r="B113" s="973" t="n"/>
      <c r="C113" s="973" t="n"/>
      <c r="D113" s="973" t="n"/>
      <c r="E113" s="973" t="n"/>
      <c r="F113" s="973" t="n"/>
      <c r="G113" s="973" t="n"/>
      <c r="H113" s="973" t="n"/>
      <c r="I113" s="973" t="n"/>
      <c r="J113" s="973" t="n"/>
      <c r="K113" s="973" t="n"/>
      <c r="L113" s="973" t="n"/>
      <c r="M113" s="973" t="n"/>
      <c r="N113" s="973" t="n"/>
      <c r="O113" s="973" t="n"/>
      <c r="P113" s="973" t="n"/>
      <c r="Q113" s="973" t="n"/>
      <c r="R113" s="973" t="n"/>
      <c r="S113" s="973" t="n"/>
      <c r="T113" s="973" t="n"/>
      <c r="U113" s="973" t="n"/>
      <c r="V113" s="973" t="n"/>
    </row>
    <row r="114">
      <c r="A114" s="973" t="n"/>
      <c r="B114" s="973" t="n"/>
      <c r="C114" s="973" t="n"/>
      <c r="D114" s="973" t="n"/>
      <c r="E114" s="973" t="n"/>
      <c r="F114" s="973" t="n"/>
      <c r="G114" s="973" t="n"/>
      <c r="H114" s="973" t="n"/>
      <c r="I114" s="973" t="n"/>
      <c r="J114" s="973" t="n"/>
      <c r="K114" s="973" t="n"/>
      <c r="L114" s="973" t="n"/>
      <c r="M114" s="973" t="n"/>
      <c r="N114" s="973" t="n"/>
      <c r="O114" s="973" t="n"/>
      <c r="P114" s="973" t="n"/>
      <c r="Q114" s="973" t="n"/>
      <c r="R114" s="973" t="n"/>
      <c r="S114" s="973" t="n"/>
      <c r="T114" s="973" t="n"/>
      <c r="U114" s="973" t="n"/>
      <c r="V114" s="973" t="n"/>
    </row>
    <row r="115">
      <c r="A115" s="973" t="n"/>
      <c r="B115" s="973" t="n"/>
      <c r="C115" s="973" t="n"/>
      <c r="D115" s="973" t="n"/>
      <c r="E115" s="973" t="n"/>
      <c r="F115" s="973" t="n"/>
      <c r="G115" s="973" t="n"/>
      <c r="H115" s="973" t="n"/>
      <c r="I115" s="973" t="n"/>
      <c r="J115" s="973" t="n"/>
      <c r="K115" s="973" t="n"/>
      <c r="L115" s="973" t="n"/>
      <c r="M115" s="973" t="n"/>
      <c r="N115" s="973" t="n"/>
      <c r="O115" s="973" t="n"/>
      <c r="P115" s="973" t="n"/>
      <c r="Q115" s="973" t="n"/>
      <c r="R115" s="973" t="n"/>
      <c r="S115" s="973" t="n"/>
      <c r="T115" s="973" t="n"/>
      <c r="U115" s="973" t="n"/>
      <c r="V115" s="973" t="n"/>
    </row>
  </sheetData>
  <dataValidations count="2">
    <dataValidation sqref="C16:D21" showDropDown="0" showInputMessage="0" showErrorMessage="1" allowBlank="0" errorTitle="Invalid selection" error="Select a value from the list." type="list">
      <formula1>"Yes,No,Unknown"</formula1>
    </dataValidation>
    <dataValidation sqref="L16:L21" showDropDown="0" showInputMessage="0" showErrorMessage="1" allowBlank="0" errorTitle="Invalid selection" error="Select a value from the list." type="list">
      <formula1>"High,Medium,Low,Not assessed"</formula1>
    </dataValidation>
  </dataValidations>
  <pageMargins left="0.7" right="0.7" top="0.75" bottom="0.75" header="0.3" footer="0.3"/>
</worksheet>
</file>

<file path=xl/worksheets/sheet21.xml><?xml version="1.0" encoding="utf-8"?>
<worksheet xmlns="http://schemas.openxmlformats.org/spreadsheetml/2006/main">
  <sheetPr>
    <tabColor rgb="0000B0F0"/>
    <outlinePr summaryBelow="1" summaryRight="1"/>
    <pageSetUpPr/>
  </sheetPr>
  <dimension ref="A1:J32"/>
  <sheetViews>
    <sheetView workbookViewId="0">
      <selection activeCell="A1" sqref="A1"/>
    </sheetView>
  </sheetViews>
  <sheetFormatPr baseColWidth="8" defaultRowHeight="15"/>
  <cols>
    <col width="26" customWidth="1" style="508" min="1" max="1"/>
    <col width="26" customWidth="1" style="508" min="2" max="2"/>
    <col width="18" customWidth="1" style="508" min="3" max="3"/>
    <col width="18" customWidth="1" style="508" min="4" max="4"/>
    <col width="16" customWidth="1" style="508" min="5" max="5"/>
    <col width="16" customWidth="1" style="508" min="6" max="6"/>
    <col width="20" customWidth="1" style="508" min="7" max="7"/>
    <col width="20" customWidth="1" style="508" min="8" max="8"/>
    <col width="20" customWidth="1" style="508" min="9" max="9"/>
    <col width="20" customWidth="1" style="508" min="10" max="10"/>
    <col width="14" customWidth="1" style="508" min="11" max="11"/>
    <col width="14" customWidth="1" style="508" min="12" max="12"/>
    <col width="14" customWidth="1" style="508" min="13" max="13"/>
    <col width="14" customWidth="1" style="508" min="14" max="14"/>
    <col width="14" customWidth="1" style="508" min="15" max="15"/>
    <col width="14" customWidth="1" style="508" min="16" max="16"/>
    <col width="14" customWidth="1" style="508" min="17" max="17"/>
    <col width="14" customWidth="1" style="508" min="18" max="18"/>
    <col width="14" customWidth="1" style="508" min="19" max="19"/>
    <col width="14" customWidth="1" style="508" min="20" max="20"/>
    <col width="14" customWidth="1" style="508" min="21" max="21"/>
    <col width="14" customWidth="1" style="508" min="22" max="22"/>
    <col width="14" customWidth="1" style="508" min="23" max="23"/>
    <col width="14" customWidth="1" style="508" min="24" max="24"/>
    <col width="14" customWidth="1" style="508" min="25" max="25"/>
    <col width="14" customWidth="1" style="508" min="26" max="26"/>
  </cols>
  <sheetData>
    <row r="1">
      <c r="A1" s="920" t="inlineStr">
        <is>
          <t>05 — Control Assessment</t>
        </is>
      </c>
      <c r="B1" s="920" t="n"/>
      <c r="C1" s="920" t="n"/>
      <c r="D1" s="920" t="n"/>
      <c r="E1" s="920" t="n"/>
      <c r="F1" s="920" t="n"/>
      <c r="G1" s="918" t="n"/>
      <c r="H1" s="918" t="n"/>
      <c r="I1" s="918" t="n"/>
      <c r="J1" s="918" t="n"/>
    </row>
    <row r="2">
      <c r="A2" s="918" t="inlineStr">
        <is>
          <t>NIST CSF 2.0-aligned control families with Enterprise ATT&amp;CK mitigation mappings and reference-relative efficacy.</t>
        </is>
      </c>
      <c r="B2" s="918" t="n"/>
      <c r="C2" s="918" t="n"/>
      <c r="D2" s="918" t="n"/>
      <c r="E2" s="918" t="n"/>
      <c r="F2" s="918" t="n"/>
      <c r="G2" s="918" t="n"/>
      <c r="H2" s="918" t="n"/>
      <c r="I2" s="918" t="n"/>
      <c r="J2" s="918" t="n"/>
    </row>
    <row r="3">
      <c r="A3" s="1029">
        <f>IF('00 COMMON - Run Setup'!C6="IT","FILL this sheet — IT assessment.","Not used for this run. Complete the OT assessment section only.")</f>
        <v/>
      </c>
      <c r="B3" s="918" t="n"/>
      <c r="C3" s="918" t="n"/>
      <c r="D3" s="918" t="n"/>
      <c r="E3" s="918" t="n"/>
      <c r="F3" s="918" t="n"/>
      <c r="G3" s="918" t="n"/>
      <c r="H3" s="918" t="n"/>
      <c r="I3" s="918" t="n"/>
      <c r="J3" s="918" t="n"/>
    </row>
    <row r="4">
      <c r="A4" s="918" t="n"/>
      <c r="B4" s="918" t="n"/>
      <c r="C4" s="918" t="n"/>
      <c r="D4" s="918" t="n"/>
      <c r="E4" s="918" t="n"/>
      <c r="F4" s="918" t="n"/>
      <c r="G4" s="918" t="n"/>
      <c r="H4" s="918" t="n"/>
      <c r="I4" s="918" t="n"/>
      <c r="J4" s="918" t="n"/>
    </row>
    <row r="5">
      <c r="A5" s="918" t="n"/>
      <c r="B5" s="918" t="n"/>
      <c r="C5" s="918" t="n"/>
      <c r="D5" s="918" t="n"/>
      <c r="E5" s="918" t="n"/>
      <c r="F5" s="918" t="n"/>
      <c r="G5" s="918" t="n"/>
      <c r="H5" s="918" t="n"/>
      <c r="I5" s="918" t="n"/>
      <c r="J5" s="918" t="n"/>
    </row>
    <row r="6">
      <c r="A6" s="918" t="n"/>
      <c r="B6" s="918" t="n"/>
      <c r="C6" s="918" t="n"/>
      <c r="D6" s="918" t="n"/>
      <c r="E6" s="918" t="n"/>
      <c r="F6" s="918" t="n"/>
      <c r="G6" s="918" t="n"/>
      <c r="H6" s="918" t="n"/>
      <c r="I6" s="918" t="n"/>
      <c r="J6" s="918" t="n"/>
    </row>
    <row r="7">
      <c r="A7" s="918" t="n"/>
      <c r="B7" s="918" t="n"/>
      <c r="C7" s="918" t="n"/>
      <c r="D7" s="918" t="n"/>
      <c r="E7" s="918" t="n"/>
      <c r="F7" s="918" t="n"/>
      <c r="G7" s="918" t="n"/>
      <c r="H7" s="918" t="n"/>
      <c r="I7" s="918" t="n"/>
      <c r="J7" s="918" t="n"/>
    </row>
    <row r="8">
      <c r="A8" s="918" t="n"/>
      <c r="B8" s="918" t="n"/>
      <c r="C8" s="918" t="n"/>
      <c r="D8" s="918" t="n"/>
      <c r="E8" s="918" t="n"/>
      <c r="F8" s="918" t="n"/>
      <c r="G8" s="918" t="n"/>
      <c r="H8" s="918" t="n"/>
      <c r="I8" s="918" t="n"/>
      <c r="J8" s="918" t="n"/>
    </row>
    <row r="9">
      <c r="A9" s="918" t="n"/>
      <c r="B9" s="918" t="n"/>
      <c r="C9" s="918" t="n"/>
      <c r="D9" s="918" t="n"/>
      <c r="E9" s="918" t="n"/>
      <c r="F9" s="918" t="n"/>
      <c r="G9" s="918" t="n"/>
      <c r="H9" s="918" t="n"/>
      <c r="I9" s="918" t="n"/>
      <c r="J9" s="918" t="n"/>
    </row>
    <row r="10">
      <c r="A10" s="918" t="n"/>
      <c r="B10" s="918" t="n"/>
      <c r="C10" s="918" t="n"/>
      <c r="D10" s="918" t="n"/>
      <c r="E10" s="918" t="n"/>
      <c r="F10" s="918" t="n"/>
      <c r="G10" s="918" t="n"/>
      <c r="H10" s="918" t="n"/>
      <c r="I10" s="918" t="n"/>
      <c r="J10" s="918" t="n"/>
    </row>
    <row r="11">
      <c r="A11" s="918" t="n"/>
      <c r="B11" s="918" t="n"/>
      <c r="C11" s="918" t="n"/>
      <c r="D11" s="918" t="n"/>
      <c r="E11" s="918" t="n"/>
      <c r="F11" s="918" t="n"/>
      <c r="G11" s="918" t="n"/>
      <c r="H11" s="918" t="n"/>
      <c r="I11" s="918" t="n"/>
      <c r="J11" s="918" t="n"/>
    </row>
    <row r="12">
      <c r="A12" s="918" t="n"/>
      <c r="B12" s="918" t="n"/>
      <c r="C12" s="918" t="n"/>
      <c r="D12" s="918" t="n"/>
      <c r="E12" s="918" t="n"/>
      <c r="F12" s="918" t="n"/>
      <c r="G12" s="918" t="n"/>
      <c r="H12" s="918" t="n"/>
      <c r="I12" s="918" t="n"/>
      <c r="J12" s="918" t="n"/>
    </row>
    <row r="13">
      <c r="A13" s="918" t="n"/>
      <c r="B13" s="918" t="n"/>
      <c r="C13" s="918" t="n"/>
      <c r="D13" s="918" t="n"/>
      <c r="E13" s="918" t="n"/>
      <c r="F13" s="918" t="n"/>
      <c r="G13" s="918" t="n"/>
      <c r="H13" s="918" t="n"/>
      <c r="I13" s="918" t="n"/>
      <c r="J13" s="918" t="n"/>
    </row>
    <row r="14">
      <c r="A14" s="918" t="n"/>
      <c r="B14" s="918" t="n"/>
      <c r="C14" s="918" t="n"/>
      <c r="D14" s="918" t="n"/>
      <c r="E14" s="918" t="n"/>
      <c r="F14" s="918" t="n"/>
      <c r="G14" s="918" t="n"/>
      <c r="H14" s="918" t="n"/>
      <c r="I14" s="918" t="n"/>
      <c r="J14" s="918" t="n"/>
    </row>
    <row r="15" ht="30" customHeight="1" s="508">
      <c r="A15" s="851" t="inlineStr">
        <is>
          <t>Control ID</t>
        </is>
      </c>
      <c r="B15" s="851" t="inlineStr">
        <is>
          <t>Control family</t>
        </is>
      </c>
      <c r="C15" s="851" t="inlineStr">
        <is>
          <t>NIST CSF 2.0</t>
        </is>
      </c>
      <c r="D15" s="851" t="inlineStr">
        <is>
          <t>MITRE mitigations</t>
        </is>
      </c>
      <c r="E15" s="851" t="inlineStr">
        <is>
          <t>Actual maturity</t>
        </is>
      </c>
      <c r="F15" s="851" t="inlineStr">
        <is>
          <t>Actual coverage</t>
        </is>
      </c>
      <c r="G15" s="851" t="inlineStr">
        <is>
          <t>Reference maturity</t>
        </is>
      </c>
      <c r="H15" s="851" t="inlineStr">
        <is>
          <t>Reference coverage</t>
        </is>
      </c>
      <c r="I15" s="851" t="inlineStr">
        <is>
          <t>Evidence / rationale</t>
        </is>
      </c>
      <c r="J15" s="851" t="inlineStr">
        <is>
          <t>Resolved status</t>
        </is>
      </c>
    </row>
    <row r="16">
      <c r="A16" s="918" t="inlineStr">
        <is>
          <t>C01</t>
        </is>
      </c>
      <c r="B16" s="918" t="inlineStr">
        <is>
          <t>Asset and vulnerability management</t>
        </is>
      </c>
      <c r="C16" s="918" t="inlineStr">
        <is>
          <t>ID.AM; ID.RA</t>
        </is>
      </c>
      <c r="D16" s="918" t="inlineStr">
        <is>
          <t>M1016; M1051</t>
        </is>
      </c>
      <c r="E16" s="926" t="inlineStr">
        <is>
          <t>Developing</t>
        </is>
      </c>
      <c r="F16" s="926" t="n">
        <v>0.75</v>
      </c>
      <c r="G16" s="918" t="inlineStr">
        <is>
          <t>Developing</t>
        </is>
      </c>
      <c r="H16" s="918" t="n">
        <v>0.75</v>
      </c>
      <c r="I16" s="926" t="inlineStr">
        <is>
          <t>User assessment required</t>
        </is>
      </c>
      <c r="J16" s="918" t="inlineStr">
        <is>
          <t>Working prior</t>
        </is>
      </c>
    </row>
    <row r="17">
      <c r="A17" s="918" t="inlineStr">
        <is>
          <t>C02</t>
        </is>
      </c>
      <c r="B17" s="918" t="inlineStr">
        <is>
          <t>Identity, authentication and MFA</t>
        </is>
      </c>
      <c r="C17" s="918" t="inlineStr">
        <is>
          <t>PR.AA</t>
        </is>
      </c>
      <c r="D17" s="918" t="inlineStr">
        <is>
          <t>M1032; M1036</t>
        </is>
      </c>
      <c r="E17" s="926" t="inlineStr">
        <is>
          <t>Developing</t>
        </is>
      </c>
      <c r="F17" s="926" t="n">
        <v>0.75</v>
      </c>
      <c r="G17" s="918" t="inlineStr">
        <is>
          <t>Developing</t>
        </is>
      </c>
      <c r="H17" s="918" t="n">
        <v>0.75</v>
      </c>
      <c r="I17" s="926" t="inlineStr">
        <is>
          <t>User assessment required</t>
        </is>
      </c>
      <c r="J17" s="918" t="inlineStr">
        <is>
          <t>Working prior</t>
        </is>
      </c>
    </row>
    <row r="18">
      <c r="A18" s="918" t="inlineStr">
        <is>
          <t>C03</t>
        </is>
      </c>
      <c r="B18" s="918" t="inlineStr">
        <is>
          <t>Privileged access management</t>
        </is>
      </c>
      <c r="C18" s="918" t="inlineStr">
        <is>
          <t>PR.AA</t>
        </is>
      </c>
      <c r="D18" s="918" t="inlineStr">
        <is>
          <t>M1026; M1018</t>
        </is>
      </c>
      <c r="E18" s="926" t="inlineStr">
        <is>
          <t>Developing</t>
        </is>
      </c>
      <c r="F18" s="926" t="n">
        <v>0.75</v>
      </c>
      <c r="G18" s="918" t="inlineStr">
        <is>
          <t>Developing</t>
        </is>
      </c>
      <c r="H18" s="918" t="n">
        <v>0.75</v>
      </c>
      <c r="I18" s="926" t="inlineStr">
        <is>
          <t>User assessment required</t>
        </is>
      </c>
      <c r="J18" s="918" t="inlineStr">
        <is>
          <t>Working prior</t>
        </is>
      </c>
    </row>
    <row r="19">
      <c r="A19" s="918" t="inlineStr">
        <is>
          <t>C04</t>
        </is>
      </c>
      <c r="B19" s="918" t="inlineStr">
        <is>
          <t>Email, web security and awareness</t>
        </is>
      </c>
      <c r="C19" s="918" t="inlineStr">
        <is>
          <t>PR.AT; PR.DS</t>
        </is>
      </c>
      <c r="D19" s="918" t="inlineStr">
        <is>
          <t>M1017; M1021</t>
        </is>
      </c>
      <c r="E19" s="926" t="inlineStr">
        <is>
          <t>Developing</t>
        </is>
      </c>
      <c r="F19" s="926" t="n">
        <v>0.75</v>
      </c>
      <c r="G19" s="918" t="inlineStr">
        <is>
          <t>Developing</t>
        </is>
      </c>
      <c r="H19" s="918" t="n">
        <v>0.75</v>
      </c>
      <c r="I19" s="926" t="inlineStr">
        <is>
          <t>User assessment required</t>
        </is>
      </c>
      <c r="J19" s="918" t="inlineStr">
        <is>
          <t>Working prior</t>
        </is>
      </c>
    </row>
    <row r="20">
      <c r="A20" s="918" t="inlineStr">
        <is>
          <t>C05</t>
        </is>
      </c>
      <c r="B20" s="918" t="inlineStr">
        <is>
          <t>Endpoint protection and execution control</t>
        </is>
      </c>
      <c r="C20" s="918" t="inlineStr">
        <is>
          <t>PR.PS; DE.CM</t>
        </is>
      </c>
      <c r="D20" s="918" t="inlineStr">
        <is>
          <t>M1040; M1049</t>
        </is>
      </c>
      <c r="E20" s="926" t="inlineStr">
        <is>
          <t>Developing</t>
        </is>
      </c>
      <c r="F20" s="926" t="n">
        <v>0.75</v>
      </c>
      <c r="G20" s="918" t="inlineStr">
        <is>
          <t>Developing</t>
        </is>
      </c>
      <c r="H20" s="918" t="n">
        <v>0.75</v>
      </c>
      <c r="I20" s="926" t="inlineStr">
        <is>
          <t>User assessment required</t>
        </is>
      </c>
      <c r="J20" s="918" t="inlineStr">
        <is>
          <t>Working prior</t>
        </is>
      </c>
    </row>
    <row r="21">
      <c r="A21" s="918" t="inlineStr">
        <is>
          <t>C06</t>
        </is>
      </c>
      <c r="B21" s="918" t="inlineStr">
        <is>
          <t>Secure configuration and patching</t>
        </is>
      </c>
      <c r="C21" s="918" t="inlineStr">
        <is>
          <t>PR.PS</t>
        </is>
      </c>
      <c r="D21" s="918" t="inlineStr">
        <is>
          <t>M1042; M1051</t>
        </is>
      </c>
      <c r="E21" s="926" t="inlineStr">
        <is>
          <t>Developing</t>
        </is>
      </c>
      <c r="F21" s="926" t="n">
        <v>0.75</v>
      </c>
      <c r="G21" s="918" t="inlineStr">
        <is>
          <t>Developing</t>
        </is>
      </c>
      <c r="H21" s="918" t="n">
        <v>0.75</v>
      </c>
      <c r="I21" s="926" t="inlineStr">
        <is>
          <t>User assessment required</t>
        </is>
      </c>
      <c r="J21" s="918" t="inlineStr">
        <is>
          <t>Working prior</t>
        </is>
      </c>
    </row>
    <row r="22">
      <c r="A22" s="918" t="inlineStr">
        <is>
          <t>C07</t>
        </is>
      </c>
      <c r="B22" s="918" t="inlineStr">
        <is>
          <t>Network security and segmentation</t>
        </is>
      </c>
      <c r="C22" s="918" t="inlineStr">
        <is>
          <t>PR.IR; PR.PS</t>
        </is>
      </c>
      <c r="D22" s="918" t="inlineStr">
        <is>
          <t>M1030; M1037</t>
        </is>
      </c>
      <c r="E22" s="926" t="inlineStr">
        <is>
          <t>Developing</t>
        </is>
      </c>
      <c r="F22" s="926" t="n">
        <v>0.75</v>
      </c>
      <c r="G22" s="918" t="inlineStr">
        <is>
          <t>Developing</t>
        </is>
      </c>
      <c r="H22" s="918" t="n">
        <v>0.75</v>
      </c>
      <c r="I22" s="926" t="inlineStr">
        <is>
          <t>User assessment required</t>
        </is>
      </c>
      <c r="J22" s="918" t="inlineStr">
        <is>
          <t>Working prior</t>
        </is>
      </c>
    </row>
    <row r="23">
      <c r="A23" s="918" t="inlineStr">
        <is>
          <t>C08</t>
        </is>
      </c>
      <c r="B23" s="918" t="inlineStr">
        <is>
          <t>Cloud and SaaS security</t>
        </is>
      </c>
      <c r="C23" s="918" t="inlineStr">
        <is>
          <t>PR.AA; PR.PS; DE.CM</t>
        </is>
      </c>
      <c r="D23" s="918" t="inlineStr">
        <is>
          <t>M1047; M1032</t>
        </is>
      </c>
      <c r="E23" s="926" t="inlineStr">
        <is>
          <t>Developing</t>
        </is>
      </c>
      <c r="F23" s="926" t="n">
        <v>0.75</v>
      </c>
      <c r="G23" s="918" t="inlineStr">
        <is>
          <t>Developing</t>
        </is>
      </c>
      <c r="H23" s="918" t="n">
        <v>0.75</v>
      </c>
      <c r="I23" s="926" t="inlineStr">
        <is>
          <t>User assessment required</t>
        </is>
      </c>
      <c r="J23" s="918" t="inlineStr">
        <is>
          <t>Working prior</t>
        </is>
      </c>
    </row>
    <row r="24">
      <c r="A24" s="918" t="inlineStr">
        <is>
          <t>C09</t>
        </is>
      </c>
      <c r="B24" s="918" t="inlineStr">
        <is>
          <t>Application and API security</t>
        </is>
      </c>
      <c r="C24" s="918" t="inlineStr">
        <is>
          <t>ID.RA; PR.PS</t>
        </is>
      </c>
      <c r="D24" s="918" t="inlineStr">
        <is>
          <t>M1050; M1051</t>
        </is>
      </c>
      <c r="E24" s="926" t="inlineStr">
        <is>
          <t>Developing</t>
        </is>
      </c>
      <c r="F24" s="926" t="n">
        <v>0.75</v>
      </c>
      <c r="G24" s="918" t="inlineStr">
        <is>
          <t>Developing</t>
        </is>
      </c>
      <c r="H24" s="918" t="n">
        <v>0.75</v>
      </c>
      <c r="I24" s="926" t="inlineStr">
        <is>
          <t>User assessment required</t>
        </is>
      </c>
      <c r="J24" s="918" t="inlineStr">
        <is>
          <t>Working prior</t>
        </is>
      </c>
    </row>
    <row r="25">
      <c r="A25" s="918" t="inlineStr">
        <is>
          <t>C10</t>
        </is>
      </c>
      <c r="B25" s="918" t="inlineStr">
        <is>
          <t>Logging, detection and threat response</t>
        </is>
      </c>
      <c r="C25" s="918" t="inlineStr">
        <is>
          <t>DE.CM; DE.AE; RS.AN</t>
        </is>
      </c>
      <c r="D25" s="918" t="inlineStr">
        <is>
          <t>M1047</t>
        </is>
      </c>
      <c r="E25" s="926" t="inlineStr">
        <is>
          <t>Developing</t>
        </is>
      </c>
      <c r="F25" s="926" t="n">
        <v>0.75</v>
      </c>
      <c r="G25" s="918" t="inlineStr">
        <is>
          <t>Developing</t>
        </is>
      </c>
      <c r="H25" s="918" t="n">
        <v>0.75</v>
      </c>
      <c r="I25" s="926" t="inlineStr">
        <is>
          <t>User assessment required</t>
        </is>
      </c>
      <c r="J25" s="918" t="inlineStr">
        <is>
          <t>Working prior</t>
        </is>
      </c>
    </row>
    <row r="26">
      <c r="A26" s="918" t="inlineStr">
        <is>
          <t>C11</t>
        </is>
      </c>
      <c r="B26" s="918" t="inlineStr">
        <is>
          <t>Data protection and DLP</t>
        </is>
      </c>
      <c r="C26" s="918" t="inlineStr">
        <is>
          <t>PR.DS</t>
        </is>
      </c>
      <c r="D26" s="918" t="inlineStr">
        <is>
          <t>M1041; M1057</t>
        </is>
      </c>
      <c r="E26" s="926" t="inlineStr">
        <is>
          <t>Developing</t>
        </is>
      </c>
      <c r="F26" s="926" t="n">
        <v>0.75</v>
      </c>
      <c r="G26" s="918" t="inlineStr">
        <is>
          <t>Developing</t>
        </is>
      </c>
      <c r="H26" s="918" t="n">
        <v>0.75</v>
      </c>
      <c r="I26" s="926" t="inlineStr">
        <is>
          <t>User assessment required</t>
        </is>
      </c>
      <c r="J26" s="918" t="inlineStr">
        <is>
          <t>Working prior</t>
        </is>
      </c>
    </row>
    <row r="27">
      <c r="A27" s="918" t="inlineStr">
        <is>
          <t>C12</t>
        </is>
      </c>
      <c r="B27" s="918" t="inlineStr">
        <is>
          <t>Third-party and supply-chain security</t>
        </is>
      </c>
      <c r="C27" s="918" t="inlineStr">
        <is>
          <t>GV.SC; ID.RA</t>
        </is>
      </c>
      <c r="D27" s="918" t="inlineStr">
        <is>
          <t>M1045; M1051</t>
        </is>
      </c>
      <c r="E27" s="926" t="inlineStr">
        <is>
          <t>Developing</t>
        </is>
      </c>
      <c r="F27" s="926" t="n">
        <v>0.75</v>
      </c>
      <c r="G27" s="918" t="inlineStr">
        <is>
          <t>Developing</t>
        </is>
      </c>
      <c r="H27" s="918" t="n">
        <v>0.75</v>
      </c>
      <c r="I27" s="926" t="inlineStr">
        <is>
          <t>User assessment required</t>
        </is>
      </c>
      <c r="J27" s="918" t="inlineStr">
        <is>
          <t>Working prior</t>
        </is>
      </c>
    </row>
    <row r="28">
      <c r="A28" s="918" t="inlineStr">
        <is>
          <t>C13</t>
        </is>
      </c>
      <c r="B28" s="918" t="inlineStr">
        <is>
          <t>DDoS protection and service resilience</t>
        </is>
      </c>
      <c r="C28" s="918" t="inlineStr">
        <is>
          <t>PR.IR</t>
        </is>
      </c>
      <c r="D28" s="918" t="inlineStr">
        <is>
          <t>M1037</t>
        </is>
      </c>
      <c r="E28" s="926" t="inlineStr">
        <is>
          <t>Developing</t>
        </is>
      </c>
      <c r="F28" s="926" t="n">
        <v>0.75</v>
      </c>
      <c r="G28" s="918" t="inlineStr">
        <is>
          <t>Developing</t>
        </is>
      </c>
      <c r="H28" s="918" t="n">
        <v>0.75</v>
      </c>
      <c r="I28" s="926" t="inlineStr">
        <is>
          <t>User assessment required</t>
        </is>
      </c>
      <c r="J28" s="918" t="inlineStr">
        <is>
          <t>Working prior</t>
        </is>
      </c>
    </row>
    <row r="29">
      <c r="A29" s="918" t="inlineStr">
        <is>
          <t>C14</t>
        </is>
      </c>
      <c r="B29" s="918" t="inlineStr">
        <is>
          <t>Backup, recovery and crisis management</t>
        </is>
      </c>
      <c r="C29" s="918" t="inlineStr">
        <is>
          <t>RC.RP; RS.MA</t>
        </is>
      </c>
      <c r="D29" s="918" t="inlineStr">
        <is>
          <t>M1053</t>
        </is>
      </c>
      <c r="E29" s="926" t="inlineStr">
        <is>
          <t>Developing</t>
        </is>
      </c>
      <c r="F29" s="926" t="n">
        <v>0.75</v>
      </c>
      <c r="G29" s="918" t="inlineStr">
        <is>
          <t>Developing</t>
        </is>
      </c>
      <c r="H29" s="918" t="n">
        <v>0.75</v>
      </c>
      <c r="I29" s="926" t="inlineStr">
        <is>
          <t>User assessment required</t>
        </is>
      </c>
      <c r="J29" s="918" t="inlineStr">
        <is>
          <t>Working prior</t>
        </is>
      </c>
    </row>
    <row r="30">
      <c r="A30" s="918" t="inlineStr">
        <is>
          <t>C15</t>
        </is>
      </c>
      <c r="B30" s="918" t="inlineStr">
        <is>
          <t>Payment and fraud controls</t>
        </is>
      </c>
      <c r="C30" s="918" t="inlineStr">
        <is>
          <t>PR.AA; DE.AE; RS.MI</t>
        </is>
      </c>
      <c r="D30" s="918" t="inlineStr">
        <is>
          <t>M1018; M1047</t>
        </is>
      </c>
      <c r="E30" s="926" t="inlineStr">
        <is>
          <t>Developing</t>
        </is>
      </c>
      <c r="F30" s="926" t="n">
        <v>0.75</v>
      </c>
      <c r="G30" s="918" t="inlineStr">
        <is>
          <t>Developing</t>
        </is>
      </c>
      <c r="H30" s="918" t="n">
        <v>0.75</v>
      </c>
      <c r="I30" s="926" t="inlineStr">
        <is>
          <t>User assessment required</t>
        </is>
      </c>
      <c r="J30" s="918" t="inlineStr">
        <is>
          <t>Working prior</t>
        </is>
      </c>
    </row>
    <row r="31">
      <c r="A31" s="918" t="n"/>
      <c r="B31" s="918" t="n"/>
      <c r="C31" s="918" t="n"/>
      <c r="D31" s="918" t="n"/>
      <c r="E31" s="918" t="n"/>
      <c r="F31" s="918" t="n"/>
      <c r="G31" s="918" t="n"/>
      <c r="H31" s="918" t="n"/>
      <c r="I31" s="918" t="n"/>
      <c r="J31" s="918" t="n"/>
    </row>
    <row r="32">
      <c r="A32" s="918" t="n"/>
      <c r="B32" s="918" t="n"/>
      <c r="C32" s="918" t="n"/>
      <c r="D32" s="918" t="n"/>
      <c r="E32" s="918" t="n"/>
      <c r="F32" s="918" t="n"/>
      <c r="G32" s="918" t="n"/>
      <c r="H32" s="918" t="n"/>
      <c r="I32" s="918" t="n"/>
      <c r="J32" s="918" t="n"/>
    </row>
  </sheetData>
  <dataValidations count="1">
    <dataValidation sqref="E16:E115" showDropDown="0" showInputMessage="0" showErrorMessage="1" allowBlank="0" errorTitle="Invalid selection" error="Select a value from the list." type="list">
      <formula1>"Absent,Initial,Developing,Managed,Optimised,Not Assessed"</formula1>
    </dataValidation>
  </dataValidations>
  <pageMargins left="0.7" right="0.7" top="0.75" bottom="0.75" header="0.3" footer="0.3"/>
</worksheet>
</file>

<file path=xl/worksheets/sheet22.xml><?xml version="1.0" encoding="utf-8"?>
<worksheet xmlns="http://schemas.openxmlformats.org/spreadsheetml/2006/main">
  <sheetPr>
    <tabColor rgb="0000B0F0"/>
    <outlinePr summaryBelow="1" summaryRight="1"/>
    <pageSetUpPr/>
  </sheetPr>
  <dimension ref="A1:N250"/>
  <sheetViews>
    <sheetView workbookViewId="0">
      <selection activeCell="A1" sqref="A1"/>
    </sheetView>
  </sheetViews>
  <sheetFormatPr baseColWidth="8" defaultRowHeight="15"/>
  <cols>
    <col width="16" customWidth="1" style="508" min="1" max="1"/>
    <col width="24" customWidth="1" style="508" min="2" max="2"/>
    <col width="24" customWidth="1" style="508" min="3" max="3"/>
    <col width="26" customWidth="1" style="508" min="4" max="4"/>
    <col width="26" customWidth="1" style="508" min="5" max="5"/>
    <col width="16" customWidth="1" style="508" min="6" max="6"/>
    <col width="16" customWidth="1" style="508" min="7" max="7"/>
    <col width="16" customWidth="1" style="508" min="8" max="8"/>
    <col width="16" customWidth="1" style="508" min="9" max="9"/>
    <col width="16" customWidth="1" style="508" min="10" max="10"/>
    <col width="16" customWidth="1" style="508" min="11" max="11"/>
    <col width="16" customWidth="1" style="508" min="12" max="12"/>
    <col width="16" customWidth="1" style="508" min="13" max="13"/>
    <col width="16" customWidth="1" style="508" min="14" max="14"/>
    <col width="14" customWidth="1" style="508" min="15" max="15"/>
    <col width="14" customWidth="1" style="508" min="16" max="16"/>
    <col width="14" customWidth="1" style="508" min="17" max="17"/>
    <col width="14" customWidth="1" style="508" min="18" max="18"/>
    <col width="14" customWidth="1" style="508" min="19" max="19"/>
    <col width="14" customWidth="1" style="508" min="20" max="20"/>
    <col width="14" customWidth="1" style="508" min="21" max="21"/>
    <col width="14" customWidth="1" style="508" min="22" max="22"/>
    <col width="14" customWidth="1" style="508" min="23" max="23"/>
    <col width="14" customWidth="1" style="508" min="24" max="24"/>
    <col width="14" customWidth="1" style="508" min="25" max="25"/>
    <col width="14" customWidth="1" style="508" min="26" max="26"/>
  </cols>
  <sheetData>
    <row r="1">
      <c r="A1" s="1003" t="inlineStr">
        <is>
          <t>06 — Impact and Business Impact Analysis</t>
        </is>
      </c>
      <c r="M1" s="918" t="n"/>
      <c r="N1" s="918" t="n"/>
    </row>
    <row r="2">
      <c r="A2" s="1004" t="inlineStr">
        <is>
          <t>Pack-driven P50/P99 assumptions. Python prepares this long table and preserves overrides.</t>
        </is>
      </c>
      <c r="M2" s="918" t="n"/>
      <c r="N2" s="918" t="n"/>
    </row>
    <row r="3">
      <c r="A3" s="1029">
        <f>IF('00 COMMON - Run Setup'!C6="IT","FILL this sheet — IT assessment.","Not used for this run. Complete the OT assessment section only.")</f>
        <v/>
      </c>
      <c r="B3" s="918" t="n"/>
      <c r="C3" s="918" t="n"/>
      <c r="D3" s="918" t="n"/>
      <c r="E3" s="918" t="n"/>
      <c r="F3" s="918" t="n"/>
      <c r="G3" s="918" t="n"/>
      <c r="H3" s="918" t="n"/>
      <c r="I3" s="918" t="n"/>
      <c r="J3" s="918" t="n"/>
      <c r="K3" s="918" t="n"/>
      <c r="L3" s="918" t="n"/>
      <c r="M3" s="918" t="n"/>
      <c r="N3" s="918" t="n"/>
    </row>
    <row r="4">
      <c r="A4" s="918" t="inlineStr">
        <is>
          <t>Organisation-scale figures below are live links to IT 03 — do not type them here. On this sheet, fill Override P50/P99 only where you have organisation-specific BIA evidence. Leave overrides blank to keep the Financial Services pack baseline.</t>
        </is>
      </c>
      <c r="B4" s="918" t="n"/>
      <c r="C4" s="918" t="n"/>
      <c r="D4" s="918" t="n"/>
      <c r="E4" s="918" t="n"/>
      <c r="F4" s="918" t="n"/>
      <c r="G4" s="918" t="n"/>
      <c r="H4" s="918" t="n"/>
      <c r="I4" s="918" t="n"/>
      <c r="J4" s="918" t="n"/>
      <c r="K4" s="918" t="n"/>
      <c r="L4" s="918" t="n"/>
      <c r="M4" s="918" t="n"/>
      <c r="N4" s="918" t="n"/>
    </row>
    <row r="5">
      <c r="A5" s="1005" t="inlineStr">
        <is>
          <t>ORGANISATION-SCALE INPUTS</t>
        </is>
      </c>
    </row>
    <row r="6">
      <c r="A6" s="1006" t="inlineStr">
        <is>
          <t>Metric</t>
        </is>
      </c>
      <c r="B6" s="1007" t="inlineStr">
        <is>
          <t>Value</t>
        </is>
      </c>
      <c r="C6" s="1008" t="inlineStr">
        <is>
          <t>Source</t>
        </is>
      </c>
      <c r="D6" s="918" t="n"/>
      <c r="E6" s="918" t="n"/>
      <c r="F6" s="918" t="n"/>
      <c r="G6" s="918" t="n"/>
      <c r="H6" s="918" t="n"/>
      <c r="I6" s="918" t="n"/>
      <c r="J6" s="918" t="n"/>
      <c r="K6" s="918" t="n"/>
      <c r="L6" s="918" t="n"/>
      <c r="M6" s="918" t="n"/>
      <c r="N6" s="918" t="n"/>
    </row>
    <row r="7">
      <c r="A7" s="1009" t="inlineStr">
        <is>
          <t>Annual revenue at risk</t>
        </is>
      </c>
      <c r="B7" s="1010">
        <f>'IT 03 - Organisation Inputs'!C21</f>
        <v/>
      </c>
      <c r="C7" s="1011" t="inlineStr">
        <is>
          <t>IT 03 - Organisation Inputs (live)</t>
        </is>
      </c>
      <c r="D7" s="918" t="n"/>
      <c r="E7" s="918" t="n"/>
      <c r="F7" s="918" t="n"/>
      <c r="G7" s="918" t="n"/>
      <c r="H7" s="918" t="n"/>
      <c r="I7" s="918" t="n"/>
      <c r="J7" s="918" t="n"/>
      <c r="K7" s="918" t="n"/>
      <c r="L7" s="918" t="n"/>
      <c r="M7" s="918" t="n"/>
      <c r="N7" s="918" t="n"/>
    </row>
    <row r="8">
      <c r="A8" s="1012" t="inlineStr">
        <is>
          <t>Annual payment value</t>
        </is>
      </c>
      <c r="B8" s="1013">
        <f>'IT 03 - Organisation Inputs'!C22</f>
        <v/>
      </c>
      <c r="C8" s="1014" t="inlineStr">
        <is>
          <t>IT 03 - Organisation Inputs (live)</t>
        </is>
      </c>
      <c r="D8" s="918" t="n"/>
      <c r="E8" s="918" t="n"/>
      <c r="F8" s="918" t="n"/>
      <c r="G8" s="918" t="n"/>
      <c r="H8" s="918" t="n"/>
      <c r="I8" s="918" t="n"/>
      <c r="J8" s="918" t="n"/>
      <c r="K8" s="918" t="n"/>
      <c r="L8" s="918" t="n"/>
      <c r="M8" s="918" t="n"/>
      <c r="N8" s="918" t="n"/>
    </row>
    <row r="9">
      <c r="A9" s="1012" t="inlineStr">
        <is>
          <t>BI loss factor</t>
        </is>
      </c>
      <c r="B9" s="1015">
        <f>'IT 03 - Organisation Inputs'!C23</f>
        <v/>
      </c>
      <c r="C9" s="1014" t="inlineStr">
        <is>
          <t>IT 03 - Organisation Inputs (live)</t>
        </is>
      </c>
      <c r="D9" s="918" t="n"/>
      <c r="E9" s="918" t="n"/>
      <c r="F9" s="918" t="n"/>
      <c r="G9" s="918" t="n"/>
      <c r="H9" s="918" t="n"/>
      <c r="I9" s="918" t="n"/>
      <c r="J9" s="918" t="n"/>
      <c r="K9" s="918" t="n"/>
      <c r="L9" s="918" t="n"/>
      <c r="M9" s="918" t="n"/>
      <c r="N9" s="918" t="n"/>
    </row>
    <row r="10">
      <c r="A10" s="1012" t="inlineStr">
        <is>
          <t>Customers</t>
        </is>
      </c>
      <c r="B10" s="1016">
        <f>'IT 03 - Organisation Inputs'!C25</f>
        <v/>
      </c>
      <c r="C10" s="1014" t="inlineStr">
        <is>
          <t>IT 03 - Organisation Inputs (live)</t>
        </is>
      </c>
      <c r="D10" s="918" t="n"/>
      <c r="E10" s="918" t="n"/>
      <c r="F10" s="918" t="n"/>
      <c r="G10" s="918" t="n"/>
      <c r="H10" s="918" t="n"/>
      <c r="I10" s="918" t="n"/>
      <c r="J10" s="918" t="n"/>
      <c r="K10" s="918" t="n"/>
      <c r="L10" s="918" t="n"/>
      <c r="M10" s="918" t="n"/>
      <c r="N10" s="918" t="n"/>
    </row>
    <row r="11">
      <c r="A11" s="1012" t="inlineStr">
        <is>
          <t>Sensitive records</t>
        </is>
      </c>
      <c r="B11" s="1016">
        <f>'IT 03 - Organisation Inputs'!C26</f>
        <v/>
      </c>
      <c r="C11" s="1014" t="inlineStr">
        <is>
          <t>IT 03 - Organisation Inputs (live)</t>
        </is>
      </c>
      <c r="D11" s="918" t="n"/>
      <c r="E11" s="918" t="n"/>
      <c r="F11" s="918" t="n"/>
      <c r="G11" s="918" t="n"/>
      <c r="H11" s="918" t="n"/>
      <c r="I11" s="918" t="n"/>
      <c r="J11" s="918" t="n"/>
      <c r="K11" s="918" t="n"/>
      <c r="L11" s="918" t="n"/>
      <c r="M11" s="918" t="n"/>
      <c r="N11" s="918" t="n"/>
    </row>
    <row r="12">
      <c r="A12" s="1012" t="inlineStr">
        <is>
          <t>Critical endpoints</t>
        </is>
      </c>
      <c r="B12" s="1016">
        <f>'IT 03 - Organisation Inputs'!C27</f>
        <v/>
      </c>
      <c r="C12" s="1014" t="inlineStr">
        <is>
          <t>IT 03 - Organisation Inputs (live)</t>
        </is>
      </c>
      <c r="D12" s="918" t="n"/>
      <c r="E12" s="918" t="n"/>
      <c r="F12" s="918" t="n"/>
      <c r="G12" s="918" t="n"/>
      <c r="H12" s="918" t="n"/>
      <c r="I12" s="918" t="n"/>
      <c r="J12" s="918" t="n"/>
      <c r="K12" s="918" t="n"/>
      <c r="L12" s="918" t="n"/>
      <c r="M12" s="918" t="n"/>
      <c r="N12" s="918" t="n"/>
    </row>
    <row r="13">
      <c r="A13" s="1017" t="inlineStr">
        <is>
          <t>Critical servers</t>
        </is>
      </c>
      <c r="B13" s="1018">
        <f>'IT 03 - Organisation Inputs'!C28</f>
        <v/>
      </c>
      <c r="C13" s="1019" t="inlineStr">
        <is>
          <t>IT 03 - Organisation Inputs (live)</t>
        </is>
      </c>
      <c r="D13" s="918" t="n"/>
      <c r="E13" s="918" t="n"/>
      <c r="F13" s="918" t="n"/>
      <c r="G13" s="918" t="n"/>
      <c r="H13" s="918" t="n"/>
      <c r="I13" s="918" t="n"/>
      <c r="J13" s="918" t="n"/>
      <c r="K13" s="918" t="n"/>
      <c r="L13" s="918" t="n"/>
      <c r="M13" s="918" t="n"/>
      <c r="N13" s="918" t="n"/>
    </row>
    <row r="14">
      <c r="A14" s="918" t="n"/>
      <c r="B14" s="918" t="n"/>
      <c r="C14" s="918" t="n"/>
      <c r="D14" s="918" t="n"/>
      <c r="E14" s="918" t="n"/>
      <c r="F14" s="918" t="n"/>
      <c r="G14" s="918" t="n"/>
      <c r="H14" s="918" t="n"/>
      <c r="I14" s="918" t="n"/>
      <c r="J14" s="918" t="n"/>
      <c r="K14" s="918" t="n"/>
      <c r="L14" s="918" t="n"/>
      <c r="M14" s="918" t="n"/>
      <c r="N14" s="918" t="n"/>
    </row>
    <row r="15">
      <c r="A15" s="1005" t="inlineStr">
        <is>
          <t>PACK ASSUMPTIONS AND ORGANISATION OVERRIDES</t>
        </is>
      </c>
    </row>
    <row r="16" ht="30" customHeight="1" s="508">
      <c r="A16" s="1006" t="inlineStr">
        <is>
          <t>Assumption type</t>
        </is>
      </c>
      <c r="B16" s="1007" t="inlineStr">
        <is>
          <t>Scenario ID</t>
        </is>
      </c>
      <c r="C16" s="1007" t="inlineStr">
        <is>
          <t>Scenario</t>
        </is>
      </c>
      <c r="D16" s="1007" t="inlineStr">
        <is>
          <t>Parameter ID</t>
        </is>
      </c>
      <c r="E16" s="1007" t="inlineStr">
        <is>
          <t>Description</t>
        </is>
      </c>
      <c r="F16" s="1007" t="inlineStr">
        <is>
          <t>Unit</t>
        </is>
      </c>
      <c r="G16" s="1007" t="inlineStr">
        <is>
          <t>Pack P50</t>
        </is>
      </c>
      <c r="H16" s="1007" t="inlineStr">
        <is>
          <t>Pack P99</t>
        </is>
      </c>
      <c r="I16" s="1007" t="inlineStr">
        <is>
          <t>Override P50</t>
        </is>
      </c>
      <c r="J16" s="1007" t="inlineStr">
        <is>
          <t>Override P99</t>
        </is>
      </c>
      <c r="K16" s="1007" t="inlineStr">
        <is>
          <t>Used P50</t>
        </is>
      </c>
      <c r="L16" s="1007" t="inlineStr">
        <is>
          <t>Used P99</t>
        </is>
      </c>
      <c r="M16" s="1007" t="inlineStr">
        <is>
          <t>Evidence grade</t>
        </is>
      </c>
      <c r="N16" s="1008" t="inlineStr">
        <is>
          <t>Source ID</t>
        </is>
      </c>
    </row>
    <row r="17">
      <c r="A17" s="1009" t="inlineStr">
        <is>
          <t>RATE</t>
        </is>
      </c>
      <c r="B17" s="1020" t="inlineStr"/>
      <c r="C17" s="1020" t="inlineStr"/>
      <c r="D17" s="1020" t="inlineStr">
        <is>
          <t>NOTIFICATION_PER_RECORD</t>
        </is>
      </c>
      <c r="E17" s="1020" t="inlineStr">
        <is>
          <t>Notification cost per affected record</t>
        </is>
      </c>
      <c r="F17" s="1020" t="inlineStr">
        <is>
          <t>USD/record</t>
        </is>
      </c>
      <c r="G17" s="1020" t="n">
        <v>0.5</v>
      </c>
      <c r="H17" s="1020" t="n">
        <v>1</v>
      </c>
      <c r="I17" s="1021" t="n"/>
      <c r="J17" s="1021" t="n"/>
      <c r="K17" s="1020" t="n">
        <v>0.5</v>
      </c>
      <c r="L17" s="1020" t="n">
        <v>1</v>
      </c>
      <c r="M17" s="1020" t="inlineStr">
        <is>
          <t>D</t>
        </is>
      </c>
      <c r="N17" s="1011" t="inlineStr">
        <is>
          <t>SRC-07</t>
        </is>
      </c>
    </row>
    <row r="18">
      <c r="A18" s="1009" t="inlineStr">
        <is>
          <t>RATE</t>
        </is>
      </c>
      <c r="B18" s="1020" t="inlineStr"/>
      <c r="C18" s="1020" t="inlineStr"/>
      <c r="D18" s="1020" t="inlineStr">
        <is>
          <t>CREDIT_MONITORING_PER_RECORD</t>
        </is>
      </c>
      <c r="E18" s="1020" t="inlineStr">
        <is>
          <t>Credit monitoring per participating record</t>
        </is>
      </c>
      <c r="F18" s="1020" t="inlineStr">
        <is>
          <t>USD/record</t>
        </is>
      </c>
      <c r="G18" s="1020" t="n">
        <v>8</v>
      </c>
      <c r="H18" s="1020" t="n">
        <v>20</v>
      </c>
      <c r="I18" s="1021" t="n"/>
      <c r="J18" s="1021" t="n"/>
      <c r="K18" s="1020" t="n">
        <v>8</v>
      </c>
      <c r="L18" s="1020" t="n">
        <v>20</v>
      </c>
      <c r="M18" s="1020" t="inlineStr">
        <is>
          <t>D</t>
        </is>
      </c>
      <c r="N18" s="1011" t="inlineStr">
        <is>
          <t>SRC-07</t>
        </is>
      </c>
    </row>
    <row r="19">
      <c r="A19" s="1009" t="inlineStr">
        <is>
          <t>RATE</t>
        </is>
      </c>
      <c r="B19" s="1020" t="inlineStr"/>
      <c r="C19" s="1020" t="inlineStr"/>
      <c r="D19" s="1020" t="inlineStr">
        <is>
          <t>FORENSIC_DAILY</t>
        </is>
      </c>
      <c r="E19" s="1020" t="inlineStr">
        <is>
          <t>Daily forensic investigation team</t>
        </is>
      </c>
      <c r="F19" s="1020" t="inlineStr">
        <is>
          <t>USD/day</t>
        </is>
      </c>
      <c r="G19" s="1020" t="n">
        <v>2000</v>
      </c>
      <c r="H19" s="1020" t="n">
        <v>4000</v>
      </c>
      <c r="I19" s="1021" t="n"/>
      <c r="J19" s="1021" t="n"/>
      <c r="K19" s="1020" t="n">
        <v>2000</v>
      </c>
      <c r="L19" s="1020" t="n">
        <v>4000</v>
      </c>
      <c r="M19" s="1020" t="inlineStr">
        <is>
          <t>D</t>
        </is>
      </c>
      <c r="N19" s="1011" t="inlineStr">
        <is>
          <t>SRC-07</t>
        </is>
      </c>
    </row>
    <row r="20">
      <c r="A20" s="1009" t="inlineStr">
        <is>
          <t>RATE</t>
        </is>
      </c>
      <c r="B20" s="1020" t="inlineStr"/>
      <c r="C20" s="1020" t="inlineStr"/>
      <c r="D20" s="1020" t="inlineStr">
        <is>
          <t>EXTERNAL_CYBER_DAILY</t>
        </is>
      </c>
      <c r="E20" s="1020" t="inlineStr">
        <is>
          <t>Daily external cyber response team</t>
        </is>
      </c>
      <c r="F20" s="1020" t="inlineStr">
        <is>
          <t>USD/day</t>
        </is>
      </c>
      <c r="G20" s="1020" t="n">
        <v>3000</v>
      </c>
      <c r="H20" s="1020" t="n">
        <v>5000</v>
      </c>
      <c r="I20" s="1021" t="n"/>
      <c r="J20" s="1021" t="n"/>
      <c r="K20" s="1020" t="n">
        <v>3000</v>
      </c>
      <c r="L20" s="1020" t="n">
        <v>5000</v>
      </c>
      <c r="M20" s="1020" t="inlineStr">
        <is>
          <t>D</t>
        </is>
      </c>
      <c r="N20" s="1011" t="inlineStr">
        <is>
          <t>SRC-07</t>
        </is>
      </c>
    </row>
    <row r="21">
      <c r="A21" s="1009" t="inlineStr">
        <is>
          <t>RATE</t>
        </is>
      </c>
      <c r="B21" s="1020" t="inlineStr"/>
      <c r="C21" s="1020" t="inlineStr"/>
      <c r="D21" s="1020" t="inlineStr">
        <is>
          <t>RESTORATION_DAILY</t>
        </is>
      </c>
      <c r="E21" s="1020" t="inlineStr">
        <is>
          <t>Daily data restoration team</t>
        </is>
      </c>
      <c r="F21" s="1020" t="inlineStr">
        <is>
          <t>USD/day</t>
        </is>
      </c>
      <c r="G21" s="1020" t="n">
        <v>2000</v>
      </c>
      <c r="H21" s="1020" t="n">
        <v>4000</v>
      </c>
      <c r="I21" s="1021" t="n"/>
      <c r="J21" s="1021" t="n"/>
      <c r="K21" s="1020" t="n">
        <v>2000</v>
      </c>
      <c r="L21" s="1020" t="n">
        <v>4000</v>
      </c>
      <c r="M21" s="1020" t="inlineStr">
        <is>
          <t>D</t>
        </is>
      </c>
      <c r="N21" s="1011" t="inlineStr">
        <is>
          <t>SRC-07</t>
        </is>
      </c>
    </row>
    <row r="22">
      <c r="A22" s="1009" t="inlineStr">
        <is>
          <t>RATE</t>
        </is>
      </c>
      <c r="B22" s="1020" t="inlineStr"/>
      <c r="C22" s="1020" t="inlineStr"/>
      <c r="D22" s="1020" t="inlineStr">
        <is>
          <t>LEGAL_DAILY</t>
        </is>
      </c>
      <c r="E22" s="1020" t="inlineStr">
        <is>
          <t>Daily external legal team</t>
        </is>
      </c>
      <c r="F22" s="1020" t="inlineStr">
        <is>
          <t>USD/day</t>
        </is>
      </c>
      <c r="G22" s="1020" t="n">
        <v>5000</v>
      </c>
      <c r="H22" s="1020" t="n">
        <v>10000</v>
      </c>
      <c r="I22" s="1021" t="n"/>
      <c r="J22" s="1021" t="n"/>
      <c r="K22" s="1020" t="n">
        <v>5000</v>
      </c>
      <c r="L22" s="1020" t="n">
        <v>10000</v>
      </c>
      <c r="M22" s="1020" t="inlineStr">
        <is>
          <t>D</t>
        </is>
      </c>
      <c r="N22" s="1011" t="inlineStr">
        <is>
          <t>SRC-07</t>
        </is>
      </c>
    </row>
    <row r="23">
      <c r="A23" s="1009" t="inlineStr">
        <is>
          <t>RATE</t>
        </is>
      </c>
      <c r="B23" s="1020" t="inlineStr"/>
      <c r="C23" s="1020" t="inlineStr"/>
      <c r="D23" s="1020" t="inlineStr">
        <is>
          <t>ENDPOINT_REPAIR</t>
        </is>
      </c>
      <c r="E23" s="1020" t="inlineStr">
        <is>
          <t>Endpoint repair/replacement unit cost</t>
        </is>
      </c>
      <c r="F23" s="1020" t="inlineStr">
        <is>
          <t>USD/endpoint</t>
        </is>
      </c>
      <c r="G23" s="1020" t="n">
        <v>200</v>
      </c>
      <c r="H23" s="1020" t="n">
        <v>500</v>
      </c>
      <c r="I23" s="1021" t="n"/>
      <c r="J23" s="1021" t="n"/>
      <c r="K23" s="1020" t="n">
        <v>200</v>
      </c>
      <c r="L23" s="1020" t="n">
        <v>500</v>
      </c>
      <c r="M23" s="1020" t="inlineStr">
        <is>
          <t>D</t>
        </is>
      </c>
      <c r="N23" s="1011" t="inlineStr">
        <is>
          <t>SRC-07</t>
        </is>
      </c>
    </row>
    <row r="24">
      <c r="A24" s="1009" t="inlineStr">
        <is>
          <t>RATE</t>
        </is>
      </c>
      <c r="B24" s="1020" t="inlineStr"/>
      <c r="C24" s="1020" t="inlineStr"/>
      <c r="D24" s="1020" t="inlineStr">
        <is>
          <t>SERVER_REPAIR</t>
        </is>
      </c>
      <c r="E24" s="1020" t="inlineStr">
        <is>
          <t>Server repair/replacement unit cost</t>
        </is>
      </c>
      <c r="F24" s="1020" t="inlineStr">
        <is>
          <t>USD/server</t>
        </is>
      </c>
      <c r="G24" s="1020" t="n">
        <v>5000</v>
      </c>
      <c r="H24" s="1020" t="n">
        <v>8000</v>
      </c>
      <c r="I24" s="1021" t="n"/>
      <c r="J24" s="1021" t="n"/>
      <c r="K24" s="1020" t="n">
        <v>5000</v>
      </c>
      <c r="L24" s="1020" t="n">
        <v>8000</v>
      </c>
      <c r="M24" s="1020" t="inlineStr">
        <is>
          <t>D</t>
        </is>
      </c>
      <c r="N24" s="1011" t="inlineStr">
        <is>
          <t>SRC-07</t>
        </is>
      </c>
    </row>
    <row r="25">
      <c r="A25" s="1009" t="inlineStr">
        <is>
          <t>PARAM</t>
        </is>
      </c>
      <c r="B25" s="1020" t="inlineStr">
        <is>
          <t>SC_DISR</t>
        </is>
      </c>
      <c r="C25" s="1020" t="inlineStr">
        <is>
          <t>Critical business-service disruption</t>
        </is>
      </c>
      <c r="D25" s="1020" t="inlineStr">
        <is>
          <t>AFFECTED_ENDPOINT_SHARE</t>
        </is>
      </c>
      <c r="E25" s="1020" t="inlineStr">
        <is>
          <t>AFFECTED_ENDPOINT_SHARE</t>
        </is>
      </c>
      <c r="F25" s="1020" t="inlineStr">
        <is>
          <t>share</t>
        </is>
      </c>
      <c r="G25" s="1020" t="n">
        <v>0.1</v>
      </c>
      <c r="H25" s="1020" t="n">
        <v>0.5</v>
      </c>
      <c r="I25" s="1021" t="n"/>
      <c r="J25" s="1021" t="n"/>
      <c r="K25" s="1020" t="n">
        <v>0.1</v>
      </c>
      <c r="L25" s="1020" t="n">
        <v>0.5</v>
      </c>
      <c r="M25" s="1020" t="inlineStr">
        <is>
          <t>D</t>
        </is>
      </c>
      <c r="N25" s="1011" t="inlineStr">
        <is>
          <t>SRC-10</t>
        </is>
      </c>
    </row>
    <row r="26">
      <c r="A26" s="1009" t="inlineStr">
        <is>
          <t>PARAM</t>
        </is>
      </c>
      <c r="B26" s="1020" t="inlineStr">
        <is>
          <t>SC_DISR</t>
        </is>
      </c>
      <c r="C26" s="1020" t="inlineStr">
        <is>
          <t>Critical business-service disruption</t>
        </is>
      </c>
      <c r="D26" s="1020" t="inlineStr">
        <is>
          <t>AFFECTED_RECORD_SHARE</t>
        </is>
      </c>
      <c r="E26" s="1020" t="inlineStr">
        <is>
          <t>AFFECTED_RECORD_SHARE</t>
        </is>
      </c>
      <c r="F26" s="1020" t="inlineStr">
        <is>
          <t>share</t>
        </is>
      </c>
      <c r="G26" s="1020" t="n">
        <v>0</v>
      </c>
      <c r="H26" s="1020" t="n">
        <v>0.05</v>
      </c>
      <c r="I26" s="1021" t="n"/>
      <c r="J26" s="1021" t="n"/>
      <c r="K26" s="1020" t="n">
        <v>0</v>
      </c>
      <c r="L26" s="1020" t="n">
        <v>0.05</v>
      </c>
      <c r="M26" s="1020" t="inlineStr">
        <is>
          <t>D</t>
        </is>
      </c>
      <c r="N26" s="1011" t="inlineStr">
        <is>
          <t>SRC-10</t>
        </is>
      </c>
    </row>
    <row r="27">
      <c r="A27" s="1009" t="inlineStr">
        <is>
          <t>PARAM</t>
        </is>
      </c>
      <c r="B27" s="1020" t="inlineStr">
        <is>
          <t>SC_DISR</t>
        </is>
      </c>
      <c r="C27" s="1020" t="inlineStr">
        <is>
          <t>Critical business-service disruption</t>
        </is>
      </c>
      <c r="D27" s="1020" t="inlineStr">
        <is>
          <t>AFFECTED_SERVER_SHARE</t>
        </is>
      </c>
      <c r="E27" s="1020" t="inlineStr">
        <is>
          <t>AFFECTED_SERVER_SHARE</t>
        </is>
      </c>
      <c r="F27" s="1020" t="inlineStr">
        <is>
          <t>share</t>
        </is>
      </c>
      <c r="G27" s="1020" t="n">
        <v>0.1</v>
      </c>
      <c r="H27" s="1020" t="n">
        <v>0.6</v>
      </c>
      <c r="I27" s="1021" t="n"/>
      <c r="J27" s="1021" t="n"/>
      <c r="K27" s="1020" t="n">
        <v>0.1</v>
      </c>
      <c r="L27" s="1020" t="n">
        <v>0.6</v>
      </c>
      <c r="M27" s="1020" t="inlineStr">
        <is>
          <t>D</t>
        </is>
      </c>
      <c r="N27" s="1011" t="inlineStr">
        <is>
          <t>SRC-10</t>
        </is>
      </c>
    </row>
    <row r="28">
      <c r="A28" s="1009" t="inlineStr">
        <is>
          <t>PARAM</t>
        </is>
      </c>
      <c r="B28" s="1020" t="inlineStr">
        <is>
          <t>SC_DISR</t>
        </is>
      </c>
      <c r="C28" s="1020" t="inlineStr">
        <is>
          <t>Critical business-service disruption</t>
        </is>
      </c>
      <c r="D28" s="1020" t="inlineStr">
        <is>
          <t>AFFECTED_SERVICE_SHARE</t>
        </is>
      </c>
      <c r="E28" s="1020" t="inlineStr">
        <is>
          <t>AFFECTED_SERVICE_SHARE</t>
        </is>
      </c>
      <c r="F28" s="1020" t="inlineStr">
        <is>
          <t>share</t>
        </is>
      </c>
      <c r="G28" s="1020" t="n">
        <v>0.3</v>
      </c>
      <c r="H28" s="1020" t="n">
        <v>0.85</v>
      </c>
      <c r="I28" s="1021" t="n"/>
      <c r="J28" s="1021" t="n"/>
      <c r="K28" s="1020" t="n">
        <v>0.3</v>
      </c>
      <c r="L28" s="1020" t="n">
        <v>0.85</v>
      </c>
      <c r="M28" s="1020" t="inlineStr">
        <is>
          <t>D</t>
        </is>
      </c>
      <c r="N28" s="1011" t="inlineStr">
        <is>
          <t>SRC-10</t>
        </is>
      </c>
    </row>
    <row r="29">
      <c r="A29" s="1009" t="inlineStr">
        <is>
          <t>PARAM</t>
        </is>
      </c>
      <c r="B29" s="1020" t="inlineStr">
        <is>
          <t>SC_DISR</t>
        </is>
      </c>
      <c r="C29" s="1020" t="inlineStr">
        <is>
          <t>Critical business-service disruption</t>
        </is>
      </c>
      <c r="D29" s="1020" t="inlineStr">
        <is>
          <t>CHURN_REVENUE_SHARE</t>
        </is>
      </c>
      <c r="E29" s="1020" t="inlineStr">
        <is>
          <t>CHURN_REVENUE_SHARE</t>
        </is>
      </c>
      <c r="F29" s="1020" t="inlineStr">
        <is>
          <t>share</t>
        </is>
      </c>
      <c r="G29" s="1020" t="n">
        <v>0.001</v>
      </c>
      <c r="H29" s="1020" t="n">
        <v>0.01</v>
      </c>
      <c r="I29" s="1021" t="n"/>
      <c r="J29" s="1021" t="n"/>
      <c r="K29" s="1020" t="n">
        <v>0.001</v>
      </c>
      <c r="L29" s="1020" t="n">
        <v>0.01</v>
      </c>
      <c r="M29" s="1020" t="inlineStr">
        <is>
          <t>D</t>
        </is>
      </c>
      <c r="N29" s="1011" t="inlineStr">
        <is>
          <t>SRC-10</t>
        </is>
      </c>
    </row>
    <row r="30">
      <c r="A30" s="1009" t="inlineStr">
        <is>
          <t>PARAM</t>
        </is>
      </c>
      <c r="B30" s="1020" t="inlineStr">
        <is>
          <t>SC_DISR</t>
        </is>
      </c>
      <c r="C30" s="1020" t="inlineStr">
        <is>
          <t>Critical business-service disruption</t>
        </is>
      </c>
      <c r="D30" s="1020" t="inlineStr">
        <is>
          <t>CYBER_DAYS</t>
        </is>
      </c>
      <c r="E30" s="1020" t="inlineStr">
        <is>
          <t>CYBER_DAYS</t>
        </is>
      </c>
      <c r="F30" s="1020" t="inlineStr">
        <is>
          <t>days</t>
        </is>
      </c>
      <c r="G30" s="1020" t="n">
        <v>10</v>
      </c>
      <c r="H30" s="1020" t="n">
        <v>90</v>
      </c>
      <c r="I30" s="1021" t="n"/>
      <c r="J30" s="1021" t="n"/>
      <c r="K30" s="1020" t="n">
        <v>10</v>
      </c>
      <c r="L30" s="1020" t="n">
        <v>90</v>
      </c>
      <c r="M30" s="1020" t="inlineStr">
        <is>
          <t>D</t>
        </is>
      </c>
      <c r="N30" s="1011" t="inlineStr">
        <is>
          <t>SRC-10</t>
        </is>
      </c>
    </row>
    <row r="31">
      <c r="A31" s="1009" t="inlineStr">
        <is>
          <t>PARAM</t>
        </is>
      </c>
      <c r="B31" s="1020" t="inlineStr">
        <is>
          <t>SC_DISR</t>
        </is>
      </c>
      <c r="C31" s="1020" t="inlineStr">
        <is>
          <t>Critical business-service disruption</t>
        </is>
      </c>
      <c r="D31" s="1020" t="inlineStr">
        <is>
          <t>DIVERTED_SHARE</t>
        </is>
      </c>
      <c r="E31" s="1020" t="inlineStr">
        <is>
          <t>DIVERTED_SHARE</t>
        </is>
      </c>
      <c r="F31" s="1020" t="inlineStr">
        <is>
          <t>share</t>
        </is>
      </c>
      <c r="G31" s="1020" t="n">
        <v>0</v>
      </c>
      <c r="H31" s="1020" t="n">
        <v>0</v>
      </c>
      <c r="I31" s="1021" t="n"/>
      <c r="J31" s="1021" t="n"/>
      <c r="K31" s="1020" t="n">
        <v>0</v>
      </c>
      <c r="L31" s="1020" t="n">
        <v>0</v>
      </c>
      <c r="M31" s="1020" t="inlineStr">
        <is>
          <t>D</t>
        </is>
      </c>
      <c r="N31" s="1011" t="inlineStr">
        <is>
          <t>SRC-10</t>
        </is>
      </c>
    </row>
    <row r="32">
      <c r="A32" s="1009" t="inlineStr">
        <is>
          <t>PARAM</t>
        </is>
      </c>
      <c r="B32" s="1020" t="inlineStr">
        <is>
          <t>SC_DISR</t>
        </is>
      </c>
      <c r="C32" s="1020" t="inlineStr">
        <is>
          <t>Critical business-service disruption</t>
        </is>
      </c>
      <c r="D32" s="1020" t="inlineStr">
        <is>
          <t>DOWNTIME_DAYS</t>
        </is>
      </c>
      <c r="E32" s="1020" t="inlineStr">
        <is>
          <t>DOWNTIME_DAYS</t>
        </is>
      </c>
      <c r="F32" s="1020" t="inlineStr">
        <is>
          <t>days</t>
        </is>
      </c>
      <c r="G32" s="1020" t="n">
        <v>3</v>
      </c>
      <c r="H32" s="1020" t="n">
        <v>30</v>
      </c>
      <c r="I32" s="1021" t="n"/>
      <c r="J32" s="1021" t="n"/>
      <c r="K32" s="1020" t="n">
        <v>3</v>
      </c>
      <c r="L32" s="1020" t="n">
        <v>30</v>
      </c>
      <c r="M32" s="1020" t="inlineStr">
        <is>
          <t>D</t>
        </is>
      </c>
      <c r="N32" s="1011" t="inlineStr">
        <is>
          <t>SRC-10</t>
        </is>
      </c>
    </row>
    <row r="33">
      <c r="A33" s="1009" t="inlineStr">
        <is>
          <t>PARAM</t>
        </is>
      </c>
      <c r="B33" s="1020" t="inlineStr">
        <is>
          <t>SC_DISR</t>
        </is>
      </c>
      <c r="C33" s="1020" t="inlineStr">
        <is>
          <t>Critical business-service disruption</t>
        </is>
      </c>
      <c r="D33" s="1020" t="inlineStr">
        <is>
          <t>EXTORTION_DIRECT</t>
        </is>
      </c>
      <c r="E33" s="1020" t="inlineStr">
        <is>
          <t>EXTORTION_DIRECT</t>
        </is>
      </c>
      <c r="F33" s="1020" t="inlineStr">
        <is>
          <t>USD</t>
        </is>
      </c>
      <c r="G33" s="1020" t="n">
        <v>1000000</v>
      </c>
      <c r="H33" s="1020" t="n">
        <v>20000000</v>
      </c>
      <c r="I33" s="1021" t="n"/>
      <c r="J33" s="1021" t="n"/>
      <c r="K33" s="1020" t="n">
        <v>1000000</v>
      </c>
      <c r="L33" s="1020" t="n">
        <v>20000000</v>
      </c>
      <c r="M33" s="1020" t="inlineStr">
        <is>
          <t>D</t>
        </is>
      </c>
      <c r="N33" s="1011" t="inlineStr">
        <is>
          <t>SRC-10</t>
        </is>
      </c>
    </row>
    <row r="34">
      <c r="A34" s="1009" t="inlineStr">
        <is>
          <t>PARAM</t>
        </is>
      </c>
      <c r="B34" s="1020" t="inlineStr">
        <is>
          <t>SC_DISR</t>
        </is>
      </c>
      <c r="C34" s="1020" t="inlineStr">
        <is>
          <t>Critical business-service disruption</t>
        </is>
      </c>
      <c r="D34" s="1020" t="inlineStr">
        <is>
          <t>FRAUD_RECOVERY_RATE</t>
        </is>
      </c>
      <c r="E34" s="1020" t="inlineStr">
        <is>
          <t>FRAUD_RECOVERY_RATE</t>
        </is>
      </c>
      <c r="F34" s="1020" t="inlineStr">
        <is>
          <t>share</t>
        </is>
      </c>
      <c r="G34" s="1020" t="n">
        <v>0</v>
      </c>
      <c r="H34" s="1020" t="n">
        <v>0</v>
      </c>
      <c r="I34" s="1021" t="n"/>
      <c r="J34" s="1021" t="n"/>
      <c r="K34" s="1020" t="n">
        <v>0</v>
      </c>
      <c r="L34" s="1020" t="n">
        <v>0</v>
      </c>
      <c r="M34" s="1020" t="inlineStr">
        <is>
          <t>D</t>
        </is>
      </c>
      <c r="N34" s="1011" t="inlineStr">
        <is>
          <t>SRC-10</t>
        </is>
      </c>
    </row>
    <row r="35">
      <c r="A35" s="1009" t="inlineStr">
        <is>
          <t>PARAM</t>
        </is>
      </c>
      <c r="B35" s="1020" t="inlineStr">
        <is>
          <t>SC_DISR</t>
        </is>
      </c>
      <c r="C35" s="1020" t="inlineStr">
        <is>
          <t>Critical business-service disruption</t>
        </is>
      </c>
      <c r="D35" s="1020" t="inlineStr">
        <is>
          <t>IR_DAYS</t>
        </is>
      </c>
      <c r="E35" s="1020" t="inlineStr">
        <is>
          <t>IR_DAYS</t>
        </is>
      </c>
      <c r="F35" s="1020" t="inlineStr">
        <is>
          <t>days</t>
        </is>
      </c>
      <c r="G35" s="1020" t="n">
        <v>10</v>
      </c>
      <c r="H35" s="1020" t="n">
        <v>60</v>
      </c>
      <c r="I35" s="1021" t="n"/>
      <c r="J35" s="1021" t="n"/>
      <c r="K35" s="1020" t="n">
        <v>10</v>
      </c>
      <c r="L35" s="1020" t="n">
        <v>60</v>
      </c>
      <c r="M35" s="1020" t="inlineStr">
        <is>
          <t>D</t>
        </is>
      </c>
      <c r="N35" s="1011" t="inlineStr">
        <is>
          <t>SRC-10</t>
        </is>
      </c>
    </row>
    <row r="36">
      <c r="A36" s="1009" t="inlineStr">
        <is>
          <t>PARAM</t>
        </is>
      </c>
      <c r="B36" s="1020" t="inlineStr">
        <is>
          <t>SC_DISR</t>
        </is>
      </c>
      <c r="C36" s="1020" t="inlineStr">
        <is>
          <t>Critical business-service disruption</t>
        </is>
      </c>
      <c r="D36" s="1020" t="inlineStr">
        <is>
          <t>LEGAL_DAYS</t>
        </is>
      </c>
      <c r="E36" s="1020" t="inlineStr">
        <is>
          <t>LEGAL_DAYS</t>
        </is>
      </c>
      <c r="F36" s="1020" t="inlineStr">
        <is>
          <t>days</t>
        </is>
      </c>
      <c r="G36" s="1020" t="n">
        <v>5</v>
      </c>
      <c r="H36" s="1020" t="n">
        <v>45</v>
      </c>
      <c r="I36" s="1021" t="n"/>
      <c r="J36" s="1021" t="n"/>
      <c r="K36" s="1020" t="n">
        <v>5</v>
      </c>
      <c r="L36" s="1020" t="n">
        <v>45</v>
      </c>
      <c r="M36" s="1020" t="inlineStr">
        <is>
          <t>D</t>
        </is>
      </c>
      <c r="N36" s="1011" t="inlineStr">
        <is>
          <t>SRC-10</t>
        </is>
      </c>
    </row>
    <row r="37">
      <c r="A37" s="1009" t="inlineStr">
        <is>
          <t>PARAM</t>
        </is>
      </c>
      <c r="B37" s="1020" t="inlineStr">
        <is>
          <t>SC_DISR</t>
        </is>
      </c>
      <c r="C37" s="1020" t="inlineStr">
        <is>
          <t>Critical business-service disruption</t>
        </is>
      </c>
      <c r="D37" s="1020" t="inlineStr">
        <is>
          <t>MONITORING_TAKEUP</t>
        </is>
      </c>
      <c r="E37" s="1020" t="inlineStr">
        <is>
          <t>MONITORING_TAKEUP</t>
        </is>
      </c>
      <c r="F37" s="1020" t="inlineStr">
        <is>
          <t>share</t>
        </is>
      </c>
      <c r="G37" s="1020" t="n">
        <v>0.05</v>
      </c>
      <c r="H37" s="1020" t="n">
        <v>0.2</v>
      </c>
      <c r="I37" s="1021" t="n"/>
      <c r="J37" s="1021" t="n"/>
      <c r="K37" s="1020" t="n">
        <v>0.05</v>
      </c>
      <c r="L37" s="1020" t="n">
        <v>0.2</v>
      </c>
      <c r="M37" s="1020" t="inlineStr">
        <is>
          <t>D</t>
        </is>
      </c>
      <c r="N37" s="1011" t="inlineStr">
        <is>
          <t>SRC-10</t>
        </is>
      </c>
    </row>
    <row r="38">
      <c r="A38" s="1009" t="inlineStr">
        <is>
          <t>PARAM</t>
        </is>
      </c>
      <c r="B38" s="1020" t="inlineStr">
        <is>
          <t>SC_DISR</t>
        </is>
      </c>
      <c r="C38" s="1020" t="inlineStr">
        <is>
          <t>Critical business-service disruption</t>
        </is>
      </c>
      <c r="D38" s="1020" t="inlineStr">
        <is>
          <t>PAYMENT_FLOW_DAYS</t>
        </is>
      </c>
      <c r="E38" s="1020" t="inlineStr">
        <is>
          <t>PAYMENT_FLOW_DAYS</t>
        </is>
      </c>
      <c r="F38" s="1020" t="inlineStr">
        <is>
          <t>days</t>
        </is>
      </c>
      <c r="G38" s="1020" t="n">
        <v>0</v>
      </c>
      <c r="H38" s="1020" t="n">
        <v>0</v>
      </c>
      <c r="I38" s="1021" t="n"/>
      <c r="J38" s="1021" t="n"/>
      <c r="K38" s="1020" t="n">
        <v>0</v>
      </c>
      <c r="L38" s="1020" t="n">
        <v>0</v>
      </c>
      <c r="M38" s="1020" t="inlineStr">
        <is>
          <t>D</t>
        </is>
      </c>
      <c r="N38" s="1011" t="inlineStr">
        <is>
          <t>SRC-10</t>
        </is>
      </c>
    </row>
    <row r="39">
      <c r="A39" s="1009" t="inlineStr">
        <is>
          <t>PARAM</t>
        </is>
      </c>
      <c r="B39" s="1020" t="inlineStr">
        <is>
          <t>SC_DISR</t>
        </is>
      </c>
      <c r="C39" s="1020" t="inlineStr">
        <is>
          <t>Critical business-service disruption</t>
        </is>
      </c>
      <c r="D39" s="1020" t="inlineStr">
        <is>
          <t>POST_EVENT_REVENUE_SHARE</t>
        </is>
      </c>
      <c r="E39" s="1020" t="inlineStr">
        <is>
          <t>POST_EVENT_REVENUE_SHARE</t>
        </is>
      </c>
      <c r="F39" s="1020" t="inlineStr">
        <is>
          <t>share</t>
        </is>
      </c>
      <c r="G39" s="1020" t="n">
        <v>0.0005</v>
      </c>
      <c r="H39" s="1020" t="n">
        <v>0.005</v>
      </c>
      <c r="I39" s="1021" t="n"/>
      <c r="J39" s="1021" t="n"/>
      <c r="K39" s="1020" t="n">
        <v>0.0005</v>
      </c>
      <c r="L39" s="1020" t="n">
        <v>0.005</v>
      </c>
      <c r="M39" s="1020" t="inlineStr">
        <is>
          <t>D</t>
        </is>
      </c>
      <c r="N39" s="1011" t="inlineStr">
        <is>
          <t>SRC-10</t>
        </is>
      </c>
    </row>
    <row r="40">
      <c r="A40" s="1009" t="inlineStr">
        <is>
          <t>PARAM</t>
        </is>
      </c>
      <c r="B40" s="1020" t="inlineStr">
        <is>
          <t>SC_DISR</t>
        </is>
      </c>
      <c r="C40" s="1020" t="inlineStr">
        <is>
          <t>Critical business-service disruption</t>
        </is>
      </c>
      <c r="D40" s="1020" t="inlineStr">
        <is>
          <t>REGULATORY_REVENUE_SHARE</t>
        </is>
      </c>
      <c r="E40" s="1020" t="inlineStr">
        <is>
          <t>REGULATORY_REVENUE_SHARE</t>
        </is>
      </c>
      <c r="F40" s="1020" t="inlineStr">
        <is>
          <t>share</t>
        </is>
      </c>
      <c r="G40" s="1020" t="n">
        <v>0</v>
      </c>
      <c r="H40" s="1020" t="n">
        <v>0.002</v>
      </c>
      <c r="I40" s="1021" t="n"/>
      <c r="J40" s="1021" t="n"/>
      <c r="K40" s="1020" t="n">
        <v>0</v>
      </c>
      <c r="L40" s="1020" t="n">
        <v>0.002</v>
      </c>
      <c r="M40" s="1020" t="inlineStr">
        <is>
          <t>D</t>
        </is>
      </c>
      <c r="N40" s="1011" t="inlineStr">
        <is>
          <t>SRC-10</t>
        </is>
      </c>
    </row>
    <row r="41">
      <c r="A41" s="1009" t="inlineStr">
        <is>
          <t>PARAM</t>
        </is>
      </c>
      <c r="B41" s="1020" t="inlineStr">
        <is>
          <t>SC_DISR</t>
        </is>
      </c>
      <c r="C41" s="1020" t="inlineStr">
        <is>
          <t>Critical business-service disruption</t>
        </is>
      </c>
      <c r="D41" s="1020" t="inlineStr">
        <is>
          <t>RESTORE_DAYS</t>
        </is>
      </c>
      <c r="E41" s="1020" t="inlineStr">
        <is>
          <t>RESTORE_DAYS</t>
        </is>
      </c>
      <c r="F41" s="1020" t="inlineStr">
        <is>
          <t>days</t>
        </is>
      </c>
      <c r="G41" s="1020" t="n">
        <v>15</v>
      </c>
      <c r="H41" s="1020" t="n">
        <v>120</v>
      </c>
      <c r="I41" s="1021" t="n"/>
      <c r="J41" s="1021" t="n"/>
      <c r="K41" s="1020" t="n">
        <v>15</v>
      </c>
      <c r="L41" s="1020" t="n">
        <v>120</v>
      </c>
      <c r="M41" s="1020" t="inlineStr">
        <is>
          <t>D</t>
        </is>
      </c>
      <c r="N41" s="1011" t="inlineStr">
        <is>
          <t>SRC-10</t>
        </is>
      </c>
    </row>
    <row r="42">
      <c r="A42" s="1009" t="inlineStr">
        <is>
          <t>PARAM</t>
        </is>
      </c>
      <c r="B42" s="1020" t="inlineStr">
        <is>
          <t>SC_DATA</t>
        </is>
      </c>
      <c r="C42" s="1020" t="inlineStr">
        <is>
          <t>Sensitive-data compromise</t>
        </is>
      </c>
      <c r="D42" s="1020" t="inlineStr">
        <is>
          <t>AFFECTED_ENDPOINT_SHARE</t>
        </is>
      </c>
      <c r="E42" s="1020" t="inlineStr">
        <is>
          <t>AFFECTED_ENDPOINT_SHARE</t>
        </is>
      </c>
      <c r="F42" s="1020" t="inlineStr">
        <is>
          <t>share</t>
        </is>
      </c>
      <c r="G42" s="1020" t="n">
        <v>0.05</v>
      </c>
      <c r="H42" s="1020" t="n">
        <v>0.3</v>
      </c>
      <c r="I42" s="1021" t="n"/>
      <c r="J42" s="1021" t="n"/>
      <c r="K42" s="1020" t="n">
        <v>0.05</v>
      </c>
      <c r="L42" s="1020" t="n">
        <v>0.3</v>
      </c>
      <c r="M42" s="1020" t="inlineStr">
        <is>
          <t>D</t>
        </is>
      </c>
      <c r="N42" s="1011" t="inlineStr">
        <is>
          <t>SRC-10</t>
        </is>
      </c>
    </row>
    <row r="43">
      <c r="A43" s="1009" t="inlineStr">
        <is>
          <t>PARAM</t>
        </is>
      </c>
      <c r="B43" s="1020" t="inlineStr">
        <is>
          <t>SC_DATA</t>
        </is>
      </c>
      <c r="C43" s="1020" t="inlineStr">
        <is>
          <t>Sensitive-data compromise</t>
        </is>
      </c>
      <c r="D43" s="1020" t="inlineStr">
        <is>
          <t>AFFECTED_RECORD_SHARE</t>
        </is>
      </c>
      <c r="E43" s="1020" t="inlineStr">
        <is>
          <t>AFFECTED_RECORD_SHARE</t>
        </is>
      </c>
      <c r="F43" s="1020" t="inlineStr">
        <is>
          <t>share</t>
        </is>
      </c>
      <c r="G43" s="1020" t="n">
        <v>0.05</v>
      </c>
      <c r="H43" s="1020" t="n">
        <v>0.8</v>
      </c>
      <c r="I43" s="1021" t="n"/>
      <c r="J43" s="1021" t="n"/>
      <c r="K43" s="1020" t="n">
        <v>0.05</v>
      </c>
      <c r="L43" s="1020" t="n">
        <v>0.8</v>
      </c>
      <c r="M43" s="1020" t="inlineStr">
        <is>
          <t>D</t>
        </is>
      </c>
      <c r="N43" s="1011" t="inlineStr">
        <is>
          <t>SRC-10</t>
        </is>
      </c>
    </row>
    <row r="44">
      <c r="A44" s="1009" t="inlineStr">
        <is>
          <t>PARAM</t>
        </is>
      </c>
      <c r="B44" s="1020" t="inlineStr">
        <is>
          <t>SC_DATA</t>
        </is>
      </c>
      <c r="C44" s="1020" t="inlineStr">
        <is>
          <t>Sensitive-data compromise</t>
        </is>
      </c>
      <c r="D44" s="1020" t="inlineStr">
        <is>
          <t>AFFECTED_SERVER_SHARE</t>
        </is>
      </c>
      <c r="E44" s="1020" t="inlineStr">
        <is>
          <t>AFFECTED_SERVER_SHARE</t>
        </is>
      </c>
      <c r="F44" s="1020" t="inlineStr">
        <is>
          <t>share</t>
        </is>
      </c>
      <c r="G44" s="1020" t="n">
        <v>0.05</v>
      </c>
      <c r="H44" s="1020" t="n">
        <v>0.25</v>
      </c>
      <c r="I44" s="1021" t="n"/>
      <c r="J44" s="1021" t="n"/>
      <c r="K44" s="1020" t="n">
        <v>0.05</v>
      </c>
      <c r="L44" s="1020" t="n">
        <v>0.25</v>
      </c>
      <c r="M44" s="1020" t="inlineStr">
        <is>
          <t>D</t>
        </is>
      </c>
      <c r="N44" s="1011" t="inlineStr">
        <is>
          <t>SRC-10</t>
        </is>
      </c>
    </row>
    <row r="45">
      <c r="A45" s="1009" t="inlineStr">
        <is>
          <t>PARAM</t>
        </is>
      </c>
      <c r="B45" s="1020" t="inlineStr">
        <is>
          <t>SC_DATA</t>
        </is>
      </c>
      <c r="C45" s="1020" t="inlineStr">
        <is>
          <t>Sensitive-data compromise</t>
        </is>
      </c>
      <c r="D45" s="1020" t="inlineStr">
        <is>
          <t>AFFECTED_SERVICE_SHARE</t>
        </is>
      </c>
      <c r="E45" s="1020" t="inlineStr">
        <is>
          <t>AFFECTED_SERVICE_SHARE</t>
        </is>
      </c>
      <c r="F45" s="1020" t="inlineStr">
        <is>
          <t>share</t>
        </is>
      </c>
      <c r="G45" s="1020" t="n">
        <v>0.1</v>
      </c>
      <c r="H45" s="1020" t="n">
        <v>0.4</v>
      </c>
      <c r="I45" s="1021" t="n"/>
      <c r="J45" s="1021" t="n"/>
      <c r="K45" s="1020" t="n">
        <v>0.1</v>
      </c>
      <c r="L45" s="1020" t="n">
        <v>0.4</v>
      </c>
      <c r="M45" s="1020" t="inlineStr">
        <is>
          <t>D</t>
        </is>
      </c>
      <c r="N45" s="1011" t="inlineStr">
        <is>
          <t>SRC-10</t>
        </is>
      </c>
    </row>
    <row r="46">
      <c r="A46" s="1009" t="inlineStr">
        <is>
          <t>PARAM</t>
        </is>
      </c>
      <c r="B46" s="1020" t="inlineStr">
        <is>
          <t>SC_DATA</t>
        </is>
      </c>
      <c r="C46" s="1020" t="inlineStr">
        <is>
          <t>Sensitive-data compromise</t>
        </is>
      </c>
      <c r="D46" s="1020" t="inlineStr">
        <is>
          <t>CHURN_REVENUE_SHARE</t>
        </is>
      </c>
      <c r="E46" s="1020" t="inlineStr">
        <is>
          <t>CHURN_REVENUE_SHARE</t>
        </is>
      </c>
      <c r="F46" s="1020" t="inlineStr">
        <is>
          <t>share</t>
        </is>
      </c>
      <c r="G46" s="1020" t="n">
        <v>0.002</v>
      </c>
      <c r="H46" s="1020" t="n">
        <v>0.03</v>
      </c>
      <c r="I46" s="1021" t="n"/>
      <c r="J46" s="1021" t="n"/>
      <c r="K46" s="1020" t="n">
        <v>0.002</v>
      </c>
      <c r="L46" s="1020" t="n">
        <v>0.03</v>
      </c>
      <c r="M46" s="1020" t="inlineStr">
        <is>
          <t>D</t>
        </is>
      </c>
      <c r="N46" s="1011" t="inlineStr">
        <is>
          <t>SRC-10</t>
        </is>
      </c>
    </row>
    <row r="47">
      <c r="A47" s="1009" t="inlineStr">
        <is>
          <t>PARAM</t>
        </is>
      </c>
      <c r="B47" s="1020" t="inlineStr">
        <is>
          <t>SC_DATA</t>
        </is>
      </c>
      <c r="C47" s="1020" t="inlineStr">
        <is>
          <t>Sensitive-data compromise</t>
        </is>
      </c>
      <c r="D47" s="1020" t="inlineStr">
        <is>
          <t>CYBER_DAYS</t>
        </is>
      </c>
      <c r="E47" s="1020" t="inlineStr">
        <is>
          <t>CYBER_DAYS</t>
        </is>
      </c>
      <c r="F47" s="1020" t="inlineStr">
        <is>
          <t>days</t>
        </is>
      </c>
      <c r="G47" s="1020" t="n">
        <v>30</v>
      </c>
      <c r="H47" s="1020" t="n">
        <v>180</v>
      </c>
      <c r="I47" s="1021" t="n"/>
      <c r="J47" s="1021" t="n"/>
      <c r="K47" s="1020" t="n">
        <v>30</v>
      </c>
      <c r="L47" s="1020" t="n">
        <v>180</v>
      </c>
      <c r="M47" s="1020" t="inlineStr">
        <is>
          <t>D</t>
        </is>
      </c>
      <c r="N47" s="1011" t="inlineStr">
        <is>
          <t>SRC-10</t>
        </is>
      </c>
    </row>
    <row r="48">
      <c r="A48" s="1009" t="inlineStr">
        <is>
          <t>PARAM</t>
        </is>
      </c>
      <c r="B48" s="1020" t="inlineStr">
        <is>
          <t>SC_DATA</t>
        </is>
      </c>
      <c r="C48" s="1020" t="inlineStr">
        <is>
          <t>Sensitive-data compromise</t>
        </is>
      </c>
      <c r="D48" s="1020" t="inlineStr">
        <is>
          <t>DIVERTED_SHARE</t>
        </is>
      </c>
      <c r="E48" s="1020" t="inlineStr">
        <is>
          <t>DIVERTED_SHARE</t>
        </is>
      </c>
      <c r="F48" s="1020" t="inlineStr">
        <is>
          <t>share</t>
        </is>
      </c>
      <c r="G48" s="1020" t="n">
        <v>0</v>
      </c>
      <c r="H48" s="1020" t="n">
        <v>0</v>
      </c>
      <c r="I48" s="1021" t="n"/>
      <c r="J48" s="1021" t="n"/>
      <c r="K48" s="1020" t="n">
        <v>0</v>
      </c>
      <c r="L48" s="1020" t="n">
        <v>0</v>
      </c>
      <c r="M48" s="1020" t="inlineStr">
        <is>
          <t>D</t>
        </is>
      </c>
      <c r="N48" s="1011" t="inlineStr">
        <is>
          <t>SRC-10</t>
        </is>
      </c>
    </row>
    <row r="49">
      <c r="A49" s="1009" t="inlineStr">
        <is>
          <t>PARAM</t>
        </is>
      </c>
      <c r="B49" s="1020" t="inlineStr">
        <is>
          <t>SC_DATA</t>
        </is>
      </c>
      <c r="C49" s="1020" t="inlineStr">
        <is>
          <t>Sensitive-data compromise</t>
        </is>
      </c>
      <c r="D49" s="1020" t="inlineStr">
        <is>
          <t>DOWNTIME_DAYS</t>
        </is>
      </c>
      <c r="E49" s="1020" t="inlineStr">
        <is>
          <t>DOWNTIME_DAYS</t>
        </is>
      </c>
      <c r="F49" s="1020" t="inlineStr">
        <is>
          <t>days</t>
        </is>
      </c>
      <c r="G49" s="1020" t="n">
        <v>1</v>
      </c>
      <c r="H49" s="1020" t="n">
        <v>10</v>
      </c>
      <c r="I49" s="1021" t="n"/>
      <c r="J49" s="1021" t="n"/>
      <c r="K49" s="1020" t="n">
        <v>1</v>
      </c>
      <c r="L49" s="1020" t="n">
        <v>10</v>
      </c>
      <c r="M49" s="1020" t="inlineStr">
        <is>
          <t>D</t>
        </is>
      </c>
      <c r="N49" s="1011" t="inlineStr">
        <is>
          <t>SRC-10</t>
        </is>
      </c>
    </row>
    <row r="50">
      <c r="A50" s="1009" t="inlineStr">
        <is>
          <t>PARAM</t>
        </is>
      </c>
      <c r="B50" s="1020" t="inlineStr">
        <is>
          <t>SC_DATA</t>
        </is>
      </c>
      <c r="C50" s="1020" t="inlineStr">
        <is>
          <t>Sensitive-data compromise</t>
        </is>
      </c>
      <c r="D50" s="1020" t="inlineStr">
        <is>
          <t>EXTORTION_DIRECT</t>
        </is>
      </c>
      <c r="E50" s="1020" t="inlineStr">
        <is>
          <t>EXTORTION_DIRECT</t>
        </is>
      </c>
      <c r="F50" s="1020" t="inlineStr">
        <is>
          <t>USD</t>
        </is>
      </c>
      <c r="G50" s="1020" t="n">
        <v>500000</v>
      </c>
      <c r="H50" s="1020" t="n">
        <v>10000000</v>
      </c>
      <c r="I50" s="1021" t="n"/>
      <c r="J50" s="1021" t="n"/>
      <c r="K50" s="1020" t="n">
        <v>500000</v>
      </c>
      <c r="L50" s="1020" t="n">
        <v>10000000</v>
      </c>
      <c r="M50" s="1020" t="inlineStr">
        <is>
          <t>D</t>
        </is>
      </c>
      <c r="N50" s="1011" t="inlineStr">
        <is>
          <t>SRC-10</t>
        </is>
      </c>
    </row>
    <row r="51">
      <c r="A51" s="1009" t="inlineStr">
        <is>
          <t>PARAM</t>
        </is>
      </c>
      <c r="B51" s="1020" t="inlineStr">
        <is>
          <t>SC_DATA</t>
        </is>
      </c>
      <c r="C51" s="1020" t="inlineStr">
        <is>
          <t>Sensitive-data compromise</t>
        </is>
      </c>
      <c r="D51" s="1020" t="inlineStr">
        <is>
          <t>FRAUD_RECOVERY_RATE</t>
        </is>
      </c>
      <c r="E51" s="1020" t="inlineStr">
        <is>
          <t>FRAUD_RECOVERY_RATE</t>
        </is>
      </c>
      <c r="F51" s="1020" t="inlineStr">
        <is>
          <t>share</t>
        </is>
      </c>
      <c r="G51" s="1020" t="n">
        <v>0</v>
      </c>
      <c r="H51" s="1020" t="n">
        <v>0</v>
      </c>
      <c r="I51" s="1021" t="n"/>
      <c r="J51" s="1021" t="n"/>
      <c r="K51" s="1020" t="n">
        <v>0</v>
      </c>
      <c r="L51" s="1020" t="n">
        <v>0</v>
      </c>
      <c r="M51" s="1020" t="inlineStr">
        <is>
          <t>D</t>
        </is>
      </c>
      <c r="N51" s="1011" t="inlineStr">
        <is>
          <t>SRC-10</t>
        </is>
      </c>
    </row>
    <row r="52">
      <c r="A52" s="1009" t="inlineStr">
        <is>
          <t>PARAM</t>
        </is>
      </c>
      <c r="B52" s="1020" t="inlineStr">
        <is>
          <t>SC_DATA</t>
        </is>
      </c>
      <c r="C52" s="1020" t="inlineStr">
        <is>
          <t>Sensitive-data compromise</t>
        </is>
      </c>
      <c r="D52" s="1020" t="inlineStr">
        <is>
          <t>IR_DAYS</t>
        </is>
      </c>
      <c r="E52" s="1020" t="inlineStr">
        <is>
          <t>IR_DAYS</t>
        </is>
      </c>
      <c r="F52" s="1020" t="inlineStr">
        <is>
          <t>days</t>
        </is>
      </c>
      <c r="G52" s="1020" t="n">
        <v>20</v>
      </c>
      <c r="H52" s="1020" t="n">
        <v>120</v>
      </c>
      <c r="I52" s="1021" t="n"/>
      <c r="J52" s="1021" t="n"/>
      <c r="K52" s="1020" t="n">
        <v>20</v>
      </c>
      <c r="L52" s="1020" t="n">
        <v>120</v>
      </c>
      <c r="M52" s="1020" t="inlineStr">
        <is>
          <t>D</t>
        </is>
      </c>
      <c r="N52" s="1011" t="inlineStr">
        <is>
          <t>SRC-10</t>
        </is>
      </c>
    </row>
    <row r="53">
      <c r="A53" s="1009" t="inlineStr">
        <is>
          <t>PARAM</t>
        </is>
      </c>
      <c r="B53" s="1020" t="inlineStr">
        <is>
          <t>SC_DATA</t>
        </is>
      </c>
      <c r="C53" s="1020" t="inlineStr">
        <is>
          <t>Sensitive-data compromise</t>
        </is>
      </c>
      <c r="D53" s="1020" t="inlineStr">
        <is>
          <t>LEGAL_DAYS</t>
        </is>
      </c>
      <c r="E53" s="1020" t="inlineStr">
        <is>
          <t>LEGAL_DAYS</t>
        </is>
      </c>
      <c r="F53" s="1020" t="inlineStr">
        <is>
          <t>days</t>
        </is>
      </c>
      <c r="G53" s="1020" t="n">
        <v>30</v>
      </c>
      <c r="H53" s="1020" t="n">
        <v>180</v>
      </c>
      <c r="I53" s="1021" t="n"/>
      <c r="J53" s="1021" t="n"/>
      <c r="K53" s="1020" t="n">
        <v>30</v>
      </c>
      <c r="L53" s="1020" t="n">
        <v>180</v>
      </c>
      <c r="M53" s="1020" t="inlineStr">
        <is>
          <t>D</t>
        </is>
      </c>
      <c r="N53" s="1011" t="inlineStr">
        <is>
          <t>SRC-10</t>
        </is>
      </c>
    </row>
    <row r="54">
      <c r="A54" s="1009" t="inlineStr">
        <is>
          <t>PARAM</t>
        </is>
      </c>
      <c r="B54" s="1020" t="inlineStr">
        <is>
          <t>SC_DATA</t>
        </is>
      </c>
      <c r="C54" s="1020" t="inlineStr">
        <is>
          <t>Sensitive-data compromise</t>
        </is>
      </c>
      <c r="D54" s="1020" t="inlineStr">
        <is>
          <t>MONITORING_TAKEUP</t>
        </is>
      </c>
      <c r="E54" s="1020" t="inlineStr">
        <is>
          <t>MONITORING_TAKEUP</t>
        </is>
      </c>
      <c r="F54" s="1020" t="inlineStr">
        <is>
          <t>share</t>
        </is>
      </c>
      <c r="G54" s="1020" t="n">
        <v>0.1</v>
      </c>
      <c r="H54" s="1020" t="n">
        <v>0.25</v>
      </c>
      <c r="I54" s="1021" t="n"/>
      <c r="J54" s="1021" t="n"/>
      <c r="K54" s="1020" t="n">
        <v>0.1</v>
      </c>
      <c r="L54" s="1020" t="n">
        <v>0.25</v>
      </c>
      <c r="M54" s="1020" t="inlineStr">
        <is>
          <t>D</t>
        </is>
      </c>
      <c r="N54" s="1011" t="inlineStr">
        <is>
          <t>SRC-10</t>
        </is>
      </c>
    </row>
    <row r="55">
      <c r="A55" s="1009" t="inlineStr">
        <is>
          <t>PARAM</t>
        </is>
      </c>
      <c r="B55" s="1020" t="inlineStr">
        <is>
          <t>SC_DATA</t>
        </is>
      </c>
      <c r="C55" s="1020" t="inlineStr">
        <is>
          <t>Sensitive-data compromise</t>
        </is>
      </c>
      <c r="D55" s="1020" t="inlineStr">
        <is>
          <t>PAYMENT_FLOW_DAYS</t>
        </is>
      </c>
      <c r="E55" s="1020" t="inlineStr">
        <is>
          <t>PAYMENT_FLOW_DAYS</t>
        </is>
      </c>
      <c r="F55" s="1020" t="inlineStr">
        <is>
          <t>days</t>
        </is>
      </c>
      <c r="G55" s="1020" t="n">
        <v>0</v>
      </c>
      <c r="H55" s="1020" t="n">
        <v>0</v>
      </c>
      <c r="I55" s="1021" t="n"/>
      <c r="J55" s="1021" t="n"/>
      <c r="K55" s="1020" t="n">
        <v>0</v>
      </c>
      <c r="L55" s="1020" t="n">
        <v>0</v>
      </c>
      <c r="M55" s="1020" t="inlineStr">
        <is>
          <t>D</t>
        </is>
      </c>
      <c r="N55" s="1011" t="inlineStr">
        <is>
          <t>SRC-10</t>
        </is>
      </c>
    </row>
    <row r="56">
      <c r="A56" s="1009" t="inlineStr">
        <is>
          <t>PARAM</t>
        </is>
      </c>
      <c r="B56" s="1020" t="inlineStr">
        <is>
          <t>SC_DATA</t>
        </is>
      </c>
      <c r="C56" s="1020" t="inlineStr">
        <is>
          <t>Sensitive-data compromise</t>
        </is>
      </c>
      <c r="D56" s="1020" t="inlineStr">
        <is>
          <t>POST_EVENT_REVENUE_SHARE</t>
        </is>
      </c>
      <c r="E56" s="1020" t="inlineStr">
        <is>
          <t>POST_EVENT_REVENUE_SHARE</t>
        </is>
      </c>
      <c r="F56" s="1020" t="inlineStr">
        <is>
          <t>share</t>
        </is>
      </c>
      <c r="G56" s="1020" t="n">
        <v>0.001</v>
      </c>
      <c r="H56" s="1020" t="n">
        <v>0.008</v>
      </c>
      <c r="I56" s="1021" t="n"/>
      <c r="J56" s="1021" t="n"/>
      <c r="K56" s="1020" t="n">
        <v>0.001</v>
      </c>
      <c r="L56" s="1020" t="n">
        <v>0.008</v>
      </c>
      <c r="M56" s="1020" t="inlineStr">
        <is>
          <t>D</t>
        </is>
      </c>
      <c r="N56" s="1011" t="inlineStr">
        <is>
          <t>SRC-10</t>
        </is>
      </c>
    </row>
    <row r="57">
      <c r="A57" s="1009" t="inlineStr">
        <is>
          <t>PARAM</t>
        </is>
      </c>
      <c r="B57" s="1020" t="inlineStr">
        <is>
          <t>SC_DATA</t>
        </is>
      </c>
      <c r="C57" s="1020" t="inlineStr">
        <is>
          <t>Sensitive-data compromise</t>
        </is>
      </c>
      <c r="D57" s="1020" t="inlineStr">
        <is>
          <t>REGULATORY_REVENUE_SHARE</t>
        </is>
      </c>
      <c r="E57" s="1020" t="inlineStr">
        <is>
          <t>REGULATORY_REVENUE_SHARE</t>
        </is>
      </c>
      <c r="F57" s="1020" t="inlineStr">
        <is>
          <t>share</t>
        </is>
      </c>
      <c r="G57" s="1020" t="n">
        <v>0.001</v>
      </c>
      <c r="H57" s="1020" t="n">
        <v>0.01</v>
      </c>
      <c r="I57" s="1021" t="n"/>
      <c r="J57" s="1021" t="n"/>
      <c r="K57" s="1020" t="n">
        <v>0.001</v>
      </c>
      <c r="L57" s="1020" t="n">
        <v>0.01</v>
      </c>
      <c r="M57" s="1020" t="inlineStr">
        <is>
          <t>D</t>
        </is>
      </c>
      <c r="N57" s="1011" t="inlineStr">
        <is>
          <t>SRC-10</t>
        </is>
      </c>
    </row>
    <row r="58">
      <c r="A58" s="1009" t="inlineStr">
        <is>
          <t>PARAM</t>
        </is>
      </c>
      <c r="B58" s="1020" t="inlineStr">
        <is>
          <t>SC_DATA</t>
        </is>
      </c>
      <c r="C58" s="1020" t="inlineStr">
        <is>
          <t>Sensitive-data compromise</t>
        </is>
      </c>
      <c r="D58" s="1020" t="inlineStr">
        <is>
          <t>RESTORE_DAYS</t>
        </is>
      </c>
      <c r="E58" s="1020" t="inlineStr">
        <is>
          <t>RESTORE_DAYS</t>
        </is>
      </c>
      <c r="F58" s="1020" t="inlineStr">
        <is>
          <t>days</t>
        </is>
      </c>
      <c r="G58" s="1020" t="n">
        <v>20</v>
      </c>
      <c r="H58" s="1020" t="n">
        <v>120</v>
      </c>
      <c r="I58" s="1021" t="n"/>
      <c r="J58" s="1021" t="n"/>
      <c r="K58" s="1020" t="n">
        <v>20</v>
      </c>
      <c r="L58" s="1020" t="n">
        <v>120</v>
      </c>
      <c r="M58" s="1020" t="inlineStr">
        <is>
          <t>D</t>
        </is>
      </c>
      <c r="N58" s="1011" t="inlineStr">
        <is>
          <t>SRC-10</t>
        </is>
      </c>
    </row>
    <row r="59">
      <c r="A59" s="1009" t="inlineStr">
        <is>
          <t>PARAM</t>
        </is>
      </c>
      <c r="B59" s="1020" t="inlineStr">
        <is>
          <t>SC_INT</t>
        </is>
      </c>
      <c r="C59" s="1020" t="inlineStr">
        <is>
          <t>Data or transaction-integrity compromise</t>
        </is>
      </c>
      <c r="D59" s="1020" t="inlineStr">
        <is>
          <t>AFFECTED_ENDPOINT_SHARE</t>
        </is>
      </c>
      <c r="E59" s="1020" t="inlineStr">
        <is>
          <t>AFFECTED_ENDPOINT_SHARE</t>
        </is>
      </c>
      <c r="F59" s="1020" t="inlineStr">
        <is>
          <t>share</t>
        </is>
      </c>
      <c r="G59" s="1020" t="n">
        <v>0.1</v>
      </c>
      <c r="H59" s="1020" t="n">
        <v>0.4</v>
      </c>
      <c r="I59" s="1021" t="n"/>
      <c r="J59" s="1021" t="n"/>
      <c r="K59" s="1020" t="n">
        <v>0.1</v>
      </c>
      <c r="L59" s="1020" t="n">
        <v>0.4</v>
      </c>
      <c r="M59" s="1020" t="inlineStr">
        <is>
          <t>D</t>
        </is>
      </c>
      <c r="N59" s="1011" t="inlineStr">
        <is>
          <t>SRC-10</t>
        </is>
      </c>
    </row>
    <row r="60">
      <c r="A60" s="1009" t="inlineStr">
        <is>
          <t>PARAM</t>
        </is>
      </c>
      <c r="B60" s="1020" t="inlineStr">
        <is>
          <t>SC_INT</t>
        </is>
      </c>
      <c r="C60" s="1020" t="inlineStr">
        <is>
          <t>Data or transaction-integrity compromise</t>
        </is>
      </c>
      <c r="D60" s="1020" t="inlineStr">
        <is>
          <t>AFFECTED_RECORD_SHARE</t>
        </is>
      </c>
      <c r="E60" s="1020" t="inlineStr">
        <is>
          <t>AFFECTED_RECORD_SHARE</t>
        </is>
      </c>
      <c r="F60" s="1020" t="inlineStr">
        <is>
          <t>share</t>
        </is>
      </c>
      <c r="G60" s="1020" t="n">
        <v>0</v>
      </c>
      <c r="H60" s="1020" t="n">
        <v>0.1</v>
      </c>
      <c r="I60" s="1021" t="n"/>
      <c r="J60" s="1021" t="n"/>
      <c r="K60" s="1020" t="n">
        <v>0</v>
      </c>
      <c r="L60" s="1020" t="n">
        <v>0.1</v>
      </c>
      <c r="M60" s="1020" t="inlineStr">
        <is>
          <t>D</t>
        </is>
      </c>
      <c r="N60" s="1011" t="inlineStr">
        <is>
          <t>SRC-10</t>
        </is>
      </c>
    </row>
    <row r="61">
      <c r="A61" s="1009" t="inlineStr">
        <is>
          <t>PARAM</t>
        </is>
      </c>
      <c r="B61" s="1020" t="inlineStr">
        <is>
          <t>SC_INT</t>
        </is>
      </c>
      <c r="C61" s="1020" t="inlineStr">
        <is>
          <t>Data or transaction-integrity compromise</t>
        </is>
      </c>
      <c r="D61" s="1020" t="inlineStr">
        <is>
          <t>AFFECTED_SERVER_SHARE</t>
        </is>
      </c>
      <c r="E61" s="1020" t="inlineStr">
        <is>
          <t>AFFECTED_SERVER_SHARE</t>
        </is>
      </c>
      <c r="F61" s="1020" t="inlineStr">
        <is>
          <t>share</t>
        </is>
      </c>
      <c r="G61" s="1020" t="n">
        <v>0.1</v>
      </c>
      <c r="H61" s="1020" t="n">
        <v>0.5</v>
      </c>
      <c r="I61" s="1021" t="n"/>
      <c r="J61" s="1021" t="n"/>
      <c r="K61" s="1020" t="n">
        <v>0.1</v>
      </c>
      <c r="L61" s="1020" t="n">
        <v>0.5</v>
      </c>
      <c r="M61" s="1020" t="inlineStr">
        <is>
          <t>D</t>
        </is>
      </c>
      <c r="N61" s="1011" t="inlineStr">
        <is>
          <t>SRC-10</t>
        </is>
      </c>
    </row>
    <row r="62">
      <c r="A62" s="1009" t="inlineStr">
        <is>
          <t>PARAM</t>
        </is>
      </c>
      <c r="B62" s="1020" t="inlineStr">
        <is>
          <t>SC_INT</t>
        </is>
      </c>
      <c r="C62" s="1020" t="inlineStr">
        <is>
          <t>Data or transaction-integrity compromise</t>
        </is>
      </c>
      <c r="D62" s="1020" t="inlineStr">
        <is>
          <t>AFFECTED_SERVICE_SHARE</t>
        </is>
      </c>
      <c r="E62" s="1020" t="inlineStr">
        <is>
          <t>AFFECTED_SERVICE_SHARE</t>
        </is>
      </c>
      <c r="F62" s="1020" t="inlineStr">
        <is>
          <t>share</t>
        </is>
      </c>
      <c r="G62" s="1020" t="n">
        <v>0.2</v>
      </c>
      <c r="H62" s="1020" t="n">
        <v>0.7</v>
      </c>
      <c r="I62" s="1021" t="n"/>
      <c r="J62" s="1021" t="n"/>
      <c r="K62" s="1020" t="n">
        <v>0.2</v>
      </c>
      <c r="L62" s="1020" t="n">
        <v>0.7</v>
      </c>
      <c r="M62" s="1020" t="inlineStr">
        <is>
          <t>D</t>
        </is>
      </c>
      <c r="N62" s="1011" t="inlineStr">
        <is>
          <t>SRC-10</t>
        </is>
      </c>
    </row>
    <row r="63">
      <c r="A63" s="1009" t="inlineStr">
        <is>
          <t>PARAM</t>
        </is>
      </c>
      <c r="B63" s="1020" t="inlineStr">
        <is>
          <t>SC_INT</t>
        </is>
      </c>
      <c r="C63" s="1020" t="inlineStr">
        <is>
          <t>Data or transaction-integrity compromise</t>
        </is>
      </c>
      <c r="D63" s="1020" t="inlineStr">
        <is>
          <t>CHURN_REVENUE_SHARE</t>
        </is>
      </c>
      <c r="E63" s="1020" t="inlineStr">
        <is>
          <t>CHURN_REVENUE_SHARE</t>
        </is>
      </c>
      <c r="F63" s="1020" t="inlineStr">
        <is>
          <t>share</t>
        </is>
      </c>
      <c r="G63" s="1020" t="n">
        <v>0.001</v>
      </c>
      <c r="H63" s="1020" t="n">
        <v>0.02</v>
      </c>
      <c r="I63" s="1021" t="n"/>
      <c r="J63" s="1021" t="n"/>
      <c r="K63" s="1020" t="n">
        <v>0.001</v>
      </c>
      <c r="L63" s="1020" t="n">
        <v>0.02</v>
      </c>
      <c r="M63" s="1020" t="inlineStr">
        <is>
          <t>D</t>
        </is>
      </c>
      <c r="N63" s="1011" t="inlineStr">
        <is>
          <t>SRC-10</t>
        </is>
      </c>
    </row>
    <row r="64">
      <c r="A64" s="1009" t="inlineStr">
        <is>
          <t>PARAM</t>
        </is>
      </c>
      <c r="B64" s="1020" t="inlineStr">
        <is>
          <t>SC_INT</t>
        </is>
      </c>
      <c r="C64" s="1020" t="inlineStr">
        <is>
          <t>Data or transaction-integrity compromise</t>
        </is>
      </c>
      <c r="D64" s="1020" t="inlineStr">
        <is>
          <t>CYBER_DAYS</t>
        </is>
      </c>
      <c r="E64" s="1020" t="inlineStr">
        <is>
          <t>CYBER_DAYS</t>
        </is>
      </c>
      <c r="F64" s="1020" t="inlineStr">
        <is>
          <t>days</t>
        </is>
      </c>
      <c r="G64" s="1020" t="n">
        <v>20</v>
      </c>
      <c r="H64" s="1020" t="n">
        <v>150</v>
      </c>
      <c r="I64" s="1021" t="n"/>
      <c r="J64" s="1021" t="n"/>
      <c r="K64" s="1020" t="n">
        <v>20</v>
      </c>
      <c r="L64" s="1020" t="n">
        <v>150</v>
      </c>
      <c r="M64" s="1020" t="inlineStr">
        <is>
          <t>D</t>
        </is>
      </c>
      <c r="N64" s="1011" t="inlineStr">
        <is>
          <t>SRC-10</t>
        </is>
      </c>
    </row>
    <row r="65">
      <c r="A65" s="1009" t="inlineStr">
        <is>
          <t>PARAM</t>
        </is>
      </c>
      <c r="B65" s="1020" t="inlineStr">
        <is>
          <t>SC_INT</t>
        </is>
      </c>
      <c r="C65" s="1020" t="inlineStr">
        <is>
          <t>Data or transaction-integrity compromise</t>
        </is>
      </c>
      <c r="D65" s="1020" t="inlineStr">
        <is>
          <t>DIVERTED_SHARE</t>
        </is>
      </c>
      <c r="E65" s="1020" t="inlineStr">
        <is>
          <t>DIVERTED_SHARE</t>
        </is>
      </c>
      <c r="F65" s="1020" t="inlineStr">
        <is>
          <t>share</t>
        </is>
      </c>
      <c r="G65" s="1020" t="n">
        <v>0.005</v>
      </c>
      <c r="H65" s="1020" t="n">
        <v>0.05</v>
      </c>
      <c r="I65" s="1021" t="n"/>
      <c r="J65" s="1021" t="n"/>
      <c r="K65" s="1020" t="n">
        <v>0.005</v>
      </c>
      <c r="L65" s="1020" t="n">
        <v>0.05</v>
      </c>
      <c r="M65" s="1020" t="inlineStr">
        <is>
          <t>D</t>
        </is>
      </c>
      <c r="N65" s="1011" t="inlineStr">
        <is>
          <t>SRC-10</t>
        </is>
      </c>
    </row>
    <row r="66">
      <c r="A66" s="1009" t="inlineStr">
        <is>
          <t>PARAM</t>
        </is>
      </c>
      <c r="B66" s="1020" t="inlineStr">
        <is>
          <t>SC_INT</t>
        </is>
      </c>
      <c r="C66" s="1020" t="inlineStr">
        <is>
          <t>Data or transaction-integrity compromise</t>
        </is>
      </c>
      <c r="D66" s="1020" t="inlineStr">
        <is>
          <t>DOWNTIME_DAYS</t>
        </is>
      </c>
      <c r="E66" s="1020" t="inlineStr">
        <is>
          <t>DOWNTIME_DAYS</t>
        </is>
      </c>
      <c r="F66" s="1020" t="inlineStr">
        <is>
          <t>days</t>
        </is>
      </c>
      <c r="G66" s="1020" t="n">
        <v>2</v>
      </c>
      <c r="H66" s="1020" t="n">
        <v>20</v>
      </c>
      <c r="I66" s="1021" t="n"/>
      <c r="J66" s="1021" t="n"/>
      <c r="K66" s="1020" t="n">
        <v>2</v>
      </c>
      <c r="L66" s="1020" t="n">
        <v>20</v>
      </c>
      <c r="M66" s="1020" t="inlineStr">
        <is>
          <t>D</t>
        </is>
      </c>
      <c r="N66" s="1011" t="inlineStr">
        <is>
          <t>SRC-10</t>
        </is>
      </c>
    </row>
    <row r="67">
      <c r="A67" s="1009" t="inlineStr">
        <is>
          <t>PARAM</t>
        </is>
      </c>
      <c r="B67" s="1020" t="inlineStr">
        <is>
          <t>SC_INT</t>
        </is>
      </c>
      <c r="C67" s="1020" t="inlineStr">
        <is>
          <t>Data or transaction-integrity compromise</t>
        </is>
      </c>
      <c r="D67" s="1020" t="inlineStr">
        <is>
          <t>EXTORTION_DIRECT</t>
        </is>
      </c>
      <c r="E67" s="1020" t="inlineStr">
        <is>
          <t>EXTORTION_DIRECT</t>
        </is>
      </c>
      <c r="F67" s="1020" t="inlineStr">
        <is>
          <t>USD</t>
        </is>
      </c>
      <c r="G67" s="1020" t="n">
        <v>0</v>
      </c>
      <c r="H67" s="1020" t="n">
        <v>0</v>
      </c>
      <c r="I67" s="1021" t="n"/>
      <c r="J67" s="1021" t="n"/>
      <c r="K67" s="1020" t="n">
        <v>0</v>
      </c>
      <c r="L67" s="1020" t="n">
        <v>0</v>
      </c>
      <c r="M67" s="1020" t="inlineStr">
        <is>
          <t>D</t>
        </is>
      </c>
      <c r="N67" s="1011" t="inlineStr">
        <is>
          <t>SRC-10</t>
        </is>
      </c>
    </row>
    <row r="68">
      <c r="A68" s="1009" t="inlineStr">
        <is>
          <t>PARAM</t>
        </is>
      </c>
      <c r="B68" s="1020" t="inlineStr">
        <is>
          <t>SC_INT</t>
        </is>
      </c>
      <c r="C68" s="1020" t="inlineStr">
        <is>
          <t>Data or transaction-integrity compromise</t>
        </is>
      </c>
      <c r="D68" s="1020" t="inlineStr">
        <is>
          <t>FRAUD_RECOVERY_RATE</t>
        </is>
      </c>
      <c r="E68" s="1020" t="inlineStr">
        <is>
          <t>FRAUD_RECOVERY_RATE</t>
        </is>
      </c>
      <c r="F68" s="1020" t="inlineStr">
        <is>
          <t>share</t>
        </is>
      </c>
      <c r="G68" s="1020" t="n">
        <v>0.8</v>
      </c>
      <c r="H68" s="1020" t="n">
        <v>0.3</v>
      </c>
      <c r="I68" s="1021" t="n"/>
      <c r="J68" s="1021" t="n"/>
      <c r="K68" s="1020" t="n">
        <v>0.8</v>
      </c>
      <c r="L68" s="1020" t="n">
        <v>0.3</v>
      </c>
      <c r="M68" s="1020" t="inlineStr">
        <is>
          <t>D</t>
        </is>
      </c>
      <c r="N68" s="1011" t="inlineStr">
        <is>
          <t>SRC-10</t>
        </is>
      </c>
    </row>
    <row r="69">
      <c r="A69" s="1009" t="inlineStr">
        <is>
          <t>PARAM</t>
        </is>
      </c>
      <c r="B69" s="1020" t="inlineStr">
        <is>
          <t>SC_INT</t>
        </is>
      </c>
      <c r="C69" s="1020" t="inlineStr">
        <is>
          <t>Data or transaction-integrity compromise</t>
        </is>
      </c>
      <c r="D69" s="1020" t="inlineStr">
        <is>
          <t>IR_DAYS</t>
        </is>
      </c>
      <c r="E69" s="1020" t="inlineStr">
        <is>
          <t>IR_DAYS</t>
        </is>
      </c>
      <c r="F69" s="1020" t="inlineStr">
        <is>
          <t>days</t>
        </is>
      </c>
      <c r="G69" s="1020" t="n">
        <v>15</v>
      </c>
      <c r="H69" s="1020" t="n">
        <v>90</v>
      </c>
      <c r="I69" s="1021" t="n"/>
      <c r="J69" s="1021" t="n"/>
      <c r="K69" s="1020" t="n">
        <v>15</v>
      </c>
      <c r="L69" s="1020" t="n">
        <v>90</v>
      </c>
      <c r="M69" s="1020" t="inlineStr">
        <is>
          <t>D</t>
        </is>
      </c>
      <c r="N69" s="1011" t="inlineStr">
        <is>
          <t>SRC-10</t>
        </is>
      </c>
    </row>
    <row r="70">
      <c r="A70" s="1009" t="inlineStr">
        <is>
          <t>PARAM</t>
        </is>
      </c>
      <c r="B70" s="1020" t="inlineStr">
        <is>
          <t>SC_INT</t>
        </is>
      </c>
      <c r="C70" s="1020" t="inlineStr">
        <is>
          <t>Data or transaction-integrity compromise</t>
        </is>
      </c>
      <c r="D70" s="1020" t="inlineStr">
        <is>
          <t>LEGAL_DAYS</t>
        </is>
      </c>
      <c r="E70" s="1020" t="inlineStr">
        <is>
          <t>LEGAL_DAYS</t>
        </is>
      </c>
      <c r="F70" s="1020" t="inlineStr">
        <is>
          <t>days</t>
        </is>
      </c>
      <c r="G70" s="1020" t="n">
        <v>20</v>
      </c>
      <c r="H70" s="1020" t="n">
        <v>120</v>
      </c>
      <c r="I70" s="1021" t="n"/>
      <c r="J70" s="1021" t="n"/>
      <c r="K70" s="1020" t="n">
        <v>20</v>
      </c>
      <c r="L70" s="1020" t="n">
        <v>120</v>
      </c>
      <c r="M70" s="1020" t="inlineStr">
        <is>
          <t>D</t>
        </is>
      </c>
      <c r="N70" s="1011" t="inlineStr">
        <is>
          <t>SRC-10</t>
        </is>
      </c>
    </row>
    <row r="71">
      <c r="A71" s="1009" t="inlineStr">
        <is>
          <t>PARAM</t>
        </is>
      </c>
      <c r="B71" s="1020" t="inlineStr">
        <is>
          <t>SC_INT</t>
        </is>
      </c>
      <c r="C71" s="1020" t="inlineStr">
        <is>
          <t>Data or transaction-integrity compromise</t>
        </is>
      </c>
      <c r="D71" s="1020" t="inlineStr">
        <is>
          <t>MONITORING_TAKEUP</t>
        </is>
      </c>
      <c r="E71" s="1020" t="inlineStr">
        <is>
          <t>MONITORING_TAKEUP</t>
        </is>
      </c>
      <c r="F71" s="1020" t="inlineStr">
        <is>
          <t>share</t>
        </is>
      </c>
      <c r="G71" s="1020" t="n">
        <v>0.05</v>
      </c>
      <c r="H71" s="1020" t="n">
        <v>0.2</v>
      </c>
      <c r="I71" s="1021" t="n"/>
      <c r="J71" s="1021" t="n"/>
      <c r="K71" s="1020" t="n">
        <v>0.05</v>
      </c>
      <c r="L71" s="1020" t="n">
        <v>0.2</v>
      </c>
      <c r="M71" s="1020" t="inlineStr">
        <is>
          <t>D</t>
        </is>
      </c>
      <c r="N71" s="1011" t="inlineStr">
        <is>
          <t>SRC-10</t>
        </is>
      </c>
    </row>
    <row r="72">
      <c r="A72" s="1009" t="inlineStr">
        <is>
          <t>PARAM</t>
        </is>
      </c>
      <c r="B72" s="1020" t="inlineStr">
        <is>
          <t>SC_INT</t>
        </is>
      </c>
      <c r="C72" s="1020" t="inlineStr">
        <is>
          <t>Data or transaction-integrity compromise</t>
        </is>
      </c>
      <c r="D72" s="1020" t="inlineStr">
        <is>
          <t>PAYMENT_FLOW_DAYS</t>
        </is>
      </c>
      <c r="E72" s="1020" t="inlineStr">
        <is>
          <t>PAYMENT_FLOW_DAYS</t>
        </is>
      </c>
      <c r="F72" s="1020" t="inlineStr">
        <is>
          <t>days</t>
        </is>
      </c>
      <c r="G72" s="1020" t="n">
        <v>2</v>
      </c>
      <c r="H72" s="1020" t="n">
        <v>10</v>
      </c>
      <c r="I72" s="1021" t="n"/>
      <c r="J72" s="1021" t="n"/>
      <c r="K72" s="1020" t="n">
        <v>2</v>
      </c>
      <c r="L72" s="1020" t="n">
        <v>10</v>
      </c>
      <c r="M72" s="1020" t="inlineStr">
        <is>
          <t>D</t>
        </is>
      </c>
      <c r="N72" s="1011" t="inlineStr">
        <is>
          <t>SRC-10</t>
        </is>
      </c>
    </row>
    <row r="73">
      <c r="A73" s="1009" t="inlineStr">
        <is>
          <t>PARAM</t>
        </is>
      </c>
      <c r="B73" s="1020" t="inlineStr">
        <is>
          <t>SC_INT</t>
        </is>
      </c>
      <c r="C73" s="1020" t="inlineStr">
        <is>
          <t>Data or transaction-integrity compromise</t>
        </is>
      </c>
      <c r="D73" s="1020" t="inlineStr">
        <is>
          <t>POST_EVENT_REVENUE_SHARE</t>
        </is>
      </c>
      <c r="E73" s="1020" t="inlineStr">
        <is>
          <t>POST_EVENT_REVENUE_SHARE</t>
        </is>
      </c>
      <c r="F73" s="1020" t="inlineStr">
        <is>
          <t>share</t>
        </is>
      </c>
      <c r="G73" s="1020" t="n">
        <v>0.001</v>
      </c>
      <c r="H73" s="1020" t="n">
        <v>0.008</v>
      </c>
      <c r="I73" s="1021" t="n"/>
      <c r="J73" s="1021" t="n"/>
      <c r="K73" s="1020" t="n">
        <v>0.001</v>
      </c>
      <c r="L73" s="1020" t="n">
        <v>0.008</v>
      </c>
      <c r="M73" s="1020" t="inlineStr">
        <is>
          <t>D</t>
        </is>
      </c>
      <c r="N73" s="1011" t="inlineStr">
        <is>
          <t>SRC-10</t>
        </is>
      </c>
    </row>
    <row r="74">
      <c r="A74" s="1009" t="inlineStr">
        <is>
          <t>PARAM</t>
        </is>
      </c>
      <c r="B74" s="1020" t="inlineStr">
        <is>
          <t>SC_INT</t>
        </is>
      </c>
      <c r="C74" s="1020" t="inlineStr">
        <is>
          <t>Data or transaction-integrity compromise</t>
        </is>
      </c>
      <c r="D74" s="1020" t="inlineStr">
        <is>
          <t>REGULATORY_REVENUE_SHARE</t>
        </is>
      </c>
      <c r="E74" s="1020" t="inlineStr">
        <is>
          <t>REGULATORY_REVENUE_SHARE</t>
        </is>
      </c>
      <c r="F74" s="1020" t="inlineStr">
        <is>
          <t>share</t>
        </is>
      </c>
      <c r="G74" s="1020" t="n">
        <v>0.0005</v>
      </c>
      <c r="H74" s="1020" t="n">
        <v>0.006</v>
      </c>
      <c r="I74" s="1021" t="n"/>
      <c r="J74" s="1021" t="n"/>
      <c r="K74" s="1020" t="n">
        <v>0.0005</v>
      </c>
      <c r="L74" s="1020" t="n">
        <v>0.006</v>
      </c>
      <c r="M74" s="1020" t="inlineStr">
        <is>
          <t>D</t>
        </is>
      </c>
      <c r="N74" s="1011" t="inlineStr">
        <is>
          <t>SRC-10</t>
        </is>
      </c>
    </row>
    <row r="75">
      <c r="A75" s="1009" t="inlineStr">
        <is>
          <t>PARAM</t>
        </is>
      </c>
      <c r="B75" s="1020" t="inlineStr">
        <is>
          <t>SC_INT</t>
        </is>
      </c>
      <c r="C75" s="1020" t="inlineStr">
        <is>
          <t>Data or transaction-integrity compromise</t>
        </is>
      </c>
      <c r="D75" s="1020" t="inlineStr">
        <is>
          <t>RESTORE_DAYS</t>
        </is>
      </c>
      <c r="E75" s="1020" t="inlineStr">
        <is>
          <t>RESTORE_DAYS</t>
        </is>
      </c>
      <c r="F75" s="1020" t="inlineStr">
        <is>
          <t>days</t>
        </is>
      </c>
      <c r="G75" s="1020" t="n">
        <v>20</v>
      </c>
      <c r="H75" s="1020" t="n">
        <v>150</v>
      </c>
      <c r="I75" s="1021" t="n"/>
      <c r="J75" s="1021" t="n"/>
      <c r="K75" s="1020" t="n">
        <v>20</v>
      </c>
      <c r="L75" s="1020" t="n">
        <v>150</v>
      </c>
      <c r="M75" s="1020" t="inlineStr">
        <is>
          <t>D</t>
        </is>
      </c>
      <c r="N75" s="1011" t="inlineStr">
        <is>
          <t>SRC-10</t>
        </is>
      </c>
    </row>
    <row r="76">
      <c r="A76" s="1009" t="inlineStr">
        <is>
          <t>PARAM</t>
        </is>
      </c>
      <c r="B76" s="1020" t="inlineStr">
        <is>
          <t>SC_FRAUD</t>
        </is>
      </c>
      <c r="C76" s="1020" t="inlineStr">
        <is>
          <t>Cyber-enabled theft or fraud</t>
        </is>
      </c>
      <c r="D76" s="1020" t="inlineStr">
        <is>
          <t>AFFECTED_ENDPOINT_SHARE</t>
        </is>
      </c>
      <c r="E76" s="1020" t="inlineStr">
        <is>
          <t>AFFECTED_ENDPOINT_SHARE</t>
        </is>
      </c>
      <c r="F76" s="1020" t="inlineStr">
        <is>
          <t>share</t>
        </is>
      </c>
      <c r="G76" s="1020" t="n">
        <v>0.02</v>
      </c>
      <c r="H76" s="1020" t="n">
        <v>0.15</v>
      </c>
      <c r="I76" s="1021" t="n"/>
      <c r="J76" s="1021" t="n"/>
      <c r="K76" s="1020" t="n">
        <v>0.02</v>
      </c>
      <c r="L76" s="1020" t="n">
        <v>0.15</v>
      </c>
      <c r="M76" s="1020" t="inlineStr">
        <is>
          <t>D</t>
        </is>
      </c>
      <c r="N76" s="1011" t="inlineStr">
        <is>
          <t>SRC-10</t>
        </is>
      </c>
    </row>
    <row r="77">
      <c r="A77" s="1009" t="inlineStr">
        <is>
          <t>PARAM</t>
        </is>
      </c>
      <c r="B77" s="1020" t="inlineStr">
        <is>
          <t>SC_FRAUD</t>
        </is>
      </c>
      <c r="C77" s="1020" t="inlineStr">
        <is>
          <t>Cyber-enabled theft or fraud</t>
        </is>
      </c>
      <c r="D77" s="1020" t="inlineStr">
        <is>
          <t>AFFECTED_RECORD_SHARE</t>
        </is>
      </c>
      <c r="E77" s="1020" t="inlineStr">
        <is>
          <t>AFFECTED_RECORD_SHARE</t>
        </is>
      </c>
      <c r="F77" s="1020" t="inlineStr">
        <is>
          <t>share</t>
        </is>
      </c>
      <c r="G77" s="1020" t="n">
        <v>0</v>
      </c>
      <c r="H77" s="1020" t="n">
        <v>0.05</v>
      </c>
      <c r="I77" s="1021" t="n"/>
      <c r="J77" s="1021" t="n"/>
      <c r="K77" s="1020" t="n">
        <v>0</v>
      </c>
      <c r="L77" s="1020" t="n">
        <v>0.05</v>
      </c>
      <c r="M77" s="1020" t="inlineStr">
        <is>
          <t>D</t>
        </is>
      </c>
      <c r="N77" s="1011" t="inlineStr">
        <is>
          <t>SRC-10</t>
        </is>
      </c>
    </row>
    <row r="78">
      <c r="A78" s="1009" t="inlineStr">
        <is>
          <t>PARAM</t>
        </is>
      </c>
      <c r="B78" s="1020" t="inlineStr">
        <is>
          <t>SC_FRAUD</t>
        </is>
      </c>
      <c r="C78" s="1020" t="inlineStr">
        <is>
          <t>Cyber-enabled theft or fraud</t>
        </is>
      </c>
      <c r="D78" s="1020" t="inlineStr">
        <is>
          <t>AFFECTED_SERVER_SHARE</t>
        </is>
      </c>
      <c r="E78" s="1020" t="inlineStr">
        <is>
          <t>AFFECTED_SERVER_SHARE</t>
        </is>
      </c>
      <c r="F78" s="1020" t="inlineStr">
        <is>
          <t>share</t>
        </is>
      </c>
      <c r="G78" s="1020" t="n">
        <v>0.02</v>
      </c>
      <c r="H78" s="1020" t="n">
        <v>0.1</v>
      </c>
      <c r="I78" s="1021" t="n"/>
      <c r="J78" s="1021" t="n"/>
      <c r="K78" s="1020" t="n">
        <v>0.02</v>
      </c>
      <c r="L78" s="1020" t="n">
        <v>0.1</v>
      </c>
      <c r="M78" s="1020" t="inlineStr">
        <is>
          <t>D</t>
        </is>
      </c>
      <c r="N78" s="1011" t="inlineStr">
        <is>
          <t>SRC-10</t>
        </is>
      </c>
    </row>
    <row r="79">
      <c r="A79" s="1009" t="inlineStr">
        <is>
          <t>PARAM</t>
        </is>
      </c>
      <c r="B79" s="1020" t="inlineStr">
        <is>
          <t>SC_FRAUD</t>
        </is>
      </c>
      <c r="C79" s="1020" t="inlineStr">
        <is>
          <t>Cyber-enabled theft or fraud</t>
        </is>
      </c>
      <c r="D79" s="1020" t="inlineStr">
        <is>
          <t>AFFECTED_SERVICE_SHARE</t>
        </is>
      </c>
      <c r="E79" s="1020" t="inlineStr">
        <is>
          <t>AFFECTED_SERVICE_SHARE</t>
        </is>
      </c>
      <c r="F79" s="1020" t="inlineStr">
        <is>
          <t>share</t>
        </is>
      </c>
      <c r="G79" s="1020" t="n">
        <v>0</v>
      </c>
      <c r="H79" s="1020" t="n">
        <v>0.2</v>
      </c>
      <c r="I79" s="1021" t="n"/>
      <c r="J79" s="1021" t="n"/>
      <c r="K79" s="1020" t="n">
        <v>0</v>
      </c>
      <c r="L79" s="1020" t="n">
        <v>0.2</v>
      </c>
      <c r="M79" s="1020" t="inlineStr">
        <is>
          <t>D</t>
        </is>
      </c>
      <c r="N79" s="1011" t="inlineStr">
        <is>
          <t>SRC-10</t>
        </is>
      </c>
    </row>
    <row r="80">
      <c r="A80" s="1009" t="inlineStr">
        <is>
          <t>PARAM</t>
        </is>
      </c>
      <c r="B80" s="1020" t="inlineStr">
        <is>
          <t>SC_FRAUD</t>
        </is>
      </c>
      <c r="C80" s="1020" t="inlineStr">
        <is>
          <t>Cyber-enabled theft or fraud</t>
        </is>
      </c>
      <c r="D80" s="1020" t="inlineStr">
        <is>
          <t>CHURN_REVENUE_SHARE</t>
        </is>
      </c>
      <c r="E80" s="1020" t="inlineStr">
        <is>
          <t>CHURN_REVENUE_SHARE</t>
        </is>
      </c>
      <c r="F80" s="1020" t="inlineStr">
        <is>
          <t>share</t>
        </is>
      </c>
      <c r="G80" s="1020" t="n">
        <v>0.001</v>
      </c>
      <c r="H80" s="1020" t="n">
        <v>0.02</v>
      </c>
      <c r="I80" s="1021" t="n"/>
      <c r="J80" s="1021" t="n"/>
      <c r="K80" s="1020" t="n">
        <v>0.001</v>
      </c>
      <c r="L80" s="1020" t="n">
        <v>0.02</v>
      </c>
      <c r="M80" s="1020" t="inlineStr">
        <is>
          <t>D</t>
        </is>
      </c>
      <c r="N80" s="1011" t="inlineStr">
        <is>
          <t>SRC-10</t>
        </is>
      </c>
    </row>
    <row r="81">
      <c r="A81" s="1009" t="inlineStr">
        <is>
          <t>PARAM</t>
        </is>
      </c>
      <c r="B81" s="1020" t="inlineStr">
        <is>
          <t>SC_FRAUD</t>
        </is>
      </c>
      <c r="C81" s="1020" t="inlineStr">
        <is>
          <t>Cyber-enabled theft or fraud</t>
        </is>
      </c>
      <c r="D81" s="1020" t="inlineStr">
        <is>
          <t>CYBER_DAYS</t>
        </is>
      </c>
      <c r="E81" s="1020" t="inlineStr">
        <is>
          <t>CYBER_DAYS</t>
        </is>
      </c>
      <c r="F81" s="1020" t="inlineStr">
        <is>
          <t>days</t>
        </is>
      </c>
      <c r="G81" s="1020" t="n">
        <v>10</v>
      </c>
      <c r="H81" s="1020" t="n">
        <v>90</v>
      </c>
      <c r="I81" s="1021" t="n"/>
      <c r="J81" s="1021" t="n"/>
      <c r="K81" s="1020" t="n">
        <v>10</v>
      </c>
      <c r="L81" s="1020" t="n">
        <v>90</v>
      </c>
      <c r="M81" s="1020" t="inlineStr">
        <is>
          <t>D</t>
        </is>
      </c>
      <c r="N81" s="1011" t="inlineStr">
        <is>
          <t>SRC-10</t>
        </is>
      </c>
    </row>
    <row r="82">
      <c r="A82" s="1009" t="inlineStr">
        <is>
          <t>PARAM</t>
        </is>
      </c>
      <c r="B82" s="1020" t="inlineStr">
        <is>
          <t>SC_FRAUD</t>
        </is>
      </c>
      <c r="C82" s="1020" t="inlineStr">
        <is>
          <t>Cyber-enabled theft or fraud</t>
        </is>
      </c>
      <c r="D82" s="1020" t="inlineStr">
        <is>
          <t>DIVERTED_SHARE</t>
        </is>
      </c>
      <c r="E82" s="1020" t="inlineStr">
        <is>
          <t>DIVERTED_SHARE</t>
        </is>
      </c>
      <c r="F82" s="1020" t="inlineStr">
        <is>
          <t>share</t>
        </is>
      </c>
      <c r="G82" s="1020" t="n">
        <v>0.01</v>
      </c>
      <c r="H82" s="1020" t="n">
        <v>0.1</v>
      </c>
      <c r="I82" s="1021" t="n"/>
      <c r="J82" s="1021" t="n"/>
      <c r="K82" s="1020" t="n">
        <v>0.01</v>
      </c>
      <c r="L82" s="1020" t="n">
        <v>0.1</v>
      </c>
      <c r="M82" s="1020" t="inlineStr">
        <is>
          <t>D</t>
        </is>
      </c>
      <c r="N82" s="1011" t="inlineStr">
        <is>
          <t>SRC-10</t>
        </is>
      </c>
    </row>
    <row r="83">
      <c r="A83" s="1009" t="inlineStr">
        <is>
          <t>PARAM</t>
        </is>
      </c>
      <c r="B83" s="1020" t="inlineStr">
        <is>
          <t>SC_FRAUD</t>
        </is>
      </c>
      <c r="C83" s="1020" t="inlineStr">
        <is>
          <t>Cyber-enabled theft or fraud</t>
        </is>
      </c>
      <c r="D83" s="1020" t="inlineStr">
        <is>
          <t>DOWNTIME_DAYS</t>
        </is>
      </c>
      <c r="E83" s="1020" t="inlineStr">
        <is>
          <t>DOWNTIME_DAYS</t>
        </is>
      </c>
      <c r="F83" s="1020" t="inlineStr">
        <is>
          <t>days</t>
        </is>
      </c>
      <c r="G83" s="1020" t="n">
        <v>0</v>
      </c>
      <c r="H83" s="1020" t="n">
        <v>5</v>
      </c>
      <c r="I83" s="1021" t="n"/>
      <c r="J83" s="1021" t="n"/>
      <c r="K83" s="1020" t="n">
        <v>0</v>
      </c>
      <c r="L83" s="1020" t="n">
        <v>5</v>
      </c>
      <c r="M83" s="1020" t="inlineStr">
        <is>
          <t>D</t>
        </is>
      </c>
      <c r="N83" s="1011" t="inlineStr">
        <is>
          <t>SRC-10</t>
        </is>
      </c>
    </row>
    <row r="84">
      <c r="A84" s="1009" t="inlineStr">
        <is>
          <t>PARAM</t>
        </is>
      </c>
      <c r="B84" s="1020" t="inlineStr">
        <is>
          <t>SC_FRAUD</t>
        </is>
      </c>
      <c r="C84" s="1020" t="inlineStr">
        <is>
          <t>Cyber-enabled theft or fraud</t>
        </is>
      </c>
      <c r="D84" s="1020" t="inlineStr">
        <is>
          <t>EXTORTION_DIRECT</t>
        </is>
      </c>
      <c r="E84" s="1020" t="inlineStr">
        <is>
          <t>EXTORTION_DIRECT</t>
        </is>
      </c>
      <c r="F84" s="1020" t="inlineStr">
        <is>
          <t>USD</t>
        </is>
      </c>
      <c r="G84" s="1020" t="n">
        <v>0</v>
      </c>
      <c r="H84" s="1020" t="n">
        <v>0</v>
      </c>
      <c r="I84" s="1021" t="n"/>
      <c r="J84" s="1021" t="n"/>
      <c r="K84" s="1020" t="n">
        <v>0</v>
      </c>
      <c r="L84" s="1020" t="n">
        <v>0</v>
      </c>
      <c r="M84" s="1020" t="inlineStr">
        <is>
          <t>D</t>
        </is>
      </c>
      <c r="N84" s="1011" t="inlineStr">
        <is>
          <t>SRC-10</t>
        </is>
      </c>
    </row>
    <row r="85">
      <c r="A85" s="1009" t="inlineStr">
        <is>
          <t>PARAM</t>
        </is>
      </c>
      <c r="B85" s="1020" t="inlineStr">
        <is>
          <t>SC_FRAUD</t>
        </is>
      </c>
      <c r="C85" s="1020" t="inlineStr">
        <is>
          <t>Cyber-enabled theft or fraud</t>
        </is>
      </c>
      <c r="D85" s="1020" t="inlineStr">
        <is>
          <t>FRAUD_RECOVERY_RATE</t>
        </is>
      </c>
      <c r="E85" s="1020" t="inlineStr">
        <is>
          <t>FRAUD_RECOVERY_RATE</t>
        </is>
      </c>
      <c r="F85" s="1020" t="inlineStr">
        <is>
          <t>share</t>
        </is>
      </c>
      <c r="G85" s="1020" t="n">
        <v>0.8</v>
      </c>
      <c r="H85" s="1020" t="n">
        <v>0.2</v>
      </c>
      <c r="I85" s="1021" t="n"/>
      <c r="J85" s="1021" t="n"/>
      <c r="K85" s="1020" t="n">
        <v>0.8</v>
      </c>
      <c r="L85" s="1020" t="n">
        <v>0.2</v>
      </c>
      <c r="M85" s="1020" t="inlineStr">
        <is>
          <t>D</t>
        </is>
      </c>
      <c r="N85" s="1011" t="inlineStr">
        <is>
          <t>SRC-10</t>
        </is>
      </c>
    </row>
    <row r="86">
      <c r="A86" s="1009" t="inlineStr">
        <is>
          <t>PARAM</t>
        </is>
      </c>
      <c r="B86" s="1020" t="inlineStr">
        <is>
          <t>SC_FRAUD</t>
        </is>
      </c>
      <c r="C86" s="1020" t="inlineStr">
        <is>
          <t>Cyber-enabled theft or fraud</t>
        </is>
      </c>
      <c r="D86" s="1020" t="inlineStr">
        <is>
          <t>IR_DAYS</t>
        </is>
      </c>
      <c r="E86" s="1020" t="inlineStr">
        <is>
          <t>IR_DAYS</t>
        </is>
      </c>
      <c r="F86" s="1020" t="inlineStr">
        <is>
          <t>days</t>
        </is>
      </c>
      <c r="G86" s="1020" t="n">
        <v>10</v>
      </c>
      <c r="H86" s="1020" t="n">
        <v>60</v>
      </c>
      <c r="I86" s="1021" t="n"/>
      <c r="J86" s="1021" t="n"/>
      <c r="K86" s="1020" t="n">
        <v>10</v>
      </c>
      <c r="L86" s="1020" t="n">
        <v>60</v>
      </c>
      <c r="M86" s="1020" t="inlineStr">
        <is>
          <t>D</t>
        </is>
      </c>
      <c r="N86" s="1011" t="inlineStr">
        <is>
          <t>SRC-10</t>
        </is>
      </c>
    </row>
    <row r="87">
      <c r="A87" s="1009" t="inlineStr">
        <is>
          <t>PARAM</t>
        </is>
      </c>
      <c r="B87" s="1020" t="inlineStr">
        <is>
          <t>SC_FRAUD</t>
        </is>
      </c>
      <c r="C87" s="1020" t="inlineStr">
        <is>
          <t>Cyber-enabled theft or fraud</t>
        </is>
      </c>
      <c r="D87" s="1020" t="inlineStr">
        <is>
          <t>LEGAL_DAYS</t>
        </is>
      </c>
      <c r="E87" s="1020" t="inlineStr">
        <is>
          <t>LEGAL_DAYS</t>
        </is>
      </c>
      <c r="F87" s="1020" t="inlineStr">
        <is>
          <t>days</t>
        </is>
      </c>
      <c r="G87" s="1020" t="n">
        <v>15</v>
      </c>
      <c r="H87" s="1020" t="n">
        <v>90</v>
      </c>
      <c r="I87" s="1021" t="n"/>
      <c r="J87" s="1021" t="n"/>
      <c r="K87" s="1020" t="n">
        <v>15</v>
      </c>
      <c r="L87" s="1020" t="n">
        <v>90</v>
      </c>
      <c r="M87" s="1020" t="inlineStr">
        <is>
          <t>D</t>
        </is>
      </c>
      <c r="N87" s="1011" t="inlineStr">
        <is>
          <t>SRC-10</t>
        </is>
      </c>
    </row>
    <row r="88">
      <c r="A88" s="1009" t="inlineStr">
        <is>
          <t>PARAM</t>
        </is>
      </c>
      <c r="B88" s="1020" t="inlineStr">
        <is>
          <t>SC_FRAUD</t>
        </is>
      </c>
      <c r="C88" s="1020" t="inlineStr">
        <is>
          <t>Cyber-enabled theft or fraud</t>
        </is>
      </c>
      <c r="D88" s="1020" t="inlineStr">
        <is>
          <t>MONITORING_TAKEUP</t>
        </is>
      </c>
      <c r="E88" s="1020" t="inlineStr">
        <is>
          <t>MONITORING_TAKEUP</t>
        </is>
      </c>
      <c r="F88" s="1020" t="inlineStr">
        <is>
          <t>share</t>
        </is>
      </c>
      <c r="G88" s="1020" t="n">
        <v>0.05</v>
      </c>
      <c r="H88" s="1020" t="n">
        <v>0.2</v>
      </c>
      <c r="I88" s="1021" t="n"/>
      <c r="J88" s="1021" t="n"/>
      <c r="K88" s="1020" t="n">
        <v>0.05</v>
      </c>
      <c r="L88" s="1020" t="n">
        <v>0.2</v>
      </c>
      <c r="M88" s="1020" t="inlineStr">
        <is>
          <t>D</t>
        </is>
      </c>
      <c r="N88" s="1011" t="inlineStr">
        <is>
          <t>SRC-10</t>
        </is>
      </c>
    </row>
    <row r="89">
      <c r="A89" s="1009" t="inlineStr">
        <is>
          <t>PARAM</t>
        </is>
      </c>
      <c r="B89" s="1020" t="inlineStr">
        <is>
          <t>SC_FRAUD</t>
        </is>
      </c>
      <c r="C89" s="1020" t="inlineStr">
        <is>
          <t>Cyber-enabled theft or fraud</t>
        </is>
      </c>
      <c r="D89" s="1020" t="inlineStr">
        <is>
          <t>PAYMENT_FLOW_DAYS</t>
        </is>
      </c>
      <c r="E89" s="1020" t="inlineStr">
        <is>
          <t>PAYMENT_FLOW_DAYS</t>
        </is>
      </c>
      <c r="F89" s="1020" t="inlineStr">
        <is>
          <t>days</t>
        </is>
      </c>
      <c r="G89" s="1020" t="n">
        <v>2</v>
      </c>
      <c r="H89" s="1020" t="n">
        <v>15</v>
      </c>
      <c r="I89" s="1021" t="n"/>
      <c r="J89" s="1021" t="n"/>
      <c r="K89" s="1020" t="n">
        <v>2</v>
      </c>
      <c r="L89" s="1020" t="n">
        <v>15</v>
      </c>
      <c r="M89" s="1020" t="inlineStr">
        <is>
          <t>D</t>
        </is>
      </c>
      <c r="N89" s="1011" t="inlineStr">
        <is>
          <t>SRC-10</t>
        </is>
      </c>
    </row>
    <row r="90">
      <c r="A90" s="1009" t="inlineStr">
        <is>
          <t>PARAM</t>
        </is>
      </c>
      <c r="B90" s="1020" t="inlineStr">
        <is>
          <t>SC_FRAUD</t>
        </is>
      </c>
      <c r="C90" s="1020" t="inlineStr">
        <is>
          <t>Cyber-enabled theft or fraud</t>
        </is>
      </c>
      <c r="D90" s="1020" t="inlineStr">
        <is>
          <t>POST_EVENT_REVENUE_SHARE</t>
        </is>
      </c>
      <c r="E90" s="1020" t="inlineStr">
        <is>
          <t>POST_EVENT_REVENUE_SHARE</t>
        </is>
      </c>
      <c r="F90" s="1020" t="inlineStr">
        <is>
          <t>share</t>
        </is>
      </c>
      <c r="G90" s="1020" t="n">
        <v>0.0005</v>
      </c>
      <c r="H90" s="1020" t="n">
        <v>0.005</v>
      </c>
      <c r="I90" s="1021" t="n"/>
      <c r="J90" s="1021" t="n"/>
      <c r="K90" s="1020" t="n">
        <v>0.0005</v>
      </c>
      <c r="L90" s="1020" t="n">
        <v>0.005</v>
      </c>
      <c r="M90" s="1020" t="inlineStr">
        <is>
          <t>D</t>
        </is>
      </c>
      <c r="N90" s="1011" t="inlineStr">
        <is>
          <t>SRC-10</t>
        </is>
      </c>
    </row>
    <row r="91">
      <c r="A91" s="1009" t="inlineStr">
        <is>
          <t>PARAM</t>
        </is>
      </c>
      <c r="B91" s="1020" t="inlineStr">
        <is>
          <t>SC_FRAUD</t>
        </is>
      </c>
      <c r="C91" s="1020" t="inlineStr">
        <is>
          <t>Cyber-enabled theft or fraud</t>
        </is>
      </c>
      <c r="D91" s="1020" t="inlineStr">
        <is>
          <t>REGULATORY_REVENUE_SHARE</t>
        </is>
      </c>
      <c r="E91" s="1020" t="inlineStr">
        <is>
          <t>REGULATORY_REVENUE_SHARE</t>
        </is>
      </c>
      <c r="F91" s="1020" t="inlineStr">
        <is>
          <t>share</t>
        </is>
      </c>
      <c r="G91" s="1020" t="n">
        <v>0.0002</v>
      </c>
      <c r="H91" s="1020" t="n">
        <v>0.003</v>
      </c>
      <c r="I91" s="1021" t="n"/>
      <c r="J91" s="1021" t="n"/>
      <c r="K91" s="1020" t="n">
        <v>0.0002</v>
      </c>
      <c r="L91" s="1020" t="n">
        <v>0.003</v>
      </c>
      <c r="M91" s="1020" t="inlineStr">
        <is>
          <t>D</t>
        </is>
      </c>
      <c r="N91" s="1011" t="inlineStr">
        <is>
          <t>SRC-10</t>
        </is>
      </c>
    </row>
    <row r="92">
      <c r="A92" s="1009" t="inlineStr">
        <is>
          <t>PARAM</t>
        </is>
      </c>
      <c r="B92" s="1020" t="inlineStr">
        <is>
          <t>SC_FRAUD</t>
        </is>
      </c>
      <c r="C92" s="1020" t="inlineStr">
        <is>
          <t>Cyber-enabled theft or fraud</t>
        </is>
      </c>
      <c r="D92" s="1020" t="inlineStr">
        <is>
          <t>RESTORE_DAYS</t>
        </is>
      </c>
      <c r="E92" s="1020" t="inlineStr">
        <is>
          <t>RESTORE_DAYS</t>
        </is>
      </c>
      <c r="F92" s="1020" t="inlineStr">
        <is>
          <t>days</t>
        </is>
      </c>
      <c r="G92" s="1020" t="n">
        <v>5</v>
      </c>
      <c r="H92" s="1020" t="n">
        <v>60</v>
      </c>
      <c r="I92" s="1021" t="n"/>
      <c r="J92" s="1021" t="n"/>
      <c r="K92" s="1020" t="n">
        <v>5</v>
      </c>
      <c r="L92" s="1020" t="n">
        <v>60</v>
      </c>
      <c r="M92" s="1020" t="inlineStr">
        <is>
          <t>D</t>
        </is>
      </c>
      <c r="N92" s="1011" t="inlineStr">
        <is>
          <t>SRC-10</t>
        </is>
      </c>
    </row>
    <row r="93">
      <c r="A93" s="1012" t="n"/>
      <c r="B93" s="1016" t="n"/>
      <c r="C93" s="1016" t="n"/>
      <c r="D93" s="1016" t="n"/>
      <c r="E93" s="1016" t="n"/>
      <c r="F93" s="1016" t="n"/>
      <c r="G93" s="1016" t="n"/>
      <c r="H93" s="1016" t="n"/>
      <c r="I93" s="1022" t="n"/>
      <c r="J93" s="1022" t="n"/>
      <c r="K93" s="1016" t="n"/>
      <c r="L93" s="1016" t="n"/>
      <c r="M93" s="1016" t="n"/>
      <c r="N93" s="1014" t="n"/>
    </row>
    <row r="94">
      <c r="A94" s="1012" t="n"/>
      <c r="B94" s="1016" t="n"/>
      <c r="C94" s="1016" t="n"/>
      <c r="D94" s="1016" t="n"/>
      <c r="E94" s="1016" t="n"/>
      <c r="F94" s="1016" t="n"/>
      <c r="G94" s="1016" t="n"/>
      <c r="H94" s="1016" t="n"/>
      <c r="I94" s="1022" t="n"/>
      <c r="J94" s="1022" t="n"/>
      <c r="K94" s="1016" t="n"/>
      <c r="L94" s="1016" t="n"/>
      <c r="M94" s="1016" t="n"/>
      <c r="N94" s="1014" t="n"/>
    </row>
    <row r="95">
      <c r="A95" s="1012" t="n"/>
      <c r="B95" s="1016" t="n"/>
      <c r="C95" s="1016" t="n"/>
      <c r="D95" s="1016" t="n"/>
      <c r="E95" s="1016" t="n"/>
      <c r="F95" s="1016" t="n"/>
      <c r="G95" s="1016" t="n"/>
      <c r="H95" s="1016" t="n"/>
      <c r="I95" s="1022" t="n"/>
      <c r="J95" s="1022" t="n"/>
      <c r="K95" s="1016" t="n"/>
      <c r="L95" s="1016" t="n"/>
      <c r="M95" s="1016" t="n"/>
      <c r="N95" s="1014" t="n"/>
    </row>
    <row r="96">
      <c r="A96" s="1012" t="n"/>
      <c r="B96" s="1016" t="n"/>
      <c r="C96" s="1016" t="n"/>
      <c r="D96" s="1016" t="n"/>
      <c r="E96" s="1016" t="n"/>
      <c r="F96" s="1016" t="n"/>
      <c r="G96" s="1016" t="n"/>
      <c r="H96" s="1016" t="n"/>
      <c r="I96" s="1022" t="n"/>
      <c r="J96" s="1022" t="n"/>
      <c r="K96" s="1016" t="n"/>
      <c r="L96" s="1016" t="n"/>
      <c r="M96" s="1016" t="n"/>
      <c r="N96" s="1014" t="n"/>
    </row>
    <row r="97">
      <c r="A97" s="1012" t="n"/>
      <c r="B97" s="1016" t="n"/>
      <c r="C97" s="1016" t="n"/>
      <c r="D97" s="1016" t="n"/>
      <c r="E97" s="1016" t="n"/>
      <c r="F97" s="1016" t="n"/>
      <c r="G97" s="1016" t="n"/>
      <c r="H97" s="1016" t="n"/>
      <c r="I97" s="1022" t="n"/>
      <c r="J97" s="1022" t="n"/>
      <c r="K97" s="1016" t="n"/>
      <c r="L97" s="1016" t="n"/>
      <c r="M97" s="1016" t="n"/>
      <c r="N97" s="1014" t="n"/>
    </row>
    <row r="98">
      <c r="A98" s="1012" t="n"/>
      <c r="B98" s="1016" t="n"/>
      <c r="C98" s="1016" t="n"/>
      <c r="D98" s="1016" t="n"/>
      <c r="E98" s="1016" t="n"/>
      <c r="F98" s="1016" t="n"/>
      <c r="G98" s="1016" t="n"/>
      <c r="H98" s="1016" t="n"/>
      <c r="I98" s="1022" t="n"/>
      <c r="J98" s="1022" t="n"/>
      <c r="K98" s="1016" t="n"/>
      <c r="L98" s="1016" t="n"/>
      <c r="M98" s="1016" t="n"/>
      <c r="N98" s="1014" t="n"/>
    </row>
    <row r="99">
      <c r="A99" s="1012" t="n"/>
      <c r="B99" s="1016" t="n"/>
      <c r="C99" s="1016" t="n"/>
      <c r="D99" s="1016" t="n"/>
      <c r="E99" s="1016" t="n"/>
      <c r="F99" s="1016" t="n"/>
      <c r="G99" s="1016" t="n"/>
      <c r="H99" s="1016" t="n"/>
      <c r="I99" s="1022" t="n"/>
      <c r="J99" s="1022" t="n"/>
      <c r="K99" s="1016" t="n"/>
      <c r="L99" s="1016" t="n"/>
      <c r="M99" s="1016" t="n"/>
      <c r="N99" s="1014" t="n"/>
    </row>
    <row r="100">
      <c r="A100" s="1012" t="n"/>
      <c r="B100" s="1016" t="n"/>
      <c r="C100" s="1016" t="n"/>
      <c r="D100" s="1016" t="n"/>
      <c r="E100" s="1016" t="n"/>
      <c r="F100" s="1016" t="n"/>
      <c r="G100" s="1016" t="n"/>
      <c r="H100" s="1016" t="n"/>
      <c r="I100" s="1022" t="n"/>
      <c r="J100" s="1022" t="n"/>
      <c r="K100" s="1016" t="n"/>
      <c r="L100" s="1016" t="n"/>
      <c r="M100" s="1016" t="n"/>
      <c r="N100" s="1014" t="n"/>
    </row>
    <row r="101">
      <c r="A101" s="1012" t="n"/>
      <c r="B101" s="1016" t="n"/>
      <c r="C101" s="1016" t="n"/>
      <c r="D101" s="1016" t="n"/>
      <c r="E101" s="1016" t="n"/>
      <c r="F101" s="1016" t="n"/>
      <c r="G101" s="1016" t="n"/>
      <c r="H101" s="1016" t="n"/>
      <c r="I101" s="1022" t="n"/>
      <c r="J101" s="1022" t="n"/>
      <c r="K101" s="1016" t="n"/>
      <c r="L101" s="1016" t="n"/>
      <c r="M101" s="1016" t="n"/>
      <c r="N101" s="1014" t="n"/>
    </row>
    <row r="102">
      <c r="A102" s="1012" t="n"/>
      <c r="B102" s="1016" t="n"/>
      <c r="C102" s="1016" t="n"/>
      <c r="D102" s="1016" t="n"/>
      <c r="E102" s="1016" t="n"/>
      <c r="F102" s="1016" t="n"/>
      <c r="G102" s="1016" t="n"/>
      <c r="H102" s="1016" t="n"/>
      <c r="I102" s="1022" t="n"/>
      <c r="J102" s="1022" t="n"/>
      <c r="K102" s="1016" t="n"/>
      <c r="L102" s="1016" t="n"/>
      <c r="M102" s="1016" t="n"/>
      <c r="N102" s="1014" t="n"/>
    </row>
    <row r="103">
      <c r="A103" s="1012" t="n"/>
      <c r="B103" s="1016" t="n"/>
      <c r="C103" s="1016" t="n"/>
      <c r="D103" s="1016" t="n"/>
      <c r="E103" s="1016" t="n"/>
      <c r="F103" s="1016" t="n"/>
      <c r="G103" s="1016" t="n"/>
      <c r="H103" s="1016" t="n"/>
      <c r="I103" s="1022" t="n"/>
      <c r="J103" s="1022" t="n"/>
      <c r="K103" s="1016" t="n"/>
      <c r="L103" s="1016" t="n"/>
      <c r="M103" s="1016" t="n"/>
      <c r="N103" s="1014" t="n"/>
    </row>
    <row r="104">
      <c r="A104" s="1012" t="n"/>
      <c r="B104" s="1016" t="n"/>
      <c r="C104" s="1016" t="n"/>
      <c r="D104" s="1016" t="n"/>
      <c r="E104" s="1016" t="n"/>
      <c r="F104" s="1016" t="n"/>
      <c r="G104" s="1016" t="n"/>
      <c r="H104" s="1016" t="n"/>
      <c r="I104" s="1022" t="n"/>
      <c r="J104" s="1022" t="n"/>
      <c r="K104" s="1016" t="n"/>
      <c r="L104" s="1016" t="n"/>
      <c r="M104" s="1016" t="n"/>
      <c r="N104" s="1014" t="n"/>
    </row>
    <row r="105">
      <c r="A105" s="1012" t="n"/>
      <c r="B105" s="1016" t="n"/>
      <c r="C105" s="1016" t="n"/>
      <c r="D105" s="1016" t="n"/>
      <c r="E105" s="1016" t="n"/>
      <c r="F105" s="1016" t="n"/>
      <c r="G105" s="1016" t="n"/>
      <c r="H105" s="1016" t="n"/>
      <c r="I105" s="1022" t="n"/>
      <c r="J105" s="1022" t="n"/>
      <c r="K105" s="1016" t="n"/>
      <c r="L105" s="1016" t="n"/>
      <c r="M105" s="1016" t="n"/>
      <c r="N105" s="1014" t="n"/>
    </row>
    <row r="106">
      <c r="A106" s="1012" t="n"/>
      <c r="B106" s="1016" t="n"/>
      <c r="C106" s="1016" t="n"/>
      <c r="D106" s="1016" t="n"/>
      <c r="E106" s="1016" t="n"/>
      <c r="F106" s="1016" t="n"/>
      <c r="G106" s="1016" t="n"/>
      <c r="H106" s="1016" t="n"/>
      <c r="I106" s="1022" t="n"/>
      <c r="J106" s="1022" t="n"/>
      <c r="K106" s="1016" t="n"/>
      <c r="L106" s="1016" t="n"/>
      <c r="M106" s="1016" t="n"/>
      <c r="N106" s="1014" t="n"/>
    </row>
    <row r="107">
      <c r="A107" s="1012" t="n"/>
      <c r="B107" s="1016" t="n"/>
      <c r="C107" s="1016" t="n"/>
      <c r="D107" s="1016" t="n"/>
      <c r="E107" s="1016" t="n"/>
      <c r="F107" s="1016" t="n"/>
      <c r="G107" s="1016" t="n"/>
      <c r="H107" s="1016" t="n"/>
      <c r="I107" s="1022" t="n"/>
      <c r="J107" s="1022" t="n"/>
      <c r="K107" s="1016" t="n"/>
      <c r="L107" s="1016" t="n"/>
      <c r="M107" s="1016" t="n"/>
      <c r="N107" s="1014" t="n"/>
    </row>
    <row r="108">
      <c r="A108" s="1012" t="n"/>
      <c r="B108" s="1016" t="n"/>
      <c r="C108" s="1016" t="n"/>
      <c r="D108" s="1016" t="n"/>
      <c r="E108" s="1016" t="n"/>
      <c r="F108" s="1016" t="n"/>
      <c r="G108" s="1016" t="n"/>
      <c r="H108" s="1016" t="n"/>
      <c r="I108" s="1022" t="n"/>
      <c r="J108" s="1022" t="n"/>
      <c r="K108" s="1016" t="n"/>
      <c r="L108" s="1016" t="n"/>
      <c r="M108" s="1016" t="n"/>
      <c r="N108" s="1014" t="n"/>
    </row>
    <row r="109">
      <c r="A109" s="1012" t="n"/>
      <c r="B109" s="1016" t="n"/>
      <c r="C109" s="1016" t="n"/>
      <c r="D109" s="1016" t="n"/>
      <c r="E109" s="1016" t="n"/>
      <c r="F109" s="1016" t="n"/>
      <c r="G109" s="1016" t="n"/>
      <c r="H109" s="1016" t="n"/>
      <c r="I109" s="1022" t="n"/>
      <c r="J109" s="1022" t="n"/>
      <c r="K109" s="1016" t="n"/>
      <c r="L109" s="1016" t="n"/>
      <c r="M109" s="1016" t="n"/>
      <c r="N109" s="1014" t="n"/>
    </row>
    <row r="110">
      <c r="A110" s="1012" t="n"/>
      <c r="B110" s="1016" t="n"/>
      <c r="C110" s="1016" t="n"/>
      <c r="D110" s="1016" t="n"/>
      <c r="E110" s="1016" t="n"/>
      <c r="F110" s="1016" t="n"/>
      <c r="G110" s="1016" t="n"/>
      <c r="H110" s="1016" t="n"/>
      <c r="I110" s="1022" t="n"/>
      <c r="J110" s="1022" t="n"/>
      <c r="K110" s="1016" t="n"/>
      <c r="L110" s="1016" t="n"/>
      <c r="M110" s="1016" t="n"/>
      <c r="N110" s="1014" t="n"/>
    </row>
    <row r="111">
      <c r="A111" s="1012" t="n"/>
      <c r="B111" s="1016" t="n"/>
      <c r="C111" s="1016" t="n"/>
      <c r="D111" s="1016" t="n"/>
      <c r="E111" s="1016" t="n"/>
      <c r="F111" s="1016" t="n"/>
      <c r="G111" s="1016" t="n"/>
      <c r="H111" s="1016" t="n"/>
      <c r="I111" s="1022" t="n"/>
      <c r="J111" s="1022" t="n"/>
      <c r="K111" s="1016" t="n"/>
      <c r="L111" s="1016" t="n"/>
      <c r="M111" s="1016" t="n"/>
      <c r="N111" s="1014" t="n"/>
    </row>
    <row r="112">
      <c r="A112" s="1012" t="n"/>
      <c r="B112" s="1016" t="n"/>
      <c r="C112" s="1016" t="n"/>
      <c r="D112" s="1016" t="n"/>
      <c r="E112" s="1016" t="n"/>
      <c r="F112" s="1016" t="n"/>
      <c r="G112" s="1016" t="n"/>
      <c r="H112" s="1016" t="n"/>
      <c r="I112" s="1022" t="n"/>
      <c r="J112" s="1022" t="n"/>
      <c r="K112" s="1016" t="n"/>
      <c r="L112" s="1016" t="n"/>
      <c r="M112" s="1016" t="n"/>
      <c r="N112" s="1014" t="n"/>
    </row>
    <row r="113">
      <c r="A113" s="1012" t="n"/>
      <c r="B113" s="1016" t="n"/>
      <c r="C113" s="1016" t="n"/>
      <c r="D113" s="1016" t="n"/>
      <c r="E113" s="1016" t="n"/>
      <c r="F113" s="1016" t="n"/>
      <c r="G113" s="1016" t="n"/>
      <c r="H113" s="1016" t="n"/>
      <c r="I113" s="1022" t="n"/>
      <c r="J113" s="1022" t="n"/>
      <c r="K113" s="1016" t="n"/>
      <c r="L113" s="1016" t="n"/>
      <c r="M113" s="1016" t="n"/>
      <c r="N113" s="1014" t="n"/>
    </row>
    <row r="114">
      <c r="A114" s="1012" t="n"/>
      <c r="B114" s="1016" t="n"/>
      <c r="C114" s="1016" t="n"/>
      <c r="D114" s="1016" t="n"/>
      <c r="E114" s="1016" t="n"/>
      <c r="F114" s="1016" t="n"/>
      <c r="G114" s="1016" t="n"/>
      <c r="H114" s="1016" t="n"/>
      <c r="I114" s="1022" t="n"/>
      <c r="J114" s="1022" t="n"/>
      <c r="K114" s="1016" t="n"/>
      <c r="L114" s="1016" t="n"/>
      <c r="M114" s="1016" t="n"/>
      <c r="N114" s="1014" t="n"/>
    </row>
    <row r="115">
      <c r="A115" s="1012" t="n"/>
      <c r="B115" s="1016" t="n"/>
      <c r="C115" s="1016" t="n"/>
      <c r="D115" s="1016" t="n"/>
      <c r="E115" s="1016" t="n"/>
      <c r="F115" s="1016" t="n"/>
      <c r="G115" s="1016" t="n"/>
      <c r="H115" s="1016" t="n"/>
      <c r="I115" s="1022" t="n"/>
      <c r="J115" s="1022" t="n"/>
      <c r="K115" s="1016" t="n"/>
      <c r="L115" s="1016" t="n"/>
      <c r="M115" s="1016" t="n"/>
      <c r="N115" s="1014" t="n"/>
    </row>
    <row r="116">
      <c r="A116" s="1012" t="n"/>
      <c r="B116" s="1016" t="n"/>
      <c r="C116" s="1016" t="n"/>
      <c r="D116" s="1016" t="n"/>
      <c r="E116" s="1016" t="n"/>
      <c r="F116" s="1016" t="n"/>
      <c r="G116" s="1016" t="n"/>
      <c r="H116" s="1016" t="n"/>
      <c r="I116" s="1022" t="n"/>
      <c r="J116" s="1022" t="n"/>
      <c r="K116" s="1016" t="n"/>
      <c r="L116" s="1016" t="n"/>
      <c r="M116" s="1016" t="n"/>
      <c r="N116" s="1014" t="n"/>
    </row>
    <row r="117">
      <c r="A117" s="1012" t="n"/>
      <c r="B117" s="1016" t="n"/>
      <c r="C117" s="1016" t="n"/>
      <c r="D117" s="1016" t="n"/>
      <c r="E117" s="1016" t="n"/>
      <c r="F117" s="1016" t="n"/>
      <c r="G117" s="1016" t="n"/>
      <c r="H117" s="1016" t="n"/>
      <c r="I117" s="1022" t="n"/>
      <c r="J117" s="1022" t="n"/>
      <c r="K117" s="1016" t="n"/>
      <c r="L117" s="1016" t="n"/>
      <c r="M117" s="1016" t="n"/>
      <c r="N117" s="1014" t="n"/>
    </row>
    <row r="118">
      <c r="A118" s="1012" t="n"/>
      <c r="B118" s="1016" t="n"/>
      <c r="C118" s="1016" t="n"/>
      <c r="D118" s="1016" t="n"/>
      <c r="E118" s="1016" t="n"/>
      <c r="F118" s="1016" t="n"/>
      <c r="G118" s="1016" t="n"/>
      <c r="H118" s="1016" t="n"/>
      <c r="I118" s="1022" t="n"/>
      <c r="J118" s="1022" t="n"/>
      <c r="K118" s="1016" t="n"/>
      <c r="L118" s="1016" t="n"/>
      <c r="M118" s="1016" t="n"/>
      <c r="N118" s="1014" t="n"/>
    </row>
    <row r="119">
      <c r="A119" s="1012" t="n"/>
      <c r="B119" s="1016" t="n"/>
      <c r="C119" s="1016" t="n"/>
      <c r="D119" s="1016" t="n"/>
      <c r="E119" s="1016" t="n"/>
      <c r="F119" s="1016" t="n"/>
      <c r="G119" s="1016" t="n"/>
      <c r="H119" s="1016" t="n"/>
      <c r="I119" s="1022" t="n"/>
      <c r="J119" s="1022" t="n"/>
      <c r="K119" s="1016" t="n"/>
      <c r="L119" s="1016" t="n"/>
      <c r="M119" s="1016" t="n"/>
      <c r="N119" s="1014" t="n"/>
    </row>
    <row r="120">
      <c r="A120" s="1012" t="n"/>
      <c r="B120" s="1016" t="n"/>
      <c r="C120" s="1016" t="n"/>
      <c r="D120" s="1016" t="n"/>
      <c r="E120" s="1016" t="n"/>
      <c r="F120" s="1016" t="n"/>
      <c r="G120" s="1016" t="n"/>
      <c r="H120" s="1016" t="n"/>
      <c r="I120" s="1022" t="n"/>
      <c r="J120" s="1022" t="n"/>
      <c r="K120" s="1016" t="n"/>
      <c r="L120" s="1016" t="n"/>
      <c r="M120" s="1016" t="n"/>
      <c r="N120" s="1014" t="n"/>
    </row>
    <row r="121">
      <c r="A121" s="1012" t="n"/>
      <c r="B121" s="1016" t="n"/>
      <c r="C121" s="1016" t="n"/>
      <c r="D121" s="1016" t="n"/>
      <c r="E121" s="1016" t="n"/>
      <c r="F121" s="1016" t="n"/>
      <c r="G121" s="1016" t="n"/>
      <c r="H121" s="1016" t="n"/>
      <c r="I121" s="1022" t="n"/>
      <c r="J121" s="1022" t="n"/>
      <c r="K121" s="1016" t="n"/>
      <c r="L121" s="1016" t="n"/>
      <c r="M121" s="1016" t="n"/>
      <c r="N121" s="1014" t="n"/>
    </row>
    <row r="122">
      <c r="A122" s="1012" t="n"/>
      <c r="B122" s="1016" t="n"/>
      <c r="C122" s="1016" t="n"/>
      <c r="D122" s="1016" t="n"/>
      <c r="E122" s="1016" t="n"/>
      <c r="F122" s="1016" t="n"/>
      <c r="G122" s="1016" t="n"/>
      <c r="H122" s="1016" t="n"/>
      <c r="I122" s="1022" t="n"/>
      <c r="J122" s="1022" t="n"/>
      <c r="K122" s="1016" t="n"/>
      <c r="L122" s="1016" t="n"/>
      <c r="M122" s="1016" t="n"/>
      <c r="N122" s="1014" t="n"/>
    </row>
    <row r="123">
      <c r="A123" s="1012" t="n"/>
      <c r="B123" s="1016" t="n"/>
      <c r="C123" s="1016" t="n"/>
      <c r="D123" s="1016" t="n"/>
      <c r="E123" s="1016" t="n"/>
      <c r="F123" s="1016" t="n"/>
      <c r="G123" s="1016" t="n"/>
      <c r="H123" s="1016" t="n"/>
      <c r="I123" s="1022" t="n"/>
      <c r="J123" s="1022" t="n"/>
      <c r="K123" s="1016" t="n"/>
      <c r="L123" s="1016" t="n"/>
      <c r="M123" s="1016" t="n"/>
      <c r="N123" s="1014" t="n"/>
    </row>
    <row r="124">
      <c r="A124" s="1012" t="n"/>
      <c r="B124" s="1016" t="n"/>
      <c r="C124" s="1016" t="n"/>
      <c r="D124" s="1016" t="n"/>
      <c r="E124" s="1016" t="n"/>
      <c r="F124" s="1016" t="n"/>
      <c r="G124" s="1016" t="n"/>
      <c r="H124" s="1016" t="n"/>
      <c r="I124" s="1022" t="n"/>
      <c r="J124" s="1022" t="n"/>
      <c r="K124" s="1016" t="n"/>
      <c r="L124" s="1016" t="n"/>
      <c r="M124" s="1016" t="n"/>
      <c r="N124" s="1014" t="n"/>
    </row>
    <row r="125">
      <c r="A125" s="1012" t="n"/>
      <c r="B125" s="1016" t="n"/>
      <c r="C125" s="1016" t="n"/>
      <c r="D125" s="1016" t="n"/>
      <c r="E125" s="1016" t="n"/>
      <c r="F125" s="1016" t="n"/>
      <c r="G125" s="1016" t="n"/>
      <c r="H125" s="1016" t="n"/>
      <c r="I125" s="1022" t="n"/>
      <c r="J125" s="1022" t="n"/>
      <c r="K125" s="1016" t="n"/>
      <c r="L125" s="1016" t="n"/>
      <c r="M125" s="1016" t="n"/>
      <c r="N125" s="1014" t="n"/>
    </row>
    <row r="126">
      <c r="A126" s="1012" t="n"/>
      <c r="B126" s="1016" t="n"/>
      <c r="C126" s="1016" t="n"/>
      <c r="D126" s="1016" t="n"/>
      <c r="E126" s="1016" t="n"/>
      <c r="F126" s="1016" t="n"/>
      <c r="G126" s="1016" t="n"/>
      <c r="H126" s="1016" t="n"/>
      <c r="I126" s="1022" t="n"/>
      <c r="J126" s="1022" t="n"/>
      <c r="K126" s="1016" t="n"/>
      <c r="L126" s="1016" t="n"/>
      <c r="M126" s="1016" t="n"/>
      <c r="N126" s="1014" t="n"/>
    </row>
    <row r="127">
      <c r="A127" s="1012" t="n"/>
      <c r="B127" s="1016" t="n"/>
      <c r="C127" s="1016" t="n"/>
      <c r="D127" s="1016" t="n"/>
      <c r="E127" s="1016" t="n"/>
      <c r="F127" s="1016" t="n"/>
      <c r="G127" s="1016" t="n"/>
      <c r="H127" s="1016" t="n"/>
      <c r="I127" s="1022" t="n"/>
      <c r="J127" s="1022" t="n"/>
      <c r="K127" s="1016" t="n"/>
      <c r="L127" s="1016" t="n"/>
      <c r="M127" s="1016" t="n"/>
      <c r="N127" s="1014" t="n"/>
    </row>
    <row r="128">
      <c r="A128" s="1012" t="n"/>
      <c r="B128" s="1016" t="n"/>
      <c r="C128" s="1016" t="n"/>
      <c r="D128" s="1016" t="n"/>
      <c r="E128" s="1016" t="n"/>
      <c r="F128" s="1016" t="n"/>
      <c r="G128" s="1016" t="n"/>
      <c r="H128" s="1016" t="n"/>
      <c r="I128" s="1022" t="n"/>
      <c r="J128" s="1022" t="n"/>
      <c r="K128" s="1016" t="n"/>
      <c r="L128" s="1016" t="n"/>
      <c r="M128" s="1016" t="n"/>
      <c r="N128" s="1014" t="n"/>
    </row>
    <row r="129">
      <c r="A129" s="1012" t="n"/>
      <c r="B129" s="1016" t="n"/>
      <c r="C129" s="1016" t="n"/>
      <c r="D129" s="1016" t="n"/>
      <c r="E129" s="1016" t="n"/>
      <c r="F129" s="1016" t="n"/>
      <c r="G129" s="1016" t="n"/>
      <c r="H129" s="1016" t="n"/>
      <c r="I129" s="1022" t="n"/>
      <c r="J129" s="1022" t="n"/>
      <c r="K129" s="1016" t="n"/>
      <c r="L129" s="1016" t="n"/>
      <c r="M129" s="1016" t="n"/>
      <c r="N129" s="1014" t="n"/>
    </row>
    <row r="130">
      <c r="A130" s="1012" t="n"/>
      <c r="B130" s="1016" t="n"/>
      <c r="C130" s="1016" t="n"/>
      <c r="D130" s="1016" t="n"/>
      <c r="E130" s="1016" t="n"/>
      <c r="F130" s="1016" t="n"/>
      <c r="G130" s="1016" t="n"/>
      <c r="H130" s="1016" t="n"/>
      <c r="I130" s="1022" t="n"/>
      <c r="J130" s="1022" t="n"/>
      <c r="K130" s="1016" t="n"/>
      <c r="L130" s="1016" t="n"/>
      <c r="M130" s="1016" t="n"/>
      <c r="N130" s="1014" t="n"/>
    </row>
    <row r="131">
      <c r="A131" s="1012" t="n"/>
      <c r="B131" s="1016" t="n"/>
      <c r="C131" s="1016" t="n"/>
      <c r="D131" s="1016" t="n"/>
      <c r="E131" s="1016" t="n"/>
      <c r="F131" s="1016" t="n"/>
      <c r="G131" s="1016" t="n"/>
      <c r="H131" s="1016" t="n"/>
      <c r="I131" s="1022" t="n"/>
      <c r="J131" s="1022" t="n"/>
      <c r="K131" s="1016" t="n"/>
      <c r="L131" s="1016" t="n"/>
      <c r="M131" s="1016" t="n"/>
      <c r="N131" s="1014" t="n"/>
    </row>
    <row r="132">
      <c r="A132" s="1012" t="n"/>
      <c r="B132" s="1016" t="n"/>
      <c r="C132" s="1016" t="n"/>
      <c r="D132" s="1016" t="n"/>
      <c r="E132" s="1016" t="n"/>
      <c r="F132" s="1016" t="n"/>
      <c r="G132" s="1016" t="n"/>
      <c r="H132" s="1016" t="n"/>
      <c r="I132" s="1022" t="n"/>
      <c r="J132" s="1022" t="n"/>
      <c r="K132" s="1016" t="n"/>
      <c r="L132" s="1016" t="n"/>
      <c r="M132" s="1016" t="n"/>
      <c r="N132" s="1014" t="n"/>
    </row>
    <row r="133">
      <c r="A133" s="1012" t="n"/>
      <c r="B133" s="1016" t="n"/>
      <c r="C133" s="1016" t="n"/>
      <c r="D133" s="1016" t="n"/>
      <c r="E133" s="1016" t="n"/>
      <c r="F133" s="1016" t="n"/>
      <c r="G133" s="1016" t="n"/>
      <c r="H133" s="1016" t="n"/>
      <c r="I133" s="1022" t="n"/>
      <c r="J133" s="1022" t="n"/>
      <c r="K133" s="1016" t="n"/>
      <c r="L133" s="1016" t="n"/>
      <c r="M133" s="1016" t="n"/>
      <c r="N133" s="1014" t="n"/>
    </row>
    <row r="134">
      <c r="A134" s="1012" t="n"/>
      <c r="B134" s="1016" t="n"/>
      <c r="C134" s="1016" t="n"/>
      <c r="D134" s="1016" t="n"/>
      <c r="E134" s="1016" t="n"/>
      <c r="F134" s="1016" t="n"/>
      <c r="G134" s="1016" t="n"/>
      <c r="H134" s="1016" t="n"/>
      <c r="I134" s="1022" t="n"/>
      <c r="J134" s="1022" t="n"/>
      <c r="K134" s="1016" t="n"/>
      <c r="L134" s="1016" t="n"/>
      <c r="M134" s="1016" t="n"/>
      <c r="N134" s="1014" t="n"/>
    </row>
    <row r="135">
      <c r="A135" s="1012" t="n"/>
      <c r="B135" s="1016" t="n"/>
      <c r="C135" s="1016" t="n"/>
      <c r="D135" s="1016" t="n"/>
      <c r="E135" s="1016" t="n"/>
      <c r="F135" s="1016" t="n"/>
      <c r="G135" s="1016" t="n"/>
      <c r="H135" s="1016" t="n"/>
      <c r="I135" s="1022" t="n"/>
      <c r="J135" s="1022" t="n"/>
      <c r="K135" s="1016" t="n"/>
      <c r="L135" s="1016" t="n"/>
      <c r="M135" s="1016" t="n"/>
      <c r="N135" s="1014" t="n"/>
    </row>
    <row r="136">
      <c r="A136" s="1012" t="n"/>
      <c r="B136" s="1016" t="n"/>
      <c r="C136" s="1016" t="n"/>
      <c r="D136" s="1016" t="n"/>
      <c r="E136" s="1016" t="n"/>
      <c r="F136" s="1016" t="n"/>
      <c r="G136" s="1016" t="n"/>
      <c r="H136" s="1016" t="n"/>
      <c r="I136" s="1022" t="n"/>
      <c r="J136" s="1022" t="n"/>
      <c r="K136" s="1016" t="n"/>
      <c r="L136" s="1016" t="n"/>
      <c r="M136" s="1016" t="n"/>
      <c r="N136" s="1014" t="n"/>
    </row>
    <row r="137">
      <c r="A137" s="1012" t="n"/>
      <c r="B137" s="1016" t="n"/>
      <c r="C137" s="1016" t="n"/>
      <c r="D137" s="1016" t="n"/>
      <c r="E137" s="1016" t="n"/>
      <c r="F137" s="1016" t="n"/>
      <c r="G137" s="1016" t="n"/>
      <c r="H137" s="1016" t="n"/>
      <c r="I137" s="1022" t="n"/>
      <c r="J137" s="1022" t="n"/>
      <c r="K137" s="1016" t="n"/>
      <c r="L137" s="1016" t="n"/>
      <c r="M137" s="1016" t="n"/>
      <c r="N137" s="1014" t="n"/>
    </row>
    <row r="138">
      <c r="A138" s="1012" t="n"/>
      <c r="B138" s="1016" t="n"/>
      <c r="C138" s="1016" t="n"/>
      <c r="D138" s="1016" t="n"/>
      <c r="E138" s="1016" t="n"/>
      <c r="F138" s="1016" t="n"/>
      <c r="G138" s="1016" t="n"/>
      <c r="H138" s="1016" t="n"/>
      <c r="I138" s="1022" t="n"/>
      <c r="J138" s="1022" t="n"/>
      <c r="K138" s="1016" t="n"/>
      <c r="L138" s="1016" t="n"/>
      <c r="M138" s="1016" t="n"/>
      <c r="N138" s="1014" t="n"/>
    </row>
    <row r="139">
      <c r="A139" s="1012" t="n"/>
      <c r="B139" s="1016" t="n"/>
      <c r="C139" s="1016" t="n"/>
      <c r="D139" s="1016" t="n"/>
      <c r="E139" s="1016" t="n"/>
      <c r="F139" s="1016" t="n"/>
      <c r="G139" s="1016" t="n"/>
      <c r="H139" s="1016" t="n"/>
      <c r="I139" s="1022" t="n"/>
      <c r="J139" s="1022" t="n"/>
      <c r="K139" s="1016" t="n"/>
      <c r="L139" s="1016" t="n"/>
      <c r="M139" s="1016" t="n"/>
      <c r="N139" s="1014" t="n"/>
    </row>
    <row r="140">
      <c r="A140" s="1012" t="n"/>
      <c r="B140" s="1016" t="n"/>
      <c r="C140" s="1016" t="n"/>
      <c r="D140" s="1016" t="n"/>
      <c r="E140" s="1016" t="n"/>
      <c r="F140" s="1016" t="n"/>
      <c r="G140" s="1016" t="n"/>
      <c r="H140" s="1016" t="n"/>
      <c r="I140" s="1022" t="n"/>
      <c r="J140" s="1022" t="n"/>
      <c r="K140" s="1016" t="n"/>
      <c r="L140" s="1016" t="n"/>
      <c r="M140" s="1016" t="n"/>
      <c r="N140" s="1014" t="n"/>
    </row>
    <row r="141">
      <c r="A141" s="1012" t="n"/>
      <c r="B141" s="1016" t="n"/>
      <c r="C141" s="1016" t="n"/>
      <c r="D141" s="1016" t="n"/>
      <c r="E141" s="1016" t="n"/>
      <c r="F141" s="1016" t="n"/>
      <c r="G141" s="1016" t="n"/>
      <c r="H141" s="1016" t="n"/>
      <c r="I141" s="1022" t="n"/>
      <c r="J141" s="1022" t="n"/>
      <c r="K141" s="1016" t="n"/>
      <c r="L141" s="1016" t="n"/>
      <c r="M141" s="1016" t="n"/>
      <c r="N141" s="1014" t="n"/>
    </row>
    <row r="142">
      <c r="A142" s="1012" t="n"/>
      <c r="B142" s="1016" t="n"/>
      <c r="C142" s="1016" t="n"/>
      <c r="D142" s="1016" t="n"/>
      <c r="E142" s="1016" t="n"/>
      <c r="F142" s="1016" t="n"/>
      <c r="G142" s="1016" t="n"/>
      <c r="H142" s="1016" t="n"/>
      <c r="I142" s="1022" t="n"/>
      <c r="J142" s="1022" t="n"/>
      <c r="K142" s="1016" t="n"/>
      <c r="L142" s="1016" t="n"/>
      <c r="M142" s="1016" t="n"/>
      <c r="N142" s="1014" t="n"/>
    </row>
    <row r="143">
      <c r="A143" s="1012" t="n"/>
      <c r="B143" s="1016" t="n"/>
      <c r="C143" s="1016" t="n"/>
      <c r="D143" s="1016" t="n"/>
      <c r="E143" s="1016" t="n"/>
      <c r="F143" s="1016" t="n"/>
      <c r="G143" s="1016" t="n"/>
      <c r="H143" s="1016" t="n"/>
      <c r="I143" s="1022" t="n"/>
      <c r="J143" s="1022" t="n"/>
      <c r="K143" s="1016" t="n"/>
      <c r="L143" s="1016" t="n"/>
      <c r="M143" s="1016" t="n"/>
      <c r="N143" s="1014" t="n"/>
    </row>
    <row r="144">
      <c r="A144" s="1012" t="n"/>
      <c r="B144" s="1016" t="n"/>
      <c r="C144" s="1016" t="n"/>
      <c r="D144" s="1016" t="n"/>
      <c r="E144" s="1016" t="n"/>
      <c r="F144" s="1016" t="n"/>
      <c r="G144" s="1016" t="n"/>
      <c r="H144" s="1016" t="n"/>
      <c r="I144" s="1022" t="n"/>
      <c r="J144" s="1022" t="n"/>
      <c r="K144" s="1016" t="n"/>
      <c r="L144" s="1016" t="n"/>
      <c r="M144" s="1016" t="n"/>
      <c r="N144" s="1014" t="n"/>
    </row>
    <row r="145">
      <c r="A145" s="1012" t="n"/>
      <c r="B145" s="1016" t="n"/>
      <c r="C145" s="1016" t="n"/>
      <c r="D145" s="1016" t="n"/>
      <c r="E145" s="1016" t="n"/>
      <c r="F145" s="1016" t="n"/>
      <c r="G145" s="1016" t="n"/>
      <c r="H145" s="1016" t="n"/>
      <c r="I145" s="1022" t="n"/>
      <c r="J145" s="1022" t="n"/>
      <c r="K145" s="1016" t="n"/>
      <c r="L145" s="1016" t="n"/>
      <c r="M145" s="1016" t="n"/>
      <c r="N145" s="1014" t="n"/>
    </row>
    <row r="146">
      <c r="A146" s="1012" t="n"/>
      <c r="B146" s="1016" t="n"/>
      <c r="C146" s="1016" t="n"/>
      <c r="D146" s="1016" t="n"/>
      <c r="E146" s="1016" t="n"/>
      <c r="F146" s="1016" t="n"/>
      <c r="G146" s="1016" t="n"/>
      <c r="H146" s="1016" t="n"/>
      <c r="I146" s="1022" t="n"/>
      <c r="J146" s="1022" t="n"/>
      <c r="K146" s="1016" t="n"/>
      <c r="L146" s="1016" t="n"/>
      <c r="M146" s="1016" t="n"/>
      <c r="N146" s="1014" t="n"/>
    </row>
    <row r="147">
      <c r="A147" s="1012" t="n"/>
      <c r="B147" s="1016" t="n"/>
      <c r="C147" s="1016" t="n"/>
      <c r="D147" s="1016" t="n"/>
      <c r="E147" s="1016" t="n"/>
      <c r="F147" s="1016" t="n"/>
      <c r="G147" s="1016" t="n"/>
      <c r="H147" s="1016" t="n"/>
      <c r="I147" s="1022" t="n"/>
      <c r="J147" s="1022" t="n"/>
      <c r="K147" s="1016" t="n"/>
      <c r="L147" s="1016" t="n"/>
      <c r="M147" s="1016" t="n"/>
      <c r="N147" s="1014" t="n"/>
    </row>
    <row r="148">
      <c r="A148" s="1012" t="n"/>
      <c r="B148" s="1016" t="n"/>
      <c r="C148" s="1016" t="n"/>
      <c r="D148" s="1016" t="n"/>
      <c r="E148" s="1016" t="n"/>
      <c r="F148" s="1016" t="n"/>
      <c r="G148" s="1016" t="n"/>
      <c r="H148" s="1016" t="n"/>
      <c r="I148" s="1022" t="n"/>
      <c r="J148" s="1022" t="n"/>
      <c r="K148" s="1016" t="n"/>
      <c r="L148" s="1016" t="n"/>
      <c r="M148" s="1016" t="n"/>
      <c r="N148" s="1014" t="n"/>
    </row>
    <row r="149">
      <c r="A149" s="1012" t="n"/>
      <c r="B149" s="1016" t="n"/>
      <c r="C149" s="1016" t="n"/>
      <c r="D149" s="1016" t="n"/>
      <c r="E149" s="1016" t="n"/>
      <c r="F149" s="1016" t="n"/>
      <c r="G149" s="1016" t="n"/>
      <c r="H149" s="1016" t="n"/>
      <c r="I149" s="1022" t="n"/>
      <c r="J149" s="1022" t="n"/>
      <c r="K149" s="1016" t="n"/>
      <c r="L149" s="1016" t="n"/>
      <c r="M149" s="1016" t="n"/>
      <c r="N149" s="1014" t="n"/>
    </row>
    <row r="150">
      <c r="A150" s="1012" t="n"/>
      <c r="B150" s="1016" t="n"/>
      <c r="C150" s="1016" t="n"/>
      <c r="D150" s="1016" t="n"/>
      <c r="E150" s="1016" t="n"/>
      <c r="F150" s="1016" t="n"/>
      <c r="G150" s="1016" t="n"/>
      <c r="H150" s="1016" t="n"/>
      <c r="I150" s="1022" t="n"/>
      <c r="J150" s="1022" t="n"/>
      <c r="K150" s="1016" t="n"/>
      <c r="L150" s="1016" t="n"/>
      <c r="M150" s="1016" t="n"/>
      <c r="N150" s="1014" t="n"/>
    </row>
    <row r="151">
      <c r="A151" s="1012" t="n"/>
      <c r="B151" s="1016" t="n"/>
      <c r="C151" s="1016" t="n"/>
      <c r="D151" s="1016" t="n"/>
      <c r="E151" s="1016" t="n"/>
      <c r="F151" s="1016" t="n"/>
      <c r="G151" s="1016" t="n"/>
      <c r="H151" s="1016" t="n"/>
      <c r="I151" s="1022" t="n"/>
      <c r="J151" s="1022" t="n"/>
      <c r="K151" s="1016" t="n"/>
      <c r="L151" s="1016" t="n"/>
      <c r="M151" s="1016" t="n"/>
      <c r="N151" s="1014" t="n"/>
    </row>
    <row r="152">
      <c r="A152" s="1012" t="n"/>
      <c r="B152" s="1016" t="n"/>
      <c r="C152" s="1016" t="n"/>
      <c r="D152" s="1016" t="n"/>
      <c r="E152" s="1016" t="n"/>
      <c r="F152" s="1016" t="n"/>
      <c r="G152" s="1016" t="n"/>
      <c r="H152" s="1016" t="n"/>
      <c r="I152" s="1022" t="n"/>
      <c r="J152" s="1022" t="n"/>
      <c r="K152" s="1016" t="n"/>
      <c r="L152" s="1016" t="n"/>
      <c r="M152" s="1016" t="n"/>
      <c r="N152" s="1014" t="n"/>
    </row>
    <row r="153">
      <c r="A153" s="1012" t="n"/>
      <c r="B153" s="1016" t="n"/>
      <c r="C153" s="1016" t="n"/>
      <c r="D153" s="1016" t="n"/>
      <c r="E153" s="1016" t="n"/>
      <c r="F153" s="1016" t="n"/>
      <c r="G153" s="1016" t="n"/>
      <c r="H153" s="1016" t="n"/>
      <c r="I153" s="1022" t="n"/>
      <c r="J153" s="1022" t="n"/>
      <c r="K153" s="1016" t="n"/>
      <c r="L153" s="1016" t="n"/>
      <c r="M153" s="1016" t="n"/>
      <c r="N153" s="1014" t="n"/>
    </row>
    <row r="154">
      <c r="A154" s="1012" t="n"/>
      <c r="B154" s="1016" t="n"/>
      <c r="C154" s="1016" t="n"/>
      <c r="D154" s="1016" t="n"/>
      <c r="E154" s="1016" t="n"/>
      <c r="F154" s="1016" t="n"/>
      <c r="G154" s="1016" t="n"/>
      <c r="H154" s="1016" t="n"/>
      <c r="I154" s="1022" t="n"/>
      <c r="J154" s="1022" t="n"/>
      <c r="K154" s="1016" t="n"/>
      <c r="L154" s="1016" t="n"/>
      <c r="M154" s="1016" t="n"/>
      <c r="N154" s="1014" t="n"/>
    </row>
    <row r="155">
      <c r="A155" s="1012" t="n"/>
      <c r="B155" s="1016" t="n"/>
      <c r="C155" s="1016" t="n"/>
      <c r="D155" s="1016" t="n"/>
      <c r="E155" s="1016" t="n"/>
      <c r="F155" s="1016" t="n"/>
      <c r="G155" s="1016" t="n"/>
      <c r="H155" s="1016" t="n"/>
      <c r="I155" s="1022" t="n"/>
      <c r="J155" s="1022" t="n"/>
      <c r="K155" s="1016" t="n"/>
      <c r="L155" s="1016" t="n"/>
      <c r="M155" s="1016" t="n"/>
      <c r="N155" s="1014" t="n"/>
    </row>
    <row r="156">
      <c r="A156" s="1012" t="n"/>
      <c r="B156" s="1016" t="n"/>
      <c r="C156" s="1016" t="n"/>
      <c r="D156" s="1016" t="n"/>
      <c r="E156" s="1016" t="n"/>
      <c r="F156" s="1016" t="n"/>
      <c r="G156" s="1016" t="n"/>
      <c r="H156" s="1016" t="n"/>
      <c r="I156" s="1022" t="n"/>
      <c r="J156" s="1022" t="n"/>
      <c r="K156" s="1016" t="n"/>
      <c r="L156" s="1016" t="n"/>
      <c r="M156" s="1016" t="n"/>
      <c r="N156" s="1014" t="n"/>
    </row>
    <row r="157">
      <c r="A157" s="1012" t="n"/>
      <c r="B157" s="1016" t="n"/>
      <c r="C157" s="1016" t="n"/>
      <c r="D157" s="1016" t="n"/>
      <c r="E157" s="1016" t="n"/>
      <c r="F157" s="1016" t="n"/>
      <c r="G157" s="1016" t="n"/>
      <c r="H157" s="1016" t="n"/>
      <c r="I157" s="1022" t="n"/>
      <c r="J157" s="1022" t="n"/>
      <c r="K157" s="1016" t="n"/>
      <c r="L157" s="1016" t="n"/>
      <c r="M157" s="1016" t="n"/>
      <c r="N157" s="1014" t="n"/>
    </row>
    <row r="158">
      <c r="A158" s="1012" t="n"/>
      <c r="B158" s="1016" t="n"/>
      <c r="C158" s="1016" t="n"/>
      <c r="D158" s="1016" t="n"/>
      <c r="E158" s="1016" t="n"/>
      <c r="F158" s="1016" t="n"/>
      <c r="G158" s="1016" t="n"/>
      <c r="H158" s="1016" t="n"/>
      <c r="I158" s="1022" t="n"/>
      <c r="J158" s="1022" t="n"/>
      <c r="K158" s="1016" t="n"/>
      <c r="L158" s="1016" t="n"/>
      <c r="M158" s="1016" t="n"/>
      <c r="N158" s="1014" t="n"/>
    </row>
    <row r="159">
      <c r="A159" s="1012" t="n"/>
      <c r="B159" s="1016" t="n"/>
      <c r="C159" s="1016" t="n"/>
      <c r="D159" s="1016" t="n"/>
      <c r="E159" s="1016" t="n"/>
      <c r="F159" s="1016" t="n"/>
      <c r="G159" s="1016" t="n"/>
      <c r="H159" s="1016" t="n"/>
      <c r="I159" s="1022" t="n"/>
      <c r="J159" s="1022" t="n"/>
      <c r="K159" s="1016" t="n"/>
      <c r="L159" s="1016" t="n"/>
      <c r="M159" s="1016" t="n"/>
      <c r="N159" s="1014" t="n"/>
    </row>
    <row r="160">
      <c r="A160" s="1012" t="n"/>
      <c r="B160" s="1016" t="n"/>
      <c r="C160" s="1016" t="n"/>
      <c r="D160" s="1016" t="n"/>
      <c r="E160" s="1016" t="n"/>
      <c r="F160" s="1016" t="n"/>
      <c r="G160" s="1016" t="n"/>
      <c r="H160" s="1016" t="n"/>
      <c r="I160" s="1022" t="n"/>
      <c r="J160" s="1022" t="n"/>
      <c r="K160" s="1016" t="n"/>
      <c r="L160" s="1016" t="n"/>
      <c r="M160" s="1016" t="n"/>
      <c r="N160" s="1014" t="n"/>
    </row>
    <row r="161">
      <c r="A161" s="1012" t="n"/>
      <c r="B161" s="1016" t="n"/>
      <c r="C161" s="1016" t="n"/>
      <c r="D161" s="1016" t="n"/>
      <c r="E161" s="1016" t="n"/>
      <c r="F161" s="1016" t="n"/>
      <c r="G161" s="1016" t="n"/>
      <c r="H161" s="1016" t="n"/>
      <c r="I161" s="1022" t="n"/>
      <c r="J161" s="1022" t="n"/>
      <c r="K161" s="1016" t="n"/>
      <c r="L161" s="1016" t="n"/>
      <c r="M161" s="1016" t="n"/>
      <c r="N161" s="1014" t="n"/>
    </row>
    <row r="162">
      <c r="A162" s="1012" t="n"/>
      <c r="B162" s="1016" t="n"/>
      <c r="C162" s="1016" t="n"/>
      <c r="D162" s="1016" t="n"/>
      <c r="E162" s="1016" t="n"/>
      <c r="F162" s="1016" t="n"/>
      <c r="G162" s="1016" t="n"/>
      <c r="H162" s="1016" t="n"/>
      <c r="I162" s="1022" t="n"/>
      <c r="J162" s="1022" t="n"/>
      <c r="K162" s="1016" t="n"/>
      <c r="L162" s="1016" t="n"/>
      <c r="M162" s="1016" t="n"/>
      <c r="N162" s="1014" t="n"/>
    </row>
    <row r="163">
      <c r="A163" s="1012" t="n"/>
      <c r="B163" s="1016" t="n"/>
      <c r="C163" s="1016" t="n"/>
      <c r="D163" s="1016" t="n"/>
      <c r="E163" s="1016" t="n"/>
      <c r="F163" s="1016" t="n"/>
      <c r="G163" s="1016" t="n"/>
      <c r="H163" s="1016" t="n"/>
      <c r="I163" s="1022" t="n"/>
      <c r="J163" s="1022" t="n"/>
      <c r="K163" s="1016" t="n"/>
      <c r="L163" s="1016" t="n"/>
      <c r="M163" s="1016" t="n"/>
      <c r="N163" s="1014" t="n"/>
    </row>
    <row r="164">
      <c r="A164" s="1012" t="n"/>
      <c r="B164" s="1016" t="n"/>
      <c r="C164" s="1016" t="n"/>
      <c r="D164" s="1016" t="n"/>
      <c r="E164" s="1016" t="n"/>
      <c r="F164" s="1016" t="n"/>
      <c r="G164" s="1016" t="n"/>
      <c r="H164" s="1016" t="n"/>
      <c r="I164" s="1022" t="n"/>
      <c r="J164" s="1022" t="n"/>
      <c r="K164" s="1016" t="n"/>
      <c r="L164" s="1016" t="n"/>
      <c r="M164" s="1016" t="n"/>
      <c r="N164" s="1014" t="n"/>
    </row>
    <row r="165">
      <c r="A165" s="1012" t="n"/>
      <c r="B165" s="1016" t="n"/>
      <c r="C165" s="1016" t="n"/>
      <c r="D165" s="1016" t="n"/>
      <c r="E165" s="1016" t="n"/>
      <c r="F165" s="1016" t="n"/>
      <c r="G165" s="1016" t="n"/>
      <c r="H165" s="1016" t="n"/>
      <c r="I165" s="1022" t="n"/>
      <c r="J165" s="1022" t="n"/>
      <c r="K165" s="1016" t="n"/>
      <c r="L165" s="1016" t="n"/>
      <c r="M165" s="1016" t="n"/>
      <c r="N165" s="1014" t="n"/>
    </row>
    <row r="166">
      <c r="A166" s="1012" t="n"/>
      <c r="B166" s="1016" t="n"/>
      <c r="C166" s="1016" t="n"/>
      <c r="D166" s="1016" t="n"/>
      <c r="E166" s="1016" t="n"/>
      <c r="F166" s="1016" t="n"/>
      <c r="G166" s="1016" t="n"/>
      <c r="H166" s="1016" t="n"/>
      <c r="I166" s="1022" t="n"/>
      <c r="J166" s="1022" t="n"/>
      <c r="K166" s="1016" t="n"/>
      <c r="L166" s="1016" t="n"/>
      <c r="M166" s="1016" t="n"/>
      <c r="N166" s="1014" t="n"/>
    </row>
    <row r="167">
      <c r="A167" s="1012" t="n"/>
      <c r="B167" s="1016" t="n"/>
      <c r="C167" s="1016" t="n"/>
      <c r="D167" s="1016" t="n"/>
      <c r="E167" s="1016" t="n"/>
      <c r="F167" s="1016" t="n"/>
      <c r="G167" s="1016" t="n"/>
      <c r="H167" s="1016" t="n"/>
      <c r="I167" s="1022" t="n"/>
      <c r="J167" s="1022" t="n"/>
      <c r="K167" s="1016" t="n"/>
      <c r="L167" s="1016" t="n"/>
      <c r="M167" s="1016" t="n"/>
      <c r="N167" s="1014" t="n"/>
    </row>
    <row r="168">
      <c r="A168" s="1012" t="n"/>
      <c r="B168" s="1016" t="n"/>
      <c r="C168" s="1016" t="n"/>
      <c r="D168" s="1016" t="n"/>
      <c r="E168" s="1016" t="n"/>
      <c r="F168" s="1016" t="n"/>
      <c r="G168" s="1016" t="n"/>
      <c r="H168" s="1016" t="n"/>
      <c r="I168" s="1022" t="n"/>
      <c r="J168" s="1022" t="n"/>
      <c r="K168" s="1016" t="n"/>
      <c r="L168" s="1016" t="n"/>
      <c r="M168" s="1016" t="n"/>
      <c r="N168" s="1014" t="n"/>
    </row>
    <row r="169">
      <c r="A169" s="1012" t="n"/>
      <c r="B169" s="1016" t="n"/>
      <c r="C169" s="1016" t="n"/>
      <c r="D169" s="1016" t="n"/>
      <c r="E169" s="1016" t="n"/>
      <c r="F169" s="1016" t="n"/>
      <c r="G169" s="1016" t="n"/>
      <c r="H169" s="1016" t="n"/>
      <c r="I169" s="1022" t="n"/>
      <c r="J169" s="1022" t="n"/>
      <c r="K169" s="1016" t="n"/>
      <c r="L169" s="1016" t="n"/>
      <c r="M169" s="1016" t="n"/>
      <c r="N169" s="1014" t="n"/>
    </row>
    <row r="170">
      <c r="A170" s="1012" t="n"/>
      <c r="B170" s="1016" t="n"/>
      <c r="C170" s="1016" t="n"/>
      <c r="D170" s="1016" t="n"/>
      <c r="E170" s="1016" t="n"/>
      <c r="F170" s="1016" t="n"/>
      <c r="G170" s="1016" t="n"/>
      <c r="H170" s="1016" t="n"/>
      <c r="I170" s="1022" t="n"/>
      <c r="J170" s="1022" t="n"/>
      <c r="K170" s="1016" t="n"/>
      <c r="L170" s="1016" t="n"/>
      <c r="M170" s="1016" t="n"/>
      <c r="N170" s="1014" t="n"/>
    </row>
    <row r="171">
      <c r="A171" s="1012" t="n"/>
      <c r="B171" s="1016" t="n"/>
      <c r="C171" s="1016" t="n"/>
      <c r="D171" s="1016" t="n"/>
      <c r="E171" s="1016" t="n"/>
      <c r="F171" s="1016" t="n"/>
      <c r="G171" s="1016" t="n"/>
      <c r="H171" s="1016" t="n"/>
      <c r="I171" s="1022" t="n"/>
      <c r="J171" s="1022" t="n"/>
      <c r="K171" s="1016" t="n"/>
      <c r="L171" s="1016" t="n"/>
      <c r="M171" s="1016" t="n"/>
      <c r="N171" s="1014" t="n"/>
    </row>
    <row r="172">
      <c r="A172" s="1012" t="n"/>
      <c r="B172" s="1016" t="n"/>
      <c r="C172" s="1016" t="n"/>
      <c r="D172" s="1016" t="n"/>
      <c r="E172" s="1016" t="n"/>
      <c r="F172" s="1016" t="n"/>
      <c r="G172" s="1016" t="n"/>
      <c r="H172" s="1016" t="n"/>
      <c r="I172" s="1022" t="n"/>
      <c r="J172" s="1022" t="n"/>
      <c r="K172" s="1016" t="n"/>
      <c r="L172" s="1016" t="n"/>
      <c r="M172" s="1016" t="n"/>
      <c r="N172" s="1014" t="n"/>
    </row>
    <row r="173">
      <c r="A173" s="1012" t="n"/>
      <c r="B173" s="1016" t="n"/>
      <c r="C173" s="1016" t="n"/>
      <c r="D173" s="1016" t="n"/>
      <c r="E173" s="1016" t="n"/>
      <c r="F173" s="1016" t="n"/>
      <c r="G173" s="1016" t="n"/>
      <c r="H173" s="1016" t="n"/>
      <c r="I173" s="1022" t="n"/>
      <c r="J173" s="1022" t="n"/>
      <c r="K173" s="1016" t="n"/>
      <c r="L173" s="1016" t="n"/>
      <c r="M173" s="1016" t="n"/>
      <c r="N173" s="1014" t="n"/>
    </row>
    <row r="174">
      <c r="A174" s="1012" t="n"/>
      <c r="B174" s="1016" t="n"/>
      <c r="C174" s="1016" t="n"/>
      <c r="D174" s="1016" t="n"/>
      <c r="E174" s="1016" t="n"/>
      <c r="F174" s="1016" t="n"/>
      <c r="G174" s="1016" t="n"/>
      <c r="H174" s="1016" t="n"/>
      <c r="I174" s="1022" t="n"/>
      <c r="J174" s="1022" t="n"/>
      <c r="K174" s="1016" t="n"/>
      <c r="L174" s="1016" t="n"/>
      <c r="M174" s="1016" t="n"/>
      <c r="N174" s="1014" t="n"/>
    </row>
    <row r="175">
      <c r="A175" s="1012" t="n"/>
      <c r="B175" s="1016" t="n"/>
      <c r="C175" s="1016" t="n"/>
      <c r="D175" s="1016" t="n"/>
      <c r="E175" s="1016" t="n"/>
      <c r="F175" s="1016" t="n"/>
      <c r="G175" s="1016" t="n"/>
      <c r="H175" s="1016" t="n"/>
      <c r="I175" s="1022" t="n"/>
      <c r="J175" s="1022" t="n"/>
      <c r="K175" s="1016" t="n"/>
      <c r="L175" s="1016" t="n"/>
      <c r="M175" s="1016" t="n"/>
      <c r="N175" s="1014" t="n"/>
    </row>
    <row r="176">
      <c r="A176" s="1012" t="n"/>
      <c r="B176" s="1016" t="n"/>
      <c r="C176" s="1016" t="n"/>
      <c r="D176" s="1016" t="n"/>
      <c r="E176" s="1016" t="n"/>
      <c r="F176" s="1016" t="n"/>
      <c r="G176" s="1016" t="n"/>
      <c r="H176" s="1016" t="n"/>
      <c r="I176" s="1022" t="n"/>
      <c r="J176" s="1022" t="n"/>
      <c r="K176" s="1016" t="n"/>
      <c r="L176" s="1016" t="n"/>
      <c r="M176" s="1016" t="n"/>
      <c r="N176" s="1014" t="n"/>
    </row>
    <row r="177">
      <c r="A177" s="1012" t="n"/>
      <c r="B177" s="1016" t="n"/>
      <c r="C177" s="1016" t="n"/>
      <c r="D177" s="1016" t="n"/>
      <c r="E177" s="1016" t="n"/>
      <c r="F177" s="1016" t="n"/>
      <c r="G177" s="1016" t="n"/>
      <c r="H177" s="1016" t="n"/>
      <c r="I177" s="1022" t="n"/>
      <c r="J177" s="1022" t="n"/>
      <c r="K177" s="1016" t="n"/>
      <c r="L177" s="1016" t="n"/>
      <c r="M177" s="1016" t="n"/>
      <c r="N177" s="1014" t="n"/>
    </row>
    <row r="178">
      <c r="A178" s="1012" t="n"/>
      <c r="B178" s="1016" t="n"/>
      <c r="C178" s="1016" t="n"/>
      <c r="D178" s="1016" t="n"/>
      <c r="E178" s="1016" t="n"/>
      <c r="F178" s="1016" t="n"/>
      <c r="G178" s="1016" t="n"/>
      <c r="H178" s="1016" t="n"/>
      <c r="I178" s="1022" t="n"/>
      <c r="J178" s="1022" t="n"/>
      <c r="K178" s="1016" t="n"/>
      <c r="L178" s="1016" t="n"/>
      <c r="M178" s="1016" t="n"/>
      <c r="N178" s="1014" t="n"/>
    </row>
    <row r="179">
      <c r="A179" s="1012" t="n"/>
      <c r="B179" s="1016" t="n"/>
      <c r="C179" s="1016" t="n"/>
      <c r="D179" s="1016" t="n"/>
      <c r="E179" s="1016" t="n"/>
      <c r="F179" s="1016" t="n"/>
      <c r="G179" s="1016" t="n"/>
      <c r="H179" s="1016" t="n"/>
      <c r="I179" s="1022" t="n"/>
      <c r="J179" s="1022" t="n"/>
      <c r="K179" s="1016" t="n"/>
      <c r="L179" s="1016" t="n"/>
      <c r="M179" s="1016" t="n"/>
      <c r="N179" s="1014" t="n"/>
    </row>
    <row r="180">
      <c r="A180" s="1012" t="n"/>
      <c r="B180" s="1016" t="n"/>
      <c r="C180" s="1016" t="n"/>
      <c r="D180" s="1016" t="n"/>
      <c r="E180" s="1016" t="n"/>
      <c r="F180" s="1016" t="n"/>
      <c r="G180" s="1016" t="n"/>
      <c r="H180" s="1016" t="n"/>
      <c r="I180" s="1022" t="n"/>
      <c r="J180" s="1022" t="n"/>
      <c r="K180" s="1016" t="n"/>
      <c r="L180" s="1016" t="n"/>
      <c r="M180" s="1016" t="n"/>
      <c r="N180" s="1014" t="n"/>
    </row>
    <row r="181">
      <c r="A181" s="1012" t="n"/>
      <c r="B181" s="1016" t="n"/>
      <c r="C181" s="1016" t="n"/>
      <c r="D181" s="1016" t="n"/>
      <c r="E181" s="1016" t="n"/>
      <c r="F181" s="1016" t="n"/>
      <c r="G181" s="1016" t="n"/>
      <c r="H181" s="1016" t="n"/>
      <c r="I181" s="1022" t="n"/>
      <c r="J181" s="1022" t="n"/>
      <c r="K181" s="1016" t="n"/>
      <c r="L181" s="1016" t="n"/>
      <c r="M181" s="1016" t="n"/>
      <c r="N181" s="1014" t="n"/>
    </row>
    <row r="182">
      <c r="A182" s="1012" t="n"/>
      <c r="B182" s="1016" t="n"/>
      <c r="C182" s="1016" t="n"/>
      <c r="D182" s="1016" t="n"/>
      <c r="E182" s="1016" t="n"/>
      <c r="F182" s="1016" t="n"/>
      <c r="G182" s="1016" t="n"/>
      <c r="H182" s="1016" t="n"/>
      <c r="I182" s="1022" t="n"/>
      <c r="J182" s="1022" t="n"/>
      <c r="K182" s="1016" t="n"/>
      <c r="L182" s="1016" t="n"/>
      <c r="M182" s="1016" t="n"/>
      <c r="N182" s="1014" t="n"/>
    </row>
    <row r="183">
      <c r="A183" s="1012" t="n"/>
      <c r="B183" s="1016" t="n"/>
      <c r="C183" s="1016" t="n"/>
      <c r="D183" s="1016" t="n"/>
      <c r="E183" s="1016" t="n"/>
      <c r="F183" s="1016" t="n"/>
      <c r="G183" s="1016" t="n"/>
      <c r="H183" s="1016" t="n"/>
      <c r="I183" s="1022" t="n"/>
      <c r="J183" s="1022" t="n"/>
      <c r="K183" s="1016" t="n"/>
      <c r="L183" s="1016" t="n"/>
      <c r="M183" s="1016" t="n"/>
      <c r="N183" s="1014" t="n"/>
    </row>
    <row r="184">
      <c r="A184" s="1012" t="n"/>
      <c r="B184" s="1016" t="n"/>
      <c r="C184" s="1016" t="n"/>
      <c r="D184" s="1016" t="n"/>
      <c r="E184" s="1016" t="n"/>
      <c r="F184" s="1016" t="n"/>
      <c r="G184" s="1016" t="n"/>
      <c r="H184" s="1016" t="n"/>
      <c r="I184" s="1022" t="n"/>
      <c r="J184" s="1022" t="n"/>
      <c r="K184" s="1016" t="n"/>
      <c r="L184" s="1016" t="n"/>
      <c r="M184" s="1016" t="n"/>
      <c r="N184" s="1014" t="n"/>
    </row>
    <row r="185">
      <c r="A185" s="1012" t="n"/>
      <c r="B185" s="1016" t="n"/>
      <c r="C185" s="1016" t="n"/>
      <c r="D185" s="1016" t="n"/>
      <c r="E185" s="1016" t="n"/>
      <c r="F185" s="1016" t="n"/>
      <c r="G185" s="1016" t="n"/>
      <c r="H185" s="1016" t="n"/>
      <c r="I185" s="1022" t="n"/>
      <c r="J185" s="1022" t="n"/>
      <c r="K185" s="1016" t="n"/>
      <c r="L185" s="1016" t="n"/>
      <c r="M185" s="1016" t="n"/>
      <c r="N185" s="1014" t="n"/>
    </row>
    <row r="186">
      <c r="A186" s="1012" t="n"/>
      <c r="B186" s="1016" t="n"/>
      <c r="C186" s="1016" t="n"/>
      <c r="D186" s="1016" t="n"/>
      <c r="E186" s="1016" t="n"/>
      <c r="F186" s="1016" t="n"/>
      <c r="G186" s="1016" t="n"/>
      <c r="H186" s="1016" t="n"/>
      <c r="I186" s="1022" t="n"/>
      <c r="J186" s="1022" t="n"/>
      <c r="K186" s="1016" t="n"/>
      <c r="L186" s="1016" t="n"/>
      <c r="M186" s="1016" t="n"/>
      <c r="N186" s="1014" t="n"/>
    </row>
    <row r="187">
      <c r="A187" s="1012" t="n"/>
      <c r="B187" s="1016" t="n"/>
      <c r="C187" s="1016" t="n"/>
      <c r="D187" s="1016" t="n"/>
      <c r="E187" s="1016" t="n"/>
      <c r="F187" s="1016" t="n"/>
      <c r="G187" s="1016" t="n"/>
      <c r="H187" s="1016" t="n"/>
      <c r="I187" s="1022" t="n"/>
      <c r="J187" s="1022" t="n"/>
      <c r="K187" s="1016" t="n"/>
      <c r="L187" s="1016" t="n"/>
      <c r="M187" s="1016" t="n"/>
      <c r="N187" s="1014" t="n"/>
    </row>
    <row r="188">
      <c r="A188" s="1012" t="n"/>
      <c r="B188" s="1016" t="n"/>
      <c r="C188" s="1016" t="n"/>
      <c r="D188" s="1016" t="n"/>
      <c r="E188" s="1016" t="n"/>
      <c r="F188" s="1016" t="n"/>
      <c r="G188" s="1016" t="n"/>
      <c r="H188" s="1016" t="n"/>
      <c r="I188" s="1022" t="n"/>
      <c r="J188" s="1022" t="n"/>
      <c r="K188" s="1016" t="n"/>
      <c r="L188" s="1016" t="n"/>
      <c r="M188" s="1016" t="n"/>
      <c r="N188" s="1014" t="n"/>
    </row>
    <row r="189">
      <c r="A189" s="1012" t="n"/>
      <c r="B189" s="1016" t="n"/>
      <c r="C189" s="1016" t="n"/>
      <c r="D189" s="1016" t="n"/>
      <c r="E189" s="1016" t="n"/>
      <c r="F189" s="1016" t="n"/>
      <c r="G189" s="1016" t="n"/>
      <c r="H189" s="1016" t="n"/>
      <c r="I189" s="1022" t="n"/>
      <c r="J189" s="1022" t="n"/>
      <c r="K189" s="1016" t="n"/>
      <c r="L189" s="1016" t="n"/>
      <c r="M189" s="1016" t="n"/>
      <c r="N189" s="1014" t="n"/>
    </row>
    <row r="190">
      <c r="A190" s="1012" t="n"/>
      <c r="B190" s="1016" t="n"/>
      <c r="C190" s="1016" t="n"/>
      <c r="D190" s="1016" t="n"/>
      <c r="E190" s="1016" t="n"/>
      <c r="F190" s="1016" t="n"/>
      <c r="G190" s="1016" t="n"/>
      <c r="H190" s="1016" t="n"/>
      <c r="I190" s="1022" t="n"/>
      <c r="J190" s="1022" t="n"/>
      <c r="K190" s="1016" t="n"/>
      <c r="L190" s="1016" t="n"/>
      <c r="M190" s="1016" t="n"/>
      <c r="N190" s="1014" t="n"/>
    </row>
    <row r="191">
      <c r="A191" s="1012" t="n"/>
      <c r="B191" s="1016" t="n"/>
      <c r="C191" s="1016" t="n"/>
      <c r="D191" s="1016" t="n"/>
      <c r="E191" s="1016" t="n"/>
      <c r="F191" s="1016" t="n"/>
      <c r="G191" s="1016" t="n"/>
      <c r="H191" s="1016" t="n"/>
      <c r="I191" s="1022" t="n"/>
      <c r="J191" s="1022" t="n"/>
      <c r="K191" s="1016" t="n"/>
      <c r="L191" s="1016" t="n"/>
      <c r="M191" s="1016" t="n"/>
      <c r="N191" s="1014" t="n"/>
    </row>
    <row r="192">
      <c r="A192" s="1012" t="n"/>
      <c r="B192" s="1016" t="n"/>
      <c r="C192" s="1016" t="n"/>
      <c r="D192" s="1016" t="n"/>
      <c r="E192" s="1016" t="n"/>
      <c r="F192" s="1016" t="n"/>
      <c r="G192" s="1016" t="n"/>
      <c r="H192" s="1016" t="n"/>
      <c r="I192" s="1022" t="n"/>
      <c r="J192" s="1022" t="n"/>
      <c r="K192" s="1016" t="n"/>
      <c r="L192" s="1016" t="n"/>
      <c r="M192" s="1016" t="n"/>
      <c r="N192" s="1014" t="n"/>
    </row>
    <row r="193">
      <c r="A193" s="1012" t="n"/>
      <c r="B193" s="1016" t="n"/>
      <c r="C193" s="1016" t="n"/>
      <c r="D193" s="1016" t="n"/>
      <c r="E193" s="1016" t="n"/>
      <c r="F193" s="1016" t="n"/>
      <c r="G193" s="1016" t="n"/>
      <c r="H193" s="1016" t="n"/>
      <c r="I193" s="1022" t="n"/>
      <c r="J193" s="1022" t="n"/>
      <c r="K193" s="1016" t="n"/>
      <c r="L193" s="1016" t="n"/>
      <c r="M193" s="1016" t="n"/>
      <c r="N193" s="1014" t="n"/>
    </row>
    <row r="194">
      <c r="A194" s="1012" t="n"/>
      <c r="B194" s="1016" t="n"/>
      <c r="C194" s="1016" t="n"/>
      <c r="D194" s="1016" t="n"/>
      <c r="E194" s="1016" t="n"/>
      <c r="F194" s="1016" t="n"/>
      <c r="G194" s="1016" t="n"/>
      <c r="H194" s="1016" t="n"/>
      <c r="I194" s="1022" t="n"/>
      <c r="J194" s="1022" t="n"/>
      <c r="K194" s="1016" t="n"/>
      <c r="L194" s="1016" t="n"/>
      <c r="M194" s="1016" t="n"/>
      <c r="N194" s="1014" t="n"/>
    </row>
    <row r="195">
      <c r="A195" s="1012" t="n"/>
      <c r="B195" s="1016" t="n"/>
      <c r="C195" s="1016" t="n"/>
      <c r="D195" s="1016" t="n"/>
      <c r="E195" s="1016" t="n"/>
      <c r="F195" s="1016" t="n"/>
      <c r="G195" s="1016" t="n"/>
      <c r="H195" s="1016" t="n"/>
      <c r="I195" s="1022" t="n"/>
      <c r="J195" s="1022" t="n"/>
      <c r="K195" s="1016" t="n"/>
      <c r="L195" s="1016" t="n"/>
      <c r="M195" s="1016" t="n"/>
      <c r="N195" s="1014" t="n"/>
    </row>
    <row r="196">
      <c r="A196" s="1012" t="n"/>
      <c r="B196" s="1016" t="n"/>
      <c r="C196" s="1016" t="n"/>
      <c r="D196" s="1016" t="n"/>
      <c r="E196" s="1016" t="n"/>
      <c r="F196" s="1016" t="n"/>
      <c r="G196" s="1016" t="n"/>
      <c r="H196" s="1016" t="n"/>
      <c r="I196" s="1022" t="n"/>
      <c r="J196" s="1022" t="n"/>
      <c r="K196" s="1016" t="n"/>
      <c r="L196" s="1016" t="n"/>
      <c r="M196" s="1016" t="n"/>
      <c r="N196" s="1014" t="n"/>
    </row>
    <row r="197">
      <c r="A197" s="1012" t="n"/>
      <c r="B197" s="1016" t="n"/>
      <c r="C197" s="1016" t="n"/>
      <c r="D197" s="1016" t="n"/>
      <c r="E197" s="1016" t="n"/>
      <c r="F197" s="1016" t="n"/>
      <c r="G197" s="1016" t="n"/>
      <c r="H197" s="1016" t="n"/>
      <c r="I197" s="1022" t="n"/>
      <c r="J197" s="1022" t="n"/>
      <c r="K197" s="1016" t="n"/>
      <c r="L197" s="1016" t="n"/>
      <c r="M197" s="1016" t="n"/>
      <c r="N197" s="1014" t="n"/>
    </row>
    <row r="198">
      <c r="A198" s="1012" t="n"/>
      <c r="B198" s="1016" t="n"/>
      <c r="C198" s="1016" t="n"/>
      <c r="D198" s="1016" t="n"/>
      <c r="E198" s="1016" t="n"/>
      <c r="F198" s="1016" t="n"/>
      <c r="G198" s="1016" t="n"/>
      <c r="H198" s="1016" t="n"/>
      <c r="I198" s="1022" t="n"/>
      <c r="J198" s="1022" t="n"/>
      <c r="K198" s="1016" t="n"/>
      <c r="L198" s="1016" t="n"/>
      <c r="M198" s="1016" t="n"/>
      <c r="N198" s="1014" t="n"/>
    </row>
    <row r="199">
      <c r="A199" s="1012" t="n"/>
      <c r="B199" s="1016" t="n"/>
      <c r="C199" s="1016" t="n"/>
      <c r="D199" s="1016" t="n"/>
      <c r="E199" s="1016" t="n"/>
      <c r="F199" s="1016" t="n"/>
      <c r="G199" s="1016" t="n"/>
      <c r="H199" s="1016" t="n"/>
      <c r="I199" s="1022" t="n"/>
      <c r="J199" s="1022" t="n"/>
      <c r="K199" s="1016" t="n"/>
      <c r="L199" s="1016" t="n"/>
      <c r="M199" s="1016" t="n"/>
      <c r="N199" s="1014" t="n"/>
    </row>
    <row r="200">
      <c r="A200" s="1012" t="n"/>
      <c r="B200" s="1016" t="n"/>
      <c r="C200" s="1016" t="n"/>
      <c r="D200" s="1016" t="n"/>
      <c r="E200" s="1016" t="n"/>
      <c r="F200" s="1016" t="n"/>
      <c r="G200" s="1016" t="n"/>
      <c r="H200" s="1016" t="n"/>
      <c r="I200" s="1022" t="n"/>
      <c r="J200" s="1022" t="n"/>
      <c r="K200" s="1016" t="n"/>
      <c r="L200" s="1016" t="n"/>
      <c r="M200" s="1016" t="n"/>
      <c r="N200" s="1014" t="n"/>
    </row>
    <row r="201">
      <c r="A201" s="1012" t="n"/>
      <c r="B201" s="1016" t="n"/>
      <c r="C201" s="1016" t="n"/>
      <c r="D201" s="1016" t="n"/>
      <c r="E201" s="1016" t="n"/>
      <c r="F201" s="1016" t="n"/>
      <c r="G201" s="1016" t="n"/>
      <c r="H201" s="1016" t="n"/>
      <c r="I201" s="1022" t="n"/>
      <c r="J201" s="1022" t="n"/>
      <c r="K201" s="1016" t="n"/>
      <c r="L201" s="1016" t="n"/>
      <c r="M201" s="1016" t="n"/>
      <c r="N201" s="1014" t="n"/>
    </row>
    <row r="202">
      <c r="A202" s="1012" t="n"/>
      <c r="B202" s="1016" t="n"/>
      <c r="C202" s="1016" t="n"/>
      <c r="D202" s="1016" t="n"/>
      <c r="E202" s="1016" t="n"/>
      <c r="F202" s="1016" t="n"/>
      <c r="G202" s="1016" t="n"/>
      <c r="H202" s="1016" t="n"/>
      <c r="I202" s="1022" t="n"/>
      <c r="J202" s="1022" t="n"/>
      <c r="K202" s="1016" t="n"/>
      <c r="L202" s="1016" t="n"/>
      <c r="M202" s="1016" t="n"/>
      <c r="N202" s="1014" t="n"/>
    </row>
    <row r="203">
      <c r="A203" s="1012" t="n"/>
      <c r="B203" s="1016" t="n"/>
      <c r="C203" s="1016" t="n"/>
      <c r="D203" s="1016" t="n"/>
      <c r="E203" s="1016" t="n"/>
      <c r="F203" s="1016" t="n"/>
      <c r="G203" s="1016" t="n"/>
      <c r="H203" s="1016" t="n"/>
      <c r="I203" s="1022" t="n"/>
      <c r="J203" s="1022" t="n"/>
      <c r="K203" s="1016" t="n"/>
      <c r="L203" s="1016" t="n"/>
      <c r="M203" s="1016" t="n"/>
      <c r="N203" s="1014" t="n"/>
    </row>
    <row r="204">
      <c r="A204" s="1012" t="n"/>
      <c r="B204" s="1016" t="n"/>
      <c r="C204" s="1016" t="n"/>
      <c r="D204" s="1016" t="n"/>
      <c r="E204" s="1016" t="n"/>
      <c r="F204" s="1016" t="n"/>
      <c r="G204" s="1016" t="n"/>
      <c r="H204" s="1016" t="n"/>
      <c r="I204" s="1022" t="n"/>
      <c r="J204" s="1022" t="n"/>
      <c r="K204" s="1016" t="n"/>
      <c r="L204" s="1016" t="n"/>
      <c r="M204" s="1016" t="n"/>
      <c r="N204" s="1014" t="n"/>
    </row>
    <row r="205">
      <c r="A205" s="1012" t="n"/>
      <c r="B205" s="1016" t="n"/>
      <c r="C205" s="1016" t="n"/>
      <c r="D205" s="1016" t="n"/>
      <c r="E205" s="1016" t="n"/>
      <c r="F205" s="1016" t="n"/>
      <c r="G205" s="1016" t="n"/>
      <c r="H205" s="1016" t="n"/>
      <c r="I205" s="1022" t="n"/>
      <c r="J205" s="1022" t="n"/>
      <c r="K205" s="1016" t="n"/>
      <c r="L205" s="1016" t="n"/>
      <c r="M205" s="1016" t="n"/>
      <c r="N205" s="1014" t="n"/>
    </row>
    <row r="206">
      <c r="A206" s="1012" t="n"/>
      <c r="B206" s="1016" t="n"/>
      <c r="C206" s="1016" t="n"/>
      <c r="D206" s="1016" t="n"/>
      <c r="E206" s="1016" t="n"/>
      <c r="F206" s="1016" t="n"/>
      <c r="G206" s="1016" t="n"/>
      <c r="H206" s="1016" t="n"/>
      <c r="I206" s="1022" t="n"/>
      <c r="J206" s="1022" t="n"/>
      <c r="K206" s="1016" t="n"/>
      <c r="L206" s="1016" t="n"/>
      <c r="M206" s="1016" t="n"/>
      <c r="N206" s="1014" t="n"/>
    </row>
    <row r="207">
      <c r="A207" s="1012" t="n"/>
      <c r="B207" s="1016" t="n"/>
      <c r="C207" s="1016" t="n"/>
      <c r="D207" s="1016" t="n"/>
      <c r="E207" s="1016" t="n"/>
      <c r="F207" s="1016" t="n"/>
      <c r="G207" s="1016" t="n"/>
      <c r="H207" s="1016" t="n"/>
      <c r="I207" s="1022" t="n"/>
      <c r="J207" s="1022" t="n"/>
      <c r="K207" s="1016" t="n"/>
      <c r="L207" s="1016" t="n"/>
      <c r="M207" s="1016" t="n"/>
      <c r="N207" s="1014" t="n"/>
    </row>
    <row r="208">
      <c r="A208" s="1012" t="n"/>
      <c r="B208" s="1016" t="n"/>
      <c r="C208" s="1016" t="n"/>
      <c r="D208" s="1016" t="n"/>
      <c r="E208" s="1016" t="n"/>
      <c r="F208" s="1016" t="n"/>
      <c r="G208" s="1016" t="n"/>
      <c r="H208" s="1016" t="n"/>
      <c r="I208" s="1022" t="n"/>
      <c r="J208" s="1022" t="n"/>
      <c r="K208" s="1016" t="n"/>
      <c r="L208" s="1016" t="n"/>
      <c r="M208" s="1016" t="n"/>
      <c r="N208" s="1014" t="n"/>
    </row>
    <row r="209">
      <c r="A209" s="1012" t="n"/>
      <c r="B209" s="1016" t="n"/>
      <c r="C209" s="1016" t="n"/>
      <c r="D209" s="1016" t="n"/>
      <c r="E209" s="1016" t="n"/>
      <c r="F209" s="1016" t="n"/>
      <c r="G209" s="1016" t="n"/>
      <c r="H209" s="1016" t="n"/>
      <c r="I209" s="1022" t="n"/>
      <c r="J209" s="1022" t="n"/>
      <c r="K209" s="1016" t="n"/>
      <c r="L209" s="1016" t="n"/>
      <c r="M209" s="1016" t="n"/>
      <c r="N209" s="1014" t="n"/>
    </row>
    <row r="210">
      <c r="A210" s="1012" t="n"/>
      <c r="B210" s="1016" t="n"/>
      <c r="C210" s="1016" t="n"/>
      <c r="D210" s="1016" t="n"/>
      <c r="E210" s="1016" t="n"/>
      <c r="F210" s="1016" t="n"/>
      <c r="G210" s="1016" t="n"/>
      <c r="H210" s="1016" t="n"/>
      <c r="I210" s="1022" t="n"/>
      <c r="J210" s="1022" t="n"/>
      <c r="K210" s="1016" t="n"/>
      <c r="L210" s="1016" t="n"/>
      <c r="M210" s="1016" t="n"/>
      <c r="N210" s="1014" t="n"/>
    </row>
    <row r="211">
      <c r="A211" s="1012" t="n"/>
      <c r="B211" s="1016" t="n"/>
      <c r="C211" s="1016" t="n"/>
      <c r="D211" s="1016" t="n"/>
      <c r="E211" s="1016" t="n"/>
      <c r="F211" s="1016" t="n"/>
      <c r="G211" s="1016" t="n"/>
      <c r="H211" s="1016" t="n"/>
      <c r="I211" s="1022" t="n"/>
      <c r="J211" s="1022" t="n"/>
      <c r="K211" s="1016" t="n"/>
      <c r="L211" s="1016" t="n"/>
      <c r="M211" s="1016" t="n"/>
      <c r="N211" s="1014" t="n"/>
    </row>
    <row r="212">
      <c r="A212" s="1012" t="n"/>
      <c r="B212" s="1016" t="n"/>
      <c r="C212" s="1016" t="n"/>
      <c r="D212" s="1016" t="n"/>
      <c r="E212" s="1016" t="n"/>
      <c r="F212" s="1016" t="n"/>
      <c r="G212" s="1016" t="n"/>
      <c r="H212" s="1016" t="n"/>
      <c r="I212" s="1022" t="n"/>
      <c r="J212" s="1022" t="n"/>
      <c r="K212" s="1016" t="n"/>
      <c r="L212" s="1016" t="n"/>
      <c r="M212" s="1016" t="n"/>
      <c r="N212" s="1014" t="n"/>
    </row>
    <row r="213">
      <c r="A213" s="1012" t="n"/>
      <c r="B213" s="1016" t="n"/>
      <c r="C213" s="1016" t="n"/>
      <c r="D213" s="1016" t="n"/>
      <c r="E213" s="1016" t="n"/>
      <c r="F213" s="1016" t="n"/>
      <c r="G213" s="1016" t="n"/>
      <c r="H213" s="1016" t="n"/>
      <c r="I213" s="1022" t="n"/>
      <c r="J213" s="1022" t="n"/>
      <c r="K213" s="1016" t="n"/>
      <c r="L213" s="1016" t="n"/>
      <c r="M213" s="1016" t="n"/>
      <c r="N213" s="1014" t="n"/>
    </row>
    <row r="214">
      <c r="A214" s="1012" t="n"/>
      <c r="B214" s="1016" t="n"/>
      <c r="C214" s="1016" t="n"/>
      <c r="D214" s="1016" t="n"/>
      <c r="E214" s="1016" t="n"/>
      <c r="F214" s="1016" t="n"/>
      <c r="G214" s="1016" t="n"/>
      <c r="H214" s="1016" t="n"/>
      <c r="I214" s="1022" t="n"/>
      <c r="J214" s="1022" t="n"/>
      <c r="K214" s="1016" t="n"/>
      <c r="L214" s="1016" t="n"/>
      <c r="M214" s="1016" t="n"/>
      <c r="N214" s="1014" t="n"/>
    </row>
    <row r="215">
      <c r="A215" s="1012" t="n"/>
      <c r="B215" s="1016" t="n"/>
      <c r="C215" s="1016" t="n"/>
      <c r="D215" s="1016" t="n"/>
      <c r="E215" s="1016" t="n"/>
      <c r="F215" s="1016" t="n"/>
      <c r="G215" s="1016" t="n"/>
      <c r="H215" s="1016" t="n"/>
      <c r="I215" s="1022" t="n"/>
      <c r="J215" s="1022" t="n"/>
      <c r="K215" s="1016" t="n"/>
      <c r="L215" s="1016" t="n"/>
      <c r="M215" s="1016" t="n"/>
      <c r="N215" s="1014" t="n"/>
    </row>
    <row r="216">
      <c r="A216" s="1012" t="n"/>
      <c r="B216" s="1016" t="n"/>
      <c r="C216" s="1016" t="n"/>
      <c r="D216" s="1016" t="n"/>
      <c r="E216" s="1016" t="n"/>
      <c r="F216" s="1016" t="n"/>
      <c r="G216" s="1016" t="n"/>
      <c r="H216" s="1016" t="n"/>
      <c r="I216" s="1022" t="n"/>
      <c r="J216" s="1022" t="n"/>
      <c r="K216" s="1016" t="n"/>
      <c r="L216" s="1016" t="n"/>
      <c r="M216" s="1016" t="n"/>
      <c r="N216" s="1014" t="n"/>
    </row>
    <row r="217">
      <c r="A217" s="1012" t="n"/>
      <c r="B217" s="1016" t="n"/>
      <c r="C217" s="1016" t="n"/>
      <c r="D217" s="1016" t="n"/>
      <c r="E217" s="1016" t="n"/>
      <c r="F217" s="1016" t="n"/>
      <c r="G217" s="1016" t="n"/>
      <c r="H217" s="1016" t="n"/>
      <c r="I217" s="1022" t="n"/>
      <c r="J217" s="1022" t="n"/>
      <c r="K217" s="1016" t="n"/>
      <c r="L217" s="1016" t="n"/>
      <c r="M217" s="1016" t="n"/>
      <c r="N217" s="1014" t="n"/>
    </row>
    <row r="218">
      <c r="A218" s="1012" t="n"/>
      <c r="B218" s="1016" t="n"/>
      <c r="C218" s="1016" t="n"/>
      <c r="D218" s="1016" t="n"/>
      <c r="E218" s="1016" t="n"/>
      <c r="F218" s="1016" t="n"/>
      <c r="G218" s="1016" t="n"/>
      <c r="H218" s="1016" t="n"/>
      <c r="I218" s="1022" t="n"/>
      <c r="J218" s="1022" t="n"/>
      <c r="K218" s="1016" t="n"/>
      <c r="L218" s="1016" t="n"/>
      <c r="M218" s="1016" t="n"/>
      <c r="N218" s="1014" t="n"/>
    </row>
    <row r="219">
      <c r="A219" s="1012" t="n"/>
      <c r="B219" s="1016" t="n"/>
      <c r="C219" s="1016" t="n"/>
      <c r="D219" s="1016" t="n"/>
      <c r="E219" s="1016" t="n"/>
      <c r="F219" s="1016" t="n"/>
      <c r="G219" s="1016" t="n"/>
      <c r="H219" s="1016" t="n"/>
      <c r="I219" s="1022" t="n"/>
      <c r="J219" s="1022" t="n"/>
      <c r="K219" s="1016" t="n"/>
      <c r="L219" s="1016" t="n"/>
      <c r="M219" s="1016" t="n"/>
      <c r="N219" s="1014" t="n"/>
    </row>
    <row r="220">
      <c r="A220" s="1012" t="n"/>
      <c r="B220" s="1016" t="n"/>
      <c r="C220" s="1016" t="n"/>
      <c r="D220" s="1016" t="n"/>
      <c r="E220" s="1016" t="n"/>
      <c r="F220" s="1016" t="n"/>
      <c r="G220" s="1016" t="n"/>
      <c r="H220" s="1016" t="n"/>
      <c r="I220" s="1022" t="n"/>
      <c r="J220" s="1022" t="n"/>
      <c r="K220" s="1016" t="n"/>
      <c r="L220" s="1016" t="n"/>
      <c r="M220" s="1016" t="n"/>
      <c r="N220" s="1014" t="n"/>
    </row>
    <row r="221">
      <c r="A221" s="1012" t="n"/>
      <c r="B221" s="1016" t="n"/>
      <c r="C221" s="1016" t="n"/>
      <c r="D221" s="1016" t="n"/>
      <c r="E221" s="1016" t="n"/>
      <c r="F221" s="1016" t="n"/>
      <c r="G221" s="1016" t="n"/>
      <c r="H221" s="1016" t="n"/>
      <c r="I221" s="1022" t="n"/>
      <c r="J221" s="1022" t="n"/>
      <c r="K221" s="1016" t="n"/>
      <c r="L221" s="1016" t="n"/>
      <c r="M221" s="1016" t="n"/>
      <c r="N221" s="1014" t="n"/>
    </row>
    <row r="222">
      <c r="A222" s="1012" t="n"/>
      <c r="B222" s="1016" t="n"/>
      <c r="C222" s="1016" t="n"/>
      <c r="D222" s="1016" t="n"/>
      <c r="E222" s="1016" t="n"/>
      <c r="F222" s="1016" t="n"/>
      <c r="G222" s="1016" t="n"/>
      <c r="H222" s="1016" t="n"/>
      <c r="I222" s="1022" t="n"/>
      <c r="J222" s="1022" t="n"/>
      <c r="K222" s="1016" t="n"/>
      <c r="L222" s="1016" t="n"/>
      <c r="M222" s="1016" t="n"/>
      <c r="N222" s="1014" t="n"/>
    </row>
    <row r="223">
      <c r="A223" s="1012" t="n"/>
      <c r="B223" s="1016" t="n"/>
      <c r="C223" s="1016" t="n"/>
      <c r="D223" s="1016" t="n"/>
      <c r="E223" s="1016" t="n"/>
      <c r="F223" s="1016" t="n"/>
      <c r="G223" s="1016" t="n"/>
      <c r="H223" s="1016" t="n"/>
      <c r="I223" s="1022" t="n"/>
      <c r="J223" s="1022" t="n"/>
      <c r="K223" s="1016" t="n"/>
      <c r="L223" s="1016" t="n"/>
      <c r="M223" s="1016" t="n"/>
      <c r="N223" s="1014" t="n"/>
    </row>
    <row r="224">
      <c r="A224" s="1012" t="n"/>
      <c r="B224" s="1016" t="n"/>
      <c r="C224" s="1016" t="n"/>
      <c r="D224" s="1016" t="n"/>
      <c r="E224" s="1016" t="n"/>
      <c r="F224" s="1016" t="n"/>
      <c r="G224" s="1016" t="n"/>
      <c r="H224" s="1016" t="n"/>
      <c r="I224" s="1022" t="n"/>
      <c r="J224" s="1022" t="n"/>
      <c r="K224" s="1016" t="n"/>
      <c r="L224" s="1016" t="n"/>
      <c r="M224" s="1016" t="n"/>
      <c r="N224" s="1014" t="n"/>
    </row>
    <row r="225">
      <c r="A225" s="1012" t="n"/>
      <c r="B225" s="1016" t="n"/>
      <c r="C225" s="1016" t="n"/>
      <c r="D225" s="1016" t="n"/>
      <c r="E225" s="1016" t="n"/>
      <c r="F225" s="1016" t="n"/>
      <c r="G225" s="1016" t="n"/>
      <c r="H225" s="1016" t="n"/>
      <c r="I225" s="1022" t="n"/>
      <c r="J225" s="1022" t="n"/>
      <c r="K225" s="1016" t="n"/>
      <c r="L225" s="1016" t="n"/>
      <c r="M225" s="1016" t="n"/>
      <c r="N225" s="1014" t="n"/>
    </row>
    <row r="226">
      <c r="A226" s="1012" t="n"/>
      <c r="B226" s="1016" t="n"/>
      <c r="C226" s="1016" t="n"/>
      <c r="D226" s="1016" t="n"/>
      <c r="E226" s="1016" t="n"/>
      <c r="F226" s="1016" t="n"/>
      <c r="G226" s="1016" t="n"/>
      <c r="H226" s="1016" t="n"/>
      <c r="I226" s="1022" t="n"/>
      <c r="J226" s="1022" t="n"/>
      <c r="K226" s="1016" t="n"/>
      <c r="L226" s="1016" t="n"/>
      <c r="M226" s="1016" t="n"/>
      <c r="N226" s="1014" t="n"/>
    </row>
    <row r="227">
      <c r="A227" s="1012" t="n"/>
      <c r="B227" s="1016" t="n"/>
      <c r="C227" s="1016" t="n"/>
      <c r="D227" s="1016" t="n"/>
      <c r="E227" s="1016" t="n"/>
      <c r="F227" s="1016" t="n"/>
      <c r="G227" s="1016" t="n"/>
      <c r="H227" s="1016" t="n"/>
      <c r="I227" s="1022" t="n"/>
      <c r="J227" s="1022" t="n"/>
      <c r="K227" s="1016" t="n"/>
      <c r="L227" s="1016" t="n"/>
      <c r="M227" s="1016" t="n"/>
      <c r="N227" s="1014" t="n"/>
    </row>
    <row r="228">
      <c r="A228" s="1012" t="n"/>
      <c r="B228" s="1016" t="n"/>
      <c r="C228" s="1016" t="n"/>
      <c r="D228" s="1016" t="n"/>
      <c r="E228" s="1016" t="n"/>
      <c r="F228" s="1016" t="n"/>
      <c r="G228" s="1016" t="n"/>
      <c r="H228" s="1016" t="n"/>
      <c r="I228" s="1022" t="n"/>
      <c r="J228" s="1022" t="n"/>
      <c r="K228" s="1016" t="n"/>
      <c r="L228" s="1016" t="n"/>
      <c r="M228" s="1016" t="n"/>
      <c r="N228" s="1014" t="n"/>
    </row>
    <row r="229">
      <c r="A229" s="1012" t="n"/>
      <c r="B229" s="1016" t="n"/>
      <c r="C229" s="1016" t="n"/>
      <c r="D229" s="1016" t="n"/>
      <c r="E229" s="1016" t="n"/>
      <c r="F229" s="1016" t="n"/>
      <c r="G229" s="1016" t="n"/>
      <c r="H229" s="1016" t="n"/>
      <c r="I229" s="1022" t="n"/>
      <c r="J229" s="1022" t="n"/>
      <c r="K229" s="1016" t="n"/>
      <c r="L229" s="1016" t="n"/>
      <c r="M229" s="1016" t="n"/>
      <c r="N229" s="1014" t="n"/>
    </row>
    <row r="230">
      <c r="A230" s="1012" t="n"/>
      <c r="B230" s="1016" t="n"/>
      <c r="C230" s="1016" t="n"/>
      <c r="D230" s="1016" t="n"/>
      <c r="E230" s="1016" t="n"/>
      <c r="F230" s="1016" t="n"/>
      <c r="G230" s="1016" t="n"/>
      <c r="H230" s="1016" t="n"/>
      <c r="I230" s="1022" t="n"/>
      <c r="J230" s="1022" t="n"/>
      <c r="K230" s="1016" t="n"/>
      <c r="L230" s="1016" t="n"/>
      <c r="M230" s="1016" t="n"/>
      <c r="N230" s="1014" t="n"/>
    </row>
    <row r="231">
      <c r="A231" s="1012" t="n"/>
      <c r="B231" s="1016" t="n"/>
      <c r="C231" s="1016" t="n"/>
      <c r="D231" s="1016" t="n"/>
      <c r="E231" s="1016" t="n"/>
      <c r="F231" s="1016" t="n"/>
      <c r="G231" s="1016" t="n"/>
      <c r="H231" s="1016" t="n"/>
      <c r="I231" s="1022" t="n"/>
      <c r="J231" s="1022" t="n"/>
      <c r="K231" s="1016" t="n"/>
      <c r="L231" s="1016" t="n"/>
      <c r="M231" s="1016" t="n"/>
      <c r="N231" s="1014" t="n"/>
    </row>
    <row r="232">
      <c r="A232" s="1012" t="n"/>
      <c r="B232" s="1016" t="n"/>
      <c r="C232" s="1016" t="n"/>
      <c r="D232" s="1016" t="n"/>
      <c r="E232" s="1016" t="n"/>
      <c r="F232" s="1016" t="n"/>
      <c r="G232" s="1016" t="n"/>
      <c r="H232" s="1016" t="n"/>
      <c r="I232" s="1022" t="n"/>
      <c r="J232" s="1022" t="n"/>
      <c r="K232" s="1016" t="n"/>
      <c r="L232" s="1016" t="n"/>
      <c r="M232" s="1016" t="n"/>
      <c r="N232" s="1014" t="n"/>
    </row>
    <row r="233">
      <c r="A233" s="1012" t="n"/>
      <c r="B233" s="1016" t="n"/>
      <c r="C233" s="1016" t="n"/>
      <c r="D233" s="1016" t="n"/>
      <c r="E233" s="1016" t="n"/>
      <c r="F233" s="1016" t="n"/>
      <c r="G233" s="1016" t="n"/>
      <c r="H233" s="1016" t="n"/>
      <c r="I233" s="1022" t="n"/>
      <c r="J233" s="1022" t="n"/>
      <c r="K233" s="1016" t="n"/>
      <c r="L233" s="1016" t="n"/>
      <c r="M233" s="1016" t="n"/>
      <c r="N233" s="1014" t="n"/>
    </row>
    <row r="234">
      <c r="A234" s="1012" t="n"/>
      <c r="B234" s="1016" t="n"/>
      <c r="C234" s="1016" t="n"/>
      <c r="D234" s="1016" t="n"/>
      <c r="E234" s="1016" t="n"/>
      <c r="F234" s="1016" t="n"/>
      <c r="G234" s="1016" t="n"/>
      <c r="H234" s="1016" t="n"/>
      <c r="I234" s="1022" t="n"/>
      <c r="J234" s="1022" t="n"/>
      <c r="K234" s="1016" t="n"/>
      <c r="L234" s="1016" t="n"/>
      <c r="M234" s="1016" t="n"/>
      <c r="N234" s="1014" t="n"/>
    </row>
    <row r="235">
      <c r="A235" s="1012" t="n"/>
      <c r="B235" s="1016" t="n"/>
      <c r="C235" s="1016" t="n"/>
      <c r="D235" s="1016" t="n"/>
      <c r="E235" s="1016" t="n"/>
      <c r="F235" s="1016" t="n"/>
      <c r="G235" s="1016" t="n"/>
      <c r="H235" s="1016" t="n"/>
      <c r="I235" s="1022" t="n"/>
      <c r="J235" s="1022" t="n"/>
      <c r="K235" s="1016" t="n"/>
      <c r="L235" s="1016" t="n"/>
      <c r="M235" s="1016" t="n"/>
      <c r="N235" s="1014" t="n"/>
    </row>
    <row r="236">
      <c r="A236" s="1012" t="n"/>
      <c r="B236" s="1016" t="n"/>
      <c r="C236" s="1016" t="n"/>
      <c r="D236" s="1016" t="n"/>
      <c r="E236" s="1016" t="n"/>
      <c r="F236" s="1016" t="n"/>
      <c r="G236" s="1016" t="n"/>
      <c r="H236" s="1016" t="n"/>
      <c r="I236" s="1022" t="n"/>
      <c r="J236" s="1022" t="n"/>
      <c r="K236" s="1016" t="n"/>
      <c r="L236" s="1016" t="n"/>
      <c r="M236" s="1016" t="n"/>
      <c r="N236" s="1014" t="n"/>
    </row>
    <row r="237">
      <c r="A237" s="1012" t="n"/>
      <c r="B237" s="1016" t="n"/>
      <c r="C237" s="1016" t="n"/>
      <c r="D237" s="1016" t="n"/>
      <c r="E237" s="1016" t="n"/>
      <c r="F237" s="1016" t="n"/>
      <c r="G237" s="1016" t="n"/>
      <c r="H237" s="1016" t="n"/>
      <c r="I237" s="1022" t="n"/>
      <c r="J237" s="1022" t="n"/>
      <c r="K237" s="1016" t="n"/>
      <c r="L237" s="1016" t="n"/>
      <c r="M237" s="1016" t="n"/>
      <c r="N237" s="1014" t="n"/>
    </row>
    <row r="238">
      <c r="A238" s="1012" t="n"/>
      <c r="B238" s="1016" t="n"/>
      <c r="C238" s="1016" t="n"/>
      <c r="D238" s="1016" t="n"/>
      <c r="E238" s="1016" t="n"/>
      <c r="F238" s="1016" t="n"/>
      <c r="G238" s="1016" t="n"/>
      <c r="H238" s="1016" t="n"/>
      <c r="I238" s="1022" t="n"/>
      <c r="J238" s="1022" t="n"/>
      <c r="K238" s="1016" t="n"/>
      <c r="L238" s="1016" t="n"/>
      <c r="M238" s="1016" t="n"/>
      <c r="N238" s="1014" t="n"/>
    </row>
    <row r="239">
      <c r="A239" s="1012" t="n"/>
      <c r="B239" s="1016" t="n"/>
      <c r="C239" s="1016" t="n"/>
      <c r="D239" s="1016" t="n"/>
      <c r="E239" s="1016" t="n"/>
      <c r="F239" s="1016" t="n"/>
      <c r="G239" s="1016" t="n"/>
      <c r="H239" s="1016" t="n"/>
      <c r="I239" s="1022" t="n"/>
      <c r="J239" s="1022" t="n"/>
      <c r="K239" s="1016" t="n"/>
      <c r="L239" s="1016" t="n"/>
      <c r="M239" s="1016" t="n"/>
      <c r="N239" s="1014" t="n"/>
    </row>
    <row r="240">
      <c r="A240" s="1012" t="n"/>
      <c r="B240" s="1016" t="n"/>
      <c r="C240" s="1016" t="n"/>
      <c r="D240" s="1016" t="n"/>
      <c r="E240" s="1016" t="n"/>
      <c r="F240" s="1016" t="n"/>
      <c r="G240" s="1016" t="n"/>
      <c r="H240" s="1016" t="n"/>
      <c r="I240" s="1022" t="n"/>
      <c r="J240" s="1022" t="n"/>
      <c r="K240" s="1016" t="n"/>
      <c r="L240" s="1016" t="n"/>
      <c r="M240" s="1016" t="n"/>
      <c r="N240" s="1014" t="n"/>
    </row>
    <row r="241">
      <c r="A241" s="1012" t="n"/>
      <c r="B241" s="1016" t="n"/>
      <c r="C241" s="1016" t="n"/>
      <c r="D241" s="1016" t="n"/>
      <c r="E241" s="1016" t="n"/>
      <c r="F241" s="1016" t="n"/>
      <c r="G241" s="1016" t="n"/>
      <c r="H241" s="1016" t="n"/>
      <c r="I241" s="1022" t="n"/>
      <c r="J241" s="1022" t="n"/>
      <c r="K241" s="1016" t="n"/>
      <c r="L241" s="1016" t="n"/>
      <c r="M241" s="1016" t="n"/>
      <c r="N241" s="1014" t="n"/>
    </row>
    <row r="242">
      <c r="A242" s="1012" t="n"/>
      <c r="B242" s="1016" t="n"/>
      <c r="C242" s="1016" t="n"/>
      <c r="D242" s="1016" t="n"/>
      <c r="E242" s="1016" t="n"/>
      <c r="F242" s="1016" t="n"/>
      <c r="G242" s="1016" t="n"/>
      <c r="H242" s="1016" t="n"/>
      <c r="I242" s="1022" t="n"/>
      <c r="J242" s="1022" t="n"/>
      <c r="K242" s="1016" t="n"/>
      <c r="L242" s="1016" t="n"/>
      <c r="M242" s="1016" t="n"/>
      <c r="N242" s="1014" t="n"/>
    </row>
    <row r="243">
      <c r="A243" s="1012" t="n"/>
      <c r="B243" s="1016" t="n"/>
      <c r="C243" s="1016" t="n"/>
      <c r="D243" s="1016" t="n"/>
      <c r="E243" s="1016" t="n"/>
      <c r="F243" s="1016" t="n"/>
      <c r="G243" s="1016" t="n"/>
      <c r="H243" s="1016" t="n"/>
      <c r="I243" s="1022" t="n"/>
      <c r="J243" s="1022" t="n"/>
      <c r="K243" s="1016" t="n"/>
      <c r="L243" s="1016" t="n"/>
      <c r="M243" s="1016" t="n"/>
      <c r="N243" s="1014" t="n"/>
    </row>
    <row r="244">
      <c r="A244" s="1012" t="n"/>
      <c r="B244" s="1016" t="n"/>
      <c r="C244" s="1016" t="n"/>
      <c r="D244" s="1016" t="n"/>
      <c r="E244" s="1016" t="n"/>
      <c r="F244" s="1016" t="n"/>
      <c r="G244" s="1016" t="n"/>
      <c r="H244" s="1016" t="n"/>
      <c r="I244" s="1022" t="n"/>
      <c r="J244" s="1022" t="n"/>
      <c r="K244" s="1016" t="n"/>
      <c r="L244" s="1016" t="n"/>
      <c r="M244" s="1016" t="n"/>
      <c r="N244" s="1014" t="n"/>
    </row>
    <row r="245">
      <c r="A245" s="1012" t="n"/>
      <c r="B245" s="1016" t="n"/>
      <c r="C245" s="1016" t="n"/>
      <c r="D245" s="1016" t="n"/>
      <c r="E245" s="1016" t="n"/>
      <c r="F245" s="1016" t="n"/>
      <c r="G245" s="1016" t="n"/>
      <c r="H245" s="1016" t="n"/>
      <c r="I245" s="1022" t="n"/>
      <c r="J245" s="1022" t="n"/>
      <c r="K245" s="1016" t="n"/>
      <c r="L245" s="1016" t="n"/>
      <c r="M245" s="1016" t="n"/>
      <c r="N245" s="1014" t="n"/>
    </row>
    <row r="246">
      <c r="A246" s="1012" t="n"/>
      <c r="B246" s="1016" t="n"/>
      <c r="C246" s="1016" t="n"/>
      <c r="D246" s="1016" t="n"/>
      <c r="E246" s="1016" t="n"/>
      <c r="F246" s="1016" t="n"/>
      <c r="G246" s="1016" t="n"/>
      <c r="H246" s="1016" t="n"/>
      <c r="I246" s="1022" t="n"/>
      <c r="J246" s="1022" t="n"/>
      <c r="K246" s="1016" t="n"/>
      <c r="L246" s="1016" t="n"/>
      <c r="M246" s="1016" t="n"/>
      <c r="N246" s="1014" t="n"/>
    </row>
    <row r="247">
      <c r="A247" s="1012" t="n"/>
      <c r="B247" s="1016" t="n"/>
      <c r="C247" s="1016" t="n"/>
      <c r="D247" s="1016" t="n"/>
      <c r="E247" s="1016" t="n"/>
      <c r="F247" s="1016" t="n"/>
      <c r="G247" s="1016" t="n"/>
      <c r="H247" s="1016" t="n"/>
      <c r="I247" s="1022" t="n"/>
      <c r="J247" s="1022" t="n"/>
      <c r="K247" s="1016" t="n"/>
      <c r="L247" s="1016" t="n"/>
      <c r="M247" s="1016" t="n"/>
      <c r="N247" s="1014" t="n"/>
    </row>
    <row r="248">
      <c r="A248" s="1012" t="n"/>
      <c r="B248" s="1016" t="n"/>
      <c r="C248" s="1016" t="n"/>
      <c r="D248" s="1016" t="n"/>
      <c r="E248" s="1016" t="n"/>
      <c r="F248" s="1016" t="n"/>
      <c r="G248" s="1016" t="n"/>
      <c r="H248" s="1016" t="n"/>
      <c r="I248" s="1022" t="n"/>
      <c r="J248" s="1022" t="n"/>
      <c r="K248" s="1016" t="n"/>
      <c r="L248" s="1016" t="n"/>
      <c r="M248" s="1016" t="n"/>
      <c r="N248" s="1014" t="n"/>
    </row>
    <row r="249">
      <c r="A249" s="1012" t="n"/>
      <c r="B249" s="1016" t="n"/>
      <c r="C249" s="1016" t="n"/>
      <c r="D249" s="1016" t="n"/>
      <c r="E249" s="1016" t="n"/>
      <c r="F249" s="1016" t="n"/>
      <c r="G249" s="1016" t="n"/>
      <c r="H249" s="1016" t="n"/>
      <c r="I249" s="1022" t="n"/>
      <c r="J249" s="1022" t="n"/>
      <c r="K249" s="1016" t="n"/>
      <c r="L249" s="1016" t="n"/>
      <c r="M249" s="1016" t="n"/>
      <c r="N249" s="1014" t="n"/>
    </row>
    <row r="250">
      <c r="A250" s="1017" t="n"/>
      <c r="B250" s="1018" t="n"/>
      <c r="C250" s="1018" t="n"/>
      <c r="D250" s="1018" t="n"/>
      <c r="E250" s="1018" t="n"/>
      <c r="F250" s="1018" t="n"/>
      <c r="G250" s="1018" t="n"/>
      <c r="H250" s="1018" t="n"/>
      <c r="I250" s="1023" t="n"/>
      <c r="J250" s="1023" t="n"/>
      <c r="K250" s="1018" t="n"/>
      <c r="L250" s="1018" t="n"/>
      <c r="M250" s="1018" t="n"/>
      <c r="N250" s="1019" t="n"/>
    </row>
  </sheetData>
  <mergeCells count="4">
    <mergeCell ref="A5:N5"/>
    <mergeCell ref="A2:L2"/>
    <mergeCell ref="A1:L1"/>
    <mergeCell ref="A15:N15"/>
  </mergeCells>
  <pageMargins left="0.7" right="0.7" top="0.75" bottom="0.75" header="0.3" footer="0.3"/>
</worksheet>
</file>

<file path=xl/worksheets/sheet23.xml><?xml version="1.0" encoding="utf-8"?>
<worksheet xmlns="http://schemas.openxmlformats.org/spreadsheetml/2006/main">
  <sheetPr>
    <tabColor rgb="0000B0F0"/>
    <outlinePr summaryBelow="1" summaryRight="1"/>
    <pageSetUpPr/>
  </sheetPr>
  <dimension ref="A1:F32"/>
  <sheetViews>
    <sheetView workbookViewId="0">
      <selection activeCell="A1" sqref="A1"/>
    </sheetView>
  </sheetViews>
  <sheetFormatPr baseColWidth="8" defaultRowHeight="15"/>
  <cols>
    <col width="28" customWidth="1" style="508" min="1" max="1"/>
    <col width="16" customWidth="1" style="508" min="2" max="2"/>
    <col width="26" customWidth="1" style="508" min="3" max="3"/>
    <col width="26" customWidth="1" style="508" min="4" max="4"/>
    <col width="26" customWidth="1" style="508" min="5" max="5"/>
    <col width="26" customWidth="1" style="508" min="6" max="6"/>
    <col width="14" customWidth="1" style="508" min="7" max="7"/>
    <col width="14" customWidth="1" style="508" min="8" max="8"/>
    <col width="14" customWidth="1" style="508" min="9" max="9"/>
    <col width="14" customWidth="1" style="508" min="10" max="10"/>
    <col width="14" customWidth="1" style="508" min="11" max="11"/>
    <col width="14" customWidth="1" style="508" min="12" max="12"/>
    <col width="14" customWidth="1" style="508" min="13" max="13"/>
    <col width="14" customWidth="1" style="508" min="14" max="14"/>
    <col width="14" customWidth="1" style="508" min="15" max="15"/>
    <col width="14" customWidth="1" style="508" min="16" max="16"/>
    <col width="14" customWidth="1" style="508" min="17" max="17"/>
    <col width="14" customWidth="1" style="508" min="18" max="18"/>
    <col width="14" customWidth="1" style="508" min="19" max="19"/>
    <col width="14" customWidth="1" style="508" min="20" max="20"/>
    <col width="14" customWidth="1" style="508" min="21" max="21"/>
    <col width="14" customWidth="1" style="508" min="22" max="22"/>
    <col width="14" customWidth="1" style="508" min="23" max="23"/>
    <col width="14" customWidth="1" style="508" min="24" max="24"/>
    <col width="14" customWidth="1" style="508" min="25" max="25"/>
    <col width="14" customWidth="1" style="508" min="26" max="26"/>
  </cols>
  <sheetData>
    <row r="1">
      <c r="A1" s="920" t="inlineStr">
        <is>
          <t>07 — Frequency Assumptions</t>
        </is>
      </c>
      <c r="B1" s="920" t="n"/>
      <c r="C1" s="920" t="n"/>
      <c r="D1" s="920" t="n"/>
      <c r="E1" s="920" t="n"/>
      <c r="F1" s="920" t="n"/>
    </row>
    <row r="2">
      <c r="A2" s="918" t="inlineStr">
        <is>
          <t>Best-estimate campaign frequency remains separate from conditional attack-path success and prudence.</t>
        </is>
      </c>
      <c r="B2" s="918" t="n"/>
      <c r="C2" s="918" t="n"/>
      <c r="D2" s="918" t="n"/>
      <c r="E2" s="918" t="n"/>
      <c r="F2" s="918" t="n"/>
    </row>
    <row r="3">
      <c r="A3" s="1029">
        <f>IF('00 COMMON - Run Setup'!C6="IT","FILL this sheet — IT assessment.","Not used for this run. Complete the OT assessment section only.")</f>
        <v/>
      </c>
      <c r="B3" s="918" t="n"/>
      <c r="C3" s="918" t="n"/>
      <c r="D3" s="918" t="n"/>
      <c r="E3" s="918" t="n"/>
      <c r="F3" s="918" t="n"/>
    </row>
    <row r="4">
      <c r="A4" s="918" t="inlineStr">
        <is>
          <t>Organisation-level overlays only. Pack-owned campaign rate, actor weights and route priors are read-only.</t>
        </is>
      </c>
      <c r="B4" s="918" t="n"/>
      <c r="C4" s="918" t="n"/>
      <c r="D4" s="918" t="n"/>
      <c r="E4" s="918" t="n"/>
      <c r="F4" s="918" t="n"/>
    </row>
    <row r="5">
      <c r="A5" s="918" t="n"/>
      <c r="B5" s="918" t="n"/>
      <c r="C5" s="918" t="n"/>
      <c r="D5" s="918" t="n"/>
      <c r="E5" s="918" t="n"/>
      <c r="F5" s="918" t="n"/>
    </row>
    <row r="6">
      <c r="A6" s="918" t="n"/>
      <c r="B6" s="918" t="n"/>
      <c r="C6" s="918" t="n"/>
      <c r="D6" s="918" t="n"/>
      <c r="E6" s="918" t="n"/>
      <c r="F6" s="918" t="n"/>
    </row>
    <row r="7">
      <c r="A7" s="918" t="n"/>
      <c r="B7" s="918" t="n"/>
      <c r="C7" s="918" t="n"/>
      <c r="D7" s="918" t="n"/>
      <c r="E7" s="918" t="n"/>
      <c r="F7" s="918" t="n"/>
    </row>
    <row r="8">
      <c r="A8" s="918" t="n"/>
      <c r="B8" s="918" t="n"/>
      <c r="C8" s="918" t="n"/>
      <c r="D8" s="918" t="n"/>
      <c r="E8" s="918" t="n"/>
      <c r="F8" s="918" t="n"/>
    </row>
    <row r="9">
      <c r="A9" s="918" t="n"/>
      <c r="B9" s="918" t="n"/>
      <c r="C9" s="918" t="n"/>
      <c r="D9" s="918" t="n"/>
      <c r="E9" s="918" t="n"/>
      <c r="F9" s="918" t="n"/>
    </row>
    <row r="10">
      <c r="A10" s="918" t="n"/>
      <c r="B10" s="918" t="n"/>
      <c r="C10" s="918" t="n"/>
      <c r="D10" s="918" t="n"/>
      <c r="E10" s="918" t="n"/>
      <c r="F10" s="918" t="n"/>
    </row>
    <row r="11">
      <c r="A11" s="918" t="n"/>
      <c r="B11" s="918" t="n"/>
      <c r="C11" s="918" t="n"/>
      <c r="D11" s="918" t="n"/>
      <c r="E11" s="918" t="n"/>
      <c r="F11" s="918" t="n"/>
    </row>
    <row r="12">
      <c r="A12" s="918" t="n"/>
      <c r="B12" s="918" t="n"/>
      <c r="C12" s="918" t="n"/>
      <c r="D12" s="918" t="n"/>
      <c r="E12" s="918" t="n"/>
      <c r="F12" s="918" t="n"/>
    </row>
    <row r="13">
      <c r="A13" s="918" t="n"/>
      <c r="B13" s="918" t="n"/>
      <c r="C13" s="918" t="n"/>
      <c r="D13" s="918" t="n"/>
      <c r="E13" s="918" t="n"/>
      <c r="F13" s="918" t="n"/>
    </row>
    <row r="14">
      <c r="A14" s="918" t="n"/>
      <c r="B14" s="918" t="n"/>
      <c r="C14" s="918" t="n"/>
      <c r="D14" s="918" t="n"/>
      <c r="E14" s="918" t="n"/>
      <c r="F14" s="918" t="n"/>
    </row>
    <row r="15" ht="30" customHeight="1" s="508">
      <c r="A15" s="851" t="inlineStr">
        <is>
          <t>Parameter</t>
        </is>
      </c>
      <c r="B15" s="851" t="inlineStr">
        <is>
          <t>Value</t>
        </is>
      </c>
      <c r="C15" s="851" t="inlineStr">
        <is>
          <t>Unit</t>
        </is>
      </c>
      <c r="D15" s="851" t="inlineStr">
        <is>
          <t>How used</t>
        </is>
      </c>
      <c r="E15" s="851" t="inlineStr">
        <is>
          <t>Status</t>
        </is>
      </c>
      <c r="F15" s="851" t="inlineStr">
        <is>
          <t>Source / rationale</t>
        </is>
      </c>
    </row>
    <row r="16">
      <c r="A16" s="918" t="inlineStr">
        <is>
          <t>ORGANISATION_EXPOSURE_MULT</t>
        </is>
      </c>
      <c r="B16" s="926" t="n">
        <v>1</v>
      </c>
      <c r="C16" s="918" t="inlineStr">
        <is>
          <t>multiplier</t>
        </is>
      </c>
      <c r="D16" s="918" t="inlineStr">
        <is>
          <t>Scales reference material campaign rate before actor/scenario/route allocation</t>
        </is>
      </c>
      <c r="E16" s="918" t="inlineStr">
        <is>
          <t>User input</t>
        </is>
      </c>
      <c r="F16" s="918" t="inlineStr">
        <is>
          <t>Organisation context; avoid duplicating sheet 04 route factors</t>
        </is>
      </c>
    </row>
    <row r="17">
      <c r="A17" s="918" t="inlineStr">
        <is>
          <t>GEOGRAPHY_THREAT_MULT</t>
        </is>
      </c>
      <c r="B17" s="926" t="n">
        <v>1</v>
      </c>
      <c r="C17" s="918" t="inlineStr">
        <is>
          <t>multiplier</t>
        </is>
      </c>
      <c r="D17" s="918" t="inlineStr">
        <is>
          <t>Scales campaign rate for geography-specific threat context</t>
        </is>
      </c>
      <c r="E17" s="918" t="inlineStr">
        <is>
          <t>User input</t>
        </is>
      </c>
      <c r="F17" s="918" t="inlineStr">
        <is>
          <t>Use 1.00 unless evidence supports adjustment</t>
        </is>
      </c>
    </row>
    <row r="18">
      <c r="A18" s="918" t="inlineStr">
        <is>
          <t>PRUDENCE_FREQUENCY_FACTOR</t>
        </is>
      </c>
      <c r="B18" s="926" t="n">
        <v>1.25</v>
      </c>
      <c r="C18" s="918" t="inlineStr">
        <is>
          <t>multiplier</t>
        </is>
      </c>
      <c r="D18" s="918" t="inlineStr">
        <is>
          <t>Applied only to prudent frequency view</t>
        </is>
      </c>
      <c r="E18" s="918" t="inlineStr">
        <is>
          <t>User input</t>
        </is>
      </c>
      <c r="F18" s="918" t="inlineStr">
        <is>
          <t>Separate named prudence margin</t>
        </is>
      </c>
    </row>
    <row r="19">
      <c r="A19" s="918" t="inlineStr">
        <is>
          <t>NATION_STATE_ACTIVITY</t>
        </is>
      </c>
      <c r="B19" s="926" t="n">
        <v>1</v>
      </c>
      <c r="C19" s="918" t="inlineStr">
        <is>
          <t>multiplier</t>
        </is>
      </c>
      <c r="D19" s="918" t="inlineStr">
        <is>
          <t>Actor-specific activity adjustment</t>
        </is>
      </c>
      <c r="E19" s="918" t="inlineStr">
        <is>
          <t>User input</t>
        </is>
      </c>
      <c r="F19" s="918" t="inlineStr">
        <is>
          <t>Client threat intelligence</t>
        </is>
      </c>
    </row>
    <row r="20">
      <c r="A20" s="918" t="inlineStr">
        <is>
          <t>CYBERCRIMINAL_ACTIVITY</t>
        </is>
      </c>
      <c r="B20" s="926" t="n">
        <v>1</v>
      </c>
      <c r="C20" s="918" t="inlineStr">
        <is>
          <t>multiplier</t>
        </is>
      </c>
      <c r="D20" s="918" t="inlineStr">
        <is>
          <t>Actor-specific activity adjustment</t>
        </is>
      </c>
      <c r="E20" s="918" t="inlineStr">
        <is>
          <t>User input</t>
        </is>
      </c>
      <c r="F20" s="918" t="inlineStr">
        <is>
          <t>Client threat intelligence</t>
        </is>
      </c>
    </row>
    <row r="21">
      <c r="A21" s="918" t="inlineStr">
        <is>
          <t>MALICIOUS_INSIDER_ACTIVITY</t>
        </is>
      </c>
      <c r="B21" s="926" t="n">
        <v>1</v>
      </c>
      <c r="C21" s="918" t="inlineStr">
        <is>
          <t>multiplier</t>
        </is>
      </c>
      <c r="D21" s="918" t="inlineStr">
        <is>
          <t>Actor-specific activity adjustment</t>
        </is>
      </c>
      <c r="E21" s="918" t="inlineStr">
        <is>
          <t>User input</t>
        </is>
      </c>
      <c r="F21" s="918" t="inlineStr">
        <is>
          <t>Client threat intelligence</t>
        </is>
      </c>
    </row>
    <row r="22">
      <c r="A22" s="918" t="inlineStr">
        <is>
          <t>HACKTIVIST_ACTIVITY</t>
        </is>
      </c>
      <c r="B22" s="926" t="n">
        <v>1</v>
      </c>
      <c r="C22" s="918" t="inlineStr">
        <is>
          <t>multiplier</t>
        </is>
      </c>
      <c r="D22" s="918" t="inlineStr">
        <is>
          <t>Actor-specific activity adjustment</t>
        </is>
      </c>
      <c r="E22" s="918" t="inlineStr">
        <is>
          <t>User input</t>
        </is>
      </c>
      <c r="F22" s="918" t="inlineStr">
        <is>
          <t>Client threat intelligence</t>
        </is>
      </c>
    </row>
    <row r="23">
      <c r="A23" s="918" t="n"/>
      <c r="B23" s="918" t="n"/>
      <c r="C23" s="918" t="n"/>
      <c r="D23" s="918" t="n"/>
      <c r="E23" s="918" t="n"/>
      <c r="F23" s="918" t="n"/>
    </row>
    <row r="24">
      <c r="A24" s="918" t="n"/>
      <c r="B24" s="918" t="n"/>
      <c r="C24" s="918" t="n"/>
      <c r="D24" s="918" t="n"/>
      <c r="E24" s="918" t="n"/>
      <c r="F24" s="918" t="n"/>
    </row>
    <row r="25">
      <c r="A25" s="918" t="inlineStr">
        <is>
          <t>RESOLVED PACK FREQUENCY</t>
        </is>
      </c>
      <c r="B25" s="918" t="n"/>
      <c r="C25" s="918" t="n"/>
      <c r="D25" s="918" t="n"/>
      <c r="E25" s="918" t="n"/>
      <c r="F25" s="918" t="n"/>
    </row>
    <row r="26">
      <c r="A26" s="918" t="inlineStr">
        <is>
          <t>REFERENCE_CAMPAIGNS_PER_YEAR</t>
        </is>
      </c>
      <c r="B26" s="918" t="n">
        <v>1</v>
      </c>
      <c r="C26" s="918" t="inlineStr">
        <is>
          <t>campaigns/org-year</t>
        </is>
      </c>
      <c r="D26" s="918" t="inlineStr">
        <is>
          <t>Loaded from selected sector pack</t>
        </is>
      </c>
      <c r="E26" s="918" t="inlineStr">
        <is>
          <t>Engine output</t>
        </is>
      </c>
      <c r="F26" s="918" t="inlineStr">
        <is>
          <t>Development working prior</t>
        </is>
      </c>
    </row>
    <row r="27">
      <c r="A27" s="918" t="inlineStr">
        <is>
          <t>PACK_WEIGHTED_ACTIVITY</t>
        </is>
      </c>
      <c r="B27" s="918" t="n">
        <v>1</v>
      </c>
      <c r="C27" s="918" t="inlineStr">
        <is>
          <t>multiplier</t>
        </is>
      </c>
      <c r="D27" s="918" t="inlineStr">
        <is>
          <t>Σ(actor weight × actor activity)</t>
        </is>
      </c>
      <c r="E27" s="918" t="inlineStr">
        <is>
          <t>Engine output</t>
        </is>
      </c>
      <c r="F27" s="918" t="inlineStr">
        <is>
          <t>Calculation</t>
        </is>
      </c>
    </row>
    <row r="28">
      <c r="A28" s="918" t="inlineStr">
        <is>
          <t>BEST_ESTIMATE_LAMBDA</t>
        </is>
      </c>
      <c r="B28" s="918" t="n">
        <v>1</v>
      </c>
      <c r="C28" s="918" t="inlineStr">
        <is>
          <t>campaigns/org-year</t>
        </is>
      </c>
      <c r="D28" s="918" t="inlineStr">
        <is>
          <t>Reference × organisation × geography × weighted activity</t>
        </is>
      </c>
      <c r="E28" s="918" t="inlineStr">
        <is>
          <t>Engine output</t>
        </is>
      </c>
      <c r="F28" s="918" t="inlineStr">
        <is>
          <t>Calculation</t>
        </is>
      </c>
    </row>
    <row r="29">
      <c r="A29" s="918" t="inlineStr">
        <is>
          <t>PRUDENT_LAMBDA</t>
        </is>
      </c>
      <c r="B29" s="918" t="n">
        <v>1.25</v>
      </c>
      <c r="C29" s="918" t="inlineStr">
        <is>
          <t>campaigns/org-year</t>
        </is>
      </c>
      <c r="D29" s="918" t="inlineStr">
        <is>
          <t>Best estimate × prudence factor</t>
        </is>
      </c>
      <c r="E29" s="918" t="inlineStr">
        <is>
          <t>Engine output</t>
        </is>
      </c>
      <c r="F29" s="918" t="inlineStr">
        <is>
          <t>Calculation</t>
        </is>
      </c>
    </row>
    <row r="30">
      <c r="A30" s="918" t="inlineStr">
        <is>
          <t>ACTIVE_ROUTE_OPPORTUNITY</t>
        </is>
      </c>
      <c r="B30" s="918" t="n">
        <v>1</v>
      </c>
      <c r="C30" s="918" t="inlineStr">
        <is>
          <t>multiplier</t>
        </is>
      </c>
      <c r="D30" s="918" t="inlineStr">
        <is>
          <t>Resulting route-level exposure effect</t>
        </is>
      </c>
      <c r="E30" s="918" t="inlineStr">
        <is>
          <t>Engine output</t>
        </is>
      </c>
      <c r="F30" s="918" t="inlineStr">
        <is>
          <t>Calculation</t>
        </is>
      </c>
    </row>
    <row r="31">
      <c r="A31" s="918" t="n"/>
      <c r="B31" s="918" t="n"/>
      <c r="C31" s="918" t="n"/>
      <c r="D31" s="918" t="n"/>
      <c r="E31" s="918" t="n"/>
      <c r="F31" s="918" t="n"/>
    </row>
    <row r="32">
      <c r="A32" s="918" t="n"/>
      <c r="B32" s="918" t="n"/>
      <c r="C32" s="918" t="n"/>
      <c r="D32" s="918" t="n"/>
      <c r="E32" s="918" t="n"/>
      <c r="F32" s="918" t="n"/>
    </row>
  </sheetData>
  <pageMargins left="0.7" right="0.7" top="0.75" bottom="0.75" header="0.3" footer="0.3"/>
</worksheet>
</file>

<file path=xl/worksheets/sheet24.xml><?xml version="1.0" encoding="utf-8"?>
<worksheet xmlns="http://schemas.openxmlformats.org/spreadsheetml/2006/main">
  <sheetPr>
    <tabColor rgb="0000B0F0"/>
    <outlinePr summaryBelow="1" summaryRight="1"/>
    <pageSetUpPr/>
  </sheetPr>
  <dimension ref="A1:F22"/>
  <sheetViews>
    <sheetView workbookViewId="0">
      <selection activeCell="A1" sqref="A1"/>
    </sheetView>
  </sheetViews>
  <sheetFormatPr baseColWidth="8" defaultRowHeight="15"/>
  <cols>
    <col width="24" customWidth="1" style="508" min="1" max="1"/>
    <col width="20" customWidth="1" style="508" min="2" max="2"/>
    <col width="26" customWidth="1" style="508" min="3" max="3"/>
    <col width="26" customWidth="1" style="508" min="4" max="4"/>
    <col width="26" customWidth="1" style="508" min="5" max="5"/>
    <col width="26" customWidth="1" style="508" min="6" max="6"/>
    <col width="14" customWidth="1" style="508" min="7" max="7"/>
    <col width="14" customWidth="1" style="508" min="8" max="8"/>
    <col width="14" customWidth="1" style="508" min="9" max="9"/>
    <col width="14" customWidth="1" style="508" min="10" max="10"/>
    <col width="14" customWidth="1" style="508" min="11" max="11"/>
    <col width="14" customWidth="1" style="508" min="12" max="12"/>
    <col width="14" customWidth="1" style="508" min="13" max="13"/>
    <col width="14" customWidth="1" style="508" min="14" max="14"/>
    <col width="14" customWidth="1" style="508" min="15" max="15"/>
    <col width="14" customWidth="1" style="508" min="16" max="16"/>
    <col width="14" customWidth="1" style="508" min="17" max="17"/>
    <col width="14" customWidth="1" style="508" min="18" max="18"/>
    <col width="14" customWidth="1" style="508" min="19" max="19"/>
    <col width="14" customWidth="1" style="508" min="20" max="20"/>
    <col width="14" customWidth="1" style="508" min="21" max="21"/>
    <col width="14" customWidth="1" style="508" min="22" max="22"/>
    <col width="14" customWidth="1" style="508" min="23" max="23"/>
    <col width="14" customWidth="1" style="508" min="24" max="24"/>
    <col width="14" customWidth="1" style="508" min="25" max="25"/>
    <col width="14" customWidth="1" style="508" min="26" max="26"/>
  </cols>
  <sheetData>
    <row r="1">
      <c r="A1" s="920" t="inlineStr">
        <is>
          <t>08 — Tail-Risk and Reporting Settings</t>
        </is>
      </c>
      <c r="B1" s="920" t="n"/>
      <c r="C1" s="920" t="n"/>
      <c r="D1" s="920" t="n"/>
      <c r="E1" s="920" t="n"/>
      <c r="F1" s="920" t="n"/>
    </row>
    <row r="2">
      <c r="A2" s="918" t="inlineStr">
        <is>
          <t>User-selected tail metric and insurance retention; both best-estimate and prudent views remain available.</t>
        </is>
      </c>
      <c r="B2" s="918" t="n"/>
      <c r="C2" s="918" t="n"/>
      <c r="D2" s="918" t="n"/>
      <c r="E2" s="918" t="n"/>
      <c r="F2" s="918" t="n"/>
    </row>
    <row r="3">
      <c r="A3" s="1029">
        <f>IF('00 COMMON - Run Setup'!C6="IT","FILL this sheet — IT assessment.","Not used for this run. Complete the OT assessment section only.")</f>
        <v/>
      </c>
      <c r="B3" s="918" t="n"/>
      <c r="C3" s="918" t="n"/>
      <c r="D3" s="918" t="n"/>
      <c r="E3" s="918" t="n"/>
      <c r="F3" s="918" t="n"/>
    </row>
    <row r="4">
      <c r="A4" s="918" t="inlineStr">
        <is>
          <t>Set reporting basis (Best Estimate vs Prudent), TVaR 95 vs TVaR 99, and illustrative insurance retention here. 00 Risk Transfer, the executive dashboard Basis, and the IT engine all read these three cells.</t>
        </is>
      </c>
      <c r="B4" s="918" t="n"/>
      <c r="C4" s="918" t="n"/>
      <c r="D4" s="918" t="n"/>
      <c r="E4" s="918" t="n"/>
      <c r="F4" s="918" t="n"/>
    </row>
    <row r="5">
      <c r="A5" s="918" t="n"/>
      <c r="B5" s="918" t="n"/>
      <c r="C5" s="918" t="n"/>
      <c r="D5" s="918" t="n"/>
      <c r="E5" s="918" t="n"/>
      <c r="F5" s="918" t="n"/>
    </row>
    <row r="6">
      <c r="A6" s="918" t="n"/>
      <c r="B6" s="918" t="n"/>
      <c r="C6" s="918" t="n"/>
      <c r="D6" s="918" t="n"/>
      <c r="E6" s="918" t="n"/>
      <c r="F6" s="918" t="n"/>
    </row>
    <row r="7">
      <c r="A7" s="918" t="n"/>
      <c r="B7" s="918" t="n"/>
      <c r="C7" s="918" t="n"/>
      <c r="D7" s="918" t="n"/>
      <c r="E7" s="918" t="n"/>
      <c r="F7" s="918" t="n"/>
    </row>
    <row r="8">
      <c r="A8" s="918" t="n"/>
      <c r="B8" s="918" t="n"/>
      <c r="C8" s="918" t="n"/>
      <c r="D8" s="918" t="n"/>
      <c r="E8" s="918" t="n"/>
      <c r="F8" s="918" t="n"/>
    </row>
    <row r="9">
      <c r="A9" s="918" t="n"/>
      <c r="B9" s="918" t="n"/>
      <c r="C9" s="918" t="n"/>
      <c r="D9" s="918" t="n"/>
      <c r="E9" s="918" t="n"/>
      <c r="F9" s="918" t="n"/>
    </row>
    <row r="10">
      <c r="A10" s="918" t="n"/>
      <c r="B10" s="918" t="n"/>
      <c r="C10" s="918" t="n"/>
      <c r="D10" s="918" t="n"/>
      <c r="E10" s="918" t="n"/>
      <c r="F10" s="918" t="n"/>
    </row>
    <row r="11">
      <c r="A11" s="918" t="n"/>
      <c r="B11" s="918" t="n"/>
      <c r="C11" s="918" t="n"/>
      <c r="D11" s="918" t="n"/>
      <c r="E11" s="918" t="n"/>
      <c r="F11" s="918" t="n"/>
    </row>
    <row r="12">
      <c r="A12" s="918" t="n"/>
      <c r="B12" s="918" t="n"/>
      <c r="C12" s="918" t="n"/>
      <c r="D12" s="918" t="n"/>
      <c r="E12" s="918" t="n"/>
      <c r="F12" s="918" t="n"/>
    </row>
    <row r="13">
      <c r="A13" s="918" t="n"/>
      <c r="B13" s="918" t="n"/>
      <c r="C13" s="918" t="n"/>
      <c r="D13" s="918" t="n"/>
      <c r="E13" s="918" t="n"/>
      <c r="F13" s="918" t="n"/>
    </row>
    <row r="14">
      <c r="A14" s="918" t="n"/>
      <c r="B14" s="918" t="n"/>
      <c r="C14" s="918" t="n"/>
      <c r="D14" s="918" t="n"/>
      <c r="E14" s="918" t="n"/>
      <c r="F14" s="918" t="n"/>
    </row>
    <row r="15" ht="30" customHeight="1" s="508">
      <c r="A15" s="851" t="inlineStr">
        <is>
          <t>Parameter</t>
        </is>
      </c>
      <c r="B15" s="851" t="inlineStr">
        <is>
          <t>Value</t>
        </is>
      </c>
      <c r="C15" s="851" t="inlineStr">
        <is>
          <t>Type</t>
        </is>
      </c>
      <c r="D15" s="851" t="inlineStr">
        <is>
          <t>How used</t>
        </is>
      </c>
      <c r="E15" s="851" t="inlineStr">
        <is>
          <t>Status</t>
        </is>
      </c>
      <c r="F15" s="851" t="inlineStr">
        <is>
          <t>Notes</t>
        </is>
      </c>
    </row>
    <row r="16">
      <c r="A16" s="918" t="inlineStr">
        <is>
          <t>REPORTING_VIEW</t>
        </is>
      </c>
      <c r="B16" s="926" t="inlineStr">
        <is>
          <t>Prudent</t>
        </is>
      </c>
      <c r="C16" s="918" t="inlineStr">
        <is>
          <t>Dropdown</t>
        </is>
      </c>
      <c r="D16" s="918" t="inlineStr">
        <is>
          <t>Detailed-sheet presentation</t>
        </is>
      </c>
      <c r="E16" s="918" t="inlineStr">
        <is>
          <t>User input</t>
        </is>
      </c>
      <c r="F16" s="918" t="inlineStr">
        <is>
          <t>Executive summary always shows both views</t>
        </is>
      </c>
    </row>
    <row r="17">
      <c r="A17" s="918" t="inlineStr">
        <is>
          <t>TVAR_SELECTION</t>
        </is>
      </c>
      <c r="B17" s="926" t="inlineStr">
        <is>
          <t>TVaR 99%</t>
        </is>
      </c>
      <c r="C17" s="918" t="inlineStr">
        <is>
          <t>Dropdown</t>
        </is>
      </c>
      <c r="D17" s="918" t="inlineStr">
        <is>
          <t>Selected tail metric</t>
        </is>
      </c>
      <c r="E17" s="918" t="inlineStr">
        <is>
          <t>User input</t>
        </is>
      </c>
      <c r="F17" s="918" t="inlineStr">
        <is>
          <t>Does not alter the simulated distribution</t>
        </is>
      </c>
    </row>
    <row r="18">
      <c r="A18" s="918" t="inlineStr">
        <is>
          <t>INSURANCE_RETENTION</t>
        </is>
      </c>
      <c r="B18" s="926" t="n">
        <v>0</v>
      </c>
      <c r="C18" s="918" t="inlineStr">
        <is>
          <t>Currency</t>
        </is>
      </c>
      <c r="D18" s="918" t="inlineStr">
        <is>
          <t>Tail loss above retention</t>
        </is>
      </c>
      <c r="E18" s="918" t="inlineStr">
        <is>
          <t>User input</t>
        </is>
      </c>
      <c r="F18" s="918" t="inlineStr">
        <is>
          <t>Indicative risk-transfer view only</t>
        </is>
      </c>
    </row>
    <row r="19">
      <c r="A19" s="918" t="inlineStr">
        <is>
          <t>LEC_RETURN_PERIODS</t>
        </is>
      </c>
      <c r="B19" s="918" t="inlineStr">
        <is>
          <t>2,5,10,20,25,50,100,200,250,500</t>
        </is>
      </c>
      <c r="C19" s="918" t="inlineStr">
        <is>
          <t>Text</t>
        </is>
      </c>
      <c r="D19" s="918" t="inlineStr">
        <is>
          <t>AEP/OEP curve points</t>
        </is>
      </c>
      <c r="E19" s="918" t="inlineStr">
        <is>
          <t>Model setting</t>
        </is>
      </c>
      <c r="F19" s="918" t="inlineStr">
        <is>
          <t>Fixed engine-supported list</t>
        </is>
      </c>
    </row>
    <row r="20">
      <c r="A20" s="918" t="n"/>
      <c r="B20" s="918" t="n"/>
      <c r="C20" s="918" t="n"/>
      <c r="D20" s="918" t="n"/>
      <c r="E20" s="918" t="n"/>
      <c r="F20" s="918" t="n"/>
    </row>
    <row r="21">
      <c r="A21" s="918" t="n"/>
      <c r="B21" s="918" t="n"/>
      <c r="C21" s="918" t="n"/>
      <c r="D21" s="918" t="n"/>
      <c r="E21" s="918" t="n"/>
      <c r="F21" s="918" t="n"/>
    </row>
    <row r="22">
      <c r="A22" s="918" t="n"/>
      <c r="B22" s="918" t="n"/>
      <c r="C22" s="918" t="n"/>
      <c r="D22" s="918" t="n"/>
      <c r="E22" s="918" t="n"/>
      <c r="F22" s="918" t="n"/>
    </row>
  </sheetData>
  <dataValidations count="2">
    <dataValidation sqref="B16" showDropDown="0" showInputMessage="0" showErrorMessage="1" allowBlank="0" errorTitle="Invalid selection" error="Select a value from the list." type="list">
      <formula1>"Best Estimate,Prudent"</formula1>
    </dataValidation>
    <dataValidation sqref="B17" showDropDown="0" showInputMessage="0" showErrorMessage="1" allowBlank="0" errorTitle="Invalid selection" error="Select a value from the list." type="list">
      <formula1>"TVaR 95,TVaR 99"</formula1>
    </dataValidation>
  </dataValidations>
  <pageMargins left="0.7" right="0.7" top="0.75" bottom="0.75" header="0.3" footer="0.3"/>
</worksheet>
</file>

<file path=xl/worksheets/sheet25.xml><?xml version="1.0" encoding="utf-8"?>
<worksheet xmlns="http://schemas.openxmlformats.org/spreadsheetml/2006/main">
  <sheetPr>
    <tabColor rgb="007F7F7F"/>
    <outlinePr summaryBelow="1" summaryRight="1"/>
    <pageSetUpPr/>
  </sheetPr>
  <dimension ref="A1:F3"/>
  <sheetViews>
    <sheetView workbookViewId="0">
      <selection activeCell="A1" sqref="A1"/>
    </sheetView>
  </sheetViews>
  <sheetFormatPr baseColWidth="8" defaultRowHeight="15"/>
  <cols>
    <col width="28" customWidth="1" style="508" min="1" max="1"/>
  </cols>
  <sheetData>
    <row r="1">
      <c r="A1" s="1024" t="inlineStr">
        <is>
          <t>FILL OT assessment only</t>
        </is>
      </c>
    </row>
    <row r="3" ht="48" customHeight="1" s="508">
      <c r="A3" s="1025">
        <f>IF('00 COMMON - Run Setup'!C6="OT","FILL the purple OT tabs. Ignore FILL IT.","Not used for this run.")</f>
        <v/>
      </c>
    </row>
  </sheetData>
  <mergeCells count="2">
    <mergeCell ref="A1:F1"/>
    <mergeCell ref="A3:F3"/>
  </mergeCells>
  <pageMargins left="0.75" right="0.75" top="1" bottom="1" header="0.5" footer="0.5"/>
</worksheet>
</file>

<file path=xl/worksheets/sheet26.xml><?xml version="1.0" encoding="utf-8"?>
<worksheet xmlns="http://schemas.openxmlformats.org/spreadsheetml/2006/main">
  <sheetPr>
    <tabColor rgb="007030A0"/>
    <outlinePr summaryBelow="1" summaryRight="1"/>
    <pageSetUpPr/>
  </sheetPr>
  <dimension ref="A1:F37"/>
  <sheetViews>
    <sheetView showGridLines="1" workbookViewId="0">
      <selection activeCell="A1" sqref="A1"/>
    </sheetView>
  </sheetViews>
  <sheetFormatPr baseColWidth="8" defaultColWidth="8.6796875" defaultRowHeight="15"/>
  <cols>
    <col width="25" customWidth="1" style="972" min="1" max="1"/>
    <col width="40" customWidth="1" style="972" min="2" max="2"/>
    <col width="25" customWidth="1" style="972" min="3" max="3"/>
    <col width="16" customWidth="1" style="972" min="4" max="4"/>
    <col width="48" customWidth="1" style="972" min="5" max="5"/>
    <col width="30" customWidth="1" style="972" min="6" max="6"/>
  </cols>
  <sheetData>
    <row r="1" ht="21.75" customHeight="1" s="508">
      <c r="A1" s="413" t="inlineStr">
        <is>
          <t>03 — Facility Inputs</t>
        </is>
      </c>
    </row>
    <row r="2" ht="37.5" customHeight="1" s="508">
      <c r="A2" s="402" t="inlineStr">
        <is>
          <t>Purpose: Capture the facility-level unit of analysis, selected sector/asset pack, and architecture/access-route characteristics that affect exposure and TTP feasibility.</t>
        </is>
      </c>
    </row>
    <row r="3" ht="37.5" customHeight="1" s="508">
      <c r="A3" s="1031">
        <f>IF('00 COMMON - Run Setup'!C6="OT","FILL this sheet — OT assessment.","Not used for this run. Complete the IT assessment section only.")</f>
        <v/>
      </c>
    </row>
    <row r="4" ht="21.75" customHeight="1" s="508">
      <c r="A4" s="414" t="inlineStr">
        <is>
          <t>SHEET TYPE: USER INPUT</t>
        </is>
      </c>
    </row>
    <row r="5" ht="21.75" customHeight="1" s="508">
      <c r="A5" s="405" t="inlineStr">
        <is>
          <t>Inputs / upstream sources</t>
        </is>
      </c>
    </row>
    <row r="6" ht="30" customHeight="1" s="508">
      <c r="A6" s="406" t="inlineStr">
        <is>
          <t>Client architecture, engineering, operating model and facility information.</t>
        </is>
      </c>
    </row>
    <row r="7" ht="30" customHeight="1" s="508">
      <c r="A7" s="405" t="inlineStr">
        <is>
          <t>Calculation / decision logic</t>
        </is>
      </c>
    </row>
    <row r="8" ht="30" customHeight="1" s="508">
      <c r="A8" s="406" t="inlineStr">
        <is>
          <t>Facility inputs feed three mechanisms: (1) pack resolution on 28, (2) feasibility gates on 12, and (3) facility exposure on 06. Financial severity changes only through explicit BIA inputs on 05.</t>
        </is>
      </c>
    </row>
    <row r="9" ht="30" customHeight="1" s="508">
      <c r="A9" s="405" t="inlineStr">
        <is>
          <t>Key assumptions / defaults</t>
        </is>
      </c>
    </row>
    <row r="10" ht="30" customHeight="1" s="508">
      <c r="A10" s="406" t="inlineStr">
        <is>
          <t>The unit of analysis is one facility. Asset type must belong to the selected sector. TTPs with no explicit sector or facility gate default to applicable/feasible and remain visible for review.</t>
        </is>
      </c>
    </row>
    <row r="11" ht="30" customHeight="1" s="508">
      <c r="A11" s="405" t="inlineStr">
        <is>
          <t>Outputs / downstream use</t>
        </is>
      </c>
    </row>
    <row r="12" ht="30" customHeight="1" s="508">
      <c r="A12" s="406" t="inlineStr">
        <is>
          <t>Used by 06 Frequency Assumptions, 12 Facility Feasibility, 14 TTP Relevance Calc, 28–29 sector-pack sheets and the Python engine.</t>
        </is>
      </c>
    </row>
    <row r="13" ht="30" customHeight="1" s="508">
      <c r="A13" s="407" t="inlineStr">
        <is>
          <t>Workbook convention: yellow cells / blue font are editable inputs or calibration assumptions; engine-output cells are not manually editable.</t>
        </is>
      </c>
    </row>
    <row r="15" ht="15" customHeight="1" s="508">
      <c r="A15" s="408" t="inlineStr">
        <is>
          <t>Input</t>
        </is>
      </c>
      <c r="B15" s="408" t="inlineStr">
        <is>
          <t>Question</t>
        </is>
      </c>
      <c r="C15" s="408" t="inlineStr">
        <is>
          <t>Value</t>
        </is>
      </c>
      <c r="D15" s="408" t="inlineStr">
        <is>
          <t>Type</t>
        </is>
      </c>
      <c r="E15" s="408" t="inlineStr">
        <is>
          <t>How the model uses it</t>
        </is>
      </c>
      <c r="F15" s="408" t="inlineStr">
        <is>
          <t>Basis / evidence</t>
        </is>
      </c>
    </row>
    <row r="16" ht="15" customHeight="1" s="508">
      <c r="A16" s="406" t="inlineStr">
        <is>
          <t>ASSESSMENT_ID</t>
        </is>
      </c>
      <c r="B16" s="406" t="inlineStr">
        <is>
          <t>Assessment reference</t>
        </is>
      </c>
      <c r="C16" s="415" t="inlineStr">
        <is>
          <t>PlantA</t>
        </is>
      </c>
      <c r="D16" s="406" t="inlineStr">
        <is>
          <t>Text</t>
        </is>
      </c>
      <c r="E16" s="406" t="inlineStr">
        <is>
          <t>Reporting / traceability</t>
        </is>
      </c>
      <c r="F16" s="406" t="inlineStr">
        <is>
          <t>Client</t>
        </is>
      </c>
    </row>
    <row r="17" ht="15" customHeight="1" s="508">
      <c r="A17" s="406" t="inlineStr">
        <is>
          <t>ORGANISATION</t>
        </is>
      </c>
      <c r="B17" s="406" t="inlineStr">
        <is>
          <t>Organisation</t>
        </is>
      </c>
      <c r="C17" s="415" t="inlineStr">
        <is>
          <t>Example Energy Co</t>
        </is>
      </c>
      <c r="D17" s="406" t="inlineStr">
        <is>
          <t>Text</t>
        </is>
      </c>
      <c r="E17" s="406" t="inlineStr">
        <is>
          <t>Reporting</t>
        </is>
      </c>
      <c r="F17" s="406" t="inlineStr">
        <is>
          <t>Client</t>
        </is>
      </c>
    </row>
    <row r="18" ht="15" customHeight="1" s="508">
      <c r="A18" s="406" t="inlineStr">
        <is>
          <t>FACILITY</t>
        </is>
      </c>
      <c r="B18" s="406" t="inlineStr">
        <is>
          <t>Facility / site</t>
        </is>
      </c>
      <c r="C18" s="415" t="inlineStr">
        <is>
          <t>Example Power Station</t>
        </is>
      </c>
      <c r="D18" s="406" t="inlineStr">
        <is>
          <t>Text</t>
        </is>
      </c>
      <c r="E18" s="406" t="inlineStr">
        <is>
          <t>Unit of analysis</t>
        </is>
      </c>
      <c r="F18" s="406" t="inlineStr">
        <is>
          <t>Client</t>
        </is>
      </c>
    </row>
    <row r="19" ht="15" customHeight="1" s="508">
      <c r="A19" s="406" t="inlineStr">
        <is>
          <t>COUNTRY_REGION</t>
        </is>
      </c>
      <c r="B19" s="406" t="inlineStr">
        <is>
          <t>Country / region</t>
        </is>
      </c>
      <c r="C19" s="144" t="inlineStr">
        <is>
          <t>UAE / GCC</t>
        </is>
      </c>
      <c r="D19" s="406" t="inlineStr">
        <is>
          <t>Dropdown</t>
        </is>
      </c>
      <c r="E19" s="406" t="inlineStr">
        <is>
          <t>Actor geography multiplier</t>
        </is>
      </c>
      <c r="F19" s="406" t="inlineStr">
        <is>
          <t>Client</t>
        </is>
      </c>
    </row>
    <row r="20" ht="15" customHeight="1" s="508">
      <c r="A20" s="406" t="inlineStr">
        <is>
          <t>SECTOR</t>
        </is>
      </c>
      <c r="B20" s="406" t="inlineStr">
        <is>
          <t>Sector</t>
        </is>
      </c>
      <c r="C20" s="415">
        <f>IF('00 COMMON - Run Setup'!C6="OT",'00 COMMON - Run Setup'!C6,"")</f>
        <v/>
      </c>
      <c r="D20" s="406" t="inlineStr">
        <is>
          <t>Dropdown</t>
        </is>
      </c>
      <c r="E20" s="406" t="inlineStr">
        <is>
          <t>Actor sector multiplier + pack selection</t>
        </is>
      </c>
      <c r="F20" s="406" t="inlineStr">
        <is>
          <t>Client</t>
        </is>
      </c>
    </row>
    <row r="21" ht="15" customHeight="1" s="508">
      <c r="A21" s="406" t="inlineStr">
        <is>
          <t>PLANT_TYPE</t>
        </is>
      </c>
      <c r="B21" s="406" t="inlineStr">
        <is>
          <t>Plant / asset type</t>
        </is>
      </c>
      <c r="C21" s="415">
        <f>IF('00 COMMON - Run Setup'!C6="OT",'00 COMMON - Run Setup'!C8,"")</f>
        <v/>
      </c>
      <c r="D21" s="406" t="inlineStr">
        <is>
          <t>Dropdown (filtered by Sector)</t>
        </is>
      </c>
      <c r="E21" s="406" t="inlineStr">
        <is>
          <t>Asset-pack context and frequency overlay. List is filtered by Sector.</t>
        </is>
      </c>
      <c r="F21" s="406" t="inlineStr">
        <is>
          <t>Client</t>
        </is>
      </c>
    </row>
    <row r="22" ht="27.75" customHeight="1" s="508">
      <c r="A22" s="406" t="inlineStr">
        <is>
          <t>CRITICAL_PROCESS</t>
        </is>
      </c>
      <c r="B22" s="406" t="inlineStr">
        <is>
          <t>Critical process / service</t>
        </is>
      </c>
      <c r="C22" s="415" t="inlineStr">
        <is>
          <t>Power generation and dispatch</t>
        </is>
      </c>
      <c r="D22" s="406" t="inlineStr">
        <is>
          <t>Text</t>
        </is>
      </c>
      <c r="E22" s="406" t="inlineStr">
        <is>
          <t>Scenario narrative / BIA scope</t>
        </is>
      </c>
      <c r="F22" s="406" t="inlineStr">
        <is>
          <t>Client</t>
        </is>
      </c>
    </row>
    <row r="23" ht="15" customHeight="1" s="508">
      <c r="A23" s="406" t="inlineStr">
        <is>
          <t>IT_OT_CONNECTIVITY</t>
        </is>
      </c>
      <c r="B23" s="406" t="inlineStr">
        <is>
          <t>Enterprise IT connected to OT?</t>
        </is>
      </c>
      <c r="C23" s="415" t="inlineStr">
        <is>
          <t>Yes</t>
        </is>
      </c>
      <c r="D23" s="406" t="inlineStr">
        <is>
          <t>Dropdown</t>
        </is>
      </c>
      <c r="E23" s="406" t="inlineStr">
        <is>
          <t>Exposure multiplier + remote/IT-OT feasibility</t>
        </is>
      </c>
      <c r="F23" s="406" t="inlineStr">
        <is>
          <t>Architecture</t>
        </is>
      </c>
    </row>
    <row r="24" ht="15" customHeight="1" s="508">
      <c r="A24" s="406" t="inlineStr">
        <is>
          <t>REMOTE_ACCESS</t>
        </is>
      </c>
      <c r="B24" s="406" t="inlineStr">
        <is>
          <t>Vendor / engineer remote access?</t>
        </is>
      </c>
      <c r="C24" s="415" t="inlineStr">
        <is>
          <t>Controlled</t>
        </is>
      </c>
      <c r="D24" s="406" t="inlineStr">
        <is>
          <t>Dropdown</t>
        </is>
      </c>
      <c r="E24" s="406" t="inlineStr">
        <is>
          <t>Exposure multiplier + remote TTP feasibility</t>
        </is>
      </c>
      <c r="F24" s="406" t="inlineStr">
        <is>
          <t>Architecture</t>
        </is>
      </c>
    </row>
    <row r="25" ht="15" customHeight="1" s="508">
      <c r="A25" s="406" t="inlineStr">
        <is>
          <t>INTERNET_OT</t>
        </is>
      </c>
      <c r="B25" s="406" t="inlineStr">
        <is>
          <t>Critical OT service internet-accessible?</t>
        </is>
      </c>
      <c r="C25" s="415" t="inlineStr">
        <is>
          <t>No</t>
        </is>
      </c>
      <c r="D25" s="406" t="inlineStr">
        <is>
          <t>Dropdown</t>
        </is>
      </c>
      <c r="E25" s="406" t="inlineStr">
        <is>
          <t>Exposure multiplier + internet TTP feasibility</t>
        </is>
      </c>
      <c r="F25" s="406" t="inlineStr">
        <is>
          <t>Architecture</t>
        </is>
      </c>
    </row>
    <row r="26" ht="15" customHeight="1" s="508">
      <c r="A26" s="406" t="inlineStr">
        <is>
          <t>TRANSIENT_ASSETS</t>
        </is>
      </c>
      <c r="B26" s="406" t="inlineStr">
        <is>
          <t>Transient / contractor devices permitted?</t>
        </is>
      </c>
      <c r="C26" s="415" t="inlineStr">
        <is>
          <t>Controlled</t>
        </is>
      </c>
      <c r="D26" s="406" t="inlineStr">
        <is>
          <t>Dropdown</t>
        </is>
      </c>
      <c r="E26" s="406" t="inlineStr">
        <is>
          <t>Exposure multiplier + removable-media feasibility</t>
        </is>
      </c>
      <c r="F26" s="406" t="inlineStr">
        <is>
          <t>Architecture</t>
        </is>
      </c>
    </row>
    <row r="27" ht="15" customHeight="1" s="508">
      <c r="A27" s="406" t="inlineStr">
        <is>
          <t>SUPPLY_CHAIN_ROUTE</t>
        </is>
      </c>
      <c r="B27" s="406" t="inlineStr">
        <is>
          <t>Trusted update / firmware route?</t>
        </is>
      </c>
      <c r="C27" s="415" t="inlineStr">
        <is>
          <t>Yes</t>
        </is>
      </c>
      <c r="D27" s="406" t="inlineStr">
        <is>
          <t>Dropdown</t>
        </is>
      </c>
      <c r="E27" s="406" t="inlineStr">
        <is>
          <t>Supply-chain TTP feasibility only; frequency multiplier is neutral.</t>
        </is>
      </c>
      <c r="F27" s="406" t="inlineStr">
        <is>
          <t>Architecture</t>
        </is>
      </c>
    </row>
    <row r="28" ht="15" customHeight="1" s="508">
      <c r="A28" s="406" t="inlineStr">
        <is>
          <t>WIRELESS_OT</t>
        </is>
      </c>
      <c r="B28" s="406" t="inlineStr">
        <is>
          <t>Wireless connectivity in OT?</t>
        </is>
      </c>
      <c r="C28" s="415" t="inlineStr">
        <is>
          <t>No</t>
        </is>
      </c>
      <c r="D28" s="406" t="inlineStr">
        <is>
          <t>Dropdown</t>
        </is>
      </c>
      <c r="E28" s="406" t="inlineStr">
        <is>
          <t>Wireless TTP feasibility only; frequency multiplier is neutral.</t>
        </is>
      </c>
      <c r="F28" s="406" t="inlineStr">
        <is>
          <t>Architecture</t>
        </is>
      </c>
    </row>
    <row r="29" ht="15" customHeight="1" s="508">
      <c r="A29" s="406" t="inlineStr">
        <is>
          <t>SAFETY_SYSTEM</t>
        </is>
      </c>
      <c r="B29" s="406" t="inlineStr">
        <is>
          <t>Safety / protection relationship</t>
        </is>
      </c>
      <c r="C29" s="415" t="inlineStr">
        <is>
          <t>Segregated</t>
        </is>
      </c>
      <c r="D29" s="406" t="inlineStr">
        <is>
          <t>Dropdown</t>
        </is>
      </c>
      <c r="E29" s="406" t="inlineStr">
        <is>
          <t>Safety scenario gate</t>
        </is>
      </c>
      <c r="F29" s="406" t="inlineStr">
        <is>
          <t>Engineering</t>
        </is>
      </c>
    </row>
    <row r="31">
      <c r="A31" s="634" t="inlineStr">
        <is>
          <t>RESOLVED SECTOR PACK</t>
        </is>
      </c>
    </row>
    <row r="32">
      <c r="A32" s="972" t="inlineStr">
        <is>
          <t>SECTOR_PACK_ID</t>
        </is>
      </c>
      <c r="B32" s="972" t="inlineStr">
        <is>
          <t>Resolved pack identifier</t>
        </is>
      </c>
      <c r="C32" s="378">
        <f>IFERROR(VLOOKUP(C20,'OT PACK - Loaded Registry'!$A$16:$H$18,2,FALSE),"UNRESOLVED")</f>
        <v/>
      </c>
      <c r="D32" s="972" t="inlineStr">
        <is>
          <t>Formula</t>
        </is>
      </c>
      <c r="E32" s="972" t="inlineStr">
        <is>
          <t>Traceability / engine pack selection</t>
        </is>
      </c>
      <c r="F32" s="972" t="inlineStr">
        <is>
          <t>28 Sector Pack Registry</t>
        </is>
      </c>
    </row>
    <row r="33">
      <c r="A33" s="972" t="inlineStr">
        <is>
          <t>SECTOR_PACK_STATUS</t>
        </is>
      </c>
      <c r="B33" s="972" t="inlineStr">
        <is>
          <t>Pack calibration status</t>
        </is>
      </c>
      <c r="C33" s="378">
        <f>IFERROR(VLOOKUP(C20,'OT PACK - Loaded Registry'!$A$16:$H$18,4,FALSE),"UNRESOLVED")</f>
        <v/>
      </c>
      <c r="D33" s="972" t="inlineStr">
        <is>
          <t>Formula</t>
        </is>
      </c>
      <c r="E33" s="972" t="inlineStr">
        <is>
          <t>Governance / production-use label</t>
        </is>
      </c>
      <c r="F33" s="972" t="inlineStr">
        <is>
          <t>28 Sector Pack Registry</t>
        </is>
      </c>
    </row>
    <row r="34">
      <c r="A34" s="972" t="inlineStr">
        <is>
          <t>ASSET_TYPE_VALID</t>
        </is>
      </c>
      <c r="B34" s="972" t="inlineStr">
        <is>
          <t>Asset type belongs to selected sector?</t>
        </is>
      </c>
      <c r="C34" s="378">
        <f>IF(COUNTIFS('OT PACK - Loaded Registry'!$A$25:$A$39,C20,'OT PACK - Loaded Registry'!$B$25:$B$39,C21)=1,"Yes","No")</f>
        <v/>
      </c>
      <c r="D34" s="972" t="inlineStr">
        <is>
          <t>Formula</t>
        </is>
      </c>
      <c r="E34" s="972" t="inlineStr">
        <is>
          <t>Fail-closed selection check</t>
        </is>
      </c>
      <c r="F34" s="972" t="inlineStr">
        <is>
          <t>28 Sector Pack Registry</t>
        </is>
      </c>
    </row>
    <row r="35" ht="36" customHeight="1" s="508">
      <c r="A35" s="972" t="inlineStr">
        <is>
          <t>SECTOR_FREQUENCY_TREATMENT</t>
        </is>
      </c>
      <c r="B35" s="972" t="inlineStr">
        <is>
          <t>Selected pack frequency treatment</t>
        </is>
      </c>
      <c r="C35" s="973">
        <f>IFERROR(VLOOKUP(C20,'OT PACK - Loaded Registry'!$A$16:$H$18,5,FALSE),"UNRESOLVED")</f>
        <v/>
      </c>
      <c r="D35" s="972" t="inlineStr">
        <is>
          <t>Formula</t>
        </is>
      </c>
      <c r="E35" s="972" t="inlineStr">
        <is>
          <t>Shows how sector pack modifies frequency context</t>
        </is>
      </c>
      <c r="F35" s="972" t="inlineStr">
        <is>
          <t>28 Sector Pack Registry</t>
        </is>
      </c>
    </row>
    <row r="36" ht="36" customHeight="1" s="508">
      <c r="A36" s="972" t="inlineStr">
        <is>
          <t>SECTOR_BIA_TREATMENT</t>
        </is>
      </c>
      <c r="B36" s="972" t="inlineStr">
        <is>
          <t>Selected pack BIA treatment</t>
        </is>
      </c>
      <c r="C36" s="973">
        <f>IFERROR(VLOOKUP(C20,'OT PACK - Loaded Registry'!$A$16:$H$18,6,FALSE),"UNRESOLVED")</f>
        <v/>
      </c>
      <c r="D36" s="972" t="inlineStr">
        <is>
          <t>Formula</t>
        </is>
      </c>
      <c r="E36" s="972" t="inlineStr">
        <is>
          <t>Shows sector-specific BIA guidance / extensions</t>
        </is>
      </c>
      <c r="F36" s="972" t="inlineStr">
        <is>
          <t>28 Sector Pack Registry</t>
        </is>
      </c>
    </row>
    <row r="37" ht="36" customHeight="1" s="508">
      <c r="A37" s="972" t="inlineStr">
        <is>
          <t>SECTOR_TTP_TREATMENT</t>
        </is>
      </c>
      <c r="B37" s="972" t="inlineStr">
        <is>
          <t>Selected pack TTP treatment</t>
        </is>
      </c>
      <c r="C37" s="973">
        <f>IFERROR(VLOOKUP(C20,'OT PACK - Loaded Registry'!$A$16:$H$18,7,FALSE),"UNRESOLVED")</f>
        <v/>
      </c>
      <c r="D37" s="972" t="inlineStr">
        <is>
          <t>Formula</t>
        </is>
      </c>
      <c r="E37" s="972" t="inlineStr">
        <is>
          <t>Shows sector-specific TTP governance</t>
        </is>
      </c>
      <c r="F37" s="972" t="inlineStr">
        <is>
          <t>28 Sector Pack Registry</t>
        </is>
      </c>
    </row>
  </sheetData>
  <mergeCells count="14">
    <mergeCell ref="A2:F2"/>
    <mergeCell ref="A11:F11"/>
    <mergeCell ref="A10:F10"/>
    <mergeCell ref="A13:F13"/>
    <mergeCell ref="A1:F1"/>
    <mergeCell ref="A5:F5"/>
    <mergeCell ref="A9:F9"/>
    <mergeCell ref="A8:F8"/>
    <mergeCell ref="A31:F31"/>
    <mergeCell ref="A6:F6"/>
    <mergeCell ref="A12:F12"/>
    <mergeCell ref="A4:F4"/>
    <mergeCell ref="A3:F3"/>
    <mergeCell ref="A7:F7"/>
  </mergeCells>
  <conditionalFormatting sqref="C34">
    <cfRule type="cellIs" priority="1" operator="equal" dxfId="0">
      <formula>"No"</formula>
    </cfRule>
  </conditionalFormatting>
  <dataValidations count="9">
    <dataValidation sqref="C20" showDropDown="0" showInputMessage="0" showErrorMessage="0" allowBlank="0" type="list" errorStyle="stop">
      <formula1>"Power Generation,Energy Assets,Manufacturing"</formula1>
    </dataValidation>
    <dataValidation sqref="C23" showDropDown="0" showInputMessage="0" showErrorMessage="0" allowBlank="0" type="list" errorStyle="stop" operator="between">
      <formula1>"Yes,No"</formula1>
      <formula2>0</formula2>
    </dataValidation>
    <dataValidation sqref="C24" showDropDown="0" showInputMessage="0" showErrorMessage="0" allowBlank="0" type="list" errorStyle="stop" operator="between">
      <formula1>"None,Controlled,Uncontrolled"</formula1>
      <formula2>0</formula2>
    </dataValidation>
    <dataValidation sqref="C25" showDropDown="0" showInputMessage="0" showErrorMessage="0" allowBlank="0" type="list" errorStyle="stop" operator="between">
      <formula1>"Yes,No"</formula1>
      <formula2>0</formula2>
    </dataValidation>
    <dataValidation sqref="C26" showDropDown="0" showInputMessage="0" showErrorMessage="0" allowBlank="0" type="list" errorStyle="stop" operator="between">
      <formula1>"None,Controlled,Unrestricted"</formula1>
      <formula2>0</formula2>
    </dataValidation>
    <dataValidation sqref="C27:C28" showDropDown="0" showInputMessage="0" showErrorMessage="0" allowBlank="0" type="list" errorStyle="stop" operator="between">
      <formula1>"Yes,No"</formula1>
      <formula2>0</formula2>
    </dataValidation>
    <dataValidation sqref="C29" showDropDown="0" showInputMessage="0" showErrorMessage="0" allowBlank="0" type="list" errorStyle="stop" operator="between">
      <formula1>"None,Segregated,Integrated"</formula1>
      <formula2>0</formula2>
    </dataValidation>
    <dataValidation sqref="C19" showDropDown="0" showInputMessage="0" showErrorMessage="0" allowBlank="0" type="list">
      <formula1>"UAE / GCC,UK / Europe,North America,Other"</formula1>
    </dataValidation>
    <dataValidation sqref="C21" showDropDown="0" showInputMessage="1" showErrorMessage="1" allowBlank="1" errorTitle="Asset type not in selected sector" error="Select a plant / asset type that belongs to the Sector chosen above." promptTitle="Plant / asset type" prompt="This list is filtered by Sector. Energy Assets shows only energy asset types." type="list" errorStyle="stop">
      <formula1>INDIRECT(SUBSTITUTE($C$20," ","_"))</formula1>
    </dataValidation>
  </dataValidations>
  <pageMargins left="0.7" right="0.7" top="0.75" bottom="0.75" header="0.3" footer="0.3"/>
  <legacyDrawing xmlns:r="http://schemas.openxmlformats.org/officeDocument/2006/relationships" r:id="anysvml"/>
</worksheet>
</file>

<file path=xl/worksheets/sheet27.xml><?xml version="1.0" encoding="utf-8"?>
<worksheet xmlns="http://schemas.openxmlformats.org/spreadsheetml/2006/main">
  <sheetPr>
    <tabColor rgb="007030A0"/>
    <outlinePr summaryBelow="1" summaryRight="1"/>
    <pageSetUpPr/>
  </sheetPr>
  <dimension ref="A1:L80"/>
  <sheetViews>
    <sheetView showGridLines="1" workbookViewId="0">
      <selection activeCell="A1" sqref="A1"/>
    </sheetView>
  </sheetViews>
  <sheetFormatPr baseColWidth="8" defaultColWidth="8.6796875" defaultRowHeight="15"/>
  <cols>
    <col width="20" customWidth="1" style="972" min="1" max="1"/>
    <col width="25" customWidth="1" style="972" min="2" max="2"/>
    <col width="20" customWidth="1" style="972" min="3" max="3"/>
    <col width="70" customWidth="1" style="972" min="4" max="4"/>
    <col width="16" customWidth="1" style="972" min="5" max="5"/>
    <col width="11" customWidth="1" style="972" min="6" max="6"/>
    <col width="16" customWidth="1" style="972" min="7" max="7"/>
    <col width="28" customWidth="1" style="972" min="8" max="8"/>
    <col width="16" customWidth="1" style="972" min="9" max="9"/>
    <col width="15" customWidth="1" style="972" min="10" max="10"/>
    <col width="18" customWidth="1" style="972" min="11" max="11"/>
    <col width="55" customWidth="1" style="972" min="12" max="12"/>
  </cols>
  <sheetData>
    <row r="1" ht="21.75" customHeight="1" s="508">
      <c r="A1" s="413" t="inlineStr">
        <is>
          <t>04 — Control Assessment</t>
        </is>
      </c>
    </row>
    <row r="2" ht="37.5" customHeight="1" s="508">
      <c r="A2" s="402" t="inlineStr">
        <is>
          <t>Purpose: Assess implementation quality and coverage for the controls used by the OT attack/consequence model.</t>
        </is>
      </c>
    </row>
    <row r="3" ht="37.5" customHeight="1" s="508">
      <c r="A3" s="1031">
        <f>IF('00 COMMON - Run Setup'!C6="OT","FILL this sheet — OT assessment.","Not used for this run. Complete the IT assessment section only.")</f>
        <v/>
      </c>
    </row>
    <row r="4" ht="21.75" customHeight="1" s="508">
      <c r="A4" s="414" t="inlineStr">
        <is>
          <t>SHEET TYPE: USER INPUT</t>
        </is>
      </c>
    </row>
    <row r="5" ht="21.75" customHeight="1" s="508">
      <c r="A5" s="405" t="inlineStr">
        <is>
          <t>Inputs / upstream sources</t>
        </is>
      </c>
    </row>
    <row r="6" ht="30" customHeight="1" s="508">
      <c r="A6" s="406" t="inlineStr">
        <is>
          <t>Control inventory plus assessor evidence. Maturity factors and default coverage are linked to 07 Control Assumptions.</t>
        </is>
      </c>
    </row>
    <row r="7" ht="30" customHeight="1" s="508">
      <c r="A7" s="405" t="inlineStr">
        <is>
          <t>Calculation / decision logic</t>
        </is>
      </c>
    </row>
    <row r="8" ht="30" customHeight="1" s="508">
      <c r="A8" s="406" t="inlineStr">
        <is>
          <t>Maturity Factor = lookup(Maturity). Not Assessed → Developing. Coverage Used = user coverage if supplied, otherwise DEFAULT_COVERAGE. Implementation Factor = Maturity Factor × Coverage Used. Actual TTP-control efficacy is calculated on 13 TTP-Control Map.</t>
        </is>
      </c>
    </row>
    <row r="9" ht="30" customHeight="1" s="508">
      <c r="A9" s="405" t="inlineStr">
        <is>
          <t>Key assumptions / defaults</t>
        </is>
      </c>
    </row>
    <row r="10" ht="30" customHeight="1" s="508">
      <c r="A10" s="406" t="inlineStr">
        <is>
          <t>Maturity factors: 0 / 0.25 / 0.50 / 0.75 / 0.95. Default coverage = 75%. Maturity deliberately excludes coverage language to avoid double counting.</t>
        </is>
      </c>
    </row>
    <row r="11" ht="30" customHeight="1" s="508">
      <c r="A11" s="405" t="inlineStr">
        <is>
          <t>Outputs / downstream use</t>
        </is>
      </c>
    </row>
    <row r="12" ht="30" customHeight="1" s="508">
      <c r="A12" s="406" t="inlineStr">
        <is>
          <t>Feeds 13 TTP-Control Map and all downstream attack-path / consequence control adjustments.</t>
        </is>
      </c>
    </row>
    <row r="13" ht="30" customHeight="1" s="508">
      <c r="A13" s="407" t="inlineStr">
        <is>
          <t>Workbook convention: yellow cells / blue font are editable inputs or calibration assumptions; engine-output cells are not manually editable.</t>
        </is>
      </c>
    </row>
    <row r="15" ht="15" customHeight="1" s="508">
      <c r="A15" s="408" t="inlineStr">
        <is>
          <t>Control ID</t>
        </is>
      </c>
      <c r="B15" s="408" t="inlineStr">
        <is>
          <t>Control</t>
        </is>
      </c>
      <c r="C15" s="408" t="inlineStr">
        <is>
          <t>Channel</t>
        </is>
      </c>
      <c r="D15" s="408" t="inlineStr">
        <is>
          <t>Maturity</t>
        </is>
      </c>
      <c r="E15" s="408" t="inlineStr">
        <is>
          <t>Coverage (user)</t>
        </is>
      </c>
      <c r="F15" s="408" t="inlineStr">
        <is>
          <t>Tested?</t>
        </is>
      </c>
      <c r="G15" s="408" t="inlineStr">
        <is>
          <t>Test result</t>
        </is>
      </c>
      <c r="H15" s="408" t="inlineStr">
        <is>
          <t>Evidence reference</t>
        </is>
      </c>
      <c r="I15" s="408" t="inlineStr">
        <is>
          <t>Maturity factor</t>
        </is>
      </c>
      <c r="J15" s="408" t="inlineStr">
        <is>
          <t>Coverage used</t>
        </is>
      </c>
      <c r="K15" s="408" t="inlineStr">
        <is>
          <t>Implementation factor</t>
        </is>
      </c>
      <c r="L15" s="408" t="inlineStr">
        <is>
          <t>How used</t>
        </is>
      </c>
    </row>
    <row r="16" ht="54.75" customHeight="1" s="508">
      <c r="A16" s="406" t="inlineStr">
        <is>
          <t>M0801</t>
        </is>
      </c>
      <c r="B16" s="406" t="inlineStr">
        <is>
          <t>Access Management</t>
        </is>
      </c>
      <c r="C16" s="406" t="inlineStr">
        <is>
          <t>Prevent / Resist</t>
        </is>
      </c>
      <c r="D16" s="416" t="inlineStr">
        <is>
          <t>Managed</t>
        </is>
      </c>
      <c r="E16" s="417" t="n"/>
      <c r="F16" s="416" t="inlineStr">
        <is>
          <t>No</t>
        </is>
      </c>
      <c r="G16" s="416" t="inlineStr">
        <is>
          <t>n/a</t>
        </is>
      </c>
      <c r="H16" s="416" t="n"/>
      <c r="I16" s="418">
        <f>IF(D16="Not Assessed",INDEX('OT CORE - Control Method'!$B$16:$B$20,MATCH("Developing",'OT CORE - Control Method'!$A$16:$A$20,0)),INDEX('OT CORE - Control Method'!$B$16:$B$20,MATCH(D16,'OT CORE - Control Method'!$A$16:$A$20,0)))</f>
        <v/>
      </c>
      <c r="J16" s="418">
        <f>IF(E16="",INDEX('OT CORE - Control Method'!$B$26:$B$34,MATCH("DEFAULT_COVERAGE",'OT CORE - Control Method'!$A$26:$A$34,0)),E16)</f>
        <v/>
      </c>
      <c r="K16" s="418">
        <f>I16*J16</f>
        <v/>
      </c>
      <c r="L16" s="406" t="inlineStr">
        <is>
          <t>Maturity represents implementation/operating quality. Coverage represents the in-scope population covered. Evidence supports the maturity judgement. Numerical TTP-control efficacy is calculated on 13 TTP-Control Map.</t>
        </is>
      </c>
    </row>
    <row r="17" ht="54.75" customHeight="1" s="508">
      <c r="A17" s="406" t="inlineStr">
        <is>
          <t>M0936</t>
        </is>
      </c>
      <c r="B17" s="406" t="inlineStr">
        <is>
          <t>Account Use Policies</t>
        </is>
      </c>
      <c r="C17" s="406" t="inlineStr">
        <is>
          <t>Prevent / Resist</t>
        </is>
      </c>
      <c r="D17" s="416" t="inlineStr">
        <is>
          <t>Managed</t>
        </is>
      </c>
      <c r="E17" s="417" t="n"/>
      <c r="F17" s="416" t="inlineStr">
        <is>
          <t>No</t>
        </is>
      </c>
      <c r="G17" s="416" t="inlineStr">
        <is>
          <t>n/a</t>
        </is>
      </c>
      <c r="H17" s="416" t="n"/>
      <c r="I17" s="418">
        <f>IF(D17="Not Assessed",INDEX('OT CORE - Control Method'!$B$16:$B$20,MATCH("Developing",'OT CORE - Control Method'!$A$16:$A$20,0)),INDEX('OT CORE - Control Method'!$B$16:$B$20,MATCH(D17,'OT CORE - Control Method'!$A$16:$A$20,0)))</f>
        <v/>
      </c>
      <c r="J17" s="418">
        <f>IF(E17="",INDEX('OT CORE - Control Method'!$B$26:$B$34,MATCH("DEFAULT_COVERAGE",'OT CORE - Control Method'!$A$26:$A$34,0)),E17)</f>
        <v/>
      </c>
      <c r="K17" s="418">
        <f>I17*J17</f>
        <v/>
      </c>
      <c r="L17" s="406" t="inlineStr">
        <is>
          <t>Maturity represents implementation/operating quality. Coverage represents the in-scope population covered. Evidence supports the maturity judgement. Numerical TTP-control efficacy is calculated on 13 TTP-Control Map.</t>
        </is>
      </c>
    </row>
    <row r="18" ht="54.75" customHeight="1" s="508">
      <c r="A18" s="406" t="inlineStr">
        <is>
          <t>M0915</t>
        </is>
      </c>
      <c r="B18" s="406" t="inlineStr">
        <is>
          <t>Active Directory Configuration</t>
        </is>
      </c>
      <c r="C18" s="406" t="inlineStr">
        <is>
          <t>Prevent / Resist</t>
        </is>
      </c>
      <c r="D18" s="416" t="inlineStr">
        <is>
          <t>Managed</t>
        </is>
      </c>
      <c r="E18" s="417" t="n"/>
      <c r="F18" s="416" t="inlineStr">
        <is>
          <t>No</t>
        </is>
      </c>
      <c r="G18" s="416" t="inlineStr">
        <is>
          <t>n/a</t>
        </is>
      </c>
      <c r="H18" s="416" t="n"/>
      <c r="I18" s="418">
        <f>IF(D18="Not Assessed",INDEX('OT CORE - Control Method'!$B$16:$B$20,MATCH("Developing",'OT CORE - Control Method'!$A$16:$A$20,0)),INDEX('OT CORE - Control Method'!$B$16:$B$20,MATCH(D18,'OT CORE - Control Method'!$A$16:$A$20,0)))</f>
        <v/>
      </c>
      <c r="J18" s="418">
        <f>IF(E18="",INDEX('OT CORE - Control Method'!$B$26:$B$34,MATCH("DEFAULT_COVERAGE",'OT CORE - Control Method'!$A$26:$A$34,0)),E18)</f>
        <v/>
      </c>
      <c r="K18" s="418">
        <f>I18*J18</f>
        <v/>
      </c>
      <c r="L18" s="406" t="inlineStr">
        <is>
          <t>Maturity represents implementation/operating quality. Coverage represents the in-scope population covered. Evidence supports the maturity judgement. Numerical TTP-control efficacy is calculated on 13 TTP-Control Map.</t>
        </is>
      </c>
    </row>
    <row r="19" ht="54.75" customHeight="1" s="508">
      <c r="A19" s="406" t="inlineStr">
        <is>
          <t>M0949</t>
        </is>
      </c>
      <c r="B19" s="406" t="inlineStr">
        <is>
          <t>Antivirus/Antimalware</t>
        </is>
      </c>
      <c r="C19" s="406" t="inlineStr">
        <is>
          <t>Prevent / Resist</t>
        </is>
      </c>
      <c r="D19" s="416" t="inlineStr">
        <is>
          <t>Managed</t>
        </is>
      </c>
      <c r="E19" s="417" t="n"/>
      <c r="F19" s="416" t="inlineStr">
        <is>
          <t>No</t>
        </is>
      </c>
      <c r="G19" s="416" t="inlineStr">
        <is>
          <t>n/a</t>
        </is>
      </c>
      <c r="H19" s="416" t="n"/>
      <c r="I19" s="418">
        <f>IF(D19="Not Assessed",INDEX('OT CORE - Control Method'!$B$16:$B$20,MATCH("Developing",'OT CORE - Control Method'!$A$16:$A$20,0)),INDEX('OT CORE - Control Method'!$B$16:$B$20,MATCH(D19,'OT CORE - Control Method'!$A$16:$A$20,0)))</f>
        <v/>
      </c>
      <c r="J19" s="418">
        <f>IF(E19="",INDEX('OT CORE - Control Method'!$B$26:$B$34,MATCH("DEFAULT_COVERAGE",'OT CORE - Control Method'!$A$26:$A$34,0)),E19)</f>
        <v/>
      </c>
      <c r="K19" s="418">
        <f>I19*J19</f>
        <v/>
      </c>
      <c r="L19" s="406" t="inlineStr">
        <is>
          <t>Maturity represents implementation/operating quality. Coverage represents the in-scope population covered. Evidence supports the maturity judgement. Numerical TTP-control efficacy is calculated on 13 TTP-Control Map.</t>
        </is>
      </c>
    </row>
    <row r="20" ht="54.75" customHeight="1" s="508">
      <c r="A20" s="406" t="inlineStr">
        <is>
          <t>M0913</t>
        </is>
      </c>
      <c r="B20" s="406" t="inlineStr">
        <is>
          <t>Application Developer Guidance</t>
        </is>
      </c>
      <c r="C20" s="406" t="inlineStr">
        <is>
          <t>Prevent / Resist</t>
        </is>
      </c>
      <c r="D20" s="416" t="inlineStr">
        <is>
          <t>Managed</t>
        </is>
      </c>
      <c r="E20" s="417" t="n"/>
      <c r="F20" s="416" t="inlineStr">
        <is>
          <t>No</t>
        </is>
      </c>
      <c r="G20" s="416" t="inlineStr">
        <is>
          <t>n/a</t>
        </is>
      </c>
      <c r="H20" s="416" t="n"/>
      <c r="I20" s="418">
        <f>IF(D20="Not Assessed",INDEX('OT CORE - Control Method'!$B$16:$B$20,MATCH("Developing",'OT CORE - Control Method'!$A$16:$A$20,0)),INDEX('OT CORE - Control Method'!$B$16:$B$20,MATCH(D20,'OT CORE - Control Method'!$A$16:$A$20,0)))</f>
        <v/>
      </c>
      <c r="J20" s="418">
        <f>IF(E20="",INDEX('OT CORE - Control Method'!$B$26:$B$34,MATCH("DEFAULT_COVERAGE",'OT CORE - Control Method'!$A$26:$A$34,0)),E20)</f>
        <v/>
      </c>
      <c r="K20" s="418">
        <f>I20*J20</f>
        <v/>
      </c>
      <c r="L20" s="406" t="inlineStr">
        <is>
          <t>Maturity represents implementation/operating quality. Coverage represents the in-scope population covered. Evidence supports the maturity judgement. Numerical TTP-control efficacy is calculated on 13 TTP-Control Map.</t>
        </is>
      </c>
    </row>
    <row r="21" ht="54.75" customHeight="1" s="508">
      <c r="A21" s="406" t="inlineStr">
        <is>
          <t>M0948</t>
        </is>
      </c>
      <c r="B21" s="406" t="inlineStr">
        <is>
          <t>Application Isolation and Sandboxing</t>
        </is>
      </c>
      <c r="C21" s="406" t="inlineStr">
        <is>
          <t>Prevent / Resist</t>
        </is>
      </c>
      <c r="D21" s="416" t="inlineStr">
        <is>
          <t>Managed</t>
        </is>
      </c>
      <c r="E21" s="417" t="n"/>
      <c r="F21" s="416" t="inlineStr">
        <is>
          <t>No</t>
        </is>
      </c>
      <c r="G21" s="416" t="inlineStr">
        <is>
          <t>n/a</t>
        </is>
      </c>
      <c r="H21" s="416" t="n"/>
      <c r="I21" s="418">
        <f>IF(D21="Not Assessed",INDEX('OT CORE - Control Method'!$B$16:$B$20,MATCH("Developing",'OT CORE - Control Method'!$A$16:$A$20,0)),INDEX('OT CORE - Control Method'!$B$16:$B$20,MATCH(D21,'OT CORE - Control Method'!$A$16:$A$20,0)))</f>
        <v/>
      </c>
      <c r="J21" s="418">
        <f>IF(E21="",INDEX('OT CORE - Control Method'!$B$26:$B$34,MATCH("DEFAULT_COVERAGE",'OT CORE - Control Method'!$A$26:$A$34,0)),E21)</f>
        <v/>
      </c>
      <c r="K21" s="418">
        <f>I21*J21</f>
        <v/>
      </c>
      <c r="L21" s="406" t="inlineStr">
        <is>
          <t>Maturity represents implementation/operating quality. Coverage represents the in-scope population covered. Evidence supports the maturity judgement. Numerical TTP-control efficacy is calculated on 13 TTP-Control Map.</t>
        </is>
      </c>
    </row>
    <row r="22" ht="54.75" customHeight="1" s="508">
      <c r="A22" s="406" t="inlineStr">
        <is>
          <t>M0947</t>
        </is>
      </c>
      <c r="B22" s="406" t="inlineStr">
        <is>
          <t>Audit</t>
        </is>
      </c>
      <c r="C22" s="406" t="inlineStr">
        <is>
          <t>Detect / Contain</t>
        </is>
      </c>
      <c r="D22" s="416" t="inlineStr">
        <is>
          <t>Managed</t>
        </is>
      </c>
      <c r="E22" s="417" t="n"/>
      <c r="F22" s="416" t="inlineStr">
        <is>
          <t>No</t>
        </is>
      </c>
      <c r="G22" s="416" t="inlineStr">
        <is>
          <t>n/a</t>
        </is>
      </c>
      <c r="H22" s="416" t="n"/>
      <c r="I22" s="418">
        <f>IF(D22="Not Assessed",INDEX('OT CORE - Control Method'!$B$16:$B$20,MATCH("Developing",'OT CORE - Control Method'!$A$16:$A$20,0)),INDEX('OT CORE - Control Method'!$B$16:$B$20,MATCH(D22,'OT CORE - Control Method'!$A$16:$A$20,0)))</f>
        <v/>
      </c>
      <c r="J22" s="418">
        <f>IF(E22="",INDEX('OT CORE - Control Method'!$B$26:$B$34,MATCH("DEFAULT_COVERAGE",'OT CORE - Control Method'!$A$26:$A$34,0)),E22)</f>
        <v/>
      </c>
      <c r="K22" s="418">
        <f>I22*J22</f>
        <v/>
      </c>
      <c r="L22" s="406" t="inlineStr">
        <is>
          <t>Maturity represents implementation/operating quality. Coverage represents the in-scope population covered. Evidence supports the maturity judgement. Numerical TTP-control efficacy is calculated on 13 TTP-Control Map.</t>
        </is>
      </c>
    </row>
    <row r="23" ht="54.75" customHeight="1" s="508">
      <c r="A23" s="406" t="inlineStr">
        <is>
          <t>M0800</t>
        </is>
      </c>
      <c r="B23" s="406" t="inlineStr">
        <is>
          <t>Authorization Enforcement</t>
        </is>
      </c>
      <c r="C23" s="406" t="inlineStr">
        <is>
          <t>Prevent / Resist</t>
        </is>
      </c>
      <c r="D23" s="416" t="inlineStr">
        <is>
          <t>Managed</t>
        </is>
      </c>
      <c r="E23" s="417" t="n"/>
      <c r="F23" s="416" t="inlineStr">
        <is>
          <t>No</t>
        </is>
      </c>
      <c r="G23" s="416" t="inlineStr">
        <is>
          <t>n/a</t>
        </is>
      </c>
      <c r="H23" s="416" t="n"/>
      <c r="I23" s="418">
        <f>IF(D23="Not Assessed",INDEX('OT CORE - Control Method'!$B$16:$B$20,MATCH("Developing",'OT CORE - Control Method'!$A$16:$A$20,0)),INDEX('OT CORE - Control Method'!$B$16:$B$20,MATCH(D23,'OT CORE - Control Method'!$A$16:$A$20,0)))</f>
        <v/>
      </c>
      <c r="J23" s="418">
        <f>IF(E23="",INDEX('OT CORE - Control Method'!$B$26:$B$34,MATCH("DEFAULT_COVERAGE",'OT CORE - Control Method'!$A$26:$A$34,0)),E23)</f>
        <v/>
      </c>
      <c r="K23" s="418">
        <f>I23*J23</f>
        <v/>
      </c>
      <c r="L23" s="406" t="inlineStr">
        <is>
          <t>Maturity represents implementation/operating quality. Coverage represents the in-scope population covered. Evidence supports the maturity judgement. Numerical TTP-control efficacy is calculated on 13 TTP-Control Map.</t>
        </is>
      </c>
    </row>
    <row r="24" ht="54.75" customHeight="1" s="508">
      <c r="A24" s="406" t="inlineStr">
        <is>
          <t>M0946</t>
        </is>
      </c>
      <c r="B24" s="406" t="inlineStr">
        <is>
          <t>Boot Integrity</t>
        </is>
      </c>
      <c r="C24" s="406" t="inlineStr">
        <is>
          <t>Prevent / Resist</t>
        </is>
      </c>
      <c r="D24" s="416" t="inlineStr">
        <is>
          <t>Managed</t>
        </is>
      </c>
      <c r="E24" s="417" t="n"/>
      <c r="F24" s="416" t="inlineStr">
        <is>
          <t>No</t>
        </is>
      </c>
      <c r="G24" s="416" t="inlineStr">
        <is>
          <t>n/a</t>
        </is>
      </c>
      <c r="H24" s="416" t="n"/>
      <c r="I24" s="418">
        <f>IF(D24="Not Assessed",INDEX('OT CORE - Control Method'!$B$16:$B$20,MATCH("Developing",'OT CORE - Control Method'!$A$16:$A$20,0)),INDEX('OT CORE - Control Method'!$B$16:$B$20,MATCH(D24,'OT CORE - Control Method'!$A$16:$A$20,0)))</f>
        <v/>
      </c>
      <c r="J24" s="418">
        <f>IF(E24="",INDEX('OT CORE - Control Method'!$B$26:$B$34,MATCH("DEFAULT_COVERAGE",'OT CORE - Control Method'!$A$26:$A$34,0)),E24)</f>
        <v/>
      </c>
      <c r="K24" s="418">
        <f>I24*J24</f>
        <v/>
      </c>
      <c r="L24" s="406" t="inlineStr">
        <is>
          <t>Maturity represents implementation/operating quality. Coverage represents the in-scope population covered. Evidence supports the maturity judgement. Numerical TTP-control efficacy is calculated on 13 TTP-Control Map.</t>
        </is>
      </c>
    </row>
    <row r="25" ht="54.75" customHeight="1" s="508">
      <c r="A25" s="406" t="inlineStr">
        <is>
          <t>M0945</t>
        </is>
      </c>
      <c r="B25" s="406" t="inlineStr">
        <is>
          <t>Code Signing</t>
        </is>
      </c>
      <c r="C25" s="406" t="inlineStr">
        <is>
          <t>Prevent / Resist</t>
        </is>
      </c>
      <c r="D25" s="416" t="inlineStr">
        <is>
          <t>Managed</t>
        </is>
      </c>
      <c r="E25" s="417" t="n"/>
      <c r="F25" s="416" t="inlineStr">
        <is>
          <t>No</t>
        </is>
      </c>
      <c r="G25" s="416" t="inlineStr">
        <is>
          <t>n/a</t>
        </is>
      </c>
      <c r="H25" s="416" t="n"/>
      <c r="I25" s="418">
        <f>IF(D25="Not Assessed",INDEX('OT CORE - Control Method'!$B$16:$B$20,MATCH("Developing",'OT CORE - Control Method'!$A$16:$A$20,0)),INDEX('OT CORE - Control Method'!$B$16:$B$20,MATCH(D25,'OT CORE - Control Method'!$A$16:$A$20,0)))</f>
        <v/>
      </c>
      <c r="J25" s="418">
        <f>IF(E25="",INDEX('OT CORE - Control Method'!$B$26:$B$34,MATCH("DEFAULT_COVERAGE",'OT CORE - Control Method'!$A$26:$A$34,0)),E25)</f>
        <v/>
      </c>
      <c r="K25" s="418">
        <f>I25*J25</f>
        <v/>
      </c>
      <c r="L25" s="406" t="inlineStr">
        <is>
          <t>Maturity represents implementation/operating quality. Coverage represents the in-scope population covered. Evidence supports the maturity judgement. Numerical TTP-control efficacy is calculated on 13 TTP-Control Map.</t>
        </is>
      </c>
    </row>
    <row r="26" ht="54.75" customHeight="1" s="508">
      <c r="A26" s="406" t="inlineStr">
        <is>
          <t>M0802</t>
        </is>
      </c>
      <c r="B26" s="406" t="inlineStr">
        <is>
          <t>Communication Authenticity</t>
        </is>
      </c>
      <c r="C26" s="406" t="inlineStr">
        <is>
          <t>Prevent / Resist</t>
        </is>
      </c>
      <c r="D26" s="416" t="inlineStr">
        <is>
          <t>Managed</t>
        </is>
      </c>
      <c r="E26" s="417" t="n"/>
      <c r="F26" s="416" t="inlineStr">
        <is>
          <t>No</t>
        </is>
      </c>
      <c r="G26" s="416" t="inlineStr">
        <is>
          <t>n/a</t>
        </is>
      </c>
      <c r="H26" s="416" t="n"/>
      <c r="I26" s="418">
        <f>IF(D26="Not Assessed",INDEX('OT CORE - Control Method'!$B$16:$B$20,MATCH("Developing",'OT CORE - Control Method'!$A$16:$A$20,0)),INDEX('OT CORE - Control Method'!$B$16:$B$20,MATCH(D26,'OT CORE - Control Method'!$A$16:$A$20,0)))</f>
        <v/>
      </c>
      <c r="J26" s="418">
        <f>IF(E26="",INDEX('OT CORE - Control Method'!$B$26:$B$34,MATCH("DEFAULT_COVERAGE",'OT CORE - Control Method'!$A$26:$A$34,0)),E26)</f>
        <v/>
      </c>
      <c r="K26" s="418">
        <f>I26*J26</f>
        <v/>
      </c>
      <c r="L26" s="406" t="inlineStr">
        <is>
          <t>Maturity represents implementation/operating quality. Coverage represents the in-scope population covered. Evidence supports the maturity judgement. Numerical TTP-control efficacy is calculated on 13 TTP-Control Map.</t>
        </is>
      </c>
    </row>
    <row r="27" ht="54.75" customHeight="1" s="508">
      <c r="A27" s="406" t="inlineStr">
        <is>
          <t>M0953</t>
        </is>
      </c>
      <c r="B27" s="406" t="inlineStr">
        <is>
          <t>Data Backup</t>
        </is>
      </c>
      <c r="C27" s="406" t="inlineStr">
        <is>
          <t>Recover / Restore</t>
        </is>
      </c>
      <c r="D27" s="416" t="inlineStr">
        <is>
          <t>Managed</t>
        </is>
      </c>
      <c r="E27" s="417" t="n"/>
      <c r="F27" s="416" t="inlineStr">
        <is>
          <t>No</t>
        </is>
      </c>
      <c r="G27" s="416" t="inlineStr">
        <is>
          <t>n/a</t>
        </is>
      </c>
      <c r="H27" s="416" t="n"/>
      <c r="I27" s="418">
        <f>IF(D27="Not Assessed",INDEX('OT CORE - Control Method'!$B$16:$B$20,MATCH("Developing",'OT CORE - Control Method'!$A$16:$A$20,0)),INDEX('OT CORE - Control Method'!$B$16:$B$20,MATCH(D27,'OT CORE - Control Method'!$A$16:$A$20,0)))</f>
        <v/>
      </c>
      <c r="J27" s="418">
        <f>IF(E27="",INDEX('OT CORE - Control Method'!$B$26:$B$34,MATCH("DEFAULT_COVERAGE",'OT CORE - Control Method'!$A$26:$A$34,0)),E27)</f>
        <v/>
      </c>
      <c r="K27" s="418">
        <f>I27*J27</f>
        <v/>
      </c>
      <c r="L27" s="406" t="inlineStr">
        <is>
          <t>Maturity represents implementation/operating quality. Coverage represents the in-scope population covered. Evidence supports the maturity judgement. Numerical TTP-control efficacy is calculated on 13 TTP-Control Map.</t>
        </is>
      </c>
    </row>
    <row r="28" ht="54.75" customHeight="1" s="508">
      <c r="A28" s="406" t="inlineStr">
        <is>
          <t>M0803</t>
        </is>
      </c>
      <c r="B28" s="406" t="inlineStr">
        <is>
          <t>Data Loss Prevention</t>
        </is>
      </c>
      <c r="C28" s="406" t="inlineStr">
        <is>
          <t>Prevent / Resist</t>
        </is>
      </c>
      <c r="D28" s="416" t="inlineStr">
        <is>
          <t>Managed</t>
        </is>
      </c>
      <c r="E28" s="417" t="n"/>
      <c r="F28" s="416" t="inlineStr">
        <is>
          <t>No</t>
        </is>
      </c>
      <c r="G28" s="416" t="inlineStr">
        <is>
          <t>n/a</t>
        </is>
      </c>
      <c r="H28" s="416" t="n"/>
      <c r="I28" s="418">
        <f>IF(D28="Not Assessed",INDEX('OT CORE - Control Method'!$B$16:$B$20,MATCH("Developing",'OT CORE - Control Method'!$A$16:$A$20,0)),INDEX('OT CORE - Control Method'!$B$16:$B$20,MATCH(D28,'OT CORE - Control Method'!$A$16:$A$20,0)))</f>
        <v/>
      </c>
      <c r="J28" s="418">
        <f>IF(E28="",INDEX('OT CORE - Control Method'!$B$26:$B$34,MATCH("DEFAULT_COVERAGE",'OT CORE - Control Method'!$A$26:$A$34,0)),E28)</f>
        <v/>
      </c>
      <c r="K28" s="418">
        <f>I28*J28</f>
        <v/>
      </c>
      <c r="L28" s="406" t="inlineStr">
        <is>
          <t>Maturity represents implementation/operating quality. Coverage represents the in-scope population covered. Evidence supports the maturity judgement. Numerical TTP-control efficacy is calculated on 13 TTP-Control Map.</t>
        </is>
      </c>
    </row>
    <row r="29" ht="54.75" customHeight="1" s="508">
      <c r="A29" s="406" t="inlineStr">
        <is>
          <t>M0942</t>
        </is>
      </c>
      <c r="B29" s="406" t="inlineStr">
        <is>
          <t>Disable or Remove Feature or Program</t>
        </is>
      </c>
      <c r="C29" s="406" t="inlineStr">
        <is>
          <t>Prevent / Resist</t>
        </is>
      </c>
      <c r="D29" s="416" t="inlineStr">
        <is>
          <t>Managed</t>
        </is>
      </c>
      <c r="E29" s="417" t="n"/>
      <c r="F29" s="416" t="inlineStr">
        <is>
          <t>No</t>
        </is>
      </c>
      <c r="G29" s="416" t="inlineStr">
        <is>
          <t>n/a</t>
        </is>
      </c>
      <c r="H29" s="416" t="n"/>
      <c r="I29" s="418">
        <f>IF(D29="Not Assessed",INDEX('OT CORE - Control Method'!$B$16:$B$20,MATCH("Developing",'OT CORE - Control Method'!$A$16:$A$20,0)),INDEX('OT CORE - Control Method'!$B$16:$B$20,MATCH(D29,'OT CORE - Control Method'!$A$16:$A$20,0)))</f>
        <v/>
      </c>
      <c r="J29" s="418">
        <f>IF(E29="",INDEX('OT CORE - Control Method'!$B$26:$B$34,MATCH("DEFAULT_COVERAGE",'OT CORE - Control Method'!$A$26:$A$34,0)),E29)</f>
        <v/>
      </c>
      <c r="K29" s="418">
        <f>I29*J29</f>
        <v/>
      </c>
      <c r="L29" s="406" t="inlineStr">
        <is>
          <t>Maturity represents implementation/operating quality. Coverage represents the in-scope population covered. Evidence supports the maturity judgement. Numerical TTP-control efficacy is calculated on 13 TTP-Control Map.</t>
        </is>
      </c>
    </row>
    <row r="30" ht="54.75" customHeight="1" s="508">
      <c r="A30" s="406" t="inlineStr">
        <is>
          <t>M0808</t>
        </is>
      </c>
      <c r="B30" s="406" t="inlineStr">
        <is>
          <t>Encrypt Network Traffic</t>
        </is>
      </c>
      <c r="C30" s="406" t="inlineStr">
        <is>
          <t>Prevent / Resist</t>
        </is>
      </c>
      <c r="D30" s="416" t="inlineStr">
        <is>
          <t>Managed</t>
        </is>
      </c>
      <c r="E30" s="417" t="n"/>
      <c r="F30" s="416" t="inlineStr">
        <is>
          <t>No</t>
        </is>
      </c>
      <c r="G30" s="416" t="inlineStr">
        <is>
          <t>n/a</t>
        </is>
      </c>
      <c r="H30" s="416" t="n"/>
      <c r="I30" s="418">
        <f>IF(D30="Not Assessed",INDEX('OT CORE - Control Method'!$B$16:$B$20,MATCH("Developing",'OT CORE - Control Method'!$A$16:$A$20,0)),INDEX('OT CORE - Control Method'!$B$16:$B$20,MATCH(D30,'OT CORE - Control Method'!$A$16:$A$20,0)))</f>
        <v/>
      </c>
      <c r="J30" s="418">
        <f>IF(E30="",INDEX('OT CORE - Control Method'!$B$26:$B$34,MATCH("DEFAULT_COVERAGE",'OT CORE - Control Method'!$A$26:$A$34,0)),E30)</f>
        <v/>
      </c>
      <c r="K30" s="418">
        <f>I30*J30</f>
        <v/>
      </c>
      <c r="L30" s="406" t="inlineStr">
        <is>
          <t>Maturity represents implementation/operating quality. Coverage represents the in-scope population covered. Evidence supports the maturity judgement. Numerical TTP-control efficacy is calculated on 13 TTP-Control Map.</t>
        </is>
      </c>
    </row>
    <row r="31" ht="54.75" customHeight="1" s="508">
      <c r="A31" s="406" t="inlineStr">
        <is>
          <t>M0941</t>
        </is>
      </c>
      <c r="B31" s="406" t="inlineStr">
        <is>
          <t>Encrypt Sensitive Information</t>
        </is>
      </c>
      <c r="C31" s="406" t="inlineStr">
        <is>
          <t>Prevent / Resist</t>
        </is>
      </c>
      <c r="D31" s="416" t="inlineStr">
        <is>
          <t>Managed</t>
        </is>
      </c>
      <c r="E31" s="417" t="n"/>
      <c r="F31" s="416" t="inlineStr">
        <is>
          <t>No</t>
        </is>
      </c>
      <c r="G31" s="416" t="inlineStr">
        <is>
          <t>n/a</t>
        </is>
      </c>
      <c r="H31" s="416" t="n"/>
      <c r="I31" s="418">
        <f>IF(D31="Not Assessed",INDEX('OT CORE - Control Method'!$B$16:$B$20,MATCH("Developing",'OT CORE - Control Method'!$A$16:$A$20,0)),INDEX('OT CORE - Control Method'!$B$16:$B$20,MATCH(D31,'OT CORE - Control Method'!$A$16:$A$20,0)))</f>
        <v/>
      </c>
      <c r="J31" s="418">
        <f>IF(E31="",INDEX('OT CORE - Control Method'!$B$26:$B$34,MATCH("DEFAULT_COVERAGE",'OT CORE - Control Method'!$A$26:$A$34,0)),E31)</f>
        <v/>
      </c>
      <c r="K31" s="418">
        <f>I31*J31</f>
        <v/>
      </c>
      <c r="L31" s="406" t="inlineStr">
        <is>
          <t>Maturity represents implementation/operating quality. Coverage represents the in-scope population covered. Evidence supports the maturity judgement. Numerical TTP-control efficacy is calculated on 13 TTP-Control Map.</t>
        </is>
      </c>
    </row>
    <row r="32" ht="54.75" customHeight="1" s="508">
      <c r="A32" s="406" t="inlineStr">
        <is>
          <t>M0938</t>
        </is>
      </c>
      <c r="B32" s="406" t="inlineStr">
        <is>
          <t>Execution Prevention</t>
        </is>
      </c>
      <c r="C32" s="406" t="inlineStr">
        <is>
          <t>Prevent / Resist</t>
        </is>
      </c>
      <c r="D32" s="416" t="inlineStr">
        <is>
          <t>Managed</t>
        </is>
      </c>
      <c r="E32" s="417" t="n"/>
      <c r="F32" s="416" t="inlineStr">
        <is>
          <t>No</t>
        </is>
      </c>
      <c r="G32" s="416" t="inlineStr">
        <is>
          <t>n/a</t>
        </is>
      </c>
      <c r="H32" s="416" t="n"/>
      <c r="I32" s="418">
        <f>IF(D32="Not Assessed",INDEX('OT CORE - Control Method'!$B$16:$B$20,MATCH("Developing",'OT CORE - Control Method'!$A$16:$A$20,0)),INDEX('OT CORE - Control Method'!$B$16:$B$20,MATCH(D32,'OT CORE - Control Method'!$A$16:$A$20,0)))</f>
        <v/>
      </c>
      <c r="J32" s="418">
        <f>IF(E32="",INDEX('OT CORE - Control Method'!$B$26:$B$34,MATCH("DEFAULT_COVERAGE",'OT CORE - Control Method'!$A$26:$A$34,0)),E32)</f>
        <v/>
      </c>
      <c r="K32" s="418">
        <f>I32*J32</f>
        <v/>
      </c>
      <c r="L32" s="406" t="inlineStr">
        <is>
          <t>Maturity represents implementation/operating quality. Coverage represents the in-scope population covered. Evidence supports the maturity judgement. Numerical TTP-control efficacy is calculated on 13 TTP-Control Map.</t>
        </is>
      </c>
    </row>
    <row r="33" ht="54.75" customHeight="1" s="508">
      <c r="A33" s="406" t="inlineStr">
        <is>
          <t>M0950</t>
        </is>
      </c>
      <c r="B33" s="406" t="inlineStr">
        <is>
          <t>Exploit Protection</t>
        </is>
      </c>
      <c r="C33" s="406" t="inlineStr">
        <is>
          <t>Prevent / Resist</t>
        </is>
      </c>
      <c r="D33" s="416" t="inlineStr">
        <is>
          <t>Managed</t>
        </is>
      </c>
      <c r="E33" s="417" t="n"/>
      <c r="F33" s="416" t="inlineStr">
        <is>
          <t>No</t>
        </is>
      </c>
      <c r="G33" s="416" t="inlineStr">
        <is>
          <t>n/a</t>
        </is>
      </c>
      <c r="H33" s="416" t="n"/>
      <c r="I33" s="418">
        <f>IF(D33="Not Assessed",INDEX('OT CORE - Control Method'!$B$16:$B$20,MATCH("Developing",'OT CORE - Control Method'!$A$16:$A$20,0)),INDEX('OT CORE - Control Method'!$B$16:$B$20,MATCH(D33,'OT CORE - Control Method'!$A$16:$A$20,0)))</f>
        <v/>
      </c>
      <c r="J33" s="418">
        <f>IF(E33="",INDEX('OT CORE - Control Method'!$B$26:$B$34,MATCH("DEFAULT_COVERAGE",'OT CORE - Control Method'!$A$26:$A$34,0)),E33)</f>
        <v/>
      </c>
      <c r="K33" s="418">
        <f>I33*J33</f>
        <v/>
      </c>
      <c r="L33" s="406" t="inlineStr">
        <is>
          <t>Maturity represents implementation/operating quality. Coverage represents the in-scope population covered. Evidence supports the maturity judgement. Numerical TTP-control efficacy is calculated on 13 TTP-Control Map.</t>
        </is>
      </c>
    </row>
    <row r="34" ht="54.75" customHeight="1" s="508">
      <c r="A34" s="406" t="inlineStr">
        <is>
          <t>M0937</t>
        </is>
      </c>
      <c r="B34" s="406" t="inlineStr">
        <is>
          <t>Filter Network Traffic</t>
        </is>
      </c>
      <c r="C34" s="406" t="inlineStr">
        <is>
          <t>Prevent / Resist</t>
        </is>
      </c>
      <c r="D34" s="416" t="inlineStr">
        <is>
          <t>Managed</t>
        </is>
      </c>
      <c r="E34" s="417" t="n"/>
      <c r="F34" s="416" t="inlineStr">
        <is>
          <t>No</t>
        </is>
      </c>
      <c r="G34" s="416" t="inlineStr">
        <is>
          <t>n/a</t>
        </is>
      </c>
      <c r="H34" s="416" t="n"/>
      <c r="I34" s="418">
        <f>IF(D34="Not Assessed",INDEX('OT CORE - Control Method'!$B$16:$B$20,MATCH("Developing",'OT CORE - Control Method'!$A$16:$A$20,0)),INDEX('OT CORE - Control Method'!$B$16:$B$20,MATCH(D34,'OT CORE - Control Method'!$A$16:$A$20,0)))</f>
        <v/>
      </c>
      <c r="J34" s="418">
        <f>IF(E34="",INDEX('OT CORE - Control Method'!$B$26:$B$34,MATCH("DEFAULT_COVERAGE",'OT CORE - Control Method'!$A$26:$A$34,0)),E34)</f>
        <v/>
      </c>
      <c r="K34" s="418">
        <f>I34*J34</f>
        <v/>
      </c>
      <c r="L34" s="406" t="inlineStr">
        <is>
          <t>Maturity represents implementation/operating quality. Coverage represents the in-scope population covered. Evidence supports the maturity judgement. Numerical TTP-control efficacy is calculated on 13 TTP-Control Map.</t>
        </is>
      </c>
    </row>
    <row r="35" ht="54.75" customHeight="1" s="508">
      <c r="A35" s="406" t="inlineStr">
        <is>
          <t>M0804</t>
        </is>
      </c>
      <c r="B35" s="406" t="inlineStr">
        <is>
          <t>Human User Authentication</t>
        </is>
      </c>
      <c r="C35" s="406" t="inlineStr">
        <is>
          <t>Prevent / Resist</t>
        </is>
      </c>
      <c r="D35" s="416" t="inlineStr">
        <is>
          <t>Managed</t>
        </is>
      </c>
      <c r="E35" s="417" t="n"/>
      <c r="F35" s="416" t="inlineStr">
        <is>
          <t>No</t>
        </is>
      </c>
      <c r="G35" s="416" t="inlineStr">
        <is>
          <t>n/a</t>
        </is>
      </c>
      <c r="H35" s="416" t="n"/>
      <c r="I35" s="418">
        <f>IF(D35="Not Assessed",INDEX('OT CORE - Control Method'!$B$16:$B$20,MATCH("Developing",'OT CORE - Control Method'!$A$16:$A$20,0)),INDEX('OT CORE - Control Method'!$B$16:$B$20,MATCH(D35,'OT CORE - Control Method'!$A$16:$A$20,0)))</f>
        <v/>
      </c>
      <c r="J35" s="418">
        <f>IF(E35="",INDEX('OT CORE - Control Method'!$B$26:$B$34,MATCH("DEFAULT_COVERAGE",'OT CORE - Control Method'!$A$26:$A$34,0)),E35)</f>
        <v/>
      </c>
      <c r="K35" s="418">
        <f>I35*J35</f>
        <v/>
      </c>
      <c r="L35" s="406" t="inlineStr">
        <is>
          <t>Maturity represents implementation/operating quality. Coverage represents the in-scope population covered. Evidence supports the maturity judgement. Numerical TTP-control efficacy is calculated on 13 TTP-Control Map.</t>
        </is>
      </c>
    </row>
    <row r="36" ht="54.75" customHeight="1" s="508">
      <c r="A36" s="406" t="inlineStr">
        <is>
          <t>M0935</t>
        </is>
      </c>
      <c r="B36" s="406" t="inlineStr">
        <is>
          <t>Limit Access to Resource Over Network</t>
        </is>
      </c>
      <c r="C36" s="406" t="inlineStr">
        <is>
          <t>Prevent / Resist</t>
        </is>
      </c>
      <c r="D36" s="416" t="inlineStr">
        <is>
          <t>Managed</t>
        </is>
      </c>
      <c r="E36" s="417" t="n"/>
      <c r="F36" s="416" t="inlineStr">
        <is>
          <t>No</t>
        </is>
      </c>
      <c r="G36" s="416" t="inlineStr">
        <is>
          <t>n/a</t>
        </is>
      </c>
      <c r="H36" s="416" t="n"/>
      <c r="I36" s="418">
        <f>IF(D36="Not Assessed",INDEX('OT CORE - Control Method'!$B$16:$B$20,MATCH("Developing",'OT CORE - Control Method'!$A$16:$A$20,0)),INDEX('OT CORE - Control Method'!$B$16:$B$20,MATCH(D36,'OT CORE - Control Method'!$A$16:$A$20,0)))</f>
        <v/>
      </c>
      <c r="J36" s="418">
        <f>IF(E36="",INDEX('OT CORE - Control Method'!$B$26:$B$34,MATCH("DEFAULT_COVERAGE",'OT CORE - Control Method'!$A$26:$A$34,0)),E36)</f>
        <v/>
      </c>
      <c r="K36" s="418">
        <f>I36*J36</f>
        <v/>
      </c>
      <c r="L36" s="406" t="inlineStr">
        <is>
          <t>Maturity represents implementation/operating quality. Coverage represents the in-scope population covered. Evidence supports the maturity judgement. Numerical TTP-control efficacy is calculated on 13 TTP-Control Map.</t>
        </is>
      </c>
    </row>
    <row r="37" ht="54.75" customHeight="1" s="508">
      <c r="A37" s="406" t="inlineStr">
        <is>
          <t>M0934</t>
        </is>
      </c>
      <c r="B37" s="406" t="inlineStr">
        <is>
          <t>Limit Hardware Installation</t>
        </is>
      </c>
      <c r="C37" s="406" t="inlineStr">
        <is>
          <t>Prevent / Resist</t>
        </is>
      </c>
      <c r="D37" s="416" t="inlineStr">
        <is>
          <t>Managed</t>
        </is>
      </c>
      <c r="E37" s="417" t="n"/>
      <c r="F37" s="416" t="inlineStr">
        <is>
          <t>No</t>
        </is>
      </c>
      <c r="G37" s="416" t="inlineStr">
        <is>
          <t>n/a</t>
        </is>
      </c>
      <c r="H37" s="416" t="n"/>
      <c r="I37" s="418">
        <f>IF(D37="Not Assessed",INDEX('OT CORE - Control Method'!$B$16:$B$20,MATCH("Developing",'OT CORE - Control Method'!$A$16:$A$20,0)),INDEX('OT CORE - Control Method'!$B$16:$B$20,MATCH(D37,'OT CORE - Control Method'!$A$16:$A$20,0)))</f>
        <v/>
      </c>
      <c r="J37" s="418">
        <f>IF(E37="",INDEX('OT CORE - Control Method'!$B$26:$B$34,MATCH("DEFAULT_COVERAGE",'OT CORE - Control Method'!$A$26:$A$34,0)),E37)</f>
        <v/>
      </c>
      <c r="K37" s="418">
        <f>I37*J37</f>
        <v/>
      </c>
      <c r="L37" s="406" t="inlineStr">
        <is>
          <t>Maturity represents implementation/operating quality. Coverage represents the in-scope population covered. Evidence supports the maturity judgement. Numerical TTP-control efficacy is calculated on 13 TTP-Control Map.</t>
        </is>
      </c>
    </row>
    <row r="38" ht="54.75" customHeight="1" s="508">
      <c r="A38" s="406" t="inlineStr">
        <is>
          <t>M0805</t>
        </is>
      </c>
      <c r="B38" s="406" t="inlineStr">
        <is>
          <t>Mechanical Protection Layers</t>
        </is>
      </c>
      <c r="C38" s="406" t="inlineStr">
        <is>
          <t>Safety / Resilience</t>
        </is>
      </c>
      <c r="D38" s="416" t="inlineStr">
        <is>
          <t>Managed</t>
        </is>
      </c>
      <c r="E38" s="417" t="n"/>
      <c r="F38" s="416" t="inlineStr">
        <is>
          <t>No</t>
        </is>
      </c>
      <c r="G38" s="416" t="inlineStr">
        <is>
          <t>n/a</t>
        </is>
      </c>
      <c r="H38" s="416" t="n"/>
      <c r="I38" s="418">
        <f>IF(D38="Not Assessed",INDEX('OT CORE - Control Method'!$B$16:$B$20,MATCH("Developing",'OT CORE - Control Method'!$A$16:$A$20,0)),INDEX('OT CORE - Control Method'!$B$16:$B$20,MATCH(D38,'OT CORE - Control Method'!$A$16:$A$20,0)))</f>
        <v/>
      </c>
      <c r="J38" s="418">
        <f>IF(E38="",INDEX('OT CORE - Control Method'!$B$26:$B$34,MATCH("DEFAULT_COVERAGE",'OT CORE - Control Method'!$A$26:$A$34,0)),E38)</f>
        <v/>
      </c>
      <c r="K38" s="418">
        <f>I38*J38</f>
        <v/>
      </c>
      <c r="L38" s="406" t="inlineStr">
        <is>
          <t>Maturity represents implementation/operating quality. Coverage represents the in-scope population covered. Evidence supports the maturity judgement. Numerical TTP-control efficacy is calculated on 13 TTP-Control Map.</t>
        </is>
      </c>
    </row>
    <row r="39" ht="54.75" customHeight="1" s="508">
      <c r="A39" s="406" t="inlineStr">
        <is>
          <t>M0806</t>
        </is>
      </c>
      <c r="B39" s="406" t="inlineStr">
        <is>
          <t>Minimize Wireless Signal Propagation</t>
        </is>
      </c>
      <c r="C39" s="406" t="inlineStr">
        <is>
          <t>Prevent / Resist</t>
        </is>
      </c>
      <c r="D39" s="416" t="inlineStr">
        <is>
          <t>Managed</t>
        </is>
      </c>
      <c r="E39" s="417" t="n"/>
      <c r="F39" s="416" t="inlineStr">
        <is>
          <t>No</t>
        </is>
      </c>
      <c r="G39" s="416" t="inlineStr">
        <is>
          <t>n/a</t>
        </is>
      </c>
      <c r="H39" s="416" t="n"/>
      <c r="I39" s="418">
        <f>IF(D39="Not Assessed",INDEX('OT CORE - Control Method'!$B$16:$B$20,MATCH("Developing",'OT CORE - Control Method'!$A$16:$A$20,0)),INDEX('OT CORE - Control Method'!$B$16:$B$20,MATCH(D39,'OT CORE - Control Method'!$A$16:$A$20,0)))</f>
        <v/>
      </c>
      <c r="J39" s="418">
        <f>IF(E39="",INDEX('OT CORE - Control Method'!$B$26:$B$34,MATCH("DEFAULT_COVERAGE",'OT CORE - Control Method'!$A$26:$A$34,0)),E39)</f>
        <v/>
      </c>
      <c r="K39" s="418">
        <f>I39*J39</f>
        <v/>
      </c>
      <c r="L39" s="406" t="inlineStr">
        <is>
          <t>Maturity represents implementation/operating quality. Coverage represents the in-scope population covered. Evidence supports the maturity judgement. Numerical TTP-control efficacy is calculated on 13 TTP-Control Map.</t>
        </is>
      </c>
    </row>
    <row r="40" ht="54.75" customHeight="1" s="508">
      <c r="A40" s="406" t="inlineStr">
        <is>
          <t>M0816</t>
        </is>
      </c>
      <c r="B40" s="406" t="inlineStr">
        <is>
          <t>Mitigation Limited or Not Effective</t>
        </is>
      </c>
      <c r="C40" s="406" t="inlineStr">
        <is>
          <t>Excluded — no modelled effect</t>
        </is>
      </c>
      <c r="D40" s="416" t="inlineStr">
        <is>
          <t>Managed</t>
        </is>
      </c>
      <c r="E40" s="417" t="n"/>
      <c r="F40" s="416" t="inlineStr">
        <is>
          <t>No</t>
        </is>
      </c>
      <c r="G40" s="416" t="inlineStr">
        <is>
          <t>n/a</t>
        </is>
      </c>
      <c r="H40" s="416" t="n"/>
      <c r="I40" s="418">
        <f>IF(D40="Not Assessed",INDEX('OT CORE - Control Method'!$B$16:$B$20,MATCH("Developing",'OT CORE - Control Method'!$A$16:$A$20,0)),INDEX('OT CORE - Control Method'!$B$16:$B$20,MATCH(D40,'OT CORE - Control Method'!$A$16:$A$20,0)))</f>
        <v/>
      </c>
      <c r="J40" s="418">
        <f>IF(E40="",INDEX('OT CORE - Control Method'!$B$26:$B$34,MATCH("DEFAULT_COVERAGE",'OT CORE - Control Method'!$A$26:$A$34,0)),E40)</f>
        <v/>
      </c>
      <c r="K40" s="418">
        <f>I40*J40</f>
        <v/>
      </c>
      <c r="L40" s="406" t="inlineStr">
        <is>
          <t>Maturity represents implementation/operating quality. Coverage represents the in-scope population covered. Evidence supports the maturity judgement. Numerical TTP-control efficacy is calculated on 13 TTP-Control Map.</t>
        </is>
      </c>
    </row>
    <row r="41" ht="54.75" customHeight="1" s="508">
      <c r="A41" s="406" t="inlineStr">
        <is>
          <t>M0932</t>
        </is>
      </c>
      <c r="B41" s="406" t="inlineStr">
        <is>
          <t>Multi-factor Authentication</t>
        </is>
      </c>
      <c r="C41" s="406" t="inlineStr">
        <is>
          <t>Prevent / Resist</t>
        </is>
      </c>
      <c r="D41" s="416" t="inlineStr">
        <is>
          <t>Managed</t>
        </is>
      </c>
      <c r="E41" s="417" t="n"/>
      <c r="F41" s="416" t="inlineStr">
        <is>
          <t>No</t>
        </is>
      </c>
      <c r="G41" s="416" t="inlineStr">
        <is>
          <t>n/a</t>
        </is>
      </c>
      <c r="H41" s="416" t="n"/>
      <c r="I41" s="418">
        <f>IF(D41="Not Assessed",INDEX('OT CORE - Control Method'!$B$16:$B$20,MATCH("Developing",'OT CORE - Control Method'!$A$16:$A$20,0)),INDEX('OT CORE - Control Method'!$B$16:$B$20,MATCH(D41,'OT CORE - Control Method'!$A$16:$A$20,0)))</f>
        <v/>
      </c>
      <c r="J41" s="418">
        <f>IF(E41="",INDEX('OT CORE - Control Method'!$B$26:$B$34,MATCH("DEFAULT_COVERAGE",'OT CORE - Control Method'!$A$26:$A$34,0)),E41)</f>
        <v/>
      </c>
      <c r="K41" s="418">
        <f>I41*J41</f>
        <v/>
      </c>
      <c r="L41" s="406" t="inlineStr">
        <is>
          <t>Maturity represents implementation/operating quality. Coverage represents the in-scope population covered. Evidence supports the maturity judgement. Numerical TTP-control efficacy is calculated on 13 TTP-Control Map.</t>
        </is>
      </c>
    </row>
    <row r="42" ht="54.75" customHeight="1" s="508">
      <c r="A42" s="406" t="inlineStr">
        <is>
          <t>M0807</t>
        </is>
      </c>
      <c r="B42" s="406" t="inlineStr">
        <is>
          <t>Network Allowlists</t>
        </is>
      </c>
      <c r="C42" s="406" t="inlineStr">
        <is>
          <t>Prevent / Resist</t>
        </is>
      </c>
      <c r="D42" s="416" t="inlineStr">
        <is>
          <t>Managed</t>
        </is>
      </c>
      <c r="E42" s="417" t="n"/>
      <c r="F42" s="416" t="inlineStr">
        <is>
          <t>No</t>
        </is>
      </c>
      <c r="G42" s="416" t="inlineStr">
        <is>
          <t>n/a</t>
        </is>
      </c>
      <c r="H42" s="416" t="n"/>
      <c r="I42" s="418">
        <f>IF(D42="Not Assessed",INDEX('OT CORE - Control Method'!$B$16:$B$20,MATCH("Developing",'OT CORE - Control Method'!$A$16:$A$20,0)),INDEX('OT CORE - Control Method'!$B$16:$B$20,MATCH(D42,'OT CORE - Control Method'!$A$16:$A$20,0)))</f>
        <v/>
      </c>
      <c r="J42" s="418">
        <f>IF(E42="",INDEX('OT CORE - Control Method'!$B$26:$B$34,MATCH("DEFAULT_COVERAGE",'OT CORE - Control Method'!$A$26:$A$34,0)),E42)</f>
        <v/>
      </c>
      <c r="K42" s="418">
        <f>I42*J42</f>
        <v/>
      </c>
      <c r="L42" s="406" t="inlineStr">
        <is>
          <t>Maturity represents implementation/operating quality. Coverage represents the in-scope population covered. Evidence supports the maturity judgement. Numerical TTP-control efficacy is calculated on 13 TTP-Control Map.</t>
        </is>
      </c>
    </row>
    <row r="43" ht="54.75" customHeight="1" s="508">
      <c r="A43" s="406" t="inlineStr">
        <is>
          <t>M0931</t>
        </is>
      </c>
      <c r="B43" s="406" t="inlineStr">
        <is>
          <t>Network Intrusion Prevention</t>
        </is>
      </c>
      <c r="C43" s="406" t="inlineStr">
        <is>
          <t>Detect / Contain</t>
        </is>
      </c>
      <c r="D43" s="416" t="inlineStr">
        <is>
          <t>Managed</t>
        </is>
      </c>
      <c r="E43" s="417" t="n"/>
      <c r="F43" s="416" t="inlineStr">
        <is>
          <t>No</t>
        </is>
      </c>
      <c r="G43" s="416" t="inlineStr">
        <is>
          <t>n/a</t>
        </is>
      </c>
      <c r="H43" s="416" t="n"/>
      <c r="I43" s="418">
        <f>IF(D43="Not Assessed",INDEX('OT CORE - Control Method'!$B$16:$B$20,MATCH("Developing",'OT CORE - Control Method'!$A$16:$A$20,0)),INDEX('OT CORE - Control Method'!$B$16:$B$20,MATCH(D43,'OT CORE - Control Method'!$A$16:$A$20,0)))</f>
        <v/>
      </c>
      <c r="J43" s="418">
        <f>IF(E43="",INDEX('OT CORE - Control Method'!$B$26:$B$34,MATCH("DEFAULT_COVERAGE",'OT CORE - Control Method'!$A$26:$A$34,0)),E43)</f>
        <v/>
      </c>
      <c r="K43" s="418">
        <f>I43*J43</f>
        <v/>
      </c>
      <c r="L43" s="406" t="inlineStr">
        <is>
          <t>Maturity represents implementation/operating quality. Coverage represents the in-scope population covered. Evidence supports the maturity judgement. Numerical TTP-control efficacy is calculated on 13 TTP-Control Map.</t>
        </is>
      </c>
    </row>
    <row r="44" ht="54.75" customHeight="1" s="508">
      <c r="A44" s="406" t="inlineStr">
        <is>
          <t>M0930</t>
        </is>
      </c>
      <c r="B44" s="406" t="inlineStr">
        <is>
          <t>Network Segmentation</t>
        </is>
      </c>
      <c r="C44" s="406" t="inlineStr">
        <is>
          <t>Prevent / Resist</t>
        </is>
      </c>
      <c r="D44" s="416" t="inlineStr">
        <is>
          <t>Managed</t>
        </is>
      </c>
      <c r="E44" s="417" t="n"/>
      <c r="F44" s="416" t="inlineStr">
        <is>
          <t>No</t>
        </is>
      </c>
      <c r="G44" s="416" t="inlineStr">
        <is>
          <t>n/a</t>
        </is>
      </c>
      <c r="H44" s="416" t="n"/>
      <c r="I44" s="418">
        <f>IF(D44="Not Assessed",INDEX('OT CORE - Control Method'!$B$16:$B$20,MATCH("Developing",'OT CORE - Control Method'!$A$16:$A$20,0)),INDEX('OT CORE - Control Method'!$B$16:$B$20,MATCH(D44,'OT CORE - Control Method'!$A$16:$A$20,0)))</f>
        <v/>
      </c>
      <c r="J44" s="418">
        <f>IF(E44="",INDEX('OT CORE - Control Method'!$B$26:$B$34,MATCH("DEFAULT_COVERAGE",'OT CORE - Control Method'!$A$26:$A$34,0)),E44)</f>
        <v/>
      </c>
      <c r="K44" s="418">
        <f>I44*J44</f>
        <v/>
      </c>
      <c r="L44" s="406" t="inlineStr">
        <is>
          <t>Maturity represents implementation/operating quality. Coverage represents the in-scope population covered. Evidence supports the maturity judgement. Numerical TTP-control efficacy is calculated on 13 TTP-Control Map.</t>
        </is>
      </c>
    </row>
    <row r="45" ht="54.75" customHeight="1" s="508">
      <c r="A45" s="406" t="inlineStr">
        <is>
          <t>M0928</t>
        </is>
      </c>
      <c r="B45" s="406" t="inlineStr">
        <is>
          <t>Operating System Configuration</t>
        </is>
      </c>
      <c r="C45" s="406" t="inlineStr">
        <is>
          <t>Prevent / Resist</t>
        </is>
      </c>
      <c r="D45" s="416" t="inlineStr">
        <is>
          <t>Managed</t>
        </is>
      </c>
      <c r="E45" s="417" t="n"/>
      <c r="F45" s="416" t="inlineStr">
        <is>
          <t>No</t>
        </is>
      </c>
      <c r="G45" s="416" t="inlineStr">
        <is>
          <t>n/a</t>
        </is>
      </c>
      <c r="H45" s="416" t="n"/>
      <c r="I45" s="418">
        <f>IF(D45="Not Assessed",INDEX('OT CORE - Control Method'!$B$16:$B$20,MATCH("Developing",'OT CORE - Control Method'!$A$16:$A$20,0)),INDEX('OT CORE - Control Method'!$B$16:$B$20,MATCH(D45,'OT CORE - Control Method'!$A$16:$A$20,0)))</f>
        <v/>
      </c>
      <c r="J45" s="418">
        <f>IF(E45="",INDEX('OT CORE - Control Method'!$B$26:$B$34,MATCH("DEFAULT_COVERAGE",'OT CORE - Control Method'!$A$26:$A$34,0)),E45)</f>
        <v/>
      </c>
      <c r="K45" s="418">
        <f>I45*J45</f>
        <v/>
      </c>
      <c r="L45" s="406" t="inlineStr">
        <is>
          <t>Maturity represents implementation/operating quality. Coverage represents the in-scope population covered. Evidence supports the maturity judgement. Numerical TTP-control efficacy is calculated on 13 TTP-Control Map.</t>
        </is>
      </c>
    </row>
    <row r="46" ht="54.75" customHeight="1" s="508">
      <c r="A46" s="406" t="inlineStr">
        <is>
          <t>M0809</t>
        </is>
      </c>
      <c r="B46" s="406" t="inlineStr">
        <is>
          <t>Operational Information Confidentiality</t>
        </is>
      </c>
      <c r="C46" s="406" t="inlineStr">
        <is>
          <t>Prevent / Resist</t>
        </is>
      </c>
      <c r="D46" s="416" t="inlineStr">
        <is>
          <t>Managed</t>
        </is>
      </c>
      <c r="E46" s="417" t="n"/>
      <c r="F46" s="416" t="inlineStr">
        <is>
          <t>No</t>
        </is>
      </c>
      <c r="G46" s="416" t="inlineStr">
        <is>
          <t>n/a</t>
        </is>
      </c>
      <c r="H46" s="416" t="n"/>
      <c r="I46" s="418">
        <f>IF(D46="Not Assessed",INDEX('OT CORE - Control Method'!$B$16:$B$20,MATCH("Developing",'OT CORE - Control Method'!$A$16:$A$20,0)),INDEX('OT CORE - Control Method'!$B$16:$B$20,MATCH(D46,'OT CORE - Control Method'!$A$16:$A$20,0)))</f>
        <v/>
      </c>
      <c r="J46" s="418">
        <f>IF(E46="",INDEX('OT CORE - Control Method'!$B$26:$B$34,MATCH("DEFAULT_COVERAGE",'OT CORE - Control Method'!$A$26:$A$34,0)),E46)</f>
        <v/>
      </c>
      <c r="K46" s="418">
        <f>I46*J46</f>
        <v/>
      </c>
      <c r="L46" s="406" t="inlineStr">
        <is>
          <t>Maturity represents implementation/operating quality. Coverage represents the in-scope population covered. Evidence supports the maturity judgement. Numerical TTP-control efficacy is calculated on 13 TTP-Control Map.</t>
        </is>
      </c>
    </row>
    <row r="47" ht="54.75" customHeight="1" s="508">
      <c r="A47" s="406" t="inlineStr">
        <is>
          <t>M0810</t>
        </is>
      </c>
      <c r="B47" s="406" t="inlineStr">
        <is>
          <t>Out-of-Band Communications Channel</t>
        </is>
      </c>
      <c r="C47" s="406" t="inlineStr">
        <is>
          <t>Recover / Restore</t>
        </is>
      </c>
      <c r="D47" s="416" t="inlineStr">
        <is>
          <t>Managed</t>
        </is>
      </c>
      <c r="E47" s="417" t="n"/>
      <c r="F47" s="416" t="inlineStr">
        <is>
          <t>No</t>
        </is>
      </c>
      <c r="G47" s="416" t="inlineStr">
        <is>
          <t>n/a</t>
        </is>
      </c>
      <c r="H47" s="416" t="n"/>
      <c r="I47" s="418">
        <f>IF(D47="Not Assessed",INDEX('OT CORE - Control Method'!$B$16:$B$20,MATCH("Developing",'OT CORE - Control Method'!$A$16:$A$20,0)),INDEX('OT CORE - Control Method'!$B$16:$B$20,MATCH(D47,'OT CORE - Control Method'!$A$16:$A$20,0)))</f>
        <v/>
      </c>
      <c r="J47" s="418">
        <f>IF(E47="",INDEX('OT CORE - Control Method'!$B$26:$B$34,MATCH("DEFAULT_COVERAGE",'OT CORE - Control Method'!$A$26:$A$34,0)),E47)</f>
        <v/>
      </c>
      <c r="K47" s="418">
        <f>I47*J47</f>
        <v/>
      </c>
      <c r="L47" s="406" t="inlineStr">
        <is>
          <t>Maturity represents implementation/operating quality. Coverage represents the in-scope population covered. Evidence supports the maturity judgement. Numerical TTP-control efficacy is calculated on 13 TTP-Control Map.</t>
        </is>
      </c>
    </row>
    <row r="48" ht="54.75" customHeight="1" s="508">
      <c r="A48" s="406" t="inlineStr">
        <is>
          <t>M0927</t>
        </is>
      </c>
      <c r="B48" s="406" t="inlineStr">
        <is>
          <t>Password Policies</t>
        </is>
      </c>
      <c r="C48" s="406" t="inlineStr">
        <is>
          <t>Prevent / Resist</t>
        </is>
      </c>
      <c r="D48" s="416" t="inlineStr">
        <is>
          <t>Managed</t>
        </is>
      </c>
      <c r="E48" s="417" t="n"/>
      <c r="F48" s="416" t="inlineStr">
        <is>
          <t>No</t>
        </is>
      </c>
      <c r="G48" s="416" t="inlineStr">
        <is>
          <t>n/a</t>
        </is>
      </c>
      <c r="H48" s="416" t="n"/>
      <c r="I48" s="418">
        <f>IF(D48="Not Assessed",INDEX('OT CORE - Control Method'!$B$16:$B$20,MATCH("Developing",'OT CORE - Control Method'!$A$16:$A$20,0)),INDEX('OT CORE - Control Method'!$B$16:$B$20,MATCH(D48,'OT CORE - Control Method'!$A$16:$A$20,0)))</f>
        <v/>
      </c>
      <c r="J48" s="418">
        <f>IF(E48="",INDEX('OT CORE - Control Method'!$B$26:$B$34,MATCH("DEFAULT_COVERAGE",'OT CORE - Control Method'!$A$26:$A$34,0)),E48)</f>
        <v/>
      </c>
      <c r="K48" s="418">
        <f>I48*J48</f>
        <v/>
      </c>
      <c r="L48" s="406" t="inlineStr">
        <is>
          <t>Maturity represents implementation/operating quality. Coverage represents the in-scope population covered. Evidence supports the maturity judgement. Numerical TTP-control efficacy is calculated on 13 TTP-Control Map.</t>
        </is>
      </c>
    </row>
    <row r="49" ht="54.75" customHeight="1" s="508">
      <c r="A49" s="406" t="inlineStr">
        <is>
          <t>M0926</t>
        </is>
      </c>
      <c r="B49" s="406" t="inlineStr">
        <is>
          <t>Privileged Account Management</t>
        </is>
      </c>
      <c r="C49" s="406" t="inlineStr">
        <is>
          <t>Prevent / Resist</t>
        </is>
      </c>
      <c r="D49" s="416" t="inlineStr">
        <is>
          <t>Managed</t>
        </is>
      </c>
      <c r="E49" s="417" t="n"/>
      <c r="F49" s="416" t="inlineStr">
        <is>
          <t>No</t>
        </is>
      </c>
      <c r="G49" s="416" t="inlineStr">
        <is>
          <t>n/a</t>
        </is>
      </c>
      <c r="H49" s="416" t="n"/>
      <c r="I49" s="418">
        <f>IF(D49="Not Assessed",INDEX('OT CORE - Control Method'!$B$16:$B$20,MATCH("Developing",'OT CORE - Control Method'!$A$16:$A$20,0)),INDEX('OT CORE - Control Method'!$B$16:$B$20,MATCH(D49,'OT CORE - Control Method'!$A$16:$A$20,0)))</f>
        <v/>
      </c>
      <c r="J49" s="418">
        <f>IF(E49="",INDEX('OT CORE - Control Method'!$B$26:$B$34,MATCH("DEFAULT_COVERAGE",'OT CORE - Control Method'!$A$26:$A$34,0)),E49)</f>
        <v/>
      </c>
      <c r="K49" s="418">
        <f>I49*J49</f>
        <v/>
      </c>
      <c r="L49" s="406" t="inlineStr">
        <is>
          <t>Maturity represents implementation/operating quality. Coverage represents the in-scope population covered. Evidence supports the maturity judgement. Numerical TTP-control efficacy is calculated on 13 TTP-Control Map.</t>
        </is>
      </c>
    </row>
    <row r="50" ht="54.75" customHeight="1" s="508">
      <c r="A50" s="406" t="inlineStr">
        <is>
          <t>M0811</t>
        </is>
      </c>
      <c r="B50" s="406" t="inlineStr">
        <is>
          <t>Redundancy of Service</t>
        </is>
      </c>
      <c r="C50" s="406" t="inlineStr">
        <is>
          <t>Recover / Restore</t>
        </is>
      </c>
      <c r="D50" s="416" t="inlineStr">
        <is>
          <t>Managed</t>
        </is>
      </c>
      <c r="E50" s="417" t="n"/>
      <c r="F50" s="416" t="inlineStr">
        <is>
          <t>No</t>
        </is>
      </c>
      <c r="G50" s="416" t="inlineStr">
        <is>
          <t>n/a</t>
        </is>
      </c>
      <c r="H50" s="416" t="n"/>
      <c r="I50" s="418">
        <f>IF(D50="Not Assessed",INDEX('OT CORE - Control Method'!$B$16:$B$20,MATCH("Developing",'OT CORE - Control Method'!$A$16:$A$20,0)),INDEX('OT CORE - Control Method'!$B$16:$B$20,MATCH(D50,'OT CORE - Control Method'!$A$16:$A$20,0)))</f>
        <v/>
      </c>
      <c r="J50" s="418">
        <f>IF(E50="",INDEX('OT CORE - Control Method'!$B$26:$B$34,MATCH("DEFAULT_COVERAGE",'OT CORE - Control Method'!$A$26:$A$34,0)),E50)</f>
        <v/>
      </c>
      <c r="K50" s="418">
        <f>I50*J50</f>
        <v/>
      </c>
      <c r="L50" s="406" t="inlineStr">
        <is>
          <t>Maturity represents implementation/operating quality. Coverage represents the in-scope population covered. Evidence supports the maturity judgement. Numerical TTP-control efficacy is calculated on 13 TTP-Control Map.</t>
        </is>
      </c>
    </row>
    <row r="51" ht="54.75" customHeight="1" s="508">
      <c r="A51" s="406" t="inlineStr">
        <is>
          <t>M0922</t>
        </is>
      </c>
      <c r="B51" s="406" t="inlineStr">
        <is>
          <t>Restrict File and Directory Permissions</t>
        </is>
      </c>
      <c r="C51" s="406" t="inlineStr">
        <is>
          <t>Prevent / Resist</t>
        </is>
      </c>
      <c r="D51" s="416" t="inlineStr">
        <is>
          <t>Managed</t>
        </is>
      </c>
      <c r="E51" s="417" t="n"/>
      <c r="F51" s="416" t="inlineStr">
        <is>
          <t>No</t>
        </is>
      </c>
      <c r="G51" s="416" t="inlineStr">
        <is>
          <t>n/a</t>
        </is>
      </c>
      <c r="H51" s="416" t="n"/>
      <c r="I51" s="418">
        <f>IF(D51="Not Assessed",INDEX('OT CORE - Control Method'!$B$16:$B$20,MATCH("Developing",'OT CORE - Control Method'!$A$16:$A$20,0)),INDEX('OT CORE - Control Method'!$B$16:$B$20,MATCH(D51,'OT CORE - Control Method'!$A$16:$A$20,0)))</f>
        <v/>
      </c>
      <c r="J51" s="418">
        <f>IF(E51="",INDEX('OT CORE - Control Method'!$B$26:$B$34,MATCH("DEFAULT_COVERAGE",'OT CORE - Control Method'!$A$26:$A$34,0)),E51)</f>
        <v/>
      </c>
      <c r="K51" s="418">
        <f>I51*J51</f>
        <v/>
      </c>
      <c r="L51" s="406" t="inlineStr">
        <is>
          <t>Maturity represents implementation/operating quality. Coverage represents the in-scope population covered. Evidence supports the maturity judgement. Numerical TTP-control efficacy is calculated on 13 TTP-Control Map.</t>
        </is>
      </c>
    </row>
    <row r="52" ht="54.75" customHeight="1" s="508">
      <c r="A52" s="406" t="inlineStr">
        <is>
          <t>M0944</t>
        </is>
      </c>
      <c r="B52" s="406" t="inlineStr">
        <is>
          <t>Restrict Library Loading</t>
        </is>
      </c>
      <c r="C52" s="406" t="inlineStr">
        <is>
          <t>Prevent / Resist</t>
        </is>
      </c>
      <c r="D52" s="416" t="inlineStr">
        <is>
          <t>Managed</t>
        </is>
      </c>
      <c r="E52" s="417" t="n"/>
      <c r="F52" s="416" t="inlineStr">
        <is>
          <t>No</t>
        </is>
      </c>
      <c r="G52" s="416" t="inlineStr">
        <is>
          <t>n/a</t>
        </is>
      </c>
      <c r="H52" s="416" t="n"/>
      <c r="I52" s="418">
        <f>IF(D52="Not Assessed",INDEX('OT CORE - Control Method'!$B$16:$B$20,MATCH("Developing",'OT CORE - Control Method'!$A$16:$A$20,0)),INDEX('OT CORE - Control Method'!$B$16:$B$20,MATCH(D52,'OT CORE - Control Method'!$A$16:$A$20,0)))</f>
        <v/>
      </c>
      <c r="J52" s="418">
        <f>IF(E52="",INDEX('OT CORE - Control Method'!$B$26:$B$34,MATCH("DEFAULT_COVERAGE",'OT CORE - Control Method'!$A$26:$A$34,0)),E52)</f>
        <v/>
      </c>
      <c r="K52" s="418">
        <f>I52*J52</f>
        <v/>
      </c>
      <c r="L52" s="406" t="inlineStr">
        <is>
          <t>Maturity represents implementation/operating quality. Coverage represents the in-scope population covered. Evidence supports the maturity judgement. Numerical TTP-control efficacy is calculated on 13 TTP-Control Map.</t>
        </is>
      </c>
    </row>
    <row r="53" ht="54.75" customHeight="1" s="508">
      <c r="A53" s="406" t="inlineStr">
        <is>
          <t>M0924</t>
        </is>
      </c>
      <c r="B53" s="406" t="inlineStr">
        <is>
          <t>Restrict Registry Permissions</t>
        </is>
      </c>
      <c r="C53" s="406" t="inlineStr">
        <is>
          <t>Prevent / Resist</t>
        </is>
      </c>
      <c r="D53" s="416" t="inlineStr">
        <is>
          <t>Managed</t>
        </is>
      </c>
      <c r="E53" s="417" t="n"/>
      <c r="F53" s="416" t="inlineStr">
        <is>
          <t>No</t>
        </is>
      </c>
      <c r="G53" s="416" t="inlineStr">
        <is>
          <t>n/a</t>
        </is>
      </c>
      <c r="H53" s="416" t="n"/>
      <c r="I53" s="418">
        <f>IF(D53="Not Assessed",INDEX('OT CORE - Control Method'!$B$16:$B$20,MATCH("Developing",'OT CORE - Control Method'!$A$16:$A$20,0)),INDEX('OT CORE - Control Method'!$B$16:$B$20,MATCH(D53,'OT CORE - Control Method'!$A$16:$A$20,0)))</f>
        <v/>
      </c>
      <c r="J53" s="418">
        <f>IF(E53="",INDEX('OT CORE - Control Method'!$B$26:$B$34,MATCH("DEFAULT_COVERAGE",'OT CORE - Control Method'!$A$26:$A$34,0)),E53)</f>
        <v/>
      </c>
      <c r="K53" s="418">
        <f>I53*J53</f>
        <v/>
      </c>
      <c r="L53" s="406" t="inlineStr">
        <is>
          <t>Maturity represents implementation/operating quality. Coverage represents the in-scope population covered. Evidence supports the maturity judgement. Numerical TTP-control efficacy is calculated on 13 TTP-Control Map.</t>
        </is>
      </c>
    </row>
    <row r="54" ht="54.75" customHeight="1" s="508">
      <c r="A54" s="406" t="inlineStr">
        <is>
          <t>M0921</t>
        </is>
      </c>
      <c r="B54" s="406" t="inlineStr">
        <is>
          <t>Restrict Web-Based Content</t>
        </is>
      </c>
      <c r="C54" s="406" t="inlineStr">
        <is>
          <t>Prevent / Resist</t>
        </is>
      </c>
      <c r="D54" s="416" t="inlineStr">
        <is>
          <t>Managed</t>
        </is>
      </c>
      <c r="E54" s="417" t="n"/>
      <c r="F54" s="416" t="inlineStr">
        <is>
          <t>No</t>
        </is>
      </c>
      <c r="G54" s="416" t="inlineStr">
        <is>
          <t>n/a</t>
        </is>
      </c>
      <c r="H54" s="416" t="n"/>
      <c r="I54" s="418">
        <f>IF(D54="Not Assessed",INDEX('OT CORE - Control Method'!$B$16:$B$20,MATCH("Developing",'OT CORE - Control Method'!$A$16:$A$20,0)),INDEX('OT CORE - Control Method'!$B$16:$B$20,MATCH(D54,'OT CORE - Control Method'!$A$16:$A$20,0)))</f>
        <v/>
      </c>
      <c r="J54" s="418">
        <f>IF(E54="",INDEX('OT CORE - Control Method'!$B$26:$B$34,MATCH("DEFAULT_COVERAGE",'OT CORE - Control Method'!$A$26:$A$34,0)),E54)</f>
        <v/>
      </c>
      <c r="K54" s="418">
        <f>I54*J54</f>
        <v/>
      </c>
      <c r="L54" s="406" t="inlineStr">
        <is>
          <t>Maturity represents implementation/operating quality. Coverage represents the in-scope population covered. Evidence supports the maturity judgement. Numerical TTP-control efficacy is calculated on 13 TTP-Control Map.</t>
        </is>
      </c>
    </row>
    <row r="55" ht="54.75" customHeight="1" s="508">
      <c r="A55" s="406" t="inlineStr">
        <is>
          <t>M0920</t>
        </is>
      </c>
      <c r="B55" s="406" t="inlineStr">
        <is>
          <t>SSL/TLS Inspection</t>
        </is>
      </c>
      <c r="C55" s="406" t="inlineStr">
        <is>
          <t>Detect / Contain</t>
        </is>
      </c>
      <c r="D55" s="416" t="inlineStr">
        <is>
          <t>Managed</t>
        </is>
      </c>
      <c r="E55" s="417" t="n"/>
      <c r="F55" s="416" t="inlineStr">
        <is>
          <t>No</t>
        </is>
      </c>
      <c r="G55" s="416" t="inlineStr">
        <is>
          <t>n/a</t>
        </is>
      </c>
      <c r="H55" s="416" t="n"/>
      <c r="I55" s="418">
        <f>IF(D55="Not Assessed",INDEX('OT CORE - Control Method'!$B$16:$B$20,MATCH("Developing",'OT CORE - Control Method'!$A$16:$A$20,0)),INDEX('OT CORE - Control Method'!$B$16:$B$20,MATCH(D55,'OT CORE - Control Method'!$A$16:$A$20,0)))</f>
        <v/>
      </c>
      <c r="J55" s="418">
        <f>IF(E55="",INDEX('OT CORE - Control Method'!$B$26:$B$34,MATCH("DEFAULT_COVERAGE",'OT CORE - Control Method'!$A$26:$A$34,0)),E55)</f>
        <v/>
      </c>
      <c r="K55" s="418">
        <f>I55*J55</f>
        <v/>
      </c>
      <c r="L55" s="406" t="inlineStr">
        <is>
          <t>Maturity represents implementation/operating quality. Coverage represents the in-scope population covered. Evidence supports the maturity judgement. Numerical TTP-control efficacy is calculated on 13 TTP-Control Map.</t>
        </is>
      </c>
    </row>
    <row r="56" ht="54.75" customHeight="1" s="508">
      <c r="A56" s="406" t="inlineStr">
        <is>
          <t>M0812</t>
        </is>
      </c>
      <c r="B56" s="406" t="inlineStr">
        <is>
          <t>Safety Instrumented Systems</t>
        </is>
      </c>
      <c r="C56" s="406" t="inlineStr">
        <is>
          <t>Safety / Resilience</t>
        </is>
      </c>
      <c r="D56" s="416" t="inlineStr">
        <is>
          <t>Managed</t>
        </is>
      </c>
      <c r="E56" s="417" t="n"/>
      <c r="F56" s="416" t="inlineStr">
        <is>
          <t>No</t>
        </is>
      </c>
      <c r="G56" s="416" t="inlineStr">
        <is>
          <t>n/a</t>
        </is>
      </c>
      <c r="H56" s="416" t="n"/>
      <c r="I56" s="418">
        <f>IF(D56="Not Assessed",INDEX('OT CORE - Control Method'!$B$16:$B$20,MATCH("Developing",'OT CORE - Control Method'!$A$16:$A$20,0)),INDEX('OT CORE - Control Method'!$B$16:$B$20,MATCH(D56,'OT CORE - Control Method'!$A$16:$A$20,0)))</f>
        <v/>
      </c>
      <c r="J56" s="418">
        <f>IF(E56="",INDEX('OT CORE - Control Method'!$B$26:$B$34,MATCH("DEFAULT_COVERAGE",'OT CORE - Control Method'!$A$26:$A$34,0)),E56)</f>
        <v/>
      </c>
      <c r="K56" s="418">
        <f>I56*J56</f>
        <v/>
      </c>
      <c r="L56" s="406" t="inlineStr">
        <is>
          <t>Maturity represents implementation/operating quality. Coverage represents the in-scope population covered. Evidence supports the maturity judgement. Numerical TTP-control efficacy is calculated on 13 TTP-Control Map.</t>
        </is>
      </c>
    </row>
    <row r="57" ht="54.75" customHeight="1" s="508">
      <c r="A57" s="406" t="inlineStr">
        <is>
          <t>M0954</t>
        </is>
      </c>
      <c r="B57" s="406" t="inlineStr">
        <is>
          <t>Software Configuration</t>
        </is>
      </c>
      <c r="C57" s="406" t="inlineStr">
        <is>
          <t>Prevent / Resist</t>
        </is>
      </c>
      <c r="D57" s="416" t="inlineStr">
        <is>
          <t>Managed</t>
        </is>
      </c>
      <c r="E57" s="417" t="n"/>
      <c r="F57" s="416" t="inlineStr">
        <is>
          <t>No</t>
        </is>
      </c>
      <c r="G57" s="416" t="inlineStr">
        <is>
          <t>n/a</t>
        </is>
      </c>
      <c r="H57" s="416" t="n"/>
      <c r="I57" s="418">
        <f>IF(D57="Not Assessed",INDEX('OT CORE - Control Method'!$B$16:$B$20,MATCH("Developing",'OT CORE - Control Method'!$A$16:$A$20,0)),INDEX('OT CORE - Control Method'!$B$16:$B$20,MATCH(D57,'OT CORE - Control Method'!$A$16:$A$20,0)))</f>
        <v/>
      </c>
      <c r="J57" s="418">
        <f>IF(E57="",INDEX('OT CORE - Control Method'!$B$26:$B$34,MATCH("DEFAULT_COVERAGE",'OT CORE - Control Method'!$A$26:$A$34,0)),E57)</f>
        <v/>
      </c>
      <c r="K57" s="418">
        <f>I57*J57</f>
        <v/>
      </c>
      <c r="L57" s="406" t="inlineStr">
        <is>
          <t>Maturity represents implementation/operating quality. Coverage represents the in-scope population covered. Evidence supports the maturity judgement. Numerical TTP-control efficacy is calculated on 13 TTP-Control Map.</t>
        </is>
      </c>
    </row>
    <row r="58" ht="54.75" customHeight="1" s="508">
      <c r="A58" s="406" t="inlineStr">
        <is>
          <t>M0813</t>
        </is>
      </c>
      <c r="B58" s="406" t="inlineStr">
        <is>
          <t>Software Process and Device Authentication</t>
        </is>
      </c>
      <c r="C58" s="406" t="inlineStr">
        <is>
          <t>Prevent / Resist</t>
        </is>
      </c>
      <c r="D58" s="416" t="inlineStr">
        <is>
          <t>Managed</t>
        </is>
      </c>
      <c r="E58" s="417" t="n"/>
      <c r="F58" s="416" t="inlineStr">
        <is>
          <t>No</t>
        </is>
      </c>
      <c r="G58" s="416" t="inlineStr">
        <is>
          <t>n/a</t>
        </is>
      </c>
      <c r="H58" s="416" t="n"/>
      <c r="I58" s="418">
        <f>IF(D58="Not Assessed",INDEX('OT CORE - Control Method'!$B$16:$B$20,MATCH("Developing",'OT CORE - Control Method'!$A$16:$A$20,0)),INDEX('OT CORE - Control Method'!$B$16:$B$20,MATCH(D58,'OT CORE - Control Method'!$A$16:$A$20,0)))</f>
        <v/>
      </c>
      <c r="J58" s="418">
        <f>IF(E58="",INDEX('OT CORE - Control Method'!$B$26:$B$34,MATCH("DEFAULT_COVERAGE",'OT CORE - Control Method'!$A$26:$A$34,0)),E58)</f>
        <v/>
      </c>
      <c r="K58" s="418">
        <f>I58*J58</f>
        <v/>
      </c>
      <c r="L58" s="406" t="inlineStr">
        <is>
          <t>Maturity represents implementation/operating quality. Coverage represents the in-scope population covered. Evidence supports the maturity judgement. Numerical TTP-control efficacy is calculated on 13 TTP-Control Map.</t>
        </is>
      </c>
    </row>
    <row r="59" ht="54.75" customHeight="1" s="508">
      <c r="A59" s="406" t="inlineStr">
        <is>
          <t>M0814</t>
        </is>
      </c>
      <c r="B59" s="406" t="inlineStr">
        <is>
          <t>Static Network Configuration</t>
        </is>
      </c>
      <c r="C59" s="406" t="inlineStr">
        <is>
          <t>Prevent / Resist</t>
        </is>
      </c>
      <c r="D59" s="416" t="inlineStr">
        <is>
          <t>Managed</t>
        </is>
      </c>
      <c r="E59" s="417" t="n"/>
      <c r="F59" s="416" t="inlineStr">
        <is>
          <t>No</t>
        </is>
      </c>
      <c r="G59" s="416" t="inlineStr">
        <is>
          <t>n/a</t>
        </is>
      </c>
      <c r="H59" s="416" t="n"/>
      <c r="I59" s="418">
        <f>IF(D59="Not Assessed",INDEX('OT CORE - Control Method'!$B$16:$B$20,MATCH("Developing",'OT CORE - Control Method'!$A$16:$A$20,0)),INDEX('OT CORE - Control Method'!$B$16:$B$20,MATCH(D59,'OT CORE - Control Method'!$A$16:$A$20,0)))</f>
        <v/>
      </c>
      <c r="J59" s="418">
        <f>IF(E59="",INDEX('OT CORE - Control Method'!$B$26:$B$34,MATCH("DEFAULT_COVERAGE",'OT CORE - Control Method'!$A$26:$A$34,0)),E59)</f>
        <v/>
      </c>
      <c r="K59" s="418">
        <f>I59*J59</f>
        <v/>
      </c>
      <c r="L59" s="406" t="inlineStr">
        <is>
          <t>Maturity represents implementation/operating quality. Coverage represents the in-scope population covered. Evidence supports the maturity judgement. Numerical TTP-control efficacy is calculated on 13 TTP-Control Map.</t>
        </is>
      </c>
    </row>
    <row r="60" ht="54.75" customHeight="1" s="508">
      <c r="A60" s="406" t="inlineStr">
        <is>
          <t>M0817</t>
        </is>
      </c>
      <c r="B60" s="406" t="inlineStr">
        <is>
          <t>Supply Chain Management</t>
        </is>
      </c>
      <c r="C60" s="406" t="inlineStr">
        <is>
          <t>Prevent / Resist</t>
        </is>
      </c>
      <c r="D60" s="416" t="inlineStr">
        <is>
          <t>Managed</t>
        </is>
      </c>
      <c r="E60" s="417" t="n"/>
      <c r="F60" s="416" t="inlineStr">
        <is>
          <t>No</t>
        </is>
      </c>
      <c r="G60" s="416" t="inlineStr">
        <is>
          <t>n/a</t>
        </is>
      </c>
      <c r="H60" s="416" t="n"/>
      <c r="I60" s="418">
        <f>IF(D60="Not Assessed",INDEX('OT CORE - Control Method'!$B$16:$B$20,MATCH("Developing",'OT CORE - Control Method'!$A$16:$A$20,0)),INDEX('OT CORE - Control Method'!$B$16:$B$20,MATCH(D60,'OT CORE - Control Method'!$A$16:$A$20,0)))</f>
        <v/>
      </c>
      <c r="J60" s="418">
        <f>IF(E60="",INDEX('OT CORE - Control Method'!$B$26:$B$34,MATCH("DEFAULT_COVERAGE",'OT CORE - Control Method'!$A$26:$A$34,0)),E60)</f>
        <v/>
      </c>
      <c r="K60" s="418">
        <f>I60*J60</f>
        <v/>
      </c>
      <c r="L60" s="406" t="inlineStr">
        <is>
          <t>Maturity represents implementation/operating quality. Coverage represents the in-scope population covered. Evidence supports the maturity judgement. Numerical TTP-control efficacy is calculated on 13 TTP-Control Map.</t>
        </is>
      </c>
    </row>
    <row r="61" ht="54.75" customHeight="1" s="508">
      <c r="A61" s="406" t="inlineStr">
        <is>
          <t>M0919</t>
        </is>
      </c>
      <c r="B61" s="406" t="inlineStr">
        <is>
          <t>Threat Intelligence Program</t>
        </is>
      </c>
      <c r="C61" s="406" t="inlineStr">
        <is>
          <t>Detect / Contain</t>
        </is>
      </c>
      <c r="D61" s="416" t="inlineStr">
        <is>
          <t>Managed</t>
        </is>
      </c>
      <c r="E61" s="417" t="n"/>
      <c r="F61" s="416" t="inlineStr">
        <is>
          <t>No</t>
        </is>
      </c>
      <c r="G61" s="416" t="inlineStr">
        <is>
          <t>n/a</t>
        </is>
      </c>
      <c r="H61" s="416" t="n"/>
      <c r="I61" s="418">
        <f>IF(D61="Not Assessed",INDEX('OT CORE - Control Method'!$B$16:$B$20,MATCH("Developing",'OT CORE - Control Method'!$A$16:$A$20,0)),INDEX('OT CORE - Control Method'!$B$16:$B$20,MATCH(D61,'OT CORE - Control Method'!$A$16:$A$20,0)))</f>
        <v/>
      </c>
      <c r="J61" s="418">
        <f>IF(E61="",INDEX('OT CORE - Control Method'!$B$26:$B$34,MATCH("DEFAULT_COVERAGE",'OT CORE - Control Method'!$A$26:$A$34,0)),E61)</f>
        <v/>
      </c>
      <c r="K61" s="418">
        <f>I61*J61</f>
        <v/>
      </c>
      <c r="L61" s="406" t="inlineStr">
        <is>
          <t>Maturity represents implementation/operating quality. Coverage represents the in-scope population covered. Evidence supports the maturity judgement. Numerical TTP-control efficacy is calculated on 13 TTP-Control Map.</t>
        </is>
      </c>
    </row>
    <row r="62" ht="54.75" customHeight="1" s="508">
      <c r="A62" s="406" t="inlineStr">
        <is>
          <t>M0951</t>
        </is>
      </c>
      <c r="B62" s="406" t="inlineStr">
        <is>
          <t>Update Software</t>
        </is>
      </c>
      <c r="C62" s="406" t="inlineStr">
        <is>
          <t>Prevent / Resist</t>
        </is>
      </c>
      <c r="D62" s="416" t="inlineStr">
        <is>
          <t>Managed</t>
        </is>
      </c>
      <c r="E62" s="417" t="n"/>
      <c r="F62" s="416" t="inlineStr">
        <is>
          <t>No</t>
        </is>
      </c>
      <c r="G62" s="416" t="inlineStr">
        <is>
          <t>n/a</t>
        </is>
      </c>
      <c r="H62" s="416" t="n"/>
      <c r="I62" s="418">
        <f>IF(D62="Not Assessed",INDEX('OT CORE - Control Method'!$B$16:$B$20,MATCH("Developing",'OT CORE - Control Method'!$A$16:$A$20,0)),INDEX('OT CORE - Control Method'!$B$16:$B$20,MATCH(D62,'OT CORE - Control Method'!$A$16:$A$20,0)))</f>
        <v/>
      </c>
      <c r="J62" s="418">
        <f>IF(E62="",INDEX('OT CORE - Control Method'!$B$26:$B$34,MATCH("DEFAULT_COVERAGE",'OT CORE - Control Method'!$A$26:$A$34,0)),E62)</f>
        <v/>
      </c>
      <c r="K62" s="418">
        <f>I62*J62</f>
        <v/>
      </c>
      <c r="L62" s="406" t="inlineStr">
        <is>
          <t>Maturity represents implementation/operating quality. Coverage represents the in-scope population covered. Evidence supports the maturity judgement. Numerical TTP-control efficacy is calculated on 13 TTP-Control Map.</t>
        </is>
      </c>
    </row>
    <row r="63" ht="54.75" customHeight="1" s="508">
      <c r="A63" s="406" t="inlineStr">
        <is>
          <t>M0918</t>
        </is>
      </c>
      <c r="B63" s="406" t="inlineStr">
        <is>
          <t>User Account Management</t>
        </is>
      </c>
      <c r="C63" s="406" t="inlineStr">
        <is>
          <t>Prevent / Resist</t>
        </is>
      </c>
      <c r="D63" s="416" t="inlineStr">
        <is>
          <t>Managed</t>
        </is>
      </c>
      <c r="E63" s="417" t="n"/>
      <c r="F63" s="416" t="inlineStr">
        <is>
          <t>No</t>
        </is>
      </c>
      <c r="G63" s="416" t="inlineStr">
        <is>
          <t>n/a</t>
        </is>
      </c>
      <c r="H63" s="416" t="n"/>
      <c r="I63" s="418">
        <f>IF(D63="Not Assessed",INDEX('OT CORE - Control Method'!$B$16:$B$20,MATCH("Developing",'OT CORE - Control Method'!$A$16:$A$20,0)),INDEX('OT CORE - Control Method'!$B$16:$B$20,MATCH(D63,'OT CORE - Control Method'!$A$16:$A$20,0)))</f>
        <v/>
      </c>
      <c r="J63" s="418">
        <f>IF(E63="",INDEX('OT CORE - Control Method'!$B$26:$B$34,MATCH("DEFAULT_COVERAGE",'OT CORE - Control Method'!$A$26:$A$34,0)),E63)</f>
        <v/>
      </c>
      <c r="K63" s="418">
        <f>I63*J63</f>
        <v/>
      </c>
      <c r="L63" s="406" t="inlineStr">
        <is>
          <t>Maturity represents implementation/operating quality. Coverage represents the in-scope population covered. Evidence supports the maturity judgement. Numerical TTP-control efficacy is calculated on 13 TTP-Control Map.</t>
        </is>
      </c>
    </row>
    <row r="64" ht="54.75" customHeight="1" s="508">
      <c r="A64" s="406" t="inlineStr">
        <is>
          <t>M0917</t>
        </is>
      </c>
      <c r="B64" s="406" t="inlineStr">
        <is>
          <t>User Training</t>
        </is>
      </c>
      <c r="C64" s="406" t="inlineStr">
        <is>
          <t>Prevent / Resist</t>
        </is>
      </c>
      <c r="D64" s="416" t="inlineStr">
        <is>
          <t>Managed</t>
        </is>
      </c>
      <c r="E64" s="417" t="n"/>
      <c r="F64" s="416" t="inlineStr">
        <is>
          <t>No</t>
        </is>
      </c>
      <c r="G64" s="416" t="inlineStr">
        <is>
          <t>n/a</t>
        </is>
      </c>
      <c r="H64" s="416" t="n"/>
      <c r="I64" s="418">
        <f>IF(D64="Not Assessed",INDEX('OT CORE - Control Method'!$B$16:$B$20,MATCH("Developing",'OT CORE - Control Method'!$A$16:$A$20,0)),INDEX('OT CORE - Control Method'!$B$16:$B$20,MATCH(D64,'OT CORE - Control Method'!$A$16:$A$20,0)))</f>
        <v/>
      </c>
      <c r="J64" s="418">
        <f>IF(E64="",INDEX('OT CORE - Control Method'!$B$26:$B$34,MATCH("DEFAULT_COVERAGE",'OT CORE - Control Method'!$A$26:$A$34,0)),E64)</f>
        <v/>
      </c>
      <c r="K64" s="418">
        <f>I64*J64</f>
        <v/>
      </c>
      <c r="L64" s="406" t="inlineStr">
        <is>
          <t>Maturity represents implementation/operating quality. Coverage represents the in-scope population covered. Evidence supports the maturity judgement. Numerical TTP-control efficacy is calculated on 13 TTP-Control Map.</t>
        </is>
      </c>
    </row>
    <row r="65" ht="54.75" customHeight="1" s="508">
      <c r="A65" s="406" t="inlineStr">
        <is>
          <t>M0818</t>
        </is>
      </c>
      <c r="B65" s="406" t="inlineStr">
        <is>
          <t>Validate Program Inputs</t>
        </is>
      </c>
      <c r="C65" s="406" t="inlineStr">
        <is>
          <t>Prevent / Resist</t>
        </is>
      </c>
      <c r="D65" s="416" t="inlineStr">
        <is>
          <t>Managed</t>
        </is>
      </c>
      <c r="E65" s="417" t="n"/>
      <c r="F65" s="416" t="inlineStr">
        <is>
          <t>No</t>
        </is>
      </c>
      <c r="G65" s="416" t="inlineStr">
        <is>
          <t>n/a</t>
        </is>
      </c>
      <c r="H65" s="416" t="n"/>
      <c r="I65" s="418">
        <f>IF(D65="Not Assessed",INDEX('OT CORE - Control Method'!$B$16:$B$20,MATCH("Developing",'OT CORE - Control Method'!$A$16:$A$20,0)),INDEX('OT CORE - Control Method'!$B$16:$B$20,MATCH(D65,'OT CORE - Control Method'!$A$16:$A$20,0)))</f>
        <v/>
      </c>
      <c r="J65" s="418">
        <f>IF(E65="",INDEX('OT CORE - Control Method'!$B$26:$B$34,MATCH("DEFAULT_COVERAGE",'OT CORE - Control Method'!$A$26:$A$34,0)),E65)</f>
        <v/>
      </c>
      <c r="K65" s="418">
        <f>I65*J65</f>
        <v/>
      </c>
      <c r="L65" s="406" t="inlineStr">
        <is>
          <t>Maturity represents implementation/operating quality. Coverage represents the in-scope population covered. Evidence supports the maturity judgement. Numerical TTP-control efficacy is calculated on 13 TTP-Control Map.</t>
        </is>
      </c>
    </row>
    <row r="66" ht="54.75" customHeight="1" s="508">
      <c r="A66" s="406" t="inlineStr">
        <is>
          <t>M0916</t>
        </is>
      </c>
      <c r="B66" s="406" t="inlineStr">
        <is>
          <t>Vulnerability Scanning</t>
        </is>
      </c>
      <c r="C66" s="406" t="inlineStr">
        <is>
          <t>Detect / Contain</t>
        </is>
      </c>
      <c r="D66" s="416" t="inlineStr">
        <is>
          <t>Managed</t>
        </is>
      </c>
      <c r="E66" s="417" t="n"/>
      <c r="F66" s="416" t="inlineStr">
        <is>
          <t>No</t>
        </is>
      </c>
      <c r="G66" s="416" t="inlineStr">
        <is>
          <t>n/a</t>
        </is>
      </c>
      <c r="H66" s="416" t="n"/>
      <c r="I66" s="418">
        <f>IF(D66="Not Assessed",INDEX('OT CORE - Control Method'!$B$16:$B$20,MATCH("Developing",'OT CORE - Control Method'!$A$16:$A$20,0)),INDEX('OT CORE - Control Method'!$B$16:$B$20,MATCH(D66,'OT CORE - Control Method'!$A$16:$A$20,0)))</f>
        <v/>
      </c>
      <c r="J66" s="418">
        <f>IF(E66="",INDEX('OT CORE - Control Method'!$B$26:$B$34,MATCH("DEFAULT_COVERAGE",'OT CORE - Control Method'!$A$26:$A$34,0)),E66)</f>
        <v/>
      </c>
      <c r="K66" s="418">
        <f>I66*J66</f>
        <v/>
      </c>
      <c r="L66" s="406" t="inlineStr">
        <is>
          <t>Maturity represents implementation/operating quality. Coverage represents the in-scope population covered. Evidence supports the maturity judgement. Numerical TTP-control efficacy is calculated on 13 TTP-Control Map.</t>
        </is>
      </c>
    </row>
    <row r="67" ht="54.75" customHeight="1" s="508">
      <c r="A67" s="406" t="inlineStr">
        <is>
          <t>M0815</t>
        </is>
      </c>
      <c r="B67" s="406" t="inlineStr">
        <is>
          <t>Watchdog Timers</t>
        </is>
      </c>
      <c r="C67" s="406" t="inlineStr">
        <is>
          <t>Safety / Resilience</t>
        </is>
      </c>
      <c r="D67" s="416" t="inlineStr">
        <is>
          <t>Managed</t>
        </is>
      </c>
      <c r="E67" s="417" t="n"/>
      <c r="F67" s="416" t="inlineStr">
        <is>
          <t>No</t>
        </is>
      </c>
      <c r="G67" s="416" t="inlineStr">
        <is>
          <t>n/a</t>
        </is>
      </c>
      <c r="H67" s="416" t="n"/>
      <c r="I67" s="418">
        <f>IF(D67="Not Assessed",INDEX('OT CORE - Control Method'!$B$16:$B$20,MATCH("Developing",'OT CORE - Control Method'!$A$16:$A$20,0)),INDEX('OT CORE - Control Method'!$B$16:$B$20,MATCH(D67,'OT CORE - Control Method'!$A$16:$A$20,0)))</f>
        <v/>
      </c>
      <c r="J67" s="418">
        <f>IF(E67="",INDEX('OT CORE - Control Method'!$B$26:$B$34,MATCH("DEFAULT_COVERAGE",'OT CORE - Control Method'!$A$26:$A$34,0)),E67)</f>
        <v/>
      </c>
      <c r="K67" s="418">
        <f>I67*J67</f>
        <v/>
      </c>
      <c r="L67" s="406" t="inlineStr">
        <is>
          <t>Maturity represents implementation/operating quality. Coverage represents the in-scope population covered. Evidence supports the maturity judgement. Numerical TTP-control efficacy is calculated on 13 TTP-Control Map.</t>
        </is>
      </c>
    </row>
    <row r="71" ht="15" customHeight="1" s="508">
      <c r="A71" s="414" t="inlineStr">
        <is>
          <t>CONTROL ASSESSMENT FIELD GUIDE</t>
        </is>
      </c>
    </row>
    <row r="73" ht="15" customHeight="1" s="508">
      <c r="A73" s="408" t="inlineStr">
        <is>
          <t>Field</t>
        </is>
      </c>
      <c r="B73" s="408" t="inlineStr">
        <is>
          <t>Who assesses it?</t>
        </is>
      </c>
      <c r="C73" s="408" t="inlineStr">
        <is>
          <t>Numerical effect?</t>
        </is>
      </c>
      <c r="D73" s="408" t="inlineStr">
        <is>
          <t>Interpretation / model use</t>
        </is>
      </c>
    </row>
    <row r="74" ht="27.75" customHeight="1" s="508">
      <c r="A74" s="406" t="inlineStr">
        <is>
          <t>Maturity</t>
        </is>
      </c>
      <c r="B74" s="406" t="inlineStr">
        <is>
          <t>Assessor</t>
        </is>
      </c>
      <c r="C74" s="406" t="inlineStr">
        <is>
          <t>Yes</t>
        </is>
      </c>
      <c r="D74" s="406" t="inlineStr">
        <is>
          <t>Implementation and operating quality. This is the model's implementation-quality assessment.</t>
        </is>
      </c>
    </row>
    <row r="75" ht="15" customHeight="1" s="508">
      <c r="A75" s="406" t="inlineStr">
        <is>
          <t>Coverage (user)</t>
        </is>
      </c>
      <c r="B75" s="406" t="inlineStr">
        <is>
          <t>Assessor</t>
        </is>
      </c>
      <c r="C75" s="406" t="inlineStr">
        <is>
          <t>Yes</t>
        </is>
      </c>
      <c r="D75" s="406" t="inlineStr">
        <is>
          <t>Share of the relevant in-scope environment covered. Blank uses 75%.</t>
        </is>
      </c>
    </row>
    <row r="76" ht="15" customHeight="1" s="508">
      <c r="A76" s="406" t="inlineStr">
        <is>
          <t>Tested?</t>
        </is>
      </c>
      <c r="B76" s="406" t="inlineStr">
        <is>
          <t>Assessor/evidence</t>
        </is>
      </c>
      <c r="C76" s="406" t="inlineStr">
        <is>
          <t>No direct multiplier</t>
        </is>
      </c>
      <c r="D76" s="406" t="inlineStr">
        <is>
          <t>Supports the maturity judgement and audit trail.</t>
        </is>
      </c>
    </row>
    <row r="77" ht="15" customHeight="1" s="508">
      <c r="A77" s="406" t="inlineStr">
        <is>
          <t>Test result</t>
        </is>
      </c>
      <c r="B77" s="406" t="inlineStr">
        <is>
          <t>Assessor/evidence</t>
        </is>
      </c>
      <c r="C77" s="406" t="inlineStr">
        <is>
          <t>No direct multiplier</t>
        </is>
      </c>
      <c r="D77" s="406" t="inlineStr">
        <is>
          <t>Supports the maturity judgement and audit trail.</t>
        </is>
      </c>
    </row>
    <row r="78" ht="15" customHeight="1" s="508">
      <c r="A78" s="406" t="inlineStr">
        <is>
          <t>Evidence reference</t>
        </is>
      </c>
      <c r="B78" s="406" t="inlineStr">
        <is>
          <t>Assessor/evidence</t>
        </is>
      </c>
      <c r="C78" s="406" t="inlineStr">
        <is>
          <t>No direct multiplier</t>
        </is>
      </c>
      <c r="D78" s="406" t="inlineStr">
        <is>
          <t>Links the judgement to evidence.</t>
        </is>
      </c>
    </row>
    <row r="79" ht="27.75" customHeight="1" s="508">
      <c r="A79" s="406" t="inlineStr">
        <is>
          <t>Maturity factor</t>
        </is>
      </c>
      <c r="B79" s="406" t="inlineStr">
        <is>
          <t>Formula-linked</t>
        </is>
      </c>
      <c r="C79" s="406" t="inlineStr">
        <is>
          <t>Yes</t>
        </is>
      </c>
      <c r="D79" s="406" t="inlineStr">
        <is>
          <t>Lookup from 07 Control Assumptions; Not Assessed defaults to Developing = 0.50.</t>
        </is>
      </c>
    </row>
    <row r="80" ht="15" customHeight="1" s="508">
      <c r="A80" s="406" t="inlineStr">
        <is>
          <t>Implementation factor</t>
        </is>
      </c>
      <c r="B80" s="406" t="inlineStr">
        <is>
          <t>Formula-linked</t>
        </is>
      </c>
      <c r="C80" s="406" t="inlineStr">
        <is>
          <t>Yes</t>
        </is>
      </c>
      <c r="D80" s="406" t="inlineStr">
        <is>
          <t>Maturity Factor × Coverage Used. It is not itself total cyber-risk reduction.</t>
        </is>
      </c>
    </row>
  </sheetData>
  <mergeCells count="14">
    <mergeCell ref="A2:L2"/>
    <mergeCell ref="A10:L10"/>
    <mergeCell ref="A7:L7"/>
    <mergeCell ref="A71:L71"/>
    <mergeCell ref="A11:L11"/>
    <mergeCell ref="A1:L1"/>
    <mergeCell ref="A5:L5"/>
    <mergeCell ref="A13:L13"/>
    <mergeCell ref="A8:L8"/>
    <mergeCell ref="A6:L6"/>
    <mergeCell ref="A9:L9"/>
    <mergeCell ref="A3:L3"/>
    <mergeCell ref="A12:L12"/>
    <mergeCell ref="A4:L4"/>
  </mergeCells>
  <dataValidations count="2">
    <dataValidation sqref="D16:D67" showDropDown="0" showInputMessage="0" showErrorMessage="0" allowBlank="0" type="list" errorStyle="stop" operator="between">
      <formula1>"Not Assessed,Absent,Initial,Developing,Managed,Optimised"</formula1>
      <formula2>0</formula2>
    </dataValidation>
    <dataValidation sqref="F16:F67" showDropDown="0" showInputMessage="0" showErrorMessage="0" allowBlank="0" type="list" errorStyle="stop" operator="between">
      <formula1>"Yes,No"</formula1>
      <formula2>0</formula2>
    </dataValidation>
  </dataValidations>
  <pageMargins left="0.7" right="0.7" top="0.75" bottom="0.75" header="0.3" footer="0.3"/>
</worksheet>
</file>

<file path=xl/worksheets/sheet28.xml><?xml version="1.0" encoding="utf-8"?>
<worksheet xmlns="http://schemas.openxmlformats.org/spreadsheetml/2006/main">
  <sheetPr>
    <tabColor rgb="007030A0"/>
    <outlinePr summaryBelow="1" summaryRight="1"/>
    <pageSetUpPr/>
  </sheetPr>
  <dimension ref="A1:N178"/>
  <sheetViews>
    <sheetView showGridLines="0" workbookViewId="0">
      <selection activeCell="A1" sqref="A1"/>
    </sheetView>
  </sheetViews>
  <sheetFormatPr baseColWidth="8" defaultColWidth="8.6796875" defaultRowHeight="15"/>
  <cols>
    <col width="24" customWidth="1" style="972" min="1" max="1"/>
    <col width="13" customWidth="1" style="972" min="2" max="2"/>
    <col width="36" customWidth="1" style="508" min="3" max="3"/>
    <col width="18" customWidth="1" style="508" min="4" max="4"/>
    <col width="18" customWidth="1" style="972" min="5" max="5"/>
    <col width="18" customWidth="1" style="972" min="6" max="6"/>
    <col width="18" customWidth="1" style="972" min="7" max="7"/>
    <col width="18" customWidth="1" style="972" min="8" max="8"/>
    <col width="24" customWidth="1" style="972" min="9" max="9"/>
    <col width="18" customWidth="1" style="508" min="10" max="10"/>
    <col width="42" customWidth="1" style="508" min="11" max="11"/>
    <col width="46" customWidth="1" style="508" min="12" max="12"/>
    <col width="16" customWidth="1" style="508" min="13" max="13"/>
    <col width="16" customWidth="1" style="508" min="14" max="14"/>
  </cols>
  <sheetData>
    <row r="1" ht="21.75" customHeight="1" s="508">
      <c r="A1" s="251" t="inlineStr">
        <is>
          <t>05 — OT IMPACT DRIVER MATRIX, BIA &amp; CALIBRATION</t>
        </is>
      </c>
      <c r="B1" s="509" t="n"/>
      <c r="C1" s="509" t="n"/>
      <c r="D1" s="509" t="n"/>
      <c r="E1" s="509" t="n"/>
      <c r="F1" s="509" t="n"/>
      <c r="G1" s="509" t="n"/>
      <c r="H1" s="509" t="n"/>
      <c r="I1" s="509" t="n"/>
      <c r="J1" s="509" t="n"/>
      <c r="K1" s="509" t="n"/>
      <c r="L1" s="509" t="n"/>
      <c r="M1" s="509" t="n"/>
      <c r="N1" s="510" t="n"/>
    </row>
    <row r="2" ht="32" customHeight="1" s="508">
      <c r="A2" s="255" t="inlineStr">
        <is>
          <t>Purpose: Build conditional facility impact from the common 18-driver OT BIA, scenario applicability, facility revenue, asset counts, unit rates and P50/P99 operating assumptions across all sector packs.</t>
        </is>
      </c>
    </row>
    <row r="3" ht="32" customHeight="1" s="508">
      <c r="A3" s="1032">
        <f>IF('00 COMMON - Run Setup'!C6="OT","FILL this sheet — OT assessment.","Not used for this run. Complete the IT assessment section only.")</f>
        <v/>
      </c>
    </row>
    <row r="4" ht="32" customHeight="1" s="508">
      <c r="A4" s="258" t="inlineStr">
        <is>
          <t>Enter facility-specific values or overrides only where facility evidence supports departure from the selected OT sector-pack baseline. Pack-owned rows are read-only.</t>
        </is>
      </c>
    </row>
    <row r="5" ht="32" customHeight="1" s="508">
      <c r="A5" s="972" t="n"/>
    </row>
    <row r="6" ht="32" customHeight="1" s="508">
      <c r="A6" s="822" t="inlineStr">
        <is>
          <t>Inputs / upstream sources: Finance and BIA revenue; Operations/Engineering downtime and capacity; asset register; IR/OEM/Legal/HSE rates; incident and claims evidence.</t>
        </is>
      </c>
    </row>
    <row r="7" ht="32" customHeight="1" s="508">
      <c r="A7" s="972" t="n"/>
    </row>
    <row r="8" ht="32" customHeight="1" s="508">
      <c r="A8" s="822" t="inlineStr">
        <is>
          <t>Calculation logic: applicable drivers are calculated from the visible equations. P50 is the conditional median; P99 is the configured conditional stress percentile. BI = revenue ÷ 365 × BI factor × downtime × capacity.</t>
        </is>
      </c>
    </row>
    <row r="9" ht="32" customHeight="1" s="508">
      <c r="A9" s="972" t="n"/>
    </row>
    <row r="10" ht="32" customHeight="1" s="508">
      <c r="A10" s="822" t="inlineStr">
        <is>
          <t>Key assumption: the common 18-driver BIA remains the engine structure across all three sectors. Sector packs on 30–32 now provide scenario downtime/capacity starting points and sector-specific calibration evidence. Current cells remain the Power Generation reference values until a compatible engine / pack loader applies the selected pack or the user replaces them with facility BIA evidence.</t>
        </is>
      </c>
    </row>
    <row r="11" ht="32" customHeight="1" s="508">
      <c r="A11" s="972" t="n"/>
    </row>
    <row r="12" ht="32" customHeight="1" s="508">
      <c r="A12" s="822" t="inlineStr">
        <is>
          <t>Outputs / downstream use: scenario/actor conditional loss in 17, annual AAL and tail risk in 02 and 18–25, and control what-if severity benefits in 20.</t>
        </is>
      </c>
    </row>
    <row r="13" ht="30" customHeight="1" s="508">
      <c r="A13" s="972" t="n"/>
    </row>
    <row r="15" ht="15" customHeight="1" s="508">
      <c r="A15" s="243" t="inlineStr">
        <is>
          <t>Parameter</t>
        </is>
      </c>
      <c r="B15" s="243" t="inlineStr">
        <is>
          <t>Question</t>
        </is>
      </c>
      <c r="C15" s="243" t="inlineStr">
        <is>
          <t>Value</t>
        </is>
      </c>
      <c r="D15" s="243" t="inlineStr">
        <is>
          <t>Unit</t>
        </is>
      </c>
      <c r="E15" s="243" t="inlineStr">
        <is>
          <t>Basis / source</t>
        </is>
      </c>
      <c r="F15" s="243" t="inlineStr">
        <is>
          <t>How used</t>
        </is>
      </c>
    </row>
    <row r="16" ht="15" customHeight="1" s="508">
      <c r="A16" s="972" t="inlineStr">
        <is>
          <t>ANNUAL_REVENUE_AT_RISK</t>
        </is>
      </c>
      <c r="B16" s="972" t="inlineStr">
        <is>
          <t>Annual facility revenue at risk</t>
        </is>
      </c>
      <c r="C16" s="299" t="n">
        <v>1000000000</v>
      </c>
      <c r="D16" s="972" t="inlineStr">
        <is>
          <t>USD/year</t>
        </is>
      </c>
      <c r="E16" s="972" t="inlineStr">
        <is>
          <t>Demo placeholder — replace with Finance/BIA</t>
        </is>
      </c>
      <c r="F16" s="972" t="inlineStr">
        <is>
          <t>BI and revenue-scaled drivers.</t>
        </is>
      </c>
    </row>
    <row r="17" ht="15" customHeight="1" s="508">
      <c r="A17" s="972" t="inlineStr">
        <is>
          <t>BI_LOSS_FACTOR</t>
        </is>
      </c>
      <c r="B17" s="972" t="inlineStr">
        <is>
          <t>BI factor (% of disrupted revenue)</t>
        </is>
      </c>
      <c r="C17" s="269" t="n">
        <v>1</v>
      </c>
      <c r="D17" s="972" t="inlineStr">
        <is>
          <t>share</t>
        </is>
      </c>
      <c r="E17" s="972" t="inlineStr">
        <is>
          <t>Default 100%; reduce only with avoided-cost evidence</t>
        </is>
      </c>
      <c r="F17" s="972" t="inlineStr">
        <is>
          <t>Converts gross revenue disruption to modelled BI.</t>
        </is>
      </c>
    </row>
    <row r="18" ht="15" customHeight="1" s="508">
      <c r="A18" s="972" t="inlineStr">
        <is>
          <t>EMPLOYEES</t>
        </is>
      </c>
      <c r="B18" s="972" t="inlineStr">
        <is>
          <t>Facility employees / contractors in scope</t>
        </is>
      </c>
      <c r="C18" s="300" t="n">
        <v>1000</v>
      </c>
      <c r="D18" s="972" t="inlineStr">
        <is>
          <t>count</t>
        </is>
      </c>
      <c r="E18" s="972" t="inlineStr">
        <is>
          <t>Demo placeholder — optional scaling input</t>
        </is>
      </c>
      <c r="F18" s="972" t="inlineStr">
        <is>
          <t>Recorded for calibration context; not used by a default driver.</t>
        </is>
      </c>
    </row>
    <row r="19" ht="15" customHeight="1" s="508">
      <c r="A19" s="972" t="inlineStr">
        <is>
          <t>CRITICAL_OT_ENDPOINTS</t>
        </is>
      </c>
      <c r="B19" s="972" t="inlineStr">
        <is>
          <t>Critical OT endpoints/controllers in scope</t>
        </is>
      </c>
      <c r="C19" s="300" t="n">
        <v>500</v>
      </c>
      <c r="D19" s="972" t="inlineStr">
        <is>
          <t>count</t>
        </is>
      </c>
      <c r="E19" s="972" t="inlineStr">
        <is>
          <t>Demo placeholder — replace with asset register</t>
        </is>
      </c>
      <c r="F19" s="972" t="inlineStr">
        <is>
          <t>Scales controller/endpoint replacement cost.</t>
        </is>
      </c>
    </row>
    <row r="20">
      <c r="A20" s="972" t="inlineStr">
        <is>
          <t>CRITICAL_OT_SERVERS</t>
        </is>
      </c>
      <c r="B20" s="972" t="inlineStr">
        <is>
          <t>Critical OT servers/engineering systems in scope</t>
        </is>
      </c>
      <c r="C20" s="300" t="n">
        <v>50</v>
      </c>
      <c r="D20" s="972" t="inlineStr">
        <is>
          <t>count</t>
        </is>
      </c>
      <c r="E20" s="972" t="inlineStr">
        <is>
          <t>Demo placeholder — replace with asset register</t>
        </is>
      </c>
      <c r="F20" s="972" t="inlineStr">
        <is>
          <t>Scales OT server/engineering-system replacement cost.</t>
        </is>
      </c>
    </row>
    <row r="21" ht="21.75" customHeight="1" s="508">
      <c r="A21" s="972" t="n"/>
      <c r="B21" s="972" t="n"/>
      <c r="C21" s="972" t="n"/>
      <c r="D21" s="972" t="n"/>
    </row>
    <row r="22" ht="15" customHeight="1" s="508">
      <c r="A22" s="243" t="inlineStr">
        <is>
          <t>Derived metric</t>
        </is>
      </c>
      <c r="B22" s="243" t="inlineStr">
        <is>
          <t>Formula-linked value</t>
        </is>
      </c>
      <c r="C22" s="243" t="inlineStr">
        <is>
          <t>Unit</t>
        </is>
      </c>
      <c r="D22" s="243" t="inlineStr">
        <is>
          <t>Formula / interpretation</t>
        </is>
      </c>
    </row>
    <row r="23">
      <c r="A23" s="972" t="inlineStr">
        <is>
          <t>Gross revenue per calendar day</t>
        </is>
      </c>
      <c r="B23" s="551">
        <f>C16/365</f>
        <v/>
      </c>
      <c r="C23" s="972" t="inlineStr">
        <is>
          <t>USD/day</t>
        </is>
      </c>
      <c r="D23" s="972" t="inlineStr">
        <is>
          <t>Annual Revenue at Risk ÷ 365</t>
        </is>
      </c>
    </row>
    <row r="24" ht="15" customHeight="1" s="508">
      <c r="A24" s="972" t="inlineStr">
        <is>
          <t>BI value per calendar day</t>
        </is>
      </c>
      <c r="B24" s="551">
        <f>C16*C17/365</f>
        <v/>
      </c>
      <c r="C24" s="972" t="inlineStr">
        <is>
          <t>USD/day</t>
        </is>
      </c>
      <c r="D24" s="972" t="inlineStr">
        <is>
          <t>Annual Revenue at Risk × BI Factor ÷ 365</t>
        </is>
      </c>
      <c r="E24" s="972" t="n"/>
      <c r="F24" s="972" t="n"/>
      <c r="G24" s="972" t="n"/>
      <c r="H24" s="972" t="n"/>
      <c r="I24" s="972" t="n"/>
    </row>
    <row r="25" ht="15" customHeight="1" s="508">
      <c r="A25" s="972" t="n"/>
      <c r="B25" s="972" t="n"/>
      <c r="C25" s="972" t="n"/>
      <c r="D25" s="972" t="n"/>
      <c r="E25" s="972" t="n"/>
      <c r="F25" s="972" t="n"/>
      <c r="G25" s="972" t="n"/>
      <c r="H25" s="972" t="n"/>
      <c r="I25" s="972" t="n"/>
    </row>
    <row r="26" ht="27.75" customHeight="1" s="508">
      <c r="A26" s="250" t="inlineStr">
        <is>
          <t>EDITABLE OT IMPACT-DRIVER APPLICABILITY MATRIX</t>
        </is>
      </c>
      <c r="B26" s="509" t="n"/>
      <c r="C26" s="509" t="n"/>
      <c r="D26" s="509" t="n"/>
      <c r="E26" s="509" t="n"/>
      <c r="F26" s="509" t="n"/>
      <c r="G26" s="509" t="n"/>
      <c r="H26" s="509" t="n"/>
      <c r="I26" s="509" t="n"/>
      <c r="J26" s="509" t="n"/>
      <c r="K26" s="509" t="n"/>
      <c r="L26" s="510" t="n"/>
    </row>
    <row r="27" ht="42" customHeight="1" s="508">
      <c r="A27" s="556" t="inlineStr">
        <is>
          <t>Cost category</t>
        </is>
      </c>
      <c r="B27" s="556" t="inlineStr">
        <is>
          <t>Driver ID</t>
        </is>
      </c>
      <c r="C27" s="556" t="inlineStr">
        <is>
          <t>Cost driver</t>
        </is>
      </c>
      <c r="D27" s="556" t="inlineStr">
        <is>
          <t>Actor applicability</t>
        </is>
      </c>
      <c r="E27" s="556" t="inlineStr">
        <is>
          <t>Control sensitivity</t>
        </is>
      </c>
      <c r="F27" s="556" t="inlineStr">
        <is>
          <t>Operational disruption</t>
        </is>
      </c>
      <c r="G27" s="556" t="inlineStr">
        <is>
          <t>Loss of control / visibility</t>
        </is>
      </c>
      <c r="H27" s="556" t="inlineStr">
        <is>
          <t>Process manipulation</t>
        </is>
      </c>
      <c r="I27" s="556" t="inlineStr">
        <is>
          <t>Safety system compromise</t>
        </is>
      </c>
      <c r="J27" s="556" t="inlineStr">
        <is>
          <t>Destructive / integrity attack</t>
        </is>
      </c>
      <c r="K27" s="556" t="inlineStr">
        <is>
          <t>Calculation / equation</t>
        </is>
      </c>
      <c r="L27" s="556" t="inlineStr">
        <is>
          <t>Calibration guidance</t>
        </is>
      </c>
    </row>
    <row r="28" ht="27.75" customHeight="1" s="508">
      <c r="A28" s="558" t="inlineStr">
        <is>
          <t>Incident response costs</t>
        </is>
      </c>
      <c r="B28" s="578" t="n"/>
      <c r="C28" s="578" t="n"/>
      <c r="D28" s="578" t="n"/>
      <c r="E28" s="578" t="n"/>
      <c r="F28" s="578" t="n"/>
      <c r="G28" s="578" t="n"/>
      <c r="H28" s="578" t="n"/>
      <c r="I28" s="578" t="n"/>
      <c r="J28" s="578" t="n"/>
      <c r="K28" s="578" t="n"/>
      <c r="L28" s="578" t="n"/>
    </row>
    <row r="29" ht="38" customHeight="1" s="508">
      <c r="A29" s="561" t="inlineStr">
        <is>
          <t>Incident response costs</t>
        </is>
      </c>
      <c r="B29" s="561" t="inlineStr">
        <is>
          <t>IR-01</t>
        </is>
      </c>
      <c r="C29" s="562" t="inlineStr">
        <is>
          <t>OT and digital forensic investigation</t>
        </is>
      </c>
      <c r="D29" s="284" t="inlineStr">
        <is>
          <t>All</t>
        </is>
      </c>
      <c r="E29" s="284" t="inlineStr">
        <is>
          <t>Fixed</t>
        </is>
      </c>
      <c r="F29" s="286" t="inlineStr">
        <is>
          <t>TRUE</t>
        </is>
      </c>
      <c r="G29" s="286" t="inlineStr">
        <is>
          <t>TRUE</t>
        </is>
      </c>
      <c r="H29" s="286" t="inlineStr">
        <is>
          <t>TRUE</t>
        </is>
      </c>
      <c r="I29" s="286" t="inlineStr">
        <is>
          <t>TRUE</t>
        </is>
      </c>
      <c r="J29" s="286" t="inlineStr">
        <is>
          <t>TRUE</t>
        </is>
      </c>
      <c r="K29" s="561" t="inlineStr">
        <is>
          <t>Daily forensic team cost × days required</t>
        </is>
      </c>
      <c r="L29" s="561" t="inlineStr">
        <is>
          <t>Use retained incident-response rates and expected OT evidence-preservation duration.</t>
        </is>
      </c>
    </row>
    <row r="30" ht="38" customHeight="1" s="508">
      <c r="A30" s="561" t="inlineStr">
        <is>
          <t>Incident response costs</t>
        </is>
      </c>
      <c r="B30" s="561" t="inlineStr">
        <is>
          <t>IR-02</t>
        </is>
      </c>
      <c r="C30" s="562" t="inlineStr">
        <is>
          <t>External cyber incident response</t>
        </is>
      </c>
      <c r="D30" s="284" t="inlineStr">
        <is>
          <t>All</t>
        </is>
      </c>
      <c r="E30" s="284" t="inlineStr">
        <is>
          <t>Fixed</t>
        </is>
      </c>
      <c r="F30" s="286" t="inlineStr">
        <is>
          <t>TRUE</t>
        </is>
      </c>
      <c r="G30" s="286" t="inlineStr">
        <is>
          <t>TRUE</t>
        </is>
      </c>
      <c r="H30" s="286" t="inlineStr">
        <is>
          <t>TRUE</t>
        </is>
      </c>
      <c r="I30" s="286" t="inlineStr">
        <is>
          <t>TRUE</t>
        </is>
      </c>
      <c r="J30" s="286" t="inlineStr">
        <is>
          <t>TRUE</t>
        </is>
      </c>
      <c r="K30" s="561" t="inlineStr">
        <is>
          <t>Daily external response team cost × days required</t>
        </is>
      </c>
      <c r="L30" s="561" t="inlineStr">
        <is>
          <t>Calibrate to panel/retainer rates, travel and surge staffing.</t>
        </is>
      </c>
    </row>
    <row r="31" ht="38" customHeight="1" s="508">
      <c r="A31" s="561" t="inlineStr">
        <is>
          <t>Incident response costs</t>
        </is>
      </c>
      <c r="B31" s="561" t="inlineStr">
        <is>
          <t>IR-03</t>
        </is>
      </c>
      <c r="C31" s="562" t="inlineStr">
        <is>
          <t>Crisis communications</t>
        </is>
      </c>
      <c r="D31" s="284" t="inlineStr">
        <is>
          <t>All</t>
        </is>
      </c>
      <c r="E31" s="284" t="inlineStr">
        <is>
          <t>Fixed</t>
        </is>
      </c>
      <c r="F31" s="286" t="inlineStr">
        <is>
          <t>TRUE</t>
        </is>
      </c>
      <c r="G31" s="286" t="inlineStr">
        <is>
          <t>TRUE</t>
        </is>
      </c>
      <c r="H31" s="286" t="inlineStr">
        <is>
          <t>TRUE</t>
        </is>
      </c>
      <c r="I31" s="286" t="inlineStr">
        <is>
          <t>TRUE</t>
        </is>
      </c>
      <c r="J31" s="286" t="inlineStr">
        <is>
          <t>TRUE</t>
        </is>
      </c>
      <c r="K31" s="561" t="inlineStr">
        <is>
          <t>Daily crisis communications cost × days required</t>
        </is>
      </c>
      <c r="L31" s="561" t="inlineStr">
        <is>
          <t>Include external communications support only; exclude legal cost captured elsewhere.</t>
        </is>
      </c>
    </row>
    <row r="32" ht="27.75" customHeight="1" s="508">
      <c r="A32" s="558" t="inlineStr">
        <is>
          <t>Recovery and restoration costs</t>
        </is>
      </c>
      <c r="B32" s="578" t="n"/>
      <c r="C32" s="578" t="n"/>
      <c r="D32" s="578" t="n"/>
      <c r="E32" s="578" t="n"/>
      <c r="F32" s="578" t="n"/>
      <c r="G32" s="578" t="n"/>
      <c r="H32" s="578" t="n"/>
      <c r="I32" s="578" t="n"/>
      <c r="J32" s="578" t="n"/>
      <c r="K32" s="578" t="n"/>
      <c r="L32" s="578" t="n"/>
    </row>
    <row r="33" ht="38" customHeight="1" s="508">
      <c r="A33" s="561" t="inlineStr">
        <is>
          <t>Recovery and restoration costs</t>
        </is>
      </c>
      <c r="B33" s="561" t="inlineStr">
        <is>
          <t>RC-01</t>
        </is>
      </c>
      <c r="C33" s="562" t="inlineStr">
        <is>
          <t>OT restoration and recommissioning</t>
        </is>
      </c>
      <c r="D33" s="284" t="inlineStr">
        <is>
          <t>All</t>
        </is>
      </c>
      <c r="E33" s="284" t="inlineStr">
        <is>
          <t>Recover</t>
        </is>
      </c>
      <c r="F33" s="286" t="inlineStr">
        <is>
          <t>TRUE</t>
        </is>
      </c>
      <c r="G33" s="286" t="inlineStr">
        <is>
          <t>TRUE</t>
        </is>
      </c>
      <c r="H33" s="286" t="inlineStr">
        <is>
          <t>TRUE</t>
        </is>
      </c>
      <c r="I33" s="286" t="inlineStr">
        <is>
          <t>TRUE</t>
        </is>
      </c>
      <c r="J33" s="286" t="inlineStr">
        <is>
          <t>TRUE</t>
        </is>
      </c>
      <c r="K33" s="561" t="inlineStr">
        <is>
          <t>Daily restoration team cost × days required</t>
        </is>
      </c>
      <c r="L33" s="561" t="inlineStr">
        <is>
          <t>Include controls validation, loop checks, recommissioning and restart support.</t>
        </is>
      </c>
    </row>
    <row r="34" ht="38" customHeight="1" s="508">
      <c r="A34" s="561" t="inlineStr">
        <is>
          <t>Recovery and restoration costs</t>
        </is>
      </c>
      <c r="B34" s="561" t="inlineStr">
        <is>
          <t>RC-02</t>
        </is>
      </c>
      <c r="C34" s="562" t="inlineStr">
        <is>
          <t>OEM and specialist engineering support</t>
        </is>
      </c>
      <c r="D34" s="284" t="inlineStr">
        <is>
          <t>All</t>
        </is>
      </c>
      <c r="E34" s="284" t="inlineStr">
        <is>
          <t>Recover</t>
        </is>
      </c>
      <c r="F34" s="286" t="inlineStr">
        <is>
          <t>TRUE</t>
        </is>
      </c>
      <c r="G34" s="286" t="inlineStr">
        <is>
          <t>TRUE</t>
        </is>
      </c>
      <c r="H34" s="286" t="inlineStr">
        <is>
          <t>TRUE</t>
        </is>
      </c>
      <c r="I34" s="286" t="inlineStr">
        <is>
          <t>TRUE</t>
        </is>
      </c>
      <c r="J34" s="286" t="inlineStr">
        <is>
          <t>TRUE</t>
        </is>
      </c>
      <c r="K34" s="561" t="inlineStr">
        <is>
          <t>Daily OEM/specialist cost × days required</t>
        </is>
      </c>
      <c r="L34" s="561" t="inlineStr">
        <is>
          <t>Use framework rates and realistic mobilisation duration for key OEMs.</t>
        </is>
      </c>
    </row>
    <row r="35" ht="38" customHeight="1" s="508">
      <c r="A35" s="561" t="inlineStr">
        <is>
          <t>Recovery and restoration costs</t>
        </is>
      </c>
      <c r="B35" s="561" t="inlineStr">
        <is>
          <t>RC-03</t>
        </is>
      </c>
      <c r="C35" s="562" t="inlineStr">
        <is>
          <t>Configuration/data restoration and integrity validation</t>
        </is>
      </c>
      <c r="D35" s="284" t="inlineStr">
        <is>
          <t>All</t>
        </is>
      </c>
      <c r="E35" s="284" t="inlineStr">
        <is>
          <t>Recover</t>
        </is>
      </c>
      <c r="F35" s="286" t="inlineStr">
        <is>
          <t>TRUE</t>
        </is>
      </c>
      <c r="G35" s="286" t="inlineStr">
        <is>
          <t>TRUE</t>
        </is>
      </c>
      <c r="H35" s="286" t="inlineStr">
        <is>
          <t>TRUE</t>
        </is>
      </c>
      <c r="I35" s="286" t="inlineStr">
        <is>
          <t>TRUE</t>
        </is>
      </c>
      <c r="J35" s="286" t="inlineStr">
        <is>
          <t>TRUE</t>
        </is>
      </c>
      <c r="K35" s="561" t="inlineStr">
        <is>
          <t>Daily validation team cost × days required</t>
        </is>
      </c>
      <c r="L35" s="561" t="inlineStr">
        <is>
          <t>Include golden-image restore, configuration comparison and integrity assurance.</t>
        </is>
      </c>
    </row>
    <row r="36" ht="27.75" customHeight="1" s="508">
      <c r="A36" s="558" t="inlineStr">
        <is>
          <t>Business interruption and continuity</t>
        </is>
      </c>
      <c r="B36" s="578" t="n"/>
      <c r="C36" s="578" t="n"/>
      <c r="D36" s="578" t="n"/>
      <c r="E36" s="578" t="n"/>
      <c r="F36" s="578" t="n"/>
      <c r="G36" s="578" t="n"/>
      <c r="H36" s="578" t="n"/>
      <c r="I36" s="578" t="n"/>
      <c r="J36" s="578" t="n"/>
      <c r="K36" s="578" t="n"/>
      <c r="L36" s="578" t="n"/>
    </row>
    <row r="37" ht="38" customHeight="1" s="508">
      <c r="A37" s="561" t="inlineStr">
        <is>
          <t>Business interruption and continuity</t>
        </is>
      </c>
      <c r="B37" s="561" t="inlineStr">
        <is>
          <t>BI-01</t>
        </is>
      </c>
      <c r="C37" s="562" t="inlineStr">
        <is>
          <t>Business interruption</t>
        </is>
      </c>
      <c r="D37" s="284" t="inlineStr">
        <is>
          <t>All</t>
        </is>
      </c>
      <c r="E37" s="284" t="inlineStr">
        <is>
          <t>Duration</t>
        </is>
      </c>
      <c r="F37" s="286" t="inlineStr">
        <is>
          <t>TRUE</t>
        </is>
      </c>
      <c r="G37" s="286" t="inlineStr">
        <is>
          <t>TRUE</t>
        </is>
      </c>
      <c r="H37" s="286" t="inlineStr">
        <is>
          <t>TRUE</t>
        </is>
      </c>
      <c r="I37" s="286" t="inlineStr">
        <is>
          <t>TRUE</t>
        </is>
      </c>
      <c r="J37" s="286" t="inlineStr">
        <is>
          <t>TRUE</t>
        </is>
      </c>
      <c r="K37" s="561" t="inlineStr">
        <is>
          <t>Annual revenue ÷ 365 × BI factor × downtime × capacity affected</t>
        </is>
      </c>
      <c r="L37" s="561" t="inlineStr">
        <is>
          <t>100% BI factor is the default. Reduce only when Finance can evidence avoided/non-continuing costs.</t>
        </is>
      </c>
    </row>
    <row r="38" ht="38" customHeight="1" s="508">
      <c r="A38" s="561" t="inlineStr">
        <is>
          <t>Business interruption and continuity</t>
        </is>
      </c>
      <c r="B38" s="561" t="inlineStr">
        <is>
          <t>OP-01</t>
        </is>
      </c>
      <c r="C38" s="562" t="inlineStr">
        <is>
          <t>Manual operations / increased cost of working</t>
        </is>
      </c>
      <c r="D38" s="284" t="inlineStr">
        <is>
          <t>All</t>
        </is>
      </c>
      <c r="E38" s="284" t="inlineStr">
        <is>
          <t>Recover</t>
        </is>
      </c>
      <c r="F38" s="286" t="inlineStr">
        <is>
          <t>TRUE</t>
        </is>
      </c>
      <c r="G38" s="286" t="inlineStr">
        <is>
          <t>TRUE</t>
        </is>
      </c>
      <c r="H38" s="286" t="inlineStr">
        <is>
          <t>TRUE</t>
        </is>
      </c>
      <c r="I38" s="286" t="inlineStr">
        <is>
          <t>TRUE</t>
        </is>
      </c>
      <c r="J38" s="286" t="inlineStr">
        <is>
          <t>TRUE</t>
        </is>
      </c>
      <c r="K38" s="561" t="inlineStr">
        <is>
          <t>Daily incremental operating cost × scenario downtime</t>
        </is>
      </c>
      <c r="L38" s="561" t="inlineStr">
        <is>
          <t>Include only incremental labour, temporary plant and workarounds not already in BI.</t>
        </is>
      </c>
    </row>
    <row r="39" ht="38" customHeight="1" s="508">
      <c r="A39" s="561" t="inlineStr">
        <is>
          <t>Business interruption and continuity</t>
        </is>
      </c>
      <c r="B39" s="561" t="inlineStr">
        <is>
          <t>OP-02</t>
        </is>
      </c>
      <c r="C39" s="562" t="inlineStr">
        <is>
          <t>Alternative supply / availability and contract penalties</t>
        </is>
      </c>
      <c r="D39" s="284" t="inlineStr">
        <is>
          <t>All</t>
        </is>
      </c>
      <c r="E39" s="284" t="inlineStr">
        <is>
          <t>Recover</t>
        </is>
      </c>
      <c r="F39" s="286" t="inlineStr">
        <is>
          <t>TRUE</t>
        </is>
      </c>
      <c r="G39" s="286" t="inlineStr">
        <is>
          <t>TRUE</t>
        </is>
      </c>
      <c r="H39" s="286" t="inlineStr">
        <is>
          <t>TRUE</t>
        </is>
      </c>
      <c r="I39" s="286" t="inlineStr">
        <is>
          <t>TRUE</t>
        </is>
      </c>
      <c r="J39" s="286" t="inlineStr">
        <is>
          <t>TRUE</t>
        </is>
      </c>
      <c r="K39" s="561" t="inlineStr">
        <is>
          <t>Daily alternative-supply/penalty cost × scenario downtime</t>
        </is>
      </c>
      <c r="L39" s="561" t="inlineStr">
        <is>
          <t>Use only amounts borne by the facility and not already captured in revenue at risk.</t>
        </is>
      </c>
    </row>
    <row r="40" ht="27.75" customHeight="1" s="508">
      <c r="A40" s="558" t="inlineStr">
        <is>
          <t>Direct loss / extortion</t>
        </is>
      </c>
      <c r="B40" s="578" t="n"/>
      <c r="C40" s="578" t="n"/>
      <c r="D40" s="578" t="n"/>
      <c r="E40" s="578" t="n"/>
      <c r="F40" s="578" t="n"/>
      <c r="G40" s="578" t="n"/>
      <c r="H40" s="578" t="n"/>
      <c r="I40" s="578" t="n"/>
      <c r="J40" s="578" t="n"/>
      <c r="K40" s="578" t="n"/>
      <c r="L40" s="578" t="n"/>
    </row>
    <row r="41" ht="38" customHeight="1" s="508">
      <c r="A41" s="561" t="inlineStr">
        <is>
          <t>Direct loss / extortion</t>
        </is>
      </c>
      <c r="B41" s="561" t="inlineStr">
        <is>
          <t>EX-01</t>
        </is>
      </c>
      <c r="C41" s="562" t="inlineStr">
        <is>
          <t>Extortion / ransom</t>
        </is>
      </c>
      <c r="D41" s="284" t="inlineStr">
        <is>
          <t>Cybercriminal</t>
        </is>
      </c>
      <c r="E41" s="284" t="inlineStr">
        <is>
          <t>Fixed</t>
        </is>
      </c>
      <c r="F41" s="286" t="inlineStr">
        <is>
          <t>TRUE</t>
        </is>
      </c>
      <c r="G41" s="286" t="inlineStr">
        <is>
          <t>FALSE</t>
        </is>
      </c>
      <c r="H41" s="286" t="inlineStr">
        <is>
          <t>FALSE</t>
        </is>
      </c>
      <c r="I41" s="286" t="inlineStr">
        <is>
          <t>FALSE</t>
        </is>
      </c>
      <c r="J41" s="286" t="inlineStr">
        <is>
          <t>TRUE</t>
        </is>
      </c>
      <c r="K41" s="561" t="inlineStr">
        <is>
          <t>Direct conditional amount</t>
        </is>
      </c>
      <c r="L41" s="561" t="inlineStr">
        <is>
          <t>Applied only to Cybercriminal events; enter zero if policy or governance excludes payment.</t>
        </is>
      </c>
    </row>
    <row r="42" ht="27.75" customHeight="1" s="508">
      <c r="A42" s="558" t="inlineStr">
        <is>
          <t>Legal and regulatory costs</t>
        </is>
      </c>
      <c r="B42" s="578" t="n"/>
      <c r="C42" s="578" t="n"/>
      <c r="D42" s="578" t="n"/>
      <c r="E42" s="578" t="n"/>
      <c r="F42" s="578" t="n"/>
      <c r="G42" s="578" t="n"/>
      <c r="H42" s="578" t="n"/>
      <c r="I42" s="578" t="n"/>
      <c r="J42" s="578" t="n"/>
      <c r="K42" s="578" t="n"/>
      <c r="L42" s="578" t="n"/>
    </row>
    <row r="43" ht="38" customHeight="1" s="508">
      <c r="A43" s="561" t="inlineStr">
        <is>
          <t>Legal and regulatory costs</t>
        </is>
      </c>
      <c r="B43" s="561" t="inlineStr">
        <is>
          <t>LG-01</t>
        </is>
      </c>
      <c r="C43" s="562" t="inlineStr">
        <is>
          <t>Legal and regulatory response</t>
        </is>
      </c>
      <c r="D43" s="284" t="inlineStr">
        <is>
          <t>All</t>
        </is>
      </c>
      <c r="E43" s="284" t="inlineStr">
        <is>
          <t>Fixed</t>
        </is>
      </c>
      <c r="F43" s="286" t="inlineStr">
        <is>
          <t>TRUE</t>
        </is>
      </c>
      <c r="G43" s="286" t="inlineStr">
        <is>
          <t>TRUE</t>
        </is>
      </c>
      <c r="H43" s="286" t="inlineStr">
        <is>
          <t>TRUE</t>
        </is>
      </c>
      <c r="I43" s="286" t="inlineStr">
        <is>
          <t>TRUE</t>
        </is>
      </c>
      <c r="J43" s="286" t="inlineStr">
        <is>
          <t>TRUE</t>
        </is>
      </c>
      <c r="K43" s="561" t="inlineStr">
        <is>
          <t>Daily external legal/regulatory cost × days required</t>
        </is>
      </c>
      <c r="L43" s="561" t="inlineStr">
        <is>
          <t>Include external counsel and regulatory response; exclude fines captured below.</t>
        </is>
      </c>
    </row>
    <row r="44" ht="38" customHeight="1" s="508">
      <c r="A44" s="561" t="inlineStr">
        <is>
          <t>Legal and regulatory costs</t>
        </is>
      </c>
      <c r="B44" s="561" t="inlineStr">
        <is>
          <t>LG-02</t>
        </is>
      </c>
      <c r="C44" s="562" t="inlineStr">
        <is>
          <t>Regulatory fines and penalties</t>
        </is>
      </c>
      <c r="D44" s="284" t="inlineStr">
        <is>
          <t>All</t>
        </is>
      </c>
      <c r="E44" s="284" t="inlineStr">
        <is>
          <t>Fixed</t>
        </is>
      </c>
      <c r="F44" s="286" t="inlineStr">
        <is>
          <t>FALSE</t>
        </is>
      </c>
      <c r="G44" s="286" t="inlineStr">
        <is>
          <t>FALSE</t>
        </is>
      </c>
      <c r="H44" s="286" t="inlineStr">
        <is>
          <t>TRUE</t>
        </is>
      </c>
      <c r="I44" s="286" t="inlineStr">
        <is>
          <t>TRUE</t>
        </is>
      </c>
      <c r="J44" s="286" t="inlineStr">
        <is>
          <t>TRUE</t>
        </is>
      </c>
      <c r="K44" s="561" t="inlineStr">
        <is>
          <t>Annual revenue × conditional penalty share</t>
        </is>
      </c>
      <c r="L44" s="561" t="inlineStr">
        <is>
          <t>Use the expected paid amount, not a statutory maximum; set FALSE where not relevant.</t>
        </is>
      </c>
    </row>
    <row r="45" ht="27.75" customHeight="1" s="508">
      <c r="A45" s="558" t="inlineStr">
        <is>
          <t>Safety and environmental costs</t>
        </is>
      </c>
      <c r="B45" s="578" t="n"/>
      <c r="C45" s="578" t="n"/>
      <c r="D45" s="578" t="n"/>
      <c r="E45" s="578" t="n"/>
      <c r="F45" s="578" t="n"/>
      <c r="G45" s="578" t="n"/>
      <c r="H45" s="578" t="n"/>
      <c r="I45" s="578" t="n"/>
      <c r="J45" s="578" t="n"/>
      <c r="K45" s="578" t="n"/>
      <c r="L45" s="578" t="n"/>
    </row>
    <row r="46" ht="38" customHeight="1" s="508">
      <c r="A46" s="561" t="inlineStr">
        <is>
          <t>Safety and environmental costs</t>
        </is>
      </c>
      <c r="B46" s="561" t="inlineStr">
        <is>
          <t>SF-01</t>
        </is>
      </c>
      <c r="C46" s="562" t="inlineStr">
        <is>
          <t>Safety and emergency response</t>
        </is>
      </c>
      <c r="D46" s="284" t="inlineStr">
        <is>
          <t>All</t>
        </is>
      </c>
      <c r="E46" s="284" t="inlineStr">
        <is>
          <t>Safety</t>
        </is>
      </c>
      <c r="F46" s="286" t="inlineStr">
        <is>
          <t>FALSE</t>
        </is>
      </c>
      <c r="G46" s="286" t="inlineStr">
        <is>
          <t>FALSE</t>
        </is>
      </c>
      <c r="H46" s="286" t="inlineStr">
        <is>
          <t>TRUE</t>
        </is>
      </c>
      <c r="I46" s="286" t="inlineStr">
        <is>
          <t>TRUE</t>
        </is>
      </c>
      <c r="J46" s="286" t="inlineStr">
        <is>
          <t>TRUE</t>
        </is>
      </c>
      <c r="K46" s="561" t="inlineStr">
        <is>
          <t>Direct conditional amount</t>
        </is>
      </c>
      <c r="L46" s="561" t="inlineStr">
        <is>
          <t>Include emergency response, medical and investigation cost; exclude physical repair.</t>
        </is>
      </c>
    </row>
    <row r="47" ht="38" customHeight="1" s="508">
      <c r="A47" s="561" t="inlineStr">
        <is>
          <t>Safety and environmental costs</t>
        </is>
      </c>
      <c r="B47" s="561" t="inlineStr">
        <is>
          <t>EN-01</t>
        </is>
      </c>
      <c r="C47" s="562" t="inlineStr">
        <is>
          <t>Environmental remediation</t>
        </is>
      </c>
      <c r="D47" s="284" t="inlineStr">
        <is>
          <t>All</t>
        </is>
      </c>
      <c r="E47" s="284" t="inlineStr">
        <is>
          <t>Safety</t>
        </is>
      </c>
      <c r="F47" s="286" t="inlineStr">
        <is>
          <t>FALSE</t>
        </is>
      </c>
      <c r="G47" s="286" t="inlineStr">
        <is>
          <t>FALSE</t>
        </is>
      </c>
      <c r="H47" s="286" t="inlineStr">
        <is>
          <t>TRUE</t>
        </is>
      </c>
      <c r="I47" s="286" t="inlineStr">
        <is>
          <t>TRUE</t>
        </is>
      </c>
      <c r="J47" s="286" t="inlineStr">
        <is>
          <t>TRUE</t>
        </is>
      </c>
      <c r="K47" s="561" t="inlineStr">
        <is>
          <t>Direct conditional amount</t>
        </is>
      </c>
      <c r="L47" s="561" t="inlineStr">
        <is>
          <t>Include cleanup and remediation only where the scenario can cause a release.</t>
        </is>
      </c>
    </row>
    <row r="48" ht="27.75" customHeight="1" s="508">
      <c r="A48" s="558" t="inlineStr">
        <is>
          <t>Physical damage costs</t>
        </is>
      </c>
      <c r="B48" s="578" t="n"/>
      <c r="C48" s="578" t="n"/>
      <c r="D48" s="578" t="n"/>
      <c r="E48" s="578" t="n"/>
      <c r="F48" s="578" t="n"/>
      <c r="G48" s="578" t="n"/>
      <c r="H48" s="578" t="n"/>
      <c r="I48" s="578" t="n"/>
      <c r="J48" s="578" t="n"/>
      <c r="K48" s="578" t="n"/>
      <c r="L48" s="578" t="n"/>
    </row>
    <row r="49" ht="38" customHeight="1" s="508">
      <c r="A49" s="561" t="inlineStr">
        <is>
          <t>Physical damage costs</t>
        </is>
      </c>
      <c r="B49" s="561" t="inlineStr">
        <is>
          <t>PD-01</t>
        </is>
      </c>
      <c r="C49" s="562" t="inlineStr">
        <is>
          <t>OT endpoint / controller replacement</t>
        </is>
      </c>
      <c r="D49" s="284" t="inlineStr">
        <is>
          <t>All</t>
        </is>
      </c>
      <c r="E49" s="284" t="inlineStr">
        <is>
          <t>Recover</t>
        </is>
      </c>
      <c r="F49" s="286" t="inlineStr">
        <is>
          <t>TRUE</t>
        </is>
      </c>
      <c r="G49" s="286" t="inlineStr">
        <is>
          <t>TRUE</t>
        </is>
      </c>
      <c r="H49" s="286" t="inlineStr">
        <is>
          <t>TRUE</t>
        </is>
      </c>
      <c r="I49" s="286" t="inlineStr">
        <is>
          <t>TRUE</t>
        </is>
      </c>
      <c r="J49" s="286" t="inlineStr">
        <is>
          <t>TRUE</t>
        </is>
      </c>
      <c r="K49" s="561" t="inlineStr">
        <is>
          <t>Critical OT endpoints × affected share × replacement unit cost</t>
        </is>
      </c>
      <c r="L49" s="561" t="inlineStr">
        <is>
          <t>Count only critical controllers/HMIs/OT workstations in the scoped facility.</t>
        </is>
      </c>
    </row>
    <row r="50" ht="38" customHeight="1" s="508">
      <c r="A50" s="561" t="inlineStr">
        <is>
          <t>Physical damage costs</t>
        </is>
      </c>
      <c r="B50" s="561" t="inlineStr">
        <is>
          <t>PD-02</t>
        </is>
      </c>
      <c r="C50" s="562" t="inlineStr">
        <is>
          <t>OT server / engineering-system replacement</t>
        </is>
      </c>
      <c r="D50" s="284" t="inlineStr">
        <is>
          <t>All</t>
        </is>
      </c>
      <c r="E50" s="284" t="inlineStr">
        <is>
          <t>Recover</t>
        </is>
      </c>
      <c r="F50" s="286" t="inlineStr">
        <is>
          <t>TRUE</t>
        </is>
      </c>
      <c r="G50" s="286" t="inlineStr">
        <is>
          <t>TRUE</t>
        </is>
      </c>
      <c r="H50" s="286" t="inlineStr">
        <is>
          <t>TRUE</t>
        </is>
      </c>
      <c r="I50" s="286" t="inlineStr">
        <is>
          <t>TRUE</t>
        </is>
      </c>
      <c r="J50" s="286" t="inlineStr">
        <is>
          <t>TRUE</t>
        </is>
      </c>
      <c r="K50" s="561" t="inlineStr">
        <is>
          <t>Critical OT servers × affected share × replacement unit cost</t>
        </is>
      </c>
      <c r="L50" s="561" t="inlineStr">
        <is>
          <t>Include configured replacement and specialist rebuild, not ordinary desktop hardware.</t>
        </is>
      </c>
    </row>
    <row r="51" ht="38" customHeight="1" s="508">
      <c r="A51" s="561" t="inlineStr">
        <is>
          <t>Physical damage costs</t>
        </is>
      </c>
      <c r="B51" s="561" t="inlineStr">
        <is>
          <t>PD-03</t>
        </is>
      </c>
      <c r="C51" s="562" t="inlineStr">
        <is>
          <t>Major equipment / physical damage</t>
        </is>
      </c>
      <c r="D51" s="284" t="inlineStr">
        <is>
          <t>All</t>
        </is>
      </c>
      <c r="E51" s="284" t="inlineStr">
        <is>
          <t>Safety</t>
        </is>
      </c>
      <c r="F51" s="286" t="inlineStr">
        <is>
          <t>FALSE</t>
        </is>
      </c>
      <c r="G51" s="286" t="inlineStr">
        <is>
          <t>FALSE</t>
        </is>
      </c>
      <c r="H51" s="286" t="inlineStr">
        <is>
          <t>TRUE</t>
        </is>
      </c>
      <c r="I51" s="286" t="inlineStr">
        <is>
          <t>TRUE</t>
        </is>
      </c>
      <c r="J51" s="286" t="inlineStr">
        <is>
          <t>TRUE</t>
        </is>
      </c>
      <c r="K51" s="561" t="inlineStr">
        <is>
          <t>Direct conditional amount</t>
        </is>
      </c>
      <c r="L51" s="561" t="inlineStr">
        <is>
          <t>Use engineering loss scenarios; do not duplicate controller/server replacement.</t>
        </is>
      </c>
    </row>
    <row r="52" ht="27.75" customHeight="1" s="508">
      <c r="A52" s="558" t="inlineStr">
        <is>
          <t>Indirect losses</t>
        </is>
      </c>
      <c r="B52" s="578" t="n"/>
      <c r="C52" s="578" t="n"/>
      <c r="D52" s="578" t="n"/>
      <c r="E52" s="578" t="n"/>
      <c r="F52" s="578" t="n"/>
      <c r="G52" s="578" t="n"/>
      <c r="H52" s="578" t="n"/>
      <c r="I52" s="578" t="n"/>
      <c r="J52" s="578" t="n"/>
      <c r="K52" s="578" t="n"/>
      <c r="L52" s="578" t="n"/>
    </row>
    <row r="53" ht="38" customHeight="1" s="508">
      <c r="A53" s="561" t="inlineStr">
        <is>
          <t>Indirect losses</t>
        </is>
      </c>
      <c r="B53" s="561" t="inlineStr">
        <is>
          <t>IN-01</t>
        </is>
      </c>
      <c r="C53" s="562" t="inlineStr">
        <is>
          <t>Post-event security uplift</t>
        </is>
      </c>
      <c r="D53" s="284" t="inlineStr">
        <is>
          <t>All</t>
        </is>
      </c>
      <c r="E53" s="284" t="inlineStr">
        <is>
          <t>Fixed</t>
        </is>
      </c>
      <c r="F53" s="286" t="inlineStr">
        <is>
          <t>TRUE</t>
        </is>
      </c>
      <c r="G53" s="286" t="inlineStr">
        <is>
          <t>TRUE</t>
        </is>
      </c>
      <c r="H53" s="286" t="inlineStr">
        <is>
          <t>TRUE</t>
        </is>
      </c>
      <c r="I53" s="286" t="inlineStr">
        <is>
          <t>TRUE</t>
        </is>
      </c>
      <c r="J53" s="286" t="inlineStr">
        <is>
          <t>TRUE</t>
        </is>
      </c>
      <c r="K53" s="561" t="inlineStr">
        <is>
          <t>Annual revenue × conditional uplift share</t>
        </is>
      </c>
      <c r="L53" s="561" t="inlineStr">
        <is>
          <t>Optional incremental programme cost after an event; set FALSE if budgeted elsewhere.</t>
        </is>
      </c>
    </row>
    <row r="54" ht="27.75" customHeight="1" s="508">
      <c r="A54" s="972" t="n"/>
      <c r="B54" s="972" t="n"/>
      <c r="C54" s="972" t="n"/>
      <c r="D54" s="972" t="n"/>
      <c r="E54" s="972" t="n"/>
      <c r="F54" s="972" t="n"/>
      <c r="G54" s="972" t="n"/>
      <c r="H54" s="972" t="n"/>
      <c r="I54" s="972" t="n"/>
    </row>
    <row r="55" ht="27.75" customHeight="1" s="508">
      <c r="A55" s="972" t="n"/>
      <c r="B55" s="972" t="n"/>
      <c r="C55" s="972" t="n"/>
      <c r="D55" s="972" t="n"/>
      <c r="E55" s="972" t="n"/>
      <c r="F55" s="972" t="n"/>
      <c r="G55" s="972" t="n"/>
      <c r="H55" s="972" t="n"/>
      <c r="I55" s="972" t="n"/>
    </row>
    <row r="56" ht="27.75" customHeight="1" s="508">
      <c r="A56" s="250" t="inlineStr">
        <is>
          <t>SCENARIO DOWNTIME &amp; CAPACITY CALIBRATION</t>
        </is>
      </c>
      <c r="B56" s="509" t="n"/>
      <c r="C56" s="509" t="n"/>
      <c r="D56" s="509" t="n"/>
      <c r="E56" s="509" t="n"/>
      <c r="F56" s="509" t="n"/>
      <c r="G56" s="510" t="n"/>
      <c r="H56" s="972" t="n"/>
      <c r="I56" s="972" t="n"/>
    </row>
    <row r="57" ht="27.75" customHeight="1" s="508">
      <c r="A57" s="243" t="inlineStr">
        <is>
          <t>Scenario</t>
        </is>
      </c>
      <c r="B57" s="243" t="inlineStr">
        <is>
          <t>P50 downtime (days)</t>
        </is>
      </c>
      <c r="C57" s="243" t="inlineStr">
        <is>
          <t>P99 downtime (days)</t>
        </is>
      </c>
      <c r="D57" s="243" t="inlineStr">
        <is>
          <t>P50 capacity affected</t>
        </is>
      </c>
      <c r="E57" s="243" t="inlineStr">
        <is>
          <t>P99 capacity affected</t>
        </is>
      </c>
      <c r="F57" s="243" t="inlineStr">
        <is>
          <t>Calibration status</t>
        </is>
      </c>
      <c r="G57" s="243" t="inlineStr">
        <is>
          <t>Calibration note</t>
        </is>
      </c>
      <c r="H57" s="972" t="n"/>
      <c r="I57" s="972" t="n"/>
    </row>
    <row r="58" ht="34" customHeight="1" s="508">
      <c r="A58" s="973" t="inlineStr">
        <is>
          <t>Operational Disruption</t>
        </is>
      </c>
      <c r="B58" s="289" t="n">
        <v>5</v>
      </c>
      <c r="C58" s="289" t="n">
        <v>45</v>
      </c>
      <c r="D58" s="303" t="n">
        <v>0.75</v>
      </c>
      <c r="E58" s="303" t="n">
        <v>1</v>
      </c>
      <c r="F58" s="973" t="inlineStr">
        <is>
          <t>Working prior — calibrate</t>
        </is>
      </c>
      <c r="G58" s="973" t="inlineStr">
        <is>
          <t>Material outage/reduced generation; use BIA, dispatch and claims evidence.</t>
        </is>
      </c>
      <c r="H58" s="972" t="n"/>
      <c r="I58" s="972" t="n"/>
    </row>
    <row r="59" ht="34" customHeight="1" s="508">
      <c r="A59" s="973" t="inlineStr">
        <is>
          <t>Loss of Control or Visibility</t>
        </is>
      </c>
      <c r="B59" s="289" t="n">
        <v>3</v>
      </c>
      <c r="C59" s="289" t="n">
        <v>30</v>
      </c>
      <c r="D59" s="303" t="n">
        <v>0.5</v>
      </c>
      <c r="E59" s="303" t="n">
        <v>1</v>
      </c>
      <c r="F59" s="973" t="inlineStr">
        <is>
          <t>Working prior — calibrate</t>
        </is>
      </c>
      <c r="G59" s="973" t="inlineStr">
        <is>
          <t>Loss of trusted view/control may force conservative operation or shutdown.</t>
        </is>
      </c>
      <c r="H59" s="972" t="n"/>
      <c r="I59" s="972" t="n"/>
    </row>
    <row r="60" ht="34" customHeight="1" s="508">
      <c r="A60" s="973" t="inlineStr">
        <is>
          <t>Process Manipulation</t>
        </is>
      </c>
      <c r="B60" s="289" t="n">
        <v>7</v>
      </c>
      <c r="C60" s="289" t="n">
        <v>60</v>
      </c>
      <c r="D60" s="303" t="n">
        <v>0.75</v>
      </c>
      <c r="E60" s="303" t="n">
        <v>1</v>
      </c>
      <c r="F60" s="973" t="inlineStr">
        <is>
          <t>Working prior — calibrate</t>
        </is>
      </c>
      <c r="G60" s="973" t="inlineStr">
        <is>
          <t>Unsafe or off-spec process changes may require inspection and recommissioning.</t>
        </is>
      </c>
      <c r="H60" s="972" t="n"/>
      <c r="I60" s="972" t="n"/>
    </row>
    <row r="61" ht="34" customHeight="1" s="508">
      <c r="A61" s="973" t="inlineStr">
        <is>
          <t>Safety System Compromise</t>
        </is>
      </c>
      <c r="B61" s="289" t="n">
        <v>14</v>
      </c>
      <c r="C61" s="289" t="n">
        <v>120</v>
      </c>
      <c r="D61" s="303" t="n">
        <v>0.8</v>
      </c>
      <c r="E61" s="303" t="n">
        <v>1</v>
      </c>
      <c r="F61" s="973" t="inlineStr">
        <is>
          <t>Working prior — calibrate</t>
        </is>
      </c>
      <c r="G61" s="973" t="inlineStr">
        <is>
          <t>Protection/SIS restoration and assurance can extend outage duration.</t>
        </is>
      </c>
      <c r="H61" s="972" t="n"/>
      <c r="I61" s="972" t="n"/>
    </row>
    <row r="62" ht="34" customHeight="1" s="508">
      <c r="A62" s="973" t="inlineStr">
        <is>
          <t>Destructive or Integrity Attack</t>
        </is>
      </c>
      <c r="B62" s="289" t="n">
        <v>30</v>
      </c>
      <c r="C62" s="289" t="n">
        <v>180</v>
      </c>
      <c r="D62" s="303" t="n">
        <v>1</v>
      </c>
      <c r="E62" s="303" t="n">
        <v>1</v>
      </c>
      <c r="F62" s="973" t="inlineStr">
        <is>
          <t>Working prior — calibrate</t>
        </is>
      </c>
      <c r="G62" s="973" t="inlineStr">
        <is>
          <t>Rebuild, replacement and integrity assurance create the longest tail.</t>
        </is>
      </c>
      <c r="H62" s="972" t="n"/>
      <c r="I62" s="972" t="n"/>
    </row>
    <row r="63" ht="27.75" customHeight="1" s="508">
      <c r="A63" s="972" t="n"/>
      <c r="B63" s="972" t="n"/>
      <c r="C63" s="972" t="n"/>
      <c r="D63" s="972" t="n"/>
      <c r="E63" s="972" t="n"/>
      <c r="F63" s="972" t="n"/>
      <c r="G63" s="972" t="n"/>
      <c r="H63" s="972" t="n"/>
      <c r="I63" s="972" t="n"/>
    </row>
    <row r="64" ht="27.75" customHeight="1" s="508">
      <c r="A64" s="972" t="n"/>
      <c r="B64" s="972" t="n"/>
      <c r="C64" s="972" t="n"/>
      <c r="D64" s="972" t="n"/>
      <c r="E64" s="972" t="n"/>
      <c r="F64" s="972" t="n"/>
      <c r="G64" s="972" t="n"/>
      <c r="H64" s="972" t="n"/>
      <c r="I64" s="972" t="n"/>
    </row>
    <row r="65" ht="27.75" customHeight="1" s="508">
      <c r="A65" s="250" t="inlineStr">
        <is>
          <t>DRIVER RATE, QUANTITY &amp; SHARE ASSUMPTIONS</t>
        </is>
      </c>
      <c r="B65" s="509" t="n"/>
      <c r="C65" s="509" t="n"/>
      <c r="D65" s="509" t="n"/>
      <c r="E65" s="509" t="n"/>
      <c r="F65" s="509" t="n"/>
      <c r="G65" s="509" t="n"/>
      <c r="H65" s="509" t="n"/>
      <c r="I65" s="509" t="n"/>
      <c r="J65" s="509" t="n"/>
      <c r="K65" s="509" t="n"/>
      <c r="L65" s="510" t="n"/>
    </row>
    <row r="66" ht="27.75" customHeight="1" s="508">
      <c r="A66" s="243" t="inlineStr">
        <is>
          <t>Driver ID</t>
        </is>
      </c>
      <c r="B66" s="243" t="inlineStr">
        <is>
          <t>Cost driver</t>
        </is>
      </c>
      <c r="C66" s="243" t="inlineStr">
        <is>
          <t>Base rate / unit cost</t>
        </is>
      </c>
      <c r="D66" s="243" t="inlineStr">
        <is>
          <t>Stress rate / unit cost</t>
        </is>
      </c>
      <c r="E66" s="243" t="inlineStr">
        <is>
          <t>Base quantity / share</t>
        </is>
      </c>
      <c r="F66" s="243" t="inlineStr">
        <is>
          <t>Stress quantity / share</t>
        </is>
      </c>
      <c r="G66" s="243" t="inlineStr">
        <is>
          <t>Rate / quantity unit</t>
        </is>
      </c>
      <c r="H66" s="243" t="inlineStr">
        <is>
          <t>Scaling input</t>
        </is>
      </c>
      <c r="I66" s="243" t="inlineStr">
        <is>
          <t>Calculation type</t>
        </is>
      </c>
      <c r="J66" s="243" t="inlineStr">
        <is>
          <t>Reference P50 (Operational)</t>
        </is>
      </c>
      <c r="K66" s="243" t="inlineStr">
        <is>
          <t>Reference P99 (Operational)</t>
        </is>
      </c>
      <c r="L66" s="243" t="inlineStr">
        <is>
          <t>Basis / calibration status</t>
        </is>
      </c>
    </row>
    <row r="67" ht="36" customHeight="1" s="508">
      <c r="A67" s="973" t="inlineStr">
        <is>
          <t>IR-01</t>
        </is>
      </c>
      <c r="B67" s="973" t="inlineStr">
        <is>
          <t>OT and digital forensic investigation</t>
        </is>
      </c>
      <c r="C67" s="304" t="n">
        <v>20000</v>
      </c>
      <c r="D67" s="304" t="n">
        <v>45000</v>
      </c>
      <c r="E67" s="289" t="n">
        <v>30</v>
      </c>
      <c r="F67" s="289" t="n">
        <v>90</v>
      </c>
      <c r="G67" s="973" t="inlineStr">
        <is>
          <t>USD/day × days</t>
        </is>
      </c>
      <c r="H67" s="973" t="str"/>
      <c r="I67" s="973" t="inlineStr">
        <is>
          <t>DAILY_X_DAYS</t>
        </is>
      </c>
      <c r="J67" s="305">
        <f>IF($F$29="TRUE",$C$67*$E$67,0)</f>
        <v/>
      </c>
      <c r="K67" s="305">
        <f>IF($F$29="TRUE",$D$67*$F$67,0)</f>
        <v/>
      </c>
      <c r="L67" s="973" t="inlineStr">
        <is>
          <t>Working prior; replace with IR retainer, panel and claims data.</t>
        </is>
      </c>
    </row>
    <row r="68" ht="36" customHeight="1" s="508">
      <c r="A68" s="973" t="inlineStr">
        <is>
          <t>IR-02</t>
        </is>
      </c>
      <c r="B68" s="973" t="inlineStr">
        <is>
          <t>External cyber incident response</t>
        </is>
      </c>
      <c r="C68" s="304" t="n">
        <v>25000</v>
      </c>
      <c r="D68" s="304" t="n">
        <v>50000</v>
      </c>
      <c r="E68" s="289" t="n">
        <v>30</v>
      </c>
      <c r="F68" s="289" t="n">
        <v>120</v>
      </c>
      <c r="G68" s="973" t="inlineStr">
        <is>
          <t>USD/day × days</t>
        </is>
      </c>
      <c r="H68" s="973" t="str"/>
      <c r="I68" s="973" t="inlineStr">
        <is>
          <t>DAILY_X_DAYS</t>
        </is>
      </c>
      <c r="J68" s="305">
        <f>IF($F$30="TRUE",$C$68*$E$68,0)</f>
        <v/>
      </c>
      <c r="K68" s="305">
        <f>IF($F$30="TRUE",$D$68*$F$68,0)</f>
        <v/>
      </c>
      <c r="L68" s="973" t="inlineStr">
        <is>
          <t>Working prior; replace with response supplier evidence.</t>
        </is>
      </c>
    </row>
    <row r="69" ht="36" customHeight="1" s="508">
      <c r="A69" s="973" t="inlineStr">
        <is>
          <t>IR-03</t>
        </is>
      </c>
      <c r="B69" s="973" t="inlineStr">
        <is>
          <t>Crisis communications</t>
        </is>
      </c>
      <c r="C69" s="304" t="n">
        <v>10000</v>
      </c>
      <c r="D69" s="304" t="n">
        <v>25000</v>
      </c>
      <c r="E69" s="289" t="n">
        <v>15</v>
      </c>
      <c r="F69" s="289" t="n">
        <v>60</v>
      </c>
      <c r="G69" s="973" t="inlineStr">
        <is>
          <t>USD/day × days</t>
        </is>
      </c>
      <c r="H69" s="973" t="str"/>
      <c r="I69" s="973" t="inlineStr">
        <is>
          <t>DAILY_X_DAYS</t>
        </is>
      </c>
      <c r="J69" s="305">
        <f>IF($F$31="TRUE",$C$69*$E$69,0)</f>
        <v/>
      </c>
      <c r="K69" s="305">
        <f>IF($F$31="TRUE",$D$69*$F$69,0)</f>
        <v/>
      </c>
      <c r="L69" s="973" t="inlineStr">
        <is>
          <t>Working prior; calibrate with communications and panel rates.</t>
        </is>
      </c>
    </row>
    <row r="70" ht="36" customHeight="1" s="508">
      <c r="A70" s="973" t="inlineStr">
        <is>
          <t>RC-01</t>
        </is>
      </c>
      <c r="B70" s="973" t="inlineStr">
        <is>
          <t>OT restoration and recommissioning</t>
        </is>
      </c>
      <c r="C70" s="304" t="n">
        <v>30000</v>
      </c>
      <c r="D70" s="304" t="n">
        <v>75000</v>
      </c>
      <c r="E70" s="289" t="n">
        <v>30</v>
      </c>
      <c r="F70" s="289" t="n">
        <v>180</v>
      </c>
      <c r="G70" s="973" t="inlineStr">
        <is>
          <t>USD/day × days</t>
        </is>
      </c>
      <c r="H70" s="973" t="str"/>
      <c r="I70" s="973" t="inlineStr">
        <is>
          <t>DAILY_X_DAYS</t>
        </is>
      </c>
      <c r="J70" s="305">
        <f>IF($F$33="TRUE",$C$70*$E$70,0)</f>
        <v/>
      </c>
      <c r="K70" s="305">
        <f>IF($F$33="TRUE",$D$70*$F$70,0)</f>
        <v/>
      </c>
      <c r="L70" s="973" t="inlineStr">
        <is>
          <t>Working prior; replace with Engineering/O&amp;M work-pack estimates.</t>
        </is>
      </c>
    </row>
    <row r="71" ht="36" customHeight="1" s="508">
      <c r="A71" s="973" t="inlineStr">
        <is>
          <t>RC-02</t>
        </is>
      </c>
      <c r="B71" s="973" t="inlineStr">
        <is>
          <t>OEM and specialist engineering support</t>
        </is>
      </c>
      <c r="C71" s="304" t="n">
        <v>25000</v>
      </c>
      <c r="D71" s="304" t="n">
        <v>75000</v>
      </c>
      <c r="E71" s="289" t="n">
        <v>30</v>
      </c>
      <c r="F71" s="289" t="n">
        <v>180</v>
      </c>
      <c r="G71" s="973" t="inlineStr">
        <is>
          <t>USD/day × days</t>
        </is>
      </c>
      <c r="H71" s="973" t="str"/>
      <c r="I71" s="973" t="inlineStr">
        <is>
          <t>DAILY_X_DAYS</t>
        </is>
      </c>
      <c r="J71" s="305">
        <f>IF($F$34="TRUE",$C$71*$E$71,0)</f>
        <v/>
      </c>
      <c r="K71" s="305">
        <f>IF($F$34="TRUE",$D$71*$F$71,0)</f>
        <v/>
      </c>
      <c r="L71" s="973" t="inlineStr">
        <is>
          <t>Working prior; replace with OEM/framework agreements.</t>
        </is>
      </c>
    </row>
    <row r="72" ht="36" customHeight="1" s="508">
      <c r="A72" s="973" t="inlineStr">
        <is>
          <t>RC-03</t>
        </is>
      </c>
      <c r="B72" s="973" t="inlineStr">
        <is>
          <t>Configuration/data restoration and integrity validation</t>
        </is>
      </c>
      <c r="C72" s="304" t="n">
        <v>15000</v>
      </c>
      <c r="D72" s="304" t="n">
        <v>40000</v>
      </c>
      <c r="E72" s="289" t="n">
        <v>20</v>
      </c>
      <c r="F72" s="289" t="n">
        <v>120</v>
      </c>
      <c r="G72" s="973" t="inlineStr">
        <is>
          <t>USD/day × days</t>
        </is>
      </c>
      <c r="H72" s="973" t="str"/>
      <c r="I72" s="973" t="inlineStr">
        <is>
          <t>DAILY_X_DAYS</t>
        </is>
      </c>
      <c r="J72" s="305">
        <f>IF($F$35="TRUE",$C$72*$E$72,0)</f>
        <v/>
      </c>
      <c r="K72" s="305">
        <f>IF($F$35="TRUE",$D$72*$F$72,0)</f>
        <v/>
      </c>
      <c r="L72" s="973" t="inlineStr">
        <is>
          <t>Working prior; calibrate from recovery plans and exercises.</t>
        </is>
      </c>
    </row>
    <row r="73" ht="36" customHeight="1" s="508">
      <c r="A73" s="973" t="inlineStr">
        <is>
          <t>BI-01</t>
        </is>
      </c>
      <c r="B73" s="973" t="inlineStr">
        <is>
          <t>Business interruption</t>
        </is>
      </c>
      <c r="C73" s="574" t="n"/>
      <c r="D73" s="574" t="n"/>
      <c r="E73" s="575" t="n"/>
      <c r="F73" s="575" t="n"/>
      <c r="G73" s="973" t="inlineStr">
        <is>
          <t>USD</t>
        </is>
      </c>
      <c r="H73" s="973" t="inlineStr">
        <is>
          <t>ANNUAL_REVENUE_AT_RISK</t>
        </is>
      </c>
      <c r="I73" s="973" t="inlineStr">
        <is>
          <t>BI_SCENARIO</t>
        </is>
      </c>
      <c r="J73" s="305">
        <f>IF($F$37="TRUE",$C$16/365*$C$17*$B$58*$D$58,0)</f>
        <v/>
      </c>
      <c r="K73" s="305">
        <f>IF($F$37="TRUE",$C$16/365*$C$17*$C$58*$E$58,0)</f>
        <v/>
      </c>
      <c r="L73" s="973" t="inlineStr">
        <is>
          <t>Agreed revenue-based convention; scenario duration/capacity below.</t>
        </is>
      </c>
    </row>
    <row r="74" ht="36" customHeight="1" s="508">
      <c r="A74" s="973" t="inlineStr">
        <is>
          <t>OP-01</t>
        </is>
      </c>
      <c r="B74" s="973" t="inlineStr">
        <is>
          <t>Manual operations / increased cost of working</t>
        </is>
      </c>
      <c r="C74" s="304" t="n">
        <v>50000</v>
      </c>
      <c r="D74" s="304" t="n">
        <v>200000</v>
      </c>
      <c r="E74" s="973" t="n"/>
      <c r="F74" s="973" t="n"/>
      <c r="G74" s="973" t="inlineStr">
        <is>
          <t>USD/day × scenario days</t>
        </is>
      </c>
      <c r="H74" s="973" t="str"/>
      <c r="I74" s="973" t="inlineStr">
        <is>
          <t>DAILY_X_SCENARIO_DAYS</t>
        </is>
      </c>
      <c r="J74" s="305">
        <f>IF($F$38="TRUE",$C$74*$B$58,0)</f>
        <v/>
      </c>
      <c r="K74" s="305">
        <f>IF($F$38="TRUE",$D$74*$C$58,0)</f>
        <v/>
      </c>
      <c r="L74" s="973" t="inlineStr">
        <is>
          <t>Working prior; replace with continuity and operations estimates.</t>
        </is>
      </c>
    </row>
    <row r="75" ht="36" customHeight="1" s="508">
      <c r="A75" s="973" t="inlineStr">
        <is>
          <t>OP-02</t>
        </is>
      </c>
      <c r="B75" s="973" t="inlineStr">
        <is>
          <t>Alternative supply / availability and contract penalties</t>
        </is>
      </c>
      <c r="C75" s="304" t="n">
        <v>150000</v>
      </c>
      <c r="D75" s="304" t="n">
        <v>750000</v>
      </c>
      <c r="E75" s="973" t="n"/>
      <c r="F75" s="973" t="n"/>
      <c r="G75" s="973" t="inlineStr">
        <is>
          <t>USD/day × scenario days</t>
        </is>
      </c>
      <c r="H75" s="973" t="str"/>
      <c r="I75" s="973" t="inlineStr">
        <is>
          <t>DAILY_X_SCENARIO_DAYS</t>
        </is>
      </c>
      <c r="J75" s="305">
        <f>IF($F$39="TRUE",$C$75*$B$58,0)</f>
        <v/>
      </c>
      <c r="K75" s="305">
        <f>IF($F$39="TRUE",$D$75*$C$58,0)</f>
        <v/>
      </c>
      <c r="L75" s="973" t="inlineStr">
        <is>
          <t>Working prior; calibrate with Commercial contracts, continuity arrangements and penalty terms.</t>
        </is>
      </c>
    </row>
    <row r="76" ht="36" customHeight="1" s="508">
      <c r="A76" s="973" t="inlineStr">
        <is>
          <t>EX-01</t>
        </is>
      </c>
      <c r="B76" s="973" t="inlineStr">
        <is>
          <t>Extortion / ransom</t>
        </is>
      </c>
      <c r="C76" s="304" t="n">
        <v>2000000</v>
      </c>
      <c r="D76" s="304" t="n">
        <v>25000000</v>
      </c>
      <c r="E76" s="973" t="n"/>
      <c r="F76" s="973" t="n"/>
      <c r="G76" s="973" t="inlineStr">
        <is>
          <t>USD</t>
        </is>
      </c>
      <c r="H76" s="973" t="str"/>
      <c r="I76" s="973" t="inlineStr">
        <is>
          <t>DIRECT</t>
        </is>
      </c>
      <c r="J76" s="305">
        <f>IF($F$41="TRUE",$C$76,0)</f>
        <v/>
      </c>
      <c r="K76" s="305">
        <f>IF($F$41="TRUE",$D$76,0)</f>
        <v/>
      </c>
      <c r="L76" s="973" t="inlineStr">
        <is>
          <t>Working prior; replace with approved incident/claims/market evidence.</t>
        </is>
      </c>
    </row>
    <row r="77" ht="36" customHeight="1" s="508">
      <c r="A77" s="973" t="inlineStr">
        <is>
          <t>LG-01</t>
        </is>
      </c>
      <c r="B77" s="973" t="inlineStr">
        <is>
          <t>Legal and regulatory response</t>
        </is>
      </c>
      <c r="C77" s="304" t="n">
        <v>10000</v>
      </c>
      <c r="D77" s="304" t="n">
        <v>30000</v>
      </c>
      <c r="E77" s="289" t="n">
        <v>30</v>
      </c>
      <c r="F77" s="289" t="n">
        <v>180</v>
      </c>
      <c r="G77" s="973" t="inlineStr">
        <is>
          <t>USD/day × days</t>
        </is>
      </c>
      <c r="H77" s="973" t="str"/>
      <c r="I77" s="973" t="inlineStr">
        <is>
          <t>DAILY_X_DAYS</t>
        </is>
      </c>
      <c r="J77" s="305">
        <f>IF($F$43="TRUE",$C$77*$E$77,0)</f>
        <v/>
      </c>
      <c r="K77" s="305">
        <f>IF($F$43="TRUE",$D$77*$F$77,0)</f>
        <v/>
      </c>
      <c r="L77" s="973" t="inlineStr">
        <is>
          <t>Working prior; replace with Legal panel and response estimates.</t>
        </is>
      </c>
    </row>
    <row r="78" ht="36" customHeight="1" s="508">
      <c r="A78" s="973" t="inlineStr">
        <is>
          <t>LG-02</t>
        </is>
      </c>
      <c r="B78" s="973" t="inlineStr">
        <is>
          <t>Regulatory fines and penalties</t>
        </is>
      </c>
      <c r="C78" s="576" t="n"/>
      <c r="D78" s="576" t="n"/>
      <c r="E78" s="298" t="n">
        <v>0.0005</v>
      </c>
      <c r="F78" s="298" t="n">
        <v>0.01</v>
      </c>
      <c r="G78" s="973" t="inlineStr">
        <is>
          <t>share of annual revenue</t>
        </is>
      </c>
      <c r="H78" s="973" t="inlineStr">
        <is>
          <t>ANNUAL_REVENUE_AT_RISK</t>
        </is>
      </c>
      <c r="I78" s="973" t="inlineStr">
        <is>
          <t>REVENUE_X_SHARE</t>
        </is>
      </c>
      <c r="J78" s="305">
        <f>IF($F$44="TRUE",$C$16*$E$78,0)</f>
        <v/>
      </c>
      <c r="K78" s="305">
        <f>IF($F$44="TRUE",$C$16*$F$78,0)</f>
        <v/>
      </c>
      <c r="L78" s="973" t="inlineStr">
        <is>
          <t>Working prior; Legal must calibrate jurisdiction and enforcement context.</t>
        </is>
      </c>
    </row>
    <row r="79" ht="36" customHeight="1" s="508">
      <c r="A79" s="973" t="inlineStr">
        <is>
          <t>SF-01</t>
        </is>
      </c>
      <c r="B79" s="973" t="inlineStr">
        <is>
          <t>Safety and emergency response</t>
        </is>
      </c>
      <c r="C79" s="304" t="n">
        <v>1000000</v>
      </c>
      <c r="D79" s="304" t="n">
        <v>25000000</v>
      </c>
      <c r="E79" s="973" t="n"/>
      <c r="F79" s="973" t="n"/>
      <c r="G79" s="973" t="inlineStr">
        <is>
          <t>USD</t>
        </is>
      </c>
      <c r="H79" s="973" t="str"/>
      <c r="I79" s="973" t="inlineStr">
        <is>
          <t>DIRECT</t>
        </is>
      </c>
      <c r="J79" s="305">
        <f>IF($F$46="TRUE",$C$79,0)</f>
        <v/>
      </c>
      <c r="K79" s="305">
        <f>IF($F$46="TRUE",$D$79,0)</f>
        <v/>
      </c>
      <c r="L79" s="973" t="inlineStr">
        <is>
          <t>Working prior; replace with HSE scenario and claims evidence.</t>
        </is>
      </c>
    </row>
    <row r="80" ht="36" customHeight="1" s="508">
      <c r="A80" s="973" t="inlineStr">
        <is>
          <t>EN-01</t>
        </is>
      </c>
      <c r="B80" s="973" t="inlineStr">
        <is>
          <t>Environmental remediation</t>
        </is>
      </c>
      <c r="C80" s="304" t="n">
        <v>1000000</v>
      </c>
      <c r="D80" s="304" t="n">
        <v>50000000</v>
      </c>
      <c r="E80" s="973" t="n"/>
      <c r="F80" s="973" t="n"/>
      <c r="G80" s="973" t="inlineStr">
        <is>
          <t>USD</t>
        </is>
      </c>
      <c r="H80" s="973" t="str"/>
      <c r="I80" s="973" t="inlineStr">
        <is>
          <t>DIRECT</t>
        </is>
      </c>
      <c r="J80" s="305">
        <f>IF($F$47="TRUE",$C$80,0)</f>
        <v/>
      </c>
      <c r="K80" s="305">
        <f>IF($F$47="TRUE",$D$80,0)</f>
        <v/>
      </c>
      <c r="L80" s="973" t="inlineStr">
        <is>
          <t>Working prior; replace with HSE/environmental loss scenarios.</t>
        </is>
      </c>
    </row>
    <row r="81" ht="36" customHeight="1" s="508">
      <c r="A81" s="973" t="inlineStr">
        <is>
          <t>PD-01</t>
        </is>
      </c>
      <c r="B81" s="973" t="inlineStr">
        <is>
          <t>OT endpoint / controller replacement</t>
        </is>
      </c>
      <c r="C81" s="304" t="n">
        <v>15000</v>
      </c>
      <c r="D81" s="304" t="n">
        <v>40000</v>
      </c>
      <c r="E81" s="298" t="n">
        <v>0.1</v>
      </c>
      <c r="F81" s="298" t="n">
        <v>0.5</v>
      </c>
      <c r="G81" s="973" t="inlineStr">
        <is>
          <t>USD/unit × affected share</t>
        </is>
      </c>
      <c r="H81" s="973" t="inlineStr">
        <is>
          <t>CRITICAL_OT_ENDPOINTS</t>
        </is>
      </c>
      <c r="I81" s="973" t="inlineStr">
        <is>
          <t>ASSET_X_SHARE_X_UNIT</t>
        </is>
      </c>
      <c r="J81" s="305">
        <f>IF($F$49="TRUE",$C$19*$E$81*$C$81,0)</f>
        <v/>
      </c>
      <c r="K81" s="305">
        <f>IF($F$49="TRUE",$C$19*$F$81*$D$81,0)</f>
        <v/>
      </c>
      <c r="L81" s="973" t="inlineStr">
        <is>
          <t>Working prior; calibrate from asset register and replacement estimates.</t>
        </is>
      </c>
    </row>
    <row r="82" ht="36" customHeight="1" s="508">
      <c r="A82" s="973" t="inlineStr">
        <is>
          <t>PD-02</t>
        </is>
      </c>
      <c r="B82" s="973" t="inlineStr">
        <is>
          <t>OT server / engineering-system replacement</t>
        </is>
      </c>
      <c r="C82" s="304" t="n">
        <v>50000</v>
      </c>
      <c r="D82" s="304" t="n">
        <v>150000</v>
      </c>
      <c r="E82" s="298" t="n">
        <v>0.1</v>
      </c>
      <c r="F82" s="298" t="n">
        <v>0.5</v>
      </c>
      <c r="G82" s="973" t="inlineStr">
        <is>
          <t>USD/unit × affected share</t>
        </is>
      </c>
      <c r="H82" s="973" t="inlineStr">
        <is>
          <t>CRITICAL_OT_SERVERS</t>
        </is>
      </c>
      <c r="I82" s="973" t="inlineStr">
        <is>
          <t>ASSET_X_SHARE_X_UNIT</t>
        </is>
      </c>
      <c r="J82" s="305">
        <f>IF($F$50="TRUE",$C$20*$E$82*$C$82,0)</f>
        <v/>
      </c>
      <c r="K82" s="305">
        <f>IF($F$50="TRUE",$C$20*$F$82*$D$82,0)</f>
        <v/>
      </c>
      <c r="L82" s="973" t="inlineStr">
        <is>
          <t>Working prior; calibrate from asset register/OEM estimates.</t>
        </is>
      </c>
    </row>
    <row r="83" ht="36" customHeight="1" s="508">
      <c r="A83" s="973" t="inlineStr">
        <is>
          <t>PD-03</t>
        </is>
      </c>
      <c r="B83" s="973" t="inlineStr">
        <is>
          <t>Major equipment / physical damage</t>
        </is>
      </c>
      <c r="C83" s="304" t="n">
        <v>2000000</v>
      </c>
      <c r="D83" s="304" t="n">
        <v>150000000</v>
      </c>
      <c r="E83" s="973" t="n"/>
      <c r="F83" s="973" t="n"/>
      <c r="G83" s="973" t="inlineStr">
        <is>
          <t>USD</t>
        </is>
      </c>
      <c r="H83" s="973" t="str"/>
      <c r="I83" s="973" t="inlineStr">
        <is>
          <t>DIRECT</t>
        </is>
      </c>
      <c r="J83" s="305">
        <f>IF($F$51="TRUE",$C$83,0)</f>
        <v/>
      </c>
      <c r="K83" s="305">
        <f>IF($F$51="TRUE",$D$83,0)</f>
        <v/>
      </c>
      <c r="L83" s="973" t="inlineStr">
        <is>
          <t>Working prior; replace with Engineering/property loss scenarios.</t>
        </is>
      </c>
    </row>
    <row r="84" ht="36" customHeight="1" s="508">
      <c r="A84" s="973" t="inlineStr">
        <is>
          <t>IN-01</t>
        </is>
      </c>
      <c r="B84" s="973" t="inlineStr">
        <is>
          <t>Post-event security uplift</t>
        </is>
      </c>
      <c r="C84" s="576" t="n"/>
      <c r="D84" s="576" t="n"/>
      <c r="E84" s="298" t="n">
        <v>0.001</v>
      </c>
      <c r="F84" s="298" t="n">
        <v>0.0075</v>
      </c>
      <c r="G84" s="973" t="inlineStr">
        <is>
          <t>share of annual revenue</t>
        </is>
      </c>
      <c r="H84" s="973" t="inlineStr">
        <is>
          <t>ANNUAL_REVENUE_AT_RISK</t>
        </is>
      </c>
      <c r="I84" s="973" t="inlineStr">
        <is>
          <t>REVENUE_X_SHARE</t>
        </is>
      </c>
      <c r="J84" s="305">
        <f>IF($F$53="TRUE",$C$16*$E$84,0)</f>
        <v/>
      </c>
      <c r="K84" s="305">
        <f>IF($F$53="TRUE",$C$16*$F$84,0)</f>
        <v/>
      </c>
      <c r="L84" s="973" t="inlineStr">
        <is>
          <t>Working prior; calibrate with Cyber/Engineering remediation plans.</t>
        </is>
      </c>
    </row>
    <row r="87">
      <c r="A87" s="250" t="inlineStr">
        <is>
          <t>FORMULA-LINKED CONDITIONAL DRIVER COST BY SCENARIO</t>
        </is>
      </c>
      <c r="B87" s="509" t="n"/>
      <c r="C87" s="509" t="n"/>
      <c r="D87" s="509" t="n"/>
      <c r="E87" s="509" t="n"/>
      <c r="F87" s="509" t="n"/>
      <c r="G87" s="509" t="n"/>
      <c r="H87" s="509" t="n"/>
      <c r="I87" s="510" t="n"/>
    </row>
    <row r="88">
      <c r="A88" s="243" t="inlineStr">
        <is>
          <t>Scenario</t>
        </is>
      </c>
      <c r="B88" s="243" t="inlineStr">
        <is>
          <t>Driver ID</t>
        </is>
      </c>
      <c r="C88" s="243" t="inlineStr">
        <is>
          <t>Cost driver</t>
        </is>
      </c>
      <c r="D88" s="243" t="inlineStr">
        <is>
          <t>P50 conditional cost</t>
        </is>
      </c>
      <c r="E88" s="243" t="inlineStr">
        <is>
          <t>P99 conditional cost</t>
        </is>
      </c>
      <c r="F88" s="243" t="inlineStr">
        <is>
          <t>Unit</t>
        </is>
      </c>
      <c r="G88" s="243" t="inlineStr">
        <is>
          <t>Actor applicability</t>
        </is>
      </c>
      <c r="H88" s="243" t="inlineStr">
        <is>
          <t>Control sensitivity</t>
        </is>
      </c>
      <c r="I88" s="243" t="inlineStr">
        <is>
          <t>Visible calculation / calibration note</t>
        </is>
      </c>
    </row>
    <row r="89" ht="32" customHeight="1" s="508">
      <c r="A89" s="973" t="inlineStr">
        <is>
          <t>Operational Disruption</t>
        </is>
      </c>
      <c r="B89" s="973" t="inlineStr">
        <is>
          <t>IR-01</t>
        </is>
      </c>
      <c r="C89" s="973" t="inlineStr">
        <is>
          <t>OT and digital forensic investigation</t>
        </is>
      </c>
      <c r="D89" s="305">
        <f>IF($F$29="TRUE",$C$67*$E$67,0)</f>
        <v/>
      </c>
      <c r="E89" s="305">
        <f>IF($F$29="TRUE",$D$67*$F$67,0)</f>
        <v/>
      </c>
      <c r="F89" s="973" t="inlineStr">
        <is>
          <t>USD</t>
        </is>
      </c>
      <c r="G89" s="973" t="inlineStr">
        <is>
          <t>All</t>
        </is>
      </c>
      <c r="H89" s="973" t="inlineStr">
        <is>
          <t>Fixed</t>
        </is>
      </c>
      <c r="I89" s="973" t="inlineStr">
        <is>
          <t>Daily forensic team cost × days required. Working prior; replace with IR retainer, panel and claims data.</t>
        </is>
      </c>
    </row>
    <row r="90" ht="32" customHeight="1" s="508">
      <c r="A90" s="973" t="inlineStr">
        <is>
          <t>Operational Disruption</t>
        </is>
      </c>
      <c r="B90" s="973" t="inlineStr">
        <is>
          <t>IR-02</t>
        </is>
      </c>
      <c r="C90" s="973" t="inlineStr">
        <is>
          <t>External cyber incident response</t>
        </is>
      </c>
      <c r="D90" s="305">
        <f>IF($F$30="TRUE",$C$68*$E$68,0)</f>
        <v/>
      </c>
      <c r="E90" s="305">
        <f>IF($F$30="TRUE",$D$68*$F$68,0)</f>
        <v/>
      </c>
      <c r="F90" s="973" t="inlineStr">
        <is>
          <t>USD</t>
        </is>
      </c>
      <c r="G90" s="973" t="inlineStr">
        <is>
          <t>All</t>
        </is>
      </c>
      <c r="H90" s="973" t="inlineStr">
        <is>
          <t>Fixed</t>
        </is>
      </c>
      <c r="I90" s="973" t="inlineStr">
        <is>
          <t>Daily external response team cost × days required. Working prior; replace with response supplier evidence.</t>
        </is>
      </c>
    </row>
    <row r="91" ht="32" customHeight="1" s="508">
      <c r="A91" s="973" t="inlineStr">
        <is>
          <t>Operational Disruption</t>
        </is>
      </c>
      <c r="B91" s="973" t="inlineStr">
        <is>
          <t>IR-03</t>
        </is>
      </c>
      <c r="C91" s="973" t="inlineStr">
        <is>
          <t>Crisis communications</t>
        </is>
      </c>
      <c r="D91" s="305">
        <f>IF($F$31="TRUE",$C$69*$E$69,0)</f>
        <v/>
      </c>
      <c r="E91" s="305">
        <f>IF($F$31="TRUE",$D$69*$F$69,0)</f>
        <v/>
      </c>
      <c r="F91" s="973" t="inlineStr">
        <is>
          <t>USD</t>
        </is>
      </c>
      <c r="G91" s="973" t="inlineStr">
        <is>
          <t>All</t>
        </is>
      </c>
      <c r="H91" s="973" t="inlineStr">
        <is>
          <t>Fixed</t>
        </is>
      </c>
      <c r="I91" s="973" t="inlineStr">
        <is>
          <t>Daily crisis communications cost × days required. Working prior; calibrate with communications and panel rates.</t>
        </is>
      </c>
    </row>
    <row r="92" ht="32" customHeight="1" s="508">
      <c r="A92" s="973" t="inlineStr">
        <is>
          <t>Operational Disruption</t>
        </is>
      </c>
      <c r="B92" s="973" t="inlineStr">
        <is>
          <t>RC-01</t>
        </is>
      </c>
      <c r="C92" s="973" t="inlineStr">
        <is>
          <t>OT restoration and recommissioning</t>
        </is>
      </c>
      <c r="D92" s="305">
        <f>IF($F$33="TRUE",$C$70*$E$70,0)</f>
        <v/>
      </c>
      <c r="E92" s="305">
        <f>IF($F$33="TRUE",$D$70*$F$70,0)</f>
        <v/>
      </c>
      <c r="F92" s="973" t="inlineStr">
        <is>
          <t>USD</t>
        </is>
      </c>
      <c r="G92" s="973" t="inlineStr">
        <is>
          <t>All</t>
        </is>
      </c>
      <c r="H92" s="973" t="inlineStr">
        <is>
          <t>Recover</t>
        </is>
      </c>
      <c r="I92" s="973" t="inlineStr">
        <is>
          <t>Daily restoration team cost × days required. Working prior; replace with Engineering/O&amp;M work-pack estimates.</t>
        </is>
      </c>
    </row>
    <row r="93" ht="32" customHeight="1" s="508">
      <c r="A93" s="973" t="inlineStr">
        <is>
          <t>Operational Disruption</t>
        </is>
      </c>
      <c r="B93" s="973" t="inlineStr">
        <is>
          <t>RC-02</t>
        </is>
      </c>
      <c r="C93" s="973" t="inlineStr">
        <is>
          <t>OEM and specialist engineering support</t>
        </is>
      </c>
      <c r="D93" s="305">
        <f>IF($F$34="TRUE",$C$71*$E$71,0)</f>
        <v/>
      </c>
      <c r="E93" s="305">
        <f>IF($F$34="TRUE",$D$71*$F$71,0)</f>
        <v/>
      </c>
      <c r="F93" s="973" t="inlineStr">
        <is>
          <t>USD</t>
        </is>
      </c>
      <c r="G93" s="973" t="inlineStr">
        <is>
          <t>All</t>
        </is>
      </c>
      <c r="H93" s="973" t="inlineStr">
        <is>
          <t>Recover</t>
        </is>
      </c>
      <c r="I93" s="973" t="inlineStr">
        <is>
          <t>Daily OEM/specialist cost × days required. Working prior; replace with OEM/framework agreements.</t>
        </is>
      </c>
    </row>
    <row r="94" ht="32" customHeight="1" s="508">
      <c r="A94" s="973" t="inlineStr">
        <is>
          <t>Operational Disruption</t>
        </is>
      </c>
      <c r="B94" s="973" t="inlineStr">
        <is>
          <t>RC-03</t>
        </is>
      </c>
      <c r="C94" s="973" t="inlineStr">
        <is>
          <t>Configuration/data restoration and integrity validation</t>
        </is>
      </c>
      <c r="D94" s="305">
        <f>IF($F$35="TRUE",$C$72*$E$72,0)</f>
        <v/>
      </c>
      <c r="E94" s="305">
        <f>IF($F$35="TRUE",$D$72*$F$72,0)</f>
        <v/>
      </c>
      <c r="F94" s="973" t="inlineStr">
        <is>
          <t>USD</t>
        </is>
      </c>
      <c r="G94" s="973" t="inlineStr">
        <is>
          <t>All</t>
        </is>
      </c>
      <c r="H94" s="973" t="inlineStr">
        <is>
          <t>Recover</t>
        </is>
      </c>
      <c r="I94" s="973" t="inlineStr">
        <is>
          <t>Daily validation team cost × days required. Working prior; calibrate from recovery plans and exercises.</t>
        </is>
      </c>
    </row>
    <row r="95" ht="32" customHeight="1" s="508">
      <c r="A95" s="973" t="inlineStr">
        <is>
          <t>Operational Disruption</t>
        </is>
      </c>
      <c r="B95" s="973" t="inlineStr">
        <is>
          <t>BI-01</t>
        </is>
      </c>
      <c r="C95" s="973" t="inlineStr">
        <is>
          <t>Business interruption</t>
        </is>
      </c>
      <c r="D95" s="305">
        <f>IF($F$37="TRUE",$C$16/365*$C$17*$B$58*$D$58,0)</f>
        <v/>
      </c>
      <c r="E95" s="305">
        <f>IF($F$37="TRUE",$C$16/365*$C$17*$C$58*$E$58,0)</f>
        <v/>
      </c>
      <c r="F95" s="973" t="inlineStr">
        <is>
          <t>USD</t>
        </is>
      </c>
      <c r="G95" s="973" t="inlineStr">
        <is>
          <t>All</t>
        </is>
      </c>
      <c r="H95" s="973" t="inlineStr">
        <is>
          <t>Duration</t>
        </is>
      </c>
      <c r="I95" s="973" t="inlineStr">
        <is>
          <t>Annual revenue ÷ 365 × BI factor × downtime × capacity affected. Agreed revenue-based convention; scenario duration/capacity below.</t>
        </is>
      </c>
    </row>
    <row r="96" ht="32" customHeight="1" s="508">
      <c r="A96" s="973" t="inlineStr">
        <is>
          <t>Operational Disruption</t>
        </is>
      </c>
      <c r="B96" s="973" t="inlineStr">
        <is>
          <t>OP-01</t>
        </is>
      </c>
      <c r="C96" s="973" t="inlineStr">
        <is>
          <t>Manual operations / increased cost of working</t>
        </is>
      </c>
      <c r="D96" s="305">
        <f>IF($F$38="TRUE",$C$74*$B$58,0)</f>
        <v/>
      </c>
      <c r="E96" s="305">
        <f>IF($F$38="TRUE",$D$74*$C$58,0)</f>
        <v/>
      </c>
      <c r="F96" s="973" t="inlineStr">
        <is>
          <t>USD</t>
        </is>
      </c>
      <c r="G96" s="973" t="inlineStr">
        <is>
          <t>All</t>
        </is>
      </c>
      <c r="H96" s="973" t="inlineStr">
        <is>
          <t>Recover</t>
        </is>
      </c>
      <c r="I96" s="973" t="inlineStr">
        <is>
          <t>Daily incremental operating cost × scenario downtime. Working prior; replace with continuity and operations estimates.</t>
        </is>
      </c>
    </row>
    <row r="97" ht="32" customHeight="1" s="508">
      <c r="A97" s="973" t="inlineStr">
        <is>
          <t>Operational Disruption</t>
        </is>
      </c>
      <c r="B97" s="973" t="inlineStr">
        <is>
          <t>OP-02</t>
        </is>
      </c>
      <c r="C97" s="973" t="inlineStr">
        <is>
          <t>Alternative supply / availability and contract penalties</t>
        </is>
      </c>
      <c r="D97" s="305">
        <f>IF($F$39="TRUE",$C$75*$B$58,0)</f>
        <v/>
      </c>
      <c r="E97" s="305">
        <f>IF($F$39="TRUE",$D$75*$C$58,0)</f>
        <v/>
      </c>
      <c r="F97" s="973" t="inlineStr">
        <is>
          <t>USD</t>
        </is>
      </c>
      <c r="G97" s="973" t="inlineStr">
        <is>
          <t>All</t>
        </is>
      </c>
      <c r="H97" s="973" t="inlineStr">
        <is>
          <t>Recover</t>
        </is>
      </c>
      <c r="I97" s="973" t="inlineStr">
        <is>
          <t>Daily incremental replacement/penalty cost × scenario downtime. Working prior; calibrate with Commercial contracts, continuity arrangements and penalty terms.</t>
        </is>
      </c>
    </row>
    <row r="98" ht="32" customHeight="1" s="508">
      <c r="A98" s="973" t="inlineStr">
        <is>
          <t>Operational Disruption</t>
        </is>
      </c>
      <c r="B98" s="973" t="inlineStr">
        <is>
          <t>EX-01</t>
        </is>
      </c>
      <c r="C98" s="973" t="inlineStr">
        <is>
          <t>Extortion / ransom</t>
        </is>
      </c>
      <c r="D98" s="305">
        <f>IF($F$41="TRUE",$C$76,0)</f>
        <v/>
      </c>
      <c r="E98" s="305">
        <f>IF($F$41="TRUE",$D$76,0)</f>
        <v/>
      </c>
      <c r="F98" s="973" t="inlineStr">
        <is>
          <t>USD</t>
        </is>
      </c>
      <c r="G98" s="973" t="inlineStr">
        <is>
          <t>Cybercriminal</t>
        </is>
      </c>
      <c r="H98" s="973" t="inlineStr">
        <is>
          <t>Fixed</t>
        </is>
      </c>
      <c r="I98" s="973" t="inlineStr">
        <is>
          <t>Direct conditional amount. Working prior; replace with approved incident/claims/market evidence.</t>
        </is>
      </c>
    </row>
    <row r="99" ht="32" customHeight="1" s="508">
      <c r="A99" s="973" t="inlineStr">
        <is>
          <t>Operational Disruption</t>
        </is>
      </c>
      <c r="B99" s="973" t="inlineStr">
        <is>
          <t>LG-01</t>
        </is>
      </c>
      <c r="C99" s="973" t="inlineStr">
        <is>
          <t>Legal and regulatory response</t>
        </is>
      </c>
      <c r="D99" s="305">
        <f>IF($F$43="TRUE",$C$77*$E$77,0)</f>
        <v/>
      </c>
      <c r="E99" s="305">
        <f>IF($F$43="TRUE",$D$77*$F$77,0)</f>
        <v/>
      </c>
      <c r="F99" s="973" t="inlineStr">
        <is>
          <t>USD</t>
        </is>
      </c>
      <c r="G99" s="973" t="inlineStr">
        <is>
          <t>All</t>
        </is>
      </c>
      <c r="H99" s="973" t="inlineStr">
        <is>
          <t>Fixed</t>
        </is>
      </c>
      <c r="I99" s="973" t="inlineStr">
        <is>
          <t>Daily external legal/regulatory cost × days required. Working prior; replace with Legal panel and response estimates.</t>
        </is>
      </c>
    </row>
    <row r="100" ht="32" customHeight="1" s="508">
      <c r="A100" s="973" t="inlineStr">
        <is>
          <t>Operational Disruption</t>
        </is>
      </c>
      <c r="B100" s="973" t="inlineStr">
        <is>
          <t>LG-02</t>
        </is>
      </c>
      <c r="C100" s="973" t="inlineStr">
        <is>
          <t>Regulatory fines and penalties</t>
        </is>
      </c>
      <c r="D100" s="305">
        <f>IF($F$44="TRUE",$C$16*$E$78,0)</f>
        <v/>
      </c>
      <c r="E100" s="305">
        <f>IF($F$44="TRUE",$C$16*$F$78,0)</f>
        <v/>
      </c>
      <c r="F100" s="973" t="inlineStr">
        <is>
          <t>USD</t>
        </is>
      </c>
      <c r="G100" s="973" t="inlineStr">
        <is>
          <t>All</t>
        </is>
      </c>
      <c r="H100" s="973" t="inlineStr">
        <is>
          <t>Fixed</t>
        </is>
      </c>
      <c r="I100" s="973" t="inlineStr">
        <is>
          <t>Annual revenue × conditional penalty share. Working prior; Legal must calibrate jurisdiction and enforcement context.</t>
        </is>
      </c>
    </row>
    <row r="101" ht="32" customHeight="1" s="508">
      <c r="A101" s="973" t="inlineStr">
        <is>
          <t>Operational Disruption</t>
        </is>
      </c>
      <c r="B101" s="973" t="inlineStr">
        <is>
          <t>SF-01</t>
        </is>
      </c>
      <c r="C101" s="973" t="inlineStr">
        <is>
          <t>Safety and emergency response</t>
        </is>
      </c>
      <c r="D101" s="305">
        <f>IF($F$46="TRUE",$C$79,0)</f>
        <v/>
      </c>
      <c r="E101" s="305">
        <f>IF($F$46="TRUE",$D$79,0)</f>
        <v/>
      </c>
      <c r="F101" s="973" t="inlineStr">
        <is>
          <t>USD</t>
        </is>
      </c>
      <c r="G101" s="973" t="inlineStr">
        <is>
          <t>All</t>
        </is>
      </c>
      <c r="H101" s="973" t="inlineStr">
        <is>
          <t>Safety</t>
        </is>
      </c>
      <c r="I101" s="973" t="inlineStr">
        <is>
          <t>Direct conditional amount. Working prior; replace with HSE scenario and claims evidence.</t>
        </is>
      </c>
    </row>
    <row r="102" ht="32" customHeight="1" s="508">
      <c r="A102" s="973" t="inlineStr">
        <is>
          <t>Operational Disruption</t>
        </is>
      </c>
      <c r="B102" s="973" t="inlineStr">
        <is>
          <t>EN-01</t>
        </is>
      </c>
      <c r="C102" s="973" t="inlineStr">
        <is>
          <t>Environmental remediation</t>
        </is>
      </c>
      <c r="D102" s="305">
        <f>IF($F$47="TRUE",$C$80,0)</f>
        <v/>
      </c>
      <c r="E102" s="305">
        <f>IF($F$47="TRUE",$D$80,0)</f>
        <v/>
      </c>
      <c r="F102" s="973" t="inlineStr">
        <is>
          <t>USD</t>
        </is>
      </c>
      <c r="G102" s="973" t="inlineStr">
        <is>
          <t>All</t>
        </is>
      </c>
      <c r="H102" s="973" t="inlineStr">
        <is>
          <t>Safety</t>
        </is>
      </c>
      <c r="I102" s="973" t="inlineStr">
        <is>
          <t>Direct conditional amount. Working prior; replace with HSE/environmental loss scenarios.</t>
        </is>
      </c>
    </row>
    <row r="103" ht="32" customHeight="1" s="508">
      <c r="A103" s="973" t="inlineStr">
        <is>
          <t>Operational Disruption</t>
        </is>
      </c>
      <c r="B103" s="973" t="inlineStr">
        <is>
          <t>PD-01</t>
        </is>
      </c>
      <c r="C103" s="973" t="inlineStr">
        <is>
          <t>OT endpoint / controller replacement</t>
        </is>
      </c>
      <c r="D103" s="305">
        <f>IF($F$49="TRUE",$C$19*$E$81*$C$81,0)</f>
        <v/>
      </c>
      <c r="E103" s="305">
        <f>IF($F$49="TRUE",$C$19*$F$81*$D$81,0)</f>
        <v/>
      </c>
      <c r="F103" s="973" t="inlineStr">
        <is>
          <t>USD</t>
        </is>
      </c>
      <c r="G103" s="973" t="inlineStr">
        <is>
          <t>All</t>
        </is>
      </c>
      <c r="H103" s="973" t="inlineStr">
        <is>
          <t>Recover</t>
        </is>
      </c>
      <c r="I103" s="973" t="inlineStr">
        <is>
          <t>Critical OT endpoints × affected share × replacement unit cost. Working prior; calibrate from asset register and replacement estimates.</t>
        </is>
      </c>
    </row>
    <row r="104" ht="32" customHeight="1" s="508">
      <c r="A104" s="973" t="inlineStr">
        <is>
          <t>Operational Disruption</t>
        </is>
      </c>
      <c r="B104" s="973" t="inlineStr">
        <is>
          <t>PD-02</t>
        </is>
      </c>
      <c r="C104" s="973" t="inlineStr">
        <is>
          <t>OT server / engineering-system replacement</t>
        </is>
      </c>
      <c r="D104" s="305">
        <f>IF($F$50="TRUE",$C$20*$E$82*$C$82,0)</f>
        <v/>
      </c>
      <c r="E104" s="305">
        <f>IF($F$50="TRUE",$C$20*$F$82*$D$82,0)</f>
        <v/>
      </c>
      <c r="F104" s="973" t="inlineStr">
        <is>
          <t>USD</t>
        </is>
      </c>
      <c r="G104" s="973" t="inlineStr">
        <is>
          <t>All</t>
        </is>
      </c>
      <c r="H104" s="973" t="inlineStr">
        <is>
          <t>Recover</t>
        </is>
      </c>
      <c r="I104" s="973" t="inlineStr">
        <is>
          <t>Critical OT servers × affected share × replacement unit cost. Working prior; calibrate from asset register/OEM estimates.</t>
        </is>
      </c>
    </row>
    <row r="105" ht="32" customHeight="1" s="508">
      <c r="A105" s="973" t="inlineStr">
        <is>
          <t>Operational Disruption</t>
        </is>
      </c>
      <c r="B105" s="973" t="inlineStr">
        <is>
          <t>PD-03</t>
        </is>
      </c>
      <c r="C105" s="973" t="inlineStr">
        <is>
          <t>Major equipment / physical damage</t>
        </is>
      </c>
      <c r="D105" s="305">
        <f>IF($F$51="TRUE",$C$83,0)</f>
        <v/>
      </c>
      <c r="E105" s="305">
        <f>IF($F$51="TRUE",$D$83,0)</f>
        <v/>
      </c>
      <c r="F105" s="973" t="inlineStr">
        <is>
          <t>USD</t>
        </is>
      </c>
      <c r="G105" s="973" t="inlineStr">
        <is>
          <t>All</t>
        </is>
      </c>
      <c r="H105" s="973" t="inlineStr">
        <is>
          <t>Safety</t>
        </is>
      </c>
      <c r="I105" s="973" t="inlineStr">
        <is>
          <t>Direct conditional amount. Working prior; replace with Engineering/property loss scenarios.</t>
        </is>
      </c>
    </row>
    <row r="106" ht="32" customHeight="1" s="508">
      <c r="A106" s="973" t="inlineStr">
        <is>
          <t>Operational Disruption</t>
        </is>
      </c>
      <c r="B106" s="973" t="inlineStr">
        <is>
          <t>IN-01</t>
        </is>
      </c>
      <c r="C106" s="973" t="inlineStr">
        <is>
          <t>Post-event security uplift</t>
        </is>
      </c>
      <c r="D106" s="305">
        <f>IF($F$53="TRUE",$C$16*$E$84,0)</f>
        <v/>
      </c>
      <c r="E106" s="305">
        <f>IF($F$53="TRUE",$C$16*$F$84,0)</f>
        <v/>
      </c>
      <c r="F106" s="973" t="inlineStr">
        <is>
          <t>USD</t>
        </is>
      </c>
      <c r="G106" s="973" t="inlineStr">
        <is>
          <t>All</t>
        </is>
      </c>
      <c r="H106" s="973" t="inlineStr">
        <is>
          <t>Fixed</t>
        </is>
      </c>
      <c r="I106" s="973" t="inlineStr">
        <is>
          <t>Annual revenue × conditional uplift share. Working prior; calibrate with Cyber/Engineering remediation plans.</t>
        </is>
      </c>
    </row>
    <row r="107" ht="32" customHeight="1" s="508">
      <c r="A107" s="973" t="inlineStr">
        <is>
          <t>Loss of Control or Visibility</t>
        </is>
      </c>
      <c r="B107" s="973" t="inlineStr">
        <is>
          <t>IR-01</t>
        </is>
      </c>
      <c r="C107" s="973" t="inlineStr">
        <is>
          <t>OT and digital forensic investigation</t>
        </is>
      </c>
      <c r="D107" s="305">
        <f>IF($G$29="TRUE",$C$67*$E$67,0)</f>
        <v/>
      </c>
      <c r="E107" s="305">
        <f>IF($G$29="TRUE",$D$67*$F$67,0)</f>
        <v/>
      </c>
      <c r="F107" s="973" t="inlineStr">
        <is>
          <t>USD</t>
        </is>
      </c>
      <c r="G107" s="973" t="inlineStr">
        <is>
          <t>All</t>
        </is>
      </c>
      <c r="H107" s="973" t="inlineStr">
        <is>
          <t>Fixed</t>
        </is>
      </c>
      <c r="I107" s="973" t="inlineStr">
        <is>
          <t>Daily forensic team cost × days required. Working prior; replace with IR retainer, panel and claims data.</t>
        </is>
      </c>
    </row>
    <row r="108" ht="32" customHeight="1" s="508">
      <c r="A108" s="973" t="inlineStr">
        <is>
          <t>Loss of Control or Visibility</t>
        </is>
      </c>
      <c r="B108" s="973" t="inlineStr">
        <is>
          <t>IR-02</t>
        </is>
      </c>
      <c r="C108" s="973" t="inlineStr">
        <is>
          <t>External cyber incident response</t>
        </is>
      </c>
      <c r="D108" s="305">
        <f>IF($G$30="TRUE",$C$68*$E$68,0)</f>
        <v/>
      </c>
      <c r="E108" s="305">
        <f>IF($G$30="TRUE",$D$68*$F$68,0)</f>
        <v/>
      </c>
      <c r="F108" s="973" t="inlineStr">
        <is>
          <t>USD</t>
        </is>
      </c>
      <c r="G108" s="973" t="inlineStr">
        <is>
          <t>All</t>
        </is>
      </c>
      <c r="H108" s="973" t="inlineStr">
        <is>
          <t>Fixed</t>
        </is>
      </c>
      <c r="I108" s="973" t="inlineStr">
        <is>
          <t>Daily external response team cost × days required. Working prior; replace with response supplier evidence.</t>
        </is>
      </c>
    </row>
    <row r="109" ht="32" customHeight="1" s="508">
      <c r="A109" s="973" t="inlineStr">
        <is>
          <t>Loss of Control or Visibility</t>
        </is>
      </c>
      <c r="B109" s="973" t="inlineStr">
        <is>
          <t>IR-03</t>
        </is>
      </c>
      <c r="C109" s="973" t="inlineStr">
        <is>
          <t>Crisis communications</t>
        </is>
      </c>
      <c r="D109" s="305">
        <f>IF($G$31="TRUE",$C$69*$E$69,0)</f>
        <v/>
      </c>
      <c r="E109" s="305">
        <f>IF($G$31="TRUE",$D$69*$F$69,0)</f>
        <v/>
      </c>
      <c r="F109" s="973" t="inlineStr">
        <is>
          <t>USD</t>
        </is>
      </c>
      <c r="G109" s="973" t="inlineStr">
        <is>
          <t>All</t>
        </is>
      </c>
      <c r="H109" s="973" t="inlineStr">
        <is>
          <t>Fixed</t>
        </is>
      </c>
      <c r="I109" s="973" t="inlineStr">
        <is>
          <t>Daily crisis communications cost × days required. Working prior; calibrate with communications and panel rates.</t>
        </is>
      </c>
    </row>
    <row r="110" ht="32" customHeight="1" s="508">
      <c r="A110" s="973" t="inlineStr">
        <is>
          <t>Loss of Control or Visibility</t>
        </is>
      </c>
      <c r="B110" s="973" t="inlineStr">
        <is>
          <t>RC-01</t>
        </is>
      </c>
      <c r="C110" s="973" t="inlineStr">
        <is>
          <t>OT restoration and recommissioning</t>
        </is>
      </c>
      <c r="D110" s="305">
        <f>IF($G$33="TRUE",$C$70*$E$70,0)</f>
        <v/>
      </c>
      <c r="E110" s="305">
        <f>IF($G$33="TRUE",$D$70*$F$70,0)</f>
        <v/>
      </c>
      <c r="F110" s="973" t="inlineStr">
        <is>
          <t>USD</t>
        </is>
      </c>
      <c r="G110" s="973" t="inlineStr">
        <is>
          <t>All</t>
        </is>
      </c>
      <c r="H110" s="973" t="inlineStr">
        <is>
          <t>Recover</t>
        </is>
      </c>
      <c r="I110" s="973" t="inlineStr">
        <is>
          <t>Daily restoration team cost × days required. Working prior; replace with Engineering/O&amp;M work-pack estimates.</t>
        </is>
      </c>
    </row>
    <row r="111" ht="32" customHeight="1" s="508">
      <c r="A111" s="973" t="inlineStr">
        <is>
          <t>Loss of Control or Visibility</t>
        </is>
      </c>
      <c r="B111" s="973" t="inlineStr">
        <is>
          <t>RC-02</t>
        </is>
      </c>
      <c r="C111" s="973" t="inlineStr">
        <is>
          <t>OEM and specialist engineering support</t>
        </is>
      </c>
      <c r="D111" s="305">
        <f>IF($G$34="TRUE",$C$71*$E$71,0)</f>
        <v/>
      </c>
      <c r="E111" s="305">
        <f>IF($G$34="TRUE",$D$71*$F$71,0)</f>
        <v/>
      </c>
      <c r="F111" s="973" t="inlineStr">
        <is>
          <t>USD</t>
        </is>
      </c>
      <c r="G111" s="973" t="inlineStr">
        <is>
          <t>All</t>
        </is>
      </c>
      <c r="H111" s="973" t="inlineStr">
        <is>
          <t>Recover</t>
        </is>
      </c>
      <c r="I111" s="973" t="inlineStr">
        <is>
          <t>Daily OEM/specialist cost × days required. Working prior; replace with OEM/framework agreements.</t>
        </is>
      </c>
    </row>
    <row r="112" ht="32" customHeight="1" s="508">
      <c r="A112" s="973" t="inlineStr">
        <is>
          <t>Loss of Control or Visibility</t>
        </is>
      </c>
      <c r="B112" s="973" t="inlineStr">
        <is>
          <t>RC-03</t>
        </is>
      </c>
      <c r="C112" s="973" t="inlineStr">
        <is>
          <t>Configuration/data restoration and integrity validation</t>
        </is>
      </c>
      <c r="D112" s="305">
        <f>IF($G$35="TRUE",$C$72*$E$72,0)</f>
        <v/>
      </c>
      <c r="E112" s="305">
        <f>IF($G$35="TRUE",$D$72*$F$72,0)</f>
        <v/>
      </c>
      <c r="F112" s="973" t="inlineStr">
        <is>
          <t>USD</t>
        </is>
      </c>
      <c r="G112" s="973" t="inlineStr">
        <is>
          <t>All</t>
        </is>
      </c>
      <c r="H112" s="973" t="inlineStr">
        <is>
          <t>Recover</t>
        </is>
      </c>
      <c r="I112" s="973" t="inlineStr">
        <is>
          <t>Daily validation team cost × days required. Working prior; calibrate from recovery plans and exercises.</t>
        </is>
      </c>
    </row>
    <row r="113" ht="32" customHeight="1" s="508">
      <c r="A113" s="973" t="inlineStr">
        <is>
          <t>Loss of Control or Visibility</t>
        </is>
      </c>
      <c r="B113" s="973" t="inlineStr">
        <is>
          <t>BI-01</t>
        </is>
      </c>
      <c r="C113" s="973" t="inlineStr">
        <is>
          <t>Business interruption</t>
        </is>
      </c>
      <c r="D113" s="305">
        <f>IF($G$37="TRUE",$C$16/365*$C$17*$B$59*$D$59,0)</f>
        <v/>
      </c>
      <c r="E113" s="305">
        <f>IF($G$37="TRUE",$C$16/365*$C$17*$C$59*$E$59,0)</f>
        <v/>
      </c>
      <c r="F113" s="973" t="inlineStr">
        <is>
          <t>USD</t>
        </is>
      </c>
      <c r="G113" s="973" t="inlineStr">
        <is>
          <t>All</t>
        </is>
      </c>
      <c r="H113" s="973" t="inlineStr">
        <is>
          <t>Duration</t>
        </is>
      </c>
      <c r="I113" s="973" t="inlineStr">
        <is>
          <t>Annual revenue ÷ 365 × BI factor × downtime × capacity affected. Agreed revenue-based convention; scenario duration/capacity below.</t>
        </is>
      </c>
    </row>
    <row r="114" ht="32" customHeight="1" s="508">
      <c r="A114" s="973" t="inlineStr">
        <is>
          <t>Loss of Control or Visibility</t>
        </is>
      </c>
      <c r="B114" s="973" t="inlineStr">
        <is>
          <t>OP-01</t>
        </is>
      </c>
      <c r="C114" s="973" t="inlineStr">
        <is>
          <t>Manual operations / increased cost of working</t>
        </is>
      </c>
      <c r="D114" s="305">
        <f>IF($G$38="TRUE",$C$74*$B$59,0)</f>
        <v/>
      </c>
      <c r="E114" s="305">
        <f>IF($G$38="TRUE",$D$74*$C$59,0)</f>
        <v/>
      </c>
      <c r="F114" s="973" t="inlineStr">
        <is>
          <t>USD</t>
        </is>
      </c>
      <c r="G114" s="973" t="inlineStr">
        <is>
          <t>All</t>
        </is>
      </c>
      <c r="H114" s="973" t="inlineStr">
        <is>
          <t>Recover</t>
        </is>
      </c>
      <c r="I114" s="973" t="inlineStr">
        <is>
          <t>Daily incremental operating cost × scenario downtime. Working prior; replace with continuity and operations estimates.</t>
        </is>
      </c>
    </row>
    <row r="115" ht="32" customHeight="1" s="508">
      <c r="A115" s="973" t="inlineStr">
        <is>
          <t>Loss of Control or Visibility</t>
        </is>
      </c>
      <c r="B115" s="973" t="inlineStr">
        <is>
          <t>OP-02</t>
        </is>
      </c>
      <c r="C115" s="973" t="inlineStr">
        <is>
          <t>Alternative supply / availability and contract penalties</t>
        </is>
      </c>
      <c r="D115" s="305">
        <f>IF($G$39="TRUE",$C$75*$B$59,0)</f>
        <v/>
      </c>
      <c r="E115" s="305">
        <f>IF($G$39="TRUE",$D$75*$C$59,0)</f>
        <v/>
      </c>
      <c r="F115" s="973" t="inlineStr">
        <is>
          <t>USD</t>
        </is>
      </c>
      <c r="G115" s="973" t="inlineStr">
        <is>
          <t>All</t>
        </is>
      </c>
      <c r="H115" s="973" t="inlineStr">
        <is>
          <t>Recover</t>
        </is>
      </c>
      <c r="I115" s="973" t="inlineStr">
        <is>
          <t>Daily incremental replacement/penalty cost × scenario downtime. Working prior; calibrate with Commercial contracts, continuity arrangements and penalty terms.</t>
        </is>
      </c>
    </row>
    <row r="116" ht="32" customHeight="1" s="508">
      <c r="A116" s="973" t="inlineStr">
        <is>
          <t>Loss of Control or Visibility</t>
        </is>
      </c>
      <c r="B116" s="973" t="inlineStr">
        <is>
          <t>EX-01</t>
        </is>
      </c>
      <c r="C116" s="973" t="inlineStr">
        <is>
          <t>Extortion / ransom</t>
        </is>
      </c>
      <c r="D116" s="305">
        <f>IF($G$41="TRUE",$C$76,0)</f>
        <v/>
      </c>
      <c r="E116" s="305">
        <f>IF($G$41="TRUE",$D$76,0)</f>
        <v/>
      </c>
      <c r="F116" s="973" t="inlineStr">
        <is>
          <t>USD</t>
        </is>
      </c>
      <c r="G116" s="973" t="inlineStr">
        <is>
          <t>Cybercriminal</t>
        </is>
      </c>
      <c r="H116" s="973" t="inlineStr">
        <is>
          <t>Fixed</t>
        </is>
      </c>
      <c r="I116" s="973" t="inlineStr">
        <is>
          <t>Direct conditional amount. Working prior; replace with approved incident/claims/market evidence.</t>
        </is>
      </c>
    </row>
    <row r="117" ht="32" customHeight="1" s="508">
      <c r="A117" s="973" t="inlineStr">
        <is>
          <t>Loss of Control or Visibility</t>
        </is>
      </c>
      <c r="B117" s="973" t="inlineStr">
        <is>
          <t>LG-01</t>
        </is>
      </c>
      <c r="C117" s="973" t="inlineStr">
        <is>
          <t>Legal and regulatory response</t>
        </is>
      </c>
      <c r="D117" s="305">
        <f>IF($G$43="TRUE",$C$77*$E$77,0)</f>
        <v/>
      </c>
      <c r="E117" s="305">
        <f>IF($G$43="TRUE",$D$77*$F$77,0)</f>
        <v/>
      </c>
      <c r="F117" s="973" t="inlineStr">
        <is>
          <t>USD</t>
        </is>
      </c>
      <c r="G117" s="973" t="inlineStr">
        <is>
          <t>All</t>
        </is>
      </c>
      <c r="H117" s="973" t="inlineStr">
        <is>
          <t>Fixed</t>
        </is>
      </c>
      <c r="I117" s="973" t="inlineStr">
        <is>
          <t>Daily external legal/regulatory cost × days required. Working prior; replace with Legal panel and response estimates.</t>
        </is>
      </c>
    </row>
    <row r="118" ht="32" customHeight="1" s="508">
      <c r="A118" s="973" t="inlineStr">
        <is>
          <t>Loss of Control or Visibility</t>
        </is>
      </c>
      <c r="B118" s="973" t="inlineStr">
        <is>
          <t>LG-02</t>
        </is>
      </c>
      <c r="C118" s="973" t="inlineStr">
        <is>
          <t>Regulatory fines and penalties</t>
        </is>
      </c>
      <c r="D118" s="305">
        <f>IF($G$44="TRUE",$C$16*$E$78,0)</f>
        <v/>
      </c>
      <c r="E118" s="305">
        <f>IF($G$44="TRUE",$C$16*$F$78,0)</f>
        <v/>
      </c>
      <c r="F118" s="973" t="inlineStr">
        <is>
          <t>USD</t>
        </is>
      </c>
      <c r="G118" s="973" t="inlineStr">
        <is>
          <t>All</t>
        </is>
      </c>
      <c r="H118" s="973" t="inlineStr">
        <is>
          <t>Fixed</t>
        </is>
      </c>
      <c r="I118" s="973" t="inlineStr">
        <is>
          <t>Annual revenue × conditional penalty share. Working prior; Legal must calibrate jurisdiction and enforcement context.</t>
        </is>
      </c>
    </row>
    <row r="119" ht="32" customHeight="1" s="508">
      <c r="A119" s="973" t="inlineStr">
        <is>
          <t>Loss of Control or Visibility</t>
        </is>
      </c>
      <c r="B119" s="973" t="inlineStr">
        <is>
          <t>SF-01</t>
        </is>
      </c>
      <c r="C119" s="973" t="inlineStr">
        <is>
          <t>Safety and emergency response</t>
        </is>
      </c>
      <c r="D119" s="305">
        <f>IF($G$46="TRUE",$C$79,0)</f>
        <v/>
      </c>
      <c r="E119" s="305">
        <f>IF($G$46="TRUE",$D$79,0)</f>
        <v/>
      </c>
      <c r="F119" s="973" t="inlineStr">
        <is>
          <t>USD</t>
        </is>
      </c>
      <c r="G119" s="973" t="inlineStr">
        <is>
          <t>All</t>
        </is>
      </c>
      <c r="H119" s="973" t="inlineStr">
        <is>
          <t>Safety</t>
        </is>
      </c>
      <c r="I119" s="973" t="inlineStr">
        <is>
          <t>Direct conditional amount. Working prior; replace with HSE scenario and claims evidence.</t>
        </is>
      </c>
    </row>
    <row r="120" ht="32" customHeight="1" s="508">
      <c r="A120" s="973" t="inlineStr">
        <is>
          <t>Loss of Control or Visibility</t>
        </is>
      </c>
      <c r="B120" s="973" t="inlineStr">
        <is>
          <t>EN-01</t>
        </is>
      </c>
      <c r="C120" s="973" t="inlineStr">
        <is>
          <t>Environmental remediation</t>
        </is>
      </c>
      <c r="D120" s="305">
        <f>IF($G$47="TRUE",$C$80,0)</f>
        <v/>
      </c>
      <c r="E120" s="305">
        <f>IF($G$47="TRUE",$D$80,0)</f>
        <v/>
      </c>
      <c r="F120" s="973" t="inlineStr">
        <is>
          <t>USD</t>
        </is>
      </c>
      <c r="G120" s="973" t="inlineStr">
        <is>
          <t>All</t>
        </is>
      </c>
      <c r="H120" s="973" t="inlineStr">
        <is>
          <t>Safety</t>
        </is>
      </c>
      <c r="I120" s="973" t="inlineStr">
        <is>
          <t>Direct conditional amount. Working prior; replace with HSE/environmental loss scenarios.</t>
        </is>
      </c>
    </row>
    <row r="121" ht="32" customHeight="1" s="508">
      <c r="A121" s="973" t="inlineStr">
        <is>
          <t>Loss of Control or Visibility</t>
        </is>
      </c>
      <c r="B121" s="973" t="inlineStr">
        <is>
          <t>PD-01</t>
        </is>
      </c>
      <c r="C121" s="973" t="inlineStr">
        <is>
          <t>OT endpoint / controller replacement</t>
        </is>
      </c>
      <c r="D121" s="305">
        <f>IF($G$49="TRUE",$C$19*$E$81*$C$81,0)</f>
        <v/>
      </c>
      <c r="E121" s="305">
        <f>IF($G$49="TRUE",$C$19*$F$81*$D$81,0)</f>
        <v/>
      </c>
      <c r="F121" s="973" t="inlineStr">
        <is>
          <t>USD</t>
        </is>
      </c>
      <c r="G121" s="973" t="inlineStr">
        <is>
          <t>All</t>
        </is>
      </c>
      <c r="H121" s="973" t="inlineStr">
        <is>
          <t>Recover</t>
        </is>
      </c>
      <c r="I121" s="973" t="inlineStr">
        <is>
          <t>Critical OT endpoints × affected share × replacement unit cost. Working prior; calibrate from asset register and replacement estimates.</t>
        </is>
      </c>
    </row>
    <row r="122" ht="32" customHeight="1" s="508">
      <c r="A122" s="973" t="inlineStr">
        <is>
          <t>Loss of Control or Visibility</t>
        </is>
      </c>
      <c r="B122" s="973" t="inlineStr">
        <is>
          <t>PD-02</t>
        </is>
      </c>
      <c r="C122" s="973" t="inlineStr">
        <is>
          <t>OT server / engineering-system replacement</t>
        </is>
      </c>
      <c r="D122" s="305">
        <f>IF($G$50="TRUE",$C$20*$E$82*$C$82,0)</f>
        <v/>
      </c>
      <c r="E122" s="305">
        <f>IF($G$50="TRUE",$C$20*$F$82*$D$82,0)</f>
        <v/>
      </c>
      <c r="F122" s="973" t="inlineStr">
        <is>
          <t>USD</t>
        </is>
      </c>
      <c r="G122" s="973" t="inlineStr">
        <is>
          <t>All</t>
        </is>
      </c>
      <c r="H122" s="973" t="inlineStr">
        <is>
          <t>Recover</t>
        </is>
      </c>
      <c r="I122" s="973" t="inlineStr">
        <is>
          <t>Critical OT servers × affected share × replacement unit cost. Working prior; calibrate from asset register/OEM estimates.</t>
        </is>
      </c>
    </row>
    <row r="123" ht="32" customHeight="1" s="508">
      <c r="A123" s="973" t="inlineStr">
        <is>
          <t>Loss of Control or Visibility</t>
        </is>
      </c>
      <c r="B123" s="973" t="inlineStr">
        <is>
          <t>PD-03</t>
        </is>
      </c>
      <c r="C123" s="973" t="inlineStr">
        <is>
          <t>Major equipment / physical damage</t>
        </is>
      </c>
      <c r="D123" s="305">
        <f>IF($G$51="TRUE",$C$83,0)</f>
        <v/>
      </c>
      <c r="E123" s="305">
        <f>IF($G$51="TRUE",$D$83,0)</f>
        <v/>
      </c>
      <c r="F123" s="973" t="inlineStr">
        <is>
          <t>USD</t>
        </is>
      </c>
      <c r="G123" s="973" t="inlineStr">
        <is>
          <t>All</t>
        </is>
      </c>
      <c r="H123" s="973" t="inlineStr">
        <is>
          <t>Safety</t>
        </is>
      </c>
      <c r="I123" s="973" t="inlineStr">
        <is>
          <t>Direct conditional amount. Working prior; replace with Engineering/property loss scenarios.</t>
        </is>
      </c>
    </row>
    <row r="124" ht="32" customHeight="1" s="508">
      <c r="A124" s="973" t="inlineStr">
        <is>
          <t>Loss of Control or Visibility</t>
        </is>
      </c>
      <c r="B124" s="973" t="inlineStr">
        <is>
          <t>IN-01</t>
        </is>
      </c>
      <c r="C124" s="973" t="inlineStr">
        <is>
          <t>Post-event security uplift</t>
        </is>
      </c>
      <c r="D124" s="305">
        <f>IF($G$53="TRUE",$C$16*$E$84,0)</f>
        <v/>
      </c>
      <c r="E124" s="305">
        <f>IF($G$53="TRUE",$C$16*$F$84,0)</f>
        <v/>
      </c>
      <c r="F124" s="973" t="inlineStr">
        <is>
          <t>USD</t>
        </is>
      </c>
      <c r="G124" s="973" t="inlineStr">
        <is>
          <t>All</t>
        </is>
      </c>
      <c r="H124" s="973" t="inlineStr">
        <is>
          <t>Fixed</t>
        </is>
      </c>
      <c r="I124" s="973" t="inlineStr">
        <is>
          <t>Annual revenue × conditional uplift share. Working prior; calibrate with Cyber/Engineering remediation plans.</t>
        </is>
      </c>
    </row>
    <row r="125" ht="32" customHeight="1" s="508">
      <c r="A125" s="973" t="inlineStr">
        <is>
          <t>Process Manipulation</t>
        </is>
      </c>
      <c r="B125" s="973" t="inlineStr">
        <is>
          <t>IR-01</t>
        </is>
      </c>
      <c r="C125" s="973" t="inlineStr">
        <is>
          <t>OT and digital forensic investigation</t>
        </is>
      </c>
      <c r="D125" s="305">
        <f>IF($H$29="TRUE",$C$67*$E$67,0)</f>
        <v/>
      </c>
      <c r="E125" s="305">
        <f>IF($H$29="TRUE",$D$67*$F$67,0)</f>
        <v/>
      </c>
      <c r="F125" s="973" t="inlineStr">
        <is>
          <t>USD</t>
        </is>
      </c>
      <c r="G125" s="973" t="inlineStr">
        <is>
          <t>All</t>
        </is>
      </c>
      <c r="H125" s="973" t="inlineStr">
        <is>
          <t>Fixed</t>
        </is>
      </c>
      <c r="I125" s="973" t="inlineStr">
        <is>
          <t>Daily forensic team cost × days required. Working prior; replace with IR retainer, panel and claims data.</t>
        </is>
      </c>
    </row>
    <row r="126" ht="32" customHeight="1" s="508">
      <c r="A126" s="973" t="inlineStr">
        <is>
          <t>Process Manipulation</t>
        </is>
      </c>
      <c r="B126" s="973" t="inlineStr">
        <is>
          <t>IR-02</t>
        </is>
      </c>
      <c r="C126" s="973" t="inlineStr">
        <is>
          <t>External cyber incident response</t>
        </is>
      </c>
      <c r="D126" s="305">
        <f>IF($H$30="TRUE",$C$68*$E$68,0)</f>
        <v/>
      </c>
      <c r="E126" s="305">
        <f>IF($H$30="TRUE",$D$68*$F$68,0)</f>
        <v/>
      </c>
      <c r="F126" s="973" t="inlineStr">
        <is>
          <t>USD</t>
        </is>
      </c>
      <c r="G126" s="973" t="inlineStr">
        <is>
          <t>All</t>
        </is>
      </c>
      <c r="H126" s="973" t="inlineStr">
        <is>
          <t>Fixed</t>
        </is>
      </c>
      <c r="I126" s="973" t="inlineStr">
        <is>
          <t>Daily external response team cost × days required. Working prior; replace with response supplier evidence.</t>
        </is>
      </c>
    </row>
    <row r="127" ht="32" customHeight="1" s="508">
      <c r="A127" s="973" t="inlineStr">
        <is>
          <t>Process Manipulation</t>
        </is>
      </c>
      <c r="B127" s="973" t="inlineStr">
        <is>
          <t>IR-03</t>
        </is>
      </c>
      <c r="C127" s="973" t="inlineStr">
        <is>
          <t>Crisis communications</t>
        </is>
      </c>
      <c r="D127" s="305">
        <f>IF($H$31="TRUE",$C$69*$E$69,0)</f>
        <v/>
      </c>
      <c r="E127" s="305">
        <f>IF($H$31="TRUE",$D$69*$F$69,0)</f>
        <v/>
      </c>
      <c r="F127" s="973" t="inlineStr">
        <is>
          <t>USD</t>
        </is>
      </c>
      <c r="G127" s="973" t="inlineStr">
        <is>
          <t>All</t>
        </is>
      </c>
      <c r="H127" s="973" t="inlineStr">
        <is>
          <t>Fixed</t>
        </is>
      </c>
      <c r="I127" s="973" t="inlineStr">
        <is>
          <t>Daily crisis communications cost × days required. Working prior; calibrate with communications and panel rates.</t>
        </is>
      </c>
    </row>
    <row r="128" ht="32" customHeight="1" s="508">
      <c r="A128" s="973" t="inlineStr">
        <is>
          <t>Process Manipulation</t>
        </is>
      </c>
      <c r="B128" s="973" t="inlineStr">
        <is>
          <t>RC-01</t>
        </is>
      </c>
      <c r="C128" s="973" t="inlineStr">
        <is>
          <t>OT restoration and recommissioning</t>
        </is>
      </c>
      <c r="D128" s="305">
        <f>IF($H$33="TRUE",$C$70*$E$70,0)</f>
        <v/>
      </c>
      <c r="E128" s="305">
        <f>IF($H$33="TRUE",$D$70*$F$70,0)</f>
        <v/>
      </c>
      <c r="F128" s="973" t="inlineStr">
        <is>
          <t>USD</t>
        </is>
      </c>
      <c r="G128" s="973" t="inlineStr">
        <is>
          <t>All</t>
        </is>
      </c>
      <c r="H128" s="973" t="inlineStr">
        <is>
          <t>Recover</t>
        </is>
      </c>
      <c r="I128" s="973" t="inlineStr">
        <is>
          <t>Daily restoration team cost × days required. Working prior; replace with Engineering/O&amp;M work-pack estimates.</t>
        </is>
      </c>
    </row>
    <row r="129" ht="32" customHeight="1" s="508">
      <c r="A129" s="973" t="inlineStr">
        <is>
          <t>Process Manipulation</t>
        </is>
      </c>
      <c r="B129" s="973" t="inlineStr">
        <is>
          <t>RC-02</t>
        </is>
      </c>
      <c r="C129" s="973" t="inlineStr">
        <is>
          <t>OEM and specialist engineering support</t>
        </is>
      </c>
      <c r="D129" s="305">
        <f>IF($H$34="TRUE",$C$71*$E$71,0)</f>
        <v/>
      </c>
      <c r="E129" s="305">
        <f>IF($H$34="TRUE",$D$71*$F$71,0)</f>
        <v/>
      </c>
      <c r="F129" s="973" t="inlineStr">
        <is>
          <t>USD</t>
        </is>
      </c>
      <c r="G129" s="973" t="inlineStr">
        <is>
          <t>All</t>
        </is>
      </c>
      <c r="H129" s="973" t="inlineStr">
        <is>
          <t>Recover</t>
        </is>
      </c>
      <c r="I129" s="973" t="inlineStr">
        <is>
          <t>Daily OEM/specialist cost × days required. Working prior; replace with OEM/framework agreements.</t>
        </is>
      </c>
    </row>
    <row r="130" ht="32" customHeight="1" s="508">
      <c r="A130" s="973" t="inlineStr">
        <is>
          <t>Process Manipulation</t>
        </is>
      </c>
      <c r="B130" s="973" t="inlineStr">
        <is>
          <t>RC-03</t>
        </is>
      </c>
      <c r="C130" s="973" t="inlineStr">
        <is>
          <t>Configuration/data restoration and integrity validation</t>
        </is>
      </c>
      <c r="D130" s="305">
        <f>IF($H$35="TRUE",$C$72*$E$72,0)</f>
        <v/>
      </c>
      <c r="E130" s="305">
        <f>IF($H$35="TRUE",$D$72*$F$72,0)</f>
        <v/>
      </c>
      <c r="F130" s="973" t="inlineStr">
        <is>
          <t>USD</t>
        </is>
      </c>
      <c r="G130" s="973" t="inlineStr">
        <is>
          <t>All</t>
        </is>
      </c>
      <c r="H130" s="973" t="inlineStr">
        <is>
          <t>Recover</t>
        </is>
      </c>
      <c r="I130" s="973" t="inlineStr">
        <is>
          <t>Daily validation team cost × days required. Working prior; calibrate from recovery plans and exercises.</t>
        </is>
      </c>
    </row>
    <row r="131" ht="32" customHeight="1" s="508">
      <c r="A131" s="973" t="inlineStr">
        <is>
          <t>Process Manipulation</t>
        </is>
      </c>
      <c r="B131" s="973" t="inlineStr">
        <is>
          <t>BI-01</t>
        </is>
      </c>
      <c r="C131" s="973" t="inlineStr">
        <is>
          <t>Business interruption</t>
        </is>
      </c>
      <c r="D131" s="305">
        <f>IF($H$37="TRUE",$C$16/365*$C$17*$B$60*$D$60,0)</f>
        <v/>
      </c>
      <c r="E131" s="305">
        <f>IF($H$37="TRUE",$C$16/365*$C$17*$C$60*$E$60,0)</f>
        <v/>
      </c>
      <c r="F131" s="973" t="inlineStr">
        <is>
          <t>USD</t>
        </is>
      </c>
      <c r="G131" s="973" t="inlineStr">
        <is>
          <t>All</t>
        </is>
      </c>
      <c r="H131" s="973" t="inlineStr">
        <is>
          <t>Duration</t>
        </is>
      </c>
      <c r="I131" s="973" t="inlineStr">
        <is>
          <t>Annual revenue ÷ 365 × BI factor × downtime × capacity affected. Agreed revenue-based convention; scenario duration/capacity below.</t>
        </is>
      </c>
    </row>
    <row r="132" ht="32" customHeight="1" s="508">
      <c r="A132" s="973" t="inlineStr">
        <is>
          <t>Process Manipulation</t>
        </is>
      </c>
      <c r="B132" s="973" t="inlineStr">
        <is>
          <t>OP-01</t>
        </is>
      </c>
      <c r="C132" s="973" t="inlineStr">
        <is>
          <t>Manual operations / increased cost of working</t>
        </is>
      </c>
      <c r="D132" s="305">
        <f>IF($H$38="TRUE",$C$74*$B$60,0)</f>
        <v/>
      </c>
      <c r="E132" s="305">
        <f>IF($H$38="TRUE",$D$74*$C$60,0)</f>
        <v/>
      </c>
      <c r="F132" s="973" t="inlineStr">
        <is>
          <t>USD</t>
        </is>
      </c>
      <c r="G132" s="973" t="inlineStr">
        <is>
          <t>All</t>
        </is>
      </c>
      <c r="H132" s="973" t="inlineStr">
        <is>
          <t>Recover</t>
        </is>
      </c>
      <c r="I132" s="973" t="inlineStr">
        <is>
          <t>Daily incremental operating cost × scenario downtime. Working prior; replace with continuity and operations estimates.</t>
        </is>
      </c>
    </row>
    <row r="133" ht="32" customHeight="1" s="508">
      <c r="A133" s="973" t="inlineStr">
        <is>
          <t>Process Manipulation</t>
        </is>
      </c>
      <c r="B133" s="973" t="inlineStr">
        <is>
          <t>OP-02</t>
        </is>
      </c>
      <c r="C133" s="973" t="inlineStr">
        <is>
          <t>Alternative supply / availability and contract penalties</t>
        </is>
      </c>
      <c r="D133" s="305">
        <f>IF($H$39="TRUE",$C$75*$B$60,0)</f>
        <v/>
      </c>
      <c r="E133" s="305">
        <f>IF($H$39="TRUE",$D$75*$C$60,0)</f>
        <v/>
      </c>
      <c r="F133" s="973" t="inlineStr">
        <is>
          <t>USD</t>
        </is>
      </c>
      <c r="G133" s="973" t="inlineStr">
        <is>
          <t>All</t>
        </is>
      </c>
      <c r="H133" s="973" t="inlineStr">
        <is>
          <t>Recover</t>
        </is>
      </c>
      <c r="I133" s="973" t="inlineStr">
        <is>
          <t>Daily incremental replacement/penalty cost × scenario downtime. Working prior; calibrate with Commercial contracts, continuity arrangements and penalty terms.</t>
        </is>
      </c>
    </row>
    <row r="134" ht="32" customHeight="1" s="508">
      <c r="A134" s="973" t="inlineStr">
        <is>
          <t>Process Manipulation</t>
        </is>
      </c>
      <c r="B134" s="973" t="inlineStr">
        <is>
          <t>EX-01</t>
        </is>
      </c>
      <c r="C134" s="973" t="inlineStr">
        <is>
          <t>Extortion / ransom</t>
        </is>
      </c>
      <c r="D134" s="305">
        <f>IF($H$41="TRUE",$C$76,0)</f>
        <v/>
      </c>
      <c r="E134" s="305">
        <f>IF($H$41="TRUE",$D$76,0)</f>
        <v/>
      </c>
      <c r="F134" s="973" t="inlineStr">
        <is>
          <t>USD</t>
        </is>
      </c>
      <c r="G134" s="973" t="inlineStr">
        <is>
          <t>Cybercriminal</t>
        </is>
      </c>
      <c r="H134" s="973" t="inlineStr">
        <is>
          <t>Fixed</t>
        </is>
      </c>
      <c r="I134" s="973" t="inlineStr">
        <is>
          <t>Direct conditional amount. Working prior; replace with approved incident/claims/market evidence.</t>
        </is>
      </c>
    </row>
    <row r="135" ht="32" customHeight="1" s="508">
      <c r="A135" s="973" t="inlineStr">
        <is>
          <t>Process Manipulation</t>
        </is>
      </c>
      <c r="B135" s="973" t="inlineStr">
        <is>
          <t>LG-01</t>
        </is>
      </c>
      <c r="C135" s="973" t="inlineStr">
        <is>
          <t>Legal and regulatory response</t>
        </is>
      </c>
      <c r="D135" s="305">
        <f>IF($H$43="TRUE",$C$77*$E$77,0)</f>
        <v/>
      </c>
      <c r="E135" s="305">
        <f>IF($H$43="TRUE",$D$77*$F$77,0)</f>
        <v/>
      </c>
      <c r="F135" s="973" t="inlineStr">
        <is>
          <t>USD</t>
        </is>
      </c>
      <c r="G135" s="973" t="inlineStr">
        <is>
          <t>All</t>
        </is>
      </c>
      <c r="H135" s="973" t="inlineStr">
        <is>
          <t>Fixed</t>
        </is>
      </c>
      <c r="I135" s="973" t="inlineStr">
        <is>
          <t>Daily external legal/regulatory cost × days required. Working prior; replace with Legal panel and response estimates.</t>
        </is>
      </c>
    </row>
    <row r="136" ht="32" customHeight="1" s="508">
      <c r="A136" s="973" t="inlineStr">
        <is>
          <t>Process Manipulation</t>
        </is>
      </c>
      <c r="B136" s="973" t="inlineStr">
        <is>
          <t>LG-02</t>
        </is>
      </c>
      <c r="C136" s="973" t="inlineStr">
        <is>
          <t>Regulatory fines and penalties</t>
        </is>
      </c>
      <c r="D136" s="305">
        <f>IF($H$44="TRUE",$C$16*$E$78,0)</f>
        <v/>
      </c>
      <c r="E136" s="305">
        <f>IF($H$44="TRUE",$C$16*$F$78,0)</f>
        <v/>
      </c>
      <c r="F136" s="973" t="inlineStr">
        <is>
          <t>USD</t>
        </is>
      </c>
      <c r="G136" s="973" t="inlineStr">
        <is>
          <t>All</t>
        </is>
      </c>
      <c r="H136" s="973" t="inlineStr">
        <is>
          <t>Fixed</t>
        </is>
      </c>
      <c r="I136" s="973" t="inlineStr">
        <is>
          <t>Annual revenue × conditional penalty share. Working prior; Legal must calibrate jurisdiction and enforcement context.</t>
        </is>
      </c>
    </row>
    <row r="137" ht="32" customHeight="1" s="508">
      <c r="A137" s="973" t="inlineStr">
        <is>
          <t>Process Manipulation</t>
        </is>
      </c>
      <c r="B137" s="973" t="inlineStr">
        <is>
          <t>SF-01</t>
        </is>
      </c>
      <c r="C137" s="973" t="inlineStr">
        <is>
          <t>Safety and emergency response</t>
        </is>
      </c>
      <c r="D137" s="305">
        <f>IF($H$46="TRUE",$C$79,0)</f>
        <v/>
      </c>
      <c r="E137" s="305">
        <f>IF($H$46="TRUE",$D$79,0)</f>
        <v/>
      </c>
      <c r="F137" s="973" t="inlineStr">
        <is>
          <t>USD</t>
        </is>
      </c>
      <c r="G137" s="973" t="inlineStr">
        <is>
          <t>All</t>
        </is>
      </c>
      <c r="H137" s="973" t="inlineStr">
        <is>
          <t>Safety</t>
        </is>
      </c>
      <c r="I137" s="973" t="inlineStr">
        <is>
          <t>Direct conditional amount. Working prior; replace with HSE scenario and claims evidence.</t>
        </is>
      </c>
    </row>
    <row r="138" ht="32" customHeight="1" s="508">
      <c r="A138" s="973" t="inlineStr">
        <is>
          <t>Process Manipulation</t>
        </is>
      </c>
      <c r="B138" s="973" t="inlineStr">
        <is>
          <t>EN-01</t>
        </is>
      </c>
      <c r="C138" s="973" t="inlineStr">
        <is>
          <t>Environmental remediation</t>
        </is>
      </c>
      <c r="D138" s="305">
        <f>IF($H$47="TRUE",$C$80,0)</f>
        <v/>
      </c>
      <c r="E138" s="305">
        <f>IF($H$47="TRUE",$D$80,0)</f>
        <v/>
      </c>
      <c r="F138" s="973" t="inlineStr">
        <is>
          <t>USD</t>
        </is>
      </c>
      <c r="G138" s="973" t="inlineStr">
        <is>
          <t>All</t>
        </is>
      </c>
      <c r="H138" s="973" t="inlineStr">
        <is>
          <t>Safety</t>
        </is>
      </c>
      <c r="I138" s="973" t="inlineStr">
        <is>
          <t>Direct conditional amount. Working prior; replace with HSE/environmental loss scenarios.</t>
        </is>
      </c>
    </row>
    <row r="139" ht="32" customHeight="1" s="508">
      <c r="A139" s="973" t="inlineStr">
        <is>
          <t>Process Manipulation</t>
        </is>
      </c>
      <c r="B139" s="973" t="inlineStr">
        <is>
          <t>PD-01</t>
        </is>
      </c>
      <c r="C139" s="973" t="inlineStr">
        <is>
          <t>OT endpoint / controller replacement</t>
        </is>
      </c>
      <c r="D139" s="305">
        <f>IF($H$49="TRUE",$C$19*$E$81*$C$81,0)</f>
        <v/>
      </c>
      <c r="E139" s="305">
        <f>IF($H$49="TRUE",$C$19*$F$81*$D$81,0)</f>
        <v/>
      </c>
      <c r="F139" s="973" t="inlineStr">
        <is>
          <t>USD</t>
        </is>
      </c>
      <c r="G139" s="973" t="inlineStr">
        <is>
          <t>All</t>
        </is>
      </c>
      <c r="H139" s="973" t="inlineStr">
        <is>
          <t>Recover</t>
        </is>
      </c>
      <c r="I139" s="973" t="inlineStr">
        <is>
          <t>Critical OT endpoints × affected share × replacement unit cost. Working prior; calibrate from asset register and replacement estimates.</t>
        </is>
      </c>
    </row>
    <row r="140" ht="32" customHeight="1" s="508">
      <c r="A140" s="973" t="inlineStr">
        <is>
          <t>Process Manipulation</t>
        </is>
      </c>
      <c r="B140" s="973" t="inlineStr">
        <is>
          <t>PD-02</t>
        </is>
      </c>
      <c r="C140" s="973" t="inlineStr">
        <is>
          <t>OT server / engineering-system replacement</t>
        </is>
      </c>
      <c r="D140" s="305">
        <f>IF($H$50="TRUE",$C$20*$E$82*$C$82,0)</f>
        <v/>
      </c>
      <c r="E140" s="305">
        <f>IF($H$50="TRUE",$C$20*$F$82*$D$82,0)</f>
        <v/>
      </c>
      <c r="F140" s="973" t="inlineStr">
        <is>
          <t>USD</t>
        </is>
      </c>
      <c r="G140" s="973" t="inlineStr">
        <is>
          <t>All</t>
        </is>
      </c>
      <c r="H140" s="973" t="inlineStr">
        <is>
          <t>Recover</t>
        </is>
      </c>
      <c r="I140" s="973" t="inlineStr">
        <is>
          <t>Critical OT servers × affected share × replacement unit cost. Working prior; calibrate from asset register/OEM estimates.</t>
        </is>
      </c>
    </row>
    <row r="141" ht="32" customHeight="1" s="508">
      <c r="A141" s="973" t="inlineStr">
        <is>
          <t>Process Manipulation</t>
        </is>
      </c>
      <c r="B141" s="973" t="inlineStr">
        <is>
          <t>PD-03</t>
        </is>
      </c>
      <c r="C141" s="973" t="inlineStr">
        <is>
          <t>Major equipment / physical damage</t>
        </is>
      </c>
      <c r="D141" s="305">
        <f>IF($H$51="TRUE",$C$83,0)</f>
        <v/>
      </c>
      <c r="E141" s="305">
        <f>IF($H$51="TRUE",$D$83,0)</f>
        <v/>
      </c>
      <c r="F141" s="973" t="inlineStr">
        <is>
          <t>USD</t>
        </is>
      </c>
      <c r="G141" s="973" t="inlineStr">
        <is>
          <t>All</t>
        </is>
      </c>
      <c r="H141" s="973" t="inlineStr">
        <is>
          <t>Safety</t>
        </is>
      </c>
      <c r="I141" s="973" t="inlineStr">
        <is>
          <t>Direct conditional amount. Working prior; replace with Engineering/property loss scenarios.</t>
        </is>
      </c>
    </row>
    <row r="142" ht="32" customHeight="1" s="508">
      <c r="A142" s="973" t="inlineStr">
        <is>
          <t>Process Manipulation</t>
        </is>
      </c>
      <c r="B142" s="973" t="inlineStr">
        <is>
          <t>IN-01</t>
        </is>
      </c>
      <c r="C142" s="973" t="inlineStr">
        <is>
          <t>Post-event security uplift</t>
        </is>
      </c>
      <c r="D142" s="305">
        <f>IF($H$53="TRUE",$C$16*$E$84,0)</f>
        <v/>
      </c>
      <c r="E142" s="305">
        <f>IF($H$53="TRUE",$C$16*$F$84,0)</f>
        <v/>
      </c>
      <c r="F142" s="973" t="inlineStr">
        <is>
          <t>USD</t>
        </is>
      </c>
      <c r="G142" s="973" t="inlineStr">
        <is>
          <t>All</t>
        </is>
      </c>
      <c r="H142" s="973" t="inlineStr">
        <is>
          <t>Fixed</t>
        </is>
      </c>
      <c r="I142" s="973" t="inlineStr">
        <is>
          <t>Annual revenue × conditional uplift share. Working prior; calibrate with Cyber/Engineering remediation plans.</t>
        </is>
      </c>
    </row>
    <row r="143" ht="32" customHeight="1" s="508">
      <c r="A143" s="973" t="inlineStr">
        <is>
          <t>Safety System Compromise</t>
        </is>
      </c>
      <c r="B143" s="973" t="inlineStr">
        <is>
          <t>IR-01</t>
        </is>
      </c>
      <c r="C143" s="973" t="inlineStr">
        <is>
          <t>OT and digital forensic investigation</t>
        </is>
      </c>
      <c r="D143" s="305">
        <f>IF($I$29="TRUE",$C$67*$E$67,0)</f>
        <v/>
      </c>
      <c r="E143" s="305">
        <f>IF($I$29="TRUE",$D$67*$F$67,0)</f>
        <v/>
      </c>
      <c r="F143" s="973" t="inlineStr">
        <is>
          <t>USD</t>
        </is>
      </c>
      <c r="G143" s="973" t="inlineStr">
        <is>
          <t>All</t>
        </is>
      </c>
      <c r="H143" s="973" t="inlineStr">
        <is>
          <t>Fixed</t>
        </is>
      </c>
      <c r="I143" s="973" t="inlineStr">
        <is>
          <t>Daily forensic team cost × days required. Working prior; replace with IR retainer, panel and claims data.</t>
        </is>
      </c>
    </row>
    <row r="144" ht="32" customHeight="1" s="508">
      <c r="A144" s="973" t="inlineStr">
        <is>
          <t>Safety System Compromise</t>
        </is>
      </c>
      <c r="B144" s="973" t="inlineStr">
        <is>
          <t>IR-02</t>
        </is>
      </c>
      <c r="C144" s="973" t="inlineStr">
        <is>
          <t>External cyber incident response</t>
        </is>
      </c>
      <c r="D144" s="305">
        <f>IF($I$30="TRUE",$C$68*$E$68,0)</f>
        <v/>
      </c>
      <c r="E144" s="305">
        <f>IF($I$30="TRUE",$D$68*$F$68,0)</f>
        <v/>
      </c>
      <c r="F144" s="973" t="inlineStr">
        <is>
          <t>USD</t>
        </is>
      </c>
      <c r="G144" s="973" t="inlineStr">
        <is>
          <t>All</t>
        </is>
      </c>
      <c r="H144" s="973" t="inlineStr">
        <is>
          <t>Fixed</t>
        </is>
      </c>
      <c r="I144" s="973" t="inlineStr">
        <is>
          <t>Daily external response team cost × days required. Working prior; replace with response supplier evidence.</t>
        </is>
      </c>
    </row>
    <row r="145" ht="32" customHeight="1" s="508">
      <c r="A145" s="973" t="inlineStr">
        <is>
          <t>Safety System Compromise</t>
        </is>
      </c>
      <c r="B145" s="973" t="inlineStr">
        <is>
          <t>IR-03</t>
        </is>
      </c>
      <c r="C145" s="973" t="inlineStr">
        <is>
          <t>Crisis communications</t>
        </is>
      </c>
      <c r="D145" s="305">
        <f>IF($I$31="TRUE",$C$69*$E$69,0)</f>
        <v/>
      </c>
      <c r="E145" s="305">
        <f>IF($I$31="TRUE",$D$69*$F$69,0)</f>
        <v/>
      </c>
      <c r="F145" s="973" t="inlineStr">
        <is>
          <t>USD</t>
        </is>
      </c>
      <c r="G145" s="973" t="inlineStr">
        <is>
          <t>All</t>
        </is>
      </c>
      <c r="H145" s="973" t="inlineStr">
        <is>
          <t>Fixed</t>
        </is>
      </c>
      <c r="I145" s="973" t="inlineStr">
        <is>
          <t>Daily crisis communications cost × days required. Working prior; calibrate with communications and panel rates.</t>
        </is>
      </c>
    </row>
    <row r="146" ht="32" customHeight="1" s="508">
      <c r="A146" s="973" t="inlineStr">
        <is>
          <t>Safety System Compromise</t>
        </is>
      </c>
      <c r="B146" s="973" t="inlineStr">
        <is>
          <t>RC-01</t>
        </is>
      </c>
      <c r="C146" s="973" t="inlineStr">
        <is>
          <t>OT restoration and recommissioning</t>
        </is>
      </c>
      <c r="D146" s="305">
        <f>IF($I$33="TRUE",$C$70*$E$70,0)</f>
        <v/>
      </c>
      <c r="E146" s="305">
        <f>IF($I$33="TRUE",$D$70*$F$70,0)</f>
        <v/>
      </c>
      <c r="F146" s="973" t="inlineStr">
        <is>
          <t>USD</t>
        </is>
      </c>
      <c r="G146" s="973" t="inlineStr">
        <is>
          <t>All</t>
        </is>
      </c>
      <c r="H146" s="973" t="inlineStr">
        <is>
          <t>Recover</t>
        </is>
      </c>
      <c r="I146" s="973" t="inlineStr">
        <is>
          <t>Daily restoration team cost × days required. Working prior; replace with Engineering/O&amp;M work-pack estimates.</t>
        </is>
      </c>
    </row>
    <row r="147" ht="32" customHeight="1" s="508">
      <c r="A147" s="973" t="inlineStr">
        <is>
          <t>Safety System Compromise</t>
        </is>
      </c>
      <c r="B147" s="973" t="inlineStr">
        <is>
          <t>RC-02</t>
        </is>
      </c>
      <c r="C147" s="973" t="inlineStr">
        <is>
          <t>OEM and specialist engineering support</t>
        </is>
      </c>
      <c r="D147" s="305">
        <f>IF($I$34="TRUE",$C$71*$E$71,0)</f>
        <v/>
      </c>
      <c r="E147" s="305">
        <f>IF($I$34="TRUE",$D$71*$F$71,0)</f>
        <v/>
      </c>
      <c r="F147" s="973" t="inlineStr">
        <is>
          <t>USD</t>
        </is>
      </c>
      <c r="G147" s="973" t="inlineStr">
        <is>
          <t>All</t>
        </is>
      </c>
      <c r="H147" s="973" t="inlineStr">
        <is>
          <t>Recover</t>
        </is>
      </c>
      <c r="I147" s="973" t="inlineStr">
        <is>
          <t>Daily OEM/specialist cost × days required. Working prior; replace with OEM/framework agreements.</t>
        </is>
      </c>
    </row>
    <row r="148" ht="32" customHeight="1" s="508">
      <c r="A148" s="973" t="inlineStr">
        <is>
          <t>Safety System Compromise</t>
        </is>
      </c>
      <c r="B148" s="973" t="inlineStr">
        <is>
          <t>RC-03</t>
        </is>
      </c>
      <c r="C148" s="973" t="inlineStr">
        <is>
          <t>Configuration/data restoration and integrity validation</t>
        </is>
      </c>
      <c r="D148" s="305">
        <f>IF($I$35="TRUE",$C$72*$E$72,0)</f>
        <v/>
      </c>
      <c r="E148" s="305">
        <f>IF($I$35="TRUE",$D$72*$F$72,0)</f>
        <v/>
      </c>
      <c r="F148" s="973" t="inlineStr">
        <is>
          <t>USD</t>
        </is>
      </c>
      <c r="G148" s="973" t="inlineStr">
        <is>
          <t>All</t>
        </is>
      </c>
      <c r="H148" s="973" t="inlineStr">
        <is>
          <t>Recover</t>
        </is>
      </c>
      <c r="I148" s="973" t="inlineStr">
        <is>
          <t>Daily validation team cost × days required. Working prior; calibrate from recovery plans and exercises.</t>
        </is>
      </c>
    </row>
    <row r="149" ht="32" customHeight="1" s="508">
      <c r="A149" s="973" t="inlineStr">
        <is>
          <t>Safety System Compromise</t>
        </is>
      </c>
      <c r="B149" s="973" t="inlineStr">
        <is>
          <t>BI-01</t>
        </is>
      </c>
      <c r="C149" s="973" t="inlineStr">
        <is>
          <t>Business interruption</t>
        </is>
      </c>
      <c r="D149" s="305">
        <f>IF($I$37="TRUE",$C$16/365*$C$17*$B$61*$D$61,0)</f>
        <v/>
      </c>
      <c r="E149" s="305">
        <f>IF($I$37="TRUE",$C$16/365*$C$17*$C$61*$E$61,0)</f>
        <v/>
      </c>
      <c r="F149" s="973" t="inlineStr">
        <is>
          <t>USD</t>
        </is>
      </c>
      <c r="G149" s="973" t="inlineStr">
        <is>
          <t>All</t>
        </is>
      </c>
      <c r="H149" s="973" t="inlineStr">
        <is>
          <t>Duration</t>
        </is>
      </c>
      <c r="I149" s="973" t="inlineStr">
        <is>
          <t>Annual revenue ÷ 365 × BI factor × downtime × capacity affected. Agreed revenue-based convention; scenario duration/capacity below.</t>
        </is>
      </c>
    </row>
    <row r="150" ht="32" customHeight="1" s="508">
      <c r="A150" s="973" t="inlineStr">
        <is>
          <t>Safety System Compromise</t>
        </is>
      </c>
      <c r="B150" s="973" t="inlineStr">
        <is>
          <t>OP-01</t>
        </is>
      </c>
      <c r="C150" s="973" t="inlineStr">
        <is>
          <t>Manual operations / increased cost of working</t>
        </is>
      </c>
      <c r="D150" s="305">
        <f>IF($I$38="TRUE",$C$74*$B$61,0)</f>
        <v/>
      </c>
      <c r="E150" s="305">
        <f>IF($I$38="TRUE",$D$74*$C$61,0)</f>
        <v/>
      </c>
      <c r="F150" s="973" t="inlineStr">
        <is>
          <t>USD</t>
        </is>
      </c>
      <c r="G150" s="973" t="inlineStr">
        <is>
          <t>All</t>
        </is>
      </c>
      <c r="H150" s="973" t="inlineStr">
        <is>
          <t>Recover</t>
        </is>
      </c>
      <c r="I150" s="973" t="inlineStr">
        <is>
          <t>Daily incremental operating cost × scenario downtime. Working prior; replace with continuity and operations estimates.</t>
        </is>
      </c>
    </row>
    <row r="151" ht="32" customHeight="1" s="508">
      <c r="A151" s="973" t="inlineStr">
        <is>
          <t>Safety System Compromise</t>
        </is>
      </c>
      <c r="B151" s="973" t="inlineStr">
        <is>
          <t>OP-02</t>
        </is>
      </c>
      <c r="C151" s="973" t="inlineStr">
        <is>
          <t>Alternative supply / availability and contract penalties</t>
        </is>
      </c>
      <c r="D151" s="305">
        <f>IF($I$39="TRUE",$C$75*$B$61,0)</f>
        <v/>
      </c>
      <c r="E151" s="305">
        <f>IF($I$39="TRUE",$D$75*$C$61,0)</f>
        <v/>
      </c>
      <c r="F151" s="973" t="inlineStr">
        <is>
          <t>USD</t>
        </is>
      </c>
      <c r="G151" s="973" t="inlineStr">
        <is>
          <t>All</t>
        </is>
      </c>
      <c r="H151" s="973" t="inlineStr">
        <is>
          <t>Recover</t>
        </is>
      </c>
      <c r="I151" s="973" t="inlineStr">
        <is>
          <t>Daily incremental replacement/penalty cost × scenario downtime. Working prior; calibrate with Commercial contracts, continuity arrangements and penalty terms.</t>
        </is>
      </c>
    </row>
    <row r="152" ht="32" customHeight="1" s="508">
      <c r="A152" s="973" t="inlineStr">
        <is>
          <t>Safety System Compromise</t>
        </is>
      </c>
      <c r="B152" s="973" t="inlineStr">
        <is>
          <t>EX-01</t>
        </is>
      </c>
      <c r="C152" s="973" t="inlineStr">
        <is>
          <t>Extortion / ransom</t>
        </is>
      </c>
      <c r="D152" s="305">
        <f>IF($I$41="TRUE",$C$76,0)</f>
        <v/>
      </c>
      <c r="E152" s="305">
        <f>IF($I$41="TRUE",$D$76,0)</f>
        <v/>
      </c>
      <c r="F152" s="973" t="inlineStr">
        <is>
          <t>USD</t>
        </is>
      </c>
      <c r="G152" s="973" t="inlineStr">
        <is>
          <t>Cybercriminal</t>
        </is>
      </c>
      <c r="H152" s="973" t="inlineStr">
        <is>
          <t>Fixed</t>
        </is>
      </c>
      <c r="I152" s="973" t="inlineStr">
        <is>
          <t>Direct conditional amount. Working prior; replace with approved incident/claims/market evidence.</t>
        </is>
      </c>
    </row>
    <row r="153" ht="32" customHeight="1" s="508">
      <c r="A153" s="973" t="inlineStr">
        <is>
          <t>Safety System Compromise</t>
        </is>
      </c>
      <c r="B153" s="973" t="inlineStr">
        <is>
          <t>LG-01</t>
        </is>
      </c>
      <c r="C153" s="973" t="inlineStr">
        <is>
          <t>Legal and regulatory response</t>
        </is>
      </c>
      <c r="D153" s="305">
        <f>IF($I$43="TRUE",$C$77*$E$77,0)</f>
        <v/>
      </c>
      <c r="E153" s="305">
        <f>IF($I$43="TRUE",$D$77*$F$77,0)</f>
        <v/>
      </c>
      <c r="F153" s="973" t="inlineStr">
        <is>
          <t>USD</t>
        </is>
      </c>
      <c r="G153" s="973" t="inlineStr">
        <is>
          <t>All</t>
        </is>
      </c>
      <c r="H153" s="973" t="inlineStr">
        <is>
          <t>Fixed</t>
        </is>
      </c>
      <c r="I153" s="973" t="inlineStr">
        <is>
          <t>Daily external legal/regulatory cost × days required. Working prior; replace with Legal panel and response estimates.</t>
        </is>
      </c>
    </row>
    <row r="154" ht="32" customHeight="1" s="508">
      <c r="A154" s="973" t="inlineStr">
        <is>
          <t>Safety System Compromise</t>
        </is>
      </c>
      <c r="B154" s="973" t="inlineStr">
        <is>
          <t>LG-02</t>
        </is>
      </c>
      <c r="C154" s="973" t="inlineStr">
        <is>
          <t>Regulatory fines and penalties</t>
        </is>
      </c>
      <c r="D154" s="305">
        <f>IF($I$44="TRUE",$C$16*$E$78,0)</f>
        <v/>
      </c>
      <c r="E154" s="305">
        <f>IF($I$44="TRUE",$C$16*$F$78,0)</f>
        <v/>
      </c>
      <c r="F154" s="973" t="inlineStr">
        <is>
          <t>USD</t>
        </is>
      </c>
      <c r="G154" s="973" t="inlineStr">
        <is>
          <t>All</t>
        </is>
      </c>
      <c r="H154" s="973" t="inlineStr">
        <is>
          <t>Fixed</t>
        </is>
      </c>
      <c r="I154" s="973" t="inlineStr">
        <is>
          <t>Annual revenue × conditional penalty share. Working prior; Legal must calibrate jurisdiction and enforcement context.</t>
        </is>
      </c>
    </row>
    <row r="155" ht="32" customHeight="1" s="508">
      <c r="A155" s="973" t="inlineStr">
        <is>
          <t>Safety System Compromise</t>
        </is>
      </c>
      <c r="B155" s="973" t="inlineStr">
        <is>
          <t>SF-01</t>
        </is>
      </c>
      <c r="C155" s="973" t="inlineStr">
        <is>
          <t>Safety and emergency response</t>
        </is>
      </c>
      <c r="D155" s="305">
        <f>IF($I$46="TRUE",$C$79,0)</f>
        <v/>
      </c>
      <c r="E155" s="305">
        <f>IF($I$46="TRUE",$D$79,0)</f>
        <v/>
      </c>
      <c r="F155" s="973" t="inlineStr">
        <is>
          <t>USD</t>
        </is>
      </c>
      <c r="G155" s="973" t="inlineStr">
        <is>
          <t>All</t>
        </is>
      </c>
      <c r="H155" s="973" t="inlineStr">
        <is>
          <t>Safety</t>
        </is>
      </c>
      <c r="I155" s="973" t="inlineStr">
        <is>
          <t>Direct conditional amount. Working prior; replace with HSE scenario and claims evidence.</t>
        </is>
      </c>
    </row>
    <row r="156" ht="32" customHeight="1" s="508">
      <c r="A156" s="973" t="inlineStr">
        <is>
          <t>Safety System Compromise</t>
        </is>
      </c>
      <c r="B156" s="973" t="inlineStr">
        <is>
          <t>EN-01</t>
        </is>
      </c>
      <c r="C156" s="973" t="inlineStr">
        <is>
          <t>Environmental remediation</t>
        </is>
      </c>
      <c r="D156" s="305">
        <f>IF($I$47="TRUE",$C$80,0)</f>
        <v/>
      </c>
      <c r="E156" s="305">
        <f>IF($I$47="TRUE",$D$80,0)</f>
        <v/>
      </c>
      <c r="F156" s="973" t="inlineStr">
        <is>
          <t>USD</t>
        </is>
      </c>
      <c r="G156" s="973" t="inlineStr">
        <is>
          <t>All</t>
        </is>
      </c>
      <c r="H156" s="973" t="inlineStr">
        <is>
          <t>Safety</t>
        </is>
      </c>
      <c r="I156" s="973" t="inlineStr">
        <is>
          <t>Direct conditional amount. Working prior; replace with HSE/environmental loss scenarios.</t>
        </is>
      </c>
    </row>
    <row r="157" ht="32" customHeight="1" s="508">
      <c r="A157" s="973" t="inlineStr">
        <is>
          <t>Safety System Compromise</t>
        </is>
      </c>
      <c r="B157" s="973" t="inlineStr">
        <is>
          <t>PD-01</t>
        </is>
      </c>
      <c r="C157" s="973" t="inlineStr">
        <is>
          <t>OT endpoint / controller replacement</t>
        </is>
      </c>
      <c r="D157" s="305">
        <f>IF($I$49="TRUE",$C$19*$E$81*$C$81,0)</f>
        <v/>
      </c>
      <c r="E157" s="305">
        <f>IF($I$49="TRUE",$C$19*$F$81*$D$81,0)</f>
        <v/>
      </c>
      <c r="F157" s="973" t="inlineStr">
        <is>
          <t>USD</t>
        </is>
      </c>
      <c r="G157" s="973" t="inlineStr">
        <is>
          <t>All</t>
        </is>
      </c>
      <c r="H157" s="973" t="inlineStr">
        <is>
          <t>Recover</t>
        </is>
      </c>
      <c r="I157" s="973" t="inlineStr">
        <is>
          <t>Critical OT endpoints × affected share × replacement unit cost. Working prior; calibrate from asset register and replacement estimates.</t>
        </is>
      </c>
    </row>
    <row r="158" ht="32" customHeight="1" s="508">
      <c r="A158" s="973" t="inlineStr">
        <is>
          <t>Safety System Compromise</t>
        </is>
      </c>
      <c r="B158" s="973" t="inlineStr">
        <is>
          <t>PD-02</t>
        </is>
      </c>
      <c r="C158" s="973" t="inlineStr">
        <is>
          <t>OT server / engineering-system replacement</t>
        </is>
      </c>
      <c r="D158" s="305">
        <f>IF($I$50="TRUE",$C$20*$E$82*$C$82,0)</f>
        <v/>
      </c>
      <c r="E158" s="305">
        <f>IF($I$50="TRUE",$C$20*$F$82*$D$82,0)</f>
        <v/>
      </c>
      <c r="F158" s="973" t="inlineStr">
        <is>
          <t>USD</t>
        </is>
      </c>
      <c r="G158" s="973" t="inlineStr">
        <is>
          <t>All</t>
        </is>
      </c>
      <c r="H158" s="973" t="inlineStr">
        <is>
          <t>Recover</t>
        </is>
      </c>
      <c r="I158" s="973" t="inlineStr">
        <is>
          <t>Critical OT servers × affected share × replacement unit cost. Working prior; calibrate from asset register/OEM estimates.</t>
        </is>
      </c>
    </row>
    <row r="159" ht="32" customHeight="1" s="508">
      <c r="A159" s="973" t="inlineStr">
        <is>
          <t>Safety System Compromise</t>
        </is>
      </c>
      <c r="B159" s="973" t="inlineStr">
        <is>
          <t>PD-03</t>
        </is>
      </c>
      <c r="C159" s="973" t="inlineStr">
        <is>
          <t>Major equipment / physical damage</t>
        </is>
      </c>
      <c r="D159" s="305">
        <f>IF($I$51="TRUE",$C$83,0)</f>
        <v/>
      </c>
      <c r="E159" s="305">
        <f>IF($I$51="TRUE",$D$83,0)</f>
        <v/>
      </c>
      <c r="F159" s="973" t="inlineStr">
        <is>
          <t>USD</t>
        </is>
      </c>
      <c r="G159" s="973" t="inlineStr">
        <is>
          <t>All</t>
        </is>
      </c>
      <c r="H159" s="973" t="inlineStr">
        <is>
          <t>Safety</t>
        </is>
      </c>
      <c r="I159" s="973" t="inlineStr">
        <is>
          <t>Direct conditional amount. Working prior; replace with Engineering/property loss scenarios.</t>
        </is>
      </c>
    </row>
    <row r="160" ht="32" customHeight="1" s="508">
      <c r="A160" s="973" t="inlineStr">
        <is>
          <t>Safety System Compromise</t>
        </is>
      </c>
      <c r="B160" s="973" t="inlineStr">
        <is>
          <t>IN-01</t>
        </is>
      </c>
      <c r="C160" s="973" t="inlineStr">
        <is>
          <t>Post-event security uplift</t>
        </is>
      </c>
      <c r="D160" s="305">
        <f>IF($I$53="TRUE",$C$16*$E$84,0)</f>
        <v/>
      </c>
      <c r="E160" s="305">
        <f>IF($I$53="TRUE",$C$16*$F$84,0)</f>
        <v/>
      </c>
      <c r="F160" s="973" t="inlineStr">
        <is>
          <t>USD</t>
        </is>
      </c>
      <c r="G160" s="973" t="inlineStr">
        <is>
          <t>All</t>
        </is>
      </c>
      <c r="H160" s="973" t="inlineStr">
        <is>
          <t>Fixed</t>
        </is>
      </c>
      <c r="I160" s="973" t="inlineStr">
        <is>
          <t>Annual revenue × conditional uplift share. Working prior; calibrate with Cyber/Engineering remediation plans.</t>
        </is>
      </c>
    </row>
    <row r="161" ht="32" customHeight="1" s="508">
      <c r="A161" s="973" t="inlineStr">
        <is>
          <t>Destructive or Integrity Attack</t>
        </is>
      </c>
      <c r="B161" s="973" t="inlineStr">
        <is>
          <t>IR-01</t>
        </is>
      </c>
      <c r="C161" s="973" t="inlineStr">
        <is>
          <t>OT and digital forensic investigation</t>
        </is>
      </c>
      <c r="D161" s="305">
        <f>IF($J$29="TRUE",$C$67*$E$67,0)</f>
        <v/>
      </c>
      <c r="E161" s="305">
        <f>IF($J$29="TRUE",$D$67*$F$67,0)</f>
        <v/>
      </c>
      <c r="F161" s="973" t="inlineStr">
        <is>
          <t>USD</t>
        </is>
      </c>
      <c r="G161" s="973" t="inlineStr">
        <is>
          <t>All</t>
        </is>
      </c>
      <c r="H161" s="973" t="inlineStr">
        <is>
          <t>Fixed</t>
        </is>
      </c>
      <c r="I161" s="973" t="inlineStr">
        <is>
          <t>Daily forensic team cost × days required. Working prior; replace with IR retainer, panel and claims data.</t>
        </is>
      </c>
    </row>
    <row r="162" ht="32" customHeight="1" s="508">
      <c r="A162" s="973" t="inlineStr">
        <is>
          <t>Destructive or Integrity Attack</t>
        </is>
      </c>
      <c r="B162" s="973" t="inlineStr">
        <is>
          <t>IR-02</t>
        </is>
      </c>
      <c r="C162" s="973" t="inlineStr">
        <is>
          <t>External cyber incident response</t>
        </is>
      </c>
      <c r="D162" s="305">
        <f>IF($J$30="TRUE",$C$68*$E$68,0)</f>
        <v/>
      </c>
      <c r="E162" s="305">
        <f>IF($J$30="TRUE",$D$68*$F$68,0)</f>
        <v/>
      </c>
      <c r="F162" s="973" t="inlineStr">
        <is>
          <t>USD</t>
        </is>
      </c>
      <c r="G162" s="973" t="inlineStr">
        <is>
          <t>All</t>
        </is>
      </c>
      <c r="H162" s="973" t="inlineStr">
        <is>
          <t>Fixed</t>
        </is>
      </c>
      <c r="I162" s="973" t="inlineStr">
        <is>
          <t>Daily external response team cost × days required. Working prior; replace with response supplier evidence.</t>
        </is>
      </c>
    </row>
    <row r="163" ht="32" customHeight="1" s="508">
      <c r="A163" s="973" t="inlineStr">
        <is>
          <t>Destructive or Integrity Attack</t>
        </is>
      </c>
      <c r="B163" s="973" t="inlineStr">
        <is>
          <t>IR-03</t>
        </is>
      </c>
      <c r="C163" s="973" t="inlineStr">
        <is>
          <t>Crisis communications</t>
        </is>
      </c>
      <c r="D163" s="305">
        <f>IF($J$31="TRUE",$C$69*$E$69,0)</f>
        <v/>
      </c>
      <c r="E163" s="305">
        <f>IF($J$31="TRUE",$D$69*$F$69,0)</f>
        <v/>
      </c>
      <c r="F163" s="973" t="inlineStr">
        <is>
          <t>USD</t>
        </is>
      </c>
      <c r="G163" s="973" t="inlineStr">
        <is>
          <t>All</t>
        </is>
      </c>
      <c r="H163" s="973" t="inlineStr">
        <is>
          <t>Fixed</t>
        </is>
      </c>
      <c r="I163" s="973" t="inlineStr">
        <is>
          <t>Daily crisis communications cost × days required. Working prior; calibrate with communications and panel rates.</t>
        </is>
      </c>
    </row>
    <row r="164" ht="32" customHeight="1" s="508">
      <c r="A164" s="973" t="inlineStr">
        <is>
          <t>Destructive or Integrity Attack</t>
        </is>
      </c>
      <c r="B164" s="973" t="inlineStr">
        <is>
          <t>RC-01</t>
        </is>
      </c>
      <c r="C164" s="973" t="inlineStr">
        <is>
          <t>OT restoration and recommissioning</t>
        </is>
      </c>
      <c r="D164" s="305">
        <f>IF($J$33="TRUE",$C$70*$E$70,0)</f>
        <v/>
      </c>
      <c r="E164" s="305">
        <f>IF($J$33="TRUE",$D$70*$F$70,0)</f>
        <v/>
      </c>
      <c r="F164" s="973" t="inlineStr">
        <is>
          <t>USD</t>
        </is>
      </c>
      <c r="G164" s="973" t="inlineStr">
        <is>
          <t>All</t>
        </is>
      </c>
      <c r="H164" s="973" t="inlineStr">
        <is>
          <t>Recover</t>
        </is>
      </c>
      <c r="I164" s="973" t="inlineStr">
        <is>
          <t>Daily restoration team cost × days required. Working prior; replace with Engineering/O&amp;M work-pack estimates.</t>
        </is>
      </c>
    </row>
    <row r="165" ht="32" customHeight="1" s="508">
      <c r="A165" s="973" t="inlineStr">
        <is>
          <t>Destructive or Integrity Attack</t>
        </is>
      </c>
      <c r="B165" s="973" t="inlineStr">
        <is>
          <t>RC-02</t>
        </is>
      </c>
      <c r="C165" s="973" t="inlineStr">
        <is>
          <t>OEM and specialist engineering support</t>
        </is>
      </c>
      <c r="D165" s="305">
        <f>IF($J$34="TRUE",$C$71*$E$71,0)</f>
        <v/>
      </c>
      <c r="E165" s="305">
        <f>IF($J$34="TRUE",$D$71*$F$71,0)</f>
        <v/>
      </c>
      <c r="F165" s="973" t="inlineStr">
        <is>
          <t>USD</t>
        </is>
      </c>
      <c r="G165" s="973" t="inlineStr">
        <is>
          <t>All</t>
        </is>
      </c>
      <c r="H165" s="973" t="inlineStr">
        <is>
          <t>Recover</t>
        </is>
      </c>
      <c r="I165" s="973" t="inlineStr">
        <is>
          <t>Daily OEM/specialist cost × days required. Working prior; replace with OEM/framework agreements.</t>
        </is>
      </c>
    </row>
    <row r="166" ht="32" customHeight="1" s="508">
      <c r="A166" s="973" t="inlineStr">
        <is>
          <t>Destructive or Integrity Attack</t>
        </is>
      </c>
      <c r="B166" s="973" t="inlineStr">
        <is>
          <t>RC-03</t>
        </is>
      </c>
      <c r="C166" s="973" t="inlineStr">
        <is>
          <t>Configuration/data restoration and integrity validation</t>
        </is>
      </c>
      <c r="D166" s="305">
        <f>IF($J$35="TRUE",$C$72*$E$72,0)</f>
        <v/>
      </c>
      <c r="E166" s="305">
        <f>IF($J$35="TRUE",$D$72*$F$72,0)</f>
        <v/>
      </c>
      <c r="F166" s="973" t="inlineStr">
        <is>
          <t>USD</t>
        </is>
      </c>
      <c r="G166" s="973" t="inlineStr">
        <is>
          <t>All</t>
        </is>
      </c>
      <c r="H166" s="973" t="inlineStr">
        <is>
          <t>Recover</t>
        </is>
      </c>
      <c r="I166" s="973" t="inlineStr">
        <is>
          <t>Daily validation team cost × days required. Working prior; calibrate from recovery plans and exercises.</t>
        </is>
      </c>
    </row>
    <row r="167" ht="32" customHeight="1" s="508">
      <c r="A167" s="973" t="inlineStr">
        <is>
          <t>Destructive or Integrity Attack</t>
        </is>
      </c>
      <c r="B167" s="973" t="inlineStr">
        <is>
          <t>BI-01</t>
        </is>
      </c>
      <c r="C167" s="973" t="inlineStr">
        <is>
          <t>Business interruption</t>
        </is>
      </c>
      <c r="D167" s="305">
        <f>IF($J$37="TRUE",$C$16/365*$C$17*$B$62*$D$62,0)</f>
        <v/>
      </c>
      <c r="E167" s="305">
        <f>IF($J$37="TRUE",$C$16/365*$C$17*$C$62*$E$62,0)</f>
        <v/>
      </c>
      <c r="F167" s="973" t="inlineStr">
        <is>
          <t>USD</t>
        </is>
      </c>
      <c r="G167" s="973" t="inlineStr">
        <is>
          <t>All</t>
        </is>
      </c>
      <c r="H167" s="973" t="inlineStr">
        <is>
          <t>Duration</t>
        </is>
      </c>
      <c r="I167" s="973" t="inlineStr">
        <is>
          <t>Annual revenue ÷ 365 × BI factor × downtime × capacity affected. Agreed revenue-based convention; scenario duration/capacity below.</t>
        </is>
      </c>
    </row>
    <row r="168" ht="32" customHeight="1" s="508">
      <c r="A168" s="973" t="inlineStr">
        <is>
          <t>Destructive or Integrity Attack</t>
        </is>
      </c>
      <c r="B168" s="973" t="inlineStr">
        <is>
          <t>OP-01</t>
        </is>
      </c>
      <c r="C168" s="973" t="inlineStr">
        <is>
          <t>Manual operations / increased cost of working</t>
        </is>
      </c>
      <c r="D168" s="305">
        <f>IF($J$38="TRUE",$C$74*$B$62,0)</f>
        <v/>
      </c>
      <c r="E168" s="305">
        <f>IF($J$38="TRUE",$D$74*$C$62,0)</f>
        <v/>
      </c>
      <c r="F168" s="973" t="inlineStr">
        <is>
          <t>USD</t>
        </is>
      </c>
      <c r="G168" s="973" t="inlineStr">
        <is>
          <t>All</t>
        </is>
      </c>
      <c r="H168" s="973" t="inlineStr">
        <is>
          <t>Recover</t>
        </is>
      </c>
      <c r="I168" s="973" t="inlineStr">
        <is>
          <t>Daily incremental operating cost × scenario downtime. Working prior; replace with continuity and operations estimates.</t>
        </is>
      </c>
    </row>
    <row r="169" ht="32" customHeight="1" s="508">
      <c r="A169" s="973" t="inlineStr">
        <is>
          <t>Destructive or Integrity Attack</t>
        </is>
      </c>
      <c r="B169" s="973" t="inlineStr">
        <is>
          <t>OP-02</t>
        </is>
      </c>
      <c r="C169" s="973" t="inlineStr">
        <is>
          <t>Alternative supply / availability and contract penalties</t>
        </is>
      </c>
      <c r="D169" s="305">
        <f>IF($J$39="TRUE",$C$75*$B$62,0)</f>
        <v/>
      </c>
      <c r="E169" s="305">
        <f>IF($J$39="TRUE",$D$75*$C$62,0)</f>
        <v/>
      </c>
      <c r="F169" s="973" t="inlineStr">
        <is>
          <t>USD</t>
        </is>
      </c>
      <c r="G169" s="973" t="inlineStr">
        <is>
          <t>All</t>
        </is>
      </c>
      <c r="H169" s="973" t="inlineStr">
        <is>
          <t>Recover</t>
        </is>
      </c>
      <c r="I169" s="973" t="inlineStr">
        <is>
          <t>Daily incremental replacement/penalty cost × scenario downtime. Working prior; calibrate with Commercial contracts, continuity arrangements and penalty terms.</t>
        </is>
      </c>
    </row>
    <row r="170" ht="32" customHeight="1" s="508">
      <c r="A170" s="973" t="inlineStr">
        <is>
          <t>Destructive or Integrity Attack</t>
        </is>
      </c>
      <c r="B170" s="973" t="inlineStr">
        <is>
          <t>EX-01</t>
        </is>
      </c>
      <c r="C170" s="973" t="inlineStr">
        <is>
          <t>Extortion / ransom</t>
        </is>
      </c>
      <c r="D170" s="305">
        <f>IF($J$41="TRUE",$C$76,0)</f>
        <v/>
      </c>
      <c r="E170" s="305">
        <f>IF($J$41="TRUE",$D$76,0)</f>
        <v/>
      </c>
      <c r="F170" s="973" t="inlineStr">
        <is>
          <t>USD</t>
        </is>
      </c>
      <c r="G170" s="973" t="inlineStr">
        <is>
          <t>Cybercriminal</t>
        </is>
      </c>
      <c r="H170" s="973" t="inlineStr">
        <is>
          <t>Fixed</t>
        </is>
      </c>
      <c r="I170" s="973" t="inlineStr">
        <is>
          <t>Direct conditional amount. Working prior; replace with approved incident/claims/market evidence.</t>
        </is>
      </c>
    </row>
    <row r="171" ht="32" customHeight="1" s="508">
      <c r="A171" s="973" t="inlineStr">
        <is>
          <t>Destructive or Integrity Attack</t>
        </is>
      </c>
      <c r="B171" s="973" t="inlineStr">
        <is>
          <t>LG-01</t>
        </is>
      </c>
      <c r="C171" s="973" t="inlineStr">
        <is>
          <t>Legal and regulatory response</t>
        </is>
      </c>
      <c r="D171" s="305">
        <f>IF($J$43="TRUE",$C$77*$E$77,0)</f>
        <v/>
      </c>
      <c r="E171" s="305">
        <f>IF($J$43="TRUE",$D$77*$F$77,0)</f>
        <v/>
      </c>
      <c r="F171" s="973" t="inlineStr">
        <is>
          <t>USD</t>
        </is>
      </c>
      <c r="G171" s="973" t="inlineStr">
        <is>
          <t>All</t>
        </is>
      </c>
      <c r="H171" s="973" t="inlineStr">
        <is>
          <t>Fixed</t>
        </is>
      </c>
      <c r="I171" s="973" t="inlineStr">
        <is>
          <t>Daily external legal/regulatory cost × days required. Working prior; replace with Legal panel and response estimates.</t>
        </is>
      </c>
    </row>
    <row r="172" ht="32" customHeight="1" s="508">
      <c r="A172" s="973" t="inlineStr">
        <is>
          <t>Destructive or Integrity Attack</t>
        </is>
      </c>
      <c r="B172" s="973" t="inlineStr">
        <is>
          <t>LG-02</t>
        </is>
      </c>
      <c r="C172" s="973" t="inlineStr">
        <is>
          <t>Regulatory fines and penalties</t>
        </is>
      </c>
      <c r="D172" s="305">
        <f>IF($J$44="TRUE",$C$16*$E$78,0)</f>
        <v/>
      </c>
      <c r="E172" s="305">
        <f>IF($J$44="TRUE",$C$16*$F$78,0)</f>
        <v/>
      </c>
      <c r="F172" s="973" t="inlineStr">
        <is>
          <t>USD</t>
        </is>
      </c>
      <c r="G172" s="973" t="inlineStr">
        <is>
          <t>All</t>
        </is>
      </c>
      <c r="H172" s="973" t="inlineStr">
        <is>
          <t>Fixed</t>
        </is>
      </c>
      <c r="I172" s="973" t="inlineStr">
        <is>
          <t>Annual revenue × conditional penalty share. Working prior; Legal must calibrate jurisdiction and enforcement context.</t>
        </is>
      </c>
    </row>
    <row r="173" ht="32" customHeight="1" s="508">
      <c r="A173" s="973" t="inlineStr">
        <is>
          <t>Destructive or Integrity Attack</t>
        </is>
      </c>
      <c r="B173" s="973" t="inlineStr">
        <is>
          <t>SF-01</t>
        </is>
      </c>
      <c r="C173" s="973" t="inlineStr">
        <is>
          <t>Safety and emergency response</t>
        </is>
      </c>
      <c r="D173" s="305">
        <f>IF($J$46="TRUE",$C$79,0)</f>
        <v/>
      </c>
      <c r="E173" s="305">
        <f>IF($J$46="TRUE",$D$79,0)</f>
        <v/>
      </c>
      <c r="F173" s="973" t="inlineStr">
        <is>
          <t>USD</t>
        </is>
      </c>
      <c r="G173" s="973" t="inlineStr">
        <is>
          <t>All</t>
        </is>
      </c>
      <c r="H173" s="973" t="inlineStr">
        <is>
          <t>Safety</t>
        </is>
      </c>
      <c r="I173" s="973" t="inlineStr">
        <is>
          <t>Direct conditional amount. Working prior; replace with HSE scenario and claims evidence.</t>
        </is>
      </c>
    </row>
    <row r="174" ht="32" customHeight="1" s="508">
      <c r="A174" s="973" t="inlineStr">
        <is>
          <t>Destructive or Integrity Attack</t>
        </is>
      </c>
      <c r="B174" s="973" t="inlineStr">
        <is>
          <t>EN-01</t>
        </is>
      </c>
      <c r="C174" s="973" t="inlineStr">
        <is>
          <t>Environmental remediation</t>
        </is>
      </c>
      <c r="D174" s="305">
        <f>IF($J$47="TRUE",$C$80,0)</f>
        <v/>
      </c>
      <c r="E174" s="305">
        <f>IF($J$47="TRUE",$D$80,0)</f>
        <v/>
      </c>
      <c r="F174" s="973" t="inlineStr">
        <is>
          <t>USD</t>
        </is>
      </c>
      <c r="G174" s="973" t="inlineStr">
        <is>
          <t>All</t>
        </is>
      </c>
      <c r="H174" s="973" t="inlineStr">
        <is>
          <t>Safety</t>
        </is>
      </c>
      <c r="I174" s="973" t="inlineStr">
        <is>
          <t>Direct conditional amount. Working prior; replace with HSE/environmental loss scenarios.</t>
        </is>
      </c>
    </row>
    <row r="175" ht="32" customHeight="1" s="508">
      <c r="A175" s="973" t="inlineStr">
        <is>
          <t>Destructive or Integrity Attack</t>
        </is>
      </c>
      <c r="B175" s="973" t="inlineStr">
        <is>
          <t>PD-01</t>
        </is>
      </c>
      <c r="C175" s="973" t="inlineStr">
        <is>
          <t>OT endpoint / controller replacement</t>
        </is>
      </c>
      <c r="D175" s="305">
        <f>IF($J$49="TRUE",$C$19*$E$81*$C$81,0)</f>
        <v/>
      </c>
      <c r="E175" s="305">
        <f>IF($J$49="TRUE",$C$19*$F$81*$D$81,0)</f>
        <v/>
      </c>
      <c r="F175" s="973" t="inlineStr">
        <is>
          <t>USD</t>
        </is>
      </c>
      <c r="G175" s="973" t="inlineStr">
        <is>
          <t>All</t>
        </is>
      </c>
      <c r="H175" s="973" t="inlineStr">
        <is>
          <t>Recover</t>
        </is>
      </c>
      <c r="I175" s="973" t="inlineStr">
        <is>
          <t>Critical OT endpoints × affected share × replacement unit cost. Working prior; calibrate from asset register and replacement estimates.</t>
        </is>
      </c>
    </row>
    <row r="176" ht="32" customHeight="1" s="508">
      <c r="A176" s="973" t="inlineStr">
        <is>
          <t>Destructive or Integrity Attack</t>
        </is>
      </c>
      <c r="B176" s="973" t="inlineStr">
        <is>
          <t>PD-02</t>
        </is>
      </c>
      <c r="C176" s="973" t="inlineStr">
        <is>
          <t>OT server / engineering-system replacement</t>
        </is>
      </c>
      <c r="D176" s="305">
        <f>IF($J$50="TRUE",$C$20*$E$82*$C$82,0)</f>
        <v/>
      </c>
      <c r="E176" s="305">
        <f>IF($J$50="TRUE",$C$20*$F$82*$D$82,0)</f>
        <v/>
      </c>
      <c r="F176" s="973" t="inlineStr">
        <is>
          <t>USD</t>
        </is>
      </c>
      <c r="G176" s="973" t="inlineStr">
        <is>
          <t>All</t>
        </is>
      </c>
      <c r="H176" s="973" t="inlineStr">
        <is>
          <t>Recover</t>
        </is>
      </c>
      <c r="I176" s="973" t="inlineStr">
        <is>
          <t>Critical OT servers × affected share × replacement unit cost. Working prior; calibrate from asset register/OEM estimates.</t>
        </is>
      </c>
    </row>
    <row r="177" ht="32" customHeight="1" s="508">
      <c r="A177" s="973" t="inlineStr">
        <is>
          <t>Destructive or Integrity Attack</t>
        </is>
      </c>
      <c r="B177" s="973" t="inlineStr">
        <is>
          <t>PD-03</t>
        </is>
      </c>
      <c r="C177" s="973" t="inlineStr">
        <is>
          <t>Major equipment / physical damage</t>
        </is>
      </c>
      <c r="D177" s="305">
        <f>IF($J$51="TRUE",$C$83,0)</f>
        <v/>
      </c>
      <c r="E177" s="305">
        <f>IF($J$51="TRUE",$D$83,0)</f>
        <v/>
      </c>
      <c r="F177" s="973" t="inlineStr">
        <is>
          <t>USD</t>
        </is>
      </c>
      <c r="G177" s="973" t="inlineStr">
        <is>
          <t>All</t>
        </is>
      </c>
      <c r="H177" s="973" t="inlineStr">
        <is>
          <t>Safety</t>
        </is>
      </c>
      <c r="I177" s="973" t="inlineStr">
        <is>
          <t>Direct conditional amount. Working prior; replace with Engineering/property loss scenarios.</t>
        </is>
      </c>
    </row>
    <row r="178" ht="32" customHeight="1" s="508">
      <c r="A178" s="973" t="inlineStr">
        <is>
          <t>Destructive or Integrity Attack</t>
        </is>
      </c>
      <c r="B178" s="973" t="inlineStr">
        <is>
          <t>IN-01</t>
        </is>
      </c>
      <c r="C178" s="973" t="inlineStr">
        <is>
          <t>Post-event security uplift</t>
        </is>
      </c>
      <c r="D178" s="305">
        <f>IF($J$53="TRUE",$C$16*$E$84,0)</f>
        <v/>
      </c>
      <c r="E178" s="305">
        <f>IF($J$53="TRUE",$C$16*$F$84,0)</f>
        <v/>
      </c>
      <c r="F178" s="973" t="inlineStr">
        <is>
          <t>USD</t>
        </is>
      </c>
      <c r="G178" s="973" t="inlineStr">
        <is>
          <t>All</t>
        </is>
      </c>
      <c r="H178" s="973" t="inlineStr">
        <is>
          <t>Fixed</t>
        </is>
      </c>
      <c r="I178" s="973" t="inlineStr">
        <is>
          <t>Annual revenue × conditional uplift share. Working prior; calibrate with Cyber/Engineering remediation plans.</t>
        </is>
      </c>
    </row>
  </sheetData>
  <mergeCells count="20">
    <mergeCell ref="A1:N1"/>
    <mergeCell ref="A26:L26"/>
    <mergeCell ref="A6:N6"/>
    <mergeCell ref="A42:L42"/>
    <mergeCell ref="A32:L32"/>
    <mergeCell ref="A3:N3"/>
    <mergeCell ref="A52:L52"/>
    <mergeCell ref="A12:N12"/>
    <mergeCell ref="A2:N2"/>
    <mergeCell ref="A28:L28"/>
    <mergeCell ref="A40:L40"/>
    <mergeCell ref="A48:L48"/>
    <mergeCell ref="A8:N8"/>
    <mergeCell ref="A56:G56"/>
    <mergeCell ref="A4:N4"/>
    <mergeCell ref="A45:L45"/>
    <mergeCell ref="A36:L36"/>
    <mergeCell ref="A10:N10"/>
    <mergeCell ref="A87:I87"/>
    <mergeCell ref="A65:L65"/>
  </mergeCells>
  <dataValidations count="58">
    <dataValidation sqref="C17" showDropDown="0" showInputMessage="0" showErrorMessage="0" allowBlank="0" type="decimal" operator="between">
      <formula1>0</formula1>
      <formula2>1</formula2>
    </dataValidation>
    <dataValidation sqref="C18:C20" showDropDown="0" showInputMessage="0" showErrorMessage="0" allowBlank="0" type="whole" operator="greaterThanOrEqual">
      <formula1>0</formula1>
    </dataValidation>
    <dataValidation sqref="D29" showDropDown="0" showInputMessage="0" showErrorMessage="0" allowBlank="0" type="list">
      <formula1>"All,Nation State,Cybercriminal,Malicious Insider"</formula1>
    </dataValidation>
    <dataValidation sqref="E29" showDropDown="0" showInputMessage="0" showErrorMessage="0" allowBlank="0" type="list">
      <formula1>"Duration,Fixed,Recover,Safety"</formula1>
    </dataValidation>
    <dataValidation sqref="F29:J29" showDropDown="0" showInputMessage="0" showErrorMessage="0" allowBlank="0" type="list">
      <formula1>"TRUE,FALSE"</formula1>
    </dataValidation>
    <dataValidation sqref="D30" showDropDown="0" showInputMessage="0" showErrorMessage="0" allowBlank="0" type="list">
      <formula1>"All,Nation State,Cybercriminal,Malicious Insider"</formula1>
    </dataValidation>
    <dataValidation sqref="E30" showDropDown="0" showInputMessage="0" showErrorMessage="0" allowBlank="0" type="list">
      <formula1>"Duration,Fixed,Recover,Safety"</formula1>
    </dataValidation>
    <dataValidation sqref="F30:J30" showDropDown="0" showInputMessage="0" showErrorMessage="0" allowBlank="0" type="list">
      <formula1>"TRUE,FALSE"</formula1>
    </dataValidation>
    <dataValidation sqref="D31" showDropDown="0" showInputMessage="0" showErrorMessage="0" allowBlank="0" type="list">
      <formula1>"All,Nation State,Cybercriminal,Malicious Insider"</formula1>
    </dataValidation>
    <dataValidation sqref="E31" showDropDown="0" showInputMessage="0" showErrorMessage="0" allowBlank="0" type="list">
      <formula1>"Duration,Fixed,Recover,Safety"</formula1>
    </dataValidation>
    <dataValidation sqref="F31:J31" showDropDown="0" showInputMessage="0" showErrorMessage="0" allowBlank="0" type="list">
      <formula1>"TRUE,FALSE"</formula1>
    </dataValidation>
    <dataValidation sqref="D33" showDropDown="0" showInputMessage="0" showErrorMessage="0" allowBlank="0" type="list">
      <formula1>"All,Nation State,Cybercriminal,Malicious Insider"</formula1>
    </dataValidation>
    <dataValidation sqref="E33" showDropDown="0" showInputMessage="0" showErrorMessage="0" allowBlank="0" type="list">
      <formula1>"Duration,Fixed,Recover,Safety"</formula1>
    </dataValidation>
    <dataValidation sqref="F33:J33" showDropDown="0" showInputMessage="0" showErrorMessage="0" allowBlank="0" type="list">
      <formula1>"TRUE,FALSE"</formula1>
    </dataValidation>
    <dataValidation sqref="D34" showDropDown="0" showInputMessage="0" showErrorMessage="0" allowBlank="0" type="list">
      <formula1>"All,Nation State,Cybercriminal,Malicious Insider"</formula1>
    </dataValidation>
    <dataValidation sqref="E34" showDropDown="0" showInputMessage="0" showErrorMessage="0" allowBlank="0" type="list">
      <formula1>"Duration,Fixed,Recover,Safety"</formula1>
    </dataValidation>
    <dataValidation sqref="F34:J34" showDropDown="0" showInputMessage="0" showErrorMessage="0" allowBlank="0" type="list">
      <formula1>"TRUE,FALSE"</formula1>
    </dataValidation>
    <dataValidation sqref="D35" showDropDown="0" showInputMessage="0" showErrorMessage="0" allowBlank="0" type="list">
      <formula1>"All,Nation State,Cybercriminal,Malicious Insider"</formula1>
    </dataValidation>
    <dataValidation sqref="E35" showDropDown="0" showInputMessage="0" showErrorMessage="0" allowBlank="0" type="list">
      <formula1>"Duration,Fixed,Recover,Safety"</formula1>
    </dataValidation>
    <dataValidation sqref="F35:J35" showDropDown="0" showInputMessage="0" showErrorMessage="0" allowBlank="0" type="list">
      <formula1>"TRUE,FALSE"</formula1>
    </dataValidation>
    <dataValidation sqref="D37" showDropDown="0" showInputMessage="0" showErrorMessage="0" allowBlank="0" type="list">
      <formula1>"All,Nation State,Cybercriminal,Malicious Insider"</formula1>
    </dataValidation>
    <dataValidation sqref="E37" showDropDown="0" showInputMessage="0" showErrorMessage="0" allowBlank="0" type="list">
      <formula1>"Duration,Fixed,Recover,Safety"</formula1>
    </dataValidation>
    <dataValidation sqref="F37:J37" showDropDown="0" showInputMessage="0" showErrorMessage="0" allowBlank="0" type="list">
      <formula1>"TRUE,FALSE"</formula1>
    </dataValidation>
    <dataValidation sqref="D38" showDropDown="0" showInputMessage="0" showErrorMessage="0" allowBlank="0" type="list">
      <formula1>"All,Nation State,Cybercriminal,Malicious Insider"</formula1>
    </dataValidation>
    <dataValidation sqref="E38" showDropDown="0" showInputMessage="0" showErrorMessage="0" allowBlank="0" type="list">
      <formula1>"Duration,Fixed,Recover,Safety"</formula1>
    </dataValidation>
    <dataValidation sqref="F38:J38" showDropDown="0" showInputMessage="0" showErrorMessage="0" allowBlank="0" type="list">
      <formula1>"TRUE,FALSE"</formula1>
    </dataValidation>
    <dataValidation sqref="D39" showDropDown="0" showInputMessage="0" showErrorMessage="0" allowBlank="0" type="list">
      <formula1>"All,Nation State,Cybercriminal,Malicious Insider"</formula1>
    </dataValidation>
    <dataValidation sqref="E39" showDropDown="0" showInputMessage="0" showErrorMessage="0" allowBlank="0" type="list">
      <formula1>"Duration,Fixed,Recover,Safety"</formula1>
    </dataValidation>
    <dataValidation sqref="F39:J39" showDropDown="0" showInputMessage="0" showErrorMessage="0" allowBlank="0" type="list">
      <formula1>"TRUE,FALSE"</formula1>
    </dataValidation>
    <dataValidation sqref="D41" showDropDown="0" showInputMessage="0" showErrorMessage="0" allowBlank="0" type="list">
      <formula1>"All,Nation State,Cybercriminal,Malicious Insider"</formula1>
    </dataValidation>
    <dataValidation sqref="E41" showDropDown="0" showInputMessage="0" showErrorMessage="0" allowBlank="0" type="list">
      <formula1>"Duration,Fixed,Recover,Safety"</formula1>
    </dataValidation>
    <dataValidation sqref="F41:J41" showDropDown="0" showInputMessage="0" showErrorMessage="0" allowBlank="0" type="list">
      <formula1>"TRUE,FALSE"</formula1>
    </dataValidation>
    <dataValidation sqref="D43" showDropDown="0" showInputMessage="0" showErrorMessage="0" allowBlank="0" type="list">
      <formula1>"All,Nation State,Cybercriminal,Malicious Insider"</formula1>
    </dataValidation>
    <dataValidation sqref="E43" showDropDown="0" showInputMessage="0" showErrorMessage="0" allowBlank="0" type="list">
      <formula1>"Duration,Fixed,Recover,Safety"</formula1>
    </dataValidation>
    <dataValidation sqref="F43:J43" showDropDown="0" showInputMessage="0" showErrorMessage="0" allowBlank="0" type="list">
      <formula1>"TRUE,FALSE"</formula1>
    </dataValidation>
    <dataValidation sqref="D44" showDropDown="0" showInputMessage="0" showErrorMessage="0" allowBlank="0" type="list">
      <formula1>"All,Nation State,Cybercriminal,Malicious Insider"</formula1>
    </dataValidation>
    <dataValidation sqref="E44" showDropDown="0" showInputMessage="0" showErrorMessage="0" allowBlank="0" type="list">
      <formula1>"Duration,Fixed,Recover,Safety"</formula1>
    </dataValidation>
    <dataValidation sqref="F44:J44" showDropDown="0" showInputMessage="0" showErrorMessage="0" allowBlank="0" type="list">
      <formula1>"TRUE,FALSE"</formula1>
    </dataValidation>
    <dataValidation sqref="D46" showDropDown="0" showInputMessage="0" showErrorMessage="0" allowBlank="0" type="list">
      <formula1>"All,Nation State,Cybercriminal,Malicious Insider"</formula1>
    </dataValidation>
    <dataValidation sqref="E46" showDropDown="0" showInputMessage="0" showErrorMessage="0" allowBlank="0" type="list">
      <formula1>"Duration,Fixed,Recover,Safety"</formula1>
    </dataValidation>
    <dataValidation sqref="F46:J46" showDropDown="0" showInputMessage="0" showErrorMessage="0" allowBlank="0" type="list">
      <formula1>"TRUE,FALSE"</formula1>
    </dataValidation>
    <dataValidation sqref="D47" showDropDown="0" showInputMessage="0" showErrorMessage="0" allowBlank="0" type="list">
      <formula1>"All,Nation State,Cybercriminal,Malicious Insider"</formula1>
    </dataValidation>
    <dataValidation sqref="E47" showDropDown="0" showInputMessage="0" showErrorMessage="0" allowBlank="0" type="list">
      <formula1>"Duration,Fixed,Recover,Safety"</formula1>
    </dataValidation>
    <dataValidation sqref="F47:J47" showDropDown="0" showInputMessage="0" showErrorMessage="0" allowBlank="0" type="list">
      <formula1>"TRUE,FALSE"</formula1>
    </dataValidation>
    <dataValidation sqref="D49" showDropDown="0" showInputMessage="0" showErrorMessage="0" allowBlank="0" type="list">
      <formula1>"All,Nation State,Cybercriminal,Malicious Insider"</formula1>
    </dataValidation>
    <dataValidation sqref="E49" showDropDown="0" showInputMessage="0" showErrorMessage="0" allowBlank="0" type="list">
      <formula1>"Duration,Fixed,Recover,Safety"</formula1>
    </dataValidation>
    <dataValidation sqref="F49:J49" showDropDown="0" showInputMessage="0" showErrorMessage="0" allowBlank="0" type="list">
      <formula1>"TRUE,FALSE"</formula1>
    </dataValidation>
    <dataValidation sqref="D50" showDropDown="0" showInputMessage="0" showErrorMessage="0" allowBlank="0" type="list">
      <formula1>"All,Nation State,Cybercriminal,Malicious Insider"</formula1>
    </dataValidation>
    <dataValidation sqref="E50" showDropDown="0" showInputMessage="0" showErrorMessage="0" allowBlank="0" type="list">
      <formula1>"Duration,Fixed,Recover,Safety"</formula1>
    </dataValidation>
    <dataValidation sqref="F50:J50" showDropDown="0" showInputMessage="0" showErrorMessage="0" allowBlank="0" type="list">
      <formula1>"TRUE,FALSE"</formula1>
    </dataValidation>
    <dataValidation sqref="D51" showDropDown="0" showInputMessage="0" showErrorMessage="0" allowBlank="0" type="list">
      <formula1>"All,Nation State,Cybercriminal,Malicious Insider"</formula1>
    </dataValidation>
    <dataValidation sqref="E51" showDropDown="0" showInputMessage="0" showErrorMessage="0" allowBlank="0" type="list">
      <formula1>"Duration,Fixed,Recover,Safety"</formula1>
    </dataValidation>
    <dataValidation sqref="F51:J51" showDropDown="0" showInputMessage="0" showErrorMessage="0" allowBlank="0" type="list">
      <formula1>"TRUE,FALSE"</formula1>
    </dataValidation>
    <dataValidation sqref="D53" showDropDown="0" showInputMessage="0" showErrorMessage="0" allowBlank="0" type="list">
      <formula1>"All,Nation State,Cybercriminal,Malicious Insider"</formula1>
    </dataValidation>
    <dataValidation sqref="E53" showDropDown="0" showInputMessage="0" showErrorMessage="0" allowBlank="0" type="list">
      <formula1>"Duration,Fixed,Recover,Safety"</formula1>
    </dataValidation>
    <dataValidation sqref="F53:J53" showDropDown="0" showInputMessage="0" showErrorMessage="0" allowBlank="0" type="list">
      <formula1>"TRUE,FALSE"</formula1>
    </dataValidation>
    <dataValidation sqref="B58:C62" showDropDown="0" showInputMessage="0" showErrorMessage="0" allowBlank="0" type="decimal" operator="greaterThanOrEqual">
      <formula1>0</formula1>
    </dataValidation>
    <dataValidation sqref="D58:E62" showDropDown="0" showInputMessage="0" showErrorMessage="0" allowBlank="0" type="decimal" operator="between">
      <formula1>0</formula1>
      <formula2>1</formula2>
    </dataValidation>
  </dataValidations>
  <pageMargins left="0.7" right="0.7" top="0.75" bottom="0.75" header="0.3" footer="0.3"/>
</worksheet>
</file>

<file path=xl/worksheets/sheet29.xml><?xml version="1.0" encoding="utf-8"?>
<worksheet xmlns="http://schemas.openxmlformats.org/spreadsheetml/2006/main">
  <sheetPr>
    <tabColor rgb="007030A0"/>
    <outlinePr summaryBelow="1" summaryRight="1"/>
    <pageSetUpPr/>
  </sheetPr>
  <dimension ref="A1:J90"/>
  <sheetViews>
    <sheetView showGridLines="1" workbookViewId="0">
      <selection activeCell="A1" sqref="A1"/>
    </sheetView>
  </sheetViews>
  <sheetFormatPr baseColWidth="8" defaultColWidth="8.6796875" defaultRowHeight="15"/>
  <cols>
    <col width="31" customWidth="1" style="972" min="1" max="1"/>
    <col width="27" customWidth="1" style="972" min="2" max="2"/>
    <col width="24" customWidth="1" style="508" min="3" max="3"/>
    <col width="19" customWidth="1" style="508" min="4" max="4"/>
    <col width="19" customWidth="1" style="972" min="5" max="5"/>
    <col width="28" customWidth="1" style="972" min="6" max="6"/>
    <col width="28" customWidth="1" style="972" min="7" max="7"/>
    <col width="19" customWidth="1" style="972" min="8" max="8"/>
    <col width="34" customWidth="1" style="972" min="9" max="9"/>
    <col width="34" customWidth="1" style="972" min="10" max="10"/>
  </cols>
  <sheetData>
    <row r="1" ht="21.75" customHeight="1" s="508">
      <c r="A1" s="445" t="inlineStr">
        <is>
          <t>06 — Frequency, Threat &amp; Simulation Assumptions</t>
        </is>
      </c>
    </row>
    <row r="2" ht="37.5" customHeight="1" s="508">
      <c r="A2" s="402" t="inlineStr">
        <is>
          <t>Purpose: Provide the likelihood calibration layer: reference campaign arrival, explicit prudence, actor mix, scenario propensity, actor capability, facility exposure, sector/asset and geography modifiers.</t>
        </is>
      </c>
    </row>
    <row r="3" ht="37.5" customHeight="1" s="508">
      <c r="A3" s="1031">
        <f>IF('00 COMMON - Run Setup'!C6="OT","FILL this sheet — OT assessment.","Not used for this run. Complete the IT assessment section only.")</f>
        <v/>
      </c>
    </row>
    <row r="4" ht="21.75" customHeight="1" s="508">
      <c r="A4" s="446" t="inlineStr">
        <is>
          <t>Assessment adjustments only. Effective λ = Core reference × sector-pack actor multiplier × asset-type overlay × facility exposure × geography × client actor activity × prudence. Do not edit pack multipliers here.</t>
        </is>
      </c>
    </row>
    <row r="5" ht="21.75" customHeight="1" s="508">
      <c r="A5" s="405" t="inlineStr">
        <is>
          <t>Inputs / upstream sources</t>
        </is>
      </c>
    </row>
    <row r="6" ht="30" customHeight="1" s="508">
      <c r="A6" s="406" t="inlineStr">
        <is>
          <t>Internal incidents/threat intelligence, sector/region evidence, red-team/BAS evidence and expert elicitation. Current values are working priors unless stated otherwise.</t>
        </is>
      </c>
    </row>
    <row r="7" ht="30" customHeight="1" s="508">
      <c r="A7" s="405" t="inlineStr">
        <is>
          <t>Calculation / decision logic</t>
        </is>
      </c>
    </row>
    <row r="8" ht="30" customHeight="1" s="508">
      <c r="A8" s="406" t="inlineStr">
        <is>
          <t>Best-estimate λ = 0.55 reference campaigns/facility-year × Facility Exposure × Σ(Actor Share × Threat Activity × Sector × Asset Type × Geography). Asset Type is governed on 28 and must be applied exactly once by the compatible engine.</t>
        </is>
      </c>
    </row>
    <row r="9" ht="30" customHeight="1" s="508">
      <c r="A9" s="405" t="inlineStr">
        <is>
          <t>Key assumptions / defaults</t>
        </is>
      </c>
    </row>
    <row r="10" ht="30" customHeight="1" s="508">
      <c r="A10" s="406" t="inlineStr">
        <is>
          <t>The 0.55 rate remains the Power Generation reference working prior. V1.8 adds evidence-informed, explicitly governed sector actor multipliers for Energy Assets and Manufacturing. These are structured relative priors — not empirical facility-year rates — because public threat datasets lack a compatible denominator. Prudence remains a separate frequency-only overlay.</t>
        </is>
      </c>
    </row>
    <row r="11" ht="30" customHeight="1" s="508">
      <c r="A11" s="405" t="inlineStr">
        <is>
          <t>Outputs / downstream use</t>
        </is>
      </c>
    </row>
    <row r="12" ht="30" customHeight="1" s="508">
      <c r="A12" s="406" t="inlineStr">
        <is>
          <t>Feeds 15 Attack Path Calc, 16 Threat and Loss Frequency and the Monte Carlo engine.</t>
        </is>
      </c>
    </row>
    <row r="13" ht="30" customHeight="1" s="508">
      <c r="A13" s="407" t="inlineStr">
        <is>
          <t>Workbook convention: yellow cells / blue font are editable inputs or calibration assumptions; engine-output cells are not manually editable.</t>
        </is>
      </c>
    </row>
    <row r="15" ht="15" customHeight="1" s="508">
      <c r="A15" s="408" t="inlineStr">
        <is>
          <t>Parameter</t>
        </is>
      </c>
      <c r="B15" s="408" t="inlineStr">
        <is>
          <t>Parameter type</t>
        </is>
      </c>
      <c r="C15" s="408" t="inlineStr">
        <is>
          <t>Low</t>
        </is>
      </c>
      <c r="D15" s="408" t="inlineStr">
        <is>
          <t>Base</t>
        </is>
      </c>
      <c r="E15" s="408" t="inlineStr">
        <is>
          <t>High</t>
        </is>
      </c>
      <c r="F15" s="408" t="inlineStr">
        <is>
          <t>Unit</t>
        </is>
      </c>
      <c r="G15" s="408" t="inlineStr">
        <is>
          <t>Basis / evidence</t>
        </is>
      </c>
      <c r="H15" s="408" t="inlineStr">
        <is>
          <t>How used</t>
        </is>
      </c>
      <c r="I15" s="406" t="n"/>
      <c r="J15" s="406" t="n"/>
    </row>
    <row r="16" ht="41.25" customHeight="1" s="508">
      <c r="A16" s="406" t="inlineStr">
        <is>
          <t>REFERENCE_CAMPAIGNS_PER_YEAR</t>
        </is>
      </c>
      <c r="B16" s="406" t="inlineStr">
        <is>
          <t>Calibration parameter</t>
        </is>
      </c>
      <c r="C16" s="416" t="n"/>
      <c r="D16" s="179" t="n">
        <v>0.55</v>
      </c>
      <c r="E16" s="416" t="n"/>
      <c r="F16" s="406" t="inlineStr">
        <is>
          <t>campaigns/facility-year</t>
        </is>
      </c>
      <c r="G16" s="406" t="inlineStr">
        <is>
          <t>Centrally governed working prior; external sources observe outcomes, not attempted material campaigns</t>
        </is>
      </c>
      <c r="H16" s="406" t="inlineStr">
        <is>
          <t>Best-estimate arrival-rate anchor before facility and actor-intensity modifiers.</t>
        </is>
      </c>
      <c r="I16" s="406" t="n"/>
      <c r="J16" s="406" t="n"/>
    </row>
    <row r="17" ht="27.75" customHeight="1" s="508">
      <c r="A17" s="406" t="inlineStr">
        <is>
          <t>PRUDENCE_FACTOR</t>
        </is>
      </c>
      <c r="B17" s="406" t="inlineStr">
        <is>
          <t>User override</t>
        </is>
      </c>
      <c r="C17" s="416" t="n"/>
      <c r="D17" s="180" t="n">
        <v>1.5</v>
      </c>
      <c r="E17" s="416" t="n"/>
      <c r="F17" s="406" t="inlineStr">
        <is>
          <t>multiplier</t>
        </is>
      </c>
      <c r="G17" s="406" t="inlineStr">
        <is>
          <t>Agreed risk-appetite overlay; default 1.50×; no upper cap</t>
        </is>
      </c>
      <c r="H17" s="406" t="inlineStr">
        <is>
          <t>Applied only to best-estimate λ to produce the Prudent view.</t>
        </is>
      </c>
      <c r="I17" s="406" t="n"/>
      <c r="J17" s="406" t="n"/>
    </row>
    <row r="18" ht="27.75" customHeight="1" s="508">
      <c r="A18" s="406" t="inlineStr">
        <is>
          <t>REPORTING_VIEW</t>
        </is>
      </c>
      <c r="B18" s="406" t="inlineStr">
        <is>
          <t>Reporting selector</t>
        </is>
      </c>
      <c r="C18" s="416" t="n"/>
      <c r="D18" s="181" t="inlineStr">
        <is>
          <t>Both</t>
        </is>
      </c>
      <c r="E18" s="416" t="n"/>
      <c r="F18" s="406" t="inlineStr">
        <is>
          <t>selection</t>
        </is>
      </c>
      <c r="G18" s="406" t="inlineStr">
        <is>
          <t>User selection</t>
        </is>
      </c>
      <c r="H18" s="406" t="inlineStr">
        <is>
          <t>Best Estimate, Prudent or Both. When Both is selected, detailed sheets use Prudent and comparison sheets show both.</t>
        </is>
      </c>
      <c r="I18" s="406" t="n"/>
      <c r="J18" s="406" t="n"/>
    </row>
    <row r="19" ht="27.75" customHeight="1" s="508">
      <c r="A19" s="406" t="inlineStr">
        <is>
          <t>SIMULATIONS</t>
        </is>
      </c>
      <c r="B19" s="406" t="inlineStr">
        <is>
          <t>Computational setting</t>
        </is>
      </c>
      <c r="C19" s="416" t="n"/>
      <c r="D19" s="182" t="n">
        <v>500000</v>
      </c>
      <c r="E19" s="416" t="n"/>
      <c r="F19" s="406" t="inlineStr">
        <is>
          <t>facility-years</t>
        </is>
      </c>
      <c r="G19" s="406" t="inlineStr">
        <is>
          <t>Required model setting</t>
        </is>
      </c>
      <c r="H19" s="406" t="inlineStr">
        <is>
          <t>Simulation years per view and per control what-if. Required value is 500,000.</t>
        </is>
      </c>
      <c r="I19" s="406" t="n"/>
      <c r="J19" s="406" t="n"/>
    </row>
    <row r="20" ht="15" customHeight="1" s="508">
      <c r="A20" s="406" t="inlineStr">
        <is>
          <t>RANDOM_SEED</t>
        </is>
      </c>
      <c r="B20" s="406" t="inlineStr">
        <is>
          <t>Computational setting</t>
        </is>
      </c>
      <c r="C20" s="416" t="n"/>
      <c r="D20" s="182" t="n">
        <v>20260813</v>
      </c>
      <c r="E20" s="416" t="n"/>
      <c r="F20" s="406" t="inlineStr">
        <is>
          <t>seed</t>
        </is>
      </c>
      <c r="G20" s="406" t="inlineStr">
        <is>
          <t>Reproducibility setting</t>
        </is>
      </c>
      <c r="H20" s="406" t="inlineStr">
        <is>
          <t>Fixed seed enables common-random-number comparisons within each view.</t>
        </is>
      </c>
      <c r="I20" s="406" t="n"/>
      <c r="J20" s="406" t="n"/>
    </row>
    <row r="21" ht="27.75" customHeight="1" s="508">
      <c r="A21" s="406" t="n"/>
      <c r="B21" s="406" t="n"/>
      <c r="C21" s="416" t="n"/>
      <c r="D21" s="416" t="n"/>
      <c r="E21" s="416" t="n"/>
      <c r="F21" s="406" t="n"/>
      <c r="G21" s="406" t="n"/>
      <c r="H21" s="406" t="n"/>
      <c r="I21" s="406" t="n"/>
      <c r="J21" s="406" t="n"/>
    </row>
    <row r="22" ht="15" customHeight="1" s="508">
      <c r="A22" s="406" t="n"/>
      <c r="B22" s="406" t="n"/>
      <c r="C22" s="406" t="n"/>
      <c r="D22" s="406" t="n"/>
      <c r="E22" s="406" t="n"/>
      <c r="F22" s="406" t="n"/>
      <c r="G22" s="406" t="n"/>
      <c r="H22" s="406" t="n"/>
      <c r="I22" s="406" t="n"/>
      <c r="J22" s="406" t="n"/>
    </row>
    <row r="23" ht="15" customHeight="1" s="508">
      <c r="A23" s="406" t="n"/>
      <c r="B23" s="406" t="n"/>
      <c r="C23" s="406" t="n"/>
      <c r="D23" s="406" t="n"/>
      <c r="E23" s="406" t="n"/>
      <c r="F23" s="406" t="n"/>
      <c r="G23" s="406" t="n"/>
      <c r="H23" s="406" t="n"/>
      <c r="I23" s="406" t="n"/>
      <c r="J23" s="406" t="n"/>
    </row>
    <row r="24" ht="15" customHeight="1" s="508">
      <c r="A24" s="406" t="n"/>
      <c r="B24" s="406" t="n"/>
      <c r="C24" s="406" t="n"/>
      <c r="D24" s="406" t="n"/>
      <c r="E24" s="406" t="n"/>
      <c r="F24" s="406" t="n"/>
      <c r="G24" s="406" t="n"/>
      <c r="H24" s="406" t="n"/>
      <c r="I24" s="406" t="n"/>
      <c r="J24" s="406" t="n"/>
    </row>
    <row r="25" ht="21.75" customHeight="1" s="508">
      <c r="A25" s="447" t="inlineStr">
        <is>
          <t>Threat actor</t>
        </is>
      </c>
      <c r="B25" s="447" t="inlineStr">
        <is>
          <t>Campaign share</t>
        </is>
      </c>
      <c r="C25" s="447" t="inlineStr">
        <is>
          <t>Threat activity multiplier (advanced)</t>
        </is>
      </c>
      <c r="D25" s="447" t="inlineStr">
        <is>
          <t>S1</t>
        </is>
      </c>
      <c r="E25" s="447" t="inlineStr">
        <is>
          <t>S2</t>
        </is>
      </c>
      <c r="F25" s="447" t="inlineStr">
        <is>
          <t>S3</t>
        </is>
      </c>
      <c r="G25" s="447" t="inlineStr">
        <is>
          <t>S4</t>
        </is>
      </c>
      <c r="H25" s="447" t="inlineStr">
        <is>
          <t>S5 capability</t>
        </is>
      </c>
      <c r="I25" s="447" t="inlineStr">
        <is>
          <t>Calibration status</t>
        </is>
      </c>
      <c r="J25" s="447" t="inlineStr">
        <is>
          <t>How used</t>
        </is>
      </c>
    </row>
    <row r="26" ht="15" customHeight="1" s="508">
      <c r="A26" s="406" t="n"/>
      <c r="B26" s="406" t="n"/>
      <c r="C26" s="406" t="n"/>
      <c r="D26" s="406" t="n"/>
      <c r="E26" s="406" t="n"/>
      <c r="F26" s="406" t="n"/>
      <c r="G26" s="406" t="n"/>
      <c r="H26" s="406" t="n"/>
      <c r="I26" s="406" t="n"/>
      <c r="J26" s="406" t="n"/>
    </row>
    <row r="27" ht="41.25" customHeight="1" s="508">
      <c r="A27" s="406" t="inlineStr">
        <is>
          <t>Nation State</t>
        </is>
      </c>
      <c r="B27" s="417" t="n">
        <v>0.2</v>
      </c>
      <c r="C27" s="416" t="n">
        <v>1</v>
      </c>
      <c r="D27" s="417" t="n">
        <v>0.8</v>
      </c>
      <c r="E27" s="417" t="n">
        <v>0.85</v>
      </c>
      <c r="F27" s="417" t="n">
        <v>0.7</v>
      </c>
      <c r="G27" s="417" t="n">
        <v>0.75</v>
      </c>
      <c r="H27" s="417" t="n">
        <v>0.85</v>
      </c>
      <c r="I27" s="406" t="inlineStr">
        <is>
          <t>Benchmark-informed actor allocation prior</t>
        </is>
      </c>
      <c r="J27" s="406" t="inlineStr">
        <is>
          <t>Share allocates campaigns; threat activity remains 1.00 unless a dated intelligence overlay is approved. S1–S4 and S5 are structured expert priors.</t>
        </is>
      </c>
    </row>
    <row r="28" ht="27.75" customHeight="1" s="508">
      <c r="A28" s="406" t="inlineStr">
        <is>
          <t>Cybercriminal</t>
        </is>
      </c>
      <c r="B28" s="417" t="n">
        <v>0.75</v>
      </c>
      <c r="C28" s="416" t="n">
        <v>1</v>
      </c>
      <c r="D28" s="417" t="n">
        <v>0.8</v>
      </c>
      <c r="E28" s="417" t="n">
        <v>0.8</v>
      </c>
      <c r="F28" s="417" t="n">
        <v>0.65</v>
      </c>
      <c r="G28" s="417" t="n">
        <v>0.65</v>
      </c>
      <c r="H28" s="417" t="n">
        <v>0.65</v>
      </c>
      <c r="I28" s="406" t="inlineStr">
        <is>
          <t>Benchmark-informed actor allocation prior</t>
        </is>
      </c>
      <c r="J28" s="406" t="inlineStr">
        <is>
          <t>Cybercriminal dominance is directionally supported by OT ransomware evidence; deep-OT capability remains expert judgement.</t>
        </is>
      </c>
    </row>
    <row r="29" ht="15" customHeight="1" s="508">
      <c r="A29" s="406" t="inlineStr">
        <is>
          <t>Malicious Insider</t>
        </is>
      </c>
      <c r="B29" s="417" t="n">
        <v>0.05</v>
      </c>
      <c r="C29" s="416" t="n">
        <v>1</v>
      </c>
      <c r="D29" s="417" t="inlineStr">
        <is>
          <t>Not used</t>
        </is>
      </c>
      <c r="E29" s="417" t="n">
        <v>0.9</v>
      </c>
      <c r="F29" s="417" t="n">
        <v>0.8</v>
      </c>
      <c r="G29" s="417" t="n">
        <v>0.75</v>
      </c>
      <c r="H29" s="417" t="n">
        <v>0.75</v>
      </c>
      <c r="I29" s="406" t="inlineStr">
        <is>
          <t>Structured expert prior</t>
        </is>
      </c>
      <c r="J29" s="406" t="inlineStr">
        <is>
          <t>The malicious-insider share is not supported by a direct OT denominator. S1 is bypassed and therefore not used.</t>
        </is>
      </c>
    </row>
    <row r="30" ht="15" customHeight="1" s="508">
      <c r="A30" s="406" t="n"/>
      <c r="B30" s="406" t="n"/>
      <c r="C30" s="406" t="n"/>
      <c r="D30" s="406" t="n"/>
      <c r="E30" s="406" t="n"/>
      <c r="F30" s="406" t="n"/>
      <c r="G30" s="406" t="n"/>
      <c r="H30" s="406" t="n"/>
      <c r="I30" s="406" t="n"/>
      <c r="J30" s="406" t="n"/>
    </row>
    <row r="31" ht="15" customHeight="1" s="508">
      <c r="A31" s="406" t="n"/>
      <c r="B31" s="406" t="n"/>
      <c r="C31" s="406" t="n"/>
      <c r="D31" s="406" t="n"/>
      <c r="E31" s="406" t="n"/>
      <c r="F31" s="406" t="n"/>
      <c r="G31" s="406" t="n"/>
      <c r="H31" s="406" t="n"/>
      <c r="I31" s="406" t="n"/>
      <c r="J31" s="406" t="n"/>
    </row>
    <row r="32" ht="15" customHeight="1" s="508">
      <c r="A32" s="406" t="n"/>
      <c r="B32" s="406" t="n"/>
      <c r="C32" s="406" t="n"/>
      <c r="D32" s="406" t="n"/>
      <c r="E32" s="406" t="n"/>
      <c r="F32" s="406" t="n"/>
      <c r="G32" s="406" t="n"/>
      <c r="H32" s="406" t="n"/>
      <c r="I32" s="406" t="n"/>
      <c r="J32" s="406" t="n"/>
    </row>
    <row r="33" ht="21.75" customHeight="1" s="508">
      <c r="A33" s="447" t="inlineStr">
        <is>
          <t>Threat actor</t>
        </is>
      </c>
      <c r="B33" s="447" t="inlineStr">
        <is>
          <t>Operational Disruption</t>
        </is>
      </c>
      <c r="C33" s="447" t="inlineStr">
        <is>
          <t>Loss of Control or Visibility</t>
        </is>
      </c>
      <c r="D33" s="447" t="inlineStr">
        <is>
          <t>Process Manipulation</t>
        </is>
      </c>
      <c r="E33" s="447" t="inlineStr">
        <is>
          <t>Safety System Compromise</t>
        </is>
      </c>
      <c r="F33" s="447" t="inlineStr">
        <is>
          <t>Destructive or Integrity Attack</t>
        </is>
      </c>
      <c r="G33" s="447" t="inlineStr">
        <is>
          <t>Row sum</t>
        </is>
      </c>
      <c r="H33" s="406" t="n"/>
      <c r="I33" s="406" t="n"/>
      <c r="J33" s="406" t="n"/>
    </row>
    <row r="34" ht="15" customHeight="1" s="508">
      <c r="A34" s="406" t="n"/>
      <c r="B34" s="406" t="n"/>
      <c r="C34" s="406" t="n"/>
      <c r="D34" s="406" t="n"/>
      <c r="E34" s="406" t="n"/>
      <c r="F34" s="406" t="n"/>
      <c r="G34" s="406" t="n"/>
      <c r="H34" s="406" t="n"/>
      <c r="I34" s="406" t="n"/>
      <c r="J34" s="406" t="n"/>
    </row>
    <row r="35" ht="15" customHeight="1" s="508">
      <c r="A35" s="406" t="inlineStr">
        <is>
          <t>Nation State</t>
        </is>
      </c>
      <c r="B35" s="417" t="n">
        <v>0.25</v>
      </c>
      <c r="C35" s="417" t="n">
        <v>0.15</v>
      </c>
      <c r="D35" s="417" t="n">
        <v>0.25</v>
      </c>
      <c r="E35" s="417" t="n">
        <v>0.15</v>
      </c>
      <c r="F35" s="417" t="n">
        <v>0.2</v>
      </c>
      <c r="G35" s="444">
        <f>SUM(B35:F35)</f>
        <v/>
      </c>
      <c r="H35" s="406" t="n"/>
      <c r="I35" s="406" t="n"/>
      <c r="J35" s="406" t="n"/>
    </row>
    <row r="36" ht="15" customHeight="1" s="508">
      <c r="A36" s="406" t="inlineStr">
        <is>
          <t>Cybercriminal</t>
        </is>
      </c>
      <c r="B36" s="417" t="n">
        <v>0.7</v>
      </c>
      <c r="C36" s="417" t="n">
        <v>0.1</v>
      </c>
      <c r="D36" s="417" t="n">
        <v>0.05</v>
      </c>
      <c r="E36" s="417" t="n">
        <v>0.02</v>
      </c>
      <c r="F36" s="417" t="n">
        <v>0.13</v>
      </c>
      <c r="G36" s="444">
        <f>SUM(B36:F36)</f>
        <v/>
      </c>
      <c r="H36" s="406" t="n"/>
      <c r="I36" s="406" t="n"/>
      <c r="J36" s="406" t="n"/>
    </row>
    <row r="37" ht="15" customHeight="1" s="508">
      <c r="A37" s="406" t="inlineStr">
        <is>
          <t>Malicious Insider</t>
        </is>
      </c>
      <c r="B37" s="417" t="n">
        <v>0.3</v>
      </c>
      <c r="C37" s="417" t="n">
        <v>0.15</v>
      </c>
      <c r="D37" s="417" t="n">
        <v>0.2</v>
      </c>
      <c r="E37" s="417" t="n">
        <v>0.1</v>
      </c>
      <c r="F37" s="417" t="n">
        <v>0.25</v>
      </c>
      <c r="G37" s="444">
        <f>SUM(B37:F37)</f>
        <v/>
      </c>
      <c r="H37" s="406" t="n"/>
      <c r="I37" s="406" t="n"/>
      <c r="J37" s="406" t="n"/>
    </row>
    <row r="38" ht="15" customHeight="1" s="508">
      <c r="A38" s="406" t="n"/>
      <c r="B38" s="406" t="n"/>
      <c r="C38" s="406" t="n"/>
      <c r="D38" s="406" t="n"/>
      <c r="E38" s="406" t="n"/>
      <c r="F38" s="406" t="n"/>
      <c r="G38" s="406" t="n"/>
      <c r="H38" s="406" t="n"/>
      <c r="I38" s="406" t="n"/>
      <c r="J38" s="406" t="n"/>
    </row>
    <row r="39" ht="15" customHeight="1" s="508">
      <c r="A39" s="406" t="n"/>
      <c r="B39" s="406" t="n"/>
      <c r="C39" s="406" t="n"/>
      <c r="D39" s="406" t="n"/>
      <c r="E39" s="406" t="n"/>
      <c r="F39" s="406" t="n"/>
      <c r="G39" s="406" t="n"/>
      <c r="H39" s="406" t="n"/>
      <c r="I39" s="406" t="n"/>
      <c r="J39" s="406" t="n"/>
    </row>
    <row r="40" ht="15" customHeight="1" s="508">
      <c r="A40" s="406" t="n"/>
      <c r="B40" s="406" t="n"/>
      <c r="C40" s="406" t="n"/>
      <c r="D40" s="406" t="n"/>
      <c r="E40" s="406" t="n"/>
      <c r="F40" s="406" t="n"/>
      <c r="G40" s="406" t="n"/>
      <c r="H40" s="406" t="n"/>
      <c r="I40" s="406" t="n"/>
      <c r="J40" s="406" t="n"/>
    </row>
    <row r="41" ht="15" customHeight="1" s="508">
      <c r="A41" s="447" t="inlineStr">
        <is>
          <t>Scenario</t>
        </is>
      </c>
      <c r="B41" s="447" t="inlineStr">
        <is>
          <t>Relative outcome achievability multiplier</t>
        </is>
      </c>
      <c r="C41" s="447" t="inlineStr">
        <is>
          <t>Parameter type</t>
        </is>
      </c>
      <c r="D41" s="447" t="inlineStr">
        <is>
          <t>Basis</t>
        </is>
      </c>
      <c r="E41" s="447" t="inlineStr">
        <is>
          <t>How used</t>
        </is>
      </c>
      <c r="F41" s="406" t="n"/>
      <c r="G41" s="406" t="n"/>
      <c r="H41" s="406" t="n"/>
      <c r="I41" s="406" t="n"/>
      <c r="J41" s="406" t="n"/>
    </row>
    <row r="42" ht="15" customHeight="1" s="508">
      <c r="A42" s="406" t="n"/>
      <c r="B42" s="406" t="n"/>
      <c r="C42" s="406" t="n"/>
      <c r="D42" s="406" t="n"/>
      <c r="E42" s="406" t="n"/>
      <c r="F42" s="406" t="n"/>
      <c r="G42" s="406" t="n"/>
      <c r="H42" s="406" t="n"/>
      <c r="I42" s="406" t="n"/>
      <c r="J42" s="406" t="n"/>
    </row>
    <row r="43" ht="27.75" customHeight="1" s="508">
      <c r="A43" s="406" t="inlineStr">
        <is>
          <t>Operational Disruption</t>
        </is>
      </c>
      <c r="B43" s="417" t="n">
        <v>0.95</v>
      </c>
      <c r="C43" s="406" t="inlineStr">
        <is>
          <t>Structured expert prior</t>
        </is>
      </c>
      <c r="D43" s="406" t="inlineStr">
        <is>
          <t>Ordering directionally supported; exact magnitude not empirically estimated</t>
        </is>
      </c>
      <c r="E43" s="406" t="inlineStr">
        <is>
          <t>Multiplies actor S5 capability; centrally governed.</t>
        </is>
      </c>
      <c r="F43" s="406" t="n"/>
      <c r="G43" s="406" t="n"/>
      <c r="H43" s="406" t="n"/>
      <c r="I43" s="406" t="n"/>
      <c r="J43" s="406" t="n"/>
    </row>
    <row r="44" ht="27.75" customHeight="1" s="508">
      <c r="A44" s="406" t="inlineStr">
        <is>
          <t>Loss of Control or Visibility</t>
        </is>
      </c>
      <c r="B44" s="417" t="n">
        <v>0.85</v>
      </c>
      <c r="C44" s="406" t="inlineStr">
        <is>
          <t>Structured expert prior</t>
        </is>
      </c>
      <c r="D44" s="406" t="inlineStr">
        <is>
          <t>Ordering directionally supported; exact magnitude not empirically estimated</t>
        </is>
      </c>
      <c r="E44" s="406" t="inlineStr">
        <is>
          <t>Multiplies actor S5 capability; centrally governed.</t>
        </is>
      </c>
      <c r="F44" s="406" t="n"/>
      <c r="G44" s="406" t="n"/>
      <c r="H44" s="406" t="n"/>
      <c r="I44" s="406" t="n"/>
      <c r="J44" s="406" t="n"/>
    </row>
    <row r="45" ht="27.75" customHeight="1" s="508">
      <c r="A45" s="406" t="inlineStr">
        <is>
          <t>Process Manipulation</t>
        </is>
      </c>
      <c r="B45" s="417" t="n">
        <v>0.7</v>
      </c>
      <c r="C45" s="406" t="inlineStr">
        <is>
          <t>Structured expert prior</t>
        </is>
      </c>
      <c r="D45" s="406" t="inlineStr">
        <is>
          <t>Ordering directionally supported; exact magnitude not empirically estimated</t>
        </is>
      </c>
      <c r="E45" s="406" t="inlineStr">
        <is>
          <t>Multiplies actor S5 capability; centrally governed.</t>
        </is>
      </c>
      <c r="F45" s="406" t="n"/>
      <c r="G45" s="406" t="n"/>
      <c r="H45" s="406" t="n"/>
      <c r="I45" s="406" t="n"/>
      <c r="J45" s="406" t="n"/>
    </row>
    <row r="46" ht="27.75" customHeight="1" s="508">
      <c r="A46" s="406" t="inlineStr">
        <is>
          <t>Safety System Compromise</t>
        </is>
      </c>
      <c r="B46" s="417" t="n">
        <v>0.55</v>
      </c>
      <c r="C46" s="406" t="inlineStr">
        <is>
          <t>Structured expert prior</t>
        </is>
      </c>
      <c r="D46" s="406" t="inlineStr">
        <is>
          <t>Ordering directionally supported; exact magnitude not empirically estimated</t>
        </is>
      </c>
      <c r="E46" s="406" t="inlineStr">
        <is>
          <t>Multiplies actor S5 capability; centrally governed.</t>
        </is>
      </c>
      <c r="F46" s="406" t="n"/>
      <c r="G46" s="406" t="n"/>
      <c r="H46" s="406" t="n"/>
      <c r="I46" s="406" t="n"/>
      <c r="J46" s="406" t="n"/>
    </row>
    <row r="47" ht="27.75" customHeight="1" s="508">
      <c r="A47" s="406" t="inlineStr">
        <is>
          <t>Destructive or Integrity Attack</t>
        </is>
      </c>
      <c r="B47" s="417" t="n">
        <v>0.6</v>
      </c>
      <c r="C47" s="406" t="inlineStr">
        <is>
          <t>Structured expert prior</t>
        </is>
      </c>
      <c r="D47" s="406" t="inlineStr">
        <is>
          <t>Ordering directionally supported; exact magnitude not empirically estimated</t>
        </is>
      </c>
      <c r="E47" s="406" t="inlineStr">
        <is>
          <t>Multiplies actor S5 capability; centrally governed.</t>
        </is>
      </c>
      <c r="F47" s="406" t="n"/>
      <c r="G47" s="406" t="n"/>
      <c r="H47" s="406" t="n"/>
      <c r="I47" s="406" t="n"/>
      <c r="J47" s="406" t="n"/>
    </row>
    <row r="48" ht="15" customHeight="1" s="508">
      <c r="A48" s="406" t="n"/>
      <c r="B48" s="406" t="n"/>
      <c r="C48" s="406" t="n"/>
      <c r="D48" s="406" t="n"/>
      <c r="E48" s="406" t="n"/>
      <c r="F48" s="406" t="n"/>
      <c r="G48" s="406" t="n"/>
      <c r="H48" s="406" t="n"/>
      <c r="I48" s="406" t="n"/>
      <c r="J48" s="406" t="n"/>
    </row>
    <row r="49" ht="15" customHeight="1" s="508">
      <c r="A49" s="406" t="n"/>
      <c r="B49" s="406" t="n"/>
      <c r="C49" s="406" t="n"/>
      <c r="D49" s="406" t="n"/>
      <c r="E49" s="406" t="n"/>
      <c r="F49" s="406" t="n"/>
      <c r="G49" s="406" t="n"/>
      <c r="H49" s="406" t="n"/>
      <c r="I49" s="406" t="n"/>
      <c r="J49" s="406" t="n"/>
    </row>
    <row r="50" ht="15" customHeight="1" s="508">
      <c r="A50" s="406" t="n"/>
      <c r="B50" s="406" t="n"/>
      <c r="C50" s="406" t="n"/>
      <c r="D50" s="406" t="n"/>
      <c r="E50" s="406" t="n"/>
      <c r="F50" s="406" t="n"/>
      <c r="G50" s="406" t="n"/>
      <c r="H50" s="406" t="n"/>
      <c r="I50" s="406" t="n"/>
      <c r="J50" s="406" t="n"/>
    </row>
    <row r="51" ht="15" customHeight="1" s="508">
      <c r="A51" s="447" t="inlineStr">
        <is>
          <t>Facility input</t>
        </is>
      </c>
      <c r="B51" s="447" t="inlineStr">
        <is>
          <t>Value option</t>
        </is>
      </c>
      <c r="C51" s="447" t="inlineStr">
        <is>
          <t>Multiplier</t>
        </is>
      </c>
      <c r="D51" s="447" t="inlineStr">
        <is>
          <t>Parameter type</t>
        </is>
      </c>
      <c r="E51" s="447" t="inlineStr">
        <is>
          <t>Status</t>
        </is>
      </c>
      <c r="F51" s="447" t="inlineStr">
        <is>
          <t>Rationale / how used</t>
        </is>
      </c>
      <c r="G51" s="406" t="n"/>
      <c r="H51" s="406" t="n"/>
      <c r="I51" s="406" t="n"/>
      <c r="J51" s="406" t="n"/>
    </row>
    <row r="52" ht="15" customHeight="1" s="508">
      <c r="A52" s="406" t="n"/>
      <c r="B52" s="406" t="n"/>
      <c r="C52" s="406" t="n"/>
      <c r="D52" s="406" t="n"/>
      <c r="E52" s="406" t="n"/>
      <c r="F52" s="406" t="n"/>
      <c r="G52" s="406" t="n"/>
      <c r="H52" s="406" t="n"/>
      <c r="I52" s="406" t="n"/>
      <c r="J52" s="406" t="n"/>
    </row>
    <row r="53" ht="54.75" customHeight="1" s="508">
      <c r="A53" s="406" t="inlineStr">
        <is>
          <t>IT_OT_CONNECTIVITY</t>
        </is>
      </c>
      <c r="B53" s="406" t="inlineStr">
        <is>
          <t>Yes</t>
        </is>
      </c>
      <c r="C53" s="448" t="n">
        <v>1.1</v>
      </c>
      <c r="D53" s="406" t="inlineStr">
        <is>
          <t>Calibration parameter</t>
        </is>
      </c>
      <c r="E53" s="406" t="inlineStr">
        <is>
          <t>Working prior</t>
        </is>
      </c>
      <c r="F53" s="406" t="inlineStr">
        <is>
          <t>Connected enterprise IT increases reachable attack surface.</t>
        </is>
      </c>
      <c r="G53" s="406" t="n"/>
      <c r="H53" s="406" t="n"/>
      <c r="I53" s="406" t="n"/>
      <c r="J53" s="406" t="n"/>
    </row>
    <row r="54" ht="27.75" customHeight="1" s="508">
      <c r="A54" s="406" t="inlineStr">
        <is>
          <t>IT_OT_CONNECTIVITY</t>
        </is>
      </c>
      <c r="B54" s="406" t="inlineStr">
        <is>
          <t>No</t>
        </is>
      </c>
      <c r="C54" s="448" t="n">
        <v>0.9</v>
      </c>
      <c r="D54" s="406" t="inlineStr">
        <is>
          <t>Calibration parameter</t>
        </is>
      </c>
      <c r="E54" s="406" t="inlineStr">
        <is>
          <t>Working prior</t>
        </is>
      </c>
      <c r="F54" s="406" t="inlineStr">
        <is>
          <t>Reduced external attack surface.</t>
        </is>
      </c>
      <c r="G54" s="406" t="n"/>
      <c r="H54" s="406" t="n"/>
      <c r="I54" s="406" t="n"/>
      <c r="J54" s="406" t="n"/>
    </row>
    <row r="55" ht="27.75" customHeight="1" s="508">
      <c r="A55" s="406" t="inlineStr">
        <is>
          <t>REMOTE_ACCESS</t>
        </is>
      </c>
      <c r="B55" s="406" t="inlineStr">
        <is>
          <t>None</t>
        </is>
      </c>
      <c r="C55" s="448" t="n">
        <v>0.85</v>
      </c>
      <c r="D55" s="406" t="inlineStr">
        <is>
          <t>Calibration parameter</t>
        </is>
      </c>
      <c r="E55" s="406" t="inlineStr">
        <is>
          <t>Working prior</t>
        </is>
      </c>
      <c r="F55" s="406" t="inlineStr">
        <is>
          <t>No remote-access route.</t>
        </is>
      </c>
      <c r="G55" s="406" t="n"/>
      <c r="H55" s="406" t="n"/>
      <c r="I55" s="406" t="n"/>
      <c r="J55" s="406" t="n"/>
    </row>
    <row r="56" ht="27.75" customHeight="1" s="508">
      <c r="A56" s="406" t="inlineStr">
        <is>
          <t>REMOTE_ACCESS</t>
        </is>
      </c>
      <c r="B56" s="406" t="inlineStr">
        <is>
          <t>Controlled</t>
        </is>
      </c>
      <c r="C56" s="448" t="n">
        <v>1</v>
      </c>
      <c r="D56" s="406" t="inlineStr">
        <is>
          <t>Calibration parameter</t>
        </is>
      </c>
      <c r="E56" s="406" t="inlineStr">
        <is>
          <t>Reference</t>
        </is>
      </c>
      <c r="F56" s="406" t="inlineStr">
        <is>
          <t>Reference state.</t>
        </is>
      </c>
      <c r="G56" s="406" t="n"/>
      <c r="H56" s="406" t="n"/>
      <c r="I56" s="406" t="n"/>
      <c r="J56" s="406" t="n"/>
    </row>
    <row r="57" ht="54.75" customHeight="1" s="508">
      <c r="A57" s="406" t="inlineStr">
        <is>
          <t>REMOTE_ACCESS</t>
        </is>
      </c>
      <c r="B57" s="406" t="inlineStr">
        <is>
          <t>Uncontrolled</t>
        </is>
      </c>
      <c r="C57" s="448" t="n">
        <v>1.25</v>
      </c>
      <c r="D57" s="406" t="inlineStr">
        <is>
          <t>Calibration parameter</t>
        </is>
      </c>
      <c r="E57" s="406" t="inlineStr">
        <is>
          <t>Working prior</t>
        </is>
      </c>
      <c r="F57" s="406" t="inlineStr">
        <is>
          <t>Weak/uncontrolled remote access increases opportunity.</t>
        </is>
      </c>
      <c r="G57" s="406" t="n"/>
      <c r="H57" s="406" t="n"/>
      <c r="I57" s="406" t="n"/>
      <c r="J57" s="406" t="n"/>
    </row>
    <row r="58" ht="27.75" customHeight="1" s="508">
      <c r="A58" s="406" t="inlineStr">
        <is>
          <t>INTERNET_OT</t>
        </is>
      </c>
      <c r="B58" s="406" t="inlineStr">
        <is>
          <t>No</t>
        </is>
      </c>
      <c r="C58" s="448" t="n">
        <v>1</v>
      </c>
      <c r="D58" s="406" t="inlineStr">
        <is>
          <t>Calibration parameter</t>
        </is>
      </c>
      <c r="E58" s="406" t="inlineStr">
        <is>
          <t>Reference</t>
        </is>
      </c>
      <c r="F58" s="406" t="inlineStr">
        <is>
          <t>Reference state.</t>
        </is>
      </c>
      <c r="G58" s="406" t="n"/>
      <c r="H58" s="406" t="n"/>
      <c r="I58" s="406" t="n"/>
      <c r="J58" s="406" t="n"/>
    </row>
    <row r="59" ht="41.25" customHeight="1" s="508">
      <c r="A59" s="406" t="inlineStr">
        <is>
          <t>INTERNET_OT</t>
        </is>
      </c>
      <c r="B59" s="406" t="inlineStr">
        <is>
          <t>Yes</t>
        </is>
      </c>
      <c r="C59" s="448" t="n">
        <v>1.3</v>
      </c>
      <c r="D59" s="406" t="inlineStr">
        <is>
          <t>Calibration parameter</t>
        </is>
      </c>
      <c r="E59" s="406" t="inlineStr">
        <is>
          <t>Working prior</t>
        </is>
      </c>
      <c r="F59" s="406" t="inlineStr">
        <is>
          <t>Internet exposure increases opportunity.</t>
        </is>
      </c>
      <c r="G59" s="406" t="n"/>
      <c r="H59" s="406" t="n"/>
      <c r="I59" s="406" t="n"/>
      <c r="J59" s="406" t="n"/>
    </row>
    <row r="60" ht="27.75" customHeight="1" s="508">
      <c r="A60" s="406" t="inlineStr">
        <is>
          <t>TRANSIENT_ASSETS</t>
        </is>
      </c>
      <c r="B60" s="406" t="inlineStr">
        <is>
          <t>None</t>
        </is>
      </c>
      <c r="C60" s="448" t="n">
        <v>0.9</v>
      </c>
      <c r="D60" s="406" t="inlineStr">
        <is>
          <t>Calibration parameter</t>
        </is>
      </c>
      <c r="E60" s="406" t="inlineStr">
        <is>
          <t>Working prior</t>
        </is>
      </c>
      <c r="F60" s="406" t="inlineStr">
        <is>
          <t>Removes a common route.</t>
        </is>
      </c>
      <c r="G60" s="406" t="n"/>
      <c r="H60" s="406" t="n"/>
      <c r="I60" s="406" t="n"/>
      <c r="J60" s="406" t="n"/>
    </row>
    <row r="61" ht="27.75" customHeight="1" s="508">
      <c r="A61" s="406" t="inlineStr">
        <is>
          <t>TRANSIENT_ASSETS</t>
        </is>
      </c>
      <c r="B61" s="406" t="inlineStr">
        <is>
          <t>Controlled</t>
        </is>
      </c>
      <c r="C61" s="448" t="n">
        <v>1</v>
      </c>
      <c r="D61" s="406" t="inlineStr">
        <is>
          <t>Calibration parameter</t>
        </is>
      </c>
      <c r="E61" s="406" t="inlineStr">
        <is>
          <t>Reference</t>
        </is>
      </c>
      <c r="F61" s="406" t="inlineStr">
        <is>
          <t>Reference state.</t>
        </is>
      </c>
      <c r="G61" s="406" t="n"/>
      <c r="H61" s="406" t="n"/>
      <c r="I61" s="406" t="n"/>
      <c r="J61" s="406" t="n"/>
    </row>
    <row r="62" ht="41.25" customHeight="1" s="508">
      <c r="A62" s="406" t="inlineStr">
        <is>
          <t>TRANSIENT_ASSETS</t>
        </is>
      </c>
      <c r="B62" s="406" t="inlineStr">
        <is>
          <t>Unrestricted</t>
        </is>
      </c>
      <c r="C62" s="448" t="n">
        <v>1.2</v>
      </c>
      <c r="D62" s="406" t="inlineStr">
        <is>
          <t>Calibration parameter</t>
        </is>
      </c>
      <c r="E62" s="406" t="inlineStr">
        <is>
          <t>Working prior</t>
        </is>
      </c>
      <c r="F62" s="406" t="inlineStr">
        <is>
          <t>Increases removable/transient-device exposure.</t>
        </is>
      </c>
      <c r="G62" s="406" t="n"/>
      <c r="H62" s="406" t="n"/>
      <c r="I62" s="406" t="n"/>
      <c r="J62" s="406" t="n"/>
    </row>
    <row r="63" ht="41.25" customHeight="1" s="508">
      <c r="A63" s="406" t="inlineStr">
        <is>
          <t>SUPPLY_CHAIN_ROUTE</t>
        </is>
      </c>
      <c r="B63" s="406" t="inlineStr">
        <is>
          <t>No</t>
        </is>
      </c>
      <c r="C63" s="448" t="n">
        <v>1</v>
      </c>
      <c r="D63" s="406" t="inlineStr">
        <is>
          <t>Model structure</t>
        </is>
      </c>
      <c r="E63" s="406" t="inlineStr">
        <is>
          <t>Neutral</t>
        </is>
      </c>
      <c r="F63" s="406" t="inlineStr">
        <is>
          <t>Supply-chain route affects TTP feasibility only; control quality is captured elsewhere.</t>
        </is>
      </c>
      <c r="G63" s="406" t="n"/>
      <c r="H63" s="406" t="n"/>
      <c r="I63" s="406" t="n"/>
      <c r="J63" s="406" t="n"/>
    </row>
    <row r="64" ht="41.25" customHeight="1" s="508">
      <c r="A64" s="406" t="inlineStr">
        <is>
          <t>SUPPLY_CHAIN_ROUTE</t>
        </is>
      </c>
      <c r="B64" s="406" t="inlineStr">
        <is>
          <t>Yes</t>
        </is>
      </c>
      <c r="C64" s="448" t="n">
        <v>1</v>
      </c>
      <c r="D64" s="406" t="inlineStr">
        <is>
          <t>Model structure</t>
        </is>
      </c>
      <c r="E64" s="406" t="inlineStr">
        <is>
          <t>Neutral</t>
        </is>
      </c>
      <c r="F64" s="406" t="inlineStr">
        <is>
          <t>Supply-chain route affects TTP feasibility only; control quality is captured elsewhere.</t>
        </is>
      </c>
      <c r="G64" s="406" t="n"/>
      <c r="H64" s="406" t="n"/>
      <c r="I64" s="406" t="n"/>
      <c r="J64" s="406" t="n"/>
    </row>
    <row r="65" ht="27.75" customHeight="1" s="508">
      <c r="A65" s="406" t="inlineStr">
        <is>
          <t>WIRELESS_OT</t>
        </is>
      </c>
      <c r="B65" s="406" t="inlineStr">
        <is>
          <t>No</t>
        </is>
      </c>
      <c r="C65" s="448" t="n">
        <v>1</v>
      </c>
      <c r="D65" s="406" t="inlineStr">
        <is>
          <t>Model structure</t>
        </is>
      </c>
      <c r="E65" s="406" t="inlineStr">
        <is>
          <t>Neutral</t>
        </is>
      </c>
      <c r="F65" s="406" t="inlineStr">
        <is>
          <t>Wireless affects TTP feasibility only; secure presence does not automatically increase arrival frequency.</t>
        </is>
      </c>
      <c r="G65" s="406" t="n"/>
      <c r="H65" s="406" t="n"/>
      <c r="I65" s="406" t="n"/>
      <c r="J65" s="406" t="n"/>
    </row>
    <row r="66" ht="27.75" customHeight="1" s="508">
      <c r="A66" s="406" t="inlineStr">
        <is>
          <t>WIRELESS_OT</t>
        </is>
      </c>
      <c r="B66" s="406" t="inlineStr">
        <is>
          <t>Yes</t>
        </is>
      </c>
      <c r="C66" s="448" t="n">
        <v>1</v>
      </c>
      <c r="D66" s="406" t="inlineStr">
        <is>
          <t>Model structure</t>
        </is>
      </c>
      <c r="E66" s="406" t="inlineStr">
        <is>
          <t>Neutral</t>
        </is>
      </c>
      <c r="F66" s="406" t="inlineStr">
        <is>
          <t>Wireless affects TTP feasibility only; secure presence does not automatically increase arrival frequency.</t>
        </is>
      </c>
      <c r="G66" s="406" t="n"/>
      <c r="H66" s="406" t="n"/>
      <c r="I66" s="406" t="n"/>
      <c r="J66" s="406" t="n"/>
    </row>
    <row r="67" ht="15" customHeight="1" s="508">
      <c r="A67" s="406" t="n"/>
      <c r="B67" s="406" t="n"/>
      <c r="C67" s="406" t="n"/>
      <c r="D67" s="406" t="n"/>
      <c r="E67" s="406" t="n"/>
      <c r="F67" s="406" t="n"/>
      <c r="G67" s="406" t="n"/>
      <c r="H67" s="406" t="n"/>
      <c r="I67" s="406" t="n"/>
      <c r="J67" s="406" t="n"/>
    </row>
    <row r="68" ht="15" customHeight="1" s="508">
      <c r="A68" s="406" t="n"/>
      <c r="B68" s="406" t="n"/>
      <c r="C68" s="406" t="n"/>
      <c r="D68" s="406" t="n"/>
      <c r="E68" s="406" t="n"/>
      <c r="F68" s="406" t="n"/>
      <c r="G68" s="406" t="n"/>
      <c r="H68" s="406" t="n"/>
      <c r="I68" s="406" t="n"/>
      <c r="J68" s="406" t="n"/>
    </row>
    <row r="69" ht="15" customHeight="1" s="508">
      <c r="A69" s="406" t="n"/>
      <c r="B69" s="406" t="n"/>
      <c r="C69" s="406" t="n"/>
      <c r="D69" s="406" t="n"/>
      <c r="E69" s="406" t="n"/>
      <c r="F69" s="406" t="n"/>
      <c r="G69" s="406" t="n"/>
      <c r="H69" s="406" t="n"/>
      <c r="I69" s="406" t="n"/>
      <c r="J69" s="406" t="n"/>
    </row>
    <row r="70" ht="15" customHeight="1" s="508">
      <c r="A70" s="406" t="n"/>
      <c r="B70" s="406" t="n"/>
      <c r="C70" s="406" t="n"/>
      <c r="D70" s="406" t="n"/>
      <c r="E70" s="406" t="n"/>
      <c r="F70" s="406" t="n"/>
      <c r="G70" s="406" t="n"/>
      <c r="H70" s="406" t="n"/>
      <c r="I70" s="406" t="n"/>
      <c r="J70" s="406" t="n"/>
    </row>
    <row r="71" ht="15" customHeight="1" s="508">
      <c r="A71" s="447" t="inlineStr">
        <is>
          <t>Sector</t>
        </is>
      </c>
      <c r="B71" s="447" t="inlineStr">
        <is>
          <t>Nation State</t>
        </is>
      </c>
      <c r="C71" s="447" t="inlineStr">
        <is>
          <t>Cybercriminal</t>
        </is>
      </c>
      <c r="D71" s="447" t="inlineStr">
        <is>
          <t>Malicious Insider</t>
        </is>
      </c>
      <c r="E71" s="447" t="inlineStr">
        <is>
          <t>Basis / how used</t>
        </is>
      </c>
      <c r="F71" s="638" t="inlineStr">
        <is>
          <t>Calibration status</t>
        </is>
      </c>
      <c r="G71" s="638" t="inlineStr">
        <is>
          <t>Pack ID</t>
        </is>
      </c>
      <c r="H71" s="406" t="n"/>
      <c r="I71" s="406" t="n"/>
      <c r="J71" s="406" t="n"/>
    </row>
    <row r="72" ht="15" customHeight="1" s="508">
      <c r="A72" s="406" t="n"/>
      <c r="B72" s="406" t="n"/>
      <c r="C72" s="406" t="n"/>
      <c r="D72" s="406" t="n"/>
      <c r="E72" s="406" t="n"/>
      <c r="F72" s="406" t="n"/>
      <c r="G72" s="406" t="n"/>
      <c r="H72" s="406" t="n"/>
      <c r="I72" s="406" t="n"/>
      <c r="J72" s="406" t="n"/>
    </row>
    <row r="73" ht="81.75" customHeight="1" s="508">
      <c r="A73" s="406" t="inlineStr">
        <is>
          <t>Power Generation</t>
        </is>
      </c>
      <c r="B73" s="448" t="n">
        <v>1</v>
      </c>
      <c r="C73" s="448" t="n">
        <v>1</v>
      </c>
      <c r="D73" s="448" t="n">
        <v>1</v>
      </c>
      <c r="E73" s="406" t="inlineStr">
        <is>
          <t>Reference sector; retained from validated V1.6/1.7 structure.</t>
        </is>
      </c>
      <c r="F73" s="639" t="inlineStr">
        <is>
          <t>Reference model working prior</t>
        </is>
      </c>
      <c r="G73" s="639" t="inlineStr">
        <is>
          <t>PG-v1.6</t>
        </is>
      </c>
      <c r="H73" s="406" t="n"/>
      <c r="I73" s="406" t="n"/>
      <c r="J73" s="406" t="n"/>
    </row>
    <row r="74" ht="81.75" customHeight="1" s="508">
      <c r="A74" s="406" t="inlineStr">
        <is>
          <t>Energy Assets</t>
        </is>
      </c>
      <c r="B74" s="725" t="n">
        <v>1.15</v>
      </c>
      <c r="C74" s="725" t="n">
        <v>1</v>
      </c>
      <c r="D74" s="725" t="n">
        <v>1</v>
      </c>
      <c r="E74" s="406" t="inlineStr">
        <is>
          <t>Nation-state uplift is an evidence-informed structured prior reflecting strategic energy targeting; no direct facility-year denominator is available.</t>
        </is>
      </c>
      <c r="F74" s="639" t="inlineStr">
        <is>
          <t>Working structured prior — controlled calibration</t>
        </is>
      </c>
      <c r="G74" s="639" t="inlineStr">
        <is>
          <t>EA-v1.0</t>
        </is>
      </c>
      <c r="H74" s="406" t="n"/>
      <c r="I74" s="406" t="n"/>
      <c r="J74" s="406" t="n"/>
    </row>
    <row r="75" ht="81.75" customHeight="1" s="508">
      <c r="A75" s="406" t="inlineStr">
        <is>
          <t>Manufacturing</t>
        </is>
      </c>
      <c r="B75" s="725" t="n">
        <v>0.85</v>
      </c>
      <c r="C75" s="725" t="n">
        <v>1.25</v>
      </c>
      <c r="D75" s="725" t="n">
        <v>1</v>
      </c>
      <c r="E75" s="406" t="inlineStr">
        <is>
          <t>Cybercriminal uplift reflects sustained ransomware concentration in manufacturing; raw victim shares are not used directly because sector denominators are unavailable.</t>
        </is>
      </c>
      <c r="F75" s="639" t="inlineStr">
        <is>
          <t>Working structured prior — controlled calibration</t>
        </is>
      </c>
      <c r="G75" s="639" t="inlineStr">
        <is>
          <t>MF-v1.0</t>
        </is>
      </c>
      <c r="H75" s="406" t="n"/>
      <c r="I75" s="406" t="n"/>
      <c r="J75" s="406" t="n"/>
    </row>
    <row r="76" ht="15" customHeight="1" s="508">
      <c r="A76" s="406" t="n"/>
      <c r="B76" s="406" t="n"/>
      <c r="C76" s="406" t="n"/>
      <c r="D76" s="406" t="n"/>
      <c r="E76" s="406" t="n"/>
      <c r="F76" s="406" t="n"/>
      <c r="G76" s="406" t="n"/>
      <c r="H76" s="406" t="n"/>
      <c r="I76" s="406" t="n"/>
      <c r="J76" s="406" t="n"/>
    </row>
    <row r="77" ht="15" customHeight="1" s="508">
      <c r="A77" s="406" t="n"/>
      <c r="B77" s="406" t="n"/>
      <c r="C77" s="406" t="n"/>
      <c r="D77" s="406" t="n"/>
      <c r="E77" s="406" t="n"/>
      <c r="F77" s="406" t="n"/>
      <c r="G77" s="406" t="n"/>
      <c r="H77" s="406" t="n"/>
      <c r="I77" s="406" t="n"/>
      <c r="J77" s="406" t="n"/>
    </row>
    <row r="78" ht="15" customHeight="1" s="508">
      <c r="A78" s="406" t="n"/>
      <c r="B78" s="406" t="n"/>
      <c r="C78" s="406" t="n"/>
      <c r="D78" s="406" t="n"/>
      <c r="E78" s="406" t="n"/>
      <c r="F78" s="406" t="n"/>
      <c r="G78" s="406" t="n"/>
      <c r="H78" s="406" t="n"/>
      <c r="I78" s="406" t="n"/>
      <c r="J78" s="406" t="n"/>
    </row>
    <row r="79" ht="15" customHeight="1" s="508">
      <c r="A79" s="406" t="n"/>
      <c r="B79" s="406" t="n"/>
      <c r="C79" s="406" t="n"/>
      <c r="D79" s="406" t="n"/>
      <c r="E79" s="406" t="n"/>
      <c r="F79" s="406" t="n"/>
      <c r="G79" s="406" t="n"/>
      <c r="H79" s="406" t="n"/>
      <c r="I79" s="406" t="n"/>
      <c r="J79" s="406" t="n"/>
    </row>
    <row r="80" ht="15" customHeight="1" s="508">
      <c r="A80" s="447" t="inlineStr">
        <is>
          <t>Country / region</t>
        </is>
      </c>
      <c r="B80" s="447" t="inlineStr">
        <is>
          <t>Nation State</t>
        </is>
      </c>
      <c r="C80" s="447" t="inlineStr">
        <is>
          <t>Cybercriminal</t>
        </is>
      </c>
      <c r="D80" s="447" t="inlineStr">
        <is>
          <t>Malicious Insider</t>
        </is>
      </c>
      <c r="E80" s="447" t="inlineStr">
        <is>
          <t>Basis / how used</t>
        </is>
      </c>
      <c r="F80" s="406" t="n"/>
      <c r="G80" s="406" t="n"/>
      <c r="H80" s="406" t="n"/>
      <c r="I80" s="406" t="n"/>
      <c r="J80" s="406" t="n"/>
    </row>
    <row r="81" ht="15" customHeight="1" s="508">
      <c r="A81" s="406" t="n"/>
      <c r="B81" s="406" t="n"/>
      <c r="C81" s="406" t="n"/>
      <c r="D81" s="406" t="n"/>
      <c r="E81" s="406" t="n"/>
      <c r="F81" s="406" t="n"/>
      <c r="G81" s="406" t="n"/>
      <c r="H81" s="406" t="n"/>
      <c r="I81" s="406" t="n"/>
      <c r="J81" s="406" t="n"/>
    </row>
    <row r="82" ht="81.75" customHeight="1" s="508">
      <c r="A82" s="406" t="inlineStr">
        <is>
          <t>UAE / GCC</t>
        </is>
      </c>
      <c r="B82" s="448" t="n">
        <v>1</v>
      </c>
      <c r="C82" s="448" t="n">
        <v>1</v>
      </c>
      <c r="D82" s="448" t="n">
        <v>1</v>
      </c>
      <c r="E82" s="406" t="inlineStr">
        <is>
          <t>Canonical UAE/GCC row; neutral defaults pending evidence-led regional calibration.</t>
        </is>
      </c>
      <c r="F82" s="406" t="n"/>
      <c r="G82" s="406" t="n"/>
      <c r="H82" s="406" t="n"/>
      <c r="I82" s="406" t="n"/>
      <c r="J82" s="406" t="n"/>
    </row>
    <row r="83" ht="41.25" customHeight="1" s="508">
      <c r="A83" s="406" t="inlineStr">
        <is>
          <t>UK / Europe</t>
        </is>
      </c>
      <c r="B83" s="448" t="n">
        <v>1</v>
      </c>
      <c r="C83" s="448" t="n">
        <v>1</v>
      </c>
      <c r="D83" s="448" t="n">
        <v>1</v>
      </c>
      <c r="E83" s="406" t="inlineStr">
        <is>
          <t>Explicit row; neutral defaults pending evidence-led regional calibration.</t>
        </is>
      </c>
      <c r="F83" s="406" t="n"/>
      <c r="G83" s="406" t="n"/>
      <c r="H83" s="406" t="n"/>
      <c r="I83" s="406" t="n"/>
      <c r="J83" s="406" t="n"/>
    </row>
    <row r="84" ht="41.25" customHeight="1" s="508">
      <c r="A84" s="406" t="inlineStr">
        <is>
          <t>North America</t>
        </is>
      </c>
      <c r="B84" s="448" t="n">
        <v>1</v>
      </c>
      <c r="C84" s="448" t="n">
        <v>1</v>
      </c>
      <c r="D84" s="448" t="n">
        <v>1</v>
      </c>
      <c r="E84" s="406" t="inlineStr">
        <is>
          <t>Explicit row; neutral defaults pending evidence-led regional calibration.</t>
        </is>
      </c>
      <c r="F84" s="406" t="n"/>
      <c r="G84" s="406" t="n"/>
      <c r="H84" s="406" t="n"/>
      <c r="I84" s="406" t="n"/>
      <c r="J84" s="406" t="n"/>
    </row>
    <row r="85" ht="27.75" customHeight="1" s="508">
      <c r="A85" s="406" t="inlineStr">
        <is>
          <t>Other</t>
        </is>
      </c>
      <c r="B85" s="448" t="n">
        <v>1</v>
      </c>
      <c r="C85" s="448" t="n">
        <v>1</v>
      </c>
      <c r="D85" s="448" t="n">
        <v>1</v>
      </c>
      <c r="E85" s="406" t="inlineStr">
        <is>
          <t>Applied only when the user explicitly selects Other; never a silent fallback.</t>
        </is>
      </c>
      <c r="F85" s="406" t="n"/>
      <c r="G85" s="406" t="n"/>
      <c r="H85" s="406" t="n"/>
      <c r="I85" s="406" t="n"/>
      <c r="J85" s="406" t="n"/>
    </row>
    <row r="86" ht="15" customHeight="1" s="508">
      <c r="A86" s="406" t="n"/>
      <c r="B86" s="406" t="n"/>
      <c r="C86" s="406" t="n"/>
      <c r="D86" s="406" t="n"/>
      <c r="E86" s="406" t="n"/>
      <c r="F86" s="406" t="n"/>
      <c r="G86" s="406" t="n"/>
      <c r="H86" s="406" t="n"/>
      <c r="I86" s="406" t="n"/>
      <c r="J86" s="406" t="n"/>
    </row>
    <row r="87" ht="15" customHeight="1" s="508">
      <c r="A87" s="406" t="n"/>
      <c r="B87" s="406" t="n"/>
      <c r="C87" s="406" t="n"/>
      <c r="D87" s="406" t="n"/>
      <c r="E87" s="406" t="n"/>
      <c r="F87" s="406" t="n"/>
      <c r="G87" s="406" t="n"/>
      <c r="H87" s="406" t="n"/>
      <c r="I87" s="406" t="n"/>
      <c r="J87" s="406" t="n"/>
    </row>
    <row r="88" ht="15" customHeight="1" s="508">
      <c r="A88" s="406" t="n"/>
      <c r="B88" s="406" t="n"/>
      <c r="C88" s="406" t="n"/>
      <c r="D88" s="406" t="n"/>
      <c r="E88" s="406" t="n"/>
      <c r="F88" s="406" t="n"/>
      <c r="G88" s="406" t="n"/>
      <c r="H88" s="406" t="n"/>
      <c r="I88" s="406" t="n"/>
      <c r="J88" s="406" t="n"/>
    </row>
    <row r="89" ht="15" customHeight="1" s="508">
      <c r="A89" s="406" t="n"/>
      <c r="B89" s="406" t="n"/>
      <c r="C89" s="406" t="n"/>
      <c r="D89" s="406" t="n"/>
      <c r="E89" s="406" t="n"/>
      <c r="F89" s="406" t="n"/>
      <c r="G89" s="406" t="n"/>
      <c r="H89" s="406" t="n"/>
      <c r="I89" s="406" t="n"/>
      <c r="J89" s="406" t="n"/>
    </row>
    <row r="90" ht="15" customHeight="1" s="508">
      <c r="A90" s="406" t="n"/>
      <c r="B90" s="406" t="n"/>
      <c r="C90" s="406" t="n"/>
      <c r="D90" s="406" t="n"/>
      <c r="E90" s="406" t="n"/>
      <c r="F90" s="406" t="n"/>
      <c r="G90" s="406" t="n"/>
      <c r="H90" s="406" t="n"/>
      <c r="I90" s="406" t="n"/>
      <c r="J90" s="406" t="n"/>
    </row>
  </sheetData>
  <mergeCells count="13">
    <mergeCell ref="A1:J1"/>
    <mergeCell ref="A5:J5"/>
    <mergeCell ref="A8:J8"/>
    <mergeCell ref="A6:J6"/>
    <mergeCell ref="A9:J9"/>
    <mergeCell ref="A3:J3"/>
    <mergeCell ref="A12:J12"/>
    <mergeCell ref="A4:J4"/>
    <mergeCell ref="A7:J7"/>
    <mergeCell ref="A2:J2"/>
    <mergeCell ref="A10:J10"/>
    <mergeCell ref="A13:J13"/>
    <mergeCell ref="A11:J11"/>
  </mergeCells>
  <conditionalFormatting sqref="G35:G37">
    <cfRule type="expression" rank="0" priority="2" equalAverage="0" aboveAverage="0" dxfId="0" percent="0" bottom="0">
      <formula>ABS(G35-1)&gt;0.000001</formula>
    </cfRule>
  </conditionalFormatting>
  <dataValidations count="1">
    <dataValidation sqref="D18" showDropDown="0" showInputMessage="0" showErrorMessage="0" allowBlank="0" type="list">
      <formula1>"Best Estimate,Prudent,Both"</formula1>
    </dataValidation>
  </dataValidations>
  <pageMargins left="0.7" right="0.7" top="0.75" bottom="0.75" header="0.3" footer="0.3"/>
</worksheet>
</file>

<file path=xl/worksheets/sheet30.xml><?xml version="1.0" encoding="utf-8"?>
<worksheet xmlns="http://schemas.openxmlformats.org/spreadsheetml/2006/main">
  <sheetPr>
    <tabColor rgb="007F7F7F"/>
    <outlinePr summaryBelow="1" summaryRight="1"/>
    <pageSetUpPr/>
  </sheetPr>
  <dimension ref="A1:F30"/>
  <sheetViews>
    <sheetView workbookViewId="0">
      <selection activeCell="A1" sqref="A1"/>
    </sheetView>
  </sheetViews>
  <sheetFormatPr baseColWidth="8" defaultRowHeight="15"/>
  <cols>
    <col width="28" customWidth="1" style="508" min="1" max="1"/>
    <col width="34" customWidth="1" style="508" min="2" max="2"/>
    <col width="12" customWidth="1" style="508" min="3" max="3"/>
  </cols>
  <sheetData>
    <row r="1" ht="32" customHeight="1" s="508">
      <c r="A1" s="1026" t="inlineStr">
        <is>
          <t>4 Results and audit trail</t>
        </is>
      </c>
    </row>
    <row r="2" ht="38" customHeight="1" s="508">
      <c r="A2" s="980" t="inlineStr">
        <is>
          <t>Python-populated calculations, decompositions, loss-exceedance data and domain-specific technical results.</t>
        </is>
      </c>
    </row>
    <row r="3" ht="48" customHeight="1" s="508">
      <c r="A3" s="1025" t="inlineStr">
        <is>
          <t>Results and audit trail. Calculated output — do not edit.</t>
        </is>
      </c>
    </row>
    <row r="4">
      <c r="A4" s="981" t="inlineStr">
        <is>
          <t>Workbook tab</t>
        </is>
      </c>
      <c r="B4" s="981" t="inlineStr">
        <is>
          <t>Purpose</t>
        </is>
      </c>
      <c r="C4" s="981" t="inlineStr">
        <is>
          <t>Open</t>
        </is>
      </c>
    </row>
    <row r="5">
      <c r="A5" s="982" t="inlineStr">
        <is>
          <t>00 Output Bridge</t>
        </is>
      </c>
      <c r="B5" s="982" t="inlineStr">
        <is>
          <t>Model calculation / result</t>
        </is>
      </c>
      <c r="C5" s="982">
        <f>HYPERLINK("#'00 COMMON - Output Bridge'!A1","Open")</f>
        <v/>
      </c>
    </row>
    <row r="6">
      <c r="A6" s="982" t="inlineStr">
        <is>
          <t>02 Executive Summary</t>
        </is>
      </c>
      <c r="B6" s="982" t="inlineStr">
        <is>
          <t>Model calculation / result</t>
        </is>
      </c>
      <c r="C6" s="982">
        <f>HYPERLINK("#'OT 02 - Executive Summary'!A1","Open")</f>
        <v/>
      </c>
    </row>
    <row r="7">
      <c r="A7" s="982" t="inlineStr">
        <is>
          <t>14 TTP Relevance Calc</t>
        </is>
      </c>
      <c r="B7" s="982" t="inlineStr">
        <is>
          <t>Model calculation / result</t>
        </is>
      </c>
      <c r="C7" s="982">
        <f>HYPERLINK("#'OT CALC - TTP Relevance'!A1","Open")</f>
        <v/>
      </c>
    </row>
    <row r="8">
      <c r="A8" s="982" t="inlineStr">
        <is>
          <t>15 Attack Path Calc</t>
        </is>
      </c>
      <c r="B8" s="982" t="inlineStr">
        <is>
          <t>Model calculation / result</t>
        </is>
      </c>
      <c r="C8" s="982">
        <f>HYPERLINK("#'OT CALC - Attack Path'!A1","Open")</f>
        <v/>
      </c>
    </row>
    <row r="9">
      <c r="A9" s="982" t="inlineStr">
        <is>
          <t>16 Threat and Loss Frequency</t>
        </is>
      </c>
      <c r="B9" s="982" t="inlineStr">
        <is>
          <t>Model calculation / result</t>
        </is>
      </c>
      <c r="C9" s="982">
        <f>HYPERLINK("#'OT CALC - Threat Frequency'!A1","Open")</f>
        <v/>
      </c>
    </row>
    <row r="10">
      <c r="A10" s="982" t="inlineStr">
        <is>
          <t>17 Consequence Calc</t>
        </is>
      </c>
      <c r="B10" s="982" t="inlineStr">
        <is>
          <t>Model calculation / result</t>
        </is>
      </c>
      <c r="C10" s="982">
        <f>HYPERLINK("#'OT CALC - Consequence'!A1","Open")</f>
        <v/>
      </c>
    </row>
    <row r="11">
      <c r="A11" s="982" t="inlineStr">
        <is>
          <t>18 Actor-Scenario Matrix</t>
        </is>
      </c>
      <c r="B11" s="982" t="inlineStr">
        <is>
          <t>Model calculation / result</t>
        </is>
      </c>
      <c r="C11" s="982">
        <f>HYPERLINK("#'OT CALC - Actor-Scenario Matrix'!A1","Open")</f>
        <v/>
      </c>
    </row>
    <row r="12">
      <c r="A12" s="982" t="inlineStr">
        <is>
          <t>19 Tail Risk Metrics</t>
        </is>
      </c>
      <c r="B12" s="982" t="inlineStr">
        <is>
          <t>Model calculation / result</t>
        </is>
      </c>
      <c r="C12" s="982">
        <f>HYPERLINK("#'OT CALC - Tail Risk Metrics'!A1","Open")</f>
        <v/>
      </c>
    </row>
    <row r="13">
      <c r="A13" s="982" t="inlineStr">
        <is>
          <t>20 Control What-If</t>
        </is>
      </c>
      <c r="B13" s="982" t="inlineStr">
        <is>
          <t>Model calculation / result</t>
        </is>
      </c>
      <c r="C13" s="982">
        <f>HYPERLINK("#'OT CALC - Control What-If'!A1","Open")</f>
        <v/>
      </c>
    </row>
    <row r="14">
      <c r="A14" s="982" t="inlineStr">
        <is>
          <t>21 Aggregate LECs</t>
        </is>
      </c>
      <c r="B14" s="982" t="inlineStr">
        <is>
          <t>Model calculation / result</t>
        </is>
      </c>
      <c r="C14" s="982">
        <f>HYPERLINK("#'OT CALC - Aggregate LECs'!A1","Open")</f>
        <v/>
      </c>
    </row>
    <row r="15">
      <c r="A15" s="982" t="inlineStr">
        <is>
          <t>22 Scenario LECs</t>
        </is>
      </c>
      <c r="B15" s="982" t="inlineStr">
        <is>
          <t>Model calculation / result</t>
        </is>
      </c>
      <c r="C15" s="982">
        <f>HYPERLINK("#'OT CALC - Scenario LECs'!A1","Open")</f>
        <v/>
      </c>
    </row>
    <row r="16">
      <c r="A16" s="982" t="inlineStr">
        <is>
          <t>23 Actor LECs</t>
        </is>
      </c>
      <c r="B16" s="982" t="inlineStr">
        <is>
          <t>Model calculation / result</t>
        </is>
      </c>
      <c r="C16" s="982">
        <f>HYPERLINK("#'OT CALC - Actor LECs'!A1","Open")</f>
        <v/>
      </c>
    </row>
    <row r="17">
      <c r="A17" s="982" t="inlineStr">
        <is>
          <t>24 Actor-Scenario LEC Data</t>
        </is>
      </c>
      <c r="B17" s="982" t="inlineStr">
        <is>
          <t>Model calculation / result</t>
        </is>
      </c>
      <c r="C17" s="982">
        <f>HYPERLINK("#'OT CALC - Actor-Scenario LEC'!A1","Open")</f>
        <v/>
      </c>
    </row>
    <row r="18">
      <c r="A18" s="982" t="inlineStr">
        <is>
          <t>25 Risk Charts</t>
        </is>
      </c>
      <c r="B18" s="982" t="inlineStr">
        <is>
          <t>Model calculation / result</t>
        </is>
      </c>
      <c r="C18" s="982">
        <f>HYPERLINK("#'OT CALC - Risk Charts'!A1","Open")</f>
        <v/>
      </c>
    </row>
    <row r="19">
      <c r="A19" s="982" t="inlineStr">
        <is>
          <t>IT 02 Executive Summary</t>
        </is>
      </c>
      <c r="B19" s="982" t="inlineStr">
        <is>
          <t>Model calculation / result</t>
        </is>
      </c>
      <c r="C19" s="982">
        <f>HYPERLINK("#'IT 02 - Executive Summary'!A1","Open")</f>
        <v/>
      </c>
    </row>
    <row r="20">
      <c r="A20" s="982" t="inlineStr">
        <is>
          <t>IT 10 TTP Relevance Calc</t>
        </is>
      </c>
      <c r="B20" s="982" t="inlineStr">
        <is>
          <t>Model calculation / result</t>
        </is>
      </c>
      <c r="C20" s="982">
        <f>HYPERLINK("#'IT CALC - TTP Relevance'!A1","Open")</f>
        <v/>
      </c>
    </row>
    <row r="21">
      <c r="A21" s="982" t="inlineStr">
        <is>
          <t>IT 11 Attack Path Calc</t>
        </is>
      </c>
      <c r="B21" s="982" t="inlineStr">
        <is>
          <t>Model calculation / result</t>
        </is>
      </c>
      <c r="C21" s="982">
        <f>HYPERLINK("#'IT CALC - Attack Path'!A1","Open")</f>
        <v/>
      </c>
    </row>
    <row r="22">
      <c r="A22" s="982" t="inlineStr">
        <is>
          <t>IT 12 Frequency and Success</t>
        </is>
      </c>
      <c r="B22" s="982" t="inlineStr">
        <is>
          <t>Model calculation / result</t>
        </is>
      </c>
      <c r="C22" s="982">
        <f>HYPERLINK("#'IT CALC - Frequency and Success'!A1","Open")</f>
        <v/>
      </c>
    </row>
    <row r="23">
      <c r="A23" s="982" t="inlineStr">
        <is>
          <t>IT 13 Consequence Calc</t>
        </is>
      </c>
      <c r="B23" s="982" t="inlineStr">
        <is>
          <t>Model calculation / result</t>
        </is>
      </c>
      <c r="C23" s="982">
        <f>HYPERLINK("#'IT CALC - Consequence'!A1","Open")</f>
        <v/>
      </c>
    </row>
    <row r="24">
      <c r="A24" s="982" t="inlineStr">
        <is>
          <t>IT 14 Actor Scenario Matrix</t>
        </is>
      </c>
      <c r="B24" s="982" t="inlineStr">
        <is>
          <t>Model calculation / result</t>
        </is>
      </c>
      <c r="C24" s="982">
        <f>HYPERLINK("#'IT CALC - Actor Scenario Matrix'!A1","Open")</f>
        <v/>
      </c>
    </row>
    <row r="25">
      <c r="A25" s="982" t="inlineStr">
        <is>
          <t>IT 15 Tail Risk Metrics</t>
        </is>
      </c>
      <c r="B25" s="982" t="inlineStr">
        <is>
          <t>Model calculation / result</t>
        </is>
      </c>
      <c r="C25" s="982">
        <f>HYPERLINK("#'IT CALC - Tail Risk Metrics'!A1","Open")</f>
        <v/>
      </c>
    </row>
    <row r="26">
      <c r="A26" s="982" t="inlineStr">
        <is>
          <t>IT 16 Control What-If</t>
        </is>
      </c>
      <c r="B26" s="982" t="inlineStr">
        <is>
          <t>Model calculation / result</t>
        </is>
      </c>
      <c r="C26" s="982">
        <f>HYPERLINK("#'IT CALC - Control What-If'!A1","Open")</f>
        <v/>
      </c>
    </row>
    <row r="27">
      <c r="A27" s="982" t="inlineStr">
        <is>
          <t>IT 17 Aggregate LECs</t>
        </is>
      </c>
      <c r="B27" s="982" t="inlineStr">
        <is>
          <t>Model calculation / result</t>
        </is>
      </c>
      <c r="C27" s="982">
        <f>HYPERLINK("#'IT CALC - Aggregate LECs'!A1","Open")</f>
        <v/>
      </c>
    </row>
    <row r="28">
      <c r="A28" s="982" t="inlineStr">
        <is>
          <t>IT 18 Scenario LECs</t>
        </is>
      </c>
      <c r="B28" s="982" t="inlineStr">
        <is>
          <t>Model calculation / result</t>
        </is>
      </c>
      <c r="C28" s="982">
        <f>HYPERLINK("#'IT CALC - Scenario LECs'!A1","Open")</f>
        <v/>
      </c>
    </row>
    <row r="29">
      <c r="A29" s="982" t="inlineStr">
        <is>
          <t>IT 19 Actor LECs</t>
        </is>
      </c>
      <c r="B29" s="982" t="inlineStr">
        <is>
          <t>Model calculation / result</t>
        </is>
      </c>
      <c r="C29" s="982">
        <f>HYPERLINK("#'IT CALC - Actor LECs'!A1","Open")</f>
        <v/>
      </c>
    </row>
    <row r="30">
      <c r="A30" s="982" t="inlineStr">
        <is>
          <t>IT 20 Risk Charts</t>
        </is>
      </c>
      <c r="B30" s="982" t="inlineStr">
        <is>
          <t>Model calculation / result</t>
        </is>
      </c>
      <c r="C30" s="982">
        <f>HYPERLINK("#'IT CALC - Risk Charts'!A1","Open")</f>
        <v/>
      </c>
    </row>
  </sheetData>
  <mergeCells count="2">
    <mergeCell ref="A1:F1"/>
    <mergeCell ref="A3:F3"/>
  </mergeCells>
  <pageMargins left="0.7" right="0.7" top="0.75" bottom="0.75" header="0.3" footer="0.3"/>
</worksheet>
</file>

<file path=xl/worksheets/sheet31.xml><?xml version="1.0" encoding="utf-8"?>
<worksheet xmlns="http://schemas.openxmlformats.org/spreadsheetml/2006/main">
  <sheetPr>
    <tabColor rgb="00548235"/>
    <outlinePr summaryBelow="1" summaryRight="1"/>
    <pageSetUpPr/>
  </sheetPr>
  <dimension ref="A1:N53"/>
  <sheetViews>
    <sheetView workbookViewId="0">
      <selection activeCell="A1" sqref="A1"/>
    </sheetView>
  </sheetViews>
  <sheetFormatPr baseColWidth="8" defaultRowHeight="15"/>
  <cols>
    <col width="24" customWidth="1" style="508" min="1" max="1"/>
    <col width="24" customWidth="1" style="508" min="2" max="2"/>
    <col width="24" customWidth="1" style="508" min="3" max="3"/>
    <col width="24" customWidth="1" style="508" min="4" max="4"/>
    <col width="24" customWidth="1" style="508" min="5" max="5"/>
    <col width="12" customWidth="1" style="508" min="6" max="6"/>
    <col width="12" customWidth="1" style="508" min="7" max="7"/>
    <col width="12" customWidth="1" style="508" min="8" max="8"/>
    <col width="12" customWidth="1" style="508" min="9" max="9"/>
    <col width="12" customWidth="1" style="508" min="10" max="10"/>
    <col width="12" customWidth="1" style="508" min="11" max="11"/>
    <col width="12" customWidth="1" style="508" min="12" max="12"/>
    <col width="12" customWidth="1" style="508" min="13" max="13"/>
    <col width="12" customWidth="1" style="508" min="14" max="14"/>
  </cols>
  <sheetData>
    <row r="1" ht="30" customHeight="1" s="508">
      <c r="A1" s="838" t="inlineStr">
        <is>
          <t>COMMON OUTPUT BRIDGE — ENGINE / DASHBOARD CONTRACT</t>
        </is>
      </c>
    </row>
    <row r="2" ht="32" customHeight="1" s="508">
      <c r="A2" s="842" t="inlineStr">
        <is>
          <t>Normalized interface used by the common dashboards. Formulas resolve directly to the selected IT or OT result tables.</t>
        </is>
      </c>
    </row>
    <row r="4" ht="22" customHeight="1" s="508">
      <c r="A4" s="845" t="inlineStr">
        <is>
          <t>RUN IDENTITY</t>
        </is>
      </c>
    </row>
    <row r="5" ht="30" customHeight="1" s="508">
      <c r="A5" s="851" t="inlineStr">
        <is>
          <t>Field</t>
        </is>
      </c>
      <c r="B5" s="851" t="inlineStr">
        <is>
          <t>Value</t>
        </is>
      </c>
    </row>
    <row r="6">
      <c r="A6" s="918" t="inlineStr">
        <is>
          <t>Selected sector</t>
        </is>
      </c>
      <c r="B6" s="918">
        <f>'00 COMMON - Run Setup'!C6</f>
        <v/>
      </c>
    </row>
    <row r="7">
      <c r="A7" s="918" t="inlineStr">
        <is>
          <t>Model domain</t>
        </is>
      </c>
      <c r="B7" s="918">
        <f>'00 COMMON - Run Setup'!C7</f>
        <v/>
      </c>
    </row>
    <row r="8">
      <c r="A8" s="918" t="inlineStr">
        <is>
          <t>Asset type / scope</t>
        </is>
      </c>
      <c r="B8" s="918">
        <f>'00 COMMON - Run Setup'!C8</f>
        <v/>
      </c>
    </row>
    <row r="9">
      <c r="A9" s="918" t="inlineStr">
        <is>
          <t>Pack ID</t>
        </is>
      </c>
      <c r="B9" s="918">
        <f>IF(B7="IT",'IT 03 - Organisation Inputs'!C34,'OT 03 - Facility Inputs'!C32)</f>
        <v/>
      </c>
    </row>
    <row r="10">
      <c r="A10" s="918" t="inlineStr">
        <is>
          <t>Reporting basis</t>
        </is>
      </c>
      <c r="B10" s="918">
        <f>'00 COMMON - Run Setup'!C9</f>
        <v/>
      </c>
    </row>
    <row r="13" ht="22" customHeight="1" s="508">
      <c r="A13" s="845" t="inlineStr">
        <is>
          <t>NORMALIZED RISK METRICS</t>
        </is>
      </c>
    </row>
    <row r="14" ht="30" customHeight="1" s="508">
      <c r="A14" s="851" t="inlineStr">
        <is>
          <t>Metric</t>
        </is>
      </c>
      <c r="B14" s="851" t="inlineStr">
        <is>
          <t>Best Estimate</t>
        </is>
      </c>
      <c r="C14" s="851" t="inlineStr">
        <is>
          <t>Prudent</t>
        </is>
      </c>
    </row>
    <row r="15">
      <c r="A15" s="918" t="inlineStr">
        <is>
          <t>AAL</t>
        </is>
      </c>
      <c r="B15" s="998">
        <f>IF($B$7="IT",'IT 02 - Executive Summary'!B7,'OT 02 - Executive Summary'!L17)</f>
        <v/>
      </c>
      <c r="C15" s="998">
        <f>IF($B$7="IT",'IT 02 - Executive Summary'!C7,'OT 02 - Executive Summary'!B17)</f>
        <v/>
      </c>
    </row>
    <row r="16">
      <c r="A16" s="918" t="inlineStr">
        <is>
          <t>VaR 95%</t>
        </is>
      </c>
      <c r="B16" s="998">
        <f>IF($B$7="IT",'IT 02 - Executive Summary'!B8,'OT 02 - Executive Summary'!L18)</f>
        <v/>
      </c>
      <c r="C16" s="998">
        <f>IF($B$7="IT",'IT 02 - Executive Summary'!C8,'OT 02 - Executive Summary'!B18)</f>
        <v/>
      </c>
    </row>
    <row r="17">
      <c r="A17" s="918" t="inlineStr">
        <is>
          <t>TVaR 95%</t>
        </is>
      </c>
      <c r="B17" s="998">
        <f>IF($B$7="IT",'IT 02 - Executive Summary'!B9,'OT 02 - Executive Summary'!L19)</f>
        <v/>
      </c>
      <c r="C17" s="998">
        <f>IF($B$7="IT",'IT 02 - Executive Summary'!C9,'OT 02 - Executive Summary'!B19)</f>
        <v/>
      </c>
    </row>
    <row r="18">
      <c r="A18" s="918" t="inlineStr">
        <is>
          <t>VaR 99%</t>
        </is>
      </c>
      <c r="B18" s="998">
        <f>IF($B$7="IT",'IT 02 - Executive Summary'!B10,'OT 02 - Executive Summary'!L20)</f>
        <v/>
      </c>
      <c r="C18" s="998">
        <f>IF($B$7="IT",'IT 02 - Executive Summary'!C10,'OT 02 - Executive Summary'!B20)</f>
        <v/>
      </c>
    </row>
    <row r="19">
      <c r="A19" s="918" t="inlineStr">
        <is>
          <t>TVaR 99%</t>
        </is>
      </c>
      <c r="B19" s="998">
        <f>IF($B$7="IT",'IT 02 - Executive Summary'!B11,'OT 02 - Executive Summary'!L21)</f>
        <v/>
      </c>
      <c r="C19" s="998">
        <f>IF($B$7="IT",'IT 02 - Executive Summary'!C11,'OT 02 - Executive Summary'!B21)</f>
        <v/>
      </c>
    </row>
    <row r="20">
      <c r="A20" s="918" t="inlineStr">
        <is>
          <t>P(any successful event)</t>
        </is>
      </c>
      <c r="B20" s="876">
        <f>IF($B$7="IT",'IT 02 - Executive Summary'!B18,'OT 02 - Executive Summary'!L28)</f>
        <v/>
      </c>
      <c r="C20" s="876">
        <f>IF($B$7="IT",'IT 02 - Executive Summary'!C18,'OT 02 - Executive Summary'!B28)</f>
        <v/>
      </c>
    </row>
    <row r="21">
      <c r="A21" s="918" t="inlineStr">
        <is>
          <t>Campaign frequency / yr</t>
        </is>
      </c>
      <c r="B21" s="879">
        <f>IF($B$7="IT",'IT 02 - Executive Summary'!B20,'OT 02 - Executive Summary'!L37*'OT 02 - Executive Summary'!L38*'OT 02 - Executive Summary'!L39)</f>
        <v/>
      </c>
      <c r="C21" s="879">
        <f>IF($B$7="IT",'IT 02 - Executive Summary'!C20,'OT 02 - Executive Summary'!B37*'OT 02 - Executive Summary'!B38*'OT 02 - Executive Summary'!B39*'OT 06 - Assessment Adjustments'!D17)</f>
        <v/>
      </c>
    </row>
    <row r="22">
      <c r="A22" s="918" t="inlineStr">
        <is>
          <t>Last simulation run</t>
        </is>
      </c>
      <c r="B22" s="918">
        <f>IF($B$7="IT",'IT 02 - Executive Summary'!B26,'OT 02 - Executive Summary'!L35)</f>
        <v/>
      </c>
      <c r="C22" s="918">
        <f>IF($B$7="IT",'IT 02 - Executive Summary'!C26,'OT 02 - Executive Summary'!B35)</f>
        <v/>
      </c>
    </row>
    <row r="25" ht="22" customHeight="1" s="508">
      <c r="A25" s="845" t="inlineStr">
        <is>
          <t>ACTOR CONTRIBUTION</t>
        </is>
      </c>
    </row>
    <row r="26" ht="30" customHeight="1" s="508">
      <c r="A26" s="851" t="inlineStr">
        <is>
          <t>Actor</t>
        </is>
      </c>
      <c r="B26" s="851" t="inlineStr">
        <is>
          <t>AAL</t>
        </is>
      </c>
      <c r="C26" s="851" t="inlineStr">
        <is>
          <t>Successful event frequency / yr</t>
        </is>
      </c>
    </row>
    <row r="27">
      <c r="A27" s="918">
        <f>IF($B$7="IT",'IT 02 - Executive Summary'!A30,'OT CALC - Actor-Scenario Matrix'!A16)</f>
        <v/>
      </c>
      <c r="B27" s="998">
        <f>IF($B$7="IT",'IT 02 - Executive Summary'!B30,SUM('OT CALC - Actor-Scenario Matrix'!B16:F16))</f>
        <v/>
      </c>
      <c r="C27" s="879">
        <f>IF($B$7="IT",'IT 02 - Executive Summary'!D30,SUM('OT CALC - Actor-Scenario Matrix'!B24:F24))</f>
        <v/>
      </c>
    </row>
    <row r="28">
      <c r="A28" s="918">
        <f>IF($B$7="IT",'IT 02 - Executive Summary'!A31,'OT CALC - Actor-Scenario Matrix'!A17)</f>
        <v/>
      </c>
      <c r="B28" s="998">
        <f>IF($B$7="IT",'IT 02 - Executive Summary'!B31,SUM('OT CALC - Actor-Scenario Matrix'!B17:F17))</f>
        <v/>
      </c>
      <c r="C28" s="879">
        <f>IF($B$7="IT",'IT 02 - Executive Summary'!D31,SUM('OT CALC - Actor-Scenario Matrix'!B25:F25))</f>
        <v/>
      </c>
    </row>
    <row r="29">
      <c r="A29" s="918">
        <f>IF($B$7="IT",'IT 02 - Executive Summary'!A32,'OT CALC - Actor-Scenario Matrix'!A18)</f>
        <v/>
      </c>
      <c r="B29" s="998">
        <f>IF($B$7="IT",'IT 02 - Executive Summary'!B32,SUM('OT CALC - Actor-Scenario Matrix'!B18:F18))</f>
        <v/>
      </c>
      <c r="C29" s="879">
        <f>IF($B$7="IT",'IT 02 - Executive Summary'!D32,SUM('OT CALC - Actor-Scenario Matrix'!B26:F26))</f>
        <v/>
      </c>
    </row>
    <row r="30">
      <c r="A30" s="972">
        <f>IF($B$7="IT",'IT 02 - Executive Summary'!A33,"")</f>
        <v/>
      </c>
      <c r="B30" s="972">
        <f>IF($B$7="IT",'IT 02 - Executive Summary'!B33,"")</f>
        <v/>
      </c>
      <c r="C30" s="972">
        <f>IF($B$7="IT",'IT 02 - Executive Summary'!D33,"")</f>
        <v/>
      </c>
    </row>
    <row r="32" ht="22" customHeight="1" s="508">
      <c r="A32" s="845" t="inlineStr">
        <is>
          <t>SCENARIO CONTRIBUTION</t>
        </is>
      </c>
    </row>
    <row r="33" ht="30" customHeight="1" s="508">
      <c r="A33" s="851" t="inlineStr">
        <is>
          <t>Scenario</t>
        </is>
      </c>
      <c r="B33" s="851" t="inlineStr">
        <is>
          <t>AAL</t>
        </is>
      </c>
    </row>
    <row r="34">
      <c r="A34" s="918">
        <f>IF($B$7="IT",'IT 02 - Executive Summary'!A37,'OT CALC - Actor-Scenario Matrix'!B15)</f>
        <v/>
      </c>
      <c r="B34" s="998">
        <f>IF($B$7="IT",'IT 02 - Executive Summary'!B37,SUM('OT CALC - Actor-Scenario Matrix'!B16:B18))</f>
        <v/>
      </c>
    </row>
    <row r="35">
      <c r="A35" s="918">
        <f>IF($B$7="IT",'IT 02 - Executive Summary'!A38,'OT CALC - Actor-Scenario Matrix'!C15)</f>
        <v/>
      </c>
      <c r="B35" s="998">
        <f>IF($B$7="IT",'IT 02 - Executive Summary'!B38,SUM('OT CALC - Actor-Scenario Matrix'!C16:C18))</f>
        <v/>
      </c>
    </row>
    <row r="36">
      <c r="A36" s="918">
        <f>IF($B$7="IT",'IT 02 - Executive Summary'!A39,'OT CALC - Actor-Scenario Matrix'!D15)</f>
        <v/>
      </c>
      <c r="B36" s="998">
        <f>IF($B$7="IT",'IT 02 - Executive Summary'!B39,SUM('OT CALC - Actor-Scenario Matrix'!D16:D18))</f>
        <v/>
      </c>
    </row>
    <row r="37">
      <c r="A37" s="918">
        <f>IF($B$7="IT",'IT 02 - Executive Summary'!A40,'OT CALC - Actor-Scenario Matrix'!E15)</f>
        <v/>
      </c>
      <c r="B37" s="998">
        <f>IF($B$7="IT",'IT 02 - Executive Summary'!B40,SUM('OT CALC - Actor-Scenario Matrix'!E16:E18))</f>
        <v/>
      </c>
    </row>
    <row r="38">
      <c r="A38" s="918">
        <f>IF($B$7="IT","",'OT CALC - Actor-Scenario Matrix'!F15)</f>
        <v/>
      </c>
      <c r="B38" s="998">
        <f>IF($B$7="IT","",SUM('OT CALC - Actor-Scenario Matrix'!F16:F18))</f>
        <v/>
      </c>
    </row>
    <row r="41" ht="22" customHeight="1" s="508">
      <c r="A41" s="845" t="inlineStr">
        <is>
          <t>AGGREGATE LOSS-EXCEEDANCE DATA</t>
        </is>
      </c>
    </row>
    <row r="42" ht="30" customHeight="1" s="508">
      <c r="A42" s="851" t="inlineStr">
        <is>
          <t>Exceedance probability</t>
        </is>
      </c>
      <c r="B42" s="851" t="inlineStr">
        <is>
          <t>Best AEP</t>
        </is>
      </c>
      <c r="C42" s="851" t="inlineStr">
        <is>
          <t>Best OEP</t>
        </is>
      </c>
      <c r="D42" s="851" t="inlineStr">
        <is>
          <t>Prudent AEP</t>
        </is>
      </c>
      <c r="E42" s="851" t="inlineStr">
        <is>
          <t>Prudent OEP</t>
        </is>
      </c>
    </row>
    <row r="43">
      <c r="A43" s="876">
        <f>IF($B$7="IT",'IT CALC - Aggregate LECs'!B16,'OT CALC - Aggregate LECs'!A16)</f>
        <v/>
      </c>
      <c r="B43" s="998">
        <f>IF($B$7="IT",'IT CALC - Aggregate LECs'!C16,'OT CALC - Aggregate LECs'!B16)</f>
        <v/>
      </c>
      <c r="C43" s="998">
        <f>IF($B$7="IT",'IT CALC - Aggregate LECs'!D16,'OT CALC - Aggregate LECs'!C16)</f>
        <v/>
      </c>
      <c r="D43" s="998">
        <f>IF($B$7="IT",'IT CALC - Aggregate LECs'!E16,'OT CALC - Aggregate LECs'!D16)</f>
        <v/>
      </c>
      <c r="E43" s="998">
        <f>IF($B$7="IT",'IT CALC - Aggregate LECs'!F16,'OT CALC - Aggregate LECs'!E16)</f>
        <v/>
      </c>
    </row>
    <row r="44">
      <c r="A44" s="876">
        <f>IF($B$7="IT",'IT CALC - Aggregate LECs'!B17,'OT CALC - Aggregate LECs'!A17)</f>
        <v/>
      </c>
      <c r="B44" s="998">
        <f>IF($B$7="IT",'IT CALC - Aggregate LECs'!C17,'OT CALC - Aggregate LECs'!B17)</f>
        <v/>
      </c>
      <c r="C44" s="998">
        <f>IF($B$7="IT",'IT CALC - Aggregate LECs'!D17,'OT CALC - Aggregate LECs'!C17)</f>
        <v/>
      </c>
      <c r="D44" s="998">
        <f>IF($B$7="IT",'IT CALC - Aggregate LECs'!E17,'OT CALC - Aggregate LECs'!D17)</f>
        <v/>
      </c>
      <c r="E44" s="998">
        <f>IF($B$7="IT",'IT CALC - Aggregate LECs'!F17,'OT CALC - Aggregate LECs'!E17)</f>
        <v/>
      </c>
    </row>
    <row r="45">
      <c r="A45" s="876">
        <f>IF($B$7="IT",'IT CALC - Aggregate LECs'!B18,'OT CALC - Aggregate LECs'!A18)</f>
        <v/>
      </c>
      <c r="B45" s="998">
        <f>IF($B$7="IT",'IT CALC - Aggregate LECs'!C18,'OT CALC - Aggregate LECs'!B18)</f>
        <v/>
      </c>
      <c r="C45" s="998">
        <f>IF($B$7="IT",'IT CALC - Aggregate LECs'!D18,'OT CALC - Aggregate LECs'!C18)</f>
        <v/>
      </c>
      <c r="D45" s="998">
        <f>IF($B$7="IT",'IT CALC - Aggregate LECs'!E18,'OT CALC - Aggregate LECs'!D18)</f>
        <v/>
      </c>
      <c r="E45" s="998">
        <f>IF($B$7="IT",'IT CALC - Aggregate LECs'!F18,'OT CALC - Aggregate LECs'!E18)</f>
        <v/>
      </c>
    </row>
    <row r="46">
      <c r="A46" s="876">
        <f>IF($B$7="IT",'IT CALC - Aggregate LECs'!B19,'OT CALC - Aggregate LECs'!A19)</f>
        <v/>
      </c>
      <c r="B46" s="998">
        <f>IF($B$7="IT",'IT CALC - Aggregate LECs'!C19,'OT CALC - Aggregate LECs'!B19)</f>
        <v/>
      </c>
      <c r="C46" s="998">
        <f>IF($B$7="IT",'IT CALC - Aggregate LECs'!D19,'OT CALC - Aggregate LECs'!C19)</f>
        <v/>
      </c>
      <c r="D46" s="998">
        <f>IF($B$7="IT",'IT CALC - Aggregate LECs'!E19,'OT CALC - Aggregate LECs'!D19)</f>
        <v/>
      </c>
      <c r="E46" s="998">
        <f>IF($B$7="IT",'IT CALC - Aggregate LECs'!F19,'OT CALC - Aggregate LECs'!E19)</f>
        <v/>
      </c>
    </row>
    <row r="47">
      <c r="A47" s="876">
        <f>IF($B$7="IT",'IT CALC - Aggregate LECs'!B20,'OT CALC - Aggregate LECs'!A20)</f>
        <v/>
      </c>
      <c r="B47" s="998">
        <f>IF($B$7="IT",'IT CALC - Aggregate LECs'!C20,'OT CALC - Aggregate LECs'!B20)</f>
        <v/>
      </c>
      <c r="C47" s="998">
        <f>IF($B$7="IT",'IT CALC - Aggregate LECs'!D20,'OT CALC - Aggregate LECs'!C20)</f>
        <v/>
      </c>
      <c r="D47" s="998">
        <f>IF($B$7="IT",'IT CALC - Aggregate LECs'!E20,'OT CALC - Aggregate LECs'!D20)</f>
        <v/>
      </c>
      <c r="E47" s="998">
        <f>IF($B$7="IT",'IT CALC - Aggregate LECs'!F20,'OT CALC - Aggregate LECs'!E20)</f>
        <v/>
      </c>
    </row>
    <row r="48">
      <c r="A48" s="876">
        <f>IF($B$7="IT",'IT CALC - Aggregate LECs'!B21,'OT CALC - Aggregate LECs'!A21)</f>
        <v/>
      </c>
      <c r="B48" s="998">
        <f>IF($B$7="IT",'IT CALC - Aggregate LECs'!C21,'OT CALC - Aggregate LECs'!B21)</f>
        <v/>
      </c>
      <c r="C48" s="998">
        <f>IF($B$7="IT",'IT CALC - Aggregate LECs'!D21,'OT CALC - Aggregate LECs'!C21)</f>
        <v/>
      </c>
      <c r="D48" s="998">
        <f>IF($B$7="IT",'IT CALC - Aggregate LECs'!E21,'OT CALC - Aggregate LECs'!D21)</f>
        <v/>
      </c>
      <c r="E48" s="998">
        <f>IF($B$7="IT",'IT CALC - Aggregate LECs'!F21,'OT CALC - Aggregate LECs'!E21)</f>
        <v/>
      </c>
    </row>
    <row r="49">
      <c r="A49" s="876">
        <f>IF($B$7="IT",'IT CALC - Aggregate LECs'!B22,'OT CALC - Aggregate LECs'!A22)</f>
        <v/>
      </c>
      <c r="B49" s="998">
        <f>IF($B$7="IT",'IT CALC - Aggregate LECs'!C22,'OT CALC - Aggregate LECs'!B22)</f>
        <v/>
      </c>
      <c r="C49" s="998">
        <f>IF($B$7="IT",'IT CALC - Aggregate LECs'!D22,'OT CALC - Aggregate LECs'!C22)</f>
        <v/>
      </c>
      <c r="D49" s="998">
        <f>IF($B$7="IT",'IT CALC - Aggregate LECs'!E22,'OT CALC - Aggregate LECs'!D22)</f>
        <v/>
      </c>
      <c r="E49" s="998">
        <f>IF($B$7="IT",'IT CALC - Aggregate LECs'!F22,'OT CALC - Aggregate LECs'!E22)</f>
        <v/>
      </c>
    </row>
    <row r="50">
      <c r="A50" s="876">
        <f>IF($B$7="IT",'IT CALC - Aggregate LECs'!B23,'OT CALC - Aggregate LECs'!A23)</f>
        <v/>
      </c>
      <c r="B50" s="998">
        <f>IF($B$7="IT",'IT CALC - Aggregate LECs'!C23,'OT CALC - Aggregate LECs'!B23)</f>
        <v/>
      </c>
      <c r="C50" s="998">
        <f>IF($B$7="IT",'IT CALC - Aggregate LECs'!D23,'OT CALC - Aggregate LECs'!C23)</f>
        <v/>
      </c>
      <c r="D50" s="998">
        <f>IF($B$7="IT",'IT CALC - Aggregate LECs'!E23,'OT CALC - Aggregate LECs'!D23)</f>
        <v/>
      </c>
      <c r="E50" s="998">
        <f>IF($B$7="IT",'IT CALC - Aggregate LECs'!F23,'OT CALC - Aggregate LECs'!E23)</f>
        <v/>
      </c>
    </row>
    <row r="51">
      <c r="A51" s="876">
        <f>IF($B$7="IT",'IT CALC - Aggregate LECs'!B24,'OT CALC - Aggregate LECs'!A24)</f>
        <v/>
      </c>
      <c r="B51" s="998">
        <f>IF($B$7="IT",'IT CALC - Aggregate LECs'!C24,'OT CALC - Aggregate LECs'!B24)</f>
        <v/>
      </c>
      <c r="C51" s="998">
        <f>IF($B$7="IT",'IT CALC - Aggregate LECs'!D24,'OT CALC - Aggregate LECs'!C24)</f>
        <v/>
      </c>
      <c r="D51" s="998">
        <f>IF($B$7="IT",'IT CALC - Aggregate LECs'!E24,'OT CALC - Aggregate LECs'!D24)</f>
        <v/>
      </c>
      <c r="E51" s="998">
        <f>IF($B$7="IT",'IT CALC - Aggregate LECs'!F24,'OT CALC - Aggregate LECs'!E24)</f>
        <v/>
      </c>
    </row>
    <row r="52">
      <c r="A52" s="876">
        <f>IF($B$7="IT",'IT CALC - Aggregate LECs'!B25,'OT CALC - Aggregate LECs'!A25)</f>
        <v/>
      </c>
      <c r="B52" s="998">
        <f>IF($B$7="IT",'IT CALC - Aggregate LECs'!C25,'OT CALC - Aggregate LECs'!B25)</f>
        <v/>
      </c>
      <c r="C52" s="998">
        <f>IF($B$7="IT",'IT CALC - Aggregate LECs'!D25,'OT CALC - Aggregate LECs'!C25)</f>
        <v/>
      </c>
      <c r="D52" s="998">
        <f>IF($B$7="IT",'IT CALC - Aggregate LECs'!E25,'OT CALC - Aggregate LECs'!D25)</f>
        <v/>
      </c>
      <c r="E52" s="998">
        <f>IF($B$7="IT",'IT CALC - Aggregate LECs'!F25,'OT CALC - Aggregate LECs'!E25)</f>
        <v/>
      </c>
    </row>
    <row r="53">
      <c r="A53" s="876">
        <f>IF($B$7="IT",'IT CALC - Aggregate LECs'!B26,'OT CALC - Aggregate LECs'!A26)</f>
        <v/>
      </c>
      <c r="B53" s="998">
        <f>IF($B$7="IT",'IT CALC - Aggregate LECs'!C26,'OT CALC - Aggregate LECs'!B26)</f>
        <v/>
      </c>
      <c r="C53" s="998">
        <f>IF($B$7="IT",'IT CALC - Aggregate LECs'!D26,'OT CALC - Aggregate LECs'!C26)</f>
        <v/>
      </c>
      <c r="D53" s="998">
        <f>IF($B$7="IT",'IT CALC - Aggregate LECs'!E26,'OT CALC - Aggregate LECs'!D26)</f>
        <v/>
      </c>
      <c r="E53" s="998">
        <f>IF($B$7="IT",'IT CALC - Aggregate LECs'!F26,'OT CALC - Aggregate LECs'!E26)</f>
        <v/>
      </c>
    </row>
  </sheetData>
  <mergeCells count="7">
    <mergeCell ref="A41:F41"/>
    <mergeCell ref="A13:F13"/>
    <mergeCell ref="A2:N2"/>
    <mergeCell ref="A25:D25"/>
    <mergeCell ref="A4:F4"/>
    <mergeCell ref="A32:D32"/>
    <mergeCell ref="A1:N1"/>
  </mergeCells>
  <pageMargins left="0.7" right="0.7" top="0.75" bottom="0.75" header="0.3" footer="0.3"/>
</worksheet>
</file>

<file path=xl/worksheets/sheet32.xml><?xml version="1.0" encoding="utf-8"?>
<worksheet xmlns="http://schemas.openxmlformats.org/spreadsheetml/2006/main">
  <sheetPr>
    <tabColor rgb="007F7F7F"/>
    <outlinePr summaryBelow="1" summaryRight="1"/>
    <pageSetUpPr/>
  </sheetPr>
  <dimension ref="A1:L120"/>
  <sheetViews>
    <sheetView showGridLines="0" workbookViewId="0">
      <selection activeCell="A1" sqref="A1"/>
    </sheetView>
  </sheetViews>
  <sheetFormatPr baseColWidth="8" defaultColWidth="8.6796875" defaultRowHeight="15"/>
  <cols>
    <col width="32" customWidth="1" style="972" min="1" max="1"/>
    <col width="15" customWidth="1" style="972" min="2" max="2"/>
    <col width="15" customWidth="1" style="972" min="3" max="3"/>
    <col width="14" customWidth="1" style="972" min="4" max="4"/>
    <col width="14" customWidth="1" style="972" min="5" max="5"/>
    <col width="14" customWidth="1" style="972" min="6" max="7"/>
    <col width="13" customWidth="1" style="508" min="7" max="7"/>
    <col width="12" customWidth="1" style="972" min="8" max="8"/>
    <col width="12" customWidth="1" style="972" min="9" max="9"/>
    <col width="12" customWidth="1" style="972" min="10" max="10"/>
    <col width="8" customWidth="1" style="972" min="11" max="11"/>
    <col hidden="1" width="16" customWidth="1" style="508" min="12" max="12"/>
  </cols>
  <sheetData>
    <row r="1" ht="21.75" customHeight="1" s="508">
      <c r="A1" s="316" t="inlineStr">
        <is>
          <t>02 — Executive Risk Summary</t>
        </is>
      </c>
    </row>
    <row r="2" ht="37.5" customHeight="1" s="508">
      <c r="A2" s="317" t="inlineStr">
        <is>
          <t>Purpose: Present facility-level financial risk, operational impact, actor/scenario decomposition, risk-financing metrics and the composite five-stage attack-path model.</t>
        </is>
      </c>
    </row>
    <row r="3" ht="37.5" customHeight="1" s="508">
      <c r="A3" s="403" t="inlineStr">
        <is>
          <t>In plain English: this is the decision view. AAL and control what-ifs support security investment; selected TVaR less retention supports tail-risk transfer decisions.</t>
        </is>
      </c>
    </row>
    <row r="4" ht="21.75" customHeight="1" s="508">
      <c r="A4" s="318" t="inlineStr">
        <is>
          <t>SHEET TYPE: MODEL RESULT</t>
        </is>
      </c>
    </row>
    <row r="5" ht="21.75" customHeight="1" s="508">
      <c r="A5" s="405" t="inlineStr">
        <is>
          <t>Inputs / upstream sources</t>
        </is>
      </c>
    </row>
    <row r="6" ht="30" customHeight="1" s="508">
      <c r="A6" s="406" t="inlineStr">
        <is>
          <t>500,000-year Python simulation using all model inputs, mappings and assumptions.</t>
        </is>
      </c>
    </row>
    <row r="7" ht="30" customHeight="1" s="508">
      <c r="A7" s="405" t="inlineStr">
        <is>
          <t>Calculation / decision logic</t>
        </is>
      </c>
    </row>
    <row r="8" ht="30" customHeight="1" s="508">
      <c r="A8" s="406" t="inlineStr">
        <is>
          <t>AAL = mean(Annual Aggregate Loss). VaR95/99 = annual-loss percentiles. TVaR = mean annual loss at or beyond the VaR threshold. P(any event) = simulated years with ≥1 successful loss event / 100,000. Actor and scenario AAL shares reconcile to facility AAL; actor/scenario VaR and TVaR are not additive.</t>
        </is>
      </c>
    </row>
    <row r="9" ht="30" customHeight="1" s="508">
      <c r="A9" s="405" t="inlineStr">
        <is>
          <t>Key assumptions / defaults</t>
        </is>
      </c>
    </row>
    <row r="10" ht="30" customHeight="1" s="508">
      <c r="A10" s="406" t="inlineStr">
        <is>
          <t>AEP is annual aggregate loss. OEP is the largest single event in a simulated year. Actor/scenario AAL decompositions should reconcile exactly to facility AAL within numerical tolerance. VaR and TVaR on those rows are each row's own annual distribution.</t>
        </is>
      </c>
    </row>
    <row r="11" ht="30" customHeight="1" s="508">
      <c r="A11" s="405" t="inlineStr">
        <is>
          <t>Outputs / downstream use</t>
        </is>
      </c>
    </row>
    <row r="12" ht="30" customHeight="1" s="508">
      <c r="A12" s="406" t="inlineStr">
        <is>
          <t>Primary executive output; links conceptually to 18 matrix, 19 tail metrics and 21–24 loss exceedance curves.</t>
        </is>
      </c>
    </row>
    <row r="13" ht="30" customHeight="1" s="508">
      <c r="A13" s="319" t="inlineStr">
        <is>
          <t>Workbook convention: yellow cells / blue font are editable inputs or calibration assumptions; engine-output cells are not manually editable.</t>
        </is>
      </c>
    </row>
    <row r="14" s="508"/>
    <row r="15" ht="20" customHeight="1" s="508">
      <c r="A15" s="387" t="inlineStr">
        <is>
          <t>FINANCIAL RISK</t>
        </is>
      </c>
      <c r="L15" s="591" t="n"/>
    </row>
    <row r="16" ht="32" customHeight="1" s="508">
      <c r="A16" s="389" t="inlineStr">
        <is>
          <t>Metric</t>
        </is>
      </c>
      <c r="B16" s="389" t="inlineStr">
        <is>
          <t>Prudent</t>
        </is>
      </c>
      <c r="C16" s="389" t="inlineStr">
        <is>
          <t>Meaning</t>
        </is>
      </c>
      <c r="D16" s="584" t="n"/>
      <c r="E16" s="584" t="n"/>
      <c r="F16" s="584" t="n"/>
      <c r="G16" s="584" t="n"/>
      <c r="H16" s="584" t="n"/>
      <c r="I16" s="584" t="n"/>
      <c r="J16" s="584" t="n"/>
      <c r="K16" s="585" t="n"/>
      <c r="L16" s="389" t="inlineStr">
        <is>
          <t>Best Estimate</t>
        </is>
      </c>
    </row>
    <row r="17" ht="28" customHeight="1" s="508">
      <c r="A17" s="586" t="inlineStr">
        <is>
          <t>AAL</t>
        </is>
      </c>
      <c r="B17" s="587" t="n">
        <v>1935742.978786793</v>
      </c>
      <c r="C17" s="588" t="inlineStr">
        <is>
          <t>Mean annual aggregate financial loss (expected value).</t>
        </is>
      </c>
      <c r="D17" s="584" t="n"/>
      <c r="E17" s="584" t="n"/>
      <c r="F17" s="584" t="n"/>
      <c r="G17" s="584" t="n"/>
      <c r="H17" s="584" t="n"/>
      <c r="I17" s="584" t="n"/>
      <c r="J17" s="584" t="n"/>
      <c r="K17" s="585" t="n"/>
      <c r="L17" s="587" t="n">
        <v>1323497.774416203</v>
      </c>
    </row>
    <row r="18" ht="28" customHeight="1" s="508">
      <c r="A18" s="586" t="inlineStr">
        <is>
          <t>VaR 95%</t>
        </is>
      </c>
      <c r="B18" s="589" t="n">
        <v>924397.2530921894</v>
      </c>
      <c r="C18" s="590" t="inlineStr">
        <is>
          <t>95th percentile of annual aggregate loss.</t>
        </is>
      </c>
      <c r="D18" s="584" t="n"/>
      <c r="E18" s="584" t="n"/>
      <c r="F18" s="584" t="n"/>
      <c r="G18" s="584" t="n"/>
      <c r="H18" s="584" t="n"/>
      <c r="I18" s="584" t="n"/>
      <c r="J18" s="584" t="n"/>
      <c r="K18" s="585" t="n"/>
      <c r="L18" s="589" t="n">
        <v>0</v>
      </c>
    </row>
    <row r="19" ht="28" customHeight="1" s="508">
      <c r="A19" s="586" t="inlineStr">
        <is>
          <t>TVaR 95%</t>
        </is>
      </c>
      <c r="B19" s="587" t="n">
        <v>38708768.41348451</v>
      </c>
      <c r="C19" s="588" t="inlineStr">
        <is>
          <t>Mean of the worst 5% of simulated annual losses (Expected Shortfall).</t>
        </is>
      </c>
      <c r="D19" s="584" t="n"/>
      <c r="E19" s="584" t="n"/>
      <c r="F19" s="584" t="n"/>
      <c r="G19" s="584" t="n"/>
      <c r="H19" s="584" t="n"/>
      <c r="I19" s="584" t="n"/>
      <c r="J19" s="584" t="n"/>
      <c r="K19" s="585" t="n"/>
      <c r="L19" s="587" t="n">
        <v>26469955.48832406</v>
      </c>
    </row>
    <row r="20" ht="28" customHeight="1" s="508">
      <c r="A20" s="586" t="inlineStr">
        <is>
          <t>VaR 99%</t>
        </is>
      </c>
      <c r="B20" s="589" t="n">
        <v>50166813.79479161</v>
      </c>
      <c r="C20" s="590" t="inlineStr">
        <is>
          <t>99th percentile of annual aggregate loss.</t>
        </is>
      </c>
      <c r="D20" s="584" t="n"/>
      <c r="E20" s="584" t="n"/>
      <c r="F20" s="584" t="n"/>
      <c r="G20" s="584" t="n"/>
      <c r="H20" s="584" t="n"/>
      <c r="I20" s="584" t="n"/>
      <c r="J20" s="584" t="n"/>
      <c r="K20" s="585" t="n"/>
      <c r="L20" s="589" t="n">
        <v>34846254.94240714</v>
      </c>
    </row>
    <row r="21" ht="28" customHeight="1" s="508">
      <c r="A21" s="586" t="inlineStr">
        <is>
          <t>TVaR 99%</t>
        </is>
      </c>
      <c r="B21" s="587" t="n">
        <v>128228296.3987958</v>
      </c>
      <c r="C21" s="588" t="inlineStr">
        <is>
          <t>Mean of the worst 1% of simulated annual losses (Expected Shortfall).</t>
        </is>
      </c>
      <c r="D21" s="584" t="n"/>
      <c r="E21" s="584" t="n"/>
      <c r="F21" s="584" t="n"/>
      <c r="G21" s="584" t="n"/>
      <c r="H21" s="584" t="n"/>
      <c r="I21" s="584" t="n"/>
      <c r="J21" s="584" t="n"/>
      <c r="K21" s="585" t="n"/>
      <c r="L21" s="587" t="n">
        <v>100626039.5584437</v>
      </c>
    </row>
    <row r="22" ht="28" customHeight="1" s="508">
      <c r="A22" s="586" t="inlineStr">
        <is>
          <t>Selected TVaR</t>
        </is>
      </c>
      <c r="B22" s="589" t="n">
        <v>128228296.3987958</v>
      </c>
      <c r="C22" s="590" t="inlineStr">
        <is>
          <t>Tail basis selected on 19 Tail Risk Metrics: TVaR 99%.</t>
        </is>
      </c>
      <c r="D22" s="584" t="n"/>
      <c r="E22" s="584" t="n"/>
      <c r="F22" s="584" t="n"/>
      <c r="G22" s="584" t="n"/>
      <c r="H22" s="584" t="n"/>
      <c r="I22" s="584" t="n"/>
      <c r="J22" s="584" t="n"/>
      <c r="K22" s="585" t="n"/>
      <c r="L22" s="589" t="n">
        <v>100626039.5584437</v>
      </c>
    </row>
    <row r="23" ht="28" customHeight="1" s="508">
      <c r="A23" s="586" t="inlineStr">
        <is>
          <t>Insurance retention</t>
        </is>
      </c>
      <c r="B23" s="587" t="n">
        <v>0</v>
      </c>
      <c r="C23" s="588" t="inlineStr">
        <is>
          <t>Amount deliberately retained by the organisation.</t>
        </is>
      </c>
      <c r="D23" s="584" t="n"/>
      <c r="E23" s="584" t="n"/>
      <c r="F23" s="584" t="n"/>
      <c r="G23" s="584" t="n"/>
      <c r="H23" s="584" t="n"/>
      <c r="I23" s="584" t="n"/>
      <c r="J23" s="584" t="n"/>
      <c r="K23" s="585" t="n"/>
      <c r="L23" s="587" t="n">
        <v>0</v>
      </c>
    </row>
    <row r="24" ht="28" customHeight="1" s="508">
      <c r="A24" s="586" t="inlineStr">
        <is>
          <t>Tail loss to transfer above retention</t>
        </is>
      </c>
      <c r="B24" s="589" t="n">
        <v>128228296.3987958</v>
      </c>
      <c r="C24" s="590" t="inlineStr">
        <is>
          <t>Selected TVaR minus retention, floored at zero; indicative insurance limit, not expected loss above retention.</t>
        </is>
      </c>
      <c r="D24" s="584" t="n"/>
      <c r="E24" s="584" t="n"/>
      <c r="F24" s="584" t="n"/>
      <c r="G24" s="584" t="n"/>
      <c r="H24" s="584" t="n"/>
      <c r="I24" s="584" t="n"/>
      <c r="J24" s="584" t="n"/>
      <c r="K24" s="585" t="n"/>
      <c r="L24" s="589" t="n">
        <v>100626039.5584437</v>
      </c>
    </row>
    <row r="25" ht="30" customHeight="1" s="508">
      <c r="A25" s="591" t="n"/>
      <c r="B25" s="591" t="n"/>
      <c r="C25" s="591" t="n"/>
      <c r="D25" s="591" t="n"/>
      <c r="E25" s="591" t="n"/>
      <c r="F25" s="591" t="n"/>
      <c r="G25" s="591" t="n"/>
      <c r="H25" s="591" t="n"/>
      <c r="I25" s="591" t="n"/>
      <c r="J25" s="591" t="n"/>
      <c r="K25" s="591" t="n"/>
      <c r="L25" s="591" t="n"/>
    </row>
    <row r="26" ht="20" customHeight="1" s="508">
      <c r="A26" s="387" t="inlineStr">
        <is>
          <t>OPERATIONAL IMPACT</t>
        </is>
      </c>
      <c r="L26" s="591" t="n"/>
    </row>
    <row r="27" ht="32" customHeight="1" s="508">
      <c r="A27" s="389" t="inlineStr">
        <is>
          <t>Metric</t>
        </is>
      </c>
      <c r="B27" s="389" t="inlineStr">
        <is>
          <t>Prudent</t>
        </is>
      </c>
      <c r="C27" s="389" t="inlineStr">
        <is>
          <t>Meaning</t>
        </is>
      </c>
      <c r="D27" s="584" t="n"/>
      <c r="E27" s="584" t="n"/>
      <c r="F27" s="584" t="n"/>
      <c r="G27" s="584" t="n"/>
      <c r="H27" s="584" t="n"/>
      <c r="I27" s="584" t="n"/>
      <c r="J27" s="584" t="n"/>
      <c r="K27" s="585" t="n"/>
      <c r="L27" s="389" t="inlineStr">
        <is>
          <t>Best Estimate</t>
        </is>
      </c>
    </row>
    <row r="28" ht="28" customHeight="1" s="508">
      <c r="A28" s="586" t="inlineStr">
        <is>
          <t>P(any successful loss event)</t>
        </is>
      </c>
      <c r="B28" s="592" t="n">
        <v>0.05048</v>
      </c>
      <c r="C28" s="588" t="inlineStr">
        <is>
          <t>Share of years with at least one successful loss event.</t>
        </is>
      </c>
      <c r="D28" s="584" t="n"/>
      <c r="E28" s="584" t="n"/>
      <c r="F28" s="584" t="n"/>
      <c r="G28" s="584" t="n"/>
      <c r="H28" s="584" t="n"/>
      <c r="I28" s="584" t="n"/>
      <c r="J28" s="584" t="n"/>
      <c r="K28" s="585" t="n"/>
      <c r="L28" s="592" t="n">
        <v>0.034304</v>
      </c>
    </row>
    <row r="29" ht="28" customHeight="1" s="508">
      <c r="A29" s="586" t="inlineStr">
        <is>
          <t>Mean annual downtime (hours)</t>
        </is>
      </c>
      <c r="B29" s="593" t="n">
        <v>8.999804287793596</v>
      </c>
      <c r="C29" s="590" t="inlineStr">
        <is>
          <t>Expected hours per year including zero-event years.</t>
        </is>
      </c>
      <c r="D29" s="584" t="n"/>
      <c r="E29" s="584" t="n"/>
      <c r="F29" s="584" t="n"/>
      <c r="G29" s="584" t="n"/>
      <c r="H29" s="584" t="n"/>
      <c r="I29" s="584" t="n"/>
      <c r="J29" s="584" t="n"/>
      <c r="K29" s="585" t="n"/>
      <c r="L29" s="593" t="n">
        <v>6.128923399960258</v>
      </c>
    </row>
    <row r="30" ht="28" customHeight="1" s="508">
      <c r="A30" s="586" t="inlineStr">
        <is>
          <t>Mean downtime | successful year (hours)</t>
        </is>
      </c>
      <c r="B30" s="594" t="n">
        <v>178.2845540371156</v>
      </c>
      <c r="C30" s="588" t="inlineStr">
        <is>
          <t>Mean hours in years with at least one successful event.</t>
        </is>
      </c>
      <c r="D30" s="584" t="n"/>
      <c r="E30" s="584" t="n"/>
      <c r="F30" s="584" t="n"/>
      <c r="G30" s="584" t="n"/>
      <c r="H30" s="584" t="n"/>
      <c r="I30" s="584" t="n"/>
      <c r="J30" s="584" t="n"/>
      <c r="K30" s="585" t="n"/>
      <c r="L30" s="594" t="n">
        <v>178.6649778439907</v>
      </c>
    </row>
    <row r="31" ht="28" customHeight="1" s="508">
      <c r="A31" s="586" t="inlineStr">
        <is>
          <t>TVaR 95% downtime (hours)</t>
        </is>
      </c>
      <c r="B31" s="593" t="n">
        <v>179.9466381558617</v>
      </c>
      <c r="C31" s="590" t="inlineStr">
        <is>
          <t>Mean downtime in the worst 5% of simulated years.</t>
        </is>
      </c>
      <c r="D31" s="584" t="n"/>
      <c r="E31" s="584" t="n"/>
      <c r="F31" s="584" t="n"/>
      <c r="G31" s="584" t="n"/>
      <c r="H31" s="584" t="n"/>
      <c r="I31" s="584" t="n"/>
      <c r="J31" s="584" t="n"/>
      <c r="K31" s="585" t="n"/>
      <c r="L31" s="593" t="n">
        <v>122.5784679992052</v>
      </c>
    </row>
    <row r="32" ht="15" customHeight="1" s="508">
      <c r="A32" s="591" t="n"/>
      <c r="B32" s="591" t="n"/>
      <c r="C32" s="591" t="n"/>
      <c r="D32" s="591" t="n"/>
      <c r="E32" s="591" t="n"/>
      <c r="F32" s="591" t="n"/>
      <c r="G32" s="591" t="n"/>
      <c r="H32" s="591" t="n"/>
      <c r="I32" s="591" t="n"/>
      <c r="J32" s="591" t="n"/>
      <c r="K32" s="591" t="n"/>
      <c r="L32" s="591" t="n"/>
    </row>
    <row r="33" ht="20" customHeight="1" s="508">
      <c r="A33" s="387" t="inlineStr">
        <is>
          <t>RUN CONTEXT</t>
        </is>
      </c>
      <c r="L33" s="591" t="n"/>
    </row>
    <row r="34" ht="32" customHeight="1" s="508">
      <c r="A34" s="389" t="inlineStr">
        <is>
          <t>Metric</t>
        </is>
      </c>
      <c r="B34" s="389" t="inlineStr">
        <is>
          <t>Prudent</t>
        </is>
      </c>
      <c r="C34" s="389" t="inlineStr">
        <is>
          <t>Meaning</t>
        </is>
      </c>
      <c r="D34" s="584" t="n"/>
      <c r="E34" s="584" t="n"/>
      <c r="F34" s="584" t="n"/>
      <c r="G34" s="584" t="n"/>
      <c r="H34" s="584" t="n"/>
      <c r="I34" s="584" t="n"/>
      <c r="J34" s="584" t="n"/>
      <c r="K34" s="585" t="n"/>
      <c r="L34" s="389" t="inlineStr">
        <is>
          <t>Best Estimate</t>
        </is>
      </c>
    </row>
    <row r="35" ht="28" customHeight="1" s="508">
      <c r="A35" s="586" t="inlineStr">
        <is>
          <t>Last simulation run</t>
        </is>
      </c>
      <c r="B35" s="595" t="inlineStr">
        <is>
          <t>2026-08-19 12:42</t>
        </is>
      </c>
      <c r="C35" s="588" t="inlineStr">
        <is>
          <t>Timestamp when the Python engine refreshed the workbook.</t>
        </is>
      </c>
      <c r="D35" s="584" t="n"/>
      <c r="E35" s="584" t="n"/>
      <c r="F35" s="584" t="n"/>
      <c r="G35" s="584" t="n"/>
      <c r="H35" s="584" t="n"/>
      <c r="I35" s="584" t="n"/>
      <c r="J35" s="584" t="n"/>
      <c r="K35" s="585" t="n"/>
      <c r="L35" s="595" t="inlineStr">
        <is>
          <t>2026-08-19 12:42</t>
        </is>
      </c>
    </row>
    <row r="36" ht="28" customHeight="1" s="508">
      <c r="A36" s="586" t="inlineStr">
        <is>
          <t>Simulation years</t>
        </is>
      </c>
      <c r="B36" s="596" t="n">
        <v>500000</v>
      </c>
      <c r="C36" s="590" t="inlineStr">
        <is>
          <t>Number of simulated facility-years per reporting basis and per control what-if.</t>
        </is>
      </c>
      <c r="D36" s="584" t="n"/>
      <c r="E36" s="584" t="n"/>
      <c r="F36" s="584" t="n"/>
      <c r="G36" s="584" t="n"/>
      <c r="H36" s="584" t="n"/>
      <c r="I36" s="584" t="n"/>
      <c r="J36" s="584" t="n"/>
      <c r="K36" s="585" t="n"/>
      <c r="L36" s="596" t="n">
        <v>500000</v>
      </c>
    </row>
    <row r="37" ht="28" customHeight="1" s="508">
      <c r="A37" s="586" t="inlineStr">
        <is>
          <t>Reference campaign rate</t>
        </is>
      </c>
      <c r="B37" s="597" t="n">
        <v>0.55</v>
      </c>
      <c r="C37" s="588" t="inlineStr">
        <is>
          <t>Centrally governed material-campaign arrival-rate prior before modifiers.</t>
        </is>
      </c>
      <c r="D37" s="584" t="n"/>
      <c r="E37" s="584" t="n"/>
      <c r="F37" s="584" t="n"/>
      <c r="G37" s="584" t="n"/>
      <c r="H37" s="584" t="n"/>
      <c r="I37" s="584" t="n"/>
      <c r="J37" s="584" t="n"/>
      <c r="K37" s="585" t="n"/>
      <c r="L37" s="597" t="n">
        <v>0.55</v>
      </c>
    </row>
    <row r="38" ht="28" customHeight="1" s="508">
      <c r="A38" s="586" t="inlineStr">
        <is>
          <t>Facility exposure multiplier</t>
        </is>
      </c>
      <c r="B38" s="598" t="n">
        <v>1.1</v>
      </c>
      <c r="C38" s="590" t="inlineStr">
        <is>
          <t>Combined IT/OT, remote-access, internet-OT and transient-asset exposure factor; supply-chain and wireless are feasibility-only.</t>
        </is>
      </c>
      <c r="D38" s="584" t="n"/>
      <c r="E38" s="584" t="n"/>
      <c r="F38" s="584" t="n"/>
      <c r="G38" s="584" t="n"/>
      <c r="H38" s="584" t="n"/>
      <c r="I38" s="584" t="n"/>
      <c r="J38" s="584" t="n"/>
      <c r="K38" s="585" t="n"/>
      <c r="L38" s="598" t="n">
        <v>1.1</v>
      </c>
    </row>
    <row r="39" ht="28" customHeight="1" s="508">
      <c r="A39" s="586" t="inlineStr">
        <is>
          <t>Threat intensity multiplier</t>
        </is>
      </c>
      <c r="B39" s="599" t="n">
        <v>1</v>
      </c>
      <c r="C39" s="588" t="inlineStr">
        <is>
          <t>Σ(Actor Share × Threat Activity × Sector × Asset Type × Geography). Each overlay is applied exactly once.</t>
        </is>
      </c>
      <c r="D39" s="584" t="n"/>
      <c r="E39" s="584" t="n"/>
      <c r="F39" s="584" t="n"/>
      <c r="G39" s="584" t="n"/>
      <c r="H39" s="584" t="n"/>
      <c r="I39" s="584" t="n"/>
      <c r="J39" s="584" t="n"/>
      <c r="K39" s="585" t="n"/>
      <c r="L39" s="599" t="n">
        <v>1</v>
      </c>
    </row>
    <row r="40" ht="28" customHeight="1" s="508">
      <c r="A40" s="586" t="inlineStr">
        <is>
          <t>Selected sector</t>
        </is>
      </c>
      <c r="B40" s="644" t="inlineStr">
        <is>
          <t>Power Generation</t>
        </is>
      </c>
      <c r="C40" s="590" t="inlineStr">
        <is>
          <t>Sector selected on 03 Facility Inputs; one facility/site is the unit of analysis.</t>
        </is>
      </c>
      <c r="D40" s="584" t="n"/>
      <c r="E40" s="584" t="n"/>
      <c r="F40" s="584" t="n"/>
      <c r="G40" s="584" t="n"/>
      <c r="H40" s="584" t="n"/>
      <c r="I40" s="584" t="n"/>
      <c r="J40" s="584" t="n"/>
      <c r="K40" s="585" t="n"/>
      <c r="L40" s="644" t="inlineStr">
        <is>
          <t>Power Generation</t>
        </is>
      </c>
    </row>
    <row r="41" ht="28" customHeight="1" s="508">
      <c r="A41" s="586" t="inlineStr">
        <is>
          <t>Selected asset type</t>
        </is>
      </c>
      <c r="B41" s="645" t="inlineStr">
        <is>
          <t>CCGT</t>
        </is>
      </c>
      <c r="C41" s="588" t="inlineStr">
        <is>
          <t>Asset calibration: Reference model working prior.</t>
        </is>
      </c>
      <c r="D41" s="584" t="n"/>
      <c r="E41" s="584" t="n"/>
      <c r="F41" s="584" t="n"/>
      <c r="G41" s="584" t="n"/>
      <c r="H41" s="584" t="n"/>
      <c r="I41" s="584" t="n"/>
      <c r="J41" s="584" t="n"/>
      <c r="K41" s="585" t="n"/>
      <c r="L41" s="645" t="inlineStr">
        <is>
          <t>CCGT</t>
        </is>
      </c>
    </row>
    <row r="42" ht="28" customHeight="1" s="508">
      <c r="A42" s="586" t="inlineStr">
        <is>
          <t>Resolved pack ID</t>
        </is>
      </c>
      <c r="B42" s="644" t="inlineStr">
        <is>
          <t>PG-v1.6</t>
        </is>
      </c>
      <c r="C42" s="590" t="inlineStr">
        <is>
          <t>Exactly one registered pack from 28 Sector Pack Registry.</t>
        </is>
      </c>
      <c r="D42" s="584" t="n"/>
      <c r="E42" s="584" t="n"/>
      <c r="F42" s="584" t="n"/>
      <c r="G42" s="584" t="n"/>
      <c r="H42" s="584" t="n"/>
      <c r="I42" s="584" t="n"/>
      <c r="J42" s="584" t="n"/>
      <c r="K42" s="585" t="n"/>
      <c r="L42" s="644" t="inlineStr">
        <is>
          <t>PG-v1.6</t>
        </is>
      </c>
    </row>
    <row r="43" ht="28" customHeight="1" s="508">
      <c r="A43" s="586" t="inlineStr">
        <is>
          <t>Pack calibration status</t>
        </is>
      </c>
      <c r="B43" s="645" t="n"/>
      <c r="C43" s="588" t="n"/>
      <c r="D43" s="584" t="n"/>
      <c r="E43" s="584" t="n"/>
      <c r="F43" s="584" t="n"/>
      <c r="G43" s="584" t="n"/>
      <c r="H43" s="584" t="n"/>
      <c r="I43" s="584" t="n"/>
      <c r="J43" s="584" t="n"/>
      <c r="K43" s="585" t="n"/>
      <c r="L43" s="645" t="n"/>
    </row>
    <row r="44" ht="28" customHeight="1" s="508">
      <c r="A44" s="586" t="inlineStr">
        <is>
          <t>Simulated campaign rate</t>
        </is>
      </c>
      <c r="B44" s="598" t="n">
        <v>0.9065839999999999</v>
      </c>
      <c r="C44" s="590" t="inlineStr">
        <is>
          <t>Average Poisson campaign count after all frequency modifiers.</t>
        </is>
      </c>
      <c r="D44" s="584" t="n"/>
      <c r="E44" s="584" t="n"/>
      <c r="F44" s="584" t="n"/>
      <c r="G44" s="584" t="n"/>
      <c r="H44" s="584" t="n"/>
      <c r="I44" s="584" t="n"/>
      <c r="J44" s="584" t="n"/>
      <c r="K44" s="585" t="n"/>
      <c r="L44" s="598" t="n">
        <v>0.6063499999999999</v>
      </c>
    </row>
    <row r="45" ht="28" customHeight="1" s="508">
      <c r="A45" s="586" t="inlineStr">
        <is>
          <t>Prudence factor</t>
        </is>
      </c>
      <c r="B45" s="599" t="n">
        <v>1.5</v>
      </c>
      <c r="C45" s="588" t="inlineStr">
        <is>
          <t>Applied only to frequency. Reporting selection: Both; detailed result sheets use Prudent.</t>
        </is>
      </c>
      <c r="D45" s="584" t="n"/>
      <c r="E45" s="584" t="n"/>
      <c r="F45" s="584" t="n"/>
      <c r="G45" s="584" t="n"/>
      <c r="H45" s="584" t="n"/>
      <c r="I45" s="584" t="n"/>
      <c r="J45" s="584" t="n"/>
      <c r="K45" s="585" t="n"/>
      <c r="L45" s="599" t="n">
        <v>1</v>
      </c>
    </row>
    <row r="46" ht="32" customHeight="1" s="508">
      <c r="A46" s="591" t="n"/>
      <c r="B46" s="591" t="n"/>
      <c r="C46" s="591" t="n"/>
      <c r="D46" s="591" t="n"/>
      <c r="E46" s="591" t="n"/>
      <c r="F46" s="591" t="n"/>
      <c r="G46" s="591" t="n"/>
      <c r="H46" s="591" t="n"/>
      <c r="I46" s="591" t="n"/>
      <c r="J46" s="591" t="n"/>
      <c r="K46" s="591" t="n"/>
      <c r="L46" s="591" t="n"/>
    </row>
    <row r="47" ht="32" customHeight="1" s="508">
      <c r="A47" s="600" t="inlineStr">
        <is>
          <t>Decompositions use the Prudent annual loss distribution (detailed basis when reporting is Both). AAL shares sum to facility AAL. VaR and TVaR are each row's own annual distribution and do not add to the facility totals. Best Estimate is in hidden column L; unhide column L to compare with Prudent.</t>
        </is>
      </c>
      <c r="L47" s="591" t="n"/>
    </row>
    <row r="48" ht="22" customHeight="1" s="508">
      <c r="A48" s="591" t="n"/>
      <c r="B48" s="591" t="n"/>
      <c r="C48" s="591" t="n"/>
      <c r="D48" s="591" t="n"/>
      <c r="E48" s="591" t="n"/>
      <c r="F48" s="591" t="n"/>
      <c r="G48" s="591" t="n"/>
      <c r="H48" s="591" t="n"/>
      <c r="I48" s="591" t="n"/>
      <c r="J48" s="591" t="n"/>
      <c r="K48" s="591" t="n"/>
      <c r="L48" s="591" t="n"/>
    </row>
    <row r="49" ht="20" customHeight="1" s="508">
      <c r="A49" s="387" t="inlineStr">
        <is>
          <t>THREAT ACTOR DECOMPOSITION  ·  Prudent</t>
        </is>
      </c>
      <c r="L49" s="591" t="n"/>
    </row>
    <row r="50" ht="32" customHeight="1" s="508">
      <c r="A50" s="389" t="inlineStr">
        <is>
          <t>Threat actor</t>
        </is>
      </c>
      <c r="B50" s="389" t="inlineStr">
        <is>
          <t>AAL</t>
        </is>
      </c>
      <c r="C50" s="389" t="inlineStr">
        <is>
          <t>VaR 95%</t>
        </is>
      </c>
      <c r="D50" s="389" t="inlineStr">
        <is>
          <t>TVaR 95%</t>
        </is>
      </c>
      <c r="E50" s="389" t="inlineStr">
        <is>
          <t>VaR 99%</t>
        </is>
      </c>
      <c r="F50" s="389" t="inlineStr">
        <is>
          <t>TVaR 99%</t>
        </is>
      </c>
      <c r="G50" s="389" t="inlineStr">
        <is>
          <t>Attempts / yr</t>
        </is>
      </c>
      <c r="H50" s="389" t="inlineStr">
        <is>
          <t>Events / yr</t>
        </is>
      </c>
      <c r="I50" s="389" t="inlineStr">
        <is>
          <t>P(success)</t>
        </is>
      </c>
      <c r="J50" s="389" t="inlineStr">
        <is>
          <t>AAL share</t>
        </is>
      </c>
      <c r="K50" s="389" t="inlineStr">
        <is>
          <t>Rank</t>
        </is>
      </c>
      <c r="L50" s="591" t="n"/>
    </row>
    <row r="51" ht="22" customHeight="1" s="508">
      <c r="A51" s="586" t="inlineStr">
        <is>
          <t>Cybercriminal</t>
        </is>
      </c>
      <c r="B51" s="587" t="n">
        <v>1102563.749705142</v>
      </c>
      <c r="C51" s="587" t="n">
        <v>0</v>
      </c>
      <c r="D51" s="587" t="n">
        <v>22051274.99410285</v>
      </c>
      <c r="E51" s="587" t="n">
        <v>29383433.61961467</v>
      </c>
      <c r="F51" s="587" t="n">
        <v>84017400.20951459</v>
      </c>
      <c r="G51" s="597" t="n">
        <v>0.681216</v>
      </c>
      <c r="H51" s="597" t="n">
        <v>0.033176</v>
      </c>
      <c r="I51" s="592" t="n">
        <v>0.04947335976200476</v>
      </c>
      <c r="J51" s="592" t="n">
        <v>0.5695816860956212</v>
      </c>
      <c r="K51" s="601" t="n">
        <v>1</v>
      </c>
      <c r="L51" s="591" t="n"/>
    </row>
    <row r="52" ht="22" customHeight="1" s="508">
      <c r="A52" s="586" t="inlineStr">
        <is>
          <t>Nation State</t>
        </is>
      </c>
      <c r="B52" s="589" t="n">
        <v>556851.8619734197</v>
      </c>
      <c r="C52" s="589" t="n">
        <v>0</v>
      </c>
      <c r="D52" s="589" t="n">
        <v>11137037.23946839</v>
      </c>
      <c r="E52" s="589" t="n">
        <v>6510374.940110574</v>
      </c>
      <c r="F52" s="589" t="n">
        <v>54709925.68978862</v>
      </c>
      <c r="G52" s="598" t="n">
        <v>0.180244</v>
      </c>
      <c r="H52" s="598" t="n">
        <v>0.012746</v>
      </c>
      <c r="I52" s="602" t="n">
        <v>0.07089818745394084</v>
      </c>
      <c r="J52" s="602" t="n">
        <v>0.2876682845169976</v>
      </c>
      <c r="K52" s="603" t="n">
        <v>2</v>
      </c>
      <c r="L52" s="591" t="n"/>
    </row>
    <row r="53" ht="22" customHeight="1" s="508">
      <c r="A53" s="586" t="inlineStr">
        <is>
          <t>Malicious Insider</t>
        </is>
      </c>
      <c r="B53" s="587" t="n">
        <v>276327.3671082312</v>
      </c>
      <c r="C53" s="587" t="n">
        <v>0</v>
      </c>
      <c r="D53" s="587" t="n">
        <v>5526547.342164625</v>
      </c>
      <c r="E53" s="587" t="n">
        <v>0</v>
      </c>
      <c r="F53" s="587" t="n">
        <v>27632736.71082313</v>
      </c>
      <c r="G53" s="597" t="n">
        <v>0.045124</v>
      </c>
      <c r="H53" s="597" t="n">
        <v>0.005856</v>
      </c>
      <c r="I53" s="592" t="n">
        <v>0.1294925745777165</v>
      </c>
      <c r="J53" s="592" t="n">
        <v>0.142750029387381</v>
      </c>
      <c r="K53" s="601" t="n">
        <v>3</v>
      </c>
      <c r="L53" s="591" t="n"/>
    </row>
    <row r="54" ht="22" customHeight="1" s="508">
      <c r="A54" s="591" t="n"/>
      <c r="B54" s="591" t="n"/>
      <c r="C54" s="591" t="n"/>
      <c r="D54" s="591" t="n"/>
      <c r="E54" s="591" t="n"/>
      <c r="F54" s="591" t="n"/>
      <c r="G54" s="591" t="n"/>
      <c r="H54" s="591" t="n"/>
      <c r="I54" s="591" t="n"/>
      <c r="J54" s="591" t="n"/>
      <c r="K54" s="591" t="n"/>
      <c r="L54" s="591" t="n"/>
    </row>
    <row r="55" ht="22" customHeight="1" s="508">
      <c r="A55" s="591" t="n"/>
      <c r="B55" s="591" t="n"/>
      <c r="C55" s="591" t="n"/>
      <c r="D55" s="591" t="n"/>
      <c r="E55" s="591" t="n"/>
      <c r="F55" s="591" t="n"/>
      <c r="G55" s="591" t="n"/>
      <c r="H55" s="591" t="n"/>
      <c r="I55" s="591" t="n"/>
      <c r="J55" s="591" t="n"/>
      <c r="K55" s="591" t="n"/>
      <c r="L55" s="591" t="n"/>
    </row>
    <row r="56" ht="20" customHeight="1" s="508">
      <c r="A56" s="387" t="inlineStr">
        <is>
          <t>SCENARIO DECOMPOSITION  ·  Prudent</t>
        </is>
      </c>
      <c r="L56" s="591" t="n"/>
    </row>
    <row r="57" ht="32" customHeight="1" s="508">
      <c r="A57" s="389" t="inlineStr">
        <is>
          <t>Scenario</t>
        </is>
      </c>
      <c r="B57" s="389" t="inlineStr">
        <is>
          <t>AAL</t>
        </is>
      </c>
      <c r="C57" s="389" t="inlineStr">
        <is>
          <t>VaR 95%</t>
        </is>
      </c>
      <c r="D57" s="389" t="inlineStr">
        <is>
          <t>TVaR 95%</t>
        </is>
      </c>
      <c r="E57" s="389" t="inlineStr">
        <is>
          <t>VaR 99%</t>
        </is>
      </c>
      <c r="F57" s="389" t="inlineStr">
        <is>
          <t>TVaR 99%</t>
        </is>
      </c>
      <c r="G57" s="389" t="inlineStr">
        <is>
          <t>Attempts / yr</t>
        </is>
      </c>
      <c r="H57" s="389" t="inlineStr">
        <is>
          <t>Events / yr</t>
        </is>
      </c>
      <c r="I57" s="389" t="inlineStr">
        <is>
          <t>P(success)</t>
        </is>
      </c>
      <c r="J57" s="389" t="inlineStr">
        <is>
          <t>AAL share</t>
        </is>
      </c>
      <c r="K57" s="389" t="inlineStr">
        <is>
          <t>Rank</t>
        </is>
      </c>
      <c r="L57" s="591" t="n"/>
    </row>
    <row r="58" ht="22" customHeight="1" s="508">
      <c r="A58" s="586" t="inlineStr">
        <is>
          <t>Operational Disruption</t>
        </is>
      </c>
      <c r="B58" s="587" t="n">
        <v>812442.6841133335</v>
      </c>
      <c r="C58" s="587" t="n">
        <v>0</v>
      </c>
      <c r="D58" s="587" t="n">
        <v>16248853.68226667</v>
      </c>
      <c r="E58" s="587" t="n">
        <v>24334738.15526144</v>
      </c>
      <c r="F58" s="587" t="n">
        <v>59102890.40733705</v>
      </c>
      <c r="G58" s="597" t="n">
        <v>0.535944</v>
      </c>
      <c r="H58" s="597" t="n">
        <v>0.031962</v>
      </c>
      <c r="I58" s="592" t="n">
        <v>0.06031967990059199</v>
      </c>
      <c r="J58" s="592" t="n">
        <v>0.4197058664381794</v>
      </c>
      <c r="K58" s="601" t="n">
        <v>1</v>
      </c>
      <c r="L58" s="591" t="n"/>
    </row>
    <row r="59" ht="22" customHeight="1" s="508">
      <c r="A59" s="586" t="inlineStr">
        <is>
          <t>Destructive or Integrity Attack</t>
        </is>
      </c>
      <c r="B59" s="589" t="n">
        <v>613047.7032922329</v>
      </c>
      <c r="C59" s="589" t="n">
        <v>0</v>
      </c>
      <c r="D59" s="589" t="n">
        <v>12260954.06584466</v>
      </c>
      <c r="E59" s="589" t="n">
        <v>0</v>
      </c>
      <c r="F59" s="589" t="n">
        <v>61304770.32922329</v>
      </c>
      <c r="G59" s="598" t="n">
        <v>0.135498</v>
      </c>
      <c r="H59" s="598" t="n">
        <v>0.005608</v>
      </c>
      <c r="I59" s="602" t="n">
        <v>0.04189168814796708</v>
      </c>
      <c r="J59" s="602" t="n">
        <v>0.3166989161321686</v>
      </c>
      <c r="K59" s="603" t="n">
        <v>2</v>
      </c>
      <c r="L59" s="591" t="n"/>
    </row>
    <row r="60" ht="22" customHeight="1" s="508">
      <c r="A60" s="586" t="inlineStr">
        <is>
          <t>Process Manipulation</t>
        </is>
      </c>
      <c r="B60" s="587" t="n">
        <v>226518.0642018289</v>
      </c>
      <c r="C60" s="587" t="n">
        <v>0</v>
      </c>
      <c r="D60" s="587" t="n">
        <v>4530361.284036579</v>
      </c>
      <c r="E60" s="587" t="n">
        <v>0</v>
      </c>
      <c r="F60" s="587" t="n">
        <v>22651806.42018289</v>
      </c>
      <c r="G60" s="597" t="n">
        <v>0.087954</v>
      </c>
      <c r="H60" s="597" t="n">
        <v>0.004884</v>
      </c>
      <c r="I60" s="592" t="n">
        <v>0.05683293512990094</v>
      </c>
      <c r="J60" s="592" t="n">
        <v>0.1170186676042068</v>
      </c>
      <c r="K60" s="601" t="n">
        <v>3</v>
      </c>
      <c r="L60" s="591" t="n"/>
    </row>
    <row r="61" ht="22" customHeight="1" s="508">
      <c r="A61" s="586" t="inlineStr">
        <is>
          <t>Safety System Compromise</t>
        </is>
      </c>
      <c r="B61" s="589" t="n">
        <v>165049.0162830711</v>
      </c>
      <c r="C61" s="589" t="n">
        <v>0</v>
      </c>
      <c r="D61" s="589" t="n">
        <v>3300980.325661421</v>
      </c>
      <c r="E61" s="589" t="n">
        <v>0</v>
      </c>
      <c r="F61" s="589" t="n">
        <v>16504901.62830711</v>
      </c>
      <c r="G61" s="598" t="n">
        <v>0.045402</v>
      </c>
      <c r="H61" s="598" t="n">
        <v>0.002318</v>
      </c>
      <c r="I61" s="602" t="n">
        <v>0.0520832137021966</v>
      </c>
      <c r="J61" s="602" t="n">
        <v>0.08526391059752872</v>
      </c>
      <c r="K61" s="603" t="n">
        <v>4</v>
      </c>
      <c r="L61" s="591" t="n"/>
    </row>
    <row r="62" ht="22" customHeight="1" s="508">
      <c r="A62" s="586" t="inlineStr">
        <is>
          <t>Loss of Control or Visibility</t>
        </is>
      </c>
      <c r="B62" s="587" t="n">
        <v>118685.5108963268</v>
      </c>
      <c r="C62" s="587" t="n">
        <v>0</v>
      </c>
      <c r="D62" s="587" t="n">
        <v>2373710.217926537</v>
      </c>
      <c r="E62" s="587" t="n">
        <v>0</v>
      </c>
      <c r="F62" s="587" t="n">
        <v>11868551.08963269</v>
      </c>
      <c r="G62" s="597" t="n">
        <v>0.101786</v>
      </c>
      <c r="H62" s="597" t="n">
        <v>0.007006</v>
      </c>
      <c r="I62" s="592" t="n">
        <v>0.06834597634338981</v>
      </c>
      <c r="J62" s="592" t="n">
        <v>0.06131263922791638</v>
      </c>
      <c r="K62" s="601" t="n">
        <v>5</v>
      </c>
      <c r="L62" s="591" t="n"/>
    </row>
    <row r="63" s="508">
      <c r="A63" s="591" t="n"/>
      <c r="B63" s="591" t="n"/>
      <c r="C63" s="591" t="n"/>
      <c r="D63" s="591" t="n"/>
      <c r="E63" s="591" t="n"/>
      <c r="F63" s="591" t="n"/>
      <c r="G63" s="591" t="n"/>
      <c r="H63" s="591" t="n"/>
      <c r="I63" s="591" t="n"/>
      <c r="J63" s="591" t="n"/>
      <c r="K63" s="591" t="n"/>
      <c r="L63" s="591" t="n"/>
    </row>
    <row r="64" ht="32" customHeight="1" s="508">
      <c r="A64" s="591" t="n"/>
      <c r="B64" s="591" t="n"/>
      <c r="C64" s="591" t="n"/>
      <c r="D64" s="591" t="n"/>
      <c r="E64" s="591" t="n"/>
      <c r="F64" s="591" t="n"/>
      <c r="G64" s="591" t="n"/>
      <c r="H64" s="591" t="n"/>
      <c r="I64" s="591" t="n"/>
      <c r="J64" s="591" t="n"/>
      <c r="K64" s="591" t="n"/>
      <c r="L64" s="591" t="n"/>
    </row>
    <row r="65" ht="20" customHeight="1" s="508">
      <c r="A65" s="387" t="inlineStr">
        <is>
          <t>ASSUMED ATTACK PATH</t>
        </is>
      </c>
      <c r="L65" s="591" t="n"/>
    </row>
    <row r="66" ht="78" customHeight="1" s="508">
      <c r="A66" s="526" t="inlineStr">
        <is>
          <t>The model does not assume one named intrusion. Each simulated campaign draws a threat actor and an adverse scenario, then tests whether that actor can complete a five-stage ATT&amp;CK for ICS path against this facility. A successful loss event occurs only if every required stage is passed. Prevent/resist controls are stage barriers; detect/contain and recover/restore change how long and how costly a successful event is, not whether the path succeeds. Facility topology (remote access, IT-OT connectivity, internet-exposed OT, transient assets, supply chain, wireless, safety systems) can close techniques before the path is quantified. Stage-by-stage probabilities are on 15 Attack Path Calc.</t>
        </is>
      </c>
      <c r="L66" s="591" t="n"/>
    </row>
    <row r="67" ht="52" customHeight="1" s="508">
      <c r="A67" s="591" t="n"/>
      <c r="B67" s="591" t="n"/>
      <c r="C67" s="591" t="n"/>
      <c r="D67" s="591" t="n"/>
      <c r="E67" s="591" t="n"/>
      <c r="F67" s="591" t="n"/>
      <c r="G67" s="591" t="n"/>
      <c r="H67" s="591" t="n"/>
      <c r="I67" s="591" t="n"/>
      <c r="J67" s="591" t="n"/>
      <c r="K67" s="591" t="n"/>
      <c r="L67" s="591" t="n"/>
    </row>
    <row r="68" ht="32" customHeight="1" s="508">
      <c r="A68" s="389" t="inlineStr">
        <is>
          <t>Stage</t>
        </is>
      </c>
      <c r="B68" s="389" t="inlineStr">
        <is>
          <t>Name</t>
        </is>
      </c>
      <c r="C68" s="397" t="inlineStr">
        <is>
          <t>What the adversary does</t>
        </is>
      </c>
      <c r="D68" s="585" t="n"/>
      <c r="E68" s="397" t="inlineStr">
        <is>
          <t>Modelling note</t>
        </is>
      </c>
      <c r="F68" s="584" t="n"/>
      <c r="G68" s="584" t="n"/>
      <c r="H68" s="584" t="n"/>
      <c r="I68" s="584" t="n"/>
      <c r="J68" s="584" t="n"/>
      <c r="K68" s="585" t="n"/>
      <c r="L68" s="591" t="n"/>
    </row>
    <row r="69" ht="52" customHeight="1" s="508">
      <c r="A69" s="605" t="inlineStr">
        <is>
          <t>S1</t>
        </is>
      </c>
      <c r="B69" s="605" t="inlineStr">
        <is>
          <t>Initial access</t>
        </is>
      </c>
      <c r="C69" s="605" t="inlineStr">
        <is>
          <t>Gain a foothold from outside (remote access, internet-exposed OT, supply chain, or transient media).</t>
        </is>
      </c>
      <c r="E69" s="605" t="inlineStr">
        <is>
          <t>Required except for Malicious Insider, who is already inside.</t>
        </is>
      </c>
      <c r="L69" s="591" t="n"/>
    </row>
    <row r="70" ht="52" customHeight="1" s="508">
      <c r="A70" s="605" t="inlineStr">
        <is>
          <t>S2</t>
        </is>
      </c>
      <c r="B70" s="605" t="inlineStr">
        <is>
          <t>Establish presence</t>
        </is>
      </c>
      <c r="C70" s="605" t="inlineStr">
        <is>
          <t>Persist, escalate privilege, execute code, and evade detection on the compromised system.</t>
        </is>
      </c>
      <c r="E70" s="605" t="inlineStr">
        <is>
          <t>Required for all actors.</t>
        </is>
      </c>
      <c r="L70" s="591" t="n"/>
    </row>
    <row r="71" ht="52" customHeight="1" s="508">
      <c r="A71" s="605" t="inlineStr">
        <is>
          <t>S3</t>
        </is>
      </c>
      <c r="B71" s="605" t="inlineStr">
        <is>
          <t>Move into OT</t>
        </is>
      </c>
      <c r="C71" s="605" t="inlineStr">
        <is>
          <t>Lateral movement and command-and-control to reach process-adjacent systems.</t>
        </is>
      </c>
      <c r="E71" s="605" t="inlineStr">
        <is>
          <t>Required for all actors.</t>
        </is>
      </c>
      <c r="L71" s="591" t="n"/>
    </row>
    <row r="72" ht="52" customHeight="1" s="508">
      <c r="A72" s="605" t="inlineStr">
        <is>
          <t>S4</t>
        </is>
      </c>
      <c r="B72" s="605" t="inlineStr">
        <is>
          <t>Understand the process</t>
        </is>
      </c>
      <c r="C72" s="605" t="inlineStr">
        <is>
          <t>Discovery and collection of OT/process information needed to cause the intended harm.</t>
        </is>
      </c>
      <c r="E72" s="605" t="inlineStr">
        <is>
          <t>Required for all actors.</t>
        </is>
      </c>
      <c r="L72" s="591" t="n"/>
    </row>
    <row r="73" ht="52" customHeight="1" s="508">
      <c r="A73" s="605" t="inlineStr">
        <is>
          <t>S5</t>
        </is>
      </c>
      <c r="B73" s="605" t="inlineStr">
        <is>
          <t>Achieve the adverse outcome</t>
        </is>
      </c>
      <c r="C73" s="605" t="inlineStr">
        <is>
          <t>Impact, impair process control, or inhibit response — the scenario-defining techniques.</t>
        </is>
      </c>
      <c r="E73" s="605" t="inlineStr">
        <is>
          <t>Requires at least one scenario-defining technique. Actor S5 capability × scenario difficulty.</t>
        </is>
      </c>
      <c r="L73" s="591" t="n"/>
    </row>
    <row r="74" s="508">
      <c r="A74" s="591" t="n"/>
      <c r="B74" s="591" t="n"/>
      <c r="C74" s="591" t="n"/>
      <c r="D74" s="591" t="n"/>
      <c r="E74" s="591" t="n"/>
      <c r="F74" s="591" t="n"/>
      <c r="G74" s="591" t="n"/>
      <c r="H74" s="591" t="n"/>
      <c r="I74" s="591" t="n"/>
      <c r="J74" s="591" t="n"/>
      <c r="K74" s="591" t="n"/>
      <c r="L74" s="591" t="n"/>
    </row>
    <row r="75" s="508">
      <c r="A75" s="591" t="n"/>
      <c r="B75" s="591" t="n"/>
      <c r="C75" s="591" t="n"/>
      <c r="D75" s="591" t="n"/>
      <c r="E75" s="591" t="n"/>
      <c r="F75" s="591" t="n"/>
      <c r="G75" s="591" t="n"/>
      <c r="H75" s="591" t="n"/>
      <c r="I75" s="591" t="n"/>
      <c r="J75" s="591" t="n"/>
      <c r="K75" s="591" t="n"/>
      <c r="L75" s="591" t="n"/>
    </row>
    <row r="76" s="508">
      <c r="A76" s="591" t="n"/>
      <c r="B76" s="591" t="n"/>
      <c r="C76" s="591" t="n"/>
      <c r="D76" s="591" t="n"/>
      <c r="E76" s="591" t="n"/>
      <c r="F76" s="591" t="n"/>
      <c r="G76" s="591" t="n"/>
      <c r="H76" s="591" t="n"/>
      <c r="I76" s="591" t="n"/>
      <c r="J76" s="591" t="n"/>
      <c r="K76" s="591" t="n"/>
      <c r="L76" s="591" t="n"/>
    </row>
    <row r="77" s="508">
      <c r="A77" s="591" t="n"/>
      <c r="B77" s="591" t="n"/>
      <c r="C77" s="591" t="n"/>
      <c r="D77" s="591" t="n"/>
      <c r="E77" s="591" t="n"/>
      <c r="F77" s="591" t="n"/>
      <c r="G77" s="591" t="n"/>
      <c r="H77" s="591" t="n"/>
      <c r="I77" s="591" t="n"/>
      <c r="J77" s="591" t="n"/>
      <c r="K77" s="591" t="n"/>
      <c r="L77" s="591" t="n"/>
    </row>
    <row r="78" s="508">
      <c r="A78" s="591" t="n"/>
      <c r="B78" s="591" t="n"/>
      <c r="C78" s="591" t="n"/>
      <c r="D78" s="591" t="n"/>
      <c r="E78" s="591" t="n"/>
      <c r="F78" s="591" t="n"/>
      <c r="G78" s="591" t="n"/>
      <c r="H78" s="591" t="n"/>
      <c r="I78" s="591" t="n"/>
      <c r="J78" s="591" t="n"/>
      <c r="K78" s="591" t="n"/>
      <c r="L78" s="591" t="n"/>
    </row>
    <row r="79" s="508">
      <c r="A79" s="591" t="n"/>
      <c r="B79" s="591" t="n"/>
      <c r="C79" s="591" t="n"/>
      <c r="D79" s="591" t="n"/>
      <c r="E79" s="591" t="n"/>
      <c r="F79" s="591" t="n"/>
      <c r="G79" s="591" t="n"/>
      <c r="H79" s="591" t="n"/>
      <c r="I79" s="591" t="n"/>
      <c r="J79" s="591" t="n"/>
      <c r="K79" s="591" t="n"/>
      <c r="L79" s="591" t="n"/>
    </row>
    <row r="80" s="508">
      <c r="A80" s="591" t="n"/>
      <c r="B80" s="591" t="n"/>
      <c r="C80" s="591" t="n"/>
      <c r="D80" s="591" t="n"/>
      <c r="E80" s="591" t="n"/>
      <c r="F80" s="591" t="n"/>
      <c r="G80" s="591" t="n"/>
      <c r="H80" s="591" t="n"/>
      <c r="I80" s="591" t="n"/>
      <c r="J80" s="591" t="n"/>
      <c r="K80" s="591" t="n"/>
      <c r="L80" s="591" t="n"/>
    </row>
    <row r="81" s="508">
      <c r="A81" s="591" t="n"/>
      <c r="B81" s="591" t="n"/>
      <c r="C81" s="591" t="n"/>
      <c r="D81" s="591" t="n"/>
      <c r="E81" s="591" t="n"/>
      <c r="F81" s="591" t="n"/>
      <c r="G81" s="591" t="n"/>
      <c r="H81" s="591" t="n"/>
      <c r="I81" s="591" t="n"/>
      <c r="J81" s="591" t="n"/>
      <c r="K81" s="591" t="n"/>
      <c r="L81" s="591" t="n"/>
    </row>
    <row r="82" s="508">
      <c r="A82" s="591" t="n"/>
      <c r="B82" s="591" t="n"/>
      <c r="C82" s="591" t="n"/>
      <c r="D82" s="591" t="n"/>
      <c r="E82" s="591" t="n"/>
      <c r="F82" s="591" t="n"/>
      <c r="G82" s="591" t="n"/>
      <c r="H82" s="591" t="n"/>
      <c r="I82" s="591" t="n"/>
      <c r="J82" s="591" t="n"/>
      <c r="K82" s="591" t="n"/>
      <c r="L82" s="591" t="n"/>
    </row>
    <row r="83" s="508">
      <c r="A83" s="591" t="n"/>
      <c r="B83" s="591" t="n"/>
      <c r="C83" s="591" t="n"/>
      <c r="D83" s="591" t="n"/>
      <c r="E83" s="591" t="n"/>
      <c r="F83" s="591" t="n"/>
      <c r="G83" s="591" t="n"/>
      <c r="H83" s="591" t="n"/>
      <c r="I83" s="591" t="n"/>
      <c r="J83" s="591" t="n"/>
      <c r="K83" s="591" t="n"/>
      <c r="L83" s="591" t="n"/>
    </row>
    <row r="84" s="508">
      <c r="A84" s="591" t="n"/>
      <c r="B84" s="591" t="n"/>
      <c r="C84" s="591" t="n"/>
      <c r="D84" s="591" t="n"/>
      <c r="E84" s="591" t="n"/>
      <c r="F84" s="591" t="n"/>
      <c r="G84" s="591" t="n"/>
      <c r="H84" s="591" t="n"/>
      <c r="I84" s="591" t="n"/>
      <c r="J84" s="591" t="n"/>
      <c r="K84" s="591" t="n"/>
      <c r="L84" s="591" t="n"/>
    </row>
    <row r="85" s="508">
      <c r="A85" s="591" t="n"/>
      <c r="B85" s="591" t="n"/>
      <c r="C85" s="591" t="n"/>
      <c r="D85" s="591" t="n"/>
      <c r="E85" s="591" t="n"/>
      <c r="F85" s="591" t="n"/>
      <c r="G85" s="591" t="n"/>
      <c r="H85" s="591" t="n"/>
      <c r="I85" s="591" t="n"/>
      <c r="J85" s="591" t="n"/>
      <c r="K85" s="591" t="n"/>
      <c r="L85" s="591" t="n"/>
    </row>
    <row r="86" s="508">
      <c r="A86" s="591" t="n"/>
      <c r="B86" s="591" t="n"/>
      <c r="C86" s="591" t="n"/>
      <c r="D86" s="591" t="n"/>
      <c r="E86" s="591" t="n"/>
      <c r="F86" s="591" t="n"/>
      <c r="G86" s="591" t="n"/>
      <c r="H86" s="591" t="n"/>
      <c r="I86" s="591" t="n"/>
      <c r="J86" s="591" t="n"/>
      <c r="K86" s="591" t="n"/>
      <c r="L86" s="591" t="n"/>
    </row>
    <row r="87" s="508">
      <c r="A87" s="591" t="n"/>
      <c r="B87" s="591" t="n"/>
      <c r="C87" s="591" t="n"/>
      <c r="D87" s="591" t="n"/>
      <c r="E87" s="591" t="n"/>
      <c r="F87" s="591" t="n"/>
      <c r="G87" s="591" t="n"/>
      <c r="H87" s="591" t="n"/>
      <c r="I87" s="591" t="n"/>
      <c r="J87" s="591" t="n"/>
      <c r="K87" s="591" t="n"/>
      <c r="L87" s="591" t="n"/>
    </row>
    <row r="88" s="508">
      <c r="A88" s="591" t="n"/>
      <c r="B88" s="591" t="n"/>
      <c r="C88" s="591" t="n"/>
      <c r="D88" s="591" t="n"/>
      <c r="E88" s="591" t="n"/>
      <c r="F88" s="591" t="n"/>
      <c r="G88" s="591" t="n"/>
      <c r="H88" s="591" t="n"/>
      <c r="I88" s="591" t="n"/>
      <c r="J88" s="591" t="n"/>
      <c r="K88" s="591" t="n"/>
      <c r="L88" s="591" t="n"/>
    </row>
    <row r="89" s="508">
      <c r="A89" s="591" t="n"/>
      <c r="B89" s="591" t="n"/>
      <c r="C89" s="591" t="n"/>
      <c r="D89" s="591" t="n"/>
      <c r="E89" s="591" t="n"/>
      <c r="F89" s="591" t="n"/>
      <c r="G89" s="591" t="n"/>
      <c r="H89" s="591" t="n"/>
      <c r="I89" s="591" t="n"/>
      <c r="J89" s="591" t="n"/>
      <c r="K89" s="591" t="n"/>
      <c r="L89" s="591" t="n"/>
    </row>
    <row r="90" s="508">
      <c r="A90" s="591" t="n"/>
      <c r="B90" s="591" t="n"/>
      <c r="C90" s="591" t="n"/>
      <c r="D90" s="591" t="n"/>
      <c r="E90" s="591" t="n"/>
      <c r="F90" s="591" t="n"/>
      <c r="G90" s="591" t="n"/>
      <c r="H90" s="591" t="n"/>
      <c r="I90" s="591" t="n"/>
      <c r="J90" s="591" t="n"/>
      <c r="K90" s="591" t="n"/>
      <c r="L90" s="591" t="n"/>
    </row>
    <row r="91">
      <c r="A91" s="591" t="n"/>
      <c r="B91" s="591" t="n"/>
      <c r="C91" s="591" t="n"/>
      <c r="D91" s="591" t="n"/>
      <c r="E91" s="591" t="n"/>
      <c r="F91" s="591" t="n"/>
      <c r="G91" s="591" t="n"/>
      <c r="H91" s="591" t="n"/>
      <c r="I91" s="591" t="n"/>
      <c r="J91" s="591" t="n"/>
      <c r="K91" s="591" t="n"/>
      <c r="L91" s="591" t="n"/>
    </row>
    <row r="92">
      <c r="A92" s="591" t="n"/>
      <c r="B92" s="591" t="n"/>
      <c r="C92" s="591" t="n"/>
      <c r="D92" s="591" t="n"/>
      <c r="E92" s="591" t="n"/>
      <c r="F92" s="591" t="n"/>
      <c r="G92" s="591" t="n"/>
      <c r="H92" s="591" t="n"/>
      <c r="I92" s="591" t="n"/>
      <c r="J92" s="591" t="n"/>
      <c r="K92" s="591" t="n"/>
      <c r="L92" s="591" t="n"/>
    </row>
    <row r="93">
      <c r="A93" s="591" t="n"/>
      <c r="B93" s="591" t="n"/>
      <c r="C93" s="591" t="n"/>
      <c r="D93" s="591" t="n"/>
      <c r="E93" s="591" t="n"/>
      <c r="F93" s="591" t="n"/>
      <c r="G93" s="591" t="n"/>
      <c r="H93" s="591" t="n"/>
      <c r="I93" s="591" t="n"/>
      <c r="J93" s="591" t="n"/>
      <c r="K93" s="591" t="n"/>
      <c r="L93" s="591" t="n"/>
    </row>
    <row r="94">
      <c r="A94" s="591" t="n"/>
      <c r="B94" s="591" t="n"/>
      <c r="C94" s="591" t="n"/>
      <c r="D94" s="591" t="n"/>
      <c r="E94" s="591" t="n"/>
      <c r="F94" s="591" t="n"/>
      <c r="G94" s="591" t="n"/>
      <c r="H94" s="591" t="n"/>
      <c r="I94" s="591" t="n"/>
      <c r="J94" s="591" t="n"/>
      <c r="K94" s="591" t="n"/>
      <c r="L94" s="591" t="n"/>
    </row>
    <row r="95">
      <c r="A95" s="591" t="n"/>
      <c r="B95" s="591" t="n"/>
      <c r="C95" s="591" t="n"/>
      <c r="D95" s="591" t="n"/>
      <c r="E95" s="591" t="n"/>
      <c r="F95" s="591" t="n"/>
      <c r="G95" s="591" t="n"/>
      <c r="H95" s="591" t="n"/>
      <c r="I95" s="591" t="n"/>
      <c r="J95" s="591" t="n"/>
      <c r="K95" s="591" t="n"/>
      <c r="L95" s="591" t="n"/>
    </row>
    <row r="96">
      <c r="A96" s="591" t="n"/>
      <c r="B96" s="591" t="n"/>
      <c r="C96" s="591" t="n"/>
      <c r="D96" s="591" t="n"/>
      <c r="E96" s="591" t="n"/>
      <c r="F96" s="591" t="n"/>
      <c r="G96" s="591" t="n"/>
      <c r="H96" s="591" t="n"/>
      <c r="I96" s="591" t="n"/>
      <c r="J96" s="591" t="n"/>
      <c r="K96" s="591" t="n"/>
      <c r="L96" s="591" t="n"/>
    </row>
    <row r="97">
      <c r="A97" s="591" t="n"/>
      <c r="B97" s="591" t="n"/>
      <c r="C97" s="591" t="n"/>
      <c r="D97" s="591" t="n"/>
      <c r="E97" s="591" t="n"/>
      <c r="F97" s="591" t="n"/>
      <c r="G97" s="591" t="n"/>
      <c r="H97" s="591" t="n"/>
      <c r="I97" s="591" t="n"/>
      <c r="J97" s="591" t="n"/>
      <c r="K97" s="591" t="n"/>
      <c r="L97" s="591" t="n"/>
    </row>
    <row r="98">
      <c r="A98" s="591" t="n"/>
      <c r="B98" s="591" t="n"/>
      <c r="C98" s="591" t="n"/>
      <c r="D98" s="591" t="n"/>
      <c r="E98" s="591" t="n"/>
      <c r="F98" s="591" t="n"/>
      <c r="G98" s="591" t="n"/>
      <c r="H98" s="591" t="n"/>
      <c r="I98" s="591" t="n"/>
      <c r="J98" s="591" t="n"/>
      <c r="K98" s="591" t="n"/>
      <c r="L98" s="591" t="n"/>
    </row>
    <row r="99">
      <c r="A99" s="591" t="n"/>
      <c r="B99" s="591" t="n"/>
      <c r="C99" s="591" t="n"/>
      <c r="D99" s="591" t="n"/>
      <c r="E99" s="591" t="n"/>
      <c r="F99" s="591" t="n"/>
      <c r="G99" s="591" t="n"/>
      <c r="H99" s="591" t="n"/>
      <c r="I99" s="591" t="n"/>
      <c r="J99" s="591" t="n"/>
      <c r="K99" s="591" t="n"/>
      <c r="L99" s="591" t="n"/>
    </row>
    <row r="100">
      <c r="A100" s="591" t="n"/>
      <c r="B100" s="591" t="n"/>
      <c r="C100" s="591" t="n"/>
      <c r="D100" s="591" t="n"/>
      <c r="E100" s="591" t="n"/>
      <c r="F100" s="591" t="n"/>
      <c r="G100" s="591" t="n"/>
      <c r="H100" s="591" t="n"/>
      <c r="I100" s="591" t="n"/>
      <c r="J100" s="591" t="n"/>
      <c r="K100" s="591" t="n"/>
      <c r="L100" s="591" t="n"/>
    </row>
    <row r="101">
      <c r="A101" s="591" t="n"/>
      <c r="B101" s="591" t="n"/>
      <c r="C101" s="591" t="n"/>
      <c r="D101" s="591" t="n"/>
      <c r="E101" s="591" t="n"/>
      <c r="F101" s="591" t="n"/>
      <c r="G101" s="591" t="n"/>
      <c r="H101" s="591" t="n"/>
      <c r="I101" s="591" t="n"/>
      <c r="J101" s="591" t="n"/>
      <c r="K101" s="591" t="n"/>
      <c r="L101" s="591" t="n"/>
    </row>
    <row r="102">
      <c r="A102" s="591" t="n"/>
      <c r="B102" s="591" t="n"/>
      <c r="C102" s="591" t="n"/>
      <c r="D102" s="591" t="n"/>
      <c r="E102" s="591" t="n"/>
      <c r="F102" s="591" t="n"/>
      <c r="G102" s="591" t="n"/>
      <c r="H102" s="591" t="n"/>
      <c r="I102" s="591" t="n"/>
      <c r="J102" s="591" t="n"/>
      <c r="K102" s="591" t="n"/>
      <c r="L102" s="591" t="n"/>
    </row>
    <row r="103">
      <c r="A103" s="591" t="n"/>
      <c r="B103" s="591" t="n"/>
      <c r="C103" s="591" t="n"/>
      <c r="D103" s="591" t="n"/>
      <c r="E103" s="591" t="n"/>
      <c r="F103" s="591" t="n"/>
      <c r="G103" s="591" t="n"/>
      <c r="H103" s="591" t="n"/>
      <c r="I103" s="591" t="n"/>
      <c r="J103" s="591" t="n"/>
      <c r="K103" s="591" t="n"/>
      <c r="L103" s="591" t="n"/>
    </row>
    <row r="104">
      <c r="A104" s="591" t="n"/>
      <c r="B104" s="591" t="n"/>
      <c r="C104" s="591" t="n"/>
      <c r="D104" s="591" t="n"/>
      <c r="E104" s="591" t="n"/>
      <c r="F104" s="591" t="n"/>
      <c r="G104" s="591" t="n"/>
      <c r="H104" s="591" t="n"/>
      <c r="I104" s="591" t="n"/>
      <c r="J104" s="591" t="n"/>
      <c r="K104" s="591" t="n"/>
      <c r="L104" s="591" t="n"/>
    </row>
    <row r="105">
      <c r="A105" s="591" t="n"/>
      <c r="B105" s="591" t="n"/>
      <c r="C105" s="591" t="n"/>
      <c r="D105" s="591" t="n"/>
      <c r="E105" s="591" t="n"/>
      <c r="F105" s="591" t="n"/>
      <c r="G105" s="591" t="n"/>
      <c r="H105" s="591" t="n"/>
      <c r="I105" s="591" t="n"/>
      <c r="J105" s="591" t="n"/>
      <c r="K105" s="591" t="n"/>
      <c r="L105" s="591" t="n"/>
    </row>
    <row r="106">
      <c r="A106" s="591" t="n"/>
      <c r="B106" s="591" t="n"/>
      <c r="C106" s="591" t="n"/>
      <c r="D106" s="591" t="n"/>
      <c r="E106" s="591" t="n"/>
      <c r="F106" s="591" t="n"/>
      <c r="G106" s="591" t="n"/>
      <c r="H106" s="591" t="n"/>
      <c r="I106" s="591" t="n"/>
      <c r="J106" s="591" t="n"/>
      <c r="K106" s="591" t="n"/>
      <c r="L106" s="591" t="n"/>
    </row>
    <row r="107">
      <c r="A107" s="591" t="n"/>
      <c r="B107" s="591" t="n"/>
      <c r="C107" s="591" t="n"/>
      <c r="D107" s="591" t="n"/>
      <c r="E107" s="591" t="n"/>
      <c r="F107" s="591" t="n"/>
      <c r="G107" s="591" t="n"/>
      <c r="H107" s="591" t="n"/>
      <c r="I107" s="591" t="n"/>
      <c r="J107" s="591" t="n"/>
      <c r="K107" s="591" t="n"/>
      <c r="L107" s="591" t="n"/>
    </row>
    <row r="108">
      <c r="A108" s="591" t="n"/>
      <c r="B108" s="591" t="n"/>
      <c r="C108" s="591" t="n"/>
      <c r="D108" s="591" t="n"/>
      <c r="E108" s="591" t="n"/>
      <c r="F108" s="591" t="n"/>
      <c r="G108" s="591" t="n"/>
      <c r="H108" s="591" t="n"/>
      <c r="I108" s="591" t="n"/>
      <c r="J108" s="591" t="n"/>
      <c r="K108" s="591" t="n"/>
      <c r="L108" s="591" t="n"/>
    </row>
    <row r="109">
      <c r="A109" s="591" t="n"/>
      <c r="B109" s="591" t="n"/>
      <c r="C109" s="591" t="n"/>
      <c r="D109" s="591" t="n"/>
      <c r="E109" s="591" t="n"/>
      <c r="F109" s="591" t="n"/>
      <c r="G109" s="591" t="n"/>
      <c r="H109" s="591" t="n"/>
      <c r="I109" s="591" t="n"/>
      <c r="J109" s="591" t="n"/>
      <c r="K109" s="591" t="n"/>
      <c r="L109" s="591" t="n"/>
    </row>
    <row r="110">
      <c r="A110" s="591" t="n"/>
      <c r="B110" s="591" t="n"/>
      <c r="C110" s="591" t="n"/>
      <c r="D110" s="591" t="n"/>
      <c r="E110" s="591" t="n"/>
      <c r="F110" s="591" t="n"/>
      <c r="G110" s="591" t="n"/>
      <c r="H110" s="591" t="n"/>
      <c r="I110" s="591" t="n"/>
      <c r="J110" s="591" t="n"/>
      <c r="K110" s="591" t="n"/>
      <c r="L110" s="591" t="n"/>
    </row>
    <row r="111">
      <c r="A111" s="591" t="n"/>
      <c r="B111" s="591" t="n"/>
      <c r="C111" s="591" t="n"/>
      <c r="D111" s="591" t="n"/>
      <c r="E111" s="591" t="n"/>
      <c r="F111" s="591" t="n"/>
      <c r="G111" s="591" t="n"/>
      <c r="H111" s="591" t="n"/>
      <c r="I111" s="591" t="n"/>
      <c r="J111" s="591" t="n"/>
      <c r="K111" s="591" t="n"/>
      <c r="L111" s="591" t="n"/>
    </row>
    <row r="112">
      <c r="A112" s="591" t="n"/>
      <c r="B112" s="591" t="n"/>
      <c r="C112" s="591" t="n"/>
      <c r="D112" s="591" t="n"/>
      <c r="E112" s="591" t="n"/>
      <c r="F112" s="591" t="n"/>
      <c r="G112" s="591" t="n"/>
      <c r="H112" s="591" t="n"/>
      <c r="I112" s="591" t="n"/>
      <c r="J112" s="591" t="n"/>
      <c r="K112" s="591" t="n"/>
      <c r="L112" s="591" t="n"/>
    </row>
    <row r="113">
      <c r="A113" s="591" t="n"/>
      <c r="B113" s="591" t="n"/>
      <c r="C113" s="591" t="n"/>
      <c r="D113" s="591" t="n"/>
      <c r="E113" s="591" t="n"/>
      <c r="F113" s="591" t="n"/>
      <c r="G113" s="591" t="n"/>
      <c r="H113" s="591" t="n"/>
      <c r="I113" s="591" t="n"/>
      <c r="J113" s="591" t="n"/>
      <c r="K113" s="591" t="n"/>
      <c r="L113" s="591" t="n"/>
    </row>
    <row r="114">
      <c r="A114" s="591" t="n"/>
      <c r="B114" s="591" t="n"/>
      <c r="C114" s="591" t="n"/>
      <c r="D114" s="591" t="n"/>
      <c r="E114" s="591" t="n"/>
      <c r="F114" s="591" t="n"/>
      <c r="G114" s="591" t="n"/>
      <c r="H114" s="591" t="n"/>
      <c r="I114" s="591" t="n"/>
      <c r="J114" s="591" t="n"/>
      <c r="K114" s="591" t="n"/>
      <c r="L114" s="591" t="n"/>
    </row>
    <row r="115">
      <c r="A115" s="591" t="n"/>
      <c r="B115" s="591" t="n"/>
      <c r="C115" s="591" t="n"/>
      <c r="D115" s="591" t="n"/>
      <c r="E115" s="591" t="n"/>
      <c r="F115" s="591" t="n"/>
      <c r="G115" s="591" t="n"/>
      <c r="H115" s="591" t="n"/>
      <c r="I115" s="591" t="n"/>
      <c r="J115" s="591" t="n"/>
      <c r="K115" s="591" t="n"/>
      <c r="L115" s="591" t="n"/>
    </row>
    <row r="116">
      <c r="A116" s="591" t="n"/>
      <c r="B116" s="591" t="n"/>
      <c r="C116" s="591" t="n"/>
      <c r="D116" s="591" t="n"/>
      <c r="E116" s="591" t="n"/>
      <c r="F116" s="591" t="n"/>
      <c r="G116" s="591" t="n"/>
      <c r="H116" s="591" t="n"/>
      <c r="I116" s="591" t="n"/>
      <c r="J116" s="591" t="n"/>
      <c r="K116" s="591" t="n"/>
      <c r="L116" s="591" t="n"/>
    </row>
    <row r="117">
      <c r="A117" s="591" t="n"/>
      <c r="B117" s="591" t="n"/>
      <c r="C117" s="591" t="n"/>
      <c r="D117" s="591" t="n"/>
      <c r="E117" s="591" t="n"/>
      <c r="F117" s="591" t="n"/>
      <c r="G117" s="591" t="n"/>
      <c r="H117" s="591" t="n"/>
      <c r="I117" s="591" t="n"/>
      <c r="J117" s="591" t="n"/>
      <c r="K117" s="591" t="n"/>
      <c r="L117" s="591" t="n"/>
    </row>
    <row r="118">
      <c r="A118" s="591" t="n"/>
      <c r="B118" s="591" t="n"/>
      <c r="C118" s="591" t="n"/>
      <c r="D118" s="591" t="n"/>
      <c r="E118" s="591" t="n"/>
      <c r="F118" s="591" t="n"/>
      <c r="G118" s="591" t="n"/>
      <c r="H118" s="591" t="n"/>
      <c r="I118" s="591" t="n"/>
      <c r="J118" s="591" t="n"/>
      <c r="K118" s="591" t="n"/>
      <c r="L118" s="591" t="n"/>
    </row>
    <row r="119">
      <c r="A119" s="591" t="n"/>
      <c r="B119" s="591" t="n"/>
      <c r="C119" s="591" t="n"/>
      <c r="D119" s="591" t="n"/>
      <c r="E119" s="591" t="n"/>
      <c r="F119" s="591" t="n"/>
      <c r="G119" s="591" t="n"/>
      <c r="H119" s="591" t="n"/>
      <c r="I119" s="591" t="n"/>
      <c r="J119" s="591" t="n"/>
      <c r="K119" s="591" t="n"/>
      <c r="L119" s="591" t="n"/>
    </row>
    <row r="120">
      <c r="A120" s="591" t="n"/>
      <c r="B120" s="591" t="n"/>
      <c r="C120" s="591" t="n"/>
      <c r="D120" s="591" t="n"/>
      <c r="E120" s="591" t="n"/>
      <c r="F120" s="591" t="n"/>
      <c r="G120" s="591" t="n"/>
      <c r="H120" s="591" t="n"/>
      <c r="I120" s="591" t="n"/>
      <c r="J120" s="591" t="n"/>
      <c r="K120" s="591" t="n"/>
      <c r="L120" s="591" t="n"/>
    </row>
  </sheetData>
  <mergeCells count="59">
    <mergeCell ref="C16:K16"/>
    <mergeCell ref="C68:D68"/>
    <mergeCell ref="C41:K41"/>
    <mergeCell ref="E70:K70"/>
    <mergeCell ref="A15:K15"/>
    <mergeCell ref="C44:K44"/>
    <mergeCell ref="C22:K22"/>
    <mergeCell ref="C40:K40"/>
    <mergeCell ref="A11:K11"/>
    <mergeCell ref="A49:K49"/>
    <mergeCell ref="C31:K31"/>
    <mergeCell ref="E72:K72"/>
    <mergeCell ref="A1:K1"/>
    <mergeCell ref="C43:K43"/>
    <mergeCell ref="C73:D73"/>
    <mergeCell ref="C21:K21"/>
    <mergeCell ref="A6:K6"/>
    <mergeCell ref="C69:D69"/>
    <mergeCell ref="C27:K27"/>
    <mergeCell ref="C36:K36"/>
    <mergeCell ref="A7:K7"/>
    <mergeCell ref="A65:K65"/>
    <mergeCell ref="C23:K23"/>
    <mergeCell ref="C17:K17"/>
    <mergeCell ref="C39:K39"/>
    <mergeCell ref="E68:K68"/>
    <mergeCell ref="A66:K66"/>
    <mergeCell ref="E71:K71"/>
    <mergeCell ref="A56:K56"/>
    <mergeCell ref="C38:K38"/>
    <mergeCell ref="A12:K12"/>
    <mergeCell ref="A26:K26"/>
    <mergeCell ref="A3:K3"/>
    <mergeCell ref="C19:K19"/>
    <mergeCell ref="C37:K37"/>
    <mergeCell ref="C28:K28"/>
    <mergeCell ref="C71:D71"/>
    <mergeCell ref="A2:K2"/>
    <mergeCell ref="E73:K73"/>
    <mergeCell ref="A33:K33"/>
    <mergeCell ref="C18:K18"/>
    <mergeCell ref="A47:K47"/>
    <mergeCell ref="C70:D70"/>
    <mergeCell ref="A5:K5"/>
    <mergeCell ref="C34:K34"/>
    <mergeCell ref="A8:K8"/>
    <mergeCell ref="C30:K30"/>
    <mergeCell ref="C24:K24"/>
    <mergeCell ref="E69:K69"/>
    <mergeCell ref="A4:K4"/>
    <mergeCell ref="C72:D72"/>
    <mergeCell ref="C42:K42"/>
    <mergeCell ref="A10:K10"/>
    <mergeCell ref="C45:K45"/>
    <mergeCell ref="A13:K13"/>
    <mergeCell ref="C35:K35"/>
    <mergeCell ref="C20:K20"/>
    <mergeCell ref="A9:K9"/>
    <mergeCell ref="C29:K29"/>
  </mergeCells>
  <pageMargins left="0.7" right="0.7" top="0.75" bottom="0.75" header="0.3" footer="0.3"/>
</worksheet>
</file>

<file path=xl/worksheets/sheet33.xml><?xml version="1.0" encoding="utf-8"?>
<worksheet xmlns="http://schemas.openxmlformats.org/spreadsheetml/2006/main">
  <sheetPr>
    <tabColor rgb="007F7F7F"/>
    <outlinePr summaryBelow="1" summaryRight="1"/>
    <pageSetUpPr/>
  </sheetPr>
  <dimension ref="A1:H48"/>
  <sheetViews>
    <sheetView workbookViewId="0">
      <selection activeCell="A1" sqref="A1"/>
    </sheetView>
  </sheetViews>
  <sheetFormatPr baseColWidth="8" defaultRowHeight="15"/>
  <sheetData>
    <row r="1">
      <c r="A1" s="970" t="inlineStr">
        <is>
          <t>02 — Executive Risk Summary</t>
        </is>
      </c>
      <c r="B1" s="970" t="n"/>
      <c r="C1" s="970" t="n"/>
      <c r="D1" s="970" t="n"/>
      <c r="E1" s="970" t="n"/>
      <c r="F1" s="970" t="n"/>
      <c r="G1" s="970" t="n"/>
      <c r="H1" s="970" t="n"/>
    </row>
    <row r="2">
      <c r="A2" s="966" t="inlineStr">
        <is>
          <t>Python-populated organisation-level risk metrics, decompositions and run context.</t>
        </is>
      </c>
      <c r="B2" s="966" t="n"/>
      <c r="C2" s="966" t="n"/>
      <c r="D2" s="966" t="n"/>
      <c r="E2" s="966" t="n"/>
      <c r="F2" s="966" t="n"/>
      <c r="G2" s="966" t="n"/>
      <c r="H2" s="966" t="n"/>
    </row>
    <row r="3">
      <c r="A3" s="973" t="n"/>
      <c r="B3" s="973" t="n"/>
      <c r="C3" s="973" t="n"/>
      <c r="D3" s="973" t="n"/>
      <c r="E3" s="973" t="n"/>
      <c r="F3" s="973" t="n"/>
      <c r="G3" s="973" t="n"/>
      <c r="H3" s="973" t="n"/>
    </row>
    <row r="4">
      <c r="A4" s="973" t="n"/>
      <c r="B4" s="973" t="n"/>
      <c r="C4" s="973" t="n"/>
      <c r="D4" s="973" t="n"/>
      <c r="E4" s="973" t="n"/>
      <c r="F4" s="973" t="n"/>
      <c r="G4" s="973" t="n"/>
      <c r="H4" s="973" t="n"/>
    </row>
    <row r="5">
      <c r="A5" s="973" t="inlineStr">
        <is>
          <t>FINANCIAL RISK</t>
        </is>
      </c>
      <c r="B5" s="973" t="n"/>
      <c r="C5" s="973" t="n"/>
      <c r="D5" s="973" t="n"/>
      <c r="E5" s="973" t="n"/>
      <c r="F5" s="973" t="n"/>
      <c r="G5" s="973" t="n"/>
      <c r="H5" s="973" t="n"/>
    </row>
    <row r="6">
      <c r="A6" s="973" t="inlineStr">
        <is>
          <t>Metric</t>
        </is>
      </c>
      <c r="B6" s="973" t="inlineStr">
        <is>
          <t>Best Estimate</t>
        </is>
      </c>
      <c r="C6" s="973" t="inlineStr">
        <is>
          <t>Prudent</t>
        </is>
      </c>
      <c r="D6" s="973" t="inlineStr">
        <is>
          <t>Meaning</t>
        </is>
      </c>
      <c r="E6" s="973" t="n"/>
      <c r="F6" s="973" t="n"/>
      <c r="G6" s="973" t="n"/>
      <c r="H6" s="973" t="n"/>
    </row>
    <row r="7">
      <c r="A7" s="973" t="inlineStr">
        <is>
          <t>AAL</t>
        </is>
      </c>
      <c r="B7" s="973" t="n">
        <v>1059877.254455533</v>
      </c>
      <c r="C7" s="973" t="n">
        <v>1311679.360640564</v>
      </c>
      <c r="D7" s="973" t="inlineStr">
        <is>
          <t>Mean annual aggregate financial loss.</t>
        </is>
      </c>
      <c r="E7" s="973" t="n"/>
      <c r="F7" s="973" t="n"/>
      <c r="G7" s="973" t="n"/>
      <c r="H7" s="973" t="n"/>
    </row>
    <row r="8">
      <c r="A8" s="973" t="inlineStr">
        <is>
          <t>VaR 95%</t>
        </is>
      </c>
      <c r="B8" s="973" t="n">
        <v>5487402.480652438</v>
      </c>
      <c r="C8" s="973" t="n">
        <v>7125947.960562246</v>
      </c>
      <c r="D8" s="973" t="inlineStr">
        <is>
          <t>95th percentile annual aggregate loss.</t>
        </is>
      </c>
      <c r="E8" s="973" t="n"/>
      <c r="F8" s="973" t="n"/>
      <c r="G8" s="973" t="n"/>
      <c r="H8" s="973" t="n"/>
    </row>
    <row r="9">
      <c r="A9" s="973" t="inlineStr">
        <is>
          <t>TVaR 95%</t>
        </is>
      </c>
      <c r="B9" s="973" t="n">
        <v>18021076.13779292</v>
      </c>
      <c r="C9" s="973" t="n">
        <v>20885314.89666507</v>
      </c>
      <c r="D9" s="973" t="inlineStr">
        <is>
          <t>Mean annual loss in the worst 5% of years.</t>
        </is>
      </c>
      <c r="E9" s="973" t="n"/>
      <c r="F9" s="973" t="n"/>
      <c r="G9" s="973" t="n"/>
      <c r="H9" s="973" t="n"/>
    </row>
    <row r="10">
      <c r="A10" s="973" t="inlineStr">
        <is>
          <t>VaR 99%</t>
        </is>
      </c>
      <c r="B10" s="973" t="n">
        <v>22824448.16996593</v>
      </c>
      <c r="C10" s="973" t="n">
        <v>26218158.96702391</v>
      </c>
      <c r="D10" s="973" t="inlineStr">
        <is>
          <t>99th percentile annual aggregate loss.</t>
        </is>
      </c>
      <c r="E10" s="973" t="n"/>
      <c r="F10" s="973" t="n"/>
      <c r="G10" s="973" t="n"/>
      <c r="H10" s="973" t="n"/>
    </row>
    <row r="11">
      <c r="A11" s="973" t="inlineStr">
        <is>
          <t>TVaR 99%</t>
        </is>
      </c>
      <c r="B11" s="973" t="n">
        <v>46179340.41586891</v>
      </c>
      <c r="C11" s="973" t="n">
        <v>51675144.84348448</v>
      </c>
      <c r="D11" s="973" t="inlineStr">
        <is>
          <t>Mean annual loss in the worst 1% of years.</t>
        </is>
      </c>
      <c r="E11" s="973" t="n"/>
      <c r="F11" s="973" t="n"/>
      <c r="G11" s="973" t="n"/>
      <c r="H11" s="973" t="n"/>
    </row>
    <row r="12">
      <c r="A12" s="973" t="inlineStr">
        <is>
          <t>Selected TVaR</t>
        </is>
      </c>
      <c r="B12" s="973" t="n">
        <v>46179340.41586891</v>
      </c>
      <c r="C12" s="973" t="n">
        <v>51675144.84348448</v>
      </c>
      <c r="D12" s="973" t="inlineStr">
        <is>
          <t>Tail metric selected on 08.</t>
        </is>
      </c>
      <c r="E12" s="973" t="n"/>
      <c r="F12" s="973" t="n"/>
      <c r="G12" s="973" t="n"/>
      <c r="H12" s="973" t="n"/>
    </row>
    <row r="13">
      <c r="A13" s="973" t="inlineStr">
        <is>
          <t>Insurance retention</t>
        </is>
      </c>
      <c r="B13" s="973" t="n">
        <v>0</v>
      </c>
      <c r="C13" s="973" t="n">
        <v>0</v>
      </c>
      <c r="D13" s="973" t="inlineStr">
        <is>
          <t>Organisation-selected retention.</t>
        </is>
      </c>
      <c r="E13" s="973" t="n"/>
      <c r="F13" s="973" t="n"/>
      <c r="G13" s="973" t="n"/>
      <c r="H13" s="973" t="n"/>
    </row>
    <row r="14">
      <c r="A14" s="973" t="inlineStr">
        <is>
          <t>Tail loss above retention</t>
        </is>
      </c>
      <c r="B14" s="973" t="n">
        <v>46179340.41586891</v>
      </c>
      <c r="C14" s="973" t="n">
        <v>51675144.84348448</v>
      </c>
      <c r="D14" s="973" t="inlineStr">
        <is>
          <t>Selected TVaR less retention, floored at zero.</t>
        </is>
      </c>
      <c r="E14" s="973" t="n"/>
      <c r="F14" s="973" t="n"/>
      <c r="G14" s="973" t="n"/>
      <c r="H14" s="973" t="n"/>
    </row>
    <row r="15">
      <c r="A15" s="969" t="n"/>
      <c r="B15" s="969" t="n"/>
      <c r="C15" s="969" t="n"/>
      <c r="D15" s="969" t="n"/>
      <c r="E15" s="969" t="n"/>
      <c r="F15" s="969" t="n"/>
      <c r="G15" s="969" t="n"/>
      <c r="H15" s="969" t="n"/>
    </row>
    <row r="16">
      <c r="A16" s="973" t="inlineStr">
        <is>
          <t>EVENT AND RUN CONTEXT</t>
        </is>
      </c>
      <c r="B16" s="973" t="n"/>
      <c r="C16" s="973" t="n"/>
      <c r="D16" s="973" t="n"/>
      <c r="E16" s="973" t="n"/>
      <c r="F16" s="973" t="n"/>
      <c r="G16" s="973" t="n"/>
      <c r="H16" s="973" t="n"/>
    </row>
    <row r="17">
      <c r="A17" s="973" t="inlineStr">
        <is>
          <t>Metric</t>
        </is>
      </c>
      <c r="B17" s="973" t="inlineStr">
        <is>
          <t>Best Estimate</t>
        </is>
      </c>
      <c r="C17" s="973" t="inlineStr">
        <is>
          <t>Prudent</t>
        </is>
      </c>
      <c r="D17" s="973" t="inlineStr">
        <is>
          <t>Meaning</t>
        </is>
      </c>
      <c r="E17" s="973" t="n"/>
      <c r="F17" s="973" t="n"/>
      <c r="G17" s="973" t="n"/>
      <c r="H17" s="973" t="n"/>
    </row>
    <row r="18">
      <c r="A18" s="973" t="inlineStr">
        <is>
          <t>P(any successful event)</t>
        </is>
      </c>
      <c r="B18" s="973" t="n">
        <v>0.114878</v>
      </c>
      <c r="C18" s="973" t="n">
        <v>0.140772</v>
      </c>
      <c r="D18" s="973" t="n"/>
      <c r="E18" s="973" t="n"/>
      <c r="F18" s="973" t="n"/>
      <c r="G18" s="973" t="n"/>
      <c r="H18" s="973" t="n"/>
    </row>
    <row r="19">
      <c r="A19" s="973" t="inlineStr">
        <is>
          <t>Successful events / year</t>
        </is>
      </c>
      <c r="B19" s="973" t="n">
        <v>0.1209438605701399</v>
      </c>
      <c r="C19" s="973" t="n">
        <v>0.1511798257126749</v>
      </c>
      <c r="D19" s="973" t="n"/>
      <c r="E19" s="973" t="n"/>
      <c r="F19" s="973" t="n"/>
      <c r="G19" s="973" t="n"/>
      <c r="H19" s="973" t="n"/>
    </row>
    <row r="20">
      <c r="A20" s="973" t="inlineStr">
        <is>
          <t>Material campaigns / year</t>
        </is>
      </c>
      <c r="B20" s="973" t="n">
        <v>1</v>
      </c>
      <c r="C20" s="973" t="n">
        <v>1.25</v>
      </c>
      <c r="D20" s="973" t="n"/>
      <c r="E20" s="973" t="n"/>
      <c r="F20" s="973" t="n"/>
      <c r="G20" s="973" t="n"/>
      <c r="H20" s="973" t="n"/>
    </row>
    <row r="21">
      <c r="A21" s="973" t="inlineStr">
        <is>
          <t>Use exposure adjustments?</t>
        </is>
      </c>
      <c r="B21" s="973" t="inlineStr">
        <is>
          <t>No</t>
        </is>
      </c>
      <c r="C21" s="973" t="inlineStr">
        <is>
          <t>No</t>
        </is>
      </c>
      <c r="D21" s="973" t="n"/>
      <c r="E21" s="973" t="n"/>
      <c r="F21" s="973" t="n"/>
      <c r="G21" s="973" t="n"/>
      <c r="H21" s="973" t="n"/>
    </row>
    <row r="22">
      <c r="A22" s="973" t="inlineStr">
        <is>
          <t>Sector</t>
        </is>
      </c>
      <c r="B22" s="973" t="inlineStr">
        <is>
          <t>Financial Services</t>
        </is>
      </c>
      <c r="C22" s="973" t="inlineStr">
        <is>
          <t>Financial Services</t>
        </is>
      </c>
      <c r="D22" s="973" t="n"/>
      <c r="E22" s="973" t="n"/>
      <c r="F22" s="973" t="n"/>
      <c r="G22" s="973" t="n"/>
      <c r="H22" s="973" t="n"/>
    </row>
    <row r="23">
      <c r="A23" s="973" t="inlineStr">
        <is>
          <t>Resolved pack ID</t>
        </is>
      </c>
      <c r="B23" s="973" t="inlineStr">
        <is>
          <t>FS-v1.1.1</t>
        </is>
      </c>
      <c r="C23" s="973" t="inlineStr">
        <is>
          <t>FS-v1.1.1</t>
        </is>
      </c>
      <c r="D23" s="973" t="n"/>
      <c r="E23" s="973" t="n"/>
      <c r="F23" s="973" t="n"/>
      <c r="G23" s="973" t="n"/>
      <c r="H23" s="973" t="n"/>
    </row>
    <row r="24">
      <c r="A24" s="973" t="inlineStr">
        <is>
          <t>Pack status</t>
        </is>
      </c>
      <c r="B24" s="973" t="inlineStr">
        <is>
          <t>Development — working priors; calibration required</t>
        </is>
      </c>
      <c r="C24" s="973" t="inlineStr">
        <is>
          <t>Development — working priors; calibration required</t>
        </is>
      </c>
      <c r="D24" s="973" t="n"/>
      <c r="E24" s="973" t="n"/>
      <c r="F24" s="973" t="n"/>
      <c r="G24" s="973" t="n"/>
      <c r="H24" s="973" t="n"/>
    </row>
    <row r="25">
      <c r="A25" s="973" t="inlineStr">
        <is>
          <t>Simulation years</t>
        </is>
      </c>
      <c r="B25" s="973" t="n">
        <v>500000</v>
      </c>
      <c r="C25" s="973" t="n">
        <v>500000</v>
      </c>
      <c r="D25" s="973" t="n"/>
      <c r="E25" s="973" t="n"/>
      <c r="F25" s="973" t="n"/>
      <c r="G25" s="973" t="n"/>
      <c r="H25" s="973" t="n"/>
    </row>
    <row r="26">
      <c r="A26" s="973" t="inlineStr">
        <is>
          <t>Last run</t>
        </is>
      </c>
      <c r="B26" s="973" t="inlineStr">
        <is>
          <t>2026-08-21 10:19 UTC</t>
        </is>
      </c>
      <c r="C26" s="973" t="inlineStr">
        <is>
          <t>2026-08-21 10:19 UTC</t>
        </is>
      </c>
      <c r="D26" s="973" t="n"/>
      <c r="E26" s="973" t="n"/>
      <c r="F26" s="973" t="n"/>
      <c r="G26" s="973" t="n"/>
      <c r="H26" s="973" t="n"/>
    </row>
    <row r="27">
      <c r="A27" s="973" t="n"/>
      <c r="B27" s="973" t="n"/>
      <c r="C27" s="973" t="n"/>
      <c r="D27" s="973" t="n"/>
      <c r="E27" s="973" t="n"/>
      <c r="F27" s="973" t="n"/>
      <c r="G27" s="973" t="n"/>
      <c r="H27" s="973" t="n"/>
    </row>
    <row r="28">
      <c r="A28" s="973" t="inlineStr">
        <is>
          <t>THREAT-ACTOR DECOMPOSITION</t>
        </is>
      </c>
      <c r="B28" s="973" t="n"/>
      <c r="C28" s="973" t="n"/>
      <c r="D28" s="973" t="n"/>
      <c r="E28" s="973" t="n"/>
      <c r="F28" s="973" t="n"/>
      <c r="G28" s="973" t="n"/>
      <c r="H28" s="973" t="n"/>
    </row>
    <row r="29">
      <c r="A29" s="973" t="inlineStr">
        <is>
          <t>Threat actor</t>
        </is>
      </c>
      <c r="B29" s="973" t="inlineStr">
        <is>
          <t>AAL</t>
        </is>
      </c>
      <c r="C29" s="973" t="inlineStr">
        <is>
          <t>Attempts / yr</t>
        </is>
      </c>
      <c r="D29" s="973" t="inlineStr">
        <is>
          <t>Events / yr</t>
        </is>
      </c>
      <c r="E29" s="973" t="inlineStr">
        <is>
          <t>P(success)</t>
        </is>
      </c>
      <c r="F29" s="973" t="inlineStr">
        <is>
          <t>AAL share</t>
        </is>
      </c>
      <c r="G29" s="973" t="inlineStr">
        <is>
          <t>1-in-20 AEP</t>
        </is>
      </c>
      <c r="H29" s="973" t="inlineStr">
        <is>
          <t>1-in-100 AEP</t>
        </is>
      </c>
    </row>
    <row r="30">
      <c r="A30" s="973" t="inlineStr">
        <is>
          <t>Nation-state</t>
        </is>
      </c>
      <c r="B30" s="973" t="n">
        <v>119201.1446964419</v>
      </c>
      <c r="C30" s="973" t="n">
        <v>0.15</v>
      </c>
      <c r="D30" s="973" t="n">
        <v>0.01363250901961794</v>
      </c>
      <c r="E30" s="973" t="n">
        <v>0.09088339346411957</v>
      </c>
      <c r="F30" s="973" t="n">
        <v>0.09087674036300274</v>
      </c>
      <c r="G30" s="973" t="n">
        <v>0</v>
      </c>
      <c r="H30" s="973" t="n">
        <v>2412035.617793122</v>
      </c>
    </row>
    <row r="31">
      <c r="A31" s="973" t="inlineStr">
        <is>
          <t>Cybercriminal</t>
        </is>
      </c>
      <c r="B31" s="973" t="n">
        <v>651035.5348534692</v>
      </c>
      <c r="C31" s="973" t="n">
        <v>0.8500000000000001</v>
      </c>
      <c r="D31" s="973" t="n">
        <v>0.07670219102501317</v>
      </c>
      <c r="E31" s="973" t="n">
        <v>0.09023787179413313</v>
      </c>
      <c r="F31" s="973" t="n">
        <v>0.4963374086602488</v>
      </c>
      <c r="G31" s="973" t="n">
        <v>2309382.945993542</v>
      </c>
      <c r="H31" s="973" t="n">
        <v>16138274.54115757</v>
      </c>
    </row>
    <row r="32">
      <c r="A32" s="973" t="inlineStr">
        <is>
          <t>Malicious insider</t>
        </is>
      </c>
      <c r="B32" s="973" t="n">
        <v>301385.8387835206</v>
      </c>
      <c r="C32" s="973" t="n">
        <v>0.125</v>
      </c>
      <c r="D32" s="973" t="n">
        <v>0.03627994304049179</v>
      </c>
      <c r="E32" s="973" t="n">
        <v>0.2902395443239343</v>
      </c>
      <c r="F32" s="973" t="n">
        <v>0.2297709698171493</v>
      </c>
      <c r="G32" s="973" t="n">
        <v>0</v>
      </c>
      <c r="H32" s="973" t="n">
        <v>8325961.937160157</v>
      </c>
    </row>
    <row r="33">
      <c r="A33" s="973" t="inlineStr">
        <is>
          <t>Hacktivist</t>
        </is>
      </c>
      <c r="B33" s="973" t="n">
        <v>240056.8423071318</v>
      </c>
      <c r="C33" s="973" t="n">
        <v>0.125</v>
      </c>
      <c r="D33" s="973" t="n">
        <v>0.024565182627552</v>
      </c>
      <c r="E33" s="973" t="n">
        <v>0.1965214610204159</v>
      </c>
      <c r="F33" s="973" t="n">
        <v>0.1830148811595992</v>
      </c>
      <c r="G33" s="973" t="n">
        <v>0</v>
      </c>
      <c r="H33" s="973" t="n">
        <v>6353896.742187921</v>
      </c>
    </row>
    <row r="34">
      <c r="A34" s="973" t="n"/>
      <c r="B34" s="973" t="n"/>
      <c r="C34" s="973" t="n"/>
      <c r="D34" s="973" t="n"/>
      <c r="E34" s="973" t="n"/>
      <c r="F34" s="973" t="n"/>
      <c r="G34" s="973" t="n"/>
      <c r="H34" s="973" t="n"/>
    </row>
    <row r="35">
      <c r="A35" s="973" t="inlineStr">
        <is>
          <t>SCENARIO DECOMPOSITION</t>
        </is>
      </c>
      <c r="B35" s="973" t="n"/>
      <c r="C35" s="973" t="n"/>
      <c r="D35" s="973" t="n"/>
      <c r="E35" s="973" t="n"/>
      <c r="F35" s="973" t="n"/>
      <c r="G35" s="973" t="n"/>
      <c r="H35" s="973" t="n"/>
    </row>
    <row r="36">
      <c r="A36" s="973" t="inlineStr">
        <is>
          <t>Scenario</t>
        </is>
      </c>
      <c r="B36" s="973" t="inlineStr">
        <is>
          <t>AAL</t>
        </is>
      </c>
      <c r="C36" s="973" t="inlineStr">
        <is>
          <t>Attempts / yr</t>
        </is>
      </c>
      <c r="D36" s="973" t="inlineStr">
        <is>
          <t>Events / yr</t>
        </is>
      </c>
      <c r="E36" s="973" t="inlineStr">
        <is>
          <t>P(success)</t>
        </is>
      </c>
      <c r="F36" s="973" t="inlineStr">
        <is>
          <t>AAL share</t>
        </is>
      </c>
      <c r="G36" s="973" t="inlineStr">
        <is>
          <t>1-in-20 AEP</t>
        </is>
      </c>
      <c r="H36" s="973" t="inlineStr">
        <is>
          <t>1-in-100 AEP</t>
        </is>
      </c>
    </row>
    <row r="37">
      <c r="A37" s="973" t="inlineStr">
        <is>
          <t>Critical business-service disruption</t>
        </is>
      </c>
      <c r="B37" s="973" t="n">
        <v>575998.2123608057</v>
      </c>
      <c r="C37" s="973" t="n">
        <v>0.4112500000000001</v>
      </c>
      <c r="D37" s="973" t="n">
        <v>0.05175330590972895</v>
      </c>
      <c r="E37" s="973" t="n">
        <v>0.1258439049476692</v>
      </c>
      <c r="F37" s="973" t="n">
        <v>0.4391303466721584</v>
      </c>
      <c r="G37" s="973" t="n">
        <v>421378.5425899314</v>
      </c>
      <c r="H37" s="973" t="n">
        <v>15039968.980985</v>
      </c>
    </row>
    <row r="38">
      <c r="A38" s="973" t="inlineStr">
        <is>
          <t>Sensitive-data compromise</t>
        </is>
      </c>
      <c r="B38" s="973" t="n">
        <v>292163.9879803411</v>
      </c>
      <c r="C38" s="973" t="n">
        <v>0.32125</v>
      </c>
      <c r="D38" s="973" t="n">
        <v>0.0257816506642052</v>
      </c>
      <c r="E38" s="973" t="n">
        <v>0.08025416549168933</v>
      </c>
      <c r="F38" s="973" t="n">
        <v>0.2227404019208335</v>
      </c>
      <c r="G38" s="973" t="n">
        <v>0</v>
      </c>
      <c r="H38" s="973" t="n">
        <v>8461016.095281372</v>
      </c>
    </row>
    <row r="39">
      <c r="A39" s="973" t="inlineStr">
        <is>
          <t>Data or transaction-integrity compromise</t>
        </is>
      </c>
      <c r="B39" s="973" t="n">
        <v>183681.8782473958</v>
      </c>
      <c r="C39" s="973" t="n">
        <v>0.17125</v>
      </c>
      <c r="D39" s="973" t="n">
        <v>0.01978966204504157</v>
      </c>
      <c r="E39" s="973" t="n">
        <v>0.1155600703360092</v>
      </c>
      <c r="F39" s="973" t="n">
        <v>0.1400356548704815</v>
      </c>
      <c r="G39" s="973" t="n">
        <v>0</v>
      </c>
      <c r="H39" s="973" t="n">
        <v>5108821.525497334</v>
      </c>
    </row>
    <row r="40">
      <c r="A40" s="973" t="inlineStr">
        <is>
          <t>Cyber-enabled theft or fraud</t>
        </is>
      </c>
      <c r="B40" s="973" t="n">
        <v>259835.2820520208</v>
      </c>
      <c r="C40" s="973" t="n">
        <v>0.34625</v>
      </c>
      <c r="D40" s="973" t="n">
        <v>0.05385520709369917</v>
      </c>
      <c r="E40" s="973" t="n">
        <v>0.1555385042417305</v>
      </c>
      <c r="F40" s="973" t="n">
        <v>0.1980935965365265</v>
      </c>
      <c r="G40" s="973" t="n">
        <v>355893.8290772875</v>
      </c>
      <c r="H40" s="973" t="n">
        <v>6844977.241671136</v>
      </c>
    </row>
    <row r="41">
      <c r="A41" s="973" t="n"/>
      <c r="B41" s="973" t="n"/>
      <c r="C41" s="973" t="n"/>
      <c r="D41" s="973" t="n"/>
      <c r="E41" s="973" t="n"/>
      <c r="F41" s="973" t="n"/>
      <c r="G41" s="973" t="n"/>
      <c r="H41" s="973" t="n"/>
    </row>
    <row r="42">
      <c r="A42" s="973" t="inlineStr">
        <is>
          <t>TOP CONTROL WHAT-IFS</t>
        </is>
      </c>
      <c r="B42" s="973" t="n"/>
      <c r="C42" s="973" t="n"/>
      <c r="D42" s="973" t="n"/>
      <c r="E42" s="973" t="n"/>
      <c r="F42" s="973" t="n"/>
      <c r="G42" s="973" t="n"/>
      <c r="H42" s="973" t="n"/>
    </row>
    <row r="43">
      <c r="A43" s="973" t="inlineStr">
        <is>
          <t>Control</t>
        </is>
      </c>
      <c r="B43" s="973" t="inlineStr">
        <is>
          <t>Current maturity</t>
        </is>
      </c>
      <c r="C43" s="973" t="inlineStr">
        <is>
          <t>What-if maturity</t>
        </is>
      </c>
      <c r="D43" s="973" t="inlineStr">
        <is>
          <t>Current AAL</t>
        </is>
      </c>
      <c r="E43" s="973" t="inlineStr">
        <is>
          <t>What-if AAL</t>
        </is>
      </c>
      <c r="F43" s="973" t="inlineStr">
        <is>
          <t>AAL reduction</t>
        </is>
      </c>
      <c r="G43" s="973" t="n"/>
      <c r="H43" s="973" t="n"/>
    </row>
    <row r="44">
      <c r="A44" s="973" t="inlineStr">
        <is>
          <t>Privileged access management</t>
        </is>
      </c>
      <c r="B44" s="973" t="inlineStr">
        <is>
          <t>Developing</t>
        </is>
      </c>
      <c r="C44" s="973" t="inlineStr">
        <is>
          <t>Managed</t>
        </is>
      </c>
      <c r="D44" s="973" t="n">
        <v>1308717.568109714</v>
      </c>
      <c r="E44" s="973" t="n">
        <v>1200150.233771676</v>
      </c>
      <c r="F44" s="973" t="n">
        <v>108567.3343380382</v>
      </c>
      <c r="G44" s="973" t="n"/>
      <c r="H44" s="973" t="n"/>
    </row>
    <row r="45">
      <c r="A45" s="973" t="inlineStr">
        <is>
          <t>DDoS protection and service resilience</t>
        </is>
      </c>
      <c r="B45" s="973" t="inlineStr">
        <is>
          <t>Developing</t>
        </is>
      </c>
      <c r="C45" s="973" t="inlineStr">
        <is>
          <t>Managed</t>
        </is>
      </c>
      <c r="D45" s="973" t="n">
        <v>1308717.568109714</v>
      </c>
      <c r="E45" s="973" t="n">
        <v>1214101.664743152</v>
      </c>
      <c r="F45" s="973" t="n">
        <v>94615.90336656268</v>
      </c>
      <c r="G45" s="973" t="n"/>
      <c r="H45" s="973" t="n"/>
    </row>
    <row r="46">
      <c r="A46" s="973" t="inlineStr">
        <is>
          <t>Payment and fraud controls</t>
        </is>
      </c>
      <c r="B46" s="973" t="inlineStr">
        <is>
          <t>Developing</t>
        </is>
      </c>
      <c r="C46" s="973" t="inlineStr">
        <is>
          <t>Managed</t>
        </is>
      </c>
      <c r="D46" s="973" t="n">
        <v>1308717.568109714</v>
      </c>
      <c r="E46" s="973" t="n">
        <v>1228605.390562024</v>
      </c>
      <c r="F46" s="973" t="n">
        <v>80112.17754769069</v>
      </c>
      <c r="G46" s="973" t="n"/>
      <c r="H46" s="973" t="n"/>
    </row>
    <row r="47">
      <c r="A47" s="973" t="inlineStr">
        <is>
          <t>Data protection and DLP</t>
        </is>
      </c>
      <c r="B47" s="973" t="inlineStr">
        <is>
          <t>Developing</t>
        </is>
      </c>
      <c r="C47" s="973" t="inlineStr">
        <is>
          <t>Managed</t>
        </is>
      </c>
      <c r="D47" s="973" t="n">
        <v>1308717.568109714</v>
      </c>
      <c r="E47" s="973" t="n">
        <v>1232570.974224569</v>
      </c>
      <c r="F47" s="973" t="n">
        <v>76146.59388514492</v>
      </c>
      <c r="G47" s="973" t="n"/>
      <c r="H47" s="973" t="n"/>
    </row>
    <row r="48">
      <c r="A48" s="973" t="inlineStr">
        <is>
          <t>Identity, authentication and MFA</t>
        </is>
      </c>
      <c r="B48" s="973" t="inlineStr">
        <is>
          <t>Developing</t>
        </is>
      </c>
      <c r="C48" s="973" t="inlineStr">
        <is>
          <t>Managed</t>
        </is>
      </c>
      <c r="D48" s="973" t="n">
        <v>1308717.568109714</v>
      </c>
      <c r="E48" s="973" t="n">
        <v>1236947.178422538</v>
      </c>
      <c r="F48" s="973" t="n">
        <v>71770.38968717586</v>
      </c>
      <c r="G48" s="973" t="n"/>
      <c r="H48" s="973" t="n"/>
    </row>
  </sheetData>
  <pageMargins left="0.7" right="0.7" top="0.75" bottom="0.75" header="0.3" footer="0.3"/>
</worksheet>
</file>

<file path=xl/worksheets/sheet34.xml><?xml version="1.0" encoding="utf-8"?>
<worksheet xmlns="http://schemas.openxmlformats.org/spreadsheetml/2006/main">
  <sheetPr>
    <tabColor rgb="007F7F7F"/>
    <outlinePr summaryBelow="1" summaryRight="1"/>
    <pageSetUpPr/>
  </sheetPr>
  <dimension ref="A1:F12"/>
  <sheetViews>
    <sheetView workbookViewId="0">
      <selection activeCell="A1" sqref="A1"/>
    </sheetView>
  </sheetViews>
  <sheetFormatPr baseColWidth="8" defaultRowHeight="15"/>
  <cols>
    <col width="28" customWidth="1" style="508" min="1" max="1"/>
    <col width="34" customWidth="1" style="508" min="2" max="2"/>
    <col width="12" customWidth="1" style="508" min="3" max="3"/>
  </cols>
  <sheetData>
    <row r="1" ht="32" customHeight="1" s="508">
      <c r="A1" s="1026" t="inlineStr">
        <is>
          <t>5 Advanced - Governed</t>
        </is>
      </c>
    </row>
    <row r="2" ht="38" customHeight="1" s="508">
      <c r="A2" s="980" t="inlineStr">
        <is>
          <t>Method guides, source evidence, validation, change logs and the outside-in adjustment audit trail.</t>
        </is>
      </c>
    </row>
    <row r="3" ht="48" customHeight="1" s="508">
      <c r="A3" s="1025" t="inlineStr">
        <is>
          <t>Advanced / Governed. Read Only. Not required to complete an assessment.</t>
        </is>
      </c>
    </row>
    <row r="4">
      <c r="A4" s="981" t="inlineStr">
        <is>
          <t>Workbook tab</t>
        </is>
      </c>
      <c r="B4" s="981" t="inlineStr">
        <is>
          <t>Purpose</t>
        </is>
      </c>
      <c r="C4" s="981" t="inlineStr">
        <is>
          <t>Open</t>
        </is>
      </c>
    </row>
    <row r="5">
      <c r="A5" s="982" t="inlineStr">
        <is>
          <t>01 Model Guide</t>
        </is>
      </c>
      <c r="B5" s="982" t="inlineStr">
        <is>
          <t>Documentation / governance</t>
        </is>
      </c>
      <c r="C5" s="982">
        <f>HYPERLINK("#'OT CORE - Model Guide'!A1","Open")</f>
        <v/>
      </c>
    </row>
    <row r="6">
      <c r="A6" s="982" t="inlineStr">
        <is>
          <t>10 Mapping Change Log</t>
        </is>
      </c>
      <c r="B6" s="982" t="inlineStr">
        <is>
          <t>Documentation / governance</t>
        </is>
      </c>
      <c r="C6" s="982">
        <f>HYPERLINK("#'OT CORE - Mapping Change Log'!A1","Open")</f>
        <v/>
      </c>
    </row>
    <row r="7">
      <c r="A7" s="982" t="inlineStr">
        <is>
          <t>26 Sources and Evidence</t>
        </is>
      </c>
      <c r="B7" s="982" t="inlineStr">
        <is>
          <t>Documentation / governance</t>
        </is>
      </c>
      <c r="C7" s="982">
        <f>HYPERLINK("#'OT 26 - Sources and Evidence'!A1","Open")</f>
        <v/>
      </c>
    </row>
    <row r="8">
      <c r="A8" s="982" t="inlineStr">
        <is>
          <t>27 Validation Tests</t>
        </is>
      </c>
      <c r="B8" s="982" t="inlineStr">
        <is>
          <t>Documentation / governance</t>
        </is>
      </c>
      <c r="C8" s="982">
        <f>HYPERLINK("#'OT 27 - Validation Tests'!A1","Open")</f>
        <v/>
      </c>
    </row>
    <row r="9">
      <c r="A9" s="982" t="inlineStr">
        <is>
          <t>00 OI Adjustment Rationale</t>
        </is>
      </c>
      <c r="B9" s="982" t="inlineStr">
        <is>
          <t>Documentation / governance</t>
        </is>
      </c>
      <c r="C9" s="982">
        <f>HYPERLINK("#'00 COMMON - OI Audit Trail'!A1","Open")</f>
        <v/>
      </c>
    </row>
    <row r="10">
      <c r="A10" s="982" t="inlineStr">
        <is>
          <t>IT 01 Model Guide</t>
        </is>
      </c>
      <c r="B10" s="982" t="inlineStr">
        <is>
          <t>Documentation / governance</t>
        </is>
      </c>
      <c r="C10" s="982">
        <f>HYPERLINK("#'IT CORE - Model Guide'!A1","Open")</f>
        <v/>
      </c>
    </row>
    <row r="11">
      <c r="A11" s="982" t="inlineStr">
        <is>
          <t>IT 21 Sources and Evidence</t>
        </is>
      </c>
      <c r="B11" s="982" t="inlineStr">
        <is>
          <t>Documentation / governance</t>
        </is>
      </c>
      <c r="C11" s="982">
        <f>HYPERLINK("#'IT 21 - Sources and Evidence'!A1","Open")</f>
        <v/>
      </c>
    </row>
    <row r="12">
      <c r="A12" s="982" t="inlineStr">
        <is>
          <t>IT 22 Validation Tests</t>
        </is>
      </c>
      <c r="B12" s="982" t="inlineStr">
        <is>
          <t>Documentation / governance</t>
        </is>
      </c>
      <c r="C12" s="982">
        <f>HYPERLINK("#'IT 22 - Validation Tests'!A1","Open")</f>
        <v/>
      </c>
    </row>
  </sheetData>
  <mergeCells count="2">
    <mergeCell ref="A1:F1"/>
    <mergeCell ref="A3:F3"/>
  </mergeCells>
  <pageMargins left="0.7" right="0.7" top="0.75" bottom="0.75" header="0.3" footer="0.3"/>
</worksheet>
</file>

<file path=xl/worksheets/sheet35.xml><?xml version="1.0" encoding="utf-8"?>
<worksheet xmlns="http://schemas.openxmlformats.org/spreadsheetml/2006/main">
  <sheetPr>
    <tabColor rgb="00ED7D31"/>
    <outlinePr summaryBelow="1" summaryRight="1"/>
    <pageSetUpPr/>
  </sheetPr>
  <dimension ref="A1:L35"/>
  <sheetViews>
    <sheetView workbookViewId="0">
      <selection activeCell="A1" sqref="A1"/>
    </sheetView>
  </sheetViews>
  <sheetFormatPr baseColWidth="8" defaultRowHeight="15"/>
  <sheetData>
    <row r="1">
      <c r="A1" s="970" t="inlineStr">
        <is>
          <t>Guided IT Cyber Risk Quantification — v1.1.1</t>
        </is>
      </c>
      <c r="B1" s="970" t="n"/>
      <c r="C1" s="970" t="n"/>
      <c r="D1" s="970" t="n"/>
      <c r="E1" s="970" t="n"/>
      <c r="F1" s="970" t="n"/>
      <c r="G1" s="970" t="n"/>
      <c r="H1" s="970" t="n"/>
      <c r="I1" s="970" t="n"/>
      <c r="J1" s="970" t="n"/>
      <c r="K1" s="970" t="n"/>
      <c r="L1" s="970" t="n"/>
    </row>
    <row r="2">
      <c r="A2" s="966" t="inlineStr">
        <is>
          <t>Organisation-level IT-CRQ model with modular, pack-driven workbook geometry.</t>
        </is>
      </c>
      <c r="B2" s="966" t="n"/>
      <c r="C2" s="966" t="n"/>
      <c r="D2" s="966" t="n"/>
      <c r="E2" s="966" t="n"/>
      <c r="F2" s="966" t="n"/>
      <c r="G2" s="966" t="n"/>
      <c r="H2" s="966" t="n"/>
      <c r="I2" s="966" t="n"/>
      <c r="J2" s="966" t="n"/>
      <c r="K2" s="966" t="n"/>
      <c r="L2" s="966" t="n"/>
    </row>
    <row r="3">
      <c r="A3" s="973" t="n"/>
      <c r="B3" s="973" t="n"/>
      <c r="C3" s="973" t="n"/>
      <c r="D3" s="973" t="n"/>
      <c r="E3" s="973" t="n"/>
      <c r="F3" s="973" t="n"/>
      <c r="G3" s="973" t="n"/>
      <c r="H3" s="973" t="n"/>
      <c r="I3" s="973" t="n"/>
      <c r="J3" s="973" t="n"/>
      <c r="K3" s="973" t="n"/>
      <c r="L3" s="973" t="n"/>
    </row>
    <row r="4">
      <c r="A4" s="973" t="inlineStr">
        <is>
          <t>SHEET TYPE: MODEL DOCUMENTATION</t>
        </is>
      </c>
      <c r="B4" s="973" t="n"/>
      <c r="C4" s="973" t="n"/>
      <c r="D4" s="973" t="n"/>
      <c r="E4" s="973" t="n"/>
      <c r="F4" s="973" t="n"/>
      <c r="G4" s="973" t="n"/>
      <c r="H4" s="973" t="n"/>
      <c r="I4" s="973" t="n"/>
      <c r="J4" s="973" t="n"/>
      <c r="K4" s="973" t="n"/>
      <c r="L4" s="973" t="n"/>
    </row>
    <row r="5">
      <c r="A5" s="973" t="n"/>
      <c r="B5" s="973" t="n"/>
      <c r="C5" s="973" t="n"/>
      <c r="D5" s="973" t="n"/>
      <c r="E5" s="973" t="n"/>
      <c r="F5" s="973" t="n"/>
      <c r="G5" s="973" t="n"/>
      <c r="H5" s="973" t="n"/>
      <c r="I5" s="973" t="n"/>
      <c r="J5" s="973" t="n"/>
      <c r="K5" s="973" t="n"/>
      <c r="L5" s="973" t="n"/>
    </row>
    <row r="6">
      <c r="A6" s="973" t="inlineStr">
        <is>
          <t>Purpose</t>
        </is>
      </c>
      <c r="B6" s="973" t="n"/>
      <c r="C6" s="973" t="n"/>
      <c r="D6" s="973" t="n"/>
      <c r="E6" s="973" t="n"/>
      <c r="F6" s="973" t="n"/>
      <c r="G6" s="973" t="n"/>
      <c r="H6" s="973" t="n"/>
      <c r="I6" s="973" t="n"/>
      <c r="J6" s="973" t="n"/>
      <c r="K6" s="973" t="n"/>
      <c r="L6" s="973" t="n"/>
    </row>
    <row r="7">
      <c r="A7" s="973" t="inlineStr">
        <is>
          <t>Quantify annual financial loss for an organisation across four actors, four loss scenarios and six composite attack routes.</t>
        </is>
      </c>
      <c r="B7" s="973" t="n"/>
      <c r="C7" s="973" t="n"/>
      <c r="D7" s="973" t="n"/>
      <c r="E7" s="973" t="n"/>
      <c r="F7" s="973" t="n"/>
      <c r="G7" s="973" t="n"/>
      <c r="H7" s="973" t="n"/>
      <c r="I7" s="973" t="n"/>
      <c r="J7" s="973" t="n"/>
      <c r="K7" s="973" t="n"/>
      <c r="L7" s="973" t="n"/>
    </row>
    <row r="8">
      <c r="A8" s="973" t="n"/>
      <c r="B8" s="973" t="n"/>
      <c r="C8" s="973" t="n"/>
      <c r="D8" s="973" t="n"/>
      <c r="E8" s="973" t="n"/>
      <c r="F8" s="973" t="n"/>
      <c r="G8" s="973" t="n"/>
      <c r="H8" s="973" t="n"/>
      <c r="I8" s="973" t="n"/>
      <c r="J8" s="973" t="n"/>
      <c r="K8" s="973" t="n"/>
      <c r="L8" s="973" t="n"/>
    </row>
    <row r="9">
      <c r="A9" s="973" t="inlineStr">
        <is>
          <t>Calculation / decision logic</t>
        </is>
      </c>
      <c r="B9" s="973" t="n"/>
      <c r="C9" s="973" t="n"/>
      <c r="D9" s="973" t="n"/>
      <c r="E9" s="973" t="n"/>
      <c r="F9" s="973" t="n"/>
      <c r="G9" s="973" t="n"/>
      <c r="H9" s="973" t="n"/>
      <c r="I9" s="973" t="n"/>
      <c r="J9" s="973" t="n"/>
      <c r="K9" s="973" t="n"/>
      <c r="L9" s="973" t="n"/>
    </row>
    <row r="10">
      <c r="A10" s="973" t="inlineStr">
        <is>
          <t>Campaign frequency is separated from conditional attack-path success. Enterprise ATT&amp;CK techniques are filtered by actor, scenario and route; controls adjust stage-through probabilities relative to a reference profile. Scenario losses use transparent P50/P99 impact drivers and a Monte Carlo annual-loss simulation.</t>
        </is>
      </c>
      <c r="B10" s="973" t="n"/>
      <c r="C10" s="973" t="n"/>
      <c r="D10" s="973" t="n"/>
      <c r="E10" s="973" t="n"/>
      <c r="F10" s="973" t="n"/>
      <c r="G10" s="973" t="n"/>
      <c r="H10" s="973" t="n"/>
      <c r="I10" s="973" t="n"/>
      <c r="J10" s="973" t="n"/>
      <c r="K10" s="973" t="n"/>
      <c r="L10" s="973" t="n"/>
    </row>
    <row r="11">
      <c r="A11" s="973" t="n"/>
      <c r="B11" s="973" t="n"/>
      <c r="C11" s="973" t="n"/>
      <c r="D11" s="973" t="n"/>
      <c r="E11" s="973" t="n"/>
      <c r="F11" s="973" t="n"/>
      <c r="G11" s="973" t="n"/>
      <c r="H11" s="973" t="n"/>
      <c r="I11" s="973" t="n"/>
      <c r="J11" s="973" t="n"/>
      <c r="K11" s="973" t="n"/>
      <c r="L11" s="973" t="n"/>
    </row>
    <row r="12">
      <c r="A12" s="973" t="inlineStr">
        <is>
          <t>Outputs / downstream use</t>
        </is>
      </c>
      <c r="B12" s="973" t="n"/>
      <c r="C12" s="973" t="n"/>
      <c r="D12" s="973" t="n"/>
      <c r="E12" s="973" t="n"/>
      <c r="F12" s="973" t="n"/>
      <c r="G12" s="973" t="n"/>
      <c r="H12" s="973" t="n"/>
      <c r="I12" s="973" t="n"/>
      <c r="J12" s="973" t="n"/>
      <c r="K12" s="973" t="n"/>
      <c r="L12" s="973" t="n"/>
    </row>
    <row r="13">
      <c r="A13" s="973" t="inlineStr">
        <is>
          <t>AAL, VaR, TVaR, AEP/OEP loss-exceedance curves, actor/scenario decompositions, control what-if reductions and an interactive dashboard suite.</t>
        </is>
      </c>
      <c r="B13" s="973" t="n"/>
      <c r="C13" s="973" t="n"/>
      <c r="D13" s="973" t="n"/>
      <c r="E13" s="973" t="n"/>
      <c r="F13" s="973" t="n"/>
      <c r="G13" s="973" t="n"/>
      <c r="H13" s="973" t="n"/>
      <c r="I13" s="973" t="n"/>
      <c r="J13" s="973" t="n"/>
      <c r="K13" s="973" t="n"/>
      <c r="L13" s="973" t="n"/>
    </row>
    <row r="14">
      <c r="A14" s="973" t="n"/>
      <c r="B14" s="973" t="n"/>
      <c r="C14" s="973" t="n"/>
      <c r="D14" s="973" t="n"/>
      <c r="E14" s="973" t="n"/>
      <c r="F14" s="973" t="n"/>
      <c r="G14" s="973" t="n"/>
      <c r="H14" s="973" t="n"/>
      <c r="I14" s="973" t="n"/>
      <c r="J14" s="973" t="n"/>
      <c r="K14" s="973" t="n"/>
      <c r="L14" s="973" t="n"/>
    </row>
    <row r="15">
      <c r="A15" s="969" t="inlineStr">
        <is>
          <t>Workbook convention</t>
        </is>
      </c>
      <c r="B15" s="969" t="n"/>
      <c r="C15" s="969" t="n"/>
      <c r="D15" s="969" t="n"/>
      <c r="E15" s="969" t="n"/>
      <c r="F15" s="969" t="n"/>
      <c r="G15" s="969" t="n"/>
      <c r="H15" s="969" t="n"/>
      <c r="I15" s="969" t="n"/>
      <c r="J15" s="969" t="n"/>
      <c r="K15" s="969" t="n"/>
      <c r="L15" s="969" t="n"/>
    </row>
    <row r="16">
      <c r="A16" s="973" t="inlineStr">
        <is>
          <t>Yellow cells with blue font are editable. Engine results and resolved pack values are not manually editable.</t>
        </is>
      </c>
      <c r="B16" s="973" t="n"/>
      <c r="C16" s="973" t="n"/>
      <c r="D16" s="973" t="n"/>
      <c r="E16" s="973" t="n"/>
      <c r="F16" s="973" t="n"/>
      <c r="G16" s="973" t="n"/>
      <c r="H16" s="973" t="n"/>
      <c r="I16" s="973" t="n"/>
      <c r="J16" s="973" t="n"/>
      <c r="K16" s="973" t="n"/>
      <c r="L16" s="973" t="n"/>
    </row>
    <row r="17">
      <c r="A17" s="973" t="n"/>
      <c r="B17" s="973" t="n"/>
      <c r="C17" s="973" t="n"/>
      <c r="D17" s="973" t="n"/>
      <c r="E17" s="973" t="n"/>
      <c r="F17" s="973" t="n"/>
      <c r="G17" s="973" t="n"/>
      <c r="H17" s="973" t="n"/>
      <c r="I17" s="973" t="n"/>
      <c r="J17" s="973" t="n"/>
      <c r="K17" s="973" t="n"/>
      <c r="L17" s="973" t="n"/>
    </row>
    <row r="18">
      <c r="A18" s="973" t="n"/>
      <c r="B18" s="973" t="n"/>
      <c r="C18" s="973" t="n"/>
      <c r="D18" s="973" t="n"/>
      <c r="E18" s="973" t="n"/>
      <c r="F18" s="973" t="n"/>
      <c r="G18" s="973" t="n"/>
      <c r="H18" s="973" t="n"/>
      <c r="I18" s="973" t="n"/>
      <c r="J18" s="973" t="n"/>
      <c r="K18" s="973" t="n"/>
      <c r="L18" s="973" t="n"/>
    </row>
    <row r="19">
      <c r="A19" s="973" t="n"/>
      <c r="B19" s="973" t="n"/>
      <c r="C19" s="973" t="n"/>
      <c r="D19" s="973" t="n"/>
      <c r="E19" s="973" t="n"/>
      <c r="F19" s="973" t="n"/>
      <c r="G19" s="973" t="n"/>
      <c r="H19" s="973" t="n"/>
      <c r="I19" s="973" t="n"/>
      <c r="J19" s="973" t="n"/>
      <c r="K19" s="973" t="n"/>
      <c r="L19" s="973" t="n"/>
    </row>
    <row r="20">
      <c r="A20" s="973" t="inlineStr">
        <is>
          <t>MODEL FLOW</t>
        </is>
      </c>
      <c r="B20" s="973" t="n"/>
      <c r="C20" s="973" t="n"/>
      <c r="D20" s="973" t="n"/>
      <c r="E20" s="973" t="n"/>
      <c r="F20" s="973" t="n"/>
      <c r="G20" s="973" t="n"/>
      <c r="H20" s="973" t="n"/>
      <c r="I20" s="973" t="n"/>
      <c r="J20" s="973" t="n"/>
      <c r="K20" s="973" t="n"/>
      <c r="L20" s="973" t="n"/>
    </row>
    <row r="21">
      <c r="A21" s="973" t="inlineStr">
        <is>
          <t>1</t>
        </is>
      </c>
      <c r="B21" s="973" t="inlineStr">
        <is>
          <t>Select sector and organisation inputs</t>
        </is>
      </c>
      <c r="C21" s="973" t="inlineStr">
        <is>
          <t>03 Organisation Inputs</t>
        </is>
      </c>
      <c r="D21" s="973" t="n"/>
      <c r="E21" s="973" t="n"/>
      <c r="F21" s="973" t="n"/>
      <c r="G21" s="973" t="n"/>
      <c r="H21" s="973" t="n"/>
      <c r="I21" s="973" t="n"/>
      <c r="J21" s="973" t="n"/>
      <c r="K21" s="973" t="n"/>
      <c r="L21" s="973" t="n"/>
    </row>
    <row r="22">
      <c r="A22" s="973" t="inlineStr">
        <is>
          <t>2</t>
        </is>
      </c>
      <c r="B22" s="973" t="inlineStr">
        <is>
          <t>Choose whether to apply IT Exposure Adjustment Model recommendations</t>
        </is>
      </c>
      <c r="C22" s="973" t="inlineStr">
        <is>
          <t>03 and 04</t>
        </is>
      </c>
      <c r="D22" s="973" t="n"/>
      <c r="E22" s="973" t="n"/>
      <c r="F22" s="973" t="n"/>
      <c r="G22" s="973" t="n"/>
      <c r="H22" s="973" t="n"/>
      <c r="I22" s="973" t="n"/>
      <c r="J22" s="973" t="n"/>
      <c r="K22" s="973" t="n"/>
      <c r="L22" s="973" t="n"/>
    </row>
    <row r="23">
      <c r="A23" s="973" t="inlineStr">
        <is>
          <t>3</t>
        </is>
      </c>
      <c r="B23" s="973" t="inlineStr">
        <is>
          <t>Assess NIST CSF 2.0-aligned control families</t>
        </is>
      </c>
      <c r="C23" s="973" t="inlineStr">
        <is>
          <t>05 Control Assessment</t>
        </is>
      </c>
      <c r="D23" s="973" t="n"/>
      <c r="E23" s="973" t="n"/>
      <c r="F23" s="973" t="n"/>
      <c r="G23" s="973" t="n"/>
      <c r="H23" s="973" t="n"/>
      <c r="I23" s="973" t="n"/>
      <c r="J23" s="973" t="n"/>
      <c r="K23" s="973" t="n"/>
      <c r="L23" s="973" t="n"/>
    </row>
    <row r="24">
      <c r="A24" s="973" t="inlineStr">
        <is>
          <t>4</t>
        </is>
      </c>
      <c r="B24" s="973" t="inlineStr">
        <is>
          <t>Review organisation-scale impact inputs and pack-derived BIA drivers</t>
        </is>
      </c>
      <c r="C24" s="973" t="inlineStr">
        <is>
          <t>06 Impact and BIA</t>
        </is>
      </c>
      <c r="D24" s="973" t="n"/>
      <c r="E24" s="973" t="n"/>
      <c r="F24" s="973" t="n"/>
      <c r="G24" s="973" t="n"/>
      <c r="H24" s="973" t="n"/>
      <c r="I24" s="973" t="n"/>
      <c r="J24" s="973" t="n"/>
      <c r="K24" s="973" t="n"/>
      <c r="L24" s="973" t="n"/>
    </row>
    <row r="25">
      <c r="A25" s="973" t="inlineStr">
        <is>
          <t>5</t>
        </is>
      </c>
      <c r="B25" s="973" t="inlineStr">
        <is>
          <t>Python loads and validates the selected sector-pack workbook</t>
        </is>
      </c>
      <c r="C25" s="973" t="inlineStr">
        <is>
          <t>09 Sector Pack Registry</t>
        </is>
      </c>
      <c r="D25" s="973" t="n"/>
      <c r="E25" s="973" t="n"/>
      <c r="F25" s="973" t="n"/>
      <c r="G25" s="973" t="n"/>
      <c r="H25" s="973" t="n"/>
      <c r="I25" s="973" t="n"/>
      <c r="J25" s="973" t="n"/>
      <c r="K25" s="973" t="n"/>
      <c r="L25" s="973" t="n"/>
    </row>
    <row r="26">
      <c r="A26" s="973" t="inlineStr">
        <is>
          <t>6</t>
        </is>
      </c>
      <c r="B26" s="973" t="inlineStr">
        <is>
          <t>Engine evaluates actor × scenario × route × TTP relevance and composite stages</t>
        </is>
      </c>
      <c r="C26" s="973" t="inlineStr">
        <is>
          <t>10–12</t>
        </is>
      </c>
      <c r="D26" s="973" t="n"/>
      <c r="E26" s="973" t="n"/>
      <c r="F26" s="973" t="n"/>
      <c r="G26" s="973" t="n"/>
      <c r="H26" s="973" t="n"/>
      <c r="I26" s="973" t="n"/>
      <c r="J26" s="973" t="n"/>
      <c r="K26" s="973" t="n"/>
      <c r="L26" s="973" t="n"/>
    </row>
    <row r="27">
      <c r="A27" s="973" t="inlineStr">
        <is>
          <t>7</t>
        </is>
      </c>
      <c r="B27" s="973" t="inlineStr">
        <is>
          <t>Engine simulates annual aggregate and occurrence losses</t>
        </is>
      </c>
      <c r="C27" s="973" t="inlineStr">
        <is>
          <t>13–19</t>
        </is>
      </c>
      <c r="D27" s="973" t="n"/>
      <c r="E27" s="973" t="n"/>
      <c r="F27" s="973" t="n"/>
      <c r="G27" s="973" t="n"/>
      <c r="H27" s="973" t="n"/>
      <c r="I27" s="973" t="n"/>
      <c r="J27" s="973" t="n"/>
      <c r="K27" s="973" t="n"/>
      <c r="L27" s="973" t="n"/>
    </row>
    <row r="28">
      <c r="A28" s="973" t="inlineStr">
        <is>
          <t>8</t>
        </is>
      </c>
      <c r="B28" s="973" t="inlineStr">
        <is>
          <t>Review interactive dashboards, executive results, curves, what-ifs and validation</t>
        </is>
      </c>
      <c r="C28" s="973" t="inlineStr">
        <is>
          <t>00 Dashboard suite; 02, 15–22</t>
        </is>
      </c>
      <c r="D28" s="973" t="n"/>
      <c r="E28" s="973" t="n"/>
      <c r="F28" s="973" t="n"/>
      <c r="G28" s="973" t="n"/>
      <c r="H28" s="973" t="n"/>
      <c r="I28" s="973" t="n"/>
      <c r="J28" s="973" t="n"/>
      <c r="K28" s="973" t="n"/>
      <c r="L28" s="973" t="n"/>
    </row>
    <row r="29">
      <c r="A29" s="973" t="n"/>
      <c r="B29" s="973" t="n"/>
      <c r="C29" s="973" t="n"/>
      <c r="D29" s="973" t="n"/>
      <c r="E29" s="973" t="n"/>
      <c r="F29" s="973" t="n"/>
      <c r="G29" s="973" t="n"/>
      <c r="H29" s="973" t="n"/>
      <c r="I29" s="973" t="n"/>
      <c r="J29" s="973" t="n"/>
      <c r="K29" s="973" t="n"/>
      <c r="L29" s="973" t="n"/>
    </row>
    <row r="30">
      <c r="A30" s="973" t="inlineStr">
        <is>
          <t>IMPORTANT LIMITATIONS</t>
        </is>
      </c>
      <c r="B30" s="973" t="n"/>
      <c r="C30" s="973" t="n"/>
      <c r="D30" s="973" t="n"/>
      <c r="E30" s="973" t="n"/>
      <c r="F30" s="973" t="n"/>
      <c r="G30" s="973" t="n"/>
      <c r="H30" s="973" t="n"/>
      <c r="I30" s="973" t="n"/>
      <c r="J30" s="973" t="n"/>
      <c r="K30" s="973" t="n"/>
      <c r="L30" s="973" t="n"/>
    </row>
    <row r="31">
      <c r="A31" s="973" t="inlineStr">
        <is>
          <t>Frequency and sector calibration values are development working priors and require approval before external reliance.</t>
        </is>
      </c>
      <c r="B31" s="973" t="n"/>
      <c r="C31" s="973" t="n"/>
      <c r="D31" s="973" t="n"/>
      <c r="E31" s="973" t="n"/>
      <c r="F31" s="973" t="n"/>
      <c r="G31" s="973" t="n"/>
      <c r="H31" s="973" t="n"/>
      <c r="I31" s="973" t="n"/>
      <c r="J31" s="973" t="n"/>
      <c r="K31" s="973" t="n"/>
      <c r="L31" s="973" t="n"/>
    </row>
    <row r="32">
      <c r="A32" s="973" t="inlineStr">
        <is>
          <t>The model excludes pure intellectual-property theft as a loss scenario.</t>
        </is>
      </c>
      <c r="B32" s="973" t="n"/>
      <c r="C32" s="973" t="n"/>
      <c r="D32" s="973" t="n"/>
      <c r="E32" s="973" t="n"/>
      <c r="F32" s="973" t="n"/>
      <c r="G32" s="973" t="n"/>
      <c r="H32" s="973" t="n"/>
      <c r="I32" s="973" t="n"/>
      <c r="J32" s="973" t="n"/>
      <c r="K32" s="973" t="n"/>
      <c r="L32" s="973" t="n"/>
    </row>
    <row r="33">
      <c r="A33" s="973" t="inlineStr">
        <is>
          <t>Ransomware, DDoS, phishing, account takeover and supply-chain compromise are mechanisms/routes, not separate financial-loss scenarios.</t>
        </is>
      </c>
      <c r="B33" s="973" t="n"/>
      <c r="C33" s="973" t="n"/>
      <c r="D33" s="973" t="n"/>
      <c r="E33" s="973" t="n"/>
      <c r="F33" s="973" t="n"/>
      <c r="G33" s="973" t="n"/>
      <c r="H33" s="973" t="n"/>
      <c r="I33" s="973" t="n"/>
      <c r="J33" s="973" t="n"/>
      <c r="K33" s="973" t="n"/>
      <c r="L33" s="973" t="n"/>
    </row>
    <row r="34">
      <c r="A34" s="973" t="inlineStr">
        <is>
          <t>When the exposure-adjustment switch is No, all exposure-model factors are neutral; organisation route-applicability inputs still apply.</t>
        </is>
      </c>
      <c r="B34" s="973" t="n"/>
      <c r="C34" s="973" t="n"/>
      <c r="D34" s="973" t="n"/>
      <c r="E34" s="973" t="n"/>
      <c r="F34" s="973" t="n"/>
      <c r="G34" s="973" t="n"/>
      <c r="H34" s="973" t="n"/>
      <c r="I34" s="973" t="n"/>
      <c r="J34" s="973" t="n"/>
      <c r="K34" s="973" t="n"/>
      <c r="L34" s="973" t="n"/>
    </row>
    <row r="35">
      <c r="A35" s="973" t="inlineStr">
        <is>
          <t>Asset and vulnerability records are not ingested by this CRQ workbook. A separate evidence model recommends governed route/stage factors for sheet 04.</t>
        </is>
      </c>
      <c r="B35" s="973" t="n"/>
      <c r="C35" s="973" t="n"/>
      <c r="D35" s="973" t="n"/>
      <c r="E35" s="973" t="n"/>
      <c r="F35" s="973" t="n"/>
      <c r="G35" s="973" t="n"/>
      <c r="H35" s="973" t="n"/>
      <c r="I35" s="973" t="n"/>
      <c r="J35" s="973" t="n"/>
      <c r="K35" s="973" t="n"/>
      <c r="L35" s="973" t="n"/>
    </row>
  </sheetData>
  <pageMargins left="0.7" right="0.7" top="0.75" bottom="0.75" header="0.3" footer="0.3"/>
</worksheet>
</file>

<file path=xl/worksheets/sheet36.xml><?xml version="1.0" encoding="utf-8"?>
<worksheet xmlns="http://schemas.openxmlformats.org/spreadsheetml/2006/main">
  <sheetPr>
    <tabColor rgb="00ED7D31"/>
    <outlinePr summaryBelow="1" summaryRight="1"/>
    <pageSetUpPr/>
  </sheetPr>
  <dimension ref="A1:H39"/>
  <sheetViews>
    <sheetView showGridLines="1" workbookViewId="0">
      <selection activeCell="A1" sqref="A1"/>
    </sheetView>
  </sheetViews>
  <sheetFormatPr baseColWidth="8" defaultColWidth="8.6796875" defaultRowHeight="15"/>
  <cols>
    <col width="18" customWidth="1" style="972" min="1" max="1"/>
    <col width="22" customWidth="1" style="972" min="2" max="2"/>
    <col width="44" customWidth="1" style="972" min="3" max="3"/>
    <col width="15" customWidth="1" style="972" min="4" max="4"/>
    <col width="18" customWidth="1" style="972" min="5" max="5"/>
    <col width="24" customWidth="1" style="972" min="6" max="6"/>
    <col width="11" customWidth="1" style="972" min="7" max="7"/>
    <col width="42" customWidth="1" style="972" min="8" max="8"/>
  </cols>
  <sheetData>
    <row r="1" ht="21.75" customHeight="1" s="508">
      <c r="A1" s="401" t="inlineStr">
        <is>
          <t>01 — Model Guide  |  Guided OT-CRQ v1.8 (multi-sector, facility-level)</t>
        </is>
      </c>
    </row>
    <row r="2" ht="37.5" customHeight="1" s="508">
      <c r="A2" s="402" t="inlineStr">
        <is>
          <t>Purpose: Explain the model workflow, sheet categories, engine boundary, and how to review the model from inputs through results.</t>
        </is>
      </c>
    </row>
    <row r="3" ht="37.5" customHeight="1" s="508">
      <c r="A3" s="403" t="inlineStr">
        <is>
          <t>In plain English: select a facility sector and asset type, complete controls and BIA, review the common mappings plus sector rationale, run the compatible Python engine, then review calculations, results, curves and validation.</t>
        </is>
      </c>
    </row>
    <row r="4" ht="21.75" customHeight="1" s="508">
      <c r="A4" s="404" t="inlineStr">
        <is>
          <t>SHEET TYPE: MODEL GUIDE</t>
        </is>
      </c>
    </row>
    <row r="5" ht="21.75" customHeight="1" s="508">
      <c r="A5" s="405" t="inlineStr">
        <is>
          <t>Inputs / upstream sources</t>
        </is>
      </c>
    </row>
    <row r="6" ht="30" customHeight="1" s="508">
      <c r="A6" s="406" t="inlineStr">
        <is>
          <t>All workbook sheets plus the ot-crq Python package (run_simulation.command / .bat / Run_OT_CRQ_Simulation.app).</t>
        </is>
      </c>
    </row>
    <row r="7" ht="30" customHeight="1" s="508">
      <c r="A7" s="405" t="inlineStr">
        <is>
          <t>Calculation / decision logic</t>
        </is>
      </c>
    </row>
    <row r="8" ht="30" customHeight="1" s="508">
      <c r="A8" s="406" t="inlineStr">
        <is>
          <t>The workbook is the transparent input / audit / reporting layer. Python performs the 500,000-year stochastic simulation and writes calculation outputs back into Excel.</t>
        </is>
      </c>
    </row>
    <row r="9" ht="30" customHeight="1" s="508">
      <c r="A9" s="405" t="inlineStr">
        <is>
          <t>Key assumptions / defaults</t>
        </is>
      </c>
    </row>
    <row r="10" ht="30" customHeight="1" s="508">
      <c r="A10" s="406" t="inlineStr">
        <is>
          <t>One common OT engine covers Power Generation, Energy Assets and Manufacturing at facility level. V1.8 formalises three governed sector packs: sector threat/frequency context, sector-specific scenario/BIA starting points, TTP emphasis/rationale and assessment evidence requirements; the composite stage-barrier method and common 18-driver BIA are retained.</t>
        </is>
      </c>
    </row>
    <row r="11" ht="30" customHeight="1" s="508">
      <c r="A11" s="405" t="inlineStr">
        <is>
          <t>Outputs / downstream use</t>
        </is>
      </c>
    </row>
    <row r="12" ht="30" customHeight="1" s="508">
      <c r="A12" s="406" t="inlineStr">
        <is>
          <t>Provides navigation and governance context; no numerical risk calculation is performed on this sheet.</t>
        </is>
      </c>
    </row>
    <row r="13" ht="30" customHeight="1" s="508">
      <c r="A13" s="407" t="inlineStr">
        <is>
          <t>Workbook convention: yellow cells / blue font are editable inputs or calibration assumptions; engine-output cells are not manually editable.</t>
        </is>
      </c>
    </row>
    <row r="15" ht="15" customHeight="1" s="508">
      <c r="A15" s="408" t="inlineStr">
        <is>
          <t>Step</t>
        </is>
      </c>
      <c r="B15" s="408" t="inlineStr">
        <is>
          <t>Model stage</t>
        </is>
      </c>
      <c r="C15" s="408" t="inlineStr">
        <is>
          <t>What the user / model does</t>
        </is>
      </c>
      <c r="D15" s="408" t="inlineStr">
        <is>
          <t>Sheets</t>
        </is>
      </c>
      <c r="E15" s="408" t="inlineStr">
        <is>
          <t>Category colour</t>
        </is>
      </c>
      <c r="F15" s="408" t="inlineStr">
        <is>
          <t>Primary output</t>
        </is>
      </c>
      <c r="G15" s="408" t="inlineStr">
        <is>
          <t>Edit?</t>
        </is>
      </c>
      <c r="H15" s="408" t="inlineStr">
        <is>
          <t>Notes</t>
        </is>
      </c>
    </row>
    <row r="16" ht="15" customHeight="1" s="508">
      <c r="A16" s="406" t="n">
        <v>1</v>
      </c>
      <c r="B16" s="406" t="inlineStr">
        <is>
          <t>Define facility</t>
        </is>
      </c>
      <c r="C16" s="406" t="inlineStr">
        <is>
          <t>Select sector/asset type and describe facility architecture</t>
        </is>
      </c>
      <c r="D16" s="406" t="inlineStr">
        <is>
          <t>03, 28</t>
        </is>
      </c>
      <c r="E16" s="406" t="inlineStr">
        <is>
          <t>Blue</t>
        </is>
      </c>
      <c r="F16" s="406" t="inlineStr">
        <is>
          <t>Facility context / feasibility</t>
        </is>
      </c>
      <c r="G16" s="406" t="inlineStr">
        <is>
          <t>Yes</t>
        </is>
      </c>
      <c r="H16" s="406" t="inlineStr">
        <is>
          <t>Facility characteristics gate TTPs and calibrate exposure.</t>
        </is>
      </c>
    </row>
    <row r="17" ht="27.75" customHeight="1" s="508">
      <c r="A17" s="406" t="n">
        <v>2</v>
      </c>
      <c r="B17" s="406" t="inlineStr">
        <is>
          <t>Assess controls</t>
        </is>
      </c>
      <c r="C17" s="406" t="inlineStr">
        <is>
          <t>Assess maturity, coverage and supporting evidence</t>
        </is>
      </c>
      <c r="D17" s="406" t="inlineStr">
        <is>
          <t>04</t>
        </is>
      </c>
      <c r="E17" s="406" t="inlineStr">
        <is>
          <t>Blue</t>
        </is>
      </c>
      <c r="F17" s="406" t="inlineStr">
        <is>
          <t>Maturity / coverage</t>
        </is>
      </c>
      <c r="G17" s="406" t="inlineStr">
        <is>
          <t>Yes</t>
        </is>
      </c>
      <c r="H17" s="406" t="inlineStr">
        <is>
          <t>Implementation quality is maturity; no separate implementation-quality score.</t>
        </is>
      </c>
    </row>
    <row r="18" ht="27.75" customHeight="1" s="508">
      <c r="A18" s="406" t="n">
        <v>3</v>
      </c>
      <c r="B18" s="406" t="inlineStr">
        <is>
          <t>Set consequence inputs</t>
        </is>
      </c>
      <c r="C18" s="406" t="inlineStr">
        <is>
          <t>Enter facility economics and the common Base/Stress BIA assumptions</t>
        </is>
      </c>
      <c r="D18" s="406" t="inlineStr">
        <is>
          <t>05</t>
        </is>
      </c>
      <c r="E18" s="406" t="inlineStr">
        <is>
          <t>Blue</t>
        </is>
      </c>
      <c r="F18" s="406" t="inlineStr">
        <is>
          <t>Loss severity assumptions</t>
        </is>
      </c>
      <c r="G18" s="406" t="inlineStr">
        <is>
          <t>Yes</t>
        </is>
      </c>
      <c r="H18" s="406" t="inlineStr">
        <is>
          <t>Base = median; Stress = configured upper percentile.</t>
        </is>
      </c>
    </row>
    <row r="19" ht="27.75" customHeight="1" s="508">
      <c r="A19" s="406" t="n">
        <v>4</v>
      </c>
      <c r="B19" s="406" t="inlineStr">
        <is>
          <t>Calibrate likelihood</t>
        </is>
      </c>
      <c r="C19" s="406" t="inlineStr">
        <is>
          <t>Set campaign, actor, scenario, stage and facility/sector/region priors</t>
        </is>
      </c>
      <c r="D19" s="406" t="inlineStr">
        <is>
          <t>06–07, 28</t>
        </is>
      </c>
      <c r="E19" s="406" t="inlineStr">
        <is>
          <t>Amber</t>
        </is>
      </c>
      <c r="F19" s="406" t="inlineStr">
        <is>
          <t>Likelihood priors</t>
        </is>
      </c>
      <c r="G19" s="406" t="inlineStr">
        <is>
          <t>Calibration</t>
        </is>
      </c>
      <c r="H19" s="406" t="inlineStr">
        <is>
          <t>Do not tune merely to reach a preferred AAL.</t>
        </is>
      </c>
    </row>
    <row r="20" ht="27.75" customHeight="1" s="508">
      <c r="A20" s="406" t="n">
        <v>4</v>
      </c>
      <c r="B20" s="406" t="inlineStr">
        <is>
          <t>Calibrate likelihood</t>
        </is>
      </c>
      <c r="C20" s="406" t="inlineStr">
        <is>
          <t>Set campaign, actor, scenario, stage and facility/sector/region priors; review sector pack frequency overlay</t>
        </is>
      </c>
      <c r="D20" s="406" t="inlineStr">
        <is>
          <t>06–07, 28, 30–33</t>
        </is>
      </c>
      <c r="E20" s="406" t="inlineStr">
        <is>
          <t>Amber</t>
        </is>
      </c>
      <c r="F20" s="406" t="inlineStr">
        <is>
          <t>Likelihood priors</t>
        </is>
      </c>
      <c r="G20" s="406" t="inlineStr">
        <is>
          <t>Calibration</t>
        </is>
      </c>
      <c r="H20" s="406" t="inlineStr">
        <is>
          <t>Sector multipliers are working priors unless marked reference; do not tune to reach a preferred AAL.</t>
        </is>
      </c>
    </row>
    <row r="21" ht="27.75" customHeight="1" s="508">
      <c r="A21" s="406" t="n">
        <v>5</v>
      </c>
      <c r="B21" s="406" t="inlineStr">
        <is>
          <t>Review attack-path mappings</t>
        </is>
      </c>
      <c r="C21" s="406" t="inlineStr">
        <is>
          <t>Review scenario, actor, facility, sector and TTP-control mappings plus sector TTP emphasis</t>
        </is>
      </c>
      <c r="D21" s="406" t="inlineStr">
        <is>
          <t>09–14, 29–33</t>
        </is>
      </c>
      <c r="E21" s="406" t="inlineStr">
        <is>
          <t>Purple</t>
        </is>
      </c>
      <c r="F21" s="406" t="inlineStr">
        <is>
          <t>Relevant attack path</t>
        </is>
      </c>
      <c r="G21" s="406" t="inlineStr">
        <is>
          <t>Calibration</t>
        </is>
      </c>
      <c r="H21" s="406" t="inlineStr">
        <is>
          <t>ATT&amp;CK supplies taxonomy / mitigation relationships; sector packs add governed context rather than bespoke hidden paths.</t>
        </is>
      </c>
    </row>
    <row r="22" ht="27.75" customHeight="1" s="508">
      <c r="A22" s="406" t="n">
        <v>7</v>
      </c>
      <c r="B22" s="406" t="inlineStr">
        <is>
          <t>Trace calculations</t>
        </is>
      </c>
      <c r="C22" s="406" t="inlineStr">
        <is>
          <t>Review TTP relevance, stage barriers, frequency and consequence build-up</t>
        </is>
      </c>
      <c r="D22" s="406" t="inlineStr">
        <is>
          <t>14–17</t>
        </is>
      </c>
      <c r="E22" s="406" t="inlineStr">
        <is>
          <t>Teal</t>
        </is>
      </c>
      <c r="F22" s="406" t="inlineStr">
        <is>
          <t>P(success), LEF, event severity</t>
        </is>
      </c>
      <c r="G22" s="406" t="inlineStr">
        <is>
          <t>No</t>
        </is>
      </c>
      <c r="H22" s="406" t="inlineStr">
        <is>
          <t>Values are engine outputs; equations are documented on each sheet.</t>
        </is>
      </c>
    </row>
    <row r="23" ht="15" customHeight="1" s="508">
      <c r="A23" s="406" t="n">
        <v>8</v>
      </c>
      <c r="B23" s="406" t="inlineStr">
        <is>
          <t>Review results</t>
        </is>
      </c>
      <c r="C23" s="406" t="inlineStr">
        <is>
          <t>Review AAL, tail risk, matrices and what-if analysis</t>
        </is>
      </c>
      <c r="D23" s="406" t="inlineStr">
        <is>
          <t>02, 18–20</t>
        </is>
      </c>
      <c r="E23" s="406" t="inlineStr">
        <is>
          <t>Green</t>
        </is>
      </c>
      <c r="F23" s="406" t="inlineStr">
        <is>
          <t>Risk metrics</t>
        </is>
      </c>
      <c r="G23" s="406" t="inlineStr">
        <is>
          <t>No</t>
        </is>
      </c>
      <c r="H23" s="406" t="inlineStr">
        <is>
          <t>Actor/scenario decompositions reconcile to facility AAL.</t>
        </is>
      </c>
    </row>
    <row r="24" ht="27.75" customHeight="1" s="508">
      <c r="A24" s="406" t="n">
        <v>9</v>
      </c>
      <c r="B24" s="406" t="inlineStr">
        <is>
          <t>Review LECs</t>
        </is>
      </c>
      <c r="C24" s="406" t="inlineStr">
        <is>
          <t>Review aggregate, scenario, actor and actor-scenario Loss Exceedance Curves (LECs)</t>
        </is>
      </c>
      <c r="D24" s="406" t="inlineStr">
        <is>
          <t>21–24</t>
        </is>
      </c>
      <c r="E24" s="406" t="inlineStr">
        <is>
          <t>Green</t>
        </is>
      </c>
      <c r="F24" s="406" t="inlineStr">
        <is>
          <t>LECs: AEP / OEP</t>
        </is>
      </c>
      <c r="G24" s="406" t="inlineStr">
        <is>
          <t>No</t>
        </is>
      </c>
      <c r="H24" s="406" t="inlineStr">
        <is>
          <t>AEP is the primary annual aggregate-loss LEC; OEP is the single-occurrence LEC.</t>
        </is>
      </c>
    </row>
    <row r="25" ht="27.75" customHeight="1" s="508">
      <c r="A25" s="406" t="n">
        <v>10</v>
      </c>
      <c r="B25" s="406" t="inlineStr">
        <is>
          <t>Review charts &amp; QA</t>
        </is>
      </c>
      <c r="C25" s="406" t="inlineStr">
        <is>
          <t>Review visuals, evidence register and automated validation</t>
        </is>
      </c>
      <c r="D25" s="406" t="inlineStr">
        <is>
          <t>25–27</t>
        </is>
      </c>
      <c r="E25" s="406" t="inlineStr">
        <is>
          <t>Green/Grey/Orange</t>
        </is>
      </c>
      <c r="F25" s="406" t="inlineStr">
        <is>
          <t>Handover QA</t>
        </is>
      </c>
      <c r="G25" s="406" t="inlineStr">
        <is>
          <t>No</t>
        </is>
      </c>
      <c r="H25" s="406" t="inlineStr">
        <is>
          <t>Treat the run as valid only when validation passes.</t>
        </is>
      </c>
    </row>
    <row r="28" ht="15" customHeight="1" s="508">
      <c r="A28" s="409" t="inlineStr">
        <is>
          <t>CALCULATION ENGINE BOUNDARY</t>
        </is>
      </c>
    </row>
    <row r="29" ht="44" customHeight="1" s="508">
      <c r="A29" s="580" t="inlineStr">
        <is>
          <t>Deterministic Excel links</t>
        </is>
      </c>
      <c r="B29" s="581" t="inlineStr">
        <is>
          <t>TTP/actor/facility/sector filtering, composite control-barrier aggregation, attack-path probability, best-estimate and prudent frequency simulation, common OT BIA, AAL, VaR/TVaR, AEP/OEP LECs and control what-ifs.</t>
        </is>
      </c>
    </row>
    <row r="30" ht="66" customHeight="1" s="508">
      <c r="A30" s="580" t="inlineStr">
        <is>
          <t>Python engine</t>
        </is>
      </c>
      <c r="B30" s="581" t="inlineStr">
        <is>
          <t>TTP/actor/facility filtering, control-barrier aggregation, attack-path probability, best-estimate and prudent campaign-frequency simulation, driver-built OT impact, revenue-based BI, AAL, VaR/TVaR, AEP/OEP LECs and 100k control what-ifs.</t>
        </is>
      </c>
    </row>
    <row r="31" ht="44" customHeight="1" s="508">
      <c r="A31" s="580" t="inlineStr">
        <is>
          <t>Last complete engine run in attached baseline: 2026-08-19 10:33 | Power Generation / CCGT | 500,000 years per view | Validation: PASS. Rerun with a compatible engine after sector or input changes.</t>
        </is>
      </c>
      <c r="B31" s="581" t="inlineStr">
        <is>
          <t>ot-crq CLI / run_simulation.command|.bat / Run_OT_CRQ_Simulation.app — run after changing model inputs. Prefer a copy under assessments/.</t>
        </is>
      </c>
    </row>
    <row r="32" ht="15" customHeight="1" s="508">
      <c r="A32" s="410" t="inlineStr">
        <is>
          <t>Last complete engine run: 2026-08-19 12:42 | 500,000 years per view | Reporting: Both | Detailed basis: Prudent | Validation: PASS</t>
        </is>
      </c>
    </row>
    <row r="34" ht="15" customHeight="1" s="508">
      <c r="A34" s="242" t="inlineStr">
        <is>
          <t>VERSION HISTORY</t>
        </is>
      </c>
      <c r="B34" s="509" t="n"/>
      <c r="C34" s="509" t="n"/>
      <c r="D34" s="509" t="n"/>
      <c r="E34" s="509" t="n"/>
      <c r="F34" s="509" t="n"/>
      <c r="G34" s="509" t="n"/>
      <c r="H34" s="510" t="n"/>
    </row>
    <row r="35" ht="15" customHeight="1" s="508">
      <c r="A35" s="243" t="inlineStr">
        <is>
          <t>v1.7</t>
        </is>
      </c>
      <c r="B35" s="243" t="inlineStr">
        <is>
          <t>2026-08-19</t>
        </is>
      </c>
      <c r="C35" s="243" t="inlineStr">
        <is>
          <t>Three explicit sector packs; asset-type frequency overlay and calibration status</t>
        </is>
      </c>
      <c r="D35" s="243" t="inlineStr">
        <is>
          <t>Retains the common 18-driver V1.6 BIA; OP-02 wording generalised</t>
        </is>
      </c>
      <c r="E35" s="243" t="inlineStr">
        <is>
          <t>Unchanged</t>
        </is>
      </c>
      <c r="F35" s="243" t="inlineStr">
        <is>
          <t>Pack, asset and sector-TTP validation added; stochastic results remain the attached V1.6 PG baseline until rerun</t>
        </is>
      </c>
      <c r="G35" s="972" t="n"/>
      <c r="H35" s="972" t="n"/>
    </row>
    <row r="36" ht="48" customHeight="1" s="508">
      <c r="A36" s="973" t="inlineStr">
        <is>
          <t>Version</t>
        </is>
      </c>
      <c r="B36" s="973" t="inlineStr">
        <is>
          <t>Date</t>
        </is>
      </c>
      <c r="C36" s="973" t="inlineStr">
        <is>
          <t>Frequency</t>
        </is>
      </c>
      <c r="D36" s="973" t="inlineStr">
        <is>
          <t>Impact / BIA</t>
        </is>
      </c>
      <c r="E36" s="973" t="inlineStr">
        <is>
          <t>Insurance</t>
        </is>
      </c>
      <c r="F36" s="973" t="inlineStr">
        <is>
          <t>Validation</t>
        </is>
      </c>
      <c r="G36" s="972" t="n"/>
      <c r="H36" s="972" t="n"/>
    </row>
    <row r="37" ht="48" customHeight="1" s="508">
      <c r="A37" s="973" t="inlineStr">
        <is>
          <t>v1.6</t>
        </is>
      </c>
      <c r="B37" s="481" t="inlineStr">
        <is>
          <t>2026-08-18</t>
        </is>
      </c>
      <c r="C37" s="973" t="inlineStr">
        <is>
          <t>Retains v1.5 0.55 reference λ and 1.50× frequency-only prudence</t>
        </is>
      </c>
      <c r="D37" s="973" t="inlineStr">
        <is>
          <t>Editable OT cost-driver matrix; unit-rate/quantity equations; 100% BI factor default; scenario calibration</t>
        </is>
      </c>
      <c r="E37" s="973" t="inlineStr">
        <is>
          <t>Selectable TVaR95/99 less retention</t>
        </is>
      </c>
      <c r="F37" s="973" t="inlineStr">
        <is>
          <t>500,000 years per view; 45 automated checks</t>
        </is>
      </c>
      <c r="G37" s="972" t="n"/>
      <c r="H37" s="972" t="n"/>
    </row>
    <row r="38" ht="48" customHeight="1" s="508">
      <c r="A38" s="973" t="inlineStr">
        <is>
          <t>v1.5</t>
        </is>
      </c>
      <c r="B38" s="973" t="inlineStr">
        <is>
          <t>2026-08-18</t>
        </is>
      </c>
      <c r="C38" s="973" t="inlineStr">
        <is>
          <t>0.55 reference λ; 1.50× prudence; success sigma removed</t>
        </is>
      </c>
      <c r="D38" s="973" t="inlineStr">
        <is>
          <t>Revenue-based BI plus manually entered aggregate non-BI components</t>
        </is>
      </c>
      <c r="E38" s="973" t="inlineStr">
        <is>
          <t>Selectable TVaR95/99 less retention</t>
        </is>
      </c>
      <c r="F38" s="973" t="inlineStr">
        <is>
          <t>39 automated checks</t>
        </is>
      </c>
      <c r="G38" s="972" t="n"/>
      <c r="H38" s="972" t="n"/>
    </row>
    <row r="39">
      <c r="A39" s="972" t="inlineStr">
        <is>
          <t>v1.8</t>
        </is>
      </c>
      <c r="B39" s="972" t="inlineStr">
        <is>
          <t>2026-08-23</t>
        </is>
      </c>
      <c r="C39" s="972" t="inlineStr">
        <is>
          <t>Formalised PG / Energy Assets / Manufacturing sector packs; evidence-informed sector actor overlays and pack-specific BIA starting points</t>
        </is>
      </c>
      <c r="D39" s="972" t="inlineStr">
        <is>
          <t>Common 18-driver BIA retained; manufacturing quality/WIP extension flagged as optional</t>
        </is>
      </c>
      <c r="E39" s="972" t="inlineStr">
        <is>
          <t>Unchanged</t>
        </is>
      </c>
      <c r="F39" s="972" t="inlineStr">
        <is>
          <t>Workbook content updated; stochastic outputs must be rerun with a compatible engine before production use</t>
        </is>
      </c>
      <c r="G39" s="972" t="n"/>
      <c r="H39" s="972" t="n"/>
    </row>
  </sheetData>
  <mergeCells count="19">
    <mergeCell ref="A9:H9"/>
    <mergeCell ref="B30:H30"/>
    <mergeCell ref="A11:H11"/>
    <mergeCell ref="A1:H1"/>
    <mergeCell ref="A6:H6"/>
    <mergeCell ref="A7:H7"/>
    <mergeCell ref="B31:H31"/>
    <mergeCell ref="A12:H12"/>
    <mergeCell ref="A3:H3"/>
    <mergeCell ref="A2:H2"/>
    <mergeCell ref="A5:H5"/>
    <mergeCell ref="A32:H32"/>
    <mergeCell ref="A8:H8"/>
    <mergeCell ref="A4:H4"/>
    <mergeCell ref="A10:H10"/>
    <mergeCell ref="A28:H28"/>
    <mergeCell ref="A13:H13"/>
    <mergeCell ref="B29:H29"/>
    <mergeCell ref="A34:H34"/>
  </mergeCells>
  <pageMargins left="0.7" right="0.7" top="0.75" bottom="0.75" header="0.3" footer="0.3"/>
</worksheet>
</file>

<file path=xl/worksheets/sheet37.xml><?xml version="1.0" encoding="utf-8"?>
<worksheet xmlns="http://schemas.openxmlformats.org/spreadsheetml/2006/main">
  <sheetPr>
    <tabColor rgb="00ED7D31"/>
    <outlinePr summaryBelow="1" summaryRight="1"/>
    <pageSetUpPr/>
  </sheetPr>
  <dimension ref="A1:F50"/>
  <sheetViews>
    <sheetView showGridLines="1" workbookViewId="0">
      <selection activeCell="A1" sqref="A1"/>
    </sheetView>
  </sheetViews>
  <sheetFormatPr baseColWidth="8" defaultColWidth="8.6796875" defaultRowHeight="15"/>
  <cols>
    <col width="36" customWidth="1" style="972" min="1" max="1"/>
    <col width="22" customWidth="1" style="972" min="2" max="2"/>
    <col width="62" customWidth="1" style="972" min="3" max="3"/>
    <col width="68" customWidth="1" style="972" min="4" max="4"/>
    <col width="18" customWidth="1" style="972" min="5" max="6"/>
  </cols>
  <sheetData>
    <row r="1" ht="21.75" customHeight="1" s="508">
      <c r="A1" s="445" t="inlineStr">
        <is>
          <t>07 — Control Model Assumptions</t>
        </is>
      </c>
    </row>
    <row r="2" ht="37.5" customHeight="1" s="508">
      <c r="A2" s="402" t="inlineStr">
        <is>
          <t>Purpose: Define the maturity factors, default coverage, control-barrier aggregation rules and causal control channels used by the model.</t>
        </is>
      </c>
    </row>
    <row r="3" ht="37.5" customHeight="1" s="508">
      <c r="A3" s="403" t="inlineStr">
        <is>
          <t>In plain English: this sheet converts the maturity judgement into a simple implementation factor and defines the reference security state used to compare actual controls with the baseline.</t>
        </is>
      </c>
    </row>
    <row r="4" ht="21.75" customHeight="1" s="508">
      <c r="A4" s="446" t="inlineStr">
        <is>
          <t>SHEET TYPE: MODEL ASSUMPTIONS / CALIBRATION</t>
        </is>
      </c>
    </row>
    <row r="5" ht="21.75" customHeight="1" s="508">
      <c r="A5" s="405" t="inlineStr">
        <is>
          <t>Inputs / upstream sources</t>
        </is>
      </c>
    </row>
    <row r="6" ht="30" customHeight="1" s="508">
      <c r="A6" s="406" t="inlineStr">
        <is>
          <t>Core control-model design established in earlier versions and retained in v1.4. Values are calibration/model-structure assumptions, not empirical effectiveness claims.</t>
        </is>
      </c>
    </row>
    <row r="7" ht="30" customHeight="1" s="508">
      <c r="A7" s="405" t="inlineStr">
        <is>
          <t>Calculation / decision logic</t>
        </is>
      </c>
    </row>
    <row r="8" ht="30" customHeight="1" s="508">
      <c r="A8" s="406" t="inlineStr">
        <is>
          <t>Maturity is implementation quality. Not Assessed → Developing. Applied TTP-control efficacy = Base Efficacy × Maturity Factor × Coverage. Reference barriers use Developing maturity and 75% coverage. Multiple controls on the same TTP receive diminishing incremental credit; stage barriers use equal weighting across TTPs.</t>
        </is>
      </c>
    </row>
    <row r="9" ht="30" customHeight="1" s="508">
      <c r="A9" s="405" t="inlineStr">
        <is>
          <t>Key assumptions / defaults</t>
        </is>
      </c>
    </row>
    <row r="10" ht="30" customHeight="1" s="508">
      <c r="A10" s="406" t="inlineStr">
        <is>
          <t>No global effectiveness tier. Optimised = 0.95 rather than perfect 1.00. Coverage is separate from maturity. Scenario-defining TTPs are not given arbitrary 2× barrier weight.</t>
        </is>
      </c>
    </row>
    <row r="11" ht="30" customHeight="1" s="508">
      <c r="A11" s="405" t="inlineStr">
        <is>
          <t>Outputs / downstream use</t>
        </is>
      </c>
    </row>
    <row r="12" ht="30" customHeight="1" s="508">
      <c r="A12" s="406" t="inlineStr">
        <is>
          <t>Feeds 04 Control Assessment, 13 TTP-Control Map, 15 Attack Path Calc and consequence control factors.</t>
        </is>
      </c>
    </row>
    <row r="13" ht="30" customHeight="1" s="508">
      <c r="A13" s="407" t="inlineStr">
        <is>
          <t>Workbook convention: yellow cells / blue font are editable inputs or calibration assumptions; engine-output cells are not manually editable.</t>
        </is>
      </c>
    </row>
    <row r="15" ht="15" customHeight="1" s="508">
      <c r="A15" s="447" t="inlineStr">
        <is>
          <t>Maturity level</t>
        </is>
      </c>
      <c r="B15" s="447" t="inlineStr">
        <is>
          <t>Maturity factor</t>
        </is>
      </c>
      <c r="C15" s="447" t="inlineStr">
        <is>
          <t>Definition / assessment anchor</t>
        </is>
      </c>
      <c r="D15" s="406" t="n"/>
      <c r="E15" s="406" t="n"/>
      <c r="F15" s="406" t="n"/>
    </row>
    <row r="16" ht="15" customHeight="1" s="508">
      <c r="A16" s="406" t="inlineStr">
        <is>
          <t>Absent</t>
        </is>
      </c>
      <c r="B16" s="417" t="n">
        <v>0</v>
      </c>
      <c r="C16" s="406" t="inlineStr">
        <is>
          <t>Control is absent or materially non-functional.</t>
        </is>
      </c>
      <c r="D16" s="406" t="n"/>
      <c r="E16" s="406" t="n"/>
      <c r="F16" s="406" t="n"/>
    </row>
    <row r="17" ht="27.75" customHeight="1" s="508">
      <c r="A17" s="406" t="inlineStr">
        <is>
          <t>Initial</t>
        </is>
      </c>
      <c r="B17" s="417" t="n">
        <v>0.25</v>
      </c>
      <c r="C17" s="406" t="inlineStr">
        <is>
          <t>Control exists, but design/operation is inconsistent and significant weaknesses remain.</t>
        </is>
      </c>
      <c r="D17" s="406" t="n"/>
      <c r="E17" s="406" t="n"/>
      <c r="F17" s="406" t="n"/>
    </row>
    <row r="18" ht="27.75" customHeight="1" s="508">
      <c r="A18" s="406" t="inlineStr">
        <is>
          <t>Developing</t>
        </is>
      </c>
      <c r="B18" s="417" t="n">
        <v>0.5</v>
      </c>
      <c r="C18" s="406" t="inlineStr">
        <is>
          <t>Control design is broadly appropriate and routinely operated, but execution is inconsistent and effectiveness evidence is limited.</t>
        </is>
      </c>
      <c r="D18" s="406" t="n"/>
      <c r="E18" s="406" t="n"/>
      <c r="F18" s="406" t="n"/>
    </row>
    <row r="19" ht="27.75" customHeight="1" s="508">
      <c r="A19" s="406" t="inlineStr">
        <is>
          <t>Managed</t>
        </is>
      </c>
      <c r="B19" s="417" t="n">
        <v>0.75</v>
      </c>
      <c r="C19" s="406" t="inlineStr">
        <is>
          <t>Control is consistently operated and monitored; exceptions are actively managed and effectiveness is supported by evidence.</t>
        </is>
      </c>
      <c r="D19" s="406" t="n"/>
      <c r="E19" s="406" t="n"/>
      <c r="F19" s="406" t="n"/>
    </row>
    <row r="20" ht="27.75" customHeight="1" s="508">
      <c r="A20" s="406" t="inlineStr">
        <is>
          <t>Optimised</t>
        </is>
      </c>
      <c r="B20" s="417" t="n">
        <v>0.95</v>
      </c>
      <c r="C20" s="406" t="inlineStr">
        <is>
          <t>Control is continuously monitored/tested and demonstrates sustained operational effectiveness; no control is assumed perfect.</t>
        </is>
      </c>
      <c r="D20" s="406" t="n"/>
      <c r="E20" s="406" t="n"/>
      <c r="F20" s="406" t="n"/>
    </row>
    <row r="21" ht="15" customHeight="1" s="508">
      <c r="A21" s="406" t="n"/>
      <c r="B21" s="406" t="n"/>
      <c r="C21" s="406" t="n"/>
      <c r="D21" s="406" t="n"/>
      <c r="E21" s="406" t="n"/>
      <c r="F21" s="406" t="n"/>
    </row>
    <row r="22" ht="15" customHeight="1" s="508">
      <c r="A22" s="406" t="n"/>
      <c r="B22" s="406" t="n"/>
      <c r="C22" s="406" t="n"/>
      <c r="D22" s="406" t="n"/>
      <c r="E22" s="406" t="n"/>
      <c r="F22" s="406" t="n"/>
    </row>
    <row r="23" ht="15" customHeight="1" s="508">
      <c r="A23" s="406" t="n"/>
      <c r="B23" s="406" t="n"/>
      <c r="C23" s="406" t="n"/>
      <c r="D23" s="406" t="n"/>
      <c r="E23" s="406" t="n"/>
      <c r="F23" s="406" t="n"/>
    </row>
    <row r="24" ht="15" customHeight="1" s="508">
      <c r="A24" s="447" t="inlineStr">
        <is>
          <t>Parameter</t>
        </is>
      </c>
      <c r="B24" s="447" t="inlineStr">
        <is>
          <t>Value</t>
        </is>
      </c>
      <c r="C24" s="447" t="inlineStr">
        <is>
          <t>Parameter type</t>
        </is>
      </c>
      <c r="D24" s="447" t="inlineStr">
        <is>
          <t>How used</t>
        </is>
      </c>
      <c r="E24" s="406" t="n"/>
      <c r="F24" s="406" t="n"/>
    </row>
    <row r="25" ht="15" customHeight="1" s="508">
      <c r="A25" s="406" t="n"/>
      <c r="B25" s="406" t="n"/>
      <c r="C25" s="406" t="n"/>
      <c r="D25" s="406" t="n"/>
      <c r="E25" s="406" t="n"/>
      <c r="F25" s="406" t="n"/>
    </row>
    <row r="26" ht="15" customHeight="1" s="508">
      <c r="A26" s="406" t="inlineStr">
        <is>
          <t>BASELINE_MATURITY_LEVEL</t>
        </is>
      </c>
      <c r="B26" s="416" t="inlineStr">
        <is>
          <t>Developing</t>
        </is>
      </c>
      <c r="C26" s="406" t="inlineStr">
        <is>
          <t>Model structure</t>
        </is>
      </c>
      <c r="D26" s="406" t="inlineStr">
        <is>
          <t>Reference state and default for Not Assessed.</t>
        </is>
      </c>
      <c r="E26" s="406" t="n"/>
      <c r="F26" s="406" t="n"/>
    </row>
    <row r="27" ht="15" customHeight="1" s="508">
      <c r="A27" s="406" t="inlineStr">
        <is>
          <t>DEFAULT_COVERAGE</t>
        </is>
      </c>
      <c r="B27" s="417" t="n">
        <v>0.75</v>
      </c>
      <c r="C27" s="406" t="inlineStr">
        <is>
          <t>Model default</t>
        </is>
      </c>
      <c r="D27" s="406" t="inlineStr">
        <is>
          <t>Used when a control-specific coverage value is blank.</t>
        </is>
      </c>
      <c r="E27" s="406" t="n"/>
      <c r="F27" s="406" t="n"/>
    </row>
    <row r="28" ht="27.75" customHeight="1" s="508">
      <c r="A28" s="406" t="inlineStr">
        <is>
          <t>AGG_INCREMENT</t>
        </is>
      </c>
      <c r="B28" s="417" t="n">
        <v>0.25</v>
      </c>
      <c r="C28" s="406" t="inlineStr">
        <is>
          <t>Model structure / calibration</t>
        </is>
      </c>
      <c r="D28" s="406" t="inlineStr">
        <is>
          <t>Strongest distinct control on a TTP receives full credit; later controls receive diminishing incremental credit.</t>
        </is>
      </c>
      <c r="E28" s="406" t="n"/>
      <c r="F28" s="406" t="n"/>
    </row>
    <row r="29" ht="15" customHeight="1" s="508">
      <c r="A29" s="406" t="inlineStr">
        <is>
          <t>ADJ_FLOOR</t>
        </is>
      </c>
      <c r="B29" s="417" t="n">
        <v>0.4</v>
      </c>
      <c r="C29" s="406" t="inlineStr">
        <is>
          <t>Model bound</t>
        </is>
      </c>
      <c r="D29" s="406" t="inlineStr">
        <is>
          <t>Minimum residual-risk adjustment vs reference controls.</t>
        </is>
      </c>
      <c r="E29" s="406" t="n"/>
      <c r="F29" s="406" t="n"/>
    </row>
    <row r="30" ht="15" customHeight="1" s="508">
      <c r="A30" s="406" t="inlineStr">
        <is>
          <t>ADJ_CEILING</t>
        </is>
      </c>
      <c r="B30" s="449" t="n">
        <v>2</v>
      </c>
      <c r="C30" s="406" t="inlineStr">
        <is>
          <t>Model bound</t>
        </is>
      </c>
      <c r="D30" s="406" t="inlineStr">
        <is>
          <t>Maximum residual-risk adjustment vs reference controls.</t>
        </is>
      </c>
      <c r="E30" s="406" t="n"/>
      <c r="F30" s="406" t="n"/>
    </row>
    <row r="31" ht="27.75" customHeight="1" s="508">
      <c r="A31" s="406" t="inlineStr">
        <is>
          <t>DUR_FLOOR</t>
        </is>
      </c>
      <c r="B31" s="417" t="n">
        <v>0.4</v>
      </c>
      <c r="C31" s="406" t="inlineStr">
        <is>
          <t>Model bound</t>
        </is>
      </c>
      <c r="D31" s="406" t="inlineStr">
        <is>
          <t>Detect × Recover cannot reduce outage below this factor of reference duration.</t>
        </is>
      </c>
      <c r="E31" s="406" t="n"/>
      <c r="F31" s="406" t="n"/>
    </row>
    <row r="32" ht="15" customHeight="1" s="508">
      <c r="A32" s="406" t="inlineStr">
        <is>
          <t>CONSEQ_FLOOR</t>
        </is>
      </c>
      <c r="B32" s="417" t="n">
        <v>0.4</v>
      </c>
      <c r="C32" s="406" t="inlineStr">
        <is>
          <t>Model bound</t>
        </is>
      </c>
      <c r="D32" s="406" t="inlineStr">
        <is>
          <t>Recover/Safety controls cannot reduce non-BI consequence below this factor.</t>
        </is>
      </c>
      <c r="E32" s="406" t="n"/>
      <c r="F32" s="406" t="n"/>
    </row>
    <row r="33" ht="27.75" customHeight="1" s="508">
      <c r="A33" s="406" t="inlineStr">
        <is>
          <t>CONSEQ_CEILING</t>
        </is>
      </c>
      <c r="B33" s="449" t="n">
        <v>2</v>
      </c>
      <c r="C33" s="406" t="inlineStr">
        <is>
          <t>Model bound</t>
        </is>
      </c>
      <c r="D33" s="406" t="inlineStr">
        <is>
          <t>Weak Recover/Safety controls cannot increase non-BI consequence above this factor.</t>
        </is>
      </c>
      <c r="E33" s="406" t="n"/>
      <c r="F33" s="406" t="n"/>
    </row>
    <row r="34" ht="27.75" customHeight="1" s="508">
      <c r="A34" s="406" t="inlineStr">
        <is>
          <t>DEFAULT_TTP_CONTROL_BASE_EFFICACY</t>
        </is>
      </c>
      <c r="B34" s="449" t="n">
        <v>0.8</v>
      </c>
      <c r="C34" s="406" t="inlineStr">
        <is>
          <t>Working prior / seed only</t>
        </is>
      </c>
      <c r="D34" s="406" t="inlineStr">
        <is>
          <t>Current seed/reference value for non-excluded TTP-control mappings. Row-level Base Efficacy on 13 is the value actually used and remains editable relationship by relationship.</t>
        </is>
      </c>
      <c r="E34" s="406" t="n"/>
      <c r="F34" s="406" t="n"/>
    </row>
    <row r="35" ht="15" customHeight="1" s="508">
      <c r="A35" s="406" t="n"/>
      <c r="B35" s="406" t="n"/>
      <c r="C35" s="406" t="n"/>
      <c r="D35" s="406" t="n"/>
      <c r="E35" s="406" t="n"/>
      <c r="F35" s="406" t="n"/>
    </row>
    <row r="36" ht="15" customHeight="1" s="508">
      <c r="A36" s="406" t="n"/>
      <c r="B36" s="406" t="n"/>
      <c r="C36" s="406" t="n"/>
      <c r="D36" s="406" t="n"/>
      <c r="E36" s="406" t="n"/>
      <c r="F36" s="406" t="n"/>
    </row>
    <row r="37" ht="15" customHeight="1" s="508">
      <c r="A37" s="406" t="n"/>
      <c r="B37" s="406" t="n"/>
      <c r="C37" s="406" t="n"/>
      <c r="D37" s="406" t="n"/>
      <c r="E37" s="406" t="n"/>
      <c r="F37" s="406" t="n"/>
    </row>
    <row r="38" ht="15" customHeight="1" s="508">
      <c r="A38" s="154" t="inlineStr">
        <is>
          <t>SEVERITY MODEL SETTINGS</t>
        </is>
      </c>
      <c r="B38" s="509" t="n"/>
      <c r="C38" s="509" t="n"/>
      <c r="D38" s="510" t="n"/>
      <c r="E38" s="406" t="n"/>
      <c r="F38" s="406" t="n"/>
    </row>
    <row r="39" ht="15" customHeight="1" s="508">
      <c r="A39" s="406" t="n"/>
      <c r="B39" s="406" t="n"/>
      <c r="C39" s="406" t="n"/>
      <c r="D39" s="406" t="n"/>
      <c r="E39" s="406" t="n"/>
      <c r="F39" s="406" t="n"/>
    </row>
    <row r="40" ht="41.25" customHeight="1" s="508">
      <c r="A40" s="188" t="inlineStr">
        <is>
          <t>Parameter</t>
        </is>
      </c>
      <c r="B40" s="188" t="inlineStr">
        <is>
          <t>Value</t>
        </is>
      </c>
      <c r="C40" s="188" t="inlineStr">
        <is>
          <t>Parameter type</t>
        </is>
      </c>
      <c r="D40" s="188" t="inlineStr">
        <is>
          <t>How used</t>
        </is>
      </c>
      <c r="E40" s="406" t="n"/>
      <c r="F40" s="406" t="n"/>
    </row>
    <row r="41" ht="41.25" customHeight="1" s="508">
      <c r="A41" s="406" t="inlineStr">
        <is>
          <t>STRESS_Z</t>
        </is>
      </c>
      <c r="B41" s="189" t="n">
        <v>2.326347874</v>
      </c>
      <c r="C41" s="406" t="inlineStr">
        <is>
          <t>Severity convention</t>
        </is>
      </c>
      <c r="D41" s="406" t="inlineStr">
        <is>
          <t>P50/P99 inputs fit the conditional lognormal severity distributions.</t>
        </is>
      </c>
      <c r="E41" s="406" t="n"/>
      <c r="F41" s="406" t="n"/>
    </row>
    <row r="42" ht="41.25" customHeight="1" s="508">
      <c r="A42" s="406" t="inlineStr">
        <is>
          <t>LOSS_DOWNTIME_RHO</t>
        </is>
      </c>
      <c r="B42" s="190" t="n">
        <v>0.75</v>
      </c>
      <c r="C42" s="406" t="inlineStr">
        <is>
          <t>Dependence parameter</t>
        </is>
      </c>
      <c r="D42" s="406" t="inlineStr">
        <is>
          <t>Gaussian-copula correlation between downtime and aggregate non-BI severity.</t>
        </is>
      </c>
      <c r="E42" s="406" t="n"/>
      <c r="F42" s="406" t="n"/>
    </row>
    <row r="43" ht="41.25" customHeight="1" s="508">
      <c r="A43" s="406" t="inlineStr">
        <is>
          <t>Safety / Resilience</t>
        </is>
      </c>
      <c r="B43" s="406" t="inlineStr">
        <is>
          <t>Changes physical/safety consequence-sensitive non-BI costs.</t>
        </is>
      </c>
      <c r="C43" s="406" t="n"/>
      <c r="D43" s="406" t="n"/>
      <c r="E43" s="406" t="n"/>
      <c r="F43" s="406" t="n"/>
    </row>
    <row r="44" ht="15" customHeight="1" s="508">
      <c r="A44" s="406" t="n"/>
      <c r="B44" s="406" t="n"/>
      <c r="C44" s="406" t="n"/>
      <c r="D44" s="406" t="n"/>
      <c r="E44" s="406" t="n"/>
      <c r="F44" s="406" t="n"/>
    </row>
    <row r="45" ht="15" customHeight="1" s="508">
      <c r="A45" s="406" t="n"/>
      <c r="B45" s="406" t="n"/>
      <c r="C45" s="406" t="n"/>
      <c r="D45" s="406" t="n"/>
      <c r="E45" s="406" t="n"/>
      <c r="F45" s="406" t="n"/>
    </row>
    <row r="46" ht="15" customHeight="1" s="508">
      <c r="A46" s="406" t="n"/>
      <c r="B46" s="406" t="n"/>
      <c r="C46" s="406" t="n"/>
      <c r="D46" s="406" t="n"/>
      <c r="E46" s="406" t="n"/>
      <c r="F46" s="406" t="n"/>
    </row>
    <row r="47" ht="15" customHeight="1" s="508">
      <c r="A47" s="406" t="n"/>
      <c r="B47" s="406" t="n"/>
      <c r="C47" s="406" t="n"/>
      <c r="D47" s="406" t="n"/>
      <c r="E47" s="406" t="n"/>
      <c r="F47" s="406" t="n"/>
    </row>
    <row r="48" ht="15" customHeight="1" s="508">
      <c r="A48" s="406" t="n"/>
      <c r="B48" s="406" t="n"/>
      <c r="C48" s="406" t="n"/>
      <c r="D48" s="406" t="n"/>
      <c r="E48" s="406" t="n"/>
      <c r="F48" s="406" t="n"/>
    </row>
    <row r="49" ht="15" customHeight="1" s="508">
      <c r="A49" s="406" t="n"/>
      <c r="B49" s="406" t="n"/>
      <c r="C49" s="406" t="n"/>
      <c r="D49" s="406" t="n"/>
      <c r="E49" s="406" t="n"/>
      <c r="F49" s="406" t="n"/>
    </row>
    <row r="50" ht="15" customHeight="1" s="508">
      <c r="A50" s="406" t="n"/>
      <c r="B50" s="406" t="n"/>
      <c r="C50" s="406" t="n"/>
      <c r="D50" s="406" t="n"/>
      <c r="E50" s="406" t="n"/>
      <c r="F50" s="406" t="n"/>
    </row>
  </sheetData>
  <mergeCells count="14">
    <mergeCell ref="A2:F2"/>
    <mergeCell ref="A11:F11"/>
    <mergeCell ref="A10:F10"/>
    <mergeCell ref="A13:F13"/>
    <mergeCell ref="A1:F1"/>
    <mergeCell ref="A5:F5"/>
    <mergeCell ref="A9:F9"/>
    <mergeCell ref="A38:D38"/>
    <mergeCell ref="A8:F8"/>
    <mergeCell ref="A6:F6"/>
    <mergeCell ref="A12:F12"/>
    <mergeCell ref="A4:F4"/>
    <mergeCell ref="A3:F3"/>
    <mergeCell ref="A7:F7"/>
  </mergeCells>
  <pageMargins left="0.7" right="0.7" top="0.75" bottom="0.75" header="0.3" footer="0.3"/>
</worksheet>
</file>

<file path=xl/worksheets/sheet38.xml><?xml version="1.0" encoding="utf-8"?>
<worksheet xmlns="http://schemas.openxmlformats.org/spreadsheetml/2006/main">
  <sheetPr>
    <tabColor rgb="00ED7D31"/>
    <outlinePr summaryBelow="1" summaryRight="1"/>
    <pageSetUpPr/>
  </sheetPr>
  <dimension ref="A1:E10"/>
  <sheetViews>
    <sheetView showGridLines="1" workbookViewId="0">
      <selection activeCell="A1" sqref="A1"/>
    </sheetView>
  </sheetViews>
  <sheetFormatPr baseColWidth="8" defaultColWidth="8.6796875" defaultRowHeight="15"/>
  <cols>
    <col width="32" customWidth="1" style="972" min="1" max="1"/>
    <col width="96" customWidth="1" style="972" min="2" max="2"/>
    <col width="14" customWidth="1" style="972" min="3" max="3"/>
    <col width="16" customWidth="1" style="972" min="4" max="4"/>
    <col width="14" customWidth="1" style="972" min="5" max="5"/>
  </cols>
  <sheetData>
    <row r="1" ht="25.5" customHeight="1" s="508">
      <c r="A1" s="427" t="inlineStr">
        <is>
          <t>08 — Common OT Adverse Scenario Definitions (multi-sector v1.8)</t>
        </is>
      </c>
    </row>
    <row r="2" ht="48" customHeight="1" s="508">
      <c r="A2" s="428" t="inlineStr">
        <is>
          <t>Narrative definition of each adverse scenario. These are deliberately sector-agnostic so the engine remains common across Power Generation, Energy Assets and Manufacturing; sector packs on 30–32 provide sector-specific interpretation and BIA starting points.</t>
        </is>
      </c>
    </row>
    <row r="3" ht="24" customHeight="1" s="508">
      <c r="A3" s="429" t="inlineStr">
        <is>
          <t>In plain English: what each of the five bad outcomes actually means, in one sentence each.</t>
        </is>
      </c>
    </row>
    <row r="5" ht="30" customHeight="1" s="508">
      <c r="A5" s="430" t="inlineStr">
        <is>
          <t>Scenario</t>
        </is>
      </c>
      <c r="B5" s="430" t="inlineStr">
        <is>
          <t>Common OT definition</t>
        </is>
      </c>
      <c r="C5" s="431" t="inlineStr">
        <is>
          <t>Defining TTPs</t>
        </is>
      </c>
      <c r="D5" s="431" t="inlineStr">
        <is>
          <t>Supporting TTPs</t>
        </is>
      </c>
      <c r="E5" s="431" t="inlineStr">
        <is>
          <t>Enabling TTPs</t>
        </is>
      </c>
    </row>
    <row r="6" ht="48" customHeight="1" s="508">
      <c r="A6" s="432" t="inlineStr">
        <is>
          <t>Operational Disruption</t>
        </is>
      </c>
      <c r="B6" s="433" t="inlineStr">
        <is>
          <t>Cyber compromise causes material interruption, shutdown or degradation of the facility's critical operation or service without requiring sustained loss of process control or physical destruction.</t>
        </is>
      </c>
      <c r="C6" s="434" t="n">
        <v>4</v>
      </c>
      <c r="D6" s="434" t="n">
        <v>3</v>
      </c>
      <c r="E6" s="434" t="n">
        <v>56</v>
      </c>
    </row>
    <row r="7" ht="48" customHeight="1" s="508">
      <c r="A7" s="435" t="inlineStr">
        <is>
          <t>Loss of Control or Visibility</t>
        </is>
      </c>
      <c r="B7" s="436" t="inlineStr">
        <is>
          <t>Cyber compromise prevents or materially degrades operators' ability to observe, command or manage the OT process or production system.</t>
        </is>
      </c>
      <c r="C7" s="437" t="n">
        <v>4</v>
      </c>
      <c r="D7" s="437" t="n">
        <v>5</v>
      </c>
      <c r="E7" s="437" t="n">
        <v>56</v>
      </c>
    </row>
    <row r="8" ht="48" customHeight="1" s="508">
      <c r="A8" s="432" t="inlineStr">
        <is>
          <t>Process Manipulation</t>
        </is>
      </c>
      <c r="B8" s="433" t="inlineStr">
        <is>
          <t>An adversary intentionally alters process or production-control logic, parameters, I/O, recipes, programs or commands, causing operations to deviate from their intended state.</t>
        </is>
      </c>
      <c r="C8" s="434" t="n">
        <v>3</v>
      </c>
      <c r="D8" s="434" t="n">
        <v>7</v>
      </c>
      <c r="E8" s="434" t="n">
        <v>52</v>
      </c>
    </row>
    <row r="9" ht="48" customHeight="1" s="508">
      <c r="A9" s="435" t="inlineStr">
        <is>
          <t>Safety System Compromise</t>
        </is>
      </c>
      <c r="B9" s="436" t="inlineStr">
        <is>
          <t>Cyber compromise degrades, disables or manipulates protection, interlock or safety functions intended to prevent or respond to abnormal or unsafe operating conditions.</t>
        </is>
      </c>
      <c r="C9" s="437" t="n">
        <v>5</v>
      </c>
      <c r="D9" s="437" t="n">
        <v>6</v>
      </c>
      <c r="E9" s="437" t="n">
        <v>57</v>
      </c>
    </row>
    <row r="10" ht="48" customHeight="1" s="508">
      <c r="A10" s="432" t="inlineStr">
        <is>
          <t>Destructive or Integrity Attack</t>
        </is>
      </c>
      <c r="B10" s="433" t="inlineStr">
        <is>
          <t>Cyber activity destroys, corrupts or persistently alters OT systems, logic, firmware, configurations or equipment, requiring significant restoration, integrity assurance or recommissioning and potentially causing physical damage.</t>
        </is>
      </c>
      <c r="C10" s="434" t="n">
        <v>3</v>
      </c>
      <c r="D10" s="434" t="n">
        <v>5</v>
      </c>
      <c r="E10" s="434" t="n">
        <v>55</v>
      </c>
    </row>
  </sheetData>
  <mergeCells count="3">
    <mergeCell ref="A2:E2"/>
    <mergeCell ref="A1:E1"/>
    <mergeCell ref="A3:E3"/>
  </mergeCells>
  <pageMargins left="0.7" right="0.7" top="0.75" bottom="0.75" header="0.3" footer="0.3"/>
</worksheet>
</file>

<file path=xl/worksheets/sheet39.xml><?xml version="1.0" encoding="utf-8"?>
<worksheet xmlns="http://schemas.openxmlformats.org/spreadsheetml/2006/main">
  <sheetPr>
    <tabColor rgb="00ED7D31"/>
    <outlinePr summaryBelow="1" summaryRight="1"/>
    <pageSetUpPr/>
  </sheetPr>
  <dimension ref="A1:H366"/>
  <sheetViews>
    <sheetView showGridLines="1" workbookViewId="0">
      <selection activeCell="A1" sqref="A1"/>
    </sheetView>
  </sheetViews>
  <sheetFormatPr baseColWidth="8" defaultColWidth="8.6796875" defaultRowHeight="15"/>
  <cols>
    <col width="30" customWidth="1" style="972" min="1" max="1"/>
    <col width="14" customWidth="1" style="972" min="2" max="2"/>
    <col width="34" customWidth="1" style="972" min="3" max="3"/>
    <col width="32" customWidth="1" style="972" min="4" max="4"/>
    <col width="24" customWidth="1" style="972" min="5" max="5"/>
    <col width="13" customWidth="1" style="972" min="6" max="6"/>
    <col width="24" customWidth="1" style="972" min="7" max="7"/>
    <col width="48" customWidth="1" style="972" min="8" max="8"/>
  </cols>
  <sheetData>
    <row r="1" ht="21.75" customHeight="1" s="508">
      <c r="A1" s="424" t="inlineStr">
        <is>
          <t>09 — Scenario → TTP Mapping</t>
        </is>
      </c>
    </row>
    <row r="2" ht="37.5" customHeight="1" s="508">
      <c r="A2" s="402" t="inlineStr">
        <is>
          <t>Purpose: Define which ATT&amp;CK ICS techniques are relevant to each adverse scenario and assign an explicit attack stage and scenario role.</t>
        </is>
      </c>
    </row>
    <row r="3" ht="37.5" customHeight="1" s="508">
      <c r="A3" s="403" t="inlineStr">
        <is>
          <t>In plain English: which attacker techniques could produce each bad outcome. S5 techniques cause the outcome. S1-S4 techniques are the candidate enabling universe — the pool of methods an attacker could draw on to get there, not a literal single path that uses all of them.</t>
        </is>
      </c>
    </row>
    <row r="4" ht="21.75" customHeight="1" s="508">
      <c r="A4" s="425" t="inlineStr">
        <is>
          <t>SHEET TYPE: MAPPING / MODEL LOGIC</t>
        </is>
      </c>
    </row>
    <row r="5" ht="21.75" customHeight="1" s="508">
      <c r="A5" s="405" t="inlineStr">
        <is>
          <t>Inputs / upstream sources</t>
        </is>
      </c>
    </row>
    <row r="6" ht="30" customHeight="1" s="508">
      <c r="A6" s="406" t="inlineStr">
        <is>
          <t>ATT&amp;CK ICS technique taxonomy plus model mapping judgement inherited from the predecessor model.</t>
        </is>
      </c>
    </row>
    <row r="7" ht="30" customHeight="1" s="508">
      <c r="A7" s="405" t="inlineStr">
        <is>
          <t>Calculation / decision logic</t>
        </is>
      </c>
    </row>
    <row r="8" ht="30" customHeight="1" s="508">
      <c r="A8" s="406" t="inlineStr">
        <is>
          <t>Scenario relevance is a model relationship. Attack stage is explicit; scenario-defining / supporting impact techniques sit in S5. The engine does not infer stage by first matching a tactic string.</t>
        </is>
      </c>
    </row>
    <row r="9" ht="30" customHeight="1" s="508">
      <c r="A9" s="405" t="inlineStr">
        <is>
          <t>Key assumptions / defaults</t>
        </is>
      </c>
    </row>
    <row r="10" ht="30" customHeight="1" s="508">
      <c r="A10" s="406" t="inlineStr">
        <is>
          <t>Scenario mapping is model logic, not an ATT&amp;CK probability. Mapping snapshot must be version-governed and periodically reviewed.</t>
        </is>
      </c>
    </row>
    <row r="11" ht="30" customHeight="1" s="508">
      <c r="A11" s="405" t="inlineStr">
        <is>
          <t>Outputs / downstream use</t>
        </is>
      </c>
    </row>
    <row r="12" ht="30" customHeight="1" s="508">
      <c r="A12" s="406" t="inlineStr">
        <is>
          <t>Feeds 14 TTP Relevance Calc and 15 Attack Path Calc.</t>
        </is>
      </c>
    </row>
    <row r="13" ht="30" customHeight="1" s="508">
      <c r="A13" s="407" t="inlineStr">
        <is>
          <t>Workbook convention: yellow cells / blue font are editable inputs or calibration assumptions; engine-output cells are not manually editable.</t>
        </is>
      </c>
    </row>
    <row r="15" ht="15" customHeight="1" s="508">
      <c r="A15" s="408" t="inlineStr">
        <is>
          <t>Scenario</t>
        </is>
      </c>
      <c r="B15" s="408" t="inlineStr">
        <is>
          <t>TTP ID</t>
        </is>
      </c>
      <c r="C15" s="408" t="inlineStr">
        <is>
          <t>Technique</t>
        </is>
      </c>
      <c r="D15" s="408" t="inlineStr">
        <is>
          <t>ATT&amp;CK tactic(s)</t>
        </is>
      </c>
      <c r="E15" s="408" t="inlineStr">
        <is>
          <t>Scenario role</t>
        </is>
      </c>
      <c r="F15" s="408" t="inlineStr">
        <is>
          <t>Attack stage</t>
        </is>
      </c>
      <c r="G15" s="408" t="inlineStr">
        <is>
          <t>Mapping basis</t>
        </is>
      </c>
      <c r="H15" s="408" t="inlineStr">
        <is>
          <t>Technique URL</t>
        </is>
      </c>
    </row>
    <row r="16" ht="15" customHeight="1" s="508">
      <c r="A16" s="406" t="inlineStr">
        <is>
          <t>Safety System Compromise</t>
        </is>
      </c>
      <c r="B16" s="406" t="inlineStr">
        <is>
          <t>T0800</t>
        </is>
      </c>
      <c r="C16" s="406" t="inlineStr">
        <is>
          <t>Activate Firmware Update Mode</t>
        </is>
      </c>
      <c r="D16" s="406" t="inlineStr">
        <is>
          <t>Inhibit Response Function</t>
        </is>
      </c>
      <c r="E16" s="406" t="inlineStr">
        <is>
          <t>Scenario-defining</t>
        </is>
      </c>
      <c r="F16" s="406" t="inlineStr">
        <is>
          <t>S5</t>
        </is>
      </c>
      <c r="G16" s="406" t="inlineStr">
        <is>
          <t>Model Mapping</t>
        </is>
      </c>
      <c r="H16" s="426" t="inlineStr">
        <is>
          <t>https://attack.mitre.org/techniques/T0800</t>
        </is>
      </c>
    </row>
    <row r="17" ht="81.75" customHeight="1" s="508">
      <c r="A17" s="406" t="inlineStr">
        <is>
          <t>Destructive or Integrity Attack</t>
        </is>
      </c>
      <c r="B17" s="406" t="inlineStr">
        <is>
          <t>T0800</t>
        </is>
      </c>
      <c r="C17" s="406" t="inlineStr">
        <is>
          <t>Activate Firmware Update Mode</t>
        </is>
      </c>
      <c r="D17" s="406" t="inlineStr">
        <is>
          <t>Inhibit Response Function</t>
        </is>
      </c>
      <c r="E17" s="406" t="inlineStr">
        <is>
          <t>Supporting / impact</t>
        </is>
      </c>
      <c r="F17" s="406" t="inlineStr">
        <is>
          <t>S5</t>
        </is>
      </c>
      <c r="G17" s="406" t="inlineStr">
        <is>
          <t>RECLASSIFIED v1.2: Activate Firmware Update Mode denies normal functionality but does not itself imply destructive or integrity compromise.</t>
        </is>
      </c>
      <c r="H17" s="426" t="inlineStr">
        <is>
          <t>https://attack.mitre.org/techniques/T0800</t>
        </is>
      </c>
    </row>
    <row r="18" ht="27.75" customHeight="1" s="508">
      <c r="A18" s="406" t="inlineStr">
        <is>
          <t>Operational Disruption</t>
        </is>
      </c>
      <c r="B18" s="406" t="inlineStr">
        <is>
          <t>T0830</t>
        </is>
      </c>
      <c r="C18" s="406" t="inlineStr">
        <is>
          <t>Adversary-in-the-Middle</t>
        </is>
      </c>
      <c r="D18" s="406" t="inlineStr">
        <is>
          <t>Collection</t>
        </is>
      </c>
      <c r="E18" s="406" t="inlineStr">
        <is>
          <t>Candidate enabling technique</t>
        </is>
      </c>
      <c r="F18" s="406" t="inlineStr">
        <is>
          <t>S4</t>
        </is>
      </c>
      <c r="G18" s="406" t="inlineStr">
        <is>
          <t>Model Mapping</t>
        </is>
      </c>
      <c r="H18" s="426" t="inlineStr">
        <is>
          <t>https://attack.mitre.org/techniques/T0830</t>
        </is>
      </c>
    </row>
    <row r="19" ht="27.75" customHeight="1" s="508">
      <c r="A19" s="406" t="inlineStr">
        <is>
          <t>Loss of Control or Visibility</t>
        </is>
      </c>
      <c r="B19" s="406" t="inlineStr">
        <is>
          <t>T0830</t>
        </is>
      </c>
      <c r="C19" s="406" t="inlineStr">
        <is>
          <t>Adversary-in-the-Middle</t>
        </is>
      </c>
      <c r="D19" s="406" t="inlineStr">
        <is>
          <t>Collection</t>
        </is>
      </c>
      <c r="E19" s="406" t="inlineStr">
        <is>
          <t>Candidate enabling technique</t>
        </is>
      </c>
      <c r="F19" s="406" t="inlineStr">
        <is>
          <t>S4</t>
        </is>
      </c>
      <c r="G19" s="406" t="inlineStr">
        <is>
          <t>Model Mapping</t>
        </is>
      </c>
      <c r="H19" s="426" t="inlineStr">
        <is>
          <t>https://attack.mitre.org/techniques/T0830</t>
        </is>
      </c>
    </row>
    <row r="20" ht="27.75" customHeight="1" s="508">
      <c r="A20" s="406" t="inlineStr">
        <is>
          <t>Process Manipulation</t>
        </is>
      </c>
      <c r="B20" s="406" t="inlineStr">
        <is>
          <t>T0830</t>
        </is>
      </c>
      <c r="C20" s="406" t="inlineStr">
        <is>
          <t>Adversary-in-the-Middle</t>
        </is>
      </c>
      <c r="D20" s="406" t="inlineStr">
        <is>
          <t>Collection</t>
        </is>
      </c>
      <c r="E20" s="406" t="inlineStr">
        <is>
          <t>Candidate enabling technique</t>
        </is>
      </c>
      <c r="F20" s="406" t="inlineStr">
        <is>
          <t>S4</t>
        </is>
      </c>
      <c r="G20" s="406" t="inlineStr">
        <is>
          <t>Model Mapping</t>
        </is>
      </c>
      <c r="H20" s="426" t="inlineStr">
        <is>
          <t>https://attack.mitre.org/techniques/T0830</t>
        </is>
      </c>
    </row>
    <row r="21" ht="27.75" customHeight="1" s="508">
      <c r="A21" s="406" t="inlineStr">
        <is>
          <t>Safety System Compromise</t>
        </is>
      </c>
      <c r="B21" s="406" t="inlineStr">
        <is>
          <t>T0830</t>
        </is>
      </c>
      <c r="C21" s="406" t="inlineStr">
        <is>
          <t>Adversary-in-the-Middle</t>
        </is>
      </c>
      <c r="D21" s="406" t="inlineStr">
        <is>
          <t>Collection</t>
        </is>
      </c>
      <c r="E21" s="406" t="inlineStr">
        <is>
          <t>Candidate enabling technique</t>
        </is>
      </c>
      <c r="F21" s="406" t="inlineStr">
        <is>
          <t>S4</t>
        </is>
      </c>
      <c r="G21" s="406" t="inlineStr">
        <is>
          <t>Model Mapping</t>
        </is>
      </c>
      <c r="H21" s="426" t="inlineStr">
        <is>
          <t>https://attack.mitre.org/techniques/T0830</t>
        </is>
      </c>
    </row>
    <row r="22" ht="27.75" customHeight="1" s="508">
      <c r="A22" s="406" t="inlineStr">
        <is>
          <t>Destructive or Integrity Attack</t>
        </is>
      </c>
      <c r="B22" s="406" t="inlineStr">
        <is>
          <t>T0830</t>
        </is>
      </c>
      <c r="C22" s="406" t="inlineStr">
        <is>
          <t>Adversary-in-the-Middle</t>
        </is>
      </c>
      <c r="D22" s="406" t="inlineStr">
        <is>
          <t>Collection</t>
        </is>
      </c>
      <c r="E22" s="406" t="inlineStr">
        <is>
          <t>Candidate enabling technique</t>
        </is>
      </c>
      <c r="F22" s="406" t="inlineStr">
        <is>
          <t>S4</t>
        </is>
      </c>
      <c r="G22" s="406" t="inlineStr">
        <is>
          <t>Model Mapping</t>
        </is>
      </c>
      <c r="H22" s="426" t="inlineStr">
        <is>
          <t>https://attack.mitre.org/techniques/T0830</t>
        </is>
      </c>
    </row>
    <row r="23" ht="15" customHeight="1" s="508">
      <c r="A23" s="406" t="inlineStr">
        <is>
          <t>Safety System Compromise</t>
        </is>
      </c>
      <c r="B23" s="406" t="inlineStr">
        <is>
          <t>T0878</t>
        </is>
      </c>
      <c r="C23" s="406" t="inlineStr">
        <is>
          <t>Alarm Suppression</t>
        </is>
      </c>
      <c r="D23" s="406" t="inlineStr">
        <is>
          <t>Inhibit Response Function</t>
        </is>
      </c>
      <c r="E23" s="406" t="inlineStr">
        <is>
          <t>Scenario-defining</t>
        </is>
      </c>
      <c r="F23" s="406" t="inlineStr">
        <is>
          <t>S5</t>
        </is>
      </c>
      <c r="G23" s="406" t="inlineStr">
        <is>
          <t>Model Mapping</t>
        </is>
      </c>
      <c r="H23" s="426" t="inlineStr">
        <is>
          <t>https://attack.mitre.org/techniques/T0878</t>
        </is>
      </c>
    </row>
    <row r="24" ht="27.75" customHeight="1" s="508">
      <c r="A24" s="406" t="inlineStr">
        <is>
          <t>Operational Disruption</t>
        </is>
      </c>
      <c r="B24" s="406" t="inlineStr">
        <is>
          <t>T0802</t>
        </is>
      </c>
      <c r="C24" s="406" t="inlineStr">
        <is>
          <t>Automated Collection</t>
        </is>
      </c>
      <c r="D24" s="406" t="inlineStr">
        <is>
          <t>Collection</t>
        </is>
      </c>
      <c r="E24" s="406" t="inlineStr">
        <is>
          <t>Candidate enabling technique</t>
        </is>
      </c>
      <c r="F24" s="406" t="inlineStr">
        <is>
          <t>S4</t>
        </is>
      </c>
      <c r="G24" s="406" t="inlineStr">
        <is>
          <t>Model Mapping</t>
        </is>
      </c>
      <c r="H24" s="426" t="inlineStr">
        <is>
          <t>https://attack.mitre.org/techniques/T0802</t>
        </is>
      </c>
    </row>
    <row r="25" ht="27.75" customHeight="1" s="508">
      <c r="A25" s="406" t="inlineStr">
        <is>
          <t>Loss of Control or Visibility</t>
        </is>
      </c>
      <c r="B25" s="406" t="inlineStr">
        <is>
          <t>T0802</t>
        </is>
      </c>
      <c r="C25" s="406" t="inlineStr">
        <is>
          <t>Automated Collection</t>
        </is>
      </c>
      <c r="D25" s="406" t="inlineStr">
        <is>
          <t>Collection</t>
        </is>
      </c>
      <c r="E25" s="406" t="inlineStr">
        <is>
          <t>Candidate enabling technique</t>
        </is>
      </c>
      <c r="F25" s="406" t="inlineStr">
        <is>
          <t>S4</t>
        </is>
      </c>
      <c r="G25" s="406" t="inlineStr">
        <is>
          <t>Model Mapping</t>
        </is>
      </c>
      <c r="H25" s="426" t="inlineStr">
        <is>
          <t>https://attack.mitre.org/techniques/T0802</t>
        </is>
      </c>
    </row>
    <row r="26" ht="27.75" customHeight="1" s="508">
      <c r="A26" s="406" t="inlineStr">
        <is>
          <t>Process Manipulation</t>
        </is>
      </c>
      <c r="B26" s="406" t="inlineStr">
        <is>
          <t>T0802</t>
        </is>
      </c>
      <c r="C26" s="406" t="inlineStr">
        <is>
          <t>Automated Collection</t>
        </is>
      </c>
      <c r="D26" s="406" t="inlineStr">
        <is>
          <t>Collection</t>
        </is>
      </c>
      <c r="E26" s="406" t="inlineStr">
        <is>
          <t>Candidate enabling technique</t>
        </is>
      </c>
      <c r="F26" s="406" t="inlineStr">
        <is>
          <t>S4</t>
        </is>
      </c>
      <c r="G26" s="406" t="inlineStr">
        <is>
          <t>Model Mapping</t>
        </is>
      </c>
      <c r="H26" s="426" t="inlineStr">
        <is>
          <t>https://attack.mitre.org/techniques/T0802</t>
        </is>
      </c>
    </row>
    <row r="27" ht="27.75" customHeight="1" s="508">
      <c r="A27" s="406" t="inlineStr">
        <is>
          <t>Safety System Compromise</t>
        </is>
      </c>
      <c r="B27" s="406" t="inlineStr">
        <is>
          <t>T0802</t>
        </is>
      </c>
      <c r="C27" s="406" t="inlineStr">
        <is>
          <t>Automated Collection</t>
        </is>
      </c>
      <c r="D27" s="406" t="inlineStr">
        <is>
          <t>Collection</t>
        </is>
      </c>
      <c r="E27" s="406" t="inlineStr">
        <is>
          <t>Candidate enabling technique</t>
        </is>
      </c>
      <c r="F27" s="406" t="inlineStr">
        <is>
          <t>S4</t>
        </is>
      </c>
      <c r="G27" s="406" t="inlineStr">
        <is>
          <t>Model Mapping</t>
        </is>
      </c>
      <c r="H27" s="426" t="inlineStr">
        <is>
          <t>https://attack.mitre.org/techniques/T0802</t>
        </is>
      </c>
    </row>
    <row r="28" ht="27.75" customHeight="1" s="508">
      <c r="A28" s="406" t="inlineStr">
        <is>
          <t>Destructive or Integrity Attack</t>
        </is>
      </c>
      <c r="B28" s="406" t="inlineStr">
        <is>
          <t>T0802</t>
        </is>
      </c>
      <c r="C28" s="406" t="inlineStr">
        <is>
          <t>Automated Collection</t>
        </is>
      </c>
      <c r="D28" s="406" t="inlineStr">
        <is>
          <t>Collection</t>
        </is>
      </c>
      <c r="E28" s="406" t="inlineStr">
        <is>
          <t>Candidate enabling technique</t>
        </is>
      </c>
      <c r="F28" s="406" t="inlineStr">
        <is>
          <t>S4</t>
        </is>
      </c>
      <c r="G28" s="406" t="inlineStr">
        <is>
          <t>Model Mapping</t>
        </is>
      </c>
      <c r="H28" s="426" t="inlineStr">
        <is>
          <t>https://attack.mitre.org/techniques/T0802</t>
        </is>
      </c>
    </row>
    <row r="29" ht="27.75" customHeight="1" s="508">
      <c r="A29" s="406" t="inlineStr">
        <is>
          <t>Operational Disruption</t>
        </is>
      </c>
      <c r="B29" s="406" t="inlineStr">
        <is>
          <t>T0895</t>
        </is>
      </c>
      <c r="C29" s="406" t="inlineStr">
        <is>
          <t>Autorun Image</t>
        </is>
      </c>
      <c r="D29" s="406" t="inlineStr">
        <is>
          <t>Execution</t>
        </is>
      </c>
      <c r="E29" s="406" t="inlineStr">
        <is>
          <t>Candidate enabling technique</t>
        </is>
      </c>
      <c r="F29" s="406" t="inlineStr">
        <is>
          <t>S2</t>
        </is>
      </c>
      <c r="G29" s="406" t="inlineStr">
        <is>
          <t>Model Mapping</t>
        </is>
      </c>
      <c r="H29" s="426" t="inlineStr">
        <is>
          <t>https://attack.mitre.org/techniques/T0895</t>
        </is>
      </c>
    </row>
    <row r="30" ht="27.75" customHeight="1" s="508">
      <c r="A30" s="406" t="inlineStr">
        <is>
          <t>Loss of Control or Visibility</t>
        </is>
      </c>
      <c r="B30" s="406" t="inlineStr">
        <is>
          <t>T0895</t>
        </is>
      </c>
      <c r="C30" s="406" t="inlineStr">
        <is>
          <t>Autorun Image</t>
        </is>
      </c>
      <c r="D30" s="406" t="inlineStr">
        <is>
          <t>Execution</t>
        </is>
      </c>
      <c r="E30" s="406" t="inlineStr">
        <is>
          <t>Candidate enabling technique</t>
        </is>
      </c>
      <c r="F30" s="406" t="inlineStr">
        <is>
          <t>S2</t>
        </is>
      </c>
      <c r="G30" s="406" t="inlineStr">
        <is>
          <t>Model Mapping</t>
        </is>
      </c>
      <c r="H30" s="426" t="inlineStr">
        <is>
          <t>https://attack.mitre.org/techniques/T0895</t>
        </is>
      </c>
    </row>
    <row r="31" ht="27.75" customHeight="1" s="508">
      <c r="A31" s="406" t="inlineStr">
        <is>
          <t>Process Manipulation</t>
        </is>
      </c>
      <c r="B31" s="406" t="inlineStr">
        <is>
          <t>T0895</t>
        </is>
      </c>
      <c r="C31" s="406" t="inlineStr">
        <is>
          <t>Autorun Image</t>
        </is>
      </c>
      <c r="D31" s="406" t="inlineStr">
        <is>
          <t>Execution</t>
        </is>
      </c>
      <c r="E31" s="406" t="inlineStr">
        <is>
          <t>Candidate enabling technique</t>
        </is>
      </c>
      <c r="F31" s="406" t="inlineStr">
        <is>
          <t>S2</t>
        </is>
      </c>
      <c r="G31" s="406" t="inlineStr">
        <is>
          <t>Model Mapping</t>
        </is>
      </c>
      <c r="H31" s="426" t="inlineStr">
        <is>
          <t>https://attack.mitre.org/techniques/T0895</t>
        </is>
      </c>
    </row>
    <row r="32" ht="27.75" customHeight="1" s="508">
      <c r="A32" s="406" t="inlineStr">
        <is>
          <t>Safety System Compromise</t>
        </is>
      </c>
      <c r="B32" s="406" t="inlineStr">
        <is>
          <t>T0895</t>
        </is>
      </c>
      <c r="C32" s="406" t="inlineStr">
        <is>
          <t>Autorun Image</t>
        </is>
      </c>
      <c r="D32" s="406" t="inlineStr">
        <is>
          <t>Execution</t>
        </is>
      </c>
      <c r="E32" s="406" t="inlineStr">
        <is>
          <t>Candidate enabling technique</t>
        </is>
      </c>
      <c r="F32" s="406" t="inlineStr">
        <is>
          <t>S2</t>
        </is>
      </c>
      <c r="G32" s="406" t="inlineStr">
        <is>
          <t>Model Mapping</t>
        </is>
      </c>
      <c r="H32" s="426" t="inlineStr">
        <is>
          <t>https://attack.mitre.org/techniques/T0895</t>
        </is>
      </c>
    </row>
    <row r="33" ht="27.75" customHeight="1" s="508">
      <c r="A33" s="406" t="inlineStr">
        <is>
          <t>Destructive or Integrity Attack</t>
        </is>
      </c>
      <c r="B33" s="406" t="inlineStr">
        <is>
          <t>T0895</t>
        </is>
      </c>
      <c r="C33" s="406" t="inlineStr">
        <is>
          <t>Autorun Image</t>
        </is>
      </c>
      <c r="D33" s="406" t="inlineStr">
        <is>
          <t>Execution</t>
        </is>
      </c>
      <c r="E33" s="406" t="inlineStr">
        <is>
          <t>Candidate enabling technique</t>
        </is>
      </c>
      <c r="F33" s="406" t="inlineStr">
        <is>
          <t>S2</t>
        </is>
      </c>
      <c r="G33" s="406" t="inlineStr">
        <is>
          <t>Model Mapping</t>
        </is>
      </c>
      <c r="H33" s="426" t="inlineStr">
        <is>
          <t>https://attack.mitre.org/techniques/T0895</t>
        </is>
      </c>
    </row>
    <row r="34" ht="122.25" customHeight="1" s="508">
      <c r="A34" s="406" t="inlineStr">
        <is>
          <t>Safety System Compromise</t>
        </is>
      </c>
      <c r="B34" s="406" t="inlineStr">
        <is>
          <t>T1695</t>
        </is>
      </c>
      <c r="C34" s="406" t="inlineStr">
        <is>
          <t>Block Communications</t>
        </is>
      </c>
      <c r="D34" s="406" t="inlineStr">
        <is>
          <t>Inhibit Response Function</t>
        </is>
      </c>
      <c r="E34" s="406" t="inlineStr">
        <is>
          <t>Excluded — parent/sub duplicate</t>
        </is>
      </c>
      <c r="F34" s="406" t="inlineStr">
        <is>
          <t>S5</t>
        </is>
      </c>
      <c r="G34" s="406" t="inlineStr">
        <is>
          <t>SUPPRESSED v1.2: parent technique carries no separate weight where applicable sub-techniques are mapped in the same scenario. Prevents one underlying behaviour receiving multiple weights in the stage barrier.</t>
        </is>
      </c>
      <c r="H34" s="426" t="inlineStr">
        <is>
          <t>https://attack.mitre.org/techniques/T1695</t>
        </is>
      </c>
    </row>
    <row r="35" ht="122.25" customHeight="1" s="508">
      <c r="A35" s="406" t="inlineStr">
        <is>
          <t>Safety System Compromise</t>
        </is>
      </c>
      <c r="B35" s="406" t="inlineStr">
        <is>
          <t>T1691</t>
        </is>
      </c>
      <c r="C35" s="406" t="inlineStr">
        <is>
          <t>Block Operational Technology Message</t>
        </is>
      </c>
      <c r="D35" s="406" t="inlineStr">
        <is>
          <t>Inhibit Response Function</t>
        </is>
      </c>
      <c r="E35" s="406" t="inlineStr">
        <is>
          <t>Excluded — parent/sub duplicate</t>
        </is>
      </c>
      <c r="F35" s="406" t="inlineStr">
        <is>
          <t>S5</t>
        </is>
      </c>
      <c r="G35" s="406" t="inlineStr">
        <is>
          <t>SUPPRESSED v1.2: parent technique carries no separate weight where applicable sub-techniques are mapped in the same scenario. Prevents one underlying behaviour receiving multiple weights in the stage barrier.</t>
        </is>
      </c>
      <c r="H35" s="426" t="inlineStr">
        <is>
          <t>https://attack.mitre.org/techniques/T1691</t>
        </is>
      </c>
    </row>
    <row r="36" ht="27.75" customHeight="1" s="508">
      <c r="A36" s="406" t="inlineStr">
        <is>
          <t>Operational Disruption</t>
        </is>
      </c>
      <c r="B36" s="406" t="inlineStr">
        <is>
          <t>T0846.002</t>
        </is>
      </c>
      <c r="C36" s="406" t="inlineStr">
        <is>
          <t>Broadcast Discovery</t>
        </is>
      </c>
      <c r="D36" s="406" t="inlineStr">
        <is>
          <t>Discovery</t>
        </is>
      </c>
      <c r="E36" s="406" t="inlineStr">
        <is>
          <t>Candidate enabling technique</t>
        </is>
      </c>
      <c r="F36" s="406" t="inlineStr">
        <is>
          <t>S4</t>
        </is>
      </c>
      <c r="G36" s="406" t="inlineStr">
        <is>
          <t>Model Mapping</t>
        </is>
      </c>
      <c r="H36" s="426" t="inlineStr">
        <is>
          <t>https://attack.mitre.org/techniques/T0846/002</t>
        </is>
      </c>
    </row>
    <row r="37" ht="27.75" customHeight="1" s="508">
      <c r="A37" s="406" t="inlineStr">
        <is>
          <t>Loss of Control or Visibility</t>
        </is>
      </c>
      <c r="B37" s="406" t="inlineStr">
        <is>
          <t>T0846.002</t>
        </is>
      </c>
      <c r="C37" s="406" t="inlineStr">
        <is>
          <t>Broadcast Discovery</t>
        </is>
      </c>
      <c r="D37" s="406" t="inlineStr">
        <is>
          <t>Discovery</t>
        </is>
      </c>
      <c r="E37" s="406" t="inlineStr">
        <is>
          <t>Candidate enabling technique</t>
        </is>
      </c>
      <c r="F37" s="406" t="inlineStr">
        <is>
          <t>S4</t>
        </is>
      </c>
      <c r="G37" s="406" t="inlineStr">
        <is>
          <t>Model Mapping</t>
        </is>
      </c>
      <c r="H37" s="426" t="inlineStr">
        <is>
          <t>https://attack.mitre.org/techniques/T0846/002</t>
        </is>
      </c>
    </row>
    <row r="38" ht="27.75" customHeight="1" s="508">
      <c r="A38" s="406" t="inlineStr">
        <is>
          <t>Process Manipulation</t>
        </is>
      </c>
      <c r="B38" s="406" t="inlineStr">
        <is>
          <t>T0846.002</t>
        </is>
      </c>
      <c r="C38" s="406" t="inlineStr">
        <is>
          <t>Broadcast Discovery</t>
        </is>
      </c>
      <c r="D38" s="406" t="inlineStr">
        <is>
          <t>Discovery</t>
        </is>
      </c>
      <c r="E38" s="406" t="inlineStr">
        <is>
          <t>Candidate enabling technique</t>
        </is>
      </c>
      <c r="F38" s="406" t="inlineStr">
        <is>
          <t>S4</t>
        </is>
      </c>
      <c r="G38" s="406" t="inlineStr">
        <is>
          <t>Model Mapping</t>
        </is>
      </c>
      <c r="H38" s="426" t="inlineStr">
        <is>
          <t>https://attack.mitre.org/techniques/T0846/002</t>
        </is>
      </c>
    </row>
    <row r="39" ht="27.75" customHeight="1" s="508">
      <c r="A39" s="406" t="inlineStr">
        <is>
          <t>Safety System Compromise</t>
        </is>
      </c>
      <c r="B39" s="406" t="inlineStr">
        <is>
          <t>T0846.002</t>
        </is>
      </c>
      <c r="C39" s="406" t="inlineStr">
        <is>
          <t>Broadcast Discovery</t>
        </is>
      </c>
      <c r="D39" s="406" t="inlineStr">
        <is>
          <t>Discovery</t>
        </is>
      </c>
      <c r="E39" s="406" t="inlineStr">
        <is>
          <t>Candidate enabling technique</t>
        </is>
      </c>
      <c r="F39" s="406" t="inlineStr">
        <is>
          <t>S4</t>
        </is>
      </c>
      <c r="G39" s="406" t="inlineStr">
        <is>
          <t>Model Mapping</t>
        </is>
      </c>
      <c r="H39" s="426" t="inlineStr">
        <is>
          <t>https://attack.mitre.org/techniques/T0846/002</t>
        </is>
      </c>
    </row>
    <row r="40" ht="27.75" customHeight="1" s="508">
      <c r="A40" s="406" t="inlineStr">
        <is>
          <t>Destructive or Integrity Attack</t>
        </is>
      </c>
      <c r="B40" s="406" t="inlineStr">
        <is>
          <t>T0846.002</t>
        </is>
      </c>
      <c r="C40" s="406" t="inlineStr">
        <is>
          <t>Broadcast Discovery</t>
        </is>
      </c>
      <c r="D40" s="406" t="inlineStr">
        <is>
          <t>Discovery</t>
        </is>
      </c>
      <c r="E40" s="406" t="inlineStr">
        <is>
          <t>Candidate enabling technique</t>
        </is>
      </c>
      <c r="F40" s="406" t="inlineStr">
        <is>
          <t>S4</t>
        </is>
      </c>
      <c r="G40" s="406" t="inlineStr">
        <is>
          <t>Model Mapping</t>
        </is>
      </c>
      <c r="H40" s="426" t="inlineStr">
        <is>
          <t>https://attack.mitre.org/techniques/T0846/002</t>
        </is>
      </c>
    </row>
    <row r="41" ht="15" customHeight="1" s="508">
      <c r="A41" s="406" t="inlineStr">
        <is>
          <t>Process Manipulation</t>
        </is>
      </c>
      <c r="B41" s="406" t="inlineStr">
        <is>
          <t>T0806</t>
        </is>
      </c>
      <c r="C41" s="406" t="inlineStr">
        <is>
          <t>Brute Force I/O</t>
        </is>
      </c>
      <c r="D41" s="406" t="inlineStr">
        <is>
          <t>Impair Process Control</t>
        </is>
      </c>
      <c r="E41" s="406" t="inlineStr">
        <is>
          <t>Supporting / impact</t>
        </is>
      </c>
      <c r="F41" s="406" t="inlineStr">
        <is>
          <t>S5</t>
        </is>
      </c>
      <c r="G41" s="406" t="inlineStr">
        <is>
          <t>Model Mapping</t>
        </is>
      </c>
      <c r="H41" s="426" t="inlineStr">
        <is>
          <t>https://attack.mitre.org/techniques/T0806</t>
        </is>
      </c>
    </row>
    <row r="42" ht="15" customHeight="1" s="508">
      <c r="A42" s="406" t="inlineStr">
        <is>
          <t>Safety System Compromise</t>
        </is>
      </c>
      <c r="B42" s="406" t="inlineStr">
        <is>
          <t>T0892</t>
        </is>
      </c>
      <c r="C42" s="406" t="inlineStr">
        <is>
          <t>Change Credential</t>
        </is>
      </c>
      <c r="D42" s="406" t="inlineStr">
        <is>
          <t>Inhibit Response Function</t>
        </is>
      </c>
      <c r="E42" s="406" t="inlineStr">
        <is>
          <t>Supporting / impact</t>
        </is>
      </c>
      <c r="F42" s="406" t="inlineStr">
        <is>
          <t>S5</t>
        </is>
      </c>
      <c r="G42" s="406" t="inlineStr">
        <is>
          <t>Model Mapping</t>
        </is>
      </c>
      <c r="H42" s="426" t="inlineStr">
        <is>
          <t>https://attack.mitre.org/techniques/T0892</t>
        </is>
      </c>
    </row>
    <row r="43" ht="27.75" customHeight="1" s="508">
      <c r="A43" s="406" t="inlineStr">
        <is>
          <t>Operational Disruption</t>
        </is>
      </c>
      <c r="B43" s="406" t="inlineStr">
        <is>
          <t>T0858</t>
        </is>
      </c>
      <c r="C43" s="406" t="inlineStr">
        <is>
          <t>Change Operating Mode</t>
        </is>
      </c>
      <c r="D43" s="406" t="inlineStr">
        <is>
          <t>Evasion, Execution</t>
        </is>
      </c>
      <c r="E43" s="406" t="inlineStr">
        <is>
          <t>Candidate enabling technique</t>
        </is>
      </c>
      <c r="F43" s="406" t="inlineStr">
        <is>
          <t>S2</t>
        </is>
      </c>
      <c r="G43" s="406" t="inlineStr">
        <is>
          <t>Model Mapping</t>
        </is>
      </c>
      <c r="H43" s="426" t="inlineStr">
        <is>
          <t>https://attack.mitre.org/techniques/T0858</t>
        </is>
      </c>
    </row>
    <row r="44" ht="27.75" customHeight="1" s="508">
      <c r="A44" s="406" t="inlineStr">
        <is>
          <t>Loss of Control or Visibility</t>
        </is>
      </c>
      <c r="B44" s="406" t="inlineStr">
        <is>
          <t>T0858</t>
        </is>
      </c>
      <c r="C44" s="406" t="inlineStr">
        <is>
          <t>Change Operating Mode</t>
        </is>
      </c>
      <c r="D44" s="406" t="inlineStr">
        <is>
          <t>Evasion, Execution</t>
        </is>
      </c>
      <c r="E44" s="406" t="inlineStr">
        <is>
          <t>Candidate enabling technique</t>
        </is>
      </c>
      <c r="F44" s="406" t="inlineStr">
        <is>
          <t>S2</t>
        </is>
      </c>
      <c r="G44" s="406" t="inlineStr">
        <is>
          <t>Model Mapping</t>
        </is>
      </c>
      <c r="H44" s="426" t="inlineStr">
        <is>
          <t>https://attack.mitre.org/techniques/T0858</t>
        </is>
      </c>
    </row>
    <row r="45" ht="27.75" customHeight="1" s="508">
      <c r="A45" s="406" t="inlineStr">
        <is>
          <t>Process Manipulation</t>
        </is>
      </c>
      <c r="B45" s="406" t="inlineStr">
        <is>
          <t>T0858</t>
        </is>
      </c>
      <c r="C45" s="406" t="inlineStr">
        <is>
          <t>Change Operating Mode</t>
        </is>
      </c>
      <c r="D45" s="406" t="inlineStr">
        <is>
          <t>Evasion, Execution</t>
        </is>
      </c>
      <c r="E45" s="406" t="inlineStr">
        <is>
          <t>Candidate enabling technique</t>
        </is>
      </c>
      <c r="F45" s="406" t="inlineStr">
        <is>
          <t>S2</t>
        </is>
      </c>
      <c r="G45" s="406" t="inlineStr">
        <is>
          <t>Model Mapping</t>
        </is>
      </c>
      <c r="H45" s="426" t="inlineStr">
        <is>
          <t>https://attack.mitre.org/techniques/T0858</t>
        </is>
      </c>
    </row>
    <row r="46" ht="27.75" customHeight="1" s="508">
      <c r="A46" s="406" t="inlineStr">
        <is>
          <t>Safety System Compromise</t>
        </is>
      </c>
      <c r="B46" s="406" t="inlineStr">
        <is>
          <t>T0858</t>
        </is>
      </c>
      <c r="C46" s="406" t="inlineStr">
        <is>
          <t>Change Operating Mode</t>
        </is>
      </c>
      <c r="D46" s="406" t="inlineStr">
        <is>
          <t>Evasion, Execution</t>
        </is>
      </c>
      <c r="E46" s="406" t="inlineStr">
        <is>
          <t>Candidate enabling technique</t>
        </is>
      </c>
      <c r="F46" s="406" t="inlineStr">
        <is>
          <t>S2</t>
        </is>
      </c>
      <c r="G46" s="406" t="inlineStr">
        <is>
          <t>Model Mapping</t>
        </is>
      </c>
      <c r="H46" s="426" t="inlineStr">
        <is>
          <t>https://attack.mitre.org/techniques/T0858</t>
        </is>
      </c>
    </row>
    <row r="47" ht="27.75" customHeight="1" s="508">
      <c r="A47" s="406" t="inlineStr">
        <is>
          <t>Destructive or Integrity Attack</t>
        </is>
      </c>
      <c r="B47" s="406" t="inlineStr">
        <is>
          <t>T0858</t>
        </is>
      </c>
      <c r="C47" s="406" t="inlineStr">
        <is>
          <t>Change Operating Mode</t>
        </is>
      </c>
      <c r="D47" s="406" t="inlineStr">
        <is>
          <t>Evasion, Execution</t>
        </is>
      </c>
      <c r="E47" s="406" t="inlineStr">
        <is>
          <t>Candidate enabling technique</t>
        </is>
      </c>
      <c r="F47" s="406" t="inlineStr">
        <is>
          <t>S2</t>
        </is>
      </c>
      <c r="G47" s="406" t="inlineStr">
        <is>
          <t>Model Mapping</t>
        </is>
      </c>
      <c r="H47" s="426" t="inlineStr">
        <is>
          <t>https://attack.mitre.org/techniques/T0858</t>
        </is>
      </c>
    </row>
    <row r="48" ht="15" customHeight="1" s="508">
      <c r="A48" s="406" t="inlineStr">
        <is>
          <t>Process Manipulation</t>
        </is>
      </c>
      <c r="B48" s="406" t="inlineStr">
        <is>
          <t>T1692.001</t>
        </is>
      </c>
      <c r="C48" s="406" t="inlineStr">
        <is>
          <t>Command Message</t>
        </is>
      </c>
      <c r="D48" s="406" t="inlineStr">
        <is>
          <t>Evasion, Impair Process Control</t>
        </is>
      </c>
      <c r="E48" s="406" t="inlineStr">
        <is>
          <t>Scenario-defining</t>
        </is>
      </c>
      <c r="F48" s="406" t="inlineStr">
        <is>
          <t>S5</t>
        </is>
      </c>
      <c r="G48" s="406" t="inlineStr">
        <is>
          <t>Model Mapping</t>
        </is>
      </c>
      <c r="H48" s="426" t="inlineStr">
        <is>
          <t>https://attack.mitre.org/techniques/T1692/001</t>
        </is>
      </c>
    </row>
    <row r="49" ht="108.75" customHeight="1" s="508">
      <c r="A49" s="406" t="inlineStr">
        <is>
          <t>Process Manipulation</t>
        </is>
      </c>
      <c r="B49" s="406" t="inlineStr">
        <is>
          <t>T1691.001</t>
        </is>
      </c>
      <c r="C49" s="406" t="inlineStr">
        <is>
          <t>Command Message</t>
        </is>
      </c>
      <c r="D49" s="406" t="inlineStr">
        <is>
          <t>Inhibit Response Function</t>
        </is>
      </c>
      <c r="E49" s="406" t="inlineStr">
        <is>
          <t>Supporting / impact</t>
        </is>
      </c>
      <c r="F49" s="406" t="inlineStr">
        <is>
          <t>S5</t>
        </is>
      </c>
      <c r="G49" s="406" t="inlineStr">
        <is>
          <t>RECLASSIFIED v1.2: Block Command Message prevents a command reaching its target (inhibit response); it does not issue a malicious command, so it cannot define Process Manipulation.</t>
        </is>
      </c>
      <c r="H49" s="426" t="inlineStr">
        <is>
          <t>https://attack.mitre.org/techniques/T1691/001</t>
        </is>
      </c>
    </row>
    <row r="50" ht="27.75" customHeight="1" s="508">
      <c r="A50" s="406" t="inlineStr">
        <is>
          <t>Operational Disruption</t>
        </is>
      </c>
      <c r="B50" s="406" t="inlineStr">
        <is>
          <t>T0807</t>
        </is>
      </c>
      <c r="C50" s="406" t="inlineStr">
        <is>
          <t>Command-Line Interface</t>
        </is>
      </c>
      <c r="D50" s="406" t="inlineStr">
        <is>
          <t>Execution</t>
        </is>
      </c>
      <c r="E50" s="406" t="inlineStr">
        <is>
          <t>Candidate enabling technique</t>
        </is>
      </c>
      <c r="F50" s="406" t="inlineStr">
        <is>
          <t>S2</t>
        </is>
      </c>
      <c r="G50" s="406" t="inlineStr">
        <is>
          <t>Model Mapping</t>
        </is>
      </c>
      <c r="H50" s="426" t="inlineStr">
        <is>
          <t>https://attack.mitre.org/techniques/T0807</t>
        </is>
      </c>
    </row>
    <row r="51" ht="27.75" customHeight="1" s="508">
      <c r="A51" s="406" t="inlineStr">
        <is>
          <t>Loss of Control or Visibility</t>
        </is>
      </c>
      <c r="B51" s="406" t="inlineStr">
        <is>
          <t>T0807</t>
        </is>
      </c>
      <c r="C51" s="406" t="inlineStr">
        <is>
          <t>Command-Line Interface</t>
        </is>
      </c>
      <c r="D51" s="406" t="inlineStr">
        <is>
          <t>Execution</t>
        </is>
      </c>
      <c r="E51" s="406" t="inlineStr">
        <is>
          <t>Candidate enabling technique</t>
        </is>
      </c>
      <c r="F51" s="406" t="inlineStr">
        <is>
          <t>S2</t>
        </is>
      </c>
      <c r="G51" s="406" t="inlineStr">
        <is>
          <t>Model Mapping</t>
        </is>
      </c>
      <c r="H51" s="426" t="inlineStr">
        <is>
          <t>https://attack.mitre.org/techniques/T0807</t>
        </is>
      </c>
    </row>
    <row r="52" ht="27.75" customHeight="1" s="508">
      <c r="A52" s="406" t="inlineStr">
        <is>
          <t>Process Manipulation</t>
        </is>
      </c>
      <c r="B52" s="406" t="inlineStr">
        <is>
          <t>T0807</t>
        </is>
      </c>
      <c r="C52" s="406" t="inlineStr">
        <is>
          <t>Command-Line Interface</t>
        </is>
      </c>
      <c r="D52" s="406" t="inlineStr">
        <is>
          <t>Execution</t>
        </is>
      </c>
      <c r="E52" s="406" t="inlineStr">
        <is>
          <t>Candidate enabling technique</t>
        </is>
      </c>
      <c r="F52" s="406" t="inlineStr">
        <is>
          <t>S2</t>
        </is>
      </c>
      <c r="G52" s="406" t="inlineStr">
        <is>
          <t>Model Mapping</t>
        </is>
      </c>
      <c r="H52" s="426" t="inlineStr">
        <is>
          <t>https://attack.mitre.org/techniques/T0807</t>
        </is>
      </c>
    </row>
    <row r="53" ht="27.75" customHeight="1" s="508">
      <c r="A53" s="406" t="inlineStr">
        <is>
          <t>Safety System Compromise</t>
        </is>
      </c>
      <c r="B53" s="406" t="inlineStr">
        <is>
          <t>T0807</t>
        </is>
      </c>
      <c r="C53" s="406" t="inlineStr">
        <is>
          <t>Command-Line Interface</t>
        </is>
      </c>
      <c r="D53" s="406" t="inlineStr">
        <is>
          <t>Execution</t>
        </is>
      </c>
      <c r="E53" s="406" t="inlineStr">
        <is>
          <t>Candidate enabling technique</t>
        </is>
      </c>
      <c r="F53" s="406" t="inlineStr">
        <is>
          <t>S2</t>
        </is>
      </c>
      <c r="G53" s="406" t="inlineStr">
        <is>
          <t>Model Mapping</t>
        </is>
      </c>
      <c r="H53" s="426" t="inlineStr">
        <is>
          <t>https://attack.mitre.org/techniques/T0807</t>
        </is>
      </c>
    </row>
    <row r="54" ht="27.75" customHeight="1" s="508">
      <c r="A54" s="406" t="inlineStr">
        <is>
          <t>Destructive or Integrity Attack</t>
        </is>
      </c>
      <c r="B54" s="406" t="inlineStr">
        <is>
          <t>T0807</t>
        </is>
      </c>
      <c r="C54" s="406" t="inlineStr">
        <is>
          <t>Command-Line Interface</t>
        </is>
      </c>
      <c r="D54" s="406" t="inlineStr">
        <is>
          <t>Execution</t>
        </is>
      </c>
      <c r="E54" s="406" t="inlineStr">
        <is>
          <t>Candidate enabling technique</t>
        </is>
      </c>
      <c r="F54" s="406" t="inlineStr">
        <is>
          <t>S2</t>
        </is>
      </c>
      <c r="G54" s="406" t="inlineStr">
        <is>
          <t>Model Mapping</t>
        </is>
      </c>
      <c r="H54" s="426" t="inlineStr">
        <is>
          <t>https://attack.mitre.org/techniques/T0807</t>
        </is>
      </c>
    </row>
    <row r="55" ht="27.75" customHeight="1" s="508">
      <c r="A55" s="406" t="inlineStr">
        <is>
          <t>Operational Disruption</t>
        </is>
      </c>
      <c r="B55" s="406" t="inlineStr">
        <is>
          <t>T0885</t>
        </is>
      </c>
      <c r="C55" s="406" t="inlineStr">
        <is>
          <t>Commonly Used Port</t>
        </is>
      </c>
      <c r="D55" s="406" t="inlineStr">
        <is>
          <t>Command and Control</t>
        </is>
      </c>
      <c r="E55" s="406" t="inlineStr">
        <is>
          <t>Candidate enabling technique</t>
        </is>
      </c>
      <c r="F55" s="406" t="inlineStr">
        <is>
          <t>S3</t>
        </is>
      </c>
      <c r="G55" s="406" t="inlineStr">
        <is>
          <t>Model Mapping</t>
        </is>
      </c>
      <c r="H55" s="426" t="inlineStr">
        <is>
          <t>https://attack.mitre.org/techniques/T0885</t>
        </is>
      </c>
    </row>
    <row r="56" ht="27.75" customHeight="1" s="508">
      <c r="A56" s="406" t="inlineStr">
        <is>
          <t>Loss of Control or Visibility</t>
        </is>
      </c>
      <c r="B56" s="406" t="inlineStr">
        <is>
          <t>T0885</t>
        </is>
      </c>
      <c r="C56" s="406" t="inlineStr">
        <is>
          <t>Commonly Used Port</t>
        </is>
      </c>
      <c r="D56" s="406" t="inlineStr">
        <is>
          <t>Command and Control</t>
        </is>
      </c>
      <c r="E56" s="406" t="inlineStr">
        <is>
          <t>Candidate enabling technique</t>
        </is>
      </c>
      <c r="F56" s="406" t="inlineStr">
        <is>
          <t>S3</t>
        </is>
      </c>
      <c r="G56" s="406" t="inlineStr">
        <is>
          <t>Model Mapping</t>
        </is>
      </c>
      <c r="H56" s="426" t="inlineStr">
        <is>
          <t>https://attack.mitre.org/techniques/T0885</t>
        </is>
      </c>
    </row>
    <row r="57" ht="27.75" customHeight="1" s="508">
      <c r="A57" s="406" t="inlineStr">
        <is>
          <t>Process Manipulation</t>
        </is>
      </c>
      <c r="B57" s="406" t="inlineStr">
        <is>
          <t>T0885</t>
        </is>
      </c>
      <c r="C57" s="406" t="inlineStr">
        <is>
          <t>Commonly Used Port</t>
        </is>
      </c>
      <c r="D57" s="406" t="inlineStr">
        <is>
          <t>Command and Control</t>
        </is>
      </c>
      <c r="E57" s="406" t="inlineStr">
        <is>
          <t>Candidate enabling technique</t>
        </is>
      </c>
      <c r="F57" s="406" t="inlineStr">
        <is>
          <t>S3</t>
        </is>
      </c>
      <c r="G57" s="406" t="inlineStr">
        <is>
          <t>Model Mapping</t>
        </is>
      </c>
      <c r="H57" s="426" t="inlineStr">
        <is>
          <t>https://attack.mitre.org/techniques/T0885</t>
        </is>
      </c>
    </row>
    <row r="58" ht="27.75" customHeight="1" s="508">
      <c r="A58" s="406" t="inlineStr">
        <is>
          <t>Safety System Compromise</t>
        </is>
      </c>
      <c r="B58" s="406" t="inlineStr">
        <is>
          <t>T0885</t>
        </is>
      </c>
      <c r="C58" s="406" t="inlineStr">
        <is>
          <t>Commonly Used Port</t>
        </is>
      </c>
      <c r="D58" s="406" t="inlineStr">
        <is>
          <t>Command and Control</t>
        </is>
      </c>
      <c r="E58" s="406" t="inlineStr">
        <is>
          <t>Candidate enabling technique</t>
        </is>
      </c>
      <c r="F58" s="406" t="inlineStr">
        <is>
          <t>S3</t>
        </is>
      </c>
      <c r="G58" s="406" t="inlineStr">
        <is>
          <t>Model Mapping</t>
        </is>
      </c>
      <c r="H58" s="426" t="inlineStr">
        <is>
          <t>https://attack.mitre.org/techniques/T0885</t>
        </is>
      </c>
    </row>
    <row r="59" ht="27.75" customHeight="1" s="508">
      <c r="A59" s="406" t="inlineStr">
        <is>
          <t>Destructive or Integrity Attack</t>
        </is>
      </c>
      <c r="B59" s="406" t="inlineStr">
        <is>
          <t>T0885</t>
        </is>
      </c>
      <c r="C59" s="406" t="inlineStr">
        <is>
          <t>Commonly Used Port</t>
        </is>
      </c>
      <c r="D59" s="406" t="inlineStr">
        <is>
          <t>Command and Control</t>
        </is>
      </c>
      <c r="E59" s="406" t="inlineStr">
        <is>
          <t>Candidate enabling technique</t>
        </is>
      </c>
      <c r="F59" s="406" t="inlineStr">
        <is>
          <t>S3</t>
        </is>
      </c>
      <c r="G59" s="406" t="inlineStr">
        <is>
          <t>Model Mapping</t>
        </is>
      </c>
      <c r="H59" s="426" t="inlineStr">
        <is>
          <t>https://attack.mitre.org/techniques/T0885</t>
        </is>
      </c>
    </row>
    <row r="60" ht="27.75" customHeight="1" s="508">
      <c r="A60" s="406" t="inlineStr">
        <is>
          <t>Operational Disruption</t>
        </is>
      </c>
      <c r="B60" s="406" t="inlineStr">
        <is>
          <t>T0884</t>
        </is>
      </c>
      <c r="C60" s="406" t="inlineStr">
        <is>
          <t>Connection Proxy</t>
        </is>
      </c>
      <c r="D60" s="406" t="inlineStr">
        <is>
          <t>Command and Control</t>
        </is>
      </c>
      <c r="E60" s="406" t="inlineStr">
        <is>
          <t>Candidate enabling technique</t>
        </is>
      </c>
      <c r="F60" s="406" t="inlineStr">
        <is>
          <t>S3</t>
        </is>
      </c>
      <c r="G60" s="406" t="inlineStr">
        <is>
          <t>Model Mapping</t>
        </is>
      </c>
      <c r="H60" s="426" t="inlineStr">
        <is>
          <t>https://attack.mitre.org/techniques/T0884</t>
        </is>
      </c>
    </row>
    <row r="61" ht="27.75" customHeight="1" s="508">
      <c r="A61" s="406" t="inlineStr">
        <is>
          <t>Loss of Control or Visibility</t>
        </is>
      </c>
      <c r="B61" s="406" t="inlineStr">
        <is>
          <t>T0884</t>
        </is>
      </c>
      <c r="C61" s="406" t="inlineStr">
        <is>
          <t>Connection Proxy</t>
        </is>
      </c>
      <c r="D61" s="406" t="inlineStr">
        <is>
          <t>Command and Control</t>
        </is>
      </c>
      <c r="E61" s="406" t="inlineStr">
        <is>
          <t>Candidate enabling technique</t>
        </is>
      </c>
      <c r="F61" s="406" t="inlineStr">
        <is>
          <t>S3</t>
        </is>
      </c>
      <c r="G61" s="406" t="inlineStr">
        <is>
          <t>Model Mapping</t>
        </is>
      </c>
      <c r="H61" s="426" t="inlineStr">
        <is>
          <t>https://attack.mitre.org/techniques/T0884</t>
        </is>
      </c>
    </row>
    <row r="62" ht="27.75" customHeight="1" s="508">
      <c r="A62" s="406" t="inlineStr">
        <is>
          <t>Process Manipulation</t>
        </is>
      </c>
      <c r="B62" s="406" t="inlineStr">
        <is>
          <t>T0884</t>
        </is>
      </c>
      <c r="C62" s="406" t="inlineStr">
        <is>
          <t>Connection Proxy</t>
        </is>
      </c>
      <c r="D62" s="406" t="inlineStr">
        <is>
          <t>Command and Control</t>
        </is>
      </c>
      <c r="E62" s="406" t="inlineStr">
        <is>
          <t>Candidate enabling technique</t>
        </is>
      </c>
      <c r="F62" s="406" t="inlineStr">
        <is>
          <t>S3</t>
        </is>
      </c>
      <c r="G62" s="406" t="inlineStr">
        <is>
          <t>Model Mapping</t>
        </is>
      </c>
      <c r="H62" s="426" t="inlineStr">
        <is>
          <t>https://attack.mitre.org/techniques/T0884</t>
        </is>
      </c>
    </row>
    <row r="63" ht="27.75" customHeight="1" s="508">
      <c r="A63" s="406" t="inlineStr">
        <is>
          <t>Safety System Compromise</t>
        </is>
      </c>
      <c r="B63" s="406" t="inlineStr">
        <is>
          <t>T0884</t>
        </is>
      </c>
      <c r="C63" s="406" t="inlineStr">
        <is>
          <t>Connection Proxy</t>
        </is>
      </c>
      <c r="D63" s="406" t="inlineStr">
        <is>
          <t>Command and Control</t>
        </is>
      </c>
      <c r="E63" s="406" t="inlineStr">
        <is>
          <t>Candidate enabling technique</t>
        </is>
      </c>
      <c r="F63" s="406" t="inlineStr">
        <is>
          <t>S3</t>
        </is>
      </c>
      <c r="G63" s="406" t="inlineStr">
        <is>
          <t>Model Mapping</t>
        </is>
      </c>
      <c r="H63" s="426" t="inlineStr">
        <is>
          <t>https://attack.mitre.org/techniques/T0884</t>
        </is>
      </c>
    </row>
    <row r="64" ht="27.75" customHeight="1" s="508">
      <c r="A64" s="406" t="inlineStr">
        <is>
          <t>Destructive or Integrity Attack</t>
        </is>
      </c>
      <c r="B64" s="406" t="inlineStr">
        <is>
          <t>T0884</t>
        </is>
      </c>
      <c r="C64" s="406" t="inlineStr">
        <is>
          <t>Connection Proxy</t>
        </is>
      </c>
      <c r="D64" s="406" t="inlineStr">
        <is>
          <t>Command and Control</t>
        </is>
      </c>
      <c r="E64" s="406" t="inlineStr">
        <is>
          <t>Candidate enabling technique</t>
        </is>
      </c>
      <c r="F64" s="406" t="inlineStr">
        <is>
          <t>S3</t>
        </is>
      </c>
      <c r="G64" s="406" t="inlineStr">
        <is>
          <t>Model Mapping</t>
        </is>
      </c>
      <c r="H64" s="426" t="inlineStr">
        <is>
          <t>https://attack.mitre.org/techniques/T0884</t>
        </is>
      </c>
    </row>
    <row r="65" ht="108.75" customHeight="1" s="508">
      <c r="A65" s="406" t="inlineStr">
        <is>
          <t>Operational Disruption</t>
        </is>
      </c>
      <c r="B65" s="406" t="inlineStr">
        <is>
          <t>T0879</t>
        </is>
      </c>
      <c r="C65" s="406" t="inlineStr">
        <is>
          <t>Damage to Property</t>
        </is>
      </c>
      <c r="D65" s="406" t="inlineStr">
        <is>
          <t>Impact</t>
        </is>
      </c>
      <c r="E65" s="406" t="inlineStr">
        <is>
          <t>Removed — moved scenario</t>
        </is>
      </c>
      <c r="F65" s="406" t="n"/>
      <c r="G65" s="406" t="inlineStr">
        <is>
          <t>MOVED v1.2 to Destructive or Integrity Attack: Damage to Property is damage/destruction of equipment and environment; belongs under Destructive or Integrity.</t>
        </is>
      </c>
      <c r="H65" s="426" t="inlineStr">
        <is>
          <t>https://attack.mitre.org/techniques/T0879</t>
        </is>
      </c>
    </row>
    <row r="66" ht="15" customHeight="1" s="508">
      <c r="A66" s="406" t="inlineStr">
        <is>
          <t>Destructive or Integrity Attack</t>
        </is>
      </c>
      <c r="B66" s="406" t="inlineStr">
        <is>
          <t>T0809</t>
        </is>
      </c>
      <c r="C66" s="406" t="inlineStr">
        <is>
          <t>Data Destruction</t>
        </is>
      </c>
      <c r="D66" s="406" t="inlineStr">
        <is>
          <t>Inhibit Response Function</t>
        </is>
      </c>
      <c r="E66" s="406" t="inlineStr">
        <is>
          <t>Scenario-defining</t>
        </is>
      </c>
      <c r="F66" s="406" t="inlineStr">
        <is>
          <t>S5</t>
        </is>
      </c>
      <c r="G66" s="406" t="inlineStr">
        <is>
          <t>Model Mapping</t>
        </is>
      </c>
      <c r="H66" s="426" t="inlineStr">
        <is>
          <t>https://attack.mitre.org/techniques/T0809</t>
        </is>
      </c>
    </row>
    <row r="67" ht="27.75" customHeight="1" s="508">
      <c r="A67" s="406" t="inlineStr">
        <is>
          <t>Operational Disruption</t>
        </is>
      </c>
      <c r="B67" s="406" t="inlineStr">
        <is>
          <t>T0811</t>
        </is>
      </c>
      <c r="C67" s="406" t="inlineStr">
        <is>
          <t>Data from Information Repositories</t>
        </is>
      </c>
      <c r="D67" s="406" t="inlineStr">
        <is>
          <t>Collection</t>
        </is>
      </c>
      <c r="E67" s="406" t="inlineStr">
        <is>
          <t>Candidate enabling technique</t>
        </is>
      </c>
      <c r="F67" s="406" t="inlineStr">
        <is>
          <t>S4</t>
        </is>
      </c>
      <c r="G67" s="406" t="inlineStr">
        <is>
          <t>Model Mapping</t>
        </is>
      </c>
      <c r="H67" s="426" t="inlineStr">
        <is>
          <t>https://attack.mitre.org/techniques/T0811</t>
        </is>
      </c>
    </row>
    <row r="68" ht="27.75" customHeight="1" s="508">
      <c r="A68" s="406" t="inlineStr">
        <is>
          <t>Loss of Control or Visibility</t>
        </is>
      </c>
      <c r="B68" s="406" t="inlineStr">
        <is>
          <t>T0811</t>
        </is>
      </c>
      <c r="C68" s="406" t="inlineStr">
        <is>
          <t>Data from Information Repositories</t>
        </is>
      </c>
      <c r="D68" s="406" t="inlineStr">
        <is>
          <t>Collection</t>
        </is>
      </c>
      <c r="E68" s="406" t="inlineStr">
        <is>
          <t>Candidate enabling technique</t>
        </is>
      </c>
      <c r="F68" s="406" t="inlineStr">
        <is>
          <t>S4</t>
        </is>
      </c>
      <c r="G68" s="406" t="inlineStr">
        <is>
          <t>Model Mapping</t>
        </is>
      </c>
      <c r="H68" s="426" t="inlineStr">
        <is>
          <t>https://attack.mitre.org/techniques/T0811</t>
        </is>
      </c>
    </row>
    <row r="69" ht="27.75" customHeight="1" s="508">
      <c r="A69" s="406" t="inlineStr">
        <is>
          <t>Process Manipulation</t>
        </is>
      </c>
      <c r="B69" s="406" t="inlineStr">
        <is>
          <t>T0811</t>
        </is>
      </c>
      <c r="C69" s="406" t="inlineStr">
        <is>
          <t>Data from Information Repositories</t>
        </is>
      </c>
      <c r="D69" s="406" t="inlineStr">
        <is>
          <t>Collection</t>
        </is>
      </c>
      <c r="E69" s="406" t="inlineStr">
        <is>
          <t>Candidate enabling technique</t>
        </is>
      </c>
      <c r="F69" s="406" t="inlineStr">
        <is>
          <t>S4</t>
        </is>
      </c>
      <c r="G69" s="406" t="inlineStr">
        <is>
          <t>Model Mapping</t>
        </is>
      </c>
      <c r="H69" s="426" t="inlineStr">
        <is>
          <t>https://attack.mitre.org/techniques/T0811</t>
        </is>
      </c>
    </row>
    <row r="70" ht="27.75" customHeight="1" s="508">
      <c r="A70" s="406" t="inlineStr">
        <is>
          <t>Safety System Compromise</t>
        </is>
      </c>
      <c r="B70" s="406" t="inlineStr">
        <is>
          <t>T0811</t>
        </is>
      </c>
      <c r="C70" s="406" t="inlineStr">
        <is>
          <t>Data from Information Repositories</t>
        </is>
      </c>
      <c r="D70" s="406" t="inlineStr">
        <is>
          <t>Collection</t>
        </is>
      </c>
      <c r="E70" s="406" t="inlineStr">
        <is>
          <t>Candidate enabling technique</t>
        </is>
      </c>
      <c r="F70" s="406" t="inlineStr">
        <is>
          <t>S4</t>
        </is>
      </c>
      <c r="G70" s="406" t="inlineStr">
        <is>
          <t>Model Mapping</t>
        </is>
      </c>
      <c r="H70" s="426" t="inlineStr">
        <is>
          <t>https://attack.mitre.org/techniques/T0811</t>
        </is>
      </c>
    </row>
    <row r="71" ht="27.75" customHeight="1" s="508">
      <c r="A71" s="406" t="inlineStr">
        <is>
          <t>Destructive or Integrity Attack</t>
        </is>
      </c>
      <c r="B71" s="406" t="inlineStr">
        <is>
          <t>T0811</t>
        </is>
      </c>
      <c r="C71" s="406" t="inlineStr">
        <is>
          <t>Data from Information Repositories</t>
        </is>
      </c>
      <c r="D71" s="406" t="inlineStr">
        <is>
          <t>Collection</t>
        </is>
      </c>
      <c r="E71" s="406" t="inlineStr">
        <is>
          <t>Candidate enabling technique</t>
        </is>
      </c>
      <c r="F71" s="406" t="inlineStr">
        <is>
          <t>S4</t>
        </is>
      </c>
      <c r="G71" s="406" t="inlineStr">
        <is>
          <t>Model Mapping</t>
        </is>
      </c>
      <c r="H71" s="426" t="inlineStr">
        <is>
          <t>https://attack.mitre.org/techniques/T0811</t>
        </is>
      </c>
    </row>
    <row r="72" ht="27.75" customHeight="1" s="508">
      <c r="A72" s="406" t="inlineStr">
        <is>
          <t>Operational Disruption</t>
        </is>
      </c>
      <c r="B72" s="406" t="inlineStr">
        <is>
          <t>T0893</t>
        </is>
      </c>
      <c r="C72" s="406" t="inlineStr">
        <is>
          <t>Data from Local System</t>
        </is>
      </c>
      <c r="D72" s="406" t="inlineStr">
        <is>
          <t>Collection</t>
        </is>
      </c>
      <c r="E72" s="406" t="inlineStr">
        <is>
          <t>Candidate enabling technique</t>
        </is>
      </c>
      <c r="F72" s="406" t="inlineStr">
        <is>
          <t>S4</t>
        </is>
      </c>
      <c r="G72" s="406" t="inlineStr">
        <is>
          <t>Model Mapping</t>
        </is>
      </c>
      <c r="H72" s="426" t="inlineStr">
        <is>
          <t>https://attack.mitre.org/techniques/T0893</t>
        </is>
      </c>
    </row>
    <row r="73" ht="27.75" customHeight="1" s="508">
      <c r="A73" s="406" t="inlineStr">
        <is>
          <t>Loss of Control or Visibility</t>
        </is>
      </c>
      <c r="B73" s="406" t="inlineStr">
        <is>
          <t>T0893</t>
        </is>
      </c>
      <c r="C73" s="406" t="inlineStr">
        <is>
          <t>Data from Local System</t>
        </is>
      </c>
      <c r="D73" s="406" t="inlineStr">
        <is>
          <t>Collection</t>
        </is>
      </c>
      <c r="E73" s="406" t="inlineStr">
        <is>
          <t>Candidate enabling technique</t>
        </is>
      </c>
      <c r="F73" s="406" t="inlineStr">
        <is>
          <t>S4</t>
        </is>
      </c>
      <c r="G73" s="406" t="inlineStr">
        <is>
          <t>Model Mapping</t>
        </is>
      </c>
      <c r="H73" s="426" t="inlineStr">
        <is>
          <t>https://attack.mitre.org/techniques/T0893</t>
        </is>
      </c>
    </row>
    <row r="74" ht="27.75" customHeight="1" s="508">
      <c r="A74" s="406" t="inlineStr">
        <is>
          <t>Process Manipulation</t>
        </is>
      </c>
      <c r="B74" s="406" t="inlineStr">
        <is>
          <t>T0893</t>
        </is>
      </c>
      <c r="C74" s="406" t="inlineStr">
        <is>
          <t>Data from Local System</t>
        </is>
      </c>
      <c r="D74" s="406" t="inlineStr">
        <is>
          <t>Collection</t>
        </is>
      </c>
      <c r="E74" s="406" t="inlineStr">
        <is>
          <t>Candidate enabling technique</t>
        </is>
      </c>
      <c r="F74" s="406" t="inlineStr">
        <is>
          <t>S4</t>
        </is>
      </c>
      <c r="G74" s="406" t="inlineStr">
        <is>
          <t>Model Mapping</t>
        </is>
      </c>
      <c r="H74" s="426" t="inlineStr">
        <is>
          <t>https://attack.mitre.org/techniques/T0893</t>
        </is>
      </c>
    </row>
    <row r="75" ht="27.75" customHeight="1" s="508">
      <c r="A75" s="406" t="inlineStr">
        <is>
          <t>Safety System Compromise</t>
        </is>
      </c>
      <c r="B75" s="406" t="inlineStr">
        <is>
          <t>T0893</t>
        </is>
      </c>
      <c r="C75" s="406" t="inlineStr">
        <is>
          <t>Data from Local System</t>
        </is>
      </c>
      <c r="D75" s="406" t="inlineStr">
        <is>
          <t>Collection</t>
        </is>
      </c>
      <c r="E75" s="406" t="inlineStr">
        <is>
          <t>Candidate enabling technique</t>
        </is>
      </c>
      <c r="F75" s="406" t="inlineStr">
        <is>
          <t>S4</t>
        </is>
      </c>
      <c r="G75" s="406" t="inlineStr">
        <is>
          <t>Model Mapping</t>
        </is>
      </c>
      <c r="H75" s="426" t="inlineStr">
        <is>
          <t>https://attack.mitre.org/techniques/T0893</t>
        </is>
      </c>
    </row>
    <row r="76" ht="27.75" customHeight="1" s="508">
      <c r="A76" s="406" t="inlineStr">
        <is>
          <t>Destructive or Integrity Attack</t>
        </is>
      </c>
      <c r="B76" s="406" t="inlineStr">
        <is>
          <t>T0893</t>
        </is>
      </c>
      <c r="C76" s="406" t="inlineStr">
        <is>
          <t>Data from Local System</t>
        </is>
      </c>
      <c r="D76" s="406" t="inlineStr">
        <is>
          <t>Collection</t>
        </is>
      </c>
      <c r="E76" s="406" t="inlineStr">
        <is>
          <t>Candidate enabling technique</t>
        </is>
      </c>
      <c r="F76" s="406" t="inlineStr">
        <is>
          <t>S4</t>
        </is>
      </c>
      <c r="G76" s="406" t="inlineStr">
        <is>
          <t>Model Mapping</t>
        </is>
      </c>
      <c r="H76" s="426" t="inlineStr">
        <is>
          <t>https://attack.mitre.org/techniques/T0893</t>
        </is>
      </c>
    </row>
    <row r="77" ht="27.75" customHeight="1" s="508">
      <c r="A77" s="406" t="inlineStr">
        <is>
          <t>Operational Disruption</t>
        </is>
      </c>
      <c r="B77" s="406" t="inlineStr">
        <is>
          <t>T1694.001</t>
        </is>
      </c>
      <c r="C77" s="406" t="inlineStr">
        <is>
          <t>Default Credentials</t>
        </is>
      </c>
      <c r="D77" s="406" t="inlineStr">
        <is>
          <t>Lateral Movement, Persistence</t>
        </is>
      </c>
      <c r="E77" s="406" t="inlineStr">
        <is>
          <t>Candidate enabling technique</t>
        </is>
      </c>
      <c r="F77" s="406" t="inlineStr">
        <is>
          <t>S3</t>
        </is>
      </c>
      <c r="G77" s="406" t="inlineStr">
        <is>
          <t>Model Mapping</t>
        </is>
      </c>
      <c r="H77" s="426" t="inlineStr">
        <is>
          <t>https://attack.mitre.org/techniques/T1694/001</t>
        </is>
      </c>
    </row>
    <row r="78" ht="27.75" customHeight="1" s="508">
      <c r="A78" s="406" t="inlineStr">
        <is>
          <t>Loss of Control or Visibility</t>
        </is>
      </c>
      <c r="B78" s="406" t="inlineStr">
        <is>
          <t>T1694.001</t>
        </is>
      </c>
      <c r="C78" s="406" t="inlineStr">
        <is>
          <t>Default Credentials</t>
        </is>
      </c>
      <c r="D78" s="406" t="inlineStr">
        <is>
          <t>Lateral Movement, Persistence</t>
        </is>
      </c>
      <c r="E78" s="406" t="inlineStr">
        <is>
          <t>Candidate enabling technique</t>
        </is>
      </c>
      <c r="F78" s="406" t="inlineStr">
        <is>
          <t>S3</t>
        </is>
      </c>
      <c r="G78" s="406" t="inlineStr">
        <is>
          <t>Model Mapping</t>
        </is>
      </c>
      <c r="H78" s="426" t="inlineStr">
        <is>
          <t>https://attack.mitre.org/techniques/T1694/001</t>
        </is>
      </c>
    </row>
    <row r="79" ht="27.75" customHeight="1" s="508">
      <c r="A79" s="406" t="inlineStr">
        <is>
          <t>Process Manipulation</t>
        </is>
      </c>
      <c r="B79" s="406" t="inlineStr">
        <is>
          <t>T1694.001</t>
        </is>
      </c>
      <c r="C79" s="406" t="inlineStr">
        <is>
          <t>Default Credentials</t>
        </is>
      </c>
      <c r="D79" s="406" t="inlineStr">
        <is>
          <t>Lateral Movement, Persistence</t>
        </is>
      </c>
      <c r="E79" s="406" t="inlineStr">
        <is>
          <t>Candidate enabling technique</t>
        </is>
      </c>
      <c r="F79" s="406" t="inlineStr">
        <is>
          <t>S3</t>
        </is>
      </c>
      <c r="G79" s="406" t="inlineStr">
        <is>
          <t>Model Mapping</t>
        </is>
      </c>
      <c r="H79" s="426" t="inlineStr">
        <is>
          <t>https://attack.mitre.org/techniques/T1694/001</t>
        </is>
      </c>
    </row>
    <row r="80" ht="27.75" customHeight="1" s="508">
      <c r="A80" s="406" t="inlineStr">
        <is>
          <t>Safety System Compromise</t>
        </is>
      </c>
      <c r="B80" s="406" t="inlineStr">
        <is>
          <t>T1694.001</t>
        </is>
      </c>
      <c r="C80" s="406" t="inlineStr">
        <is>
          <t>Default Credentials</t>
        </is>
      </c>
      <c r="D80" s="406" t="inlineStr">
        <is>
          <t>Lateral Movement, Persistence</t>
        </is>
      </c>
      <c r="E80" s="406" t="inlineStr">
        <is>
          <t>Candidate enabling technique</t>
        </is>
      </c>
      <c r="F80" s="406" t="inlineStr">
        <is>
          <t>S3</t>
        </is>
      </c>
      <c r="G80" s="406" t="inlineStr">
        <is>
          <t>Model Mapping</t>
        </is>
      </c>
      <c r="H80" s="426" t="inlineStr">
        <is>
          <t>https://attack.mitre.org/techniques/T1694/001</t>
        </is>
      </c>
    </row>
    <row r="81" ht="27.75" customHeight="1" s="508">
      <c r="A81" s="406" t="inlineStr">
        <is>
          <t>Destructive or Integrity Attack</t>
        </is>
      </c>
      <c r="B81" s="406" t="inlineStr">
        <is>
          <t>T1694.001</t>
        </is>
      </c>
      <c r="C81" s="406" t="inlineStr">
        <is>
          <t>Default Credentials</t>
        </is>
      </c>
      <c r="D81" s="406" t="inlineStr">
        <is>
          <t>Lateral Movement, Persistence</t>
        </is>
      </c>
      <c r="E81" s="406" t="inlineStr">
        <is>
          <t>Candidate enabling technique</t>
        </is>
      </c>
      <c r="F81" s="406" t="inlineStr">
        <is>
          <t>S3</t>
        </is>
      </c>
      <c r="G81" s="406" t="inlineStr">
        <is>
          <t>Model Mapping</t>
        </is>
      </c>
      <c r="H81" s="426" t="inlineStr">
        <is>
          <t>https://attack.mitre.org/techniques/T1694/001</t>
        </is>
      </c>
    </row>
    <row r="82" ht="15" customHeight="1" s="508">
      <c r="A82" s="406" t="inlineStr">
        <is>
          <t>Loss of Control or Visibility</t>
        </is>
      </c>
      <c r="B82" s="406" t="inlineStr">
        <is>
          <t>T0813</t>
        </is>
      </c>
      <c r="C82" s="406" t="inlineStr">
        <is>
          <t>Denial of Control</t>
        </is>
      </c>
      <c r="D82" s="406" t="inlineStr">
        <is>
          <t>Impact</t>
        </is>
      </c>
      <c r="E82" s="406" t="inlineStr">
        <is>
          <t>Scenario-defining</t>
        </is>
      </c>
      <c r="F82" s="406" t="inlineStr">
        <is>
          <t>S5</t>
        </is>
      </c>
      <c r="G82" s="406" t="inlineStr">
        <is>
          <t>Model Mapping</t>
        </is>
      </c>
      <c r="H82" s="426" t="inlineStr">
        <is>
          <t>https://attack.mitre.org/techniques/T0813</t>
        </is>
      </c>
    </row>
    <row r="83" ht="15" customHeight="1" s="508">
      <c r="A83" s="406" t="inlineStr">
        <is>
          <t>Operational Disruption</t>
        </is>
      </c>
      <c r="B83" s="406" t="inlineStr">
        <is>
          <t>T0814</t>
        </is>
      </c>
      <c r="C83" s="406" t="inlineStr">
        <is>
          <t>Denial of Service</t>
        </is>
      </c>
      <c r="D83" s="406" t="inlineStr">
        <is>
          <t>Inhibit Response Function</t>
        </is>
      </c>
      <c r="E83" s="406" t="inlineStr">
        <is>
          <t>Scenario-defining</t>
        </is>
      </c>
      <c r="F83" s="406" t="inlineStr">
        <is>
          <t>S5</t>
        </is>
      </c>
      <c r="G83" s="406" t="inlineStr">
        <is>
          <t>Model Mapping</t>
        </is>
      </c>
      <c r="H83" s="426" t="inlineStr">
        <is>
          <t>https://attack.mitre.org/techniques/T0814</t>
        </is>
      </c>
    </row>
    <row r="84" ht="15" customHeight="1" s="508">
      <c r="A84" s="406" t="inlineStr">
        <is>
          <t>Loss of Control or Visibility</t>
        </is>
      </c>
      <c r="B84" s="406" t="inlineStr">
        <is>
          <t>T0815</t>
        </is>
      </c>
      <c r="C84" s="406" t="inlineStr">
        <is>
          <t>Denial of View</t>
        </is>
      </c>
      <c r="D84" s="406" t="inlineStr">
        <is>
          <t>Impact</t>
        </is>
      </c>
      <c r="E84" s="406" t="inlineStr">
        <is>
          <t>Scenario-defining</t>
        </is>
      </c>
      <c r="F84" s="406" t="inlineStr">
        <is>
          <t>S5</t>
        </is>
      </c>
      <c r="G84" s="406" t="inlineStr">
        <is>
          <t>Model Mapping</t>
        </is>
      </c>
      <c r="H84" s="426" t="inlineStr">
        <is>
          <t>https://attack.mitre.org/techniques/T0815</t>
        </is>
      </c>
    </row>
    <row r="85" ht="27.75" customHeight="1" s="508">
      <c r="A85" s="406" t="inlineStr">
        <is>
          <t>Operational Disruption</t>
        </is>
      </c>
      <c r="B85" s="406" t="inlineStr">
        <is>
          <t>T0868</t>
        </is>
      </c>
      <c r="C85" s="406" t="inlineStr">
        <is>
          <t>Detect Operating Mode</t>
        </is>
      </c>
      <c r="D85" s="406" t="inlineStr">
        <is>
          <t>Collection</t>
        </is>
      </c>
      <c r="E85" s="406" t="inlineStr">
        <is>
          <t>Candidate enabling technique</t>
        </is>
      </c>
      <c r="F85" s="406" t="inlineStr">
        <is>
          <t>S4</t>
        </is>
      </c>
      <c r="G85" s="406" t="inlineStr">
        <is>
          <t>Model Mapping</t>
        </is>
      </c>
      <c r="H85" s="426" t="inlineStr">
        <is>
          <t>https://attack.mitre.org/techniques/T0868</t>
        </is>
      </c>
    </row>
    <row r="86" ht="27.75" customHeight="1" s="508">
      <c r="A86" s="406" t="inlineStr">
        <is>
          <t>Loss of Control or Visibility</t>
        </is>
      </c>
      <c r="B86" s="406" t="inlineStr">
        <is>
          <t>T0868</t>
        </is>
      </c>
      <c r="C86" s="406" t="inlineStr">
        <is>
          <t>Detect Operating Mode</t>
        </is>
      </c>
      <c r="D86" s="406" t="inlineStr">
        <is>
          <t>Collection</t>
        </is>
      </c>
      <c r="E86" s="406" t="inlineStr">
        <is>
          <t>Candidate enabling technique</t>
        </is>
      </c>
      <c r="F86" s="406" t="inlineStr">
        <is>
          <t>S4</t>
        </is>
      </c>
      <c r="G86" s="406" t="inlineStr">
        <is>
          <t>Model Mapping</t>
        </is>
      </c>
      <c r="H86" s="426" t="inlineStr">
        <is>
          <t>https://attack.mitre.org/techniques/T0868</t>
        </is>
      </c>
    </row>
    <row r="87" ht="27.75" customHeight="1" s="508">
      <c r="A87" s="406" t="inlineStr">
        <is>
          <t>Process Manipulation</t>
        </is>
      </c>
      <c r="B87" s="406" t="inlineStr">
        <is>
          <t>T0868</t>
        </is>
      </c>
      <c r="C87" s="406" t="inlineStr">
        <is>
          <t>Detect Operating Mode</t>
        </is>
      </c>
      <c r="D87" s="406" t="inlineStr">
        <is>
          <t>Collection</t>
        </is>
      </c>
      <c r="E87" s="406" t="inlineStr">
        <is>
          <t>Candidate enabling technique</t>
        </is>
      </c>
      <c r="F87" s="406" t="inlineStr">
        <is>
          <t>S4</t>
        </is>
      </c>
      <c r="G87" s="406" t="inlineStr">
        <is>
          <t>Model Mapping</t>
        </is>
      </c>
      <c r="H87" s="426" t="inlineStr">
        <is>
          <t>https://attack.mitre.org/techniques/T0868</t>
        </is>
      </c>
    </row>
    <row r="88" ht="27.75" customHeight="1" s="508">
      <c r="A88" s="406" t="inlineStr">
        <is>
          <t>Safety System Compromise</t>
        </is>
      </c>
      <c r="B88" s="406" t="inlineStr">
        <is>
          <t>T0868</t>
        </is>
      </c>
      <c r="C88" s="406" t="inlineStr">
        <is>
          <t>Detect Operating Mode</t>
        </is>
      </c>
      <c r="D88" s="406" t="inlineStr">
        <is>
          <t>Collection</t>
        </is>
      </c>
      <c r="E88" s="406" t="inlineStr">
        <is>
          <t>Candidate enabling technique</t>
        </is>
      </c>
      <c r="F88" s="406" t="inlineStr">
        <is>
          <t>S4</t>
        </is>
      </c>
      <c r="G88" s="406" t="inlineStr">
        <is>
          <t>Model Mapping</t>
        </is>
      </c>
      <c r="H88" s="426" t="inlineStr">
        <is>
          <t>https://attack.mitre.org/techniques/T0868</t>
        </is>
      </c>
    </row>
    <row r="89" ht="27.75" customHeight="1" s="508">
      <c r="A89" s="406" t="inlineStr">
        <is>
          <t>Destructive or Integrity Attack</t>
        </is>
      </c>
      <c r="B89" s="406" t="inlineStr">
        <is>
          <t>T0868</t>
        </is>
      </c>
      <c r="C89" s="406" t="inlineStr">
        <is>
          <t>Detect Operating Mode</t>
        </is>
      </c>
      <c r="D89" s="406" t="inlineStr">
        <is>
          <t>Collection</t>
        </is>
      </c>
      <c r="E89" s="406" t="inlineStr">
        <is>
          <t>Candidate enabling technique</t>
        </is>
      </c>
      <c r="F89" s="406" t="inlineStr">
        <is>
          <t>S4</t>
        </is>
      </c>
      <c r="G89" s="406" t="inlineStr">
        <is>
          <t>Model Mapping</t>
        </is>
      </c>
      <c r="H89" s="426" t="inlineStr">
        <is>
          <t>https://attack.mitre.org/techniques/T0868</t>
        </is>
      </c>
    </row>
    <row r="90" ht="15" customHeight="1" s="508">
      <c r="A90" s="406" t="inlineStr">
        <is>
          <t>Operational Disruption</t>
        </is>
      </c>
      <c r="B90" s="406" t="inlineStr">
        <is>
          <t>T0816</t>
        </is>
      </c>
      <c r="C90" s="406" t="inlineStr">
        <is>
          <t>Device Restart/Shutdown</t>
        </is>
      </c>
      <c r="D90" s="406" t="inlineStr">
        <is>
          <t>Inhibit Response Function</t>
        </is>
      </c>
      <c r="E90" s="406" t="inlineStr">
        <is>
          <t>Scenario-defining</t>
        </is>
      </c>
      <c r="F90" s="406" t="inlineStr">
        <is>
          <t>S5</t>
        </is>
      </c>
      <c r="G90" s="406" t="inlineStr">
        <is>
          <t>Model Mapping</t>
        </is>
      </c>
      <c r="H90" s="426" t="inlineStr">
        <is>
          <t>https://attack.mitre.org/techniques/T0816</t>
        </is>
      </c>
    </row>
    <row r="91" ht="27.75" customHeight="1" s="508">
      <c r="A91" s="406" t="inlineStr">
        <is>
          <t>Operational Disruption</t>
        </is>
      </c>
      <c r="B91" s="406" t="inlineStr">
        <is>
          <t>T0843.001</t>
        </is>
      </c>
      <c r="C91" s="406" t="inlineStr">
        <is>
          <t>Download All</t>
        </is>
      </c>
      <c r="D91" s="406" t="inlineStr">
        <is>
          <t>Lateral Movement</t>
        </is>
      </c>
      <c r="E91" s="406" t="inlineStr">
        <is>
          <t>Candidate enabling technique</t>
        </is>
      </c>
      <c r="F91" s="406" t="inlineStr">
        <is>
          <t>S3</t>
        </is>
      </c>
      <c r="G91" s="406" t="inlineStr">
        <is>
          <t>Model Mapping</t>
        </is>
      </c>
      <c r="H91" s="426" t="inlineStr">
        <is>
          <t>https://attack.mitre.org/techniques/T0843/001</t>
        </is>
      </c>
    </row>
    <row r="92" ht="27.75" customHeight="1" s="508">
      <c r="A92" s="406" t="inlineStr">
        <is>
          <t>Loss of Control or Visibility</t>
        </is>
      </c>
      <c r="B92" s="406" t="inlineStr">
        <is>
          <t>T0843.001</t>
        </is>
      </c>
      <c r="C92" s="406" t="inlineStr">
        <is>
          <t>Download All</t>
        </is>
      </c>
      <c r="D92" s="406" t="inlineStr">
        <is>
          <t>Lateral Movement</t>
        </is>
      </c>
      <c r="E92" s="406" t="inlineStr">
        <is>
          <t>Candidate enabling technique</t>
        </is>
      </c>
      <c r="F92" s="406" t="inlineStr">
        <is>
          <t>S3</t>
        </is>
      </c>
      <c r="G92" s="406" t="inlineStr">
        <is>
          <t>Model Mapping</t>
        </is>
      </c>
      <c r="H92" s="426" t="inlineStr">
        <is>
          <t>https://attack.mitre.org/techniques/T0843/001</t>
        </is>
      </c>
    </row>
    <row r="93" ht="27.75" customHeight="1" s="508">
      <c r="A93" s="406" t="inlineStr">
        <is>
          <t>Process Manipulation</t>
        </is>
      </c>
      <c r="B93" s="406" t="inlineStr">
        <is>
          <t>T0843.001</t>
        </is>
      </c>
      <c r="C93" s="406" t="inlineStr">
        <is>
          <t>Download All</t>
        </is>
      </c>
      <c r="D93" s="406" t="inlineStr">
        <is>
          <t>Lateral Movement</t>
        </is>
      </c>
      <c r="E93" s="406" t="inlineStr">
        <is>
          <t>Candidate enabling technique</t>
        </is>
      </c>
      <c r="F93" s="406" t="inlineStr">
        <is>
          <t>S3</t>
        </is>
      </c>
      <c r="G93" s="406" t="inlineStr">
        <is>
          <t>Model Mapping</t>
        </is>
      </c>
      <c r="H93" s="426" t="inlineStr">
        <is>
          <t>https://attack.mitre.org/techniques/T0843/001</t>
        </is>
      </c>
    </row>
    <row r="94" ht="27.75" customHeight="1" s="508">
      <c r="A94" s="406" t="inlineStr">
        <is>
          <t>Safety System Compromise</t>
        </is>
      </c>
      <c r="B94" s="406" t="inlineStr">
        <is>
          <t>T0843.001</t>
        </is>
      </c>
      <c r="C94" s="406" t="inlineStr">
        <is>
          <t>Download All</t>
        </is>
      </c>
      <c r="D94" s="406" t="inlineStr">
        <is>
          <t>Lateral Movement</t>
        </is>
      </c>
      <c r="E94" s="406" t="inlineStr">
        <is>
          <t>Candidate enabling technique</t>
        </is>
      </c>
      <c r="F94" s="406" t="inlineStr">
        <is>
          <t>S3</t>
        </is>
      </c>
      <c r="G94" s="406" t="inlineStr">
        <is>
          <t>Model Mapping</t>
        </is>
      </c>
      <c r="H94" s="426" t="inlineStr">
        <is>
          <t>https://attack.mitre.org/techniques/T0843/001</t>
        </is>
      </c>
    </row>
    <row r="95" ht="27.75" customHeight="1" s="508">
      <c r="A95" s="406" t="inlineStr">
        <is>
          <t>Destructive or Integrity Attack</t>
        </is>
      </c>
      <c r="B95" s="406" t="inlineStr">
        <is>
          <t>T0843.001</t>
        </is>
      </c>
      <c r="C95" s="406" t="inlineStr">
        <is>
          <t>Download All</t>
        </is>
      </c>
      <c r="D95" s="406" t="inlineStr">
        <is>
          <t>Lateral Movement</t>
        </is>
      </c>
      <c r="E95" s="406" t="inlineStr">
        <is>
          <t>Candidate enabling technique</t>
        </is>
      </c>
      <c r="F95" s="406" t="inlineStr">
        <is>
          <t>S3</t>
        </is>
      </c>
      <c r="G95" s="406" t="inlineStr">
        <is>
          <t>Model Mapping</t>
        </is>
      </c>
      <c r="H95" s="426" t="inlineStr">
        <is>
          <t>https://attack.mitre.org/techniques/T0843/001</t>
        </is>
      </c>
    </row>
    <row r="96" ht="27.75" customHeight="1" s="508">
      <c r="A96" s="406" t="inlineStr">
        <is>
          <t>Operational Disruption</t>
        </is>
      </c>
      <c r="B96" s="406" t="inlineStr">
        <is>
          <t>T0817</t>
        </is>
      </c>
      <c r="C96" s="406" t="inlineStr">
        <is>
          <t>Drive-by Compromise</t>
        </is>
      </c>
      <c r="D96" s="406" t="inlineStr">
        <is>
          <t>Initial Access</t>
        </is>
      </c>
      <c r="E96" s="406" t="inlineStr">
        <is>
          <t>Candidate enabling technique</t>
        </is>
      </c>
      <c r="F96" s="406" t="inlineStr">
        <is>
          <t>S1</t>
        </is>
      </c>
      <c r="G96" s="406" t="inlineStr">
        <is>
          <t>Model Mapping</t>
        </is>
      </c>
      <c r="H96" s="426" t="inlineStr">
        <is>
          <t>https://attack.mitre.org/techniques/T0817</t>
        </is>
      </c>
    </row>
    <row r="97" ht="27.75" customHeight="1" s="508">
      <c r="A97" s="406" t="inlineStr">
        <is>
          <t>Loss of Control or Visibility</t>
        </is>
      </c>
      <c r="B97" s="406" t="inlineStr">
        <is>
          <t>T0817</t>
        </is>
      </c>
      <c r="C97" s="406" t="inlineStr">
        <is>
          <t>Drive-by Compromise</t>
        </is>
      </c>
      <c r="D97" s="406" t="inlineStr">
        <is>
          <t>Initial Access</t>
        </is>
      </c>
      <c r="E97" s="406" t="inlineStr">
        <is>
          <t>Candidate enabling technique</t>
        </is>
      </c>
      <c r="F97" s="406" t="inlineStr">
        <is>
          <t>S1</t>
        </is>
      </c>
      <c r="G97" s="406" t="inlineStr">
        <is>
          <t>Model Mapping</t>
        </is>
      </c>
      <c r="H97" s="426" t="inlineStr">
        <is>
          <t>https://attack.mitre.org/techniques/T0817</t>
        </is>
      </c>
    </row>
    <row r="98" ht="27.75" customHeight="1" s="508">
      <c r="A98" s="406" t="inlineStr">
        <is>
          <t>Process Manipulation</t>
        </is>
      </c>
      <c r="B98" s="406" t="inlineStr">
        <is>
          <t>T0817</t>
        </is>
      </c>
      <c r="C98" s="406" t="inlineStr">
        <is>
          <t>Drive-by Compromise</t>
        </is>
      </c>
      <c r="D98" s="406" t="inlineStr">
        <is>
          <t>Initial Access</t>
        </is>
      </c>
      <c r="E98" s="406" t="inlineStr">
        <is>
          <t>Candidate enabling technique</t>
        </is>
      </c>
      <c r="F98" s="406" t="inlineStr">
        <is>
          <t>S1</t>
        </is>
      </c>
      <c r="G98" s="406" t="inlineStr">
        <is>
          <t>Model Mapping</t>
        </is>
      </c>
      <c r="H98" s="426" t="inlineStr">
        <is>
          <t>https://attack.mitre.org/techniques/T0817</t>
        </is>
      </c>
    </row>
    <row r="99" ht="27.75" customHeight="1" s="508">
      <c r="A99" s="406" t="inlineStr">
        <is>
          <t>Safety System Compromise</t>
        </is>
      </c>
      <c r="B99" s="406" t="inlineStr">
        <is>
          <t>T0817</t>
        </is>
      </c>
      <c r="C99" s="406" t="inlineStr">
        <is>
          <t>Drive-by Compromise</t>
        </is>
      </c>
      <c r="D99" s="406" t="inlineStr">
        <is>
          <t>Initial Access</t>
        </is>
      </c>
      <c r="E99" s="406" t="inlineStr">
        <is>
          <t>Candidate enabling technique</t>
        </is>
      </c>
      <c r="F99" s="406" t="inlineStr">
        <is>
          <t>S1</t>
        </is>
      </c>
      <c r="G99" s="406" t="inlineStr">
        <is>
          <t>Model Mapping</t>
        </is>
      </c>
      <c r="H99" s="426" t="inlineStr">
        <is>
          <t>https://attack.mitre.org/techniques/T0817</t>
        </is>
      </c>
    </row>
    <row r="100" ht="27.75" customHeight="1" s="508">
      <c r="A100" s="406" t="inlineStr">
        <is>
          <t>Destructive or Integrity Attack</t>
        </is>
      </c>
      <c r="B100" s="406" t="inlineStr">
        <is>
          <t>T0817</t>
        </is>
      </c>
      <c r="C100" s="406" t="inlineStr">
        <is>
          <t>Drive-by Compromise</t>
        </is>
      </c>
      <c r="D100" s="406" t="inlineStr">
        <is>
          <t>Initial Access</t>
        </is>
      </c>
      <c r="E100" s="406" t="inlineStr">
        <is>
          <t>Candidate enabling technique</t>
        </is>
      </c>
      <c r="F100" s="406" t="inlineStr">
        <is>
          <t>S1</t>
        </is>
      </c>
      <c r="G100" s="406" t="inlineStr">
        <is>
          <t>Model Mapping</t>
        </is>
      </c>
      <c r="H100" s="426" t="inlineStr">
        <is>
          <t>https://attack.mitre.org/techniques/T0817</t>
        </is>
      </c>
    </row>
    <row r="101" ht="15" customHeight="1" s="508">
      <c r="A101" s="406" t="inlineStr">
        <is>
          <t>Safety System Compromise</t>
        </is>
      </c>
      <c r="B101" s="406" t="inlineStr">
        <is>
          <t>T1695.002</t>
        </is>
      </c>
      <c r="C101" s="406" t="inlineStr">
        <is>
          <t>Ethernet</t>
        </is>
      </c>
      <c r="D101" s="406" t="inlineStr">
        <is>
          <t>Inhibit Response Function</t>
        </is>
      </c>
      <c r="E101" s="406" t="inlineStr">
        <is>
          <t>Supporting / impact</t>
        </is>
      </c>
      <c r="F101" s="406" t="inlineStr">
        <is>
          <t>S5</t>
        </is>
      </c>
      <c r="G101" s="406" t="inlineStr">
        <is>
          <t>Model Mapping</t>
        </is>
      </c>
      <c r="H101" s="426" t="inlineStr">
        <is>
          <t>https://attack.mitre.org/techniques/T1695/002</t>
        </is>
      </c>
    </row>
    <row r="102" ht="27.75" customHeight="1" s="508">
      <c r="A102" s="406" t="inlineStr">
        <is>
          <t>Operational Disruption</t>
        </is>
      </c>
      <c r="B102" s="406" t="inlineStr">
        <is>
          <t>T0871</t>
        </is>
      </c>
      <c r="C102" s="406" t="inlineStr">
        <is>
          <t>Execution through API</t>
        </is>
      </c>
      <c r="D102" s="406" t="inlineStr">
        <is>
          <t>Execution</t>
        </is>
      </c>
      <c r="E102" s="406" t="inlineStr">
        <is>
          <t>Candidate enabling technique</t>
        </is>
      </c>
      <c r="F102" s="406" t="inlineStr">
        <is>
          <t>S2</t>
        </is>
      </c>
      <c r="G102" s="406" t="inlineStr">
        <is>
          <t>Model Mapping</t>
        </is>
      </c>
      <c r="H102" s="426" t="inlineStr">
        <is>
          <t>https://attack.mitre.org/techniques/T0871</t>
        </is>
      </c>
    </row>
    <row r="103" ht="27.75" customHeight="1" s="508">
      <c r="A103" s="406" t="inlineStr">
        <is>
          <t>Loss of Control or Visibility</t>
        </is>
      </c>
      <c r="B103" s="406" t="inlineStr">
        <is>
          <t>T0871</t>
        </is>
      </c>
      <c r="C103" s="406" t="inlineStr">
        <is>
          <t>Execution through API</t>
        </is>
      </c>
      <c r="D103" s="406" t="inlineStr">
        <is>
          <t>Execution</t>
        </is>
      </c>
      <c r="E103" s="406" t="inlineStr">
        <is>
          <t>Candidate enabling technique</t>
        </is>
      </c>
      <c r="F103" s="406" t="inlineStr">
        <is>
          <t>S2</t>
        </is>
      </c>
      <c r="G103" s="406" t="inlineStr">
        <is>
          <t>Model Mapping</t>
        </is>
      </c>
      <c r="H103" s="426" t="inlineStr">
        <is>
          <t>https://attack.mitre.org/techniques/T0871</t>
        </is>
      </c>
    </row>
    <row r="104" ht="27.75" customHeight="1" s="508">
      <c r="A104" s="406" t="inlineStr">
        <is>
          <t>Process Manipulation</t>
        </is>
      </c>
      <c r="B104" s="406" t="inlineStr">
        <is>
          <t>T0871</t>
        </is>
      </c>
      <c r="C104" s="406" t="inlineStr">
        <is>
          <t>Execution through API</t>
        </is>
      </c>
      <c r="D104" s="406" t="inlineStr">
        <is>
          <t>Execution</t>
        </is>
      </c>
      <c r="E104" s="406" t="inlineStr">
        <is>
          <t>Candidate enabling technique</t>
        </is>
      </c>
      <c r="F104" s="406" t="inlineStr">
        <is>
          <t>S2</t>
        </is>
      </c>
      <c r="G104" s="406" t="inlineStr">
        <is>
          <t>Model Mapping</t>
        </is>
      </c>
      <c r="H104" s="426" t="inlineStr">
        <is>
          <t>https://attack.mitre.org/techniques/T0871</t>
        </is>
      </c>
    </row>
    <row r="105" ht="27.75" customHeight="1" s="508">
      <c r="A105" s="406" t="inlineStr">
        <is>
          <t>Safety System Compromise</t>
        </is>
      </c>
      <c r="B105" s="406" t="inlineStr">
        <is>
          <t>T0871</t>
        </is>
      </c>
      <c r="C105" s="406" t="inlineStr">
        <is>
          <t>Execution through API</t>
        </is>
      </c>
      <c r="D105" s="406" t="inlineStr">
        <is>
          <t>Execution</t>
        </is>
      </c>
      <c r="E105" s="406" t="inlineStr">
        <is>
          <t>Candidate enabling technique</t>
        </is>
      </c>
      <c r="F105" s="406" t="inlineStr">
        <is>
          <t>S2</t>
        </is>
      </c>
      <c r="G105" s="406" t="inlineStr">
        <is>
          <t>Model Mapping</t>
        </is>
      </c>
      <c r="H105" s="426" t="inlineStr">
        <is>
          <t>https://attack.mitre.org/techniques/T0871</t>
        </is>
      </c>
    </row>
    <row r="106" ht="27.75" customHeight="1" s="508">
      <c r="A106" s="406" t="inlineStr">
        <is>
          <t>Destructive or Integrity Attack</t>
        </is>
      </c>
      <c r="B106" s="406" t="inlineStr">
        <is>
          <t>T0871</t>
        </is>
      </c>
      <c r="C106" s="406" t="inlineStr">
        <is>
          <t>Execution through API</t>
        </is>
      </c>
      <c r="D106" s="406" t="inlineStr">
        <is>
          <t>Execution</t>
        </is>
      </c>
      <c r="E106" s="406" t="inlineStr">
        <is>
          <t>Candidate enabling technique</t>
        </is>
      </c>
      <c r="F106" s="406" t="inlineStr">
        <is>
          <t>S2</t>
        </is>
      </c>
      <c r="G106" s="406" t="inlineStr">
        <is>
          <t>Model Mapping</t>
        </is>
      </c>
      <c r="H106" s="426" t="inlineStr">
        <is>
          <t>https://attack.mitre.org/techniques/T0871</t>
        </is>
      </c>
    </row>
    <row r="107" ht="27.75" customHeight="1" s="508">
      <c r="A107" s="406" t="inlineStr">
        <is>
          <t>Operational Disruption</t>
        </is>
      </c>
      <c r="B107" s="406" t="inlineStr">
        <is>
          <t>T0819</t>
        </is>
      </c>
      <c r="C107" s="406" t="inlineStr">
        <is>
          <t>Exploit Public-Facing Application</t>
        </is>
      </c>
      <c r="D107" s="406" t="inlineStr">
        <is>
          <t>Initial Access</t>
        </is>
      </c>
      <c r="E107" s="406" t="inlineStr">
        <is>
          <t>Candidate enabling technique</t>
        </is>
      </c>
      <c r="F107" s="406" t="inlineStr">
        <is>
          <t>S1</t>
        </is>
      </c>
      <c r="G107" s="406" t="inlineStr">
        <is>
          <t>Model Mapping</t>
        </is>
      </c>
      <c r="H107" s="426" t="inlineStr">
        <is>
          <t>https://attack.mitre.org/techniques/T0819</t>
        </is>
      </c>
    </row>
    <row r="108" ht="27.75" customHeight="1" s="508">
      <c r="A108" s="406" t="inlineStr">
        <is>
          <t>Loss of Control or Visibility</t>
        </is>
      </c>
      <c r="B108" s="406" t="inlineStr">
        <is>
          <t>T0819</t>
        </is>
      </c>
      <c r="C108" s="406" t="inlineStr">
        <is>
          <t>Exploit Public-Facing Application</t>
        </is>
      </c>
      <c r="D108" s="406" t="inlineStr">
        <is>
          <t>Initial Access</t>
        </is>
      </c>
      <c r="E108" s="406" t="inlineStr">
        <is>
          <t>Candidate enabling technique</t>
        </is>
      </c>
      <c r="F108" s="406" t="inlineStr">
        <is>
          <t>S1</t>
        </is>
      </c>
      <c r="G108" s="406" t="inlineStr">
        <is>
          <t>Model Mapping</t>
        </is>
      </c>
      <c r="H108" s="426" t="inlineStr">
        <is>
          <t>https://attack.mitre.org/techniques/T0819</t>
        </is>
      </c>
    </row>
    <row r="109" ht="27.75" customHeight="1" s="508">
      <c r="A109" s="406" t="inlineStr">
        <is>
          <t>Process Manipulation</t>
        </is>
      </c>
      <c r="B109" s="406" t="inlineStr">
        <is>
          <t>T0819</t>
        </is>
      </c>
      <c r="C109" s="406" t="inlineStr">
        <is>
          <t>Exploit Public-Facing Application</t>
        </is>
      </c>
      <c r="D109" s="406" t="inlineStr">
        <is>
          <t>Initial Access</t>
        </is>
      </c>
      <c r="E109" s="406" t="inlineStr">
        <is>
          <t>Candidate enabling technique</t>
        </is>
      </c>
      <c r="F109" s="406" t="inlineStr">
        <is>
          <t>S1</t>
        </is>
      </c>
      <c r="G109" s="406" t="inlineStr">
        <is>
          <t>Model Mapping</t>
        </is>
      </c>
      <c r="H109" s="426" t="inlineStr">
        <is>
          <t>https://attack.mitre.org/techniques/T0819</t>
        </is>
      </c>
    </row>
    <row r="110" ht="27.75" customHeight="1" s="508">
      <c r="A110" s="406" t="inlineStr">
        <is>
          <t>Safety System Compromise</t>
        </is>
      </c>
      <c r="B110" s="406" t="inlineStr">
        <is>
          <t>T0819</t>
        </is>
      </c>
      <c r="C110" s="406" t="inlineStr">
        <is>
          <t>Exploit Public-Facing Application</t>
        </is>
      </c>
      <c r="D110" s="406" t="inlineStr">
        <is>
          <t>Initial Access</t>
        </is>
      </c>
      <c r="E110" s="406" t="inlineStr">
        <is>
          <t>Candidate enabling technique</t>
        </is>
      </c>
      <c r="F110" s="406" t="inlineStr">
        <is>
          <t>S1</t>
        </is>
      </c>
      <c r="G110" s="406" t="inlineStr">
        <is>
          <t>Model Mapping</t>
        </is>
      </c>
      <c r="H110" s="426" t="inlineStr">
        <is>
          <t>https://attack.mitre.org/techniques/T0819</t>
        </is>
      </c>
    </row>
    <row r="111" ht="27.75" customHeight="1" s="508">
      <c r="A111" s="406" t="inlineStr">
        <is>
          <t>Destructive or Integrity Attack</t>
        </is>
      </c>
      <c r="B111" s="406" t="inlineStr">
        <is>
          <t>T0819</t>
        </is>
      </c>
      <c r="C111" s="406" t="inlineStr">
        <is>
          <t>Exploit Public-Facing Application</t>
        </is>
      </c>
      <c r="D111" s="406" t="inlineStr">
        <is>
          <t>Initial Access</t>
        </is>
      </c>
      <c r="E111" s="406" t="inlineStr">
        <is>
          <t>Candidate enabling technique</t>
        </is>
      </c>
      <c r="F111" s="406" t="inlineStr">
        <is>
          <t>S1</t>
        </is>
      </c>
      <c r="G111" s="406" t="inlineStr">
        <is>
          <t>Model Mapping</t>
        </is>
      </c>
      <c r="H111" s="426" t="inlineStr">
        <is>
          <t>https://attack.mitre.org/techniques/T0819</t>
        </is>
      </c>
    </row>
    <row r="112" ht="27.75" customHeight="1" s="508">
      <c r="A112" s="406" t="inlineStr">
        <is>
          <t>Operational Disruption</t>
        </is>
      </c>
      <c r="B112" s="406" t="inlineStr">
        <is>
          <t>T0820</t>
        </is>
      </c>
      <c r="C112" s="406" t="inlineStr">
        <is>
          <t>Exploitation for Evasion</t>
        </is>
      </c>
      <c r="D112" s="406" t="inlineStr">
        <is>
          <t>Evasion</t>
        </is>
      </c>
      <c r="E112" s="406" t="inlineStr">
        <is>
          <t>Candidate enabling technique</t>
        </is>
      </c>
      <c r="F112" s="406" t="inlineStr">
        <is>
          <t>S2</t>
        </is>
      </c>
      <c r="G112" s="406" t="inlineStr">
        <is>
          <t>Model Mapping</t>
        </is>
      </c>
      <c r="H112" s="426" t="inlineStr">
        <is>
          <t>https://attack.mitre.org/techniques/T0820</t>
        </is>
      </c>
    </row>
    <row r="113" ht="27.75" customHeight="1" s="508">
      <c r="A113" s="406" t="inlineStr">
        <is>
          <t>Loss of Control or Visibility</t>
        </is>
      </c>
      <c r="B113" s="406" t="inlineStr">
        <is>
          <t>T0820</t>
        </is>
      </c>
      <c r="C113" s="406" t="inlineStr">
        <is>
          <t>Exploitation for Evasion</t>
        </is>
      </c>
      <c r="D113" s="406" t="inlineStr">
        <is>
          <t>Evasion</t>
        </is>
      </c>
      <c r="E113" s="406" t="inlineStr">
        <is>
          <t>Candidate enabling technique</t>
        </is>
      </c>
      <c r="F113" s="406" t="inlineStr">
        <is>
          <t>S2</t>
        </is>
      </c>
      <c r="G113" s="406" t="inlineStr">
        <is>
          <t>Model Mapping</t>
        </is>
      </c>
      <c r="H113" s="426" t="inlineStr">
        <is>
          <t>https://attack.mitre.org/techniques/T0820</t>
        </is>
      </c>
    </row>
    <row r="114" ht="27.75" customHeight="1" s="508">
      <c r="A114" s="406" t="inlineStr">
        <is>
          <t>Process Manipulation</t>
        </is>
      </c>
      <c r="B114" s="406" t="inlineStr">
        <is>
          <t>T0820</t>
        </is>
      </c>
      <c r="C114" s="406" t="inlineStr">
        <is>
          <t>Exploitation for Evasion</t>
        </is>
      </c>
      <c r="D114" s="406" t="inlineStr">
        <is>
          <t>Evasion</t>
        </is>
      </c>
      <c r="E114" s="406" t="inlineStr">
        <is>
          <t>Candidate enabling technique</t>
        </is>
      </c>
      <c r="F114" s="406" t="inlineStr">
        <is>
          <t>S2</t>
        </is>
      </c>
      <c r="G114" s="406" t="inlineStr">
        <is>
          <t>Model Mapping</t>
        </is>
      </c>
      <c r="H114" s="426" t="inlineStr">
        <is>
          <t>https://attack.mitre.org/techniques/T0820</t>
        </is>
      </c>
    </row>
    <row r="115" ht="27.75" customHeight="1" s="508">
      <c r="A115" s="406" t="inlineStr">
        <is>
          <t>Safety System Compromise</t>
        </is>
      </c>
      <c r="B115" s="406" t="inlineStr">
        <is>
          <t>T0820</t>
        </is>
      </c>
      <c r="C115" s="406" t="inlineStr">
        <is>
          <t>Exploitation for Evasion</t>
        </is>
      </c>
      <c r="D115" s="406" t="inlineStr">
        <is>
          <t>Evasion</t>
        </is>
      </c>
      <c r="E115" s="406" t="inlineStr">
        <is>
          <t>Candidate enabling technique</t>
        </is>
      </c>
      <c r="F115" s="406" t="inlineStr">
        <is>
          <t>S2</t>
        </is>
      </c>
      <c r="G115" s="406" t="inlineStr">
        <is>
          <t>Model Mapping</t>
        </is>
      </c>
      <c r="H115" s="426" t="inlineStr">
        <is>
          <t>https://attack.mitre.org/techniques/T0820</t>
        </is>
      </c>
    </row>
    <row r="116" ht="27.75" customHeight="1" s="508">
      <c r="A116" s="406" t="inlineStr">
        <is>
          <t>Destructive or Integrity Attack</t>
        </is>
      </c>
      <c r="B116" s="406" t="inlineStr">
        <is>
          <t>T0820</t>
        </is>
      </c>
      <c r="C116" s="406" t="inlineStr">
        <is>
          <t>Exploitation for Evasion</t>
        </is>
      </c>
      <c r="D116" s="406" t="inlineStr">
        <is>
          <t>Evasion</t>
        </is>
      </c>
      <c r="E116" s="406" t="inlineStr">
        <is>
          <t>Candidate enabling technique</t>
        </is>
      </c>
      <c r="F116" s="406" t="inlineStr">
        <is>
          <t>S2</t>
        </is>
      </c>
      <c r="G116" s="406" t="inlineStr">
        <is>
          <t>Model Mapping</t>
        </is>
      </c>
      <c r="H116" s="426" t="inlineStr">
        <is>
          <t>https://attack.mitre.org/techniques/T0820</t>
        </is>
      </c>
    </row>
    <row r="117" ht="27.75" customHeight="1" s="508">
      <c r="A117" s="406" t="inlineStr">
        <is>
          <t>Operational Disruption</t>
        </is>
      </c>
      <c r="B117" s="406" t="inlineStr">
        <is>
          <t>T0890</t>
        </is>
      </c>
      <c r="C117" s="406" t="inlineStr">
        <is>
          <t>Exploitation for Privilege Escalation</t>
        </is>
      </c>
      <c r="D117" s="406" t="inlineStr">
        <is>
          <t>Privilege Escalation</t>
        </is>
      </c>
      <c r="E117" s="406" t="inlineStr">
        <is>
          <t>Candidate enabling technique</t>
        </is>
      </c>
      <c r="F117" s="406" t="inlineStr">
        <is>
          <t>S2</t>
        </is>
      </c>
      <c r="G117" s="406" t="inlineStr">
        <is>
          <t>Model Mapping</t>
        </is>
      </c>
      <c r="H117" s="426" t="inlineStr">
        <is>
          <t>https://attack.mitre.org/techniques/T0890</t>
        </is>
      </c>
    </row>
    <row r="118" ht="27.75" customHeight="1" s="508">
      <c r="A118" s="406" t="inlineStr">
        <is>
          <t>Loss of Control or Visibility</t>
        </is>
      </c>
      <c r="B118" s="406" t="inlineStr">
        <is>
          <t>T0890</t>
        </is>
      </c>
      <c r="C118" s="406" t="inlineStr">
        <is>
          <t>Exploitation for Privilege Escalation</t>
        </is>
      </c>
      <c r="D118" s="406" t="inlineStr">
        <is>
          <t>Privilege Escalation</t>
        </is>
      </c>
      <c r="E118" s="406" t="inlineStr">
        <is>
          <t>Candidate enabling technique</t>
        </is>
      </c>
      <c r="F118" s="406" t="inlineStr">
        <is>
          <t>S2</t>
        </is>
      </c>
      <c r="G118" s="406" t="inlineStr">
        <is>
          <t>Model Mapping</t>
        </is>
      </c>
      <c r="H118" s="426" t="inlineStr">
        <is>
          <t>https://attack.mitre.org/techniques/T0890</t>
        </is>
      </c>
    </row>
    <row r="119" ht="27.75" customHeight="1" s="508">
      <c r="A119" s="406" t="inlineStr">
        <is>
          <t>Process Manipulation</t>
        </is>
      </c>
      <c r="B119" s="406" t="inlineStr">
        <is>
          <t>T0890</t>
        </is>
      </c>
      <c r="C119" s="406" t="inlineStr">
        <is>
          <t>Exploitation for Privilege Escalation</t>
        </is>
      </c>
      <c r="D119" s="406" t="inlineStr">
        <is>
          <t>Privilege Escalation</t>
        </is>
      </c>
      <c r="E119" s="406" t="inlineStr">
        <is>
          <t>Candidate enabling technique</t>
        </is>
      </c>
      <c r="F119" s="406" t="inlineStr">
        <is>
          <t>S2</t>
        </is>
      </c>
      <c r="G119" s="406" t="inlineStr">
        <is>
          <t>Model Mapping</t>
        </is>
      </c>
      <c r="H119" s="426" t="inlineStr">
        <is>
          <t>https://attack.mitre.org/techniques/T0890</t>
        </is>
      </c>
    </row>
    <row r="120" ht="27.75" customHeight="1" s="508">
      <c r="A120" s="406" t="inlineStr">
        <is>
          <t>Safety System Compromise</t>
        </is>
      </c>
      <c r="B120" s="406" t="inlineStr">
        <is>
          <t>T0890</t>
        </is>
      </c>
      <c r="C120" s="406" t="inlineStr">
        <is>
          <t>Exploitation for Privilege Escalation</t>
        </is>
      </c>
      <c r="D120" s="406" t="inlineStr">
        <is>
          <t>Privilege Escalation</t>
        </is>
      </c>
      <c r="E120" s="406" t="inlineStr">
        <is>
          <t>Candidate enabling technique</t>
        </is>
      </c>
      <c r="F120" s="406" t="inlineStr">
        <is>
          <t>S2</t>
        </is>
      </c>
      <c r="G120" s="406" t="inlineStr">
        <is>
          <t>Model Mapping</t>
        </is>
      </c>
      <c r="H120" s="426" t="inlineStr">
        <is>
          <t>https://attack.mitre.org/techniques/T0890</t>
        </is>
      </c>
    </row>
    <row r="121" ht="27.75" customHeight="1" s="508">
      <c r="A121" s="406" t="inlineStr">
        <is>
          <t>Destructive or Integrity Attack</t>
        </is>
      </c>
      <c r="B121" s="406" t="inlineStr">
        <is>
          <t>T0890</t>
        </is>
      </c>
      <c r="C121" s="406" t="inlineStr">
        <is>
          <t>Exploitation for Privilege Escalation</t>
        </is>
      </c>
      <c r="D121" s="406" t="inlineStr">
        <is>
          <t>Privilege Escalation</t>
        </is>
      </c>
      <c r="E121" s="406" t="inlineStr">
        <is>
          <t>Candidate enabling technique</t>
        </is>
      </c>
      <c r="F121" s="406" t="inlineStr">
        <is>
          <t>S2</t>
        </is>
      </c>
      <c r="G121" s="406" t="inlineStr">
        <is>
          <t>Model Mapping</t>
        </is>
      </c>
      <c r="H121" s="426" t="inlineStr">
        <is>
          <t>https://attack.mitre.org/techniques/T0890</t>
        </is>
      </c>
    </row>
    <row r="122" ht="27.75" customHeight="1" s="508">
      <c r="A122" s="406" t="inlineStr">
        <is>
          <t>Operational Disruption</t>
        </is>
      </c>
      <c r="B122" s="406" t="inlineStr">
        <is>
          <t>T0866</t>
        </is>
      </c>
      <c r="C122" s="406" t="inlineStr">
        <is>
          <t>Exploitation of Remote Services</t>
        </is>
      </c>
      <c r="D122" s="406" t="inlineStr">
        <is>
          <t>Initial Access, Lateral Movement</t>
        </is>
      </c>
      <c r="E122" s="406" t="inlineStr">
        <is>
          <t>Candidate enabling technique</t>
        </is>
      </c>
      <c r="F122" s="406" t="inlineStr">
        <is>
          <t>S1</t>
        </is>
      </c>
      <c r="G122" s="406" t="inlineStr">
        <is>
          <t>Model Mapping</t>
        </is>
      </c>
      <c r="H122" s="426" t="inlineStr">
        <is>
          <t>https://attack.mitre.org/techniques/T0866</t>
        </is>
      </c>
    </row>
    <row r="123" ht="27.75" customHeight="1" s="508">
      <c r="A123" s="406" t="inlineStr">
        <is>
          <t>Loss of Control or Visibility</t>
        </is>
      </c>
      <c r="B123" s="406" t="inlineStr">
        <is>
          <t>T0866</t>
        </is>
      </c>
      <c r="C123" s="406" t="inlineStr">
        <is>
          <t>Exploitation of Remote Services</t>
        </is>
      </c>
      <c r="D123" s="406" t="inlineStr">
        <is>
          <t>Initial Access, Lateral Movement</t>
        </is>
      </c>
      <c r="E123" s="406" t="inlineStr">
        <is>
          <t>Candidate enabling technique</t>
        </is>
      </c>
      <c r="F123" s="406" t="inlineStr">
        <is>
          <t>S1</t>
        </is>
      </c>
      <c r="G123" s="406" t="inlineStr">
        <is>
          <t>Model Mapping</t>
        </is>
      </c>
      <c r="H123" s="426" t="inlineStr">
        <is>
          <t>https://attack.mitre.org/techniques/T0866</t>
        </is>
      </c>
    </row>
    <row r="124" ht="27.75" customHeight="1" s="508">
      <c r="A124" s="406" t="inlineStr">
        <is>
          <t>Process Manipulation</t>
        </is>
      </c>
      <c r="B124" s="406" t="inlineStr">
        <is>
          <t>T0866</t>
        </is>
      </c>
      <c r="C124" s="406" t="inlineStr">
        <is>
          <t>Exploitation of Remote Services</t>
        </is>
      </c>
      <c r="D124" s="406" t="inlineStr">
        <is>
          <t>Initial Access, Lateral Movement</t>
        </is>
      </c>
      <c r="E124" s="406" t="inlineStr">
        <is>
          <t>Candidate enabling technique</t>
        </is>
      </c>
      <c r="F124" s="406" t="inlineStr">
        <is>
          <t>S1</t>
        </is>
      </c>
      <c r="G124" s="406" t="inlineStr">
        <is>
          <t>Model Mapping</t>
        </is>
      </c>
      <c r="H124" s="426" t="inlineStr">
        <is>
          <t>https://attack.mitre.org/techniques/T0866</t>
        </is>
      </c>
    </row>
    <row r="125" ht="27.75" customHeight="1" s="508">
      <c r="A125" s="406" t="inlineStr">
        <is>
          <t>Safety System Compromise</t>
        </is>
      </c>
      <c r="B125" s="406" t="inlineStr">
        <is>
          <t>T0866</t>
        </is>
      </c>
      <c r="C125" s="406" t="inlineStr">
        <is>
          <t>Exploitation of Remote Services</t>
        </is>
      </c>
      <c r="D125" s="406" t="inlineStr">
        <is>
          <t>Initial Access, Lateral Movement</t>
        </is>
      </c>
      <c r="E125" s="406" t="inlineStr">
        <is>
          <t>Candidate enabling technique</t>
        </is>
      </c>
      <c r="F125" s="406" t="inlineStr">
        <is>
          <t>S1</t>
        </is>
      </c>
      <c r="G125" s="406" t="inlineStr">
        <is>
          <t>Model Mapping</t>
        </is>
      </c>
      <c r="H125" s="426" t="inlineStr">
        <is>
          <t>https://attack.mitre.org/techniques/T0866</t>
        </is>
      </c>
    </row>
    <row r="126" ht="27.75" customHeight="1" s="508">
      <c r="A126" s="406" t="inlineStr">
        <is>
          <t>Destructive or Integrity Attack</t>
        </is>
      </c>
      <c r="B126" s="406" t="inlineStr">
        <is>
          <t>T0866</t>
        </is>
      </c>
      <c r="C126" s="406" t="inlineStr">
        <is>
          <t>Exploitation of Remote Services</t>
        </is>
      </c>
      <c r="D126" s="406" t="inlineStr">
        <is>
          <t>Initial Access, Lateral Movement</t>
        </is>
      </c>
      <c r="E126" s="406" t="inlineStr">
        <is>
          <t>Candidate enabling technique</t>
        </is>
      </c>
      <c r="F126" s="406" t="inlineStr">
        <is>
          <t>S1</t>
        </is>
      </c>
      <c r="G126" s="406" t="inlineStr">
        <is>
          <t>Model Mapping</t>
        </is>
      </c>
      <c r="H126" s="426" t="inlineStr">
        <is>
          <t>https://attack.mitre.org/techniques/T0866</t>
        </is>
      </c>
    </row>
    <row r="127" ht="27.75" customHeight="1" s="508">
      <c r="A127" s="406" t="inlineStr">
        <is>
          <t>Operational Disruption</t>
        </is>
      </c>
      <c r="B127" s="406" t="inlineStr">
        <is>
          <t>T0822</t>
        </is>
      </c>
      <c r="C127" s="406" t="inlineStr">
        <is>
          <t>External Remote Services</t>
        </is>
      </c>
      <c r="D127" s="406" t="inlineStr">
        <is>
          <t>Initial Access</t>
        </is>
      </c>
      <c r="E127" s="406" t="inlineStr">
        <is>
          <t>Candidate enabling technique</t>
        </is>
      </c>
      <c r="F127" s="406" t="inlineStr">
        <is>
          <t>S1</t>
        </is>
      </c>
      <c r="G127" s="406" t="inlineStr">
        <is>
          <t>Model Mapping</t>
        </is>
      </c>
      <c r="H127" s="426" t="inlineStr">
        <is>
          <t>https://attack.mitre.org/techniques/T0822</t>
        </is>
      </c>
    </row>
    <row r="128" ht="27.75" customHeight="1" s="508">
      <c r="A128" s="406" t="inlineStr">
        <is>
          <t>Loss of Control or Visibility</t>
        </is>
      </c>
      <c r="B128" s="406" t="inlineStr">
        <is>
          <t>T0822</t>
        </is>
      </c>
      <c r="C128" s="406" t="inlineStr">
        <is>
          <t>External Remote Services</t>
        </is>
      </c>
      <c r="D128" s="406" t="inlineStr">
        <is>
          <t>Initial Access</t>
        </is>
      </c>
      <c r="E128" s="406" t="inlineStr">
        <is>
          <t>Candidate enabling technique</t>
        </is>
      </c>
      <c r="F128" s="406" t="inlineStr">
        <is>
          <t>S1</t>
        </is>
      </c>
      <c r="G128" s="406" t="inlineStr">
        <is>
          <t>Model Mapping</t>
        </is>
      </c>
      <c r="H128" s="426" t="inlineStr">
        <is>
          <t>https://attack.mitre.org/techniques/T0822</t>
        </is>
      </c>
    </row>
    <row r="129" ht="27.75" customHeight="1" s="508">
      <c r="A129" s="406" t="inlineStr">
        <is>
          <t>Process Manipulation</t>
        </is>
      </c>
      <c r="B129" s="406" t="inlineStr">
        <is>
          <t>T0822</t>
        </is>
      </c>
      <c r="C129" s="406" t="inlineStr">
        <is>
          <t>External Remote Services</t>
        </is>
      </c>
      <c r="D129" s="406" t="inlineStr">
        <is>
          <t>Initial Access</t>
        </is>
      </c>
      <c r="E129" s="406" t="inlineStr">
        <is>
          <t>Candidate enabling technique</t>
        </is>
      </c>
      <c r="F129" s="406" t="inlineStr">
        <is>
          <t>S1</t>
        </is>
      </c>
      <c r="G129" s="406" t="inlineStr">
        <is>
          <t>Model Mapping</t>
        </is>
      </c>
      <c r="H129" s="426" t="inlineStr">
        <is>
          <t>https://attack.mitre.org/techniques/T0822</t>
        </is>
      </c>
    </row>
    <row r="130" ht="27.75" customHeight="1" s="508">
      <c r="A130" s="406" t="inlineStr">
        <is>
          <t>Safety System Compromise</t>
        </is>
      </c>
      <c r="B130" s="406" t="inlineStr">
        <is>
          <t>T0822</t>
        </is>
      </c>
      <c r="C130" s="406" t="inlineStr">
        <is>
          <t>External Remote Services</t>
        </is>
      </c>
      <c r="D130" s="406" t="inlineStr">
        <is>
          <t>Initial Access</t>
        </is>
      </c>
      <c r="E130" s="406" t="inlineStr">
        <is>
          <t>Candidate enabling technique</t>
        </is>
      </c>
      <c r="F130" s="406" t="inlineStr">
        <is>
          <t>S1</t>
        </is>
      </c>
      <c r="G130" s="406" t="inlineStr">
        <is>
          <t>Model Mapping</t>
        </is>
      </c>
      <c r="H130" s="426" t="inlineStr">
        <is>
          <t>https://attack.mitre.org/techniques/T0822</t>
        </is>
      </c>
    </row>
    <row r="131" ht="27.75" customHeight="1" s="508">
      <c r="A131" s="406" t="inlineStr">
        <is>
          <t>Destructive or Integrity Attack</t>
        </is>
      </c>
      <c r="B131" s="406" t="inlineStr">
        <is>
          <t>T0822</t>
        </is>
      </c>
      <c r="C131" s="406" t="inlineStr">
        <is>
          <t>External Remote Services</t>
        </is>
      </c>
      <c r="D131" s="406" t="inlineStr">
        <is>
          <t>Initial Access</t>
        </is>
      </c>
      <c r="E131" s="406" t="inlineStr">
        <is>
          <t>Candidate enabling technique</t>
        </is>
      </c>
      <c r="F131" s="406" t="inlineStr">
        <is>
          <t>S1</t>
        </is>
      </c>
      <c r="G131" s="406" t="inlineStr">
        <is>
          <t>Model Mapping</t>
        </is>
      </c>
      <c r="H131" s="426" t="inlineStr">
        <is>
          <t>https://attack.mitre.org/techniques/T0822</t>
        </is>
      </c>
    </row>
    <row r="132" ht="27.75" customHeight="1" s="508">
      <c r="A132" s="406" t="inlineStr">
        <is>
          <t>Operational Disruption</t>
        </is>
      </c>
      <c r="B132" s="406" t="inlineStr">
        <is>
          <t>T0823</t>
        </is>
      </c>
      <c r="C132" s="406" t="inlineStr">
        <is>
          <t>Graphical User Interface</t>
        </is>
      </c>
      <c r="D132" s="406" t="inlineStr">
        <is>
          <t>Execution</t>
        </is>
      </c>
      <c r="E132" s="406" t="inlineStr">
        <is>
          <t>Candidate enabling technique</t>
        </is>
      </c>
      <c r="F132" s="406" t="inlineStr">
        <is>
          <t>S2</t>
        </is>
      </c>
      <c r="G132" s="406" t="inlineStr">
        <is>
          <t>Model Mapping</t>
        </is>
      </c>
      <c r="H132" s="426" t="inlineStr">
        <is>
          <t>https://attack.mitre.org/techniques/T0823</t>
        </is>
      </c>
    </row>
    <row r="133" ht="27.75" customHeight="1" s="508">
      <c r="A133" s="406" t="inlineStr">
        <is>
          <t>Loss of Control or Visibility</t>
        </is>
      </c>
      <c r="B133" s="406" t="inlineStr">
        <is>
          <t>T0823</t>
        </is>
      </c>
      <c r="C133" s="406" t="inlineStr">
        <is>
          <t>Graphical User Interface</t>
        </is>
      </c>
      <c r="D133" s="406" t="inlineStr">
        <is>
          <t>Execution</t>
        </is>
      </c>
      <c r="E133" s="406" t="inlineStr">
        <is>
          <t>Candidate enabling technique</t>
        </is>
      </c>
      <c r="F133" s="406" t="inlineStr">
        <is>
          <t>S2</t>
        </is>
      </c>
      <c r="G133" s="406" t="inlineStr">
        <is>
          <t>Model Mapping</t>
        </is>
      </c>
      <c r="H133" s="426" t="inlineStr">
        <is>
          <t>https://attack.mitre.org/techniques/T0823</t>
        </is>
      </c>
    </row>
    <row r="134" ht="27.75" customHeight="1" s="508">
      <c r="A134" s="406" t="inlineStr">
        <is>
          <t>Process Manipulation</t>
        </is>
      </c>
      <c r="B134" s="406" t="inlineStr">
        <is>
          <t>T0823</t>
        </is>
      </c>
      <c r="C134" s="406" t="inlineStr">
        <is>
          <t>Graphical User Interface</t>
        </is>
      </c>
      <c r="D134" s="406" t="inlineStr">
        <is>
          <t>Execution</t>
        </is>
      </c>
      <c r="E134" s="406" t="inlineStr">
        <is>
          <t>Candidate enabling technique</t>
        </is>
      </c>
      <c r="F134" s="406" t="inlineStr">
        <is>
          <t>S2</t>
        </is>
      </c>
      <c r="G134" s="406" t="inlineStr">
        <is>
          <t>Model Mapping</t>
        </is>
      </c>
      <c r="H134" s="426" t="inlineStr">
        <is>
          <t>https://attack.mitre.org/techniques/T0823</t>
        </is>
      </c>
    </row>
    <row r="135" ht="27.75" customHeight="1" s="508">
      <c r="A135" s="406" t="inlineStr">
        <is>
          <t>Safety System Compromise</t>
        </is>
      </c>
      <c r="B135" s="406" t="inlineStr">
        <is>
          <t>T0823</t>
        </is>
      </c>
      <c r="C135" s="406" t="inlineStr">
        <is>
          <t>Graphical User Interface</t>
        </is>
      </c>
      <c r="D135" s="406" t="inlineStr">
        <is>
          <t>Execution</t>
        </is>
      </c>
      <c r="E135" s="406" t="inlineStr">
        <is>
          <t>Candidate enabling technique</t>
        </is>
      </c>
      <c r="F135" s="406" t="inlineStr">
        <is>
          <t>S2</t>
        </is>
      </c>
      <c r="G135" s="406" t="inlineStr">
        <is>
          <t>Model Mapping</t>
        </is>
      </c>
      <c r="H135" s="426" t="inlineStr">
        <is>
          <t>https://attack.mitre.org/techniques/T0823</t>
        </is>
      </c>
    </row>
    <row r="136" ht="27.75" customHeight="1" s="508">
      <c r="A136" s="406" t="inlineStr">
        <is>
          <t>Destructive or Integrity Attack</t>
        </is>
      </c>
      <c r="B136" s="406" t="inlineStr">
        <is>
          <t>T0823</t>
        </is>
      </c>
      <c r="C136" s="406" t="inlineStr">
        <is>
          <t>Graphical User Interface</t>
        </is>
      </c>
      <c r="D136" s="406" t="inlineStr">
        <is>
          <t>Execution</t>
        </is>
      </c>
      <c r="E136" s="406" t="inlineStr">
        <is>
          <t>Candidate enabling technique</t>
        </is>
      </c>
      <c r="F136" s="406" t="inlineStr">
        <is>
          <t>S2</t>
        </is>
      </c>
      <c r="G136" s="406" t="inlineStr">
        <is>
          <t>Model Mapping</t>
        </is>
      </c>
      <c r="H136" s="426" t="inlineStr">
        <is>
          <t>https://attack.mitre.org/techniques/T0823</t>
        </is>
      </c>
    </row>
    <row r="137" ht="27.75" customHeight="1" s="508">
      <c r="A137" s="406" t="inlineStr">
        <is>
          <t>Operational Disruption</t>
        </is>
      </c>
      <c r="B137" s="406" t="inlineStr">
        <is>
          <t>T1694.002</t>
        </is>
      </c>
      <c r="C137" s="406" t="inlineStr">
        <is>
          <t>Hardcoded Credentials</t>
        </is>
      </c>
      <c r="D137" s="406" t="inlineStr">
        <is>
          <t>Lateral Movement, Persistence</t>
        </is>
      </c>
      <c r="E137" s="406" t="inlineStr">
        <is>
          <t>Candidate enabling technique</t>
        </is>
      </c>
      <c r="F137" s="406" t="inlineStr">
        <is>
          <t>S3</t>
        </is>
      </c>
      <c r="G137" s="406" t="inlineStr">
        <is>
          <t>Model Mapping</t>
        </is>
      </c>
      <c r="H137" s="426" t="inlineStr">
        <is>
          <t>https://attack.mitre.org/techniques/T1694/002</t>
        </is>
      </c>
    </row>
    <row r="138" ht="27.75" customHeight="1" s="508">
      <c r="A138" s="406" t="inlineStr">
        <is>
          <t>Loss of Control or Visibility</t>
        </is>
      </c>
      <c r="B138" s="406" t="inlineStr">
        <is>
          <t>T1694.002</t>
        </is>
      </c>
      <c r="C138" s="406" t="inlineStr">
        <is>
          <t>Hardcoded Credentials</t>
        </is>
      </c>
      <c r="D138" s="406" t="inlineStr">
        <is>
          <t>Lateral Movement, Persistence</t>
        </is>
      </c>
      <c r="E138" s="406" t="inlineStr">
        <is>
          <t>Candidate enabling technique</t>
        </is>
      </c>
      <c r="F138" s="406" t="inlineStr">
        <is>
          <t>S3</t>
        </is>
      </c>
      <c r="G138" s="406" t="inlineStr">
        <is>
          <t>Model Mapping</t>
        </is>
      </c>
      <c r="H138" s="426" t="inlineStr">
        <is>
          <t>https://attack.mitre.org/techniques/T1694/002</t>
        </is>
      </c>
    </row>
    <row r="139" ht="27.75" customHeight="1" s="508">
      <c r="A139" s="406" t="inlineStr">
        <is>
          <t>Process Manipulation</t>
        </is>
      </c>
      <c r="B139" s="406" t="inlineStr">
        <is>
          <t>T1694.002</t>
        </is>
      </c>
      <c r="C139" s="406" t="inlineStr">
        <is>
          <t>Hardcoded Credentials</t>
        </is>
      </c>
      <c r="D139" s="406" t="inlineStr">
        <is>
          <t>Lateral Movement, Persistence</t>
        </is>
      </c>
      <c r="E139" s="406" t="inlineStr">
        <is>
          <t>Candidate enabling technique</t>
        </is>
      </c>
      <c r="F139" s="406" t="inlineStr">
        <is>
          <t>S3</t>
        </is>
      </c>
      <c r="G139" s="406" t="inlineStr">
        <is>
          <t>Model Mapping</t>
        </is>
      </c>
      <c r="H139" s="426" t="inlineStr">
        <is>
          <t>https://attack.mitre.org/techniques/T1694/002</t>
        </is>
      </c>
    </row>
    <row r="140" ht="27.75" customHeight="1" s="508">
      <c r="A140" s="406" t="inlineStr">
        <is>
          <t>Safety System Compromise</t>
        </is>
      </c>
      <c r="B140" s="406" t="inlineStr">
        <is>
          <t>T1694.002</t>
        </is>
      </c>
      <c r="C140" s="406" t="inlineStr">
        <is>
          <t>Hardcoded Credentials</t>
        </is>
      </c>
      <c r="D140" s="406" t="inlineStr">
        <is>
          <t>Lateral Movement, Persistence</t>
        </is>
      </c>
      <c r="E140" s="406" t="inlineStr">
        <is>
          <t>Candidate enabling technique</t>
        </is>
      </c>
      <c r="F140" s="406" t="inlineStr">
        <is>
          <t>S3</t>
        </is>
      </c>
      <c r="G140" s="406" t="inlineStr">
        <is>
          <t>Model Mapping</t>
        </is>
      </c>
      <c r="H140" s="426" t="inlineStr">
        <is>
          <t>https://attack.mitre.org/techniques/T1694/002</t>
        </is>
      </c>
    </row>
    <row r="141" ht="27.75" customHeight="1" s="508">
      <c r="A141" s="406" t="inlineStr">
        <is>
          <t>Destructive or Integrity Attack</t>
        </is>
      </c>
      <c r="B141" s="406" t="inlineStr">
        <is>
          <t>T1694.002</t>
        </is>
      </c>
      <c r="C141" s="406" t="inlineStr">
        <is>
          <t>Hardcoded Credentials</t>
        </is>
      </c>
      <c r="D141" s="406" t="inlineStr">
        <is>
          <t>Lateral Movement, Persistence</t>
        </is>
      </c>
      <c r="E141" s="406" t="inlineStr">
        <is>
          <t>Candidate enabling technique</t>
        </is>
      </c>
      <c r="F141" s="406" t="inlineStr">
        <is>
          <t>S3</t>
        </is>
      </c>
      <c r="G141" s="406" t="inlineStr">
        <is>
          <t>Model Mapping</t>
        </is>
      </c>
      <c r="H141" s="426" t="inlineStr">
        <is>
          <t>https://attack.mitre.org/techniques/T1694/002</t>
        </is>
      </c>
    </row>
    <row r="142" ht="27.75" customHeight="1" s="508">
      <c r="A142" s="406" t="inlineStr">
        <is>
          <t>Operational Disruption</t>
        </is>
      </c>
      <c r="B142" s="406" t="inlineStr">
        <is>
          <t>T0874</t>
        </is>
      </c>
      <c r="C142" s="406" t="inlineStr">
        <is>
          <t>Hooking</t>
        </is>
      </c>
      <c r="D142" s="406" t="inlineStr">
        <is>
          <t>Execution, Privilege Escalation</t>
        </is>
      </c>
      <c r="E142" s="406" t="inlineStr">
        <is>
          <t>Candidate enabling technique</t>
        </is>
      </c>
      <c r="F142" s="406" t="inlineStr">
        <is>
          <t>S2</t>
        </is>
      </c>
      <c r="G142" s="406" t="inlineStr">
        <is>
          <t>Model Mapping</t>
        </is>
      </c>
      <c r="H142" s="426" t="inlineStr">
        <is>
          <t>https://attack.mitre.org/techniques/T0874</t>
        </is>
      </c>
    </row>
    <row r="143" ht="27.75" customHeight="1" s="508">
      <c r="A143" s="406" t="inlineStr">
        <is>
          <t>Loss of Control or Visibility</t>
        </is>
      </c>
      <c r="B143" s="406" t="inlineStr">
        <is>
          <t>T0874</t>
        </is>
      </c>
      <c r="C143" s="406" t="inlineStr">
        <is>
          <t>Hooking</t>
        </is>
      </c>
      <c r="D143" s="406" t="inlineStr">
        <is>
          <t>Execution, Privilege Escalation</t>
        </is>
      </c>
      <c r="E143" s="406" t="inlineStr">
        <is>
          <t>Candidate enabling technique</t>
        </is>
      </c>
      <c r="F143" s="406" t="inlineStr">
        <is>
          <t>S2</t>
        </is>
      </c>
      <c r="G143" s="406" t="inlineStr">
        <is>
          <t>Model Mapping</t>
        </is>
      </c>
      <c r="H143" s="426" t="inlineStr">
        <is>
          <t>https://attack.mitre.org/techniques/T0874</t>
        </is>
      </c>
    </row>
    <row r="144" ht="27.75" customHeight="1" s="508">
      <c r="A144" s="406" t="inlineStr">
        <is>
          <t>Process Manipulation</t>
        </is>
      </c>
      <c r="B144" s="406" t="inlineStr">
        <is>
          <t>T0874</t>
        </is>
      </c>
      <c r="C144" s="406" t="inlineStr">
        <is>
          <t>Hooking</t>
        </is>
      </c>
      <c r="D144" s="406" t="inlineStr">
        <is>
          <t>Execution, Privilege Escalation</t>
        </is>
      </c>
      <c r="E144" s="406" t="inlineStr">
        <is>
          <t>Candidate enabling technique</t>
        </is>
      </c>
      <c r="F144" s="406" t="inlineStr">
        <is>
          <t>S2</t>
        </is>
      </c>
      <c r="G144" s="406" t="inlineStr">
        <is>
          <t>Model Mapping</t>
        </is>
      </c>
      <c r="H144" s="426" t="inlineStr">
        <is>
          <t>https://attack.mitre.org/techniques/T0874</t>
        </is>
      </c>
    </row>
    <row r="145" ht="27.75" customHeight="1" s="508">
      <c r="A145" s="406" t="inlineStr">
        <is>
          <t>Safety System Compromise</t>
        </is>
      </c>
      <c r="B145" s="406" t="inlineStr">
        <is>
          <t>T0874</t>
        </is>
      </c>
      <c r="C145" s="406" t="inlineStr">
        <is>
          <t>Hooking</t>
        </is>
      </c>
      <c r="D145" s="406" t="inlineStr">
        <is>
          <t>Execution, Privilege Escalation</t>
        </is>
      </c>
      <c r="E145" s="406" t="inlineStr">
        <is>
          <t>Candidate enabling technique</t>
        </is>
      </c>
      <c r="F145" s="406" t="inlineStr">
        <is>
          <t>S2</t>
        </is>
      </c>
      <c r="G145" s="406" t="inlineStr">
        <is>
          <t>Model Mapping</t>
        </is>
      </c>
      <c r="H145" s="426" t="inlineStr">
        <is>
          <t>https://attack.mitre.org/techniques/T0874</t>
        </is>
      </c>
    </row>
    <row r="146" ht="27.75" customHeight="1" s="508">
      <c r="A146" s="406" t="inlineStr">
        <is>
          <t>Destructive or Integrity Attack</t>
        </is>
      </c>
      <c r="B146" s="406" t="inlineStr">
        <is>
          <t>T0874</t>
        </is>
      </c>
      <c r="C146" s="406" t="inlineStr">
        <is>
          <t>Hooking</t>
        </is>
      </c>
      <c r="D146" s="406" t="inlineStr">
        <is>
          <t>Execution, Privilege Escalation</t>
        </is>
      </c>
      <c r="E146" s="406" t="inlineStr">
        <is>
          <t>Candidate enabling technique</t>
        </is>
      </c>
      <c r="F146" s="406" t="inlineStr">
        <is>
          <t>S2</t>
        </is>
      </c>
      <c r="G146" s="406" t="inlineStr">
        <is>
          <t>Model Mapping</t>
        </is>
      </c>
      <c r="H146" s="426" t="inlineStr">
        <is>
          <t>https://attack.mitre.org/techniques/T0874</t>
        </is>
      </c>
    </row>
    <row r="147" ht="27.75" customHeight="1" s="508">
      <c r="A147" s="406" t="inlineStr">
        <is>
          <t>Operational Disruption</t>
        </is>
      </c>
      <c r="B147" s="406" t="inlineStr">
        <is>
          <t>T0877</t>
        </is>
      </c>
      <c r="C147" s="406" t="inlineStr">
        <is>
          <t>I/O Image</t>
        </is>
      </c>
      <c r="D147" s="406" t="inlineStr">
        <is>
          <t>Collection</t>
        </is>
      </c>
      <c r="E147" s="406" t="inlineStr">
        <is>
          <t>Candidate enabling technique</t>
        </is>
      </c>
      <c r="F147" s="406" t="inlineStr">
        <is>
          <t>S4</t>
        </is>
      </c>
      <c r="G147" s="406" t="inlineStr">
        <is>
          <t>Model Mapping</t>
        </is>
      </c>
      <c r="H147" s="426" t="inlineStr">
        <is>
          <t>https://attack.mitre.org/techniques/T0877</t>
        </is>
      </c>
    </row>
    <row r="148" ht="27.75" customHeight="1" s="508">
      <c r="A148" s="406" t="inlineStr">
        <is>
          <t>Loss of Control or Visibility</t>
        </is>
      </c>
      <c r="B148" s="406" t="inlineStr">
        <is>
          <t>T0877</t>
        </is>
      </c>
      <c r="C148" s="406" t="inlineStr">
        <is>
          <t>I/O Image</t>
        </is>
      </c>
      <c r="D148" s="406" t="inlineStr">
        <is>
          <t>Collection</t>
        </is>
      </c>
      <c r="E148" s="406" t="inlineStr">
        <is>
          <t>Candidate enabling technique</t>
        </is>
      </c>
      <c r="F148" s="406" t="inlineStr">
        <is>
          <t>S4</t>
        </is>
      </c>
      <c r="G148" s="406" t="inlineStr">
        <is>
          <t>Model Mapping</t>
        </is>
      </c>
      <c r="H148" s="426" t="inlineStr">
        <is>
          <t>https://attack.mitre.org/techniques/T0877</t>
        </is>
      </c>
    </row>
    <row r="149" ht="27.75" customHeight="1" s="508">
      <c r="A149" s="406" t="inlineStr">
        <is>
          <t>Process Manipulation</t>
        </is>
      </c>
      <c r="B149" s="406" t="inlineStr">
        <is>
          <t>T0877</t>
        </is>
      </c>
      <c r="C149" s="406" t="inlineStr">
        <is>
          <t>I/O Image</t>
        </is>
      </c>
      <c r="D149" s="406" t="inlineStr">
        <is>
          <t>Collection</t>
        </is>
      </c>
      <c r="E149" s="406" t="inlineStr">
        <is>
          <t>Candidate enabling technique</t>
        </is>
      </c>
      <c r="F149" s="406" t="inlineStr">
        <is>
          <t>S4</t>
        </is>
      </c>
      <c r="G149" s="406" t="inlineStr">
        <is>
          <t>Model Mapping</t>
        </is>
      </c>
      <c r="H149" s="426" t="inlineStr">
        <is>
          <t>https://attack.mitre.org/techniques/T0877</t>
        </is>
      </c>
    </row>
    <row r="150" ht="27.75" customHeight="1" s="508">
      <c r="A150" s="406" t="inlineStr">
        <is>
          <t>Safety System Compromise</t>
        </is>
      </c>
      <c r="B150" s="406" t="inlineStr">
        <is>
          <t>T0877</t>
        </is>
      </c>
      <c r="C150" s="406" t="inlineStr">
        <is>
          <t>I/O Image</t>
        </is>
      </c>
      <c r="D150" s="406" t="inlineStr">
        <is>
          <t>Collection</t>
        </is>
      </c>
      <c r="E150" s="406" t="inlineStr">
        <is>
          <t>Candidate enabling technique</t>
        </is>
      </c>
      <c r="F150" s="406" t="inlineStr">
        <is>
          <t>S4</t>
        </is>
      </c>
      <c r="G150" s="406" t="inlineStr">
        <is>
          <t>Model Mapping</t>
        </is>
      </c>
      <c r="H150" s="426" t="inlineStr">
        <is>
          <t>https://attack.mitre.org/techniques/T0877</t>
        </is>
      </c>
    </row>
    <row r="151" ht="27.75" customHeight="1" s="508">
      <c r="A151" s="406" t="inlineStr">
        <is>
          <t>Destructive or Integrity Attack</t>
        </is>
      </c>
      <c r="B151" s="406" t="inlineStr">
        <is>
          <t>T0877</t>
        </is>
      </c>
      <c r="C151" s="406" t="inlineStr">
        <is>
          <t>I/O Image</t>
        </is>
      </c>
      <c r="D151" s="406" t="inlineStr">
        <is>
          <t>Collection</t>
        </is>
      </c>
      <c r="E151" s="406" t="inlineStr">
        <is>
          <t>Candidate enabling technique</t>
        </is>
      </c>
      <c r="F151" s="406" t="inlineStr">
        <is>
          <t>S4</t>
        </is>
      </c>
      <c r="G151" s="406" t="inlineStr">
        <is>
          <t>Model Mapping</t>
        </is>
      </c>
      <c r="H151" s="426" t="inlineStr">
        <is>
          <t>https://attack.mitre.org/techniques/T0877</t>
        </is>
      </c>
    </row>
    <row r="152" ht="27.75" customHeight="1" s="508">
      <c r="A152" s="406" t="inlineStr">
        <is>
          <t>Operational Disruption</t>
        </is>
      </c>
      <c r="B152" s="406" t="inlineStr">
        <is>
          <t>T0872</t>
        </is>
      </c>
      <c r="C152" s="406" t="inlineStr">
        <is>
          <t>Indicator Removal on Host</t>
        </is>
      </c>
      <c r="D152" s="406" t="inlineStr">
        <is>
          <t>Evasion</t>
        </is>
      </c>
      <c r="E152" s="406" t="inlineStr">
        <is>
          <t>Candidate enabling technique</t>
        </is>
      </c>
      <c r="F152" s="406" t="inlineStr">
        <is>
          <t>S2</t>
        </is>
      </c>
      <c r="G152" s="406" t="inlineStr">
        <is>
          <t>Model Mapping</t>
        </is>
      </c>
      <c r="H152" s="426" t="inlineStr">
        <is>
          <t>https://attack.mitre.org/techniques/T0872</t>
        </is>
      </c>
    </row>
    <row r="153" ht="27.75" customHeight="1" s="508">
      <c r="A153" s="406" t="inlineStr">
        <is>
          <t>Loss of Control or Visibility</t>
        </is>
      </c>
      <c r="B153" s="406" t="inlineStr">
        <is>
          <t>T0872</t>
        </is>
      </c>
      <c r="C153" s="406" t="inlineStr">
        <is>
          <t>Indicator Removal on Host</t>
        </is>
      </c>
      <c r="D153" s="406" t="inlineStr">
        <is>
          <t>Evasion</t>
        </is>
      </c>
      <c r="E153" s="406" t="inlineStr">
        <is>
          <t>Candidate enabling technique</t>
        </is>
      </c>
      <c r="F153" s="406" t="inlineStr">
        <is>
          <t>S2</t>
        </is>
      </c>
      <c r="G153" s="406" t="inlineStr">
        <is>
          <t>Model Mapping</t>
        </is>
      </c>
      <c r="H153" s="426" t="inlineStr">
        <is>
          <t>https://attack.mitre.org/techniques/T0872</t>
        </is>
      </c>
    </row>
    <row r="154" ht="27.75" customHeight="1" s="508">
      <c r="A154" s="406" t="inlineStr">
        <is>
          <t>Process Manipulation</t>
        </is>
      </c>
      <c r="B154" s="406" t="inlineStr">
        <is>
          <t>T0872</t>
        </is>
      </c>
      <c r="C154" s="406" t="inlineStr">
        <is>
          <t>Indicator Removal on Host</t>
        </is>
      </c>
      <c r="D154" s="406" t="inlineStr">
        <is>
          <t>Evasion</t>
        </is>
      </c>
      <c r="E154" s="406" t="inlineStr">
        <is>
          <t>Candidate enabling technique</t>
        </is>
      </c>
      <c r="F154" s="406" t="inlineStr">
        <is>
          <t>S2</t>
        </is>
      </c>
      <c r="G154" s="406" t="inlineStr">
        <is>
          <t>Model Mapping</t>
        </is>
      </c>
      <c r="H154" s="426" t="inlineStr">
        <is>
          <t>https://attack.mitre.org/techniques/T0872</t>
        </is>
      </c>
    </row>
    <row r="155" ht="27.75" customHeight="1" s="508">
      <c r="A155" s="406" t="inlineStr">
        <is>
          <t>Safety System Compromise</t>
        </is>
      </c>
      <c r="B155" s="406" t="inlineStr">
        <is>
          <t>T0872</t>
        </is>
      </c>
      <c r="C155" s="406" t="inlineStr">
        <is>
          <t>Indicator Removal on Host</t>
        </is>
      </c>
      <c r="D155" s="406" t="inlineStr">
        <is>
          <t>Evasion</t>
        </is>
      </c>
      <c r="E155" s="406" t="inlineStr">
        <is>
          <t>Candidate enabling technique</t>
        </is>
      </c>
      <c r="F155" s="406" t="inlineStr">
        <is>
          <t>S2</t>
        </is>
      </c>
      <c r="G155" s="406" t="inlineStr">
        <is>
          <t>Model Mapping</t>
        </is>
      </c>
      <c r="H155" s="426" t="inlineStr">
        <is>
          <t>https://attack.mitre.org/techniques/T0872</t>
        </is>
      </c>
    </row>
    <row r="156" ht="27.75" customHeight="1" s="508">
      <c r="A156" s="406" t="inlineStr">
        <is>
          <t>Destructive or Integrity Attack</t>
        </is>
      </c>
      <c r="B156" s="406" t="inlineStr">
        <is>
          <t>T0872</t>
        </is>
      </c>
      <c r="C156" s="406" t="inlineStr">
        <is>
          <t>Indicator Removal on Host</t>
        </is>
      </c>
      <c r="D156" s="406" t="inlineStr">
        <is>
          <t>Evasion</t>
        </is>
      </c>
      <c r="E156" s="406" t="inlineStr">
        <is>
          <t>Candidate enabling technique</t>
        </is>
      </c>
      <c r="F156" s="406" t="inlineStr">
        <is>
          <t>S2</t>
        </is>
      </c>
      <c r="G156" s="406" t="inlineStr">
        <is>
          <t>Model Mapping</t>
        </is>
      </c>
      <c r="H156" s="426" t="inlineStr">
        <is>
          <t>https://attack.mitre.org/techniques/T0872</t>
        </is>
      </c>
    </row>
    <row r="157" ht="122.25" customHeight="1" s="508">
      <c r="A157" s="406" t="inlineStr">
        <is>
          <t>Operational Disruption</t>
        </is>
      </c>
      <c r="B157" s="406" t="inlineStr">
        <is>
          <t>T1694</t>
        </is>
      </c>
      <c r="C157" s="406" t="inlineStr">
        <is>
          <t>Insecure Credentials</t>
        </is>
      </c>
      <c r="D157" s="406" t="inlineStr">
        <is>
          <t>Lateral Movement, Persistence</t>
        </is>
      </c>
      <c r="E157" s="406" t="inlineStr">
        <is>
          <t>Excluded — parent/sub duplicate</t>
        </is>
      </c>
      <c r="F157" s="406" t="inlineStr">
        <is>
          <t>S3</t>
        </is>
      </c>
      <c r="G157" s="406" t="inlineStr">
        <is>
          <t>SUPPRESSED v1.2: parent technique carries no separate weight where applicable sub-techniques are mapped in the same scenario. Prevents one underlying behaviour receiving multiple weights in the stage barrier.</t>
        </is>
      </c>
      <c r="H157" s="426" t="inlineStr">
        <is>
          <t>https://attack.mitre.org/techniques/T1694</t>
        </is>
      </c>
    </row>
    <row r="158" ht="122.25" customHeight="1" s="508">
      <c r="A158" s="406" t="inlineStr">
        <is>
          <t>Loss of Control or Visibility</t>
        </is>
      </c>
      <c r="B158" s="406" t="inlineStr">
        <is>
          <t>T1694</t>
        </is>
      </c>
      <c r="C158" s="406" t="inlineStr">
        <is>
          <t>Insecure Credentials</t>
        </is>
      </c>
      <c r="D158" s="406" t="inlineStr">
        <is>
          <t>Lateral Movement, Persistence</t>
        </is>
      </c>
      <c r="E158" s="406" t="inlineStr">
        <is>
          <t>Excluded — parent/sub duplicate</t>
        </is>
      </c>
      <c r="F158" s="406" t="inlineStr">
        <is>
          <t>S3</t>
        </is>
      </c>
      <c r="G158" s="406" t="inlineStr">
        <is>
          <t>SUPPRESSED v1.2: parent technique carries no separate weight where applicable sub-techniques are mapped in the same scenario. Prevents one underlying behaviour receiving multiple weights in the stage barrier.</t>
        </is>
      </c>
      <c r="H158" s="426" t="inlineStr">
        <is>
          <t>https://attack.mitre.org/techniques/T1694</t>
        </is>
      </c>
    </row>
    <row r="159" ht="122.25" customHeight="1" s="508">
      <c r="A159" s="406" t="inlineStr">
        <is>
          <t>Process Manipulation</t>
        </is>
      </c>
      <c r="B159" s="406" t="inlineStr">
        <is>
          <t>T1694</t>
        </is>
      </c>
      <c r="C159" s="406" t="inlineStr">
        <is>
          <t>Insecure Credentials</t>
        </is>
      </c>
      <c r="D159" s="406" t="inlineStr">
        <is>
          <t>Lateral Movement, Persistence</t>
        </is>
      </c>
      <c r="E159" s="406" t="inlineStr">
        <is>
          <t>Excluded — parent/sub duplicate</t>
        </is>
      </c>
      <c r="F159" s="406" t="inlineStr">
        <is>
          <t>S3</t>
        </is>
      </c>
      <c r="G159" s="406" t="inlineStr">
        <is>
          <t>SUPPRESSED v1.2: parent technique carries no separate weight where applicable sub-techniques are mapped in the same scenario. Prevents one underlying behaviour receiving multiple weights in the stage barrier.</t>
        </is>
      </c>
      <c r="H159" s="426" t="inlineStr">
        <is>
          <t>https://attack.mitre.org/techniques/T1694</t>
        </is>
      </c>
    </row>
    <row r="160" ht="122.25" customHeight="1" s="508">
      <c r="A160" s="406" t="inlineStr">
        <is>
          <t>Safety System Compromise</t>
        </is>
      </c>
      <c r="B160" s="406" t="inlineStr">
        <is>
          <t>T1694</t>
        </is>
      </c>
      <c r="C160" s="406" t="inlineStr">
        <is>
          <t>Insecure Credentials</t>
        </is>
      </c>
      <c r="D160" s="406" t="inlineStr">
        <is>
          <t>Lateral Movement, Persistence</t>
        </is>
      </c>
      <c r="E160" s="406" t="inlineStr">
        <is>
          <t>Excluded — parent/sub duplicate</t>
        </is>
      </c>
      <c r="F160" s="406" t="inlineStr">
        <is>
          <t>S3</t>
        </is>
      </c>
      <c r="G160" s="406" t="inlineStr">
        <is>
          <t>SUPPRESSED v1.2: parent technique carries no separate weight where applicable sub-techniques are mapped in the same scenario. Prevents one underlying behaviour receiving multiple weights in the stage barrier.</t>
        </is>
      </c>
      <c r="H160" s="426" t="inlineStr">
        <is>
          <t>https://attack.mitre.org/techniques/T1694</t>
        </is>
      </c>
    </row>
    <row r="161" ht="122.25" customHeight="1" s="508">
      <c r="A161" s="406" t="inlineStr">
        <is>
          <t>Destructive or Integrity Attack</t>
        </is>
      </c>
      <c r="B161" s="406" t="inlineStr">
        <is>
          <t>T1694</t>
        </is>
      </c>
      <c r="C161" s="406" t="inlineStr">
        <is>
          <t>Insecure Credentials</t>
        </is>
      </c>
      <c r="D161" s="406" t="inlineStr">
        <is>
          <t>Lateral Movement, Persistence</t>
        </is>
      </c>
      <c r="E161" s="406" t="inlineStr">
        <is>
          <t>Excluded — parent/sub duplicate</t>
        </is>
      </c>
      <c r="F161" s="406" t="inlineStr">
        <is>
          <t>S3</t>
        </is>
      </c>
      <c r="G161" s="406" t="inlineStr">
        <is>
          <t>SUPPRESSED v1.2: parent technique carries no separate weight where applicable sub-techniques are mapped in the same scenario. Prevents one underlying behaviour receiving multiple weights in the stage barrier.</t>
        </is>
      </c>
      <c r="H161" s="426" t="inlineStr">
        <is>
          <t>https://attack.mitre.org/techniques/T1694</t>
        </is>
      </c>
    </row>
    <row r="162" ht="27.75" customHeight="1" s="508">
      <c r="A162" s="406" t="inlineStr">
        <is>
          <t>Operational Disruption</t>
        </is>
      </c>
      <c r="B162" s="406" t="inlineStr">
        <is>
          <t>T0883</t>
        </is>
      </c>
      <c r="C162" s="406" t="inlineStr">
        <is>
          <t>Internet Accessible Device</t>
        </is>
      </c>
      <c r="D162" s="406" t="inlineStr">
        <is>
          <t>Initial Access</t>
        </is>
      </c>
      <c r="E162" s="406" t="inlineStr">
        <is>
          <t>Candidate enabling technique</t>
        </is>
      </c>
      <c r="F162" s="406" t="inlineStr">
        <is>
          <t>S1</t>
        </is>
      </c>
      <c r="G162" s="406" t="inlineStr">
        <is>
          <t>Model Mapping</t>
        </is>
      </c>
      <c r="H162" s="426" t="inlineStr">
        <is>
          <t>https://attack.mitre.org/techniques/T0883</t>
        </is>
      </c>
    </row>
    <row r="163" ht="27.75" customHeight="1" s="508">
      <c r="A163" s="406" t="inlineStr">
        <is>
          <t>Loss of Control or Visibility</t>
        </is>
      </c>
      <c r="B163" s="406" t="inlineStr">
        <is>
          <t>T0883</t>
        </is>
      </c>
      <c r="C163" s="406" t="inlineStr">
        <is>
          <t>Internet Accessible Device</t>
        </is>
      </c>
      <c r="D163" s="406" t="inlineStr">
        <is>
          <t>Initial Access</t>
        </is>
      </c>
      <c r="E163" s="406" t="inlineStr">
        <is>
          <t>Candidate enabling technique</t>
        </is>
      </c>
      <c r="F163" s="406" t="inlineStr">
        <is>
          <t>S1</t>
        </is>
      </c>
      <c r="G163" s="406" t="inlineStr">
        <is>
          <t>Model Mapping</t>
        </is>
      </c>
      <c r="H163" s="426" t="inlineStr">
        <is>
          <t>https://attack.mitre.org/techniques/T0883</t>
        </is>
      </c>
    </row>
    <row r="164" ht="27.75" customHeight="1" s="508">
      <c r="A164" s="406" t="inlineStr">
        <is>
          <t>Process Manipulation</t>
        </is>
      </c>
      <c r="B164" s="406" t="inlineStr">
        <is>
          <t>T0883</t>
        </is>
      </c>
      <c r="C164" s="406" t="inlineStr">
        <is>
          <t>Internet Accessible Device</t>
        </is>
      </c>
      <c r="D164" s="406" t="inlineStr">
        <is>
          <t>Initial Access</t>
        </is>
      </c>
      <c r="E164" s="406" t="inlineStr">
        <is>
          <t>Candidate enabling technique</t>
        </is>
      </c>
      <c r="F164" s="406" t="inlineStr">
        <is>
          <t>S1</t>
        </is>
      </c>
      <c r="G164" s="406" t="inlineStr">
        <is>
          <t>Model Mapping</t>
        </is>
      </c>
      <c r="H164" s="426" t="inlineStr">
        <is>
          <t>https://attack.mitre.org/techniques/T0883</t>
        </is>
      </c>
    </row>
    <row r="165" ht="27.75" customHeight="1" s="508">
      <c r="A165" s="406" t="inlineStr">
        <is>
          <t>Safety System Compromise</t>
        </is>
      </c>
      <c r="B165" s="406" t="inlineStr">
        <is>
          <t>T0883</t>
        </is>
      </c>
      <c r="C165" s="406" t="inlineStr">
        <is>
          <t>Internet Accessible Device</t>
        </is>
      </c>
      <c r="D165" s="406" t="inlineStr">
        <is>
          <t>Initial Access</t>
        </is>
      </c>
      <c r="E165" s="406" t="inlineStr">
        <is>
          <t>Candidate enabling technique</t>
        </is>
      </c>
      <c r="F165" s="406" t="inlineStr">
        <is>
          <t>S1</t>
        </is>
      </c>
      <c r="G165" s="406" t="inlineStr">
        <is>
          <t>Model Mapping</t>
        </is>
      </c>
      <c r="H165" s="426" t="inlineStr">
        <is>
          <t>https://attack.mitre.org/techniques/T0883</t>
        </is>
      </c>
    </row>
    <row r="166" ht="27.75" customHeight="1" s="508">
      <c r="A166" s="406" t="inlineStr">
        <is>
          <t>Destructive or Integrity Attack</t>
        </is>
      </c>
      <c r="B166" s="406" t="inlineStr">
        <is>
          <t>T0883</t>
        </is>
      </c>
      <c r="C166" s="406" t="inlineStr">
        <is>
          <t>Internet Accessible Device</t>
        </is>
      </c>
      <c r="D166" s="406" t="inlineStr">
        <is>
          <t>Initial Access</t>
        </is>
      </c>
      <c r="E166" s="406" t="inlineStr">
        <is>
          <t>Candidate enabling technique</t>
        </is>
      </c>
      <c r="F166" s="406" t="inlineStr">
        <is>
          <t>S1</t>
        </is>
      </c>
      <c r="G166" s="406" t="inlineStr">
        <is>
          <t>Model Mapping</t>
        </is>
      </c>
      <c r="H166" s="426" t="inlineStr">
        <is>
          <t>https://attack.mitre.org/techniques/T0883</t>
        </is>
      </c>
    </row>
    <row r="167" ht="27.75" customHeight="1" s="508">
      <c r="A167" s="406" t="inlineStr">
        <is>
          <t>Operational Disruption</t>
        </is>
      </c>
      <c r="B167" s="406" t="inlineStr">
        <is>
          <t>T0867</t>
        </is>
      </c>
      <c r="C167" s="406" t="inlineStr">
        <is>
          <t>Lateral Tool Transfer</t>
        </is>
      </c>
      <c r="D167" s="406" t="inlineStr">
        <is>
          <t>Lateral Movement</t>
        </is>
      </c>
      <c r="E167" s="406" t="inlineStr">
        <is>
          <t>Candidate enabling technique</t>
        </is>
      </c>
      <c r="F167" s="406" t="inlineStr">
        <is>
          <t>S3</t>
        </is>
      </c>
      <c r="G167" s="406" t="inlineStr">
        <is>
          <t>Model Mapping</t>
        </is>
      </c>
      <c r="H167" s="426" t="inlineStr">
        <is>
          <t>https://attack.mitre.org/techniques/T0867</t>
        </is>
      </c>
    </row>
    <row r="168" ht="27.75" customHeight="1" s="508">
      <c r="A168" s="406" t="inlineStr">
        <is>
          <t>Loss of Control or Visibility</t>
        </is>
      </c>
      <c r="B168" s="406" t="inlineStr">
        <is>
          <t>T0867</t>
        </is>
      </c>
      <c r="C168" s="406" t="inlineStr">
        <is>
          <t>Lateral Tool Transfer</t>
        </is>
      </c>
      <c r="D168" s="406" t="inlineStr">
        <is>
          <t>Lateral Movement</t>
        </is>
      </c>
      <c r="E168" s="406" t="inlineStr">
        <is>
          <t>Candidate enabling technique</t>
        </is>
      </c>
      <c r="F168" s="406" t="inlineStr">
        <is>
          <t>S3</t>
        </is>
      </c>
      <c r="G168" s="406" t="inlineStr">
        <is>
          <t>Model Mapping</t>
        </is>
      </c>
      <c r="H168" s="426" t="inlineStr">
        <is>
          <t>https://attack.mitre.org/techniques/T0867</t>
        </is>
      </c>
    </row>
    <row r="169" ht="27.75" customHeight="1" s="508">
      <c r="A169" s="406" t="inlineStr">
        <is>
          <t>Process Manipulation</t>
        </is>
      </c>
      <c r="B169" s="406" t="inlineStr">
        <is>
          <t>T0867</t>
        </is>
      </c>
      <c r="C169" s="406" t="inlineStr">
        <is>
          <t>Lateral Tool Transfer</t>
        </is>
      </c>
      <c r="D169" s="406" t="inlineStr">
        <is>
          <t>Lateral Movement</t>
        </is>
      </c>
      <c r="E169" s="406" t="inlineStr">
        <is>
          <t>Candidate enabling technique</t>
        </is>
      </c>
      <c r="F169" s="406" t="inlineStr">
        <is>
          <t>S3</t>
        </is>
      </c>
      <c r="G169" s="406" t="inlineStr">
        <is>
          <t>Model Mapping</t>
        </is>
      </c>
      <c r="H169" s="426" t="inlineStr">
        <is>
          <t>https://attack.mitre.org/techniques/T0867</t>
        </is>
      </c>
    </row>
    <row r="170" ht="27.75" customHeight="1" s="508">
      <c r="A170" s="406" t="inlineStr">
        <is>
          <t>Safety System Compromise</t>
        </is>
      </c>
      <c r="B170" s="406" t="inlineStr">
        <is>
          <t>T0867</t>
        </is>
      </c>
      <c r="C170" s="406" t="inlineStr">
        <is>
          <t>Lateral Tool Transfer</t>
        </is>
      </c>
      <c r="D170" s="406" t="inlineStr">
        <is>
          <t>Lateral Movement</t>
        </is>
      </c>
      <c r="E170" s="406" t="inlineStr">
        <is>
          <t>Candidate enabling technique</t>
        </is>
      </c>
      <c r="F170" s="406" t="inlineStr">
        <is>
          <t>S3</t>
        </is>
      </c>
      <c r="G170" s="406" t="inlineStr">
        <is>
          <t>Model Mapping</t>
        </is>
      </c>
      <c r="H170" s="426" t="inlineStr">
        <is>
          <t>https://attack.mitre.org/techniques/T0867</t>
        </is>
      </c>
    </row>
    <row r="171" ht="27.75" customHeight="1" s="508">
      <c r="A171" s="406" t="inlineStr">
        <is>
          <t>Destructive or Integrity Attack</t>
        </is>
      </c>
      <c r="B171" s="406" t="inlineStr">
        <is>
          <t>T0867</t>
        </is>
      </c>
      <c r="C171" s="406" t="inlineStr">
        <is>
          <t>Lateral Tool Transfer</t>
        </is>
      </c>
      <c r="D171" s="406" t="inlineStr">
        <is>
          <t>Lateral Movement</t>
        </is>
      </c>
      <c r="E171" s="406" t="inlineStr">
        <is>
          <t>Candidate enabling technique</t>
        </is>
      </c>
      <c r="F171" s="406" t="inlineStr">
        <is>
          <t>S3</t>
        </is>
      </c>
      <c r="G171" s="406" t="inlineStr">
        <is>
          <t>Model Mapping</t>
        </is>
      </c>
      <c r="H171" s="426" t="inlineStr">
        <is>
          <t>https://attack.mitre.org/techniques/T0867</t>
        </is>
      </c>
    </row>
    <row r="172" ht="15" customHeight="1" s="508">
      <c r="A172" s="406" t="inlineStr">
        <is>
          <t>Operational Disruption</t>
        </is>
      </c>
      <c r="B172" s="406" t="inlineStr">
        <is>
          <t>T0826</t>
        </is>
      </c>
      <c r="C172" s="406" t="inlineStr">
        <is>
          <t>Loss of Availability</t>
        </is>
      </c>
      <c r="D172" s="406" t="inlineStr">
        <is>
          <t>Impact</t>
        </is>
      </c>
      <c r="E172" s="406" t="inlineStr">
        <is>
          <t>Scenario-defining</t>
        </is>
      </c>
      <c r="F172" s="406" t="inlineStr">
        <is>
          <t>S5</t>
        </is>
      </c>
      <c r="G172" s="406" t="inlineStr">
        <is>
          <t>Model Mapping</t>
        </is>
      </c>
      <c r="H172" s="426" t="inlineStr">
        <is>
          <t>https://attack.mitre.org/techniques/T0826</t>
        </is>
      </c>
    </row>
    <row r="173" ht="15" customHeight="1" s="508">
      <c r="A173" s="406" t="inlineStr">
        <is>
          <t>Loss of Control or Visibility</t>
        </is>
      </c>
      <c r="B173" s="406" t="inlineStr">
        <is>
          <t>T0827</t>
        </is>
      </c>
      <c r="C173" s="406" t="inlineStr">
        <is>
          <t>Loss of Control</t>
        </is>
      </c>
      <c r="D173" s="406" t="inlineStr">
        <is>
          <t>Impact</t>
        </is>
      </c>
      <c r="E173" s="406" t="inlineStr">
        <is>
          <t>Scenario-defining</t>
        </is>
      </c>
      <c r="F173" s="406" t="inlineStr">
        <is>
          <t>S5</t>
        </is>
      </c>
      <c r="G173" s="406" t="inlineStr">
        <is>
          <t>Model Mapping</t>
        </is>
      </c>
      <c r="H173" s="426" t="inlineStr">
        <is>
          <t>https://attack.mitre.org/techniques/T0827</t>
        </is>
      </c>
    </row>
    <row r="174" ht="81.75" customHeight="1" s="508">
      <c r="A174" s="406" t="inlineStr">
        <is>
          <t>Operational Disruption</t>
        </is>
      </c>
      <c r="B174" s="406" t="inlineStr">
        <is>
          <t>T0828</t>
        </is>
      </c>
      <c r="C174" s="406" t="inlineStr">
        <is>
          <t>Loss of Productivity and Revenue</t>
        </is>
      </c>
      <c r="D174" s="406" t="inlineStr">
        <is>
          <t>Impact</t>
        </is>
      </c>
      <c r="E174" s="406" t="inlineStr">
        <is>
          <t>Removed — see mapping basis</t>
        </is>
      </c>
      <c r="F174" s="406" t="n"/>
      <c r="G174" s="406" t="inlineStr">
        <is>
          <t>REMOVED v1.2: Loss of Productivity and Revenue is a consequence; the CRQ engine quantifies financial consequence separately (sheets 05/17).</t>
        </is>
      </c>
      <c r="H174" s="426" t="inlineStr">
        <is>
          <t>https://attack.mitre.org/techniques/T0828</t>
        </is>
      </c>
    </row>
    <row r="175" ht="81.75" customHeight="1" s="508">
      <c r="A175" s="406" t="inlineStr">
        <is>
          <t>Operational Disruption</t>
        </is>
      </c>
      <c r="B175" s="406" t="inlineStr">
        <is>
          <t>T0837</t>
        </is>
      </c>
      <c r="C175" s="406" t="inlineStr">
        <is>
          <t>Loss of Protection</t>
        </is>
      </c>
      <c r="D175" s="406" t="inlineStr">
        <is>
          <t>Impact</t>
        </is>
      </c>
      <c r="E175" s="406" t="inlineStr">
        <is>
          <t>Removed — moved scenario</t>
        </is>
      </c>
      <c r="F175" s="406" t="n"/>
      <c r="G175" s="406" t="inlineStr">
        <is>
          <t>MOVED v1.2 to Safety System Compromise: Loss of Protection compromises protective functions preventing faults and abnormal conditions.</t>
        </is>
      </c>
      <c r="H175" s="426" t="inlineStr">
        <is>
          <t>https://attack.mitre.org/techniques/T0837</t>
        </is>
      </c>
    </row>
    <row r="176" ht="15" customHeight="1" s="508">
      <c r="A176" s="406" t="inlineStr">
        <is>
          <t>Safety System Compromise</t>
        </is>
      </c>
      <c r="B176" s="406" t="inlineStr">
        <is>
          <t>T0880</t>
        </is>
      </c>
      <c r="C176" s="406" t="inlineStr">
        <is>
          <t>Loss of Safety</t>
        </is>
      </c>
      <c r="D176" s="406" t="inlineStr">
        <is>
          <t>Impact</t>
        </is>
      </c>
      <c r="E176" s="406" t="inlineStr">
        <is>
          <t>Scenario-defining</t>
        </is>
      </c>
      <c r="F176" s="406" t="inlineStr">
        <is>
          <t>S5</t>
        </is>
      </c>
      <c r="G176" s="406" t="inlineStr">
        <is>
          <t>Model Mapping</t>
        </is>
      </c>
      <c r="H176" s="426" t="inlineStr">
        <is>
          <t>https://attack.mitre.org/techniques/T0880</t>
        </is>
      </c>
    </row>
    <row r="177" ht="15" customHeight="1" s="508">
      <c r="A177" s="406" t="inlineStr">
        <is>
          <t>Loss of Control or Visibility</t>
        </is>
      </c>
      <c r="B177" s="406" t="inlineStr">
        <is>
          <t>T0829</t>
        </is>
      </c>
      <c r="C177" s="406" t="inlineStr">
        <is>
          <t>Loss of View</t>
        </is>
      </c>
      <c r="D177" s="406" t="inlineStr">
        <is>
          <t>Impact</t>
        </is>
      </c>
      <c r="E177" s="406" t="inlineStr">
        <is>
          <t>Scenario-defining</t>
        </is>
      </c>
      <c r="F177" s="406" t="inlineStr">
        <is>
          <t>S5</t>
        </is>
      </c>
      <c r="G177" s="406" t="inlineStr">
        <is>
          <t>Model Mapping</t>
        </is>
      </c>
      <c r="H177" s="426" t="inlineStr">
        <is>
          <t>https://attack.mitre.org/techniques/T0829</t>
        </is>
      </c>
    </row>
    <row r="178" ht="15" customHeight="1" s="508">
      <c r="A178" s="406" t="inlineStr">
        <is>
          <t>Safety System Compromise</t>
        </is>
      </c>
      <c r="B178" s="406" t="inlineStr">
        <is>
          <t>T0835</t>
        </is>
      </c>
      <c r="C178" s="406" t="inlineStr">
        <is>
          <t>Manipulate I/O Image</t>
        </is>
      </c>
      <c r="D178" s="406" t="inlineStr">
        <is>
          <t>Inhibit Response Function</t>
        </is>
      </c>
      <c r="E178" s="406" t="inlineStr">
        <is>
          <t>Supporting / impact</t>
        </is>
      </c>
      <c r="F178" s="406" t="inlineStr">
        <is>
          <t>S5</t>
        </is>
      </c>
      <c r="G178" s="406" t="inlineStr">
        <is>
          <t>Model Mapping</t>
        </is>
      </c>
      <c r="H178" s="426" t="inlineStr">
        <is>
          <t>https://attack.mitre.org/techniques/T0835</t>
        </is>
      </c>
    </row>
    <row r="179" ht="15" customHeight="1" s="508">
      <c r="A179" s="406" t="inlineStr">
        <is>
          <t>Process Manipulation</t>
        </is>
      </c>
      <c r="B179" s="406" t="inlineStr">
        <is>
          <t>T0831</t>
        </is>
      </c>
      <c r="C179" s="406" t="inlineStr">
        <is>
          <t>Manipulation of Control</t>
        </is>
      </c>
      <c r="D179" s="406" t="inlineStr">
        <is>
          <t>Impact</t>
        </is>
      </c>
      <c r="E179" s="406" t="inlineStr">
        <is>
          <t>Scenario-defining</t>
        </is>
      </c>
      <c r="F179" s="406" t="inlineStr">
        <is>
          <t>S5</t>
        </is>
      </c>
      <c r="G179" s="406" t="inlineStr">
        <is>
          <t>Model Mapping</t>
        </is>
      </c>
      <c r="H179" s="426" t="inlineStr">
        <is>
          <t>https://attack.mitre.org/techniques/T0831</t>
        </is>
      </c>
    </row>
    <row r="180" ht="81.75" customHeight="1" s="508">
      <c r="A180" s="406" t="inlineStr">
        <is>
          <t>Operational Disruption</t>
        </is>
      </c>
      <c r="B180" s="406" t="inlineStr">
        <is>
          <t>T0832</t>
        </is>
      </c>
      <c r="C180" s="406" t="inlineStr">
        <is>
          <t>Manipulation of View</t>
        </is>
      </c>
      <c r="D180" s="406" t="inlineStr">
        <is>
          <t>Impact</t>
        </is>
      </c>
      <c r="E180" s="406" t="inlineStr">
        <is>
          <t>Removed — moved scenario</t>
        </is>
      </c>
      <c r="F180" s="406" t="n"/>
      <c r="G180" s="406" t="inlineStr">
        <is>
          <t>MOVED v1.2 to Loss of Control or Visibility: Manipulation of View is deceptive visibility; belongs under Loss of Control or Visibility.</t>
        </is>
      </c>
      <c r="H180" s="426" t="inlineStr">
        <is>
          <t>https://attack.mitre.org/techniques/T0832</t>
        </is>
      </c>
    </row>
    <row r="181" ht="27.75" customHeight="1" s="508">
      <c r="A181" s="406" t="inlineStr">
        <is>
          <t>Operational Disruption</t>
        </is>
      </c>
      <c r="B181" s="406" t="inlineStr">
        <is>
          <t>T0849</t>
        </is>
      </c>
      <c r="C181" s="406" t="inlineStr">
        <is>
          <t>Masquerading</t>
        </is>
      </c>
      <c r="D181" s="406" t="inlineStr">
        <is>
          <t>Evasion</t>
        </is>
      </c>
      <c r="E181" s="406" t="inlineStr">
        <is>
          <t>Candidate enabling technique</t>
        </is>
      </c>
      <c r="F181" s="406" t="inlineStr">
        <is>
          <t>S2</t>
        </is>
      </c>
      <c r="G181" s="406" t="inlineStr">
        <is>
          <t>Model Mapping</t>
        </is>
      </c>
      <c r="H181" s="426" t="inlineStr">
        <is>
          <t>https://attack.mitre.org/techniques/T0849</t>
        </is>
      </c>
    </row>
    <row r="182" ht="27.75" customHeight="1" s="508">
      <c r="A182" s="406" t="inlineStr">
        <is>
          <t>Loss of Control or Visibility</t>
        </is>
      </c>
      <c r="B182" s="406" t="inlineStr">
        <is>
          <t>T0849</t>
        </is>
      </c>
      <c r="C182" s="406" t="inlineStr">
        <is>
          <t>Masquerading</t>
        </is>
      </c>
      <c r="D182" s="406" t="inlineStr">
        <is>
          <t>Evasion</t>
        </is>
      </c>
      <c r="E182" s="406" t="inlineStr">
        <is>
          <t>Candidate enabling technique</t>
        </is>
      </c>
      <c r="F182" s="406" t="inlineStr">
        <is>
          <t>S2</t>
        </is>
      </c>
      <c r="G182" s="406" t="inlineStr">
        <is>
          <t>Model Mapping</t>
        </is>
      </c>
      <c r="H182" s="426" t="inlineStr">
        <is>
          <t>https://attack.mitre.org/techniques/T0849</t>
        </is>
      </c>
    </row>
    <row r="183" ht="27.75" customHeight="1" s="508">
      <c r="A183" s="406" t="inlineStr">
        <is>
          <t>Process Manipulation</t>
        </is>
      </c>
      <c r="B183" s="406" t="inlineStr">
        <is>
          <t>T0849</t>
        </is>
      </c>
      <c r="C183" s="406" t="inlineStr">
        <is>
          <t>Masquerading</t>
        </is>
      </c>
      <c r="D183" s="406" t="inlineStr">
        <is>
          <t>Evasion</t>
        </is>
      </c>
      <c r="E183" s="406" t="inlineStr">
        <is>
          <t>Candidate enabling technique</t>
        </is>
      </c>
      <c r="F183" s="406" t="inlineStr">
        <is>
          <t>S2</t>
        </is>
      </c>
      <c r="G183" s="406" t="inlineStr">
        <is>
          <t>Model Mapping</t>
        </is>
      </c>
      <c r="H183" s="426" t="inlineStr">
        <is>
          <t>https://attack.mitre.org/techniques/T0849</t>
        </is>
      </c>
    </row>
    <row r="184" ht="27.75" customHeight="1" s="508">
      <c r="A184" s="406" t="inlineStr">
        <is>
          <t>Safety System Compromise</t>
        </is>
      </c>
      <c r="B184" s="406" t="inlineStr">
        <is>
          <t>T0849</t>
        </is>
      </c>
      <c r="C184" s="406" t="inlineStr">
        <is>
          <t>Masquerading</t>
        </is>
      </c>
      <c r="D184" s="406" t="inlineStr">
        <is>
          <t>Evasion</t>
        </is>
      </c>
      <c r="E184" s="406" t="inlineStr">
        <is>
          <t>Candidate enabling technique</t>
        </is>
      </c>
      <c r="F184" s="406" t="inlineStr">
        <is>
          <t>S2</t>
        </is>
      </c>
      <c r="G184" s="406" t="inlineStr">
        <is>
          <t>Model Mapping</t>
        </is>
      </c>
      <c r="H184" s="426" t="inlineStr">
        <is>
          <t>https://attack.mitre.org/techniques/T0849</t>
        </is>
      </c>
    </row>
    <row r="185" ht="27.75" customHeight="1" s="508">
      <c r="A185" s="406" t="inlineStr">
        <is>
          <t>Destructive or Integrity Attack</t>
        </is>
      </c>
      <c r="B185" s="406" t="inlineStr">
        <is>
          <t>T0849</t>
        </is>
      </c>
      <c r="C185" s="406" t="inlineStr">
        <is>
          <t>Masquerading</t>
        </is>
      </c>
      <c r="D185" s="406" t="inlineStr">
        <is>
          <t>Evasion</t>
        </is>
      </c>
      <c r="E185" s="406" t="inlineStr">
        <is>
          <t>Candidate enabling technique</t>
        </is>
      </c>
      <c r="F185" s="406" t="inlineStr">
        <is>
          <t>S2</t>
        </is>
      </c>
      <c r="G185" s="406" t="inlineStr">
        <is>
          <t>Model Mapping</t>
        </is>
      </c>
      <c r="H185" s="426" t="inlineStr">
        <is>
          <t>https://attack.mitre.org/techniques/T0849</t>
        </is>
      </c>
    </row>
    <row r="186" ht="15" customHeight="1" s="508">
      <c r="A186" s="406" t="inlineStr">
        <is>
          <t>Safety System Compromise</t>
        </is>
      </c>
      <c r="B186" s="406" t="inlineStr">
        <is>
          <t>T0838</t>
        </is>
      </c>
      <c r="C186" s="406" t="inlineStr">
        <is>
          <t>Modify Alarm Settings</t>
        </is>
      </c>
      <c r="D186" s="406" t="inlineStr">
        <is>
          <t>Inhibit Response Function</t>
        </is>
      </c>
      <c r="E186" s="406" t="inlineStr">
        <is>
          <t>Scenario-defining</t>
        </is>
      </c>
      <c r="F186" s="406" t="inlineStr">
        <is>
          <t>S5</t>
        </is>
      </c>
      <c r="G186" s="406" t="inlineStr">
        <is>
          <t>Model Mapping</t>
        </is>
      </c>
      <c r="H186" s="426" t="inlineStr">
        <is>
          <t>https://attack.mitre.org/techniques/T0838</t>
        </is>
      </c>
    </row>
    <row r="187" ht="27.75" customHeight="1" s="508">
      <c r="A187" s="406" t="inlineStr">
        <is>
          <t>Operational Disruption</t>
        </is>
      </c>
      <c r="B187" s="406" t="inlineStr">
        <is>
          <t>T0821</t>
        </is>
      </c>
      <c r="C187" s="406" t="inlineStr">
        <is>
          <t>Modify Controller Tasking</t>
        </is>
      </c>
      <c r="D187" s="406" t="inlineStr">
        <is>
          <t>Execution</t>
        </is>
      </c>
      <c r="E187" s="406" t="inlineStr">
        <is>
          <t>Candidate enabling technique</t>
        </is>
      </c>
      <c r="F187" s="406" t="inlineStr">
        <is>
          <t>S2</t>
        </is>
      </c>
      <c r="G187" s="406" t="inlineStr">
        <is>
          <t>Model Mapping</t>
        </is>
      </c>
      <c r="H187" s="426" t="inlineStr">
        <is>
          <t>https://attack.mitre.org/techniques/T0821</t>
        </is>
      </c>
    </row>
    <row r="188" ht="27.75" customHeight="1" s="508">
      <c r="A188" s="406" t="inlineStr">
        <is>
          <t>Loss of Control or Visibility</t>
        </is>
      </c>
      <c r="B188" s="406" t="inlineStr">
        <is>
          <t>T0821</t>
        </is>
      </c>
      <c r="C188" s="406" t="inlineStr">
        <is>
          <t>Modify Controller Tasking</t>
        </is>
      </c>
      <c r="D188" s="406" t="inlineStr">
        <is>
          <t>Execution</t>
        </is>
      </c>
      <c r="E188" s="406" t="inlineStr">
        <is>
          <t>Candidate enabling technique</t>
        </is>
      </c>
      <c r="F188" s="406" t="inlineStr">
        <is>
          <t>S2</t>
        </is>
      </c>
      <c r="G188" s="406" t="inlineStr">
        <is>
          <t>Model Mapping</t>
        </is>
      </c>
      <c r="H188" s="426" t="inlineStr">
        <is>
          <t>https://attack.mitre.org/techniques/T0821</t>
        </is>
      </c>
    </row>
    <row r="189" ht="122.25" customHeight="1" s="508">
      <c r="A189" s="406" t="inlineStr">
        <is>
          <t>Process Manipulation</t>
        </is>
      </c>
      <c r="B189" s="406" t="inlineStr">
        <is>
          <t>T0821</t>
        </is>
      </c>
      <c r="C189" s="406" t="inlineStr">
        <is>
          <t>Modify Controller Tasking</t>
        </is>
      </c>
      <c r="D189" s="406" t="inlineStr">
        <is>
          <t>Execution</t>
        </is>
      </c>
      <c r="E189" s="406" t="inlineStr">
        <is>
          <t>Supporting / impact</t>
        </is>
      </c>
      <c r="F189" s="406" t="inlineStr">
        <is>
          <t>S5</t>
        </is>
      </c>
      <c r="G189" s="406" t="inlineStr">
        <is>
          <t>RESTAGED v1.2: In the Process Manipulation scenario this technique directly implements the adverse outcome, so it is staged S5 rather than inheriting its ATT&amp;CK tactic. CRQ stage is scenario-specific.</t>
        </is>
      </c>
      <c r="H189" s="426" t="inlineStr">
        <is>
          <t>https://attack.mitre.org/techniques/T0821</t>
        </is>
      </c>
    </row>
    <row r="190" ht="27.75" customHeight="1" s="508">
      <c r="A190" s="406" t="inlineStr">
        <is>
          <t>Safety System Compromise</t>
        </is>
      </c>
      <c r="B190" s="406" t="inlineStr">
        <is>
          <t>T0821</t>
        </is>
      </c>
      <c r="C190" s="406" t="inlineStr">
        <is>
          <t>Modify Controller Tasking</t>
        </is>
      </c>
      <c r="D190" s="406" t="inlineStr">
        <is>
          <t>Execution</t>
        </is>
      </c>
      <c r="E190" s="406" t="inlineStr">
        <is>
          <t>Candidate enabling technique</t>
        </is>
      </c>
      <c r="F190" s="406" t="inlineStr">
        <is>
          <t>S2</t>
        </is>
      </c>
      <c r="G190" s="406" t="inlineStr">
        <is>
          <t>Model Mapping</t>
        </is>
      </c>
      <c r="H190" s="426" t="inlineStr">
        <is>
          <t>https://attack.mitre.org/techniques/T0821</t>
        </is>
      </c>
    </row>
    <row r="191" ht="54.75" customHeight="1" s="508">
      <c r="A191" s="406" t="inlineStr">
        <is>
          <t>Destructive or Integrity Attack</t>
        </is>
      </c>
      <c r="B191" s="406" t="inlineStr">
        <is>
          <t>T0821</t>
        </is>
      </c>
      <c r="C191" s="406" t="inlineStr">
        <is>
          <t>Modify Controller Tasking</t>
        </is>
      </c>
      <c r="D191" s="406" t="inlineStr">
        <is>
          <t>Execution</t>
        </is>
      </c>
      <c r="E191" s="406" t="inlineStr">
        <is>
          <t>Supporting / impact</t>
        </is>
      </c>
      <c r="F191" s="406" t="inlineStr">
        <is>
          <t>S5</t>
        </is>
      </c>
      <c r="G191" s="406" t="inlineStr">
        <is>
          <t>STRENGTHENED v1.2: Modify Controller Tasking as a persistent integrity compromise.</t>
        </is>
      </c>
      <c r="H191" s="426" t="inlineStr">
        <is>
          <t>https://attack.mitre.org/techniques/T0821</t>
        </is>
      </c>
    </row>
    <row r="192" ht="122.25" customHeight="1" s="508">
      <c r="A192" s="406" t="inlineStr">
        <is>
          <t>Destructive or Integrity Attack</t>
        </is>
      </c>
      <c r="B192" s="406" t="inlineStr">
        <is>
          <t>T1693</t>
        </is>
      </c>
      <c r="C192" s="406" t="inlineStr">
        <is>
          <t>Modify Firmware</t>
        </is>
      </c>
      <c r="D192" s="406" t="inlineStr">
        <is>
          <t>Impair Process Control, Inhibit Response Function, Persistence</t>
        </is>
      </c>
      <c r="E192" s="406" t="inlineStr">
        <is>
          <t>Excluded — parent/sub duplicate</t>
        </is>
      </c>
      <c r="F192" s="406" t="inlineStr">
        <is>
          <t>S5</t>
        </is>
      </c>
      <c r="G192" s="406" t="inlineStr">
        <is>
          <t>SUPPRESSED v1.2: parent technique carries no separate weight where applicable sub-techniques are mapped in the same scenario. Prevents one underlying behaviour receiving multiple weights in the stage barrier.</t>
        </is>
      </c>
      <c r="H192" s="426" t="inlineStr">
        <is>
          <t>https://attack.mitre.org/techniques/T1693</t>
        </is>
      </c>
    </row>
    <row r="193" ht="15" customHeight="1" s="508">
      <c r="A193" s="406" t="inlineStr">
        <is>
          <t>Process Manipulation</t>
        </is>
      </c>
      <c r="B193" s="406" t="inlineStr">
        <is>
          <t>T0836</t>
        </is>
      </c>
      <c r="C193" s="406" t="inlineStr">
        <is>
          <t>Modify Parameter</t>
        </is>
      </c>
      <c r="D193" s="406" t="inlineStr">
        <is>
          <t>Impair Process Control</t>
        </is>
      </c>
      <c r="E193" s="406" t="inlineStr">
        <is>
          <t>Scenario-defining</t>
        </is>
      </c>
      <c r="F193" s="406" t="inlineStr">
        <is>
          <t>S5</t>
        </is>
      </c>
      <c r="G193" s="406" t="inlineStr">
        <is>
          <t>Model Mapping</t>
        </is>
      </c>
      <c r="H193" s="426" t="inlineStr">
        <is>
          <t>https://attack.mitre.org/techniques/T0836</t>
        </is>
      </c>
    </row>
    <row r="194" ht="27.75" customHeight="1" s="508">
      <c r="A194" s="406" t="inlineStr">
        <is>
          <t>Operational Disruption</t>
        </is>
      </c>
      <c r="B194" s="406" t="inlineStr">
        <is>
          <t>T0889</t>
        </is>
      </c>
      <c r="C194" s="406" t="inlineStr">
        <is>
          <t>Modify Program</t>
        </is>
      </c>
      <c r="D194" s="406" t="inlineStr">
        <is>
          <t>Persistence</t>
        </is>
      </c>
      <c r="E194" s="406" t="inlineStr">
        <is>
          <t>Candidate enabling technique</t>
        </is>
      </c>
      <c r="F194" s="406" t="inlineStr">
        <is>
          <t>S2</t>
        </is>
      </c>
      <c r="G194" s="406" t="inlineStr">
        <is>
          <t>Model Mapping</t>
        </is>
      </c>
      <c r="H194" s="426" t="inlineStr">
        <is>
          <t>https://attack.mitre.org/techniques/T0889</t>
        </is>
      </c>
    </row>
    <row r="195" ht="27.75" customHeight="1" s="508">
      <c r="A195" s="406" t="inlineStr">
        <is>
          <t>Loss of Control or Visibility</t>
        </is>
      </c>
      <c r="B195" s="406" t="inlineStr">
        <is>
          <t>T0889</t>
        </is>
      </c>
      <c r="C195" s="406" t="inlineStr">
        <is>
          <t>Modify Program</t>
        </is>
      </c>
      <c r="D195" s="406" t="inlineStr">
        <is>
          <t>Persistence</t>
        </is>
      </c>
      <c r="E195" s="406" t="inlineStr">
        <is>
          <t>Candidate enabling technique</t>
        </is>
      </c>
      <c r="F195" s="406" t="inlineStr">
        <is>
          <t>S2</t>
        </is>
      </c>
      <c r="G195" s="406" t="inlineStr">
        <is>
          <t>Model Mapping</t>
        </is>
      </c>
      <c r="H195" s="426" t="inlineStr">
        <is>
          <t>https://attack.mitre.org/techniques/T0889</t>
        </is>
      </c>
    </row>
    <row r="196" ht="122.25" customHeight="1" s="508">
      <c r="A196" s="406" t="inlineStr">
        <is>
          <t>Process Manipulation</t>
        </is>
      </c>
      <c r="B196" s="406" t="inlineStr">
        <is>
          <t>T0889</t>
        </is>
      </c>
      <c r="C196" s="406" t="inlineStr">
        <is>
          <t>Modify Program</t>
        </is>
      </c>
      <c r="D196" s="406" t="inlineStr">
        <is>
          <t>Persistence</t>
        </is>
      </c>
      <c r="E196" s="406" t="inlineStr">
        <is>
          <t>Supporting / impact</t>
        </is>
      </c>
      <c r="F196" s="406" t="inlineStr">
        <is>
          <t>S5</t>
        </is>
      </c>
      <c r="G196" s="406" t="inlineStr">
        <is>
          <t>RESTAGED v1.2: In the Process Manipulation scenario this technique directly implements the adverse outcome, so it is staged S5 rather than inheriting its ATT&amp;CK tactic. CRQ stage is scenario-specific.</t>
        </is>
      </c>
      <c r="H196" s="426" t="inlineStr">
        <is>
          <t>https://attack.mitre.org/techniques/T0889</t>
        </is>
      </c>
    </row>
    <row r="197" ht="27.75" customHeight="1" s="508">
      <c r="A197" s="406" t="inlineStr">
        <is>
          <t>Safety System Compromise</t>
        </is>
      </c>
      <c r="B197" s="406" t="inlineStr">
        <is>
          <t>T0889</t>
        </is>
      </c>
      <c r="C197" s="406" t="inlineStr">
        <is>
          <t>Modify Program</t>
        </is>
      </c>
      <c r="D197" s="406" t="inlineStr">
        <is>
          <t>Persistence</t>
        </is>
      </c>
      <c r="E197" s="406" t="inlineStr">
        <is>
          <t>Candidate enabling technique</t>
        </is>
      </c>
      <c r="F197" s="406" t="inlineStr">
        <is>
          <t>S2</t>
        </is>
      </c>
      <c r="G197" s="406" t="inlineStr">
        <is>
          <t>Model Mapping</t>
        </is>
      </c>
      <c r="H197" s="426" t="inlineStr">
        <is>
          <t>https://attack.mitre.org/techniques/T0889</t>
        </is>
      </c>
    </row>
    <row r="198" ht="68.25" customHeight="1" s="508">
      <c r="A198" s="406" t="inlineStr">
        <is>
          <t>Destructive or Integrity Attack</t>
        </is>
      </c>
      <c r="B198" s="406" t="inlineStr">
        <is>
          <t>T0889</t>
        </is>
      </c>
      <c r="C198" s="406" t="inlineStr">
        <is>
          <t>Modify Program</t>
        </is>
      </c>
      <c r="D198" s="406" t="inlineStr">
        <is>
          <t>Persistence</t>
        </is>
      </c>
      <c r="E198" s="406" t="inlineStr">
        <is>
          <t>Supporting / impact</t>
        </is>
      </c>
      <c r="F198" s="406" t="inlineStr">
        <is>
          <t>S5</t>
        </is>
      </c>
      <c r="G198" s="406" t="inlineStr">
        <is>
          <t>STRENGTHENED v1.2: Modify Program where the modification is destructive or a persistent integrity compromise.</t>
        </is>
      </c>
      <c r="H198" s="426" t="inlineStr">
        <is>
          <t>https://attack.mitre.org/techniques/T0889</t>
        </is>
      </c>
    </row>
    <row r="199" ht="27.75" customHeight="1" s="508">
      <c r="A199" s="406" t="inlineStr">
        <is>
          <t>Destructive or Integrity Attack</t>
        </is>
      </c>
      <c r="B199" s="406" t="inlineStr">
        <is>
          <t>T1693.002</t>
        </is>
      </c>
      <c r="C199" s="406" t="inlineStr">
        <is>
          <t>Module Firmware</t>
        </is>
      </c>
      <c r="D199" s="406" t="inlineStr">
        <is>
          <t>Impair Process Control, Inhibit Response Function, Persistence</t>
        </is>
      </c>
      <c r="E199" s="406" t="inlineStr">
        <is>
          <t>Scenario-defining</t>
        </is>
      </c>
      <c r="F199" s="406" t="inlineStr">
        <is>
          <t>S5</t>
        </is>
      </c>
      <c r="G199" s="406" t="inlineStr">
        <is>
          <t>Model Mapping</t>
        </is>
      </c>
      <c r="H199" s="426" t="inlineStr">
        <is>
          <t>https://attack.mitre.org/techniques/T1693/002</t>
        </is>
      </c>
    </row>
    <row r="200" ht="27.75" customHeight="1" s="508">
      <c r="A200" s="406" t="inlineStr">
        <is>
          <t>Operational Disruption</t>
        </is>
      </c>
      <c r="B200" s="406" t="inlineStr">
        <is>
          <t>T0801</t>
        </is>
      </c>
      <c r="C200" s="406" t="inlineStr">
        <is>
          <t>Monitor Process State</t>
        </is>
      </c>
      <c r="D200" s="406" t="inlineStr">
        <is>
          <t>Collection</t>
        </is>
      </c>
      <c r="E200" s="406" t="inlineStr">
        <is>
          <t>Candidate enabling technique</t>
        </is>
      </c>
      <c r="F200" s="406" t="inlineStr">
        <is>
          <t>S4</t>
        </is>
      </c>
      <c r="G200" s="406" t="inlineStr">
        <is>
          <t>Model Mapping</t>
        </is>
      </c>
      <c r="H200" s="426" t="inlineStr">
        <is>
          <t>https://attack.mitre.org/techniques/T0801</t>
        </is>
      </c>
    </row>
    <row r="201" ht="27.75" customHeight="1" s="508">
      <c r="A201" s="406" t="inlineStr">
        <is>
          <t>Loss of Control or Visibility</t>
        </is>
      </c>
      <c r="B201" s="406" t="inlineStr">
        <is>
          <t>T0801</t>
        </is>
      </c>
      <c r="C201" s="406" t="inlineStr">
        <is>
          <t>Monitor Process State</t>
        </is>
      </c>
      <c r="D201" s="406" t="inlineStr">
        <is>
          <t>Collection</t>
        </is>
      </c>
      <c r="E201" s="406" t="inlineStr">
        <is>
          <t>Candidate enabling technique</t>
        </is>
      </c>
      <c r="F201" s="406" t="inlineStr">
        <is>
          <t>S4</t>
        </is>
      </c>
      <c r="G201" s="406" t="inlineStr">
        <is>
          <t>Model Mapping</t>
        </is>
      </c>
      <c r="H201" s="426" t="inlineStr">
        <is>
          <t>https://attack.mitre.org/techniques/T0801</t>
        </is>
      </c>
    </row>
    <row r="202" ht="27.75" customHeight="1" s="508">
      <c r="A202" s="406" t="inlineStr">
        <is>
          <t>Process Manipulation</t>
        </is>
      </c>
      <c r="B202" s="406" t="inlineStr">
        <is>
          <t>T0801</t>
        </is>
      </c>
      <c r="C202" s="406" t="inlineStr">
        <is>
          <t>Monitor Process State</t>
        </is>
      </c>
      <c r="D202" s="406" t="inlineStr">
        <is>
          <t>Collection</t>
        </is>
      </c>
      <c r="E202" s="406" t="inlineStr">
        <is>
          <t>Candidate enabling technique</t>
        </is>
      </c>
      <c r="F202" s="406" t="inlineStr">
        <is>
          <t>S4</t>
        </is>
      </c>
      <c r="G202" s="406" t="inlineStr">
        <is>
          <t>Model Mapping</t>
        </is>
      </c>
      <c r="H202" s="426" t="inlineStr">
        <is>
          <t>https://attack.mitre.org/techniques/T0801</t>
        </is>
      </c>
    </row>
    <row r="203" ht="27.75" customHeight="1" s="508">
      <c r="A203" s="406" t="inlineStr">
        <is>
          <t>Safety System Compromise</t>
        </is>
      </c>
      <c r="B203" s="406" t="inlineStr">
        <is>
          <t>T0801</t>
        </is>
      </c>
      <c r="C203" s="406" t="inlineStr">
        <is>
          <t>Monitor Process State</t>
        </is>
      </c>
      <c r="D203" s="406" t="inlineStr">
        <is>
          <t>Collection</t>
        </is>
      </c>
      <c r="E203" s="406" t="inlineStr">
        <is>
          <t>Candidate enabling technique</t>
        </is>
      </c>
      <c r="F203" s="406" t="inlineStr">
        <is>
          <t>S4</t>
        </is>
      </c>
      <c r="G203" s="406" t="inlineStr">
        <is>
          <t>Model Mapping</t>
        </is>
      </c>
      <c r="H203" s="426" t="inlineStr">
        <is>
          <t>https://attack.mitre.org/techniques/T0801</t>
        </is>
      </c>
    </row>
    <row r="204" ht="27.75" customHeight="1" s="508">
      <c r="A204" s="406" t="inlineStr">
        <is>
          <t>Destructive or Integrity Attack</t>
        </is>
      </c>
      <c r="B204" s="406" t="inlineStr">
        <is>
          <t>T0801</t>
        </is>
      </c>
      <c r="C204" s="406" t="inlineStr">
        <is>
          <t>Monitor Process State</t>
        </is>
      </c>
      <c r="D204" s="406" t="inlineStr">
        <is>
          <t>Collection</t>
        </is>
      </c>
      <c r="E204" s="406" t="inlineStr">
        <is>
          <t>Candidate enabling technique</t>
        </is>
      </c>
      <c r="F204" s="406" t="inlineStr">
        <is>
          <t>S4</t>
        </is>
      </c>
      <c r="G204" s="406" t="inlineStr">
        <is>
          <t>Model Mapping</t>
        </is>
      </c>
      <c r="H204" s="426" t="inlineStr">
        <is>
          <t>https://attack.mitre.org/techniques/T0801</t>
        </is>
      </c>
    </row>
    <row r="205" ht="27.75" customHeight="1" s="508">
      <c r="A205" s="406" t="inlineStr">
        <is>
          <t>Operational Disruption</t>
        </is>
      </c>
      <c r="B205" s="406" t="inlineStr">
        <is>
          <t>T0846.003</t>
        </is>
      </c>
      <c r="C205" s="406" t="inlineStr">
        <is>
          <t>Multicast Discovery</t>
        </is>
      </c>
      <c r="D205" s="406" t="inlineStr">
        <is>
          <t>Discovery</t>
        </is>
      </c>
      <c r="E205" s="406" t="inlineStr">
        <is>
          <t>Candidate enabling technique</t>
        </is>
      </c>
      <c r="F205" s="406" t="inlineStr">
        <is>
          <t>S4</t>
        </is>
      </c>
      <c r="G205" s="406" t="inlineStr">
        <is>
          <t>Model Mapping</t>
        </is>
      </c>
      <c r="H205" s="426" t="inlineStr">
        <is>
          <t>https://attack.mitre.org/techniques/T0846/003</t>
        </is>
      </c>
    </row>
    <row r="206" ht="27.75" customHeight="1" s="508">
      <c r="A206" s="406" t="inlineStr">
        <is>
          <t>Loss of Control or Visibility</t>
        </is>
      </c>
      <c r="B206" s="406" t="inlineStr">
        <is>
          <t>T0846.003</t>
        </is>
      </c>
      <c r="C206" s="406" t="inlineStr">
        <is>
          <t>Multicast Discovery</t>
        </is>
      </c>
      <c r="D206" s="406" t="inlineStr">
        <is>
          <t>Discovery</t>
        </is>
      </c>
      <c r="E206" s="406" t="inlineStr">
        <is>
          <t>Candidate enabling technique</t>
        </is>
      </c>
      <c r="F206" s="406" t="inlineStr">
        <is>
          <t>S4</t>
        </is>
      </c>
      <c r="G206" s="406" t="inlineStr">
        <is>
          <t>Model Mapping</t>
        </is>
      </c>
      <c r="H206" s="426" t="inlineStr">
        <is>
          <t>https://attack.mitre.org/techniques/T0846/003</t>
        </is>
      </c>
    </row>
    <row r="207" ht="27.75" customHeight="1" s="508">
      <c r="A207" s="406" t="inlineStr">
        <is>
          <t>Process Manipulation</t>
        </is>
      </c>
      <c r="B207" s="406" t="inlineStr">
        <is>
          <t>T0846.003</t>
        </is>
      </c>
      <c r="C207" s="406" t="inlineStr">
        <is>
          <t>Multicast Discovery</t>
        </is>
      </c>
      <c r="D207" s="406" t="inlineStr">
        <is>
          <t>Discovery</t>
        </is>
      </c>
      <c r="E207" s="406" t="inlineStr">
        <is>
          <t>Candidate enabling technique</t>
        </is>
      </c>
      <c r="F207" s="406" t="inlineStr">
        <is>
          <t>S4</t>
        </is>
      </c>
      <c r="G207" s="406" t="inlineStr">
        <is>
          <t>Model Mapping</t>
        </is>
      </c>
      <c r="H207" s="426" t="inlineStr">
        <is>
          <t>https://attack.mitre.org/techniques/T0846/003</t>
        </is>
      </c>
    </row>
    <row r="208" ht="27.75" customHeight="1" s="508">
      <c r="A208" s="406" t="inlineStr">
        <is>
          <t>Safety System Compromise</t>
        </is>
      </c>
      <c r="B208" s="406" t="inlineStr">
        <is>
          <t>T0846.003</t>
        </is>
      </c>
      <c r="C208" s="406" t="inlineStr">
        <is>
          <t>Multicast Discovery</t>
        </is>
      </c>
      <c r="D208" s="406" t="inlineStr">
        <is>
          <t>Discovery</t>
        </is>
      </c>
      <c r="E208" s="406" t="inlineStr">
        <is>
          <t>Candidate enabling technique</t>
        </is>
      </c>
      <c r="F208" s="406" t="inlineStr">
        <is>
          <t>S4</t>
        </is>
      </c>
      <c r="G208" s="406" t="inlineStr">
        <is>
          <t>Model Mapping</t>
        </is>
      </c>
      <c r="H208" s="426" t="inlineStr">
        <is>
          <t>https://attack.mitre.org/techniques/T0846/003</t>
        </is>
      </c>
    </row>
    <row r="209" ht="27.75" customHeight="1" s="508">
      <c r="A209" s="406" t="inlineStr">
        <is>
          <t>Destructive or Integrity Attack</t>
        </is>
      </c>
      <c r="B209" s="406" t="inlineStr">
        <is>
          <t>T0846.003</t>
        </is>
      </c>
      <c r="C209" s="406" t="inlineStr">
        <is>
          <t>Multicast Discovery</t>
        </is>
      </c>
      <c r="D209" s="406" t="inlineStr">
        <is>
          <t>Discovery</t>
        </is>
      </c>
      <c r="E209" s="406" t="inlineStr">
        <is>
          <t>Candidate enabling technique</t>
        </is>
      </c>
      <c r="F209" s="406" t="inlineStr">
        <is>
          <t>S4</t>
        </is>
      </c>
      <c r="G209" s="406" t="inlineStr">
        <is>
          <t>Model Mapping</t>
        </is>
      </c>
      <c r="H209" s="426" t="inlineStr">
        <is>
          <t>https://attack.mitre.org/techniques/T0846/003</t>
        </is>
      </c>
    </row>
    <row r="210" ht="27.75" customHeight="1" s="508">
      <c r="A210" s="406" t="inlineStr">
        <is>
          <t>Operational Disruption</t>
        </is>
      </c>
      <c r="B210" s="406" t="inlineStr">
        <is>
          <t>T0834</t>
        </is>
      </c>
      <c r="C210" s="406" t="inlineStr">
        <is>
          <t>Native API</t>
        </is>
      </c>
      <c r="D210" s="406" t="inlineStr">
        <is>
          <t>Execution</t>
        </is>
      </c>
      <c r="E210" s="406" t="inlineStr">
        <is>
          <t>Candidate enabling technique</t>
        </is>
      </c>
      <c r="F210" s="406" t="inlineStr">
        <is>
          <t>S2</t>
        </is>
      </c>
      <c r="G210" s="406" t="inlineStr">
        <is>
          <t>Model Mapping</t>
        </is>
      </c>
      <c r="H210" s="426" t="inlineStr">
        <is>
          <t>https://attack.mitre.org/techniques/T0834</t>
        </is>
      </c>
    </row>
    <row r="211" ht="27.75" customHeight="1" s="508">
      <c r="A211" s="406" t="inlineStr">
        <is>
          <t>Loss of Control or Visibility</t>
        </is>
      </c>
      <c r="B211" s="406" t="inlineStr">
        <is>
          <t>T0834</t>
        </is>
      </c>
      <c r="C211" s="406" t="inlineStr">
        <is>
          <t>Native API</t>
        </is>
      </c>
      <c r="D211" s="406" t="inlineStr">
        <is>
          <t>Execution</t>
        </is>
      </c>
      <c r="E211" s="406" t="inlineStr">
        <is>
          <t>Candidate enabling technique</t>
        </is>
      </c>
      <c r="F211" s="406" t="inlineStr">
        <is>
          <t>S2</t>
        </is>
      </c>
      <c r="G211" s="406" t="inlineStr">
        <is>
          <t>Model Mapping</t>
        </is>
      </c>
      <c r="H211" s="426" t="inlineStr">
        <is>
          <t>https://attack.mitre.org/techniques/T0834</t>
        </is>
      </c>
    </row>
    <row r="212" ht="27.75" customHeight="1" s="508">
      <c r="A212" s="406" t="inlineStr">
        <is>
          <t>Process Manipulation</t>
        </is>
      </c>
      <c r="B212" s="406" t="inlineStr">
        <is>
          <t>T0834</t>
        </is>
      </c>
      <c r="C212" s="406" t="inlineStr">
        <is>
          <t>Native API</t>
        </is>
      </c>
      <c r="D212" s="406" t="inlineStr">
        <is>
          <t>Execution</t>
        </is>
      </c>
      <c r="E212" s="406" t="inlineStr">
        <is>
          <t>Candidate enabling technique</t>
        </is>
      </c>
      <c r="F212" s="406" t="inlineStr">
        <is>
          <t>S2</t>
        </is>
      </c>
      <c r="G212" s="406" t="inlineStr">
        <is>
          <t>Model Mapping</t>
        </is>
      </c>
      <c r="H212" s="426" t="inlineStr">
        <is>
          <t>https://attack.mitre.org/techniques/T0834</t>
        </is>
      </c>
    </row>
    <row r="213" ht="27.75" customHeight="1" s="508">
      <c r="A213" s="406" t="inlineStr">
        <is>
          <t>Safety System Compromise</t>
        </is>
      </c>
      <c r="B213" s="406" t="inlineStr">
        <is>
          <t>T0834</t>
        </is>
      </c>
      <c r="C213" s="406" t="inlineStr">
        <is>
          <t>Native API</t>
        </is>
      </c>
      <c r="D213" s="406" t="inlineStr">
        <is>
          <t>Execution</t>
        </is>
      </c>
      <c r="E213" s="406" t="inlineStr">
        <is>
          <t>Candidate enabling technique</t>
        </is>
      </c>
      <c r="F213" s="406" t="inlineStr">
        <is>
          <t>S2</t>
        </is>
      </c>
      <c r="G213" s="406" t="inlineStr">
        <is>
          <t>Model Mapping</t>
        </is>
      </c>
      <c r="H213" s="426" t="inlineStr">
        <is>
          <t>https://attack.mitre.org/techniques/T0834</t>
        </is>
      </c>
    </row>
    <row r="214" ht="27.75" customHeight="1" s="508">
      <c r="A214" s="406" t="inlineStr">
        <is>
          <t>Destructive or Integrity Attack</t>
        </is>
      </c>
      <c r="B214" s="406" t="inlineStr">
        <is>
          <t>T0834</t>
        </is>
      </c>
      <c r="C214" s="406" t="inlineStr">
        <is>
          <t>Native API</t>
        </is>
      </c>
      <c r="D214" s="406" t="inlineStr">
        <is>
          <t>Execution</t>
        </is>
      </c>
      <c r="E214" s="406" t="inlineStr">
        <is>
          <t>Candidate enabling technique</t>
        </is>
      </c>
      <c r="F214" s="406" t="inlineStr">
        <is>
          <t>S2</t>
        </is>
      </c>
      <c r="G214" s="406" t="inlineStr">
        <is>
          <t>Model Mapping</t>
        </is>
      </c>
      <c r="H214" s="426" t="inlineStr">
        <is>
          <t>https://attack.mitre.org/techniques/T0834</t>
        </is>
      </c>
    </row>
    <row r="215" ht="27.75" customHeight="1" s="508">
      <c r="A215" s="406" t="inlineStr">
        <is>
          <t>Operational Disruption</t>
        </is>
      </c>
      <c r="B215" s="406" t="inlineStr">
        <is>
          <t>T0840</t>
        </is>
      </c>
      <c r="C215" s="406" t="inlineStr">
        <is>
          <t>Network Connection Enumeration</t>
        </is>
      </c>
      <c r="D215" s="406" t="inlineStr">
        <is>
          <t>Discovery</t>
        </is>
      </c>
      <c r="E215" s="406" t="inlineStr">
        <is>
          <t>Candidate enabling technique</t>
        </is>
      </c>
      <c r="F215" s="406" t="inlineStr">
        <is>
          <t>S4</t>
        </is>
      </c>
      <c r="G215" s="406" t="inlineStr">
        <is>
          <t>Model Mapping</t>
        </is>
      </c>
      <c r="H215" s="426" t="inlineStr">
        <is>
          <t>https://attack.mitre.org/techniques/T0840</t>
        </is>
      </c>
    </row>
    <row r="216" ht="27.75" customHeight="1" s="508">
      <c r="A216" s="406" t="inlineStr">
        <is>
          <t>Loss of Control or Visibility</t>
        </is>
      </c>
      <c r="B216" s="406" t="inlineStr">
        <is>
          <t>T0840</t>
        </is>
      </c>
      <c r="C216" s="406" t="inlineStr">
        <is>
          <t>Network Connection Enumeration</t>
        </is>
      </c>
      <c r="D216" s="406" t="inlineStr">
        <is>
          <t>Discovery</t>
        </is>
      </c>
      <c r="E216" s="406" t="inlineStr">
        <is>
          <t>Candidate enabling technique</t>
        </is>
      </c>
      <c r="F216" s="406" t="inlineStr">
        <is>
          <t>S4</t>
        </is>
      </c>
      <c r="G216" s="406" t="inlineStr">
        <is>
          <t>Model Mapping</t>
        </is>
      </c>
      <c r="H216" s="426" t="inlineStr">
        <is>
          <t>https://attack.mitre.org/techniques/T0840</t>
        </is>
      </c>
    </row>
    <row r="217" ht="27.75" customHeight="1" s="508">
      <c r="A217" s="406" t="inlineStr">
        <is>
          <t>Process Manipulation</t>
        </is>
      </c>
      <c r="B217" s="406" t="inlineStr">
        <is>
          <t>T0840</t>
        </is>
      </c>
      <c r="C217" s="406" t="inlineStr">
        <is>
          <t>Network Connection Enumeration</t>
        </is>
      </c>
      <c r="D217" s="406" t="inlineStr">
        <is>
          <t>Discovery</t>
        </is>
      </c>
      <c r="E217" s="406" t="inlineStr">
        <is>
          <t>Candidate enabling technique</t>
        </is>
      </c>
      <c r="F217" s="406" t="inlineStr">
        <is>
          <t>S4</t>
        </is>
      </c>
      <c r="G217" s="406" t="inlineStr">
        <is>
          <t>Model Mapping</t>
        </is>
      </c>
      <c r="H217" s="426" t="inlineStr">
        <is>
          <t>https://attack.mitre.org/techniques/T0840</t>
        </is>
      </c>
    </row>
    <row r="218" ht="27.75" customHeight="1" s="508">
      <c r="A218" s="406" t="inlineStr">
        <is>
          <t>Safety System Compromise</t>
        </is>
      </c>
      <c r="B218" s="406" t="inlineStr">
        <is>
          <t>T0840</t>
        </is>
      </c>
      <c r="C218" s="406" t="inlineStr">
        <is>
          <t>Network Connection Enumeration</t>
        </is>
      </c>
      <c r="D218" s="406" t="inlineStr">
        <is>
          <t>Discovery</t>
        </is>
      </c>
      <c r="E218" s="406" t="inlineStr">
        <is>
          <t>Candidate enabling technique</t>
        </is>
      </c>
      <c r="F218" s="406" t="inlineStr">
        <is>
          <t>S4</t>
        </is>
      </c>
      <c r="G218" s="406" t="inlineStr">
        <is>
          <t>Model Mapping</t>
        </is>
      </c>
      <c r="H218" s="426" t="inlineStr">
        <is>
          <t>https://attack.mitre.org/techniques/T0840</t>
        </is>
      </c>
    </row>
    <row r="219" ht="27.75" customHeight="1" s="508">
      <c r="A219" s="406" t="inlineStr">
        <is>
          <t>Destructive or Integrity Attack</t>
        </is>
      </c>
      <c r="B219" s="406" t="inlineStr">
        <is>
          <t>T0840</t>
        </is>
      </c>
      <c r="C219" s="406" t="inlineStr">
        <is>
          <t>Network Connection Enumeration</t>
        </is>
      </c>
      <c r="D219" s="406" t="inlineStr">
        <is>
          <t>Discovery</t>
        </is>
      </c>
      <c r="E219" s="406" t="inlineStr">
        <is>
          <t>Candidate enabling technique</t>
        </is>
      </c>
      <c r="F219" s="406" t="inlineStr">
        <is>
          <t>S4</t>
        </is>
      </c>
      <c r="G219" s="406" t="inlineStr">
        <is>
          <t>Model Mapping</t>
        </is>
      </c>
      <c r="H219" s="426" t="inlineStr">
        <is>
          <t>https://attack.mitre.org/techniques/T0840</t>
        </is>
      </c>
    </row>
    <row r="220" ht="27.75" customHeight="1" s="508">
      <c r="A220" s="406" t="inlineStr">
        <is>
          <t>Operational Disruption</t>
        </is>
      </c>
      <c r="B220" s="406" t="inlineStr">
        <is>
          <t>T0842</t>
        </is>
      </c>
      <c r="C220" s="406" t="inlineStr">
        <is>
          <t>Network Sniffing</t>
        </is>
      </c>
      <c r="D220" s="406" t="inlineStr">
        <is>
          <t>Discovery</t>
        </is>
      </c>
      <c r="E220" s="406" t="inlineStr">
        <is>
          <t>Candidate enabling technique</t>
        </is>
      </c>
      <c r="F220" s="406" t="inlineStr">
        <is>
          <t>S4</t>
        </is>
      </c>
      <c r="G220" s="406" t="inlineStr">
        <is>
          <t>Model Mapping</t>
        </is>
      </c>
      <c r="H220" s="426" t="inlineStr">
        <is>
          <t>https://attack.mitre.org/techniques/T0842</t>
        </is>
      </c>
    </row>
    <row r="221" ht="27.75" customHeight="1" s="508">
      <c r="A221" s="406" t="inlineStr">
        <is>
          <t>Loss of Control or Visibility</t>
        </is>
      </c>
      <c r="B221" s="406" t="inlineStr">
        <is>
          <t>T0842</t>
        </is>
      </c>
      <c r="C221" s="406" t="inlineStr">
        <is>
          <t>Network Sniffing</t>
        </is>
      </c>
      <c r="D221" s="406" t="inlineStr">
        <is>
          <t>Discovery</t>
        </is>
      </c>
      <c r="E221" s="406" t="inlineStr">
        <is>
          <t>Candidate enabling technique</t>
        </is>
      </c>
      <c r="F221" s="406" t="inlineStr">
        <is>
          <t>S4</t>
        </is>
      </c>
      <c r="G221" s="406" t="inlineStr">
        <is>
          <t>Model Mapping</t>
        </is>
      </c>
      <c r="H221" s="426" t="inlineStr">
        <is>
          <t>https://attack.mitre.org/techniques/T0842</t>
        </is>
      </c>
    </row>
    <row r="222" ht="27.75" customHeight="1" s="508">
      <c r="A222" s="406" t="inlineStr">
        <is>
          <t>Process Manipulation</t>
        </is>
      </c>
      <c r="B222" s="406" t="inlineStr">
        <is>
          <t>T0842</t>
        </is>
      </c>
      <c r="C222" s="406" t="inlineStr">
        <is>
          <t>Network Sniffing</t>
        </is>
      </c>
      <c r="D222" s="406" t="inlineStr">
        <is>
          <t>Discovery</t>
        </is>
      </c>
      <c r="E222" s="406" t="inlineStr">
        <is>
          <t>Candidate enabling technique</t>
        </is>
      </c>
      <c r="F222" s="406" t="inlineStr">
        <is>
          <t>S4</t>
        </is>
      </c>
      <c r="G222" s="406" t="inlineStr">
        <is>
          <t>Model Mapping</t>
        </is>
      </c>
      <c r="H222" s="426" t="inlineStr">
        <is>
          <t>https://attack.mitre.org/techniques/T0842</t>
        </is>
      </c>
    </row>
    <row r="223" ht="27.75" customHeight="1" s="508">
      <c r="A223" s="406" t="inlineStr">
        <is>
          <t>Safety System Compromise</t>
        </is>
      </c>
      <c r="B223" s="406" t="inlineStr">
        <is>
          <t>T0842</t>
        </is>
      </c>
      <c r="C223" s="406" t="inlineStr">
        <is>
          <t>Network Sniffing</t>
        </is>
      </c>
      <c r="D223" s="406" t="inlineStr">
        <is>
          <t>Discovery</t>
        </is>
      </c>
      <c r="E223" s="406" t="inlineStr">
        <is>
          <t>Candidate enabling technique</t>
        </is>
      </c>
      <c r="F223" s="406" t="inlineStr">
        <is>
          <t>S4</t>
        </is>
      </c>
      <c r="G223" s="406" t="inlineStr">
        <is>
          <t>Model Mapping</t>
        </is>
      </c>
      <c r="H223" s="426" t="inlineStr">
        <is>
          <t>https://attack.mitre.org/techniques/T0842</t>
        </is>
      </c>
    </row>
    <row r="224" ht="27.75" customHeight="1" s="508">
      <c r="A224" s="406" t="inlineStr">
        <is>
          <t>Destructive or Integrity Attack</t>
        </is>
      </c>
      <c r="B224" s="406" t="inlineStr">
        <is>
          <t>T0842</t>
        </is>
      </c>
      <c r="C224" s="406" t="inlineStr">
        <is>
          <t>Network Sniffing</t>
        </is>
      </c>
      <c r="D224" s="406" t="inlineStr">
        <is>
          <t>Discovery</t>
        </is>
      </c>
      <c r="E224" s="406" t="inlineStr">
        <is>
          <t>Candidate enabling technique</t>
        </is>
      </c>
      <c r="F224" s="406" t="inlineStr">
        <is>
          <t>S4</t>
        </is>
      </c>
      <c r="G224" s="406" t="inlineStr">
        <is>
          <t>Model Mapping</t>
        </is>
      </c>
      <c r="H224" s="426" t="inlineStr">
        <is>
          <t>https://attack.mitre.org/techniques/T0842</t>
        </is>
      </c>
    </row>
    <row r="225" ht="27.75" customHeight="1" s="508">
      <c r="A225" s="406" t="inlineStr">
        <is>
          <t>Operational Disruption</t>
        </is>
      </c>
      <c r="B225" s="406" t="inlineStr">
        <is>
          <t>T0843.002</t>
        </is>
      </c>
      <c r="C225" s="406" t="inlineStr">
        <is>
          <t>Online Edit</t>
        </is>
      </c>
      <c r="D225" s="406" t="inlineStr">
        <is>
          <t>Lateral Movement</t>
        </is>
      </c>
      <c r="E225" s="406" t="inlineStr">
        <is>
          <t>Candidate enabling technique</t>
        </is>
      </c>
      <c r="F225" s="406" t="inlineStr">
        <is>
          <t>S3</t>
        </is>
      </c>
      <c r="G225" s="406" t="inlineStr">
        <is>
          <t>Model Mapping</t>
        </is>
      </c>
      <c r="H225" s="426" t="inlineStr">
        <is>
          <t>https://attack.mitre.org/techniques/T0843/002</t>
        </is>
      </c>
    </row>
    <row r="226" ht="27.75" customHeight="1" s="508">
      <c r="A226" s="406" t="inlineStr">
        <is>
          <t>Loss of Control or Visibility</t>
        </is>
      </c>
      <c r="B226" s="406" t="inlineStr">
        <is>
          <t>T0843.002</t>
        </is>
      </c>
      <c r="C226" s="406" t="inlineStr">
        <is>
          <t>Online Edit</t>
        </is>
      </c>
      <c r="D226" s="406" t="inlineStr">
        <is>
          <t>Lateral Movement</t>
        </is>
      </c>
      <c r="E226" s="406" t="inlineStr">
        <is>
          <t>Candidate enabling technique</t>
        </is>
      </c>
      <c r="F226" s="406" t="inlineStr">
        <is>
          <t>S3</t>
        </is>
      </c>
      <c r="G226" s="406" t="inlineStr">
        <is>
          <t>Model Mapping</t>
        </is>
      </c>
      <c r="H226" s="426" t="inlineStr">
        <is>
          <t>https://attack.mitre.org/techniques/T0843/002</t>
        </is>
      </c>
    </row>
    <row r="227" ht="122.25" customHeight="1" s="508">
      <c r="A227" s="406" t="inlineStr">
        <is>
          <t>Process Manipulation</t>
        </is>
      </c>
      <c r="B227" s="406" t="inlineStr">
        <is>
          <t>T0843.002</t>
        </is>
      </c>
      <c r="C227" s="406" t="inlineStr">
        <is>
          <t>Online Edit</t>
        </is>
      </c>
      <c r="D227" s="406" t="inlineStr">
        <is>
          <t>Lateral Movement</t>
        </is>
      </c>
      <c r="E227" s="406" t="inlineStr">
        <is>
          <t>Supporting / impact</t>
        </is>
      </c>
      <c r="F227" s="406" t="inlineStr">
        <is>
          <t>S5</t>
        </is>
      </c>
      <c r="G227" s="406" t="inlineStr">
        <is>
          <t>RESTAGED v1.2: In the Process Manipulation scenario this technique directly implements the adverse outcome, so it is staged S5 rather than inheriting its ATT&amp;CK tactic. CRQ stage is scenario-specific.</t>
        </is>
      </c>
      <c r="H227" s="426" t="inlineStr">
        <is>
          <t>https://attack.mitre.org/techniques/T0843/002</t>
        </is>
      </c>
    </row>
    <row r="228" ht="27.75" customHeight="1" s="508">
      <c r="A228" s="406" t="inlineStr">
        <is>
          <t>Safety System Compromise</t>
        </is>
      </c>
      <c r="B228" s="406" t="inlineStr">
        <is>
          <t>T0843.002</t>
        </is>
      </c>
      <c r="C228" s="406" t="inlineStr">
        <is>
          <t>Online Edit</t>
        </is>
      </c>
      <c r="D228" s="406" t="inlineStr">
        <is>
          <t>Lateral Movement</t>
        </is>
      </c>
      <c r="E228" s="406" t="inlineStr">
        <is>
          <t>Candidate enabling technique</t>
        </is>
      </c>
      <c r="F228" s="406" t="inlineStr">
        <is>
          <t>S3</t>
        </is>
      </c>
      <c r="G228" s="406" t="inlineStr">
        <is>
          <t>Model Mapping</t>
        </is>
      </c>
      <c r="H228" s="426" t="inlineStr">
        <is>
          <t>https://attack.mitre.org/techniques/T0843/002</t>
        </is>
      </c>
    </row>
    <row r="229" ht="27.75" customHeight="1" s="508">
      <c r="A229" s="406" t="inlineStr">
        <is>
          <t>Destructive or Integrity Attack</t>
        </is>
      </c>
      <c r="B229" s="406" t="inlineStr">
        <is>
          <t>T0843.002</t>
        </is>
      </c>
      <c r="C229" s="406" t="inlineStr">
        <is>
          <t>Online Edit</t>
        </is>
      </c>
      <c r="D229" s="406" t="inlineStr">
        <is>
          <t>Lateral Movement</t>
        </is>
      </c>
      <c r="E229" s="406" t="inlineStr">
        <is>
          <t>Candidate enabling technique</t>
        </is>
      </c>
      <c r="F229" s="406" t="inlineStr">
        <is>
          <t>S3</t>
        </is>
      </c>
      <c r="G229" s="406" t="inlineStr">
        <is>
          <t>Model Mapping</t>
        </is>
      </c>
      <c r="H229" s="426" t="inlineStr">
        <is>
          <t>https://attack.mitre.org/techniques/T0843/002</t>
        </is>
      </c>
    </row>
    <row r="230" ht="27.75" customHeight="1" s="508">
      <c r="A230" s="406" t="inlineStr">
        <is>
          <t>Operational Disruption</t>
        </is>
      </c>
      <c r="B230" s="406" t="inlineStr">
        <is>
          <t>T0861</t>
        </is>
      </c>
      <c r="C230" s="406" t="inlineStr">
        <is>
          <t>Point &amp; Tag Identification</t>
        </is>
      </c>
      <c r="D230" s="406" t="inlineStr">
        <is>
          <t>Collection</t>
        </is>
      </c>
      <c r="E230" s="406" t="inlineStr">
        <is>
          <t>Candidate enabling technique</t>
        </is>
      </c>
      <c r="F230" s="406" t="inlineStr">
        <is>
          <t>S4</t>
        </is>
      </c>
      <c r="G230" s="406" t="inlineStr">
        <is>
          <t>Model Mapping</t>
        </is>
      </c>
      <c r="H230" s="426" t="inlineStr">
        <is>
          <t>https://attack.mitre.org/techniques/T0861</t>
        </is>
      </c>
    </row>
    <row r="231" ht="27.75" customHeight="1" s="508">
      <c r="A231" s="406" t="inlineStr">
        <is>
          <t>Loss of Control or Visibility</t>
        </is>
      </c>
      <c r="B231" s="406" t="inlineStr">
        <is>
          <t>T0861</t>
        </is>
      </c>
      <c r="C231" s="406" t="inlineStr">
        <is>
          <t>Point &amp; Tag Identification</t>
        </is>
      </c>
      <c r="D231" s="406" t="inlineStr">
        <is>
          <t>Collection</t>
        </is>
      </c>
      <c r="E231" s="406" t="inlineStr">
        <is>
          <t>Candidate enabling technique</t>
        </is>
      </c>
      <c r="F231" s="406" t="inlineStr">
        <is>
          <t>S4</t>
        </is>
      </c>
      <c r="G231" s="406" t="inlineStr">
        <is>
          <t>Model Mapping</t>
        </is>
      </c>
      <c r="H231" s="426" t="inlineStr">
        <is>
          <t>https://attack.mitre.org/techniques/T0861</t>
        </is>
      </c>
    </row>
    <row r="232" ht="27.75" customHeight="1" s="508">
      <c r="A232" s="406" t="inlineStr">
        <is>
          <t>Process Manipulation</t>
        </is>
      </c>
      <c r="B232" s="406" t="inlineStr">
        <is>
          <t>T0861</t>
        </is>
      </c>
      <c r="C232" s="406" t="inlineStr">
        <is>
          <t>Point &amp; Tag Identification</t>
        </is>
      </c>
      <c r="D232" s="406" t="inlineStr">
        <is>
          <t>Collection</t>
        </is>
      </c>
      <c r="E232" s="406" t="inlineStr">
        <is>
          <t>Candidate enabling technique</t>
        </is>
      </c>
      <c r="F232" s="406" t="inlineStr">
        <is>
          <t>S4</t>
        </is>
      </c>
      <c r="G232" s="406" t="inlineStr">
        <is>
          <t>Model Mapping</t>
        </is>
      </c>
      <c r="H232" s="426" t="inlineStr">
        <is>
          <t>https://attack.mitre.org/techniques/T0861</t>
        </is>
      </c>
    </row>
    <row r="233" ht="27.75" customHeight="1" s="508">
      <c r="A233" s="406" t="inlineStr">
        <is>
          <t>Safety System Compromise</t>
        </is>
      </c>
      <c r="B233" s="406" t="inlineStr">
        <is>
          <t>T0861</t>
        </is>
      </c>
      <c r="C233" s="406" t="inlineStr">
        <is>
          <t>Point &amp; Tag Identification</t>
        </is>
      </c>
      <c r="D233" s="406" t="inlineStr">
        <is>
          <t>Collection</t>
        </is>
      </c>
      <c r="E233" s="406" t="inlineStr">
        <is>
          <t>Candidate enabling technique</t>
        </is>
      </c>
      <c r="F233" s="406" t="inlineStr">
        <is>
          <t>S4</t>
        </is>
      </c>
      <c r="G233" s="406" t="inlineStr">
        <is>
          <t>Model Mapping</t>
        </is>
      </c>
      <c r="H233" s="426" t="inlineStr">
        <is>
          <t>https://attack.mitre.org/techniques/T0861</t>
        </is>
      </c>
    </row>
    <row r="234" ht="27.75" customHeight="1" s="508">
      <c r="A234" s="406" t="inlineStr">
        <is>
          <t>Destructive or Integrity Attack</t>
        </is>
      </c>
      <c r="B234" s="406" t="inlineStr">
        <is>
          <t>T0861</t>
        </is>
      </c>
      <c r="C234" s="406" t="inlineStr">
        <is>
          <t>Point &amp; Tag Identification</t>
        </is>
      </c>
      <c r="D234" s="406" t="inlineStr">
        <is>
          <t>Collection</t>
        </is>
      </c>
      <c r="E234" s="406" t="inlineStr">
        <is>
          <t>Candidate enabling technique</t>
        </is>
      </c>
      <c r="F234" s="406" t="inlineStr">
        <is>
          <t>S4</t>
        </is>
      </c>
      <c r="G234" s="406" t="inlineStr">
        <is>
          <t>Model Mapping</t>
        </is>
      </c>
      <c r="H234" s="426" t="inlineStr">
        <is>
          <t>https://attack.mitre.org/techniques/T0861</t>
        </is>
      </c>
    </row>
    <row r="235" ht="27.75" customHeight="1" s="508">
      <c r="A235" s="406" t="inlineStr">
        <is>
          <t>Operational Disruption</t>
        </is>
      </c>
      <c r="B235" s="406" t="inlineStr">
        <is>
          <t>T0846.001</t>
        </is>
      </c>
      <c r="C235" s="406" t="inlineStr">
        <is>
          <t>Port Scan</t>
        </is>
      </c>
      <c r="D235" s="406" t="inlineStr">
        <is>
          <t>Discovery</t>
        </is>
      </c>
      <c r="E235" s="406" t="inlineStr">
        <is>
          <t>Candidate enabling technique</t>
        </is>
      </c>
      <c r="F235" s="406" t="inlineStr">
        <is>
          <t>S4</t>
        </is>
      </c>
      <c r="G235" s="406" t="inlineStr">
        <is>
          <t>Model Mapping</t>
        </is>
      </c>
      <c r="H235" s="426" t="inlineStr">
        <is>
          <t>https://attack.mitre.org/techniques/T0846/001</t>
        </is>
      </c>
    </row>
    <row r="236" ht="27.75" customHeight="1" s="508">
      <c r="A236" s="406" t="inlineStr">
        <is>
          <t>Loss of Control or Visibility</t>
        </is>
      </c>
      <c r="B236" s="406" t="inlineStr">
        <is>
          <t>T0846.001</t>
        </is>
      </c>
      <c r="C236" s="406" t="inlineStr">
        <is>
          <t>Port Scan</t>
        </is>
      </c>
      <c r="D236" s="406" t="inlineStr">
        <is>
          <t>Discovery</t>
        </is>
      </c>
      <c r="E236" s="406" t="inlineStr">
        <is>
          <t>Candidate enabling technique</t>
        </is>
      </c>
      <c r="F236" s="406" t="inlineStr">
        <is>
          <t>S4</t>
        </is>
      </c>
      <c r="G236" s="406" t="inlineStr">
        <is>
          <t>Model Mapping</t>
        </is>
      </c>
      <c r="H236" s="426" t="inlineStr">
        <is>
          <t>https://attack.mitre.org/techniques/T0846/001</t>
        </is>
      </c>
    </row>
    <row r="237" ht="27.75" customHeight="1" s="508">
      <c r="A237" s="406" t="inlineStr">
        <is>
          <t>Process Manipulation</t>
        </is>
      </c>
      <c r="B237" s="406" t="inlineStr">
        <is>
          <t>T0846.001</t>
        </is>
      </c>
      <c r="C237" s="406" t="inlineStr">
        <is>
          <t>Port Scan</t>
        </is>
      </c>
      <c r="D237" s="406" t="inlineStr">
        <is>
          <t>Discovery</t>
        </is>
      </c>
      <c r="E237" s="406" t="inlineStr">
        <is>
          <t>Candidate enabling technique</t>
        </is>
      </c>
      <c r="F237" s="406" t="inlineStr">
        <is>
          <t>S4</t>
        </is>
      </c>
      <c r="G237" s="406" t="inlineStr">
        <is>
          <t>Model Mapping</t>
        </is>
      </c>
      <c r="H237" s="426" t="inlineStr">
        <is>
          <t>https://attack.mitre.org/techniques/T0846/001</t>
        </is>
      </c>
    </row>
    <row r="238" ht="27.75" customHeight="1" s="508">
      <c r="A238" s="406" t="inlineStr">
        <is>
          <t>Safety System Compromise</t>
        </is>
      </c>
      <c r="B238" s="406" t="inlineStr">
        <is>
          <t>T0846.001</t>
        </is>
      </c>
      <c r="C238" s="406" t="inlineStr">
        <is>
          <t>Port Scan</t>
        </is>
      </c>
      <c r="D238" s="406" t="inlineStr">
        <is>
          <t>Discovery</t>
        </is>
      </c>
      <c r="E238" s="406" t="inlineStr">
        <is>
          <t>Candidate enabling technique</t>
        </is>
      </c>
      <c r="F238" s="406" t="inlineStr">
        <is>
          <t>S4</t>
        </is>
      </c>
      <c r="G238" s="406" t="inlineStr">
        <is>
          <t>Model Mapping</t>
        </is>
      </c>
      <c r="H238" s="426" t="inlineStr">
        <is>
          <t>https://attack.mitre.org/techniques/T0846/001</t>
        </is>
      </c>
    </row>
    <row r="239" ht="27.75" customHeight="1" s="508">
      <c r="A239" s="406" t="inlineStr">
        <is>
          <t>Destructive or Integrity Attack</t>
        </is>
      </c>
      <c r="B239" s="406" t="inlineStr">
        <is>
          <t>T0846.001</t>
        </is>
      </c>
      <c r="C239" s="406" t="inlineStr">
        <is>
          <t>Port Scan</t>
        </is>
      </c>
      <c r="D239" s="406" t="inlineStr">
        <is>
          <t>Discovery</t>
        </is>
      </c>
      <c r="E239" s="406" t="inlineStr">
        <is>
          <t>Candidate enabling technique</t>
        </is>
      </c>
      <c r="F239" s="406" t="inlineStr">
        <is>
          <t>S4</t>
        </is>
      </c>
      <c r="G239" s="406" t="inlineStr">
        <is>
          <t>Model Mapping</t>
        </is>
      </c>
      <c r="H239" s="426" t="inlineStr">
        <is>
          <t>https://attack.mitre.org/techniques/T0846/001</t>
        </is>
      </c>
    </row>
    <row r="240" ht="27.75" customHeight="1" s="508">
      <c r="A240" s="406" t="inlineStr">
        <is>
          <t>Operational Disruption</t>
        </is>
      </c>
      <c r="B240" s="406" t="inlineStr">
        <is>
          <t>T0843.003</t>
        </is>
      </c>
      <c r="C240" s="406" t="inlineStr">
        <is>
          <t>Program Append</t>
        </is>
      </c>
      <c r="D240" s="406" t="inlineStr">
        <is>
          <t>Lateral Movement</t>
        </is>
      </c>
      <c r="E240" s="406" t="inlineStr">
        <is>
          <t>Candidate enabling technique</t>
        </is>
      </c>
      <c r="F240" s="406" t="inlineStr">
        <is>
          <t>S3</t>
        </is>
      </c>
      <c r="G240" s="406" t="inlineStr">
        <is>
          <t>Model Mapping</t>
        </is>
      </c>
      <c r="H240" s="426" t="inlineStr">
        <is>
          <t>https://attack.mitre.org/techniques/T0843/003</t>
        </is>
      </c>
    </row>
    <row r="241" ht="27.75" customHeight="1" s="508">
      <c r="A241" s="406" t="inlineStr">
        <is>
          <t>Loss of Control or Visibility</t>
        </is>
      </c>
      <c r="B241" s="406" t="inlineStr">
        <is>
          <t>T0843.003</t>
        </is>
      </c>
      <c r="C241" s="406" t="inlineStr">
        <is>
          <t>Program Append</t>
        </is>
      </c>
      <c r="D241" s="406" t="inlineStr">
        <is>
          <t>Lateral Movement</t>
        </is>
      </c>
      <c r="E241" s="406" t="inlineStr">
        <is>
          <t>Candidate enabling technique</t>
        </is>
      </c>
      <c r="F241" s="406" t="inlineStr">
        <is>
          <t>S3</t>
        </is>
      </c>
      <c r="G241" s="406" t="inlineStr">
        <is>
          <t>Model Mapping</t>
        </is>
      </c>
      <c r="H241" s="426" t="inlineStr">
        <is>
          <t>https://attack.mitre.org/techniques/T0843/003</t>
        </is>
      </c>
    </row>
    <row r="242" ht="27.75" customHeight="1" s="508">
      <c r="A242" s="406" t="inlineStr">
        <is>
          <t>Process Manipulation</t>
        </is>
      </c>
      <c r="B242" s="406" t="inlineStr">
        <is>
          <t>T0843.003</t>
        </is>
      </c>
      <c r="C242" s="406" t="inlineStr">
        <is>
          <t>Program Append</t>
        </is>
      </c>
      <c r="D242" s="406" t="inlineStr">
        <is>
          <t>Lateral Movement</t>
        </is>
      </c>
      <c r="E242" s="406" t="inlineStr">
        <is>
          <t>Candidate enabling technique</t>
        </is>
      </c>
      <c r="F242" s="406" t="inlineStr">
        <is>
          <t>S3</t>
        </is>
      </c>
      <c r="G242" s="406" t="inlineStr">
        <is>
          <t>Model Mapping</t>
        </is>
      </c>
      <c r="H242" s="426" t="inlineStr">
        <is>
          <t>https://attack.mitre.org/techniques/T0843/003</t>
        </is>
      </c>
    </row>
    <row r="243" ht="27.75" customHeight="1" s="508">
      <c r="A243" s="406" t="inlineStr">
        <is>
          <t>Safety System Compromise</t>
        </is>
      </c>
      <c r="B243" s="406" t="inlineStr">
        <is>
          <t>T0843.003</t>
        </is>
      </c>
      <c r="C243" s="406" t="inlineStr">
        <is>
          <t>Program Append</t>
        </is>
      </c>
      <c r="D243" s="406" t="inlineStr">
        <is>
          <t>Lateral Movement</t>
        </is>
      </c>
      <c r="E243" s="406" t="inlineStr">
        <is>
          <t>Candidate enabling technique</t>
        </is>
      </c>
      <c r="F243" s="406" t="inlineStr">
        <is>
          <t>S3</t>
        </is>
      </c>
      <c r="G243" s="406" t="inlineStr">
        <is>
          <t>Model Mapping</t>
        </is>
      </c>
      <c r="H243" s="426" t="inlineStr">
        <is>
          <t>https://attack.mitre.org/techniques/T0843/003</t>
        </is>
      </c>
    </row>
    <row r="244" ht="27.75" customHeight="1" s="508">
      <c r="A244" s="406" t="inlineStr">
        <is>
          <t>Destructive or Integrity Attack</t>
        </is>
      </c>
      <c r="B244" s="406" t="inlineStr">
        <is>
          <t>T0843.003</t>
        </is>
      </c>
      <c r="C244" s="406" t="inlineStr">
        <is>
          <t>Program Append</t>
        </is>
      </c>
      <c r="D244" s="406" t="inlineStr">
        <is>
          <t>Lateral Movement</t>
        </is>
      </c>
      <c r="E244" s="406" t="inlineStr">
        <is>
          <t>Candidate enabling technique</t>
        </is>
      </c>
      <c r="F244" s="406" t="inlineStr">
        <is>
          <t>S3</t>
        </is>
      </c>
      <c r="G244" s="406" t="inlineStr">
        <is>
          <t>Model Mapping</t>
        </is>
      </c>
      <c r="H244" s="426" t="inlineStr">
        <is>
          <t>https://attack.mitre.org/techniques/T0843/003</t>
        </is>
      </c>
    </row>
    <row r="245" ht="122.25" customHeight="1" s="508">
      <c r="A245" s="406" t="inlineStr">
        <is>
          <t>Operational Disruption</t>
        </is>
      </c>
      <c r="B245" s="406" t="inlineStr">
        <is>
          <t>T0843</t>
        </is>
      </c>
      <c r="C245" s="406" t="inlineStr">
        <is>
          <t>Program Download</t>
        </is>
      </c>
      <c r="D245" s="406" t="inlineStr">
        <is>
          <t>Lateral Movement</t>
        </is>
      </c>
      <c r="E245" s="406" t="inlineStr">
        <is>
          <t>Excluded — parent/sub duplicate</t>
        </is>
      </c>
      <c r="F245" s="406" t="inlineStr">
        <is>
          <t>S3</t>
        </is>
      </c>
      <c r="G245" s="406" t="inlineStr">
        <is>
          <t>SUPPRESSED v1.2: parent technique carries no separate weight where applicable sub-techniques are mapped in the same scenario. Prevents one underlying behaviour receiving multiple weights in the stage barrier.</t>
        </is>
      </c>
      <c r="H245" s="426" t="inlineStr">
        <is>
          <t>https://attack.mitre.org/techniques/T0843</t>
        </is>
      </c>
    </row>
    <row r="246" ht="122.25" customHeight="1" s="508">
      <c r="A246" s="406" t="inlineStr">
        <is>
          <t>Loss of Control or Visibility</t>
        </is>
      </c>
      <c r="B246" s="406" t="inlineStr">
        <is>
          <t>T0843</t>
        </is>
      </c>
      <c r="C246" s="406" t="inlineStr">
        <is>
          <t>Program Download</t>
        </is>
      </c>
      <c r="D246" s="406" t="inlineStr">
        <is>
          <t>Lateral Movement</t>
        </is>
      </c>
      <c r="E246" s="406" t="inlineStr">
        <is>
          <t>Excluded — parent/sub duplicate</t>
        </is>
      </c>
      <c r="F246" s="406" t="inlineStr">
        <is>
          <t>S3</t>
        </is>
      </c>
      <c r="G246" s="406" t="inlineStr">
        <is>
          <t>SUPPRESSED v1.2: parent technique carries no separate weight where applicable sub-techniques are mapped in the same scenario. Prevents one underlying behaviour receiving multiple weights in the stage barrier.</t>
        </is>
      </c>
      <c r="H246" s="426" t="inlineStr">
        <is>
          <t>https://attack.mitre.org/techniques/T0843</t>
        </is>
      </c>
    </row>
    <row r="247" ht="122.25" customHeight="1" s="508">
      <c r="A247" s="406" t="inlineStr">
        <is>
          <t>Process Manipulation</t>
        </is>
      </c>
      <c r="B247" s="406" t="inlineStr">
        <is>
          <t>T0843</t>
        </is>
      </c>
      <c r="C247" s="406" t="inlineStr">
        <is>
          <t>Program Download</t>
        </is>
      </c>
      <c r="D247" s="406" t="inlineStr">
        <is>
          <t>Lateral Movement</t>
        </is>
      </c>
      <c r="E247" s="406" t="inlineStr">
        <is>
          <t>Excluded — parent/sub duplicate</t>
        </is>
      </c>
      <c r="F247" s="406" t="inlineStr">
        <is>
          <t>S3</t>
        </is>
      </c>
      <c r="G247" s="406" t="inlineStr">
        <is>
          <t>SUPPRESSED v1.2: parent technique carries no separate weight where applicable sub-techniques are mapped in the same scenario. Prevents one underlying behaviour receiving multiple weights in the stage barrier.</t>
        </is>
      </c>
      <c r="H247" s="426" t="inlineStr">
        <is>
          <t>https://attack.mitre.org/techniques/T0843</t>
        </is>
      </c>
    </row>
    <row r="248" ht="122.25" customHeight="1" s="508">
      <c r="A248" s="406" t="inlineStr">
        <is>
          <t>Safety System Compromise</t>
        </is>
      </c>
      <c r="B248" s="406" t="inlineStr">
        <is>
          <t>T0843</t>
        </is>
      </c>
      <c r="C248" s="406" t="inlineStr">
        <is>
          <t>Program Download</t>
        </is>
      </c>
      <c r="D248" s="406" t="inlineStr">
        <is>
          <t>Lateral Movement</t>
        </is>
      </c>
      <c r="E248" s="406" t="inlineStr">
        <is>
          <t>Excluded — parent/sub duplicate</t>
        </is>
      </c>
      <c r="F248" s="406" t="inlineStr">
        <is>
          <t>S3</t>
        </is>
      </c>
      <c r="G248" s="406" t="inlineStr">
        <is>
          <t>SUPPRESSED v1.2: parent technique carries no separate weight where applicable sub-techniques are mapped in the same scenario. Prevents one underlying behaviour receiving multiple weights in the stage barrier.</t>
        </is>
      </c>
      <c r="H248" s="426" t="inlineStr">
        <is>
          <t>https://attack.mitre.org/techniques/T0843</t>
        </is>
      </c>
    </row>
    <row r="249" ht="122.25" customHeight="1" s="508">
      <c r="A249" s="406" t="inlineStr">
        <is>
          <t>Destructive or Integrity Attack</t>
        </is>
      </c>
      <c r="B249" s="406" t="inlineStr">
        <is>
          <t>T0843</t>
        </is>
      </c>
      <c r="C249" s="406" t="inlineStr">
        <is>
          <t>Program Download</t>
        </is>
      </c>
      <c r="D249" s="406" t="inlineStr">
        <is>
          <t>Lateral Movement</t>
        </is>
      </c>
      <c r="E249" s="406" t="inlineStr">
        <is>
          <t>Excluded — parent/sub duplicate</t>
        </is>
      </c>
      <c r="F249" s="406" t="inlineStr">
        <is>
          <t>S3</t>
        </is>
      </c>
      <c r="G249" s="406" t="inlineStr">
        <is>
          <t>SUPPRESSED v1.2: parent technique carries no separate weight where applicable sub-techniques are mapped in the same scenario. Prevents one underlying behaviour receiving multiple weights in the stage barrier.</t>
        </is>
      </c>
      <c r="H249" s="426" t="inlineStr">
        <is>
          <t>https://attack.mitre.org/techniques/T0843</t>
        </is>
      </c>
    </row>
    <row r="250" ht="27.75" customHeight="1" s="508">
      <c r="A250" s="406" t="inlineStr">
        <is>
          <t>Operational Disruption</t>
        </is>
      </c>
      <c r="B250" s="406" t="inlineStr">
        <is>
          <t>T0845</t>
        </is>
      </c>
      <c r="C250" s="406" t="inlineStr">
        <is>
          <t>Program Upload</t>
        </is>
      </c>
      <c r="D250" s="406" t="inlineStr">
        <is>
          <t>Collection</t>
        </is>
      </c>
      <c r="E250" s="406" t="inlineStr">
        <is>
          <t>Candidate enabling technique</t>
        </is>
      </c>
      <c r="F250" s="406" t="inlineStr">
        <is>
          <t>S4</t>
        </is>
      </c>
      <c r="G250" s="406" t="inlineStr">
        <is>
          <t>Model Mapping</t>
        </is>
      </c>
      <c r="H250" s="426" t="inlineStr">
        <is>
          <t>https://attack.mitre.org/techniques/T0845</t>
        </is>
      </c>
    </row>
    <row r="251" ht="27.75" customHeight="1" s="508">
      <c r="A251" s="406" t="inlineStr">
        <is>
          <t>Loss of Control or Visibility</t>
        </is>
      </c>
      <c r="B251" s="406" t="inlineStr">
        <is>
          <t>T0845</t>
        </is>
      </c>
      <c r="C251" s="406" t="inlineStr">
        <is>
          <t>Program Upload</t>
        </is>
      </c>
      <c r="D251" s="406" t="inlineStr">
        <is>
          <t>Collection</t>
        </is>
      </c>
      <c r="E251" s="406" t="inlineStr">
        <is>
          <t>Candidate enabling technique</t>
        </is>
      </c>
      <c r="F251" s="406" t="inlineStr">
        <is>
          <t>S4</t>
        </is>
      </c>
      <c r="G251" s="406" t="inlineStr">
        <is>
          <t>Model Mapping</t>
        </is>
      </c>
      <c r="H251" s="426" t="inlineStr">
        <is>
          <t>https://attack.mitre.org/techniques/T0845</t>
        </is>
      </c>
    </row>
    <row r="252" ht="27.75" customHeight="1" s="508">
      <c r="A252" s="406" t="inlineStr">
        <is>
          <t>Process Manipulation</t>
        </is>
      </c>
      <c r="B252" s="406" t="inlineStr">
        <is>
          <t>T0845</t>
        </is>
      </c>
      <c r="C252" s="406" t="inlineStr">
        <is>
          <t>Program Upload</t>
        </is>
      </c>
      <c r="D252" s="406" t="inlineStr">
        <is>
          <t>Collection</t>
        </is>
      </c>
      <c r="E252" s="406" t="inlineStr">
        <is>
          <t>Candidate enabling technique</t>
        </is>
      </c>
      <c r="F252" s="406" t="inlineStr">
        <is>
          <t>S4</t>
        </is>
      </c>
      <c r="G252" s="406" t="inlineStr">
        <is>
          <t>Model Mapping</t>
        </is>
      </c>
      <c r="H252" s="426" t="inlineStr">
        <is>
          <t>https://attack.mitre.org/techniques/T0845</t>
        </is>
      </c>
    </row>
    <row r="253" ht="27.75" customHeight="1" s="508">
      <c r="A253" s="406" t="inlineStr">
        <is>
          <t>Safety System Compromise</t>
        </is>
      </c>
      <c r="B253" s="406" t="inlineStr">
        <is>
          <t>T0845</t>
        </is>
      </c>
      <c r="C253" s="406" t="inlineStr">
        <is>
          <t>Program Upload</t>
        </is>
      </c>
      <c r="D253" s="406" t="inlineStr">
        <is>
          <t>Collection</t>
        </is>
      </c>
      <c r="E253" s="406" t="inlineStr">
        <is>
          <t>Candidate enabling technique</t>
        </is>
      </c>
      <c r="F253" s="406" t="inlineStr">
        <is>
          <t>S4</t>
        </is>
      </c>
      <c r="G253" s="406" t="inlineStr">
        <is>
          <t>Model Mapping</t>
        </is>
      </c>
      <c r="H253" s="426" t="inlineStr">
        <is>
          <t>https://attack.mitre.org/techniques/T0845</t>
        </is>
      </c>
    </row>
    <row r="254" ht="27.75" customHeight="1" s="508">
      <c r="A254" s="406" t="inlineStr">
        <is>
          <t>Destructive or Integrity Attack</t>
        </is>
      </c>
      <c r="B254" s="406" t="inlineStr">
        <is>
          <t>T0845</t>
        </is>
      </c>
      <c r="C254" s="406" t="inlineStr">
        <is>
          <t>Program Upload</t>
        </is>
      </c>
      <c r="D254" s="406" t="inlineStr">
        <is>
          <t>Collection</t>
        </is>
      </c>
      <c r="E254" s="406" t="inlineStr">
        <is>
          <t>Candidate enabling technique</t>
        </is>
      </c>
      <c r="F254" s="406" t="inlineStr">
        <is>
          <t>S4</t>
        </is>
      </c>
      <c r="G254" s="406" t="inlineStr">
        <is>
          <t>Model Mapping</t>
        </is>
      </c>
      <c r="H254" s="426" t="inlineStr">
        <is>
          <t>https://attack.mitre.org/techniques/T0845</t>
        </is>
      </c>
    </row>
    <row r="255" ht="122.25" customHeight="1" s="508">
      <c r="A255" s="406" t="inlineStr">
        <is>
          <t>Operational Disruption</t>
        </is>
      </c>
      <c r="B255" s="406" t="inlineStr">
        <is>
          <t>T0873</t>
        </is>
      </c>
      <c r="C255" s="406" t="inlineStr">
        <is>
          <t>Project File Infection</t>
        </is>
      </c>
      <c r="D255" s="406" t="inlineStr">
        <is>
          <t>Persistence</t>
        </is>
      </c>
      <c r="E255" s="406" t="inlineStr">
        <is>
          <t>Excluded — parent/sub duplicate</t>
        </is>
      </c>
      <c r="F255" s="406" t="inlineStr">
        <is>
          <t>S2</t>
        </is>
      </c>
      <c r="G255" s="406" t="inlineStr">
        <is>
          <t>SUPPRESSED v1.2: parent technique carries no separate weight where applicable sub-techniques are mapped in the same scenario. Prevents one underlying behaviour receiving multiple weights in the stage barrier.</t>
        </is>
      </c>
      <c r="H255" s="426" t="inlineStr">
        <is>
          <t>https://attack.mitre.org/techniques/T0873</t>
        </is>
      </c>
    </row>
    <row r="256" ht="122.25" customHeight="1" s="508">
      <c r="A256" s="406" t="inlineStr">
        <is>
          <t>Loss of Control or Visibility</t>
        </is>
      </c>
      <c r="B256" s="406" t="inlineStr">
        <is>
          <t>T0873</t>
        </is>
      </c>
      <c r="C256" s="406" t="inlineStr">
        <is>
          <t>Project File Infection</t>
        </is>
      </c>
      <c r="D256" s="406" t="inlineStr">
        <is>
          <t>Persistence</t>
        </is>
      </c>
      <c r="E256" s="406" t="inlineStr">
        <is>
          <t>Excluded — parent/sub duplicate</t>
        </is>
      </c>
      <c r="F256" s="406" t="inlineStr">
        <is>
          <t>S2</t>
        </is>
      </c>
      <c r="G256" s="406" t="inlineStr">
        <is>
          <t>SUPPRESSED v1.2: parent technique carries no separate weight where applicable sub-techniques are mapped in the same scenario. Prevents one underlying behaviour receiving multiple weights in the stage barrier.</t>
        </is>
      </c>
      <c r="H256" s="426" t="inlineStr">
        <is>
          <t>https://attack.mitre.org/techniques/T0873</t>
        </is>
      </c>
    </row>
    <row r="257" ht="122.25" customHeight="1" s="508">
      <c r="A257" s="406" t="inlineStr">
        <is>
          <t>Process Manipulation</t>
        </is>
      </c>
      <c r="B257" s="406" t="inlineStr">
        <is>
          <t>T0873</t>
        </is>
      </c>
      <c r="C257" s="406" t="inlineStr">
        <is>
          <t>Project File Infection</t>
        </is>
      </c>
      <c r="D257" s="406" t="inlineStr">
        <is>
          <t>Persistence</t>
        </is>
      </c>
      <c r="E257" s="406" t="inlineStr">
        <is>
          <t>Excluded — parent/sub duplicate</t>
        </is>
      </c>
      <c r="F257" s="406" t="inlineStr">
        <is>
          <t>S2</t>
        </is>
      </c>
      <c r="G257" s="406" t="inlineStr">
        <is>
          <t>SUPPRESSED v1.2: parent technique carries no separate weight where applicable sub-techniques are mapped in the same scenario. Prevents one underlying behaviour receiving multiple weights in the stage barrier.</t>
        </is>
      </c>
      <c r="H257" s="426" t="inlineStr">
        <is>
          <t>https://attack.mitre.org/techniques/T0873</t>
        </is>
      </c>
    </row>
    <row r="258" ht="122.25" customHeight="1" s="508">
      <c r="A258" s="406" t="inlineStr">
        <is>
          <t>Safety System Compromise</t>
        </is>
      </c>
      <c r="B258" s="406" t="inlineStr">
        <is>
          <t>T0873</t>
        </is>
      </c>
      <c r="C258" s="406" t="inlineStr">
        <is>
          <t>Project File Infection</t>
        </is>
      </c>
      <c r="D258" s="406" t="inlineStr">
        <is>
          <t>Persistence</t>
        </is>
      </c>
      <c r="E258" s="406" t="inlineStr">
        <is>
          <t>Excluded — parent/sub duplicate</t>
        </is>
      </c>
      <c r="F258" s="406" t="inlineStr">
        <is>
          <t>S2</t>
        </is>
      </c>
      <c r="G258" s="406" t="inlineStr">
        <is>
          <t>SUPPRESSED v1.2: parent technique carries no separate weight where applicable sub-techniques are mapped in the same scenario. Prevents one underlying behaviour receiving multiple weights in the stage barrier.</t>
        </is>
      </c>
      <c r="H258" s="426" t="inlineStr">
        <is>
          <t>https://attack.mitre.org/techniques/T0873</t>
        </is>
      </c>
    </row>
    <row r="259" ht="122.25" customHeight="1" s="508">
      <c r="A259" s="406" t="inlineStr">
        <is>
          <t>Destructive or Integrity Attack</t>
        </is>
      </c>
      <c r="B259" s="406" t="inlineStr">
        <is>
          <t>T0873</t>
        </is>
      </c>
      <c r="C259" s="406" t="inlineStr">
        <is>
          <t>Project File Infection</t>
        </is>
      </c>
      <c r="D259" s="406" t="inlineStr">
        <is>
          <t>Persistence</t>
        </is>
      </c>
      <c r="E259" s="406" t="inlineStr">
        <is>
          <t>Excluded — parent/sub duplicate</t>
        </is>
      </c>
      <c r="F259" s="406" t="inlineStr">
        <is>
          <t>S5</t>
        </is>
      </c>
      <c r="G259" s="406" t="inlineStr">
        <is>
          <t>SUPPRESSED v1.2: parent technique carries no separate weight where applicable sub-techniques are mapped in the same scenario. Prevents one underlying behaviour receiving multiple weights in the stage barrier.</t>
        </is>
      </c>
      <c r="H259" s="426" t="inlineStr">
        <is>
          <t>https://attack.mitre.org/techniques/T0873</t>
        </is>
      </c>
    </row>
    <row r="260" ht="27.75" customHeight="1" s="508">
      <c r="A260" s="406" t="inlineStr">
        <is>
          <t>Operational Disruption</t>
        </is>
      </c>
      <c r="B260" s="406" t="inlineStr">
        <is>
          <t>T0886</t>
        </is>
      </c>
      <c r="C260" s="406" t="inlineStr">
        <is>
          <t>Remote Services</t>
        </is>
      </c>
      <c r="D260" s="406" t="inlineStr">
        <is>
          <t>Initial Access, Lateral Movement</t>
        </is>
      </c>
      <c r="E260" s="406" t="inlineStr">
        <is>
          <t>Candidate enabling technique</t>
        </is>
      </c>
      <c r="F260" s="406" t="inlineStr">
        <is>
          <t>S1</t>
        </is>
      </c>
      <c r="G260" s="406" t="inlineStr">
        <is>
          <t>Model Mapping</t>
        </is>
      </c>
      <c r="H260" s="426" t="inlineStr">
        <is>
          <t>https://attack.mitre.org/techniques/T0886</t>
        </is>
      </c>
    </row>
    <row r="261" ht="27.75" customHeight="1" s="508">
      <c r="A261" s="406" t="inlineStr">
        <is>
          <t>Loss of Control or Visibility</t>
        </is>
      </c>
      <c r="B261" s="406" t="inlineStr">
        <is>
          <t>T0886</t>
        </is>
      </c>
      <c r="C261" s="406" t="inlineStr">
        <is>
          <t>Remote Services</t>
        </is>
      </c>
      <c r="D261" s="406" t="inlineStr">
        <is>
          <t>Initial Access, Lateral Movement</t>
        </is>
      </c>
      <c r="E261" s="406" t="inlineStr">
        <is>
          <t>Candidate enabling technique</t>
        </is>
      </c>
      <c r="F261" s="406" t="inlineStr">
        <is>
          <t>S1</t>
        </is>
      </c>
      <c r="G261" s="406" t="inlineStr">
        <is>
          <t>Model Mapping</t>
        </is>
      </c>
      <c r="H261" s="426" t="inlineStr">
        <is>
          <t>https://attack.mitre.org/techniques/T0886</t>
        </is>
      </c>
    </row>
    <row r="262" ht="27.75" customHeight="1" s="508">
      <c r="A262" s="406" t="inlineStr">
        <is>
          <t>Process Manipulation</t>
        </is>
      </c>
      <c r="B262" s="406" t="inlineStr">
        <is>
          <t>T0886</t>
        </is>
      </c>
      <c r="C262" s="406" t="inlineStr">
        <is>
          <t>Remote Services</t>
        </is>
      </c>
      <c r="D262" s="406" t="inlineStr">
        <is>
          <t>Initial Access, Lateral Movement</t>
        </is>
      </c>
      <c r="E262" s="406" t="inlineStr">
        <is>
          <t>Candidate enabling technique</t>
        </is>
      </c>
      <c r="F262" s="406" t="inlineStr">
        <is>
          <t>S1</t>
        </is>
      </c>
      <c r="G262" s="406" t="inlineStr">
        <is>
          <t>Model Mapping</t>
        </is>
      </c>
      <c r="H262" s="426" t="inlineStr">
        <is>
          <t>https://attack.mitre.org/techniques/T0886</t>
        </is>
      </c>
    </row>
    <row r="263" ht="27.75" customHeight="1" s="508">
      <c r="A263" s="406" t="inlineStr">
        <is>
          <t>Safety System Compromise</t>
        </is>
      </c>
      <c r="B263" s="406" t="inlineStr">
        <is>
          <t>T0886</t>
        </is>
      </c>
      <c r="C263" s="406" t="inlineStr">
        <is>
          <t>Remote Services</t>
        </is>
      </c>
      <c r="D263" s="406" t="inlineStr">
        <is>
          <t>Initial Access, Lateral Movement</t>
        </is>
      </c>
      <c r="E263" s="406" t="inlineStr">
        <is>
          <t>Candidate enabling technique</t>
        </is>
      </c>
      <c r="F263" s="406" t="inlineStr">
        <is>
          <t>S1</t>
        </is>
      </c>
      <c r="G263" s="406" t="inlineStr">
        <is>
          <t>Model Mapping</t>
        </is>
      </c>
      <c r="H263" s="426" t="inlineStr">
        <is>
          <t>https://attack.mitre.org/techniques/T0886</t>
        </is>
      </c>
    </row>
    <row r="264" ht="27.75" customHeight="1" s="508">
      <c r="A264" s="406" t="inlineStr">
        <is>
          <t>Destructive or Integrity Attack</t>
        </is>
      </c>
      <c r="B264" s="406" t="inlineStr">
        <is>
          <t>T0886</t>
        </is>
      </c>
      <c r="C264" s="406" t="inlineStr">
        <is>
          <t>Remote Services</t>
        </is>
      </c>
      <c r="D264" s="406" t="inlineStr">
        <is>
          <t>Initial Access, Lateral Movement</t>
        </is>
      </c>
      <c r="E264" s="406" t="inlineStr">
        <is>
          <t>Candidate enabling technique</t>
        </is>
      </c>
      <c r="F264" s="406" t="inlineStr">
        <is>
          <t>S1</t>
        </is>
      </c>
      <c r="G264" s="406" t="inlineStr">
        <is>
          <t>Model Mapping</t>
        </is>
      </c>
      <c r="H264" s="426" t="inlineStr">
        <is>
          <t>https://attack.mitre.org/techniques/T0886</t>
        </is>
      </c>
    </row>
    <row r="265" ht="122.25" customHeight="1" s="508">
      <c r="A265" s="406" t="inlineStr">
        <is>
          <t>Operational Disruption</t>
        </is>
      </c>
      <c r="B265" s="406" t="inlineStr">
        <is>
          <t>T0846</t>
        </is>
      </c>
      <c r="C265" s="406" t="inlineStr">
        <is>
          <t>Remote System Discovery</t>
        </is>
      </c>
      <c r="D265" s="406" t="inlineStr">
        <is>
          <t>Discovery</t>
        </is>
      </c>
      <c r="E265" s="406" t="inlineStr">
        <is>
          <t>Excluded — parent/sub duplicate</t>
        </is>
      </c>
      <c r="F265" s="406" t="inlineStr">
        <is>
          <t>S4</t>
        </is>
      </c>
      <c r="G265" s="406" t="inlineStr">
        <is>
          <t>SUPPRESSED v1.2: parent technique carries no separate weight where applicable sub-techniques are mapped in the same scenario. Prevents one underlying behaviour receiving multiple weights in the stage barrier.</t>
        </is>
      </c>
      <c r="H265" s="426" t="inlineStr">
        <is>
          <t>https://attack.mitre.org/techniques/T0846</t>
        </is>
      </c>
    </row>
    <row r="266" ht="122.25" customHeight="1" s="508">
      <c r="A266" s="406" t="inlineStr">
        <is>
          <t>Loss of Control or Visibility</t>
        </is>
      </c>
      <c r="B266" s="406" t="inlineStr">
        <is>
          <t>T0846</t>
        </is>
      </c>
      <c r="C266" s="406" t="inlineStr">
        <is>
          <t>Remote System Discovery</t>
        </is>
      </c>
      <c r="D266" s="406" t="inlineStr">
        <is>
          <t>Discovery</t>
        </is>
      </c>
      <c r="E266" s="406" t="inlineStr">
        <is>
          <t>Excluded — parent/sub duplicate</t>
        </is>
      </c>
      <c r="F266" s="406" t="inlineStr">
        <is>
          <t>S4</t>
        </is>
      </c>
      <c r="G266" s="406" t="inlineStr">
        <is>
          <t>SUPPRESSED v1.2: parent technique carries no separate weight where applicable sub-techniques are mapped in the same scenario. Prevents one underlying behaviour receiving multiple weights in the stage barrier.</t>
        </is>
      </c>
      <c r="H266" s="426" t="inlineStr">
        <is>
          <t>https://attack.mitre.org/techniques/T0846</t>
        </is>
      </c>
    </row>
    <row r="267" ht="122.25" customHeight="1" s="508">
      <c r="A267" s="406" t="inlineStr">
        <is>
          <t>Process Manipulation</t>
        </is>
      </c>
      <c r="B267" s="406" t="inlineStr">
        <is>
          <t>T0846</t>
        </is>
      </c>
      <c r="C267" s="406" t="inlineStr">
        <is>
          <t>Remote System Discovery</t>
        </is>
      </c>
      <c r="D267" s="406" t="inlineStr">
        <is>
          <t>Discovery</t>
        </is>
      </c>
      <c r="E267" s="406" t="inlineStr">
        <is>
          <t>Excluded — parent/sub duplicate</t>
        </is>
      </c>
      <c r="F267" s="406" t="inlineStr">
        <is>
          <t>S4</t>
        </is>
      </c>
      <c r="G267" s="406" t="inlineStr">
        <is>
          <t>SUPPRESSED v1.2: parent technique carries no separate weight where applicable sub-techniques are mapped in the same scenario. Prevents one underlying behaviour receiving multiple weights in the stage barrier.</t>
        </is>
      </c>
      <c r="H267" s="426" t="inlineStr">
        <is>
          <t>https://attack.mitre.org/techniques/T0846</t>
        </is>
      </c>
    </row>
    <row r="268" ht="122.25" customHeight="1" s="508">
      <c r="A268" s="406" t="inlineStr">
        <is>
          <t>Safety System Compromise</t>
        </is>
      </c>
      <c r="B268" s="406" t="inlineStr">
        <is>
          <t>T0846</t>
        </is>
      </c>
      <c r="C268" s="406" t="inlineStr">
        <is>
          <t>Remote System Discovery</t>
        </is>
      </c>
      <c r="D268" s="406" t="inlineStr">
        <is>
          <t>Discovery</t>
        </is>
      </c>
      <c r="E268" s="406" t="inlineStr">
        <is>
          <t>Excluded — parent/sub duplicate</t>
        </is>
      </c>
      <c r="F268" s="406" t="inlineStr">
        <is>
          <t>S4</t>
        </is>
      </c>
      <c r="G268" s="406" t="inlineStr">
        <is>
          <t>SUPPRESSED v1.2: parent technique carries no separate weight where applicable sub-techniques are mapped in the same scenario. Prevents one underlying behaviour receiving multiple weights in the stage barrier.</t>
        </is>
      </c>
      <c r="H268" s="426" t="inlineStr">
        <is>
          <t>https://attack.mitre.org/techniques/T0846</t>
        </is>
      </c>
    </row>
    <row r="269" ht="122.25" customHeight="1" s="508">
      <c r="A269" s="406" t="inlineStr">
        <is>
          <t>Destructive or Integrity Attack</t>
        </is>
      </c>
      <c r="B269" s="406" t="inlineStr">
        <is>
          <t>T0846</t>
        </is>
      </c>
      <c r="C269" s="406" t="inlineStr">
        <is>
          <t>Remote System Discovery</t>
        </is>
      </c>
      <c r="D269" s="406" t="inlineStr">
        <is>
          <t>Discovery</t>
        </is>
      </c>
      <c r="E269" s="406" t="inlineStr">
        <is>
          <t>Excluded — parent/sub duplicate</t>
        </is>
      </c>
      <c r="F269" s="406" t="inlineStr">
        <is>
          <t>S4</t>
        </is>
      </c>
      <c r="G269" s="406" t="inlineStr">
        <is>
          <t>SUPPRESSED v1.2: parent technique carries no separate weight where applicable sub-techniques are mapped in the same scenario. Prevents one underlying behaviour receiving multiple weights in the stage barrier.</t>
        </is>
      </c>
      <c r="H269" s="426" t="inlineStr">
        <is>
          <t>https://attack.mitre.org/techniques/T0846</t>
        </is>
      </c>
    </row>
    <row r="270" ht="27.75" customHeight="1" s="508">
      <c r="A270" s="406" t="inlineStr">
        <is>
          <t>Operational Disruption</t>
        </is>
      </c>
      <c r="B270" s="406" t="inlineStr">
        <is>
          <t>T0888</t>
        </is>
      </c>
      <c r="C270" s="406" t="inlineStr">
        <is>
          <t>Remote System Information Discovery</t>
        </is>
      </c>
      <c r="D270" s="406" t="inlineStr">
        <is>
          <t>Discovery</t>
        </is>
      </c>
      <c r="E270" s="406" t="inlineStr">
        <is>
          <t>Candidate enabling technique</t>
        </is>
      </c>
      <c r="F270" s="406" t="inlineStr">
        <is>
          <t>S4</t>
        </is>
      </c>
      <c r="G270" s="406" t="inlineStr">
        <is>
          <t>Model Mapping</t>
        </is>
      </c>
      <c r="H270" s="426" t="inlineStr">
        <is>
          <t>https://attack.mitre.org/techniques/T0888</t>
        </is>
      </c>
    </row>
    <row r="271" ht="27.75" customHeight="1" s="508">
      <c r="A271" s="406" t="inlineStr">
        <is>
          <t>Loss of Control or Visibility</t>
        </is>
      </c>
      <c r="B271" s="406" t="inlineStr">
        <is>
          <t>T0888</t>
        </is>
      </c>
      <c r="C271" s="406" t="inlineStr">
        <is>
          <t>Remote System Information Discovery</t>
        </is>
      </c>
      <c r="D271" s="406" t="inlineStr">
        <is>
          <t>Discovery</t>
        </is>
      </c>
      <c r="E271" s="406" t="inlineStr">
        <is>
          <t>Candidate enabling technique</t>
        </is>
      </c>
      <c r="F271" s="406" t="inlineStr">
        <is>
          <t>S4</t>
        </is>
      </c>
      <c r="G271" s="406" t="inlineStr">
        <is>
          <t>Model Mapping</t>
        </is>
      </c>
      <c r="H271" s="426" t="inlineStr">
        <is>
          <t>https://attack.mitre.org/techniques/T0888</t>
        </is>
      </c>
    </row>
    <row r="272" ht="27.75" customHeight="1" s="508">
      <c r="A272" s="406" t="inlineStr">
        <is>
          <t>Process Manipulation</t>
        </is>
      </c>
      <c r="B272" s="406" t="inlineStr">
        <is>
          <t>T0888</t>
        </is>
      </c>
      <c r="C272" s="406" t="inlineStr">
        <is>
          <t>Remote System Information Discovery</t>
        </is>
      </c>
      <c r="D272" s="406" t="inlineStr">
        <is>
          <t>Discovery</t>
        </is>
      </c>
      <c r="E272" s="406" t="inlineStr">
        <is>
          <t>Candidate enabling technique</t>
        </is>
      </c>
      <c r="F272" s="406" t="inlineStr">
        <is>
          <t>S4</t>
        </is>
      </c>
      <c r="G272" s="406" t="inlineStr">
        <is>
          <t>Model Mapping</t>
        </is>
      </c>
      <c r="H272" s="426" t="inlineStr">
        <is>
          <t>https://attack.mitre.org/techniques/T0888</t>
        </is>
      </c>
    </row>
    <row r="273" ht="27.75" customHeight="1" s="508">
      <c r="A273" s="406" t="inlineStr">
        <is>
          <t>Safety System Compromise</t>
        </is>
      </c>
      <c r="B273" s="406" t="inlineStr">
        <is>
          <t>T0888</t>
        </is>
      </c>
      <c r="C273" s="406" t="inlineStr">
        <is>
          <t>Remote System Information Discovery</t>
        </is>
      </c>
      <c r="D273" s="406" t="inlineStr">
        <is>
          <t>Discovery</t>
        </is>
      </c>
      <c r="E273" s="406" t="inlineStr">
        <is>
          <t>Candidate enabling technique</t>
        </is>
      </c>
      <c r="F273" s="406" t="inlineStr">
        <is>
          <t>S4</t>
        </is>
      </c>
      <c r="G273" s="406" t="inlineStr">
        <is>
          <t>Model Mapping</t>
        </is>
      </c>
      <c r="H273" s="426" t="inlineStr">
        <is>
          <t>https://attack.mitre.org/techniques/T0888</t>
        </is>
      </c>
    </row>
    <row r="274" ht="27.75" customHeight="1" s="508">
      <c r="A274" s="406" t="inlineStr">
        <is>
          <t>Destructive or Integrity Attack</t>
        </is>
      </c>
      <c r="B274" s="406" t="inlineStr">
        <is>
          <t>T0888</t>
        </is>
      </c>
      <c r="C274" s="406" t="inlineStr">
        <is>
          <t>Remote System Information Discovery</t>
        </is>
      </c>
      <c r="D274" s="406" t="inlineStr">
        <is>
          <t>Discovery</t>
        </is>
      </c>
      <c r="E274" s="406" t="inlineStr">
        <is>
          <t>Candidate enabling technique</t>
        </is>
      </c>
      <c r="F274" s="406" t="inlineStr">
        <is>
          <t>S4</t>
        </is>
      </c>
      <c r="G274" s="406" t="inlineStr">
        <is>
          <t>Model Mapping</t>
        </is>
      </c>
      <c r="H274" s="426" t="inlineStr">
        <is>
          <t>https://attack.mitre.org/techniques/T0888</t>
        </is>
      </c>
    </row>
    <row r="275" ht="27.75" customHeight="1" s="508">
      <c r="A275" s="406" t="inlineStr">
        <is>
          <t>Operational Disruption</t>
        </is>
      </c>
      <c r="B275" s="406" t="inlineStr">
        <is>
          <t>T0847</t>
        </is>
      </c>
      <c r="C275" s="406" t="inlineStr">
        <is>
          <t>Replication Through Removable Media</t>
        </is>
      </c>
      <c r="D275" s="406" t="inlineStr">
        <is>
          <t>Initial Access</t>
        </is>
      </c>
      <c r="E275" s="406" t="inlineStr">
        <is>
          <t>Candidate enabling technique</t>
        </is>
      </c>
      <c r="F275" s="406" t="inlineStr">
        <is>
          <t>S1</t>
        </is>
      </c>
      <c r="G275" s="406" t="inlineStr">
        <is>
          <t>Model Mapping</t>
        </is>
      </c>
      <c r="H275" s="426" t="inlineStr">
        <is>
          <t>https://attack.mitre.org/techniques/T0847</t>
        </is>
      </c>
    </row>
    <row r="276" ht="27.75" customHeight="1" s="508">
      <c r="A276" s="406" t="inlineStr">
        <is>
          <t>Loss of Control or Visibility</t>
        </is>
      </c>
      <c r="B276" s="406" t="inlineStr">
        <is>
          <t>T0847</t>
        </is>
      </c>
      <c r="C276" s="406" t="inlineStr">
        <is>
          <t>Replication Through Removable Media</t>
        </is>
      </c>
      <c r="D276" s="406" t="inlineStr">
        <is>
          <t>Initial Access</t>
        </is>
      </c>
      <c r="E276" s="406" t="inlineStr">
        <is>
          <t>Candidate enabling technique</t>
        </is>
      </c>
      <c r="F276" s="406" t="inlineStr">
        <is>
          <t>S1</t>
        </is>
      </c>
      <c r="G276" s="406" t="inlineStr">
        <is>
          <t>Model Mapping</t>
        </is>
      </c>
      <c r="H276" s="426" t="inlineStr">
        <is>
          <t>https://attack.mitre.org/techniques/T0847</t>
        </is>
      </c>
    </row>
    <row r="277" ht="27.75" customHeight="1" s="508">
      <c r="A277" s="406" t="inlineStr">
        <is>
          <t>Process Manipulation</t>
        </is>
      </c>
      <c r="B277" s="406" t="inlineStr">
        <is>
          <t>T0847</t>
        </is>
      </c>
      <c r="C277" s="406" t="inlineStr">
        <is>
          <t>Replication Through Removable Media</t>
        </is>
      </c>
      <c r="D277" s="406" t="inlineStr">
        <is>
          <t>Initial Access</t>
        </is>
      </c>
      <c r="E277" s="406" t="inlineStr">
        <is>
          <t>Candidate enabling technique</t>
        </is>
      </c>
      <c r="F277" s="406" t="inlineStr">
        <is>
          <t>S1</t>
        </is>
      </c>
      <c r="G277" s="406" t="inlineStr">
        <is>
          <t>Model Mapping</t>
        </is>
      </c>
      <c r="H277" s="426" t="inlineStr">
        <is>
          <t>https://attack.mitre.org/techniques/T0847</t>
        </is>
      </c>
    </row>
    <row r="278" ht="27.75" customHeight="1" s="508">
      <c r="A278" s="406" t="inlineStr">
        <is>
          <t>Safety System Compromise</t>
        </is>
      </c>
      <c r="B278" s="406" t="inlineStr">
        <is>
          <t>T0847</t>
        </is>
      </c>
      <c r="C278" s="406" t="inlineStr">
        <is>
          <t>Replication Through Removable Media</t>
        </is>
      </c>
      <c r="D278" s="406" t="inlineStr">
        <is>
          <t>Initial Access</t>
        </is>
      </c>
      <c r="E278" s="406" t="inlineStr">
        <is>
          <t>Candidate enabling technique</t>
        </is>
      </c>
      <c r="F278" s="406" t="inlineStr">
        <is>
          <t>S1</t>
        </is>
      </c>
      <c r="G278" s="406" t="inlineStr">
        <is>
          <t>Model Mapping</t>
        </is>
      </c>
      <c r="H278" s="426" t="inlineStr">
        <is>
          <t>https://attack.mitre.org/techniques/T0847</t>
        </is>
      </c>
    </row>
    <row r="279" ht="27.75" customHeight="1" s="508">
      <c r="A279" s="406" t="inlineStr">
        <is>
          <t>Destructive or Integrity Attack</t>
        </is>
      </c>
      <c r="B279" s="406" t="inlineStr">
        <is>
          <t>T0847</t>
        </is>
      </c>
      <c r="C279" s="406" t="inlineStr">
        <is>
          <t>Replication Through Removable Media</t>
        </is>
      </c>
      <c r="D279" s="406" t="inlineStr">
        <is>
          <t>Initial Access</t>
        </is>
      </c>
      <c r="E279" s="406" t="inlineStr">
        <is>
          <t>Candidate enabling technique</t>
        </is>
      </c>
      <c r="F279" s="406" t="inlineStr">
        <is>
          <t>S1</t>
        </is>
      </c>
      <c r="G279" s="406" t="inlineStr">
        <is>
          <t>Model Mapping</t>
        </is>
      </c>
      <c r="H279" s="426" t="inlineStr">
        <is>
          <t>https://attack.mitre.org/techniques/T0847</t>
        </is>
      </c>
    </row>
    <row r="280" ht="15" customHeight="1" s="508">
      <c r="A280" s="406" t="inlineStr">
        <is>
          <t>Safety System Compromise</t>
        </is>
      </c>
      <c r="B280" s="406" t="inlineStr">
        <is>
          <t>T1691.002</t>
        </is>
      </c>
      <c r="C280" s="406" t="inlineStr">
        <is>
          <t>Reporting Message</t>
        </is>
      </c>
      <c r="D280" s="406" t="inlineStr">
        <is>
          <t>Inhibit Response Function</t>
        </is>
      </c>
      <c r="E280" s="406" t="inlineStr">
        <is>
          <t>Supporting / impact</t>
        </is>
      </c>
      <c r="F280" s="406" t="inlineStr">
        <is>
          <t>S5</t>
        </is>
      </c>
      <c r="G280" s="406" t="inlineStr">
        <is>
          <t>Model Mapping</t>
        </is>
      </c>
      <c r="H280" s="426" t="inlineStr">
        <is>
          <t>https://attack.mitre.org/techniques/T1691/002</t>
        </is>
      </c>
    </row>
    <row r="281" ht="15" customHeight="1" s="508">
      <c r="A281" s="406" t="inlineStr">
        <is>
          <t>Process Manipulation</t>
        </is>
      </c>
      <c r="B281" s="406" t="inlineStr">
        <is>
          <t>T1692.002</t>
        </is>
      </c>
      <c r="C281" s="406" t="inlineStr">
        <is>
          <t>Reporting Message</t>
        </is>
      </c>
      <c r="D281" s="406" t="inlineStr">
        <is>
          <t>Evasion, Impair Process Control</t>
        </is>
      </c>
      <c r="E281" s="406" t="inlineStr">
        <is>
          <t>Supporting / impact</t>
        </is>
      </c>
      <c r="F281" s="406" t="inlineStr">
        <is>
          <t>S5</t>
        </is>
      </c>
      <c r="G281" s="406" t="inlineStr">
        <is>
          <t>Model Mapping</t>
        </is>
      </c>
      <c r="H281" s="426" t="inlineStr">
        <is>
          <t>https://attack.mitre.org/techniques/T1692/002</t>
        </is>
      </c>
    </row>
    <row r="282" ht="27.75" customHeight="1" s="508">
      <c r="A282" s="406" t="inlineStr">
        <is>
          <t>Operational Disruption</t>
        </is>
      </c>
      <c r="B282" s="406" t="inlineStr">
        <is>
          <t>T0848</t>
        </is>
      </c>
      <c r="C282" s="406" t="inlineStr">
        <is>
          <t>Rogue Master</t>
        </is>
      </c>
      <c r="D282" s="406" t="inlineStr">
        <is>
          <t>Initial Access</t>
        </is>
      </c>
      <c r="E282" s="406" t="inlineStr">
        <is>
          <t>Candidate enabling technique</t>
        </is>
      </c>
      <c r="F282" s="406" t="inlineStr">
        <is>
          <t>S1</t>
        </is>
      </c>
      <c r="G282" s="406" t="inlineStr">
        <is>
          <t>Model Mapping</t>
        </is>
      </c>
      <c r="H282" s="426" t="inlineStr">
        <is>
          <t>https://attack.mitre.org/techniques/T0848</t>
        </is>
      </c>
    </row>
    <row r="283" ht="27.75" customHeight="1" s="508">
      <c r="A283" s="406" t="inlineStr">
        <is>
          <t>Loss of Control or Visibility</t>
        </is>
      </c>
      <c r="B283" s="406" t="inlineStr">
        <is>
          <t>T0848</t>
        </is>
      </c>
      <c r="C283" s="406" t="inlineStr">
        <is>
          <t>Rogue Master</t>
        </is>
      </c>
      <c r="D283" s="406" t="inlineStr">
        <is>
          <t>Initial Access</t>
        </is>
      </c>
      <c r="E283" s="406" t="inlineStr">
        <is>
          <t>Candidate enabling technique</t>
        </is>
      </c>
      <c r="F283" s="406" t="inlineStr">
        <is>
          <t>S1</t>
        </is>
      </c>
      <c r="G283" s="406" t="inlineStr">
        <is>
          <t>Model Mapping</t>
        </is>
      </c>
      <c r="H283" s="426" t="inlineStr">
        <is>
          <t>https://attack.mitre.org/techniques/T0848</t>
        </is>
      </c>
    </row>
    <row r="284" ht="122.25" customHeight="1" s="508">
      <c r="A284" s="406" t="inlineStr">
        <is>
          <t>Process Manipulation</t>
        </is>
      </c>
      <c r="B284" s="406" t="inlineStr">
        <is>
          <t>T0848</t>
        </is>
      </c>
      <c r="C284" s="406" t="inlineStr">
        <is>
          <t>Rogue Master</t>
        </is>
      </c>
      <c r="D284" s="406" t="inlineStr">
        <is>
          <t>Initial Access</t>
        </is>
      </c>
      <c r="E284" s="406" t="inlineStr">
        <is>
          <t>Supporting / impact</t>
        </is>
      </c>
      <c r="F284" s="406" t="inlineStr">
        <is>
          <t>S5</t>
        </is>
      </c>
      <c r="G284" s="406" t="inlineStr">
        <is>
          <t>RESTAGED v1.2: In the Process Manipulation scenario this technique directly implements the adverse outcome, so it is staged S5 rather than inheriting its ATT&amp;CK tactic. CRQ stage is scenario-specific.</t>
        </is>
      </c>
      <c r="H284" s="426" t="inlineStr">
        <is>
          <t>https://attack.mitre.org/techniques/T0848</t>
        </is>
      </c>
    </row>
    <row r="285" ht="27.75" customHeight="1" s="508">
      <c r="A285" s="406" t="inlineStr">
        <is>
          <t>Safety System Compromise</t>
        </is>
      </c>
      <c r="B285" s="406" t="inlineStr">
        <is>
          <t>T0848</t>
        </is>
      </c>
      <c r="C285" s="406" t="inlineStr">
        <is>
          <t>Rogue Master</t>
        </is>
      </c>
      <c r="D285" s="406" t="inlineStr">
        <is>
          <t>Initial Access</t>
        </is>
      </c>
      <c r="E285" s="406" t="inlineStr">
        <is>
          <t>Candidate enabling technique</t>
        </is>
      </c>
      <c r="F285" s="406" t="inlineStr">
        <is>
          <t>S1</t>
        </is>
      </c>
      <c r="G285" s="406" t="inlineStr">
        <is>
          <t>Model Mapping</t>
        </is>
      </c>
      <c r="H285" s="426" t="inlineStr">
        <is>
          <t>https://attack.mitre.org/techniques/T0848</t>
        </is>
      </c>
    </row>
    <row r="286" ht="27.75" customHeight="1" s="508">
      <c r="A286" s="406" t="inlineStr">
        <is>
          <t>Destructive or Integrity Attack</t>
        </is>
      </c>
      <c r="B286" s="406" t="inlineStr">
        <is>
          <t>T0848</t>
        </is>
      </c>
      <c r="C286" s="406" t="inlineStr">
        <is>
          <t>Rogue Master</t>
        </is>
      </c>
      <c r="D286" s="406" t="inlineStr">
        <is>
          <t>Initial Access</t>
        </is>
      </c>
      <c r="E286" s="406" t="inlineStr">
        <is>
          <t>Candidate enabling technique</t>
        </is>
      </c>
      <c r="F286" s="406" t="inlineStr">
        <is>
          <t>S1</t>
        </is>
      </c>
      <c r="G286" s="406" t="inlineStr">
        <is>
          <t>Model Mapping</t>
        </is>
      </c>
      <c r="H286" s="426" t="inlineStr">
        <is>
          <t>https://attack.mitre.org/techniques/T0848</t>
        </is>
      </c>
    </row>
    <row r="287" ht="81.75" customHeight="1" s="508">
      <c r="A287" s="406" t="inlineStr">
        <is>
          <t>Safety System Compromise</t>
        </is>
      </c>
      <c r="B287" s="406" t="inlineStr">
        <is>
          <t>T0851</t>
        </is>
      </c>
      <c r="C287" s="406" t="inlineStr">
        <is>
          <t>Rootkit</t>
        </is>
      </c>
      <c r="D287" s="406" t="inlineStr">
        <is>
          <t>Evasion, Inhibit Response Function</t>
        </is>
      </c>
      <c r="E287" s="406" t="inlineStr">
        <is>
          <t>Candidate enabling technique</t>
        </is>
      </c>
      <c r="F287" s="406" t="inlineStr">
        <is>
          <t>S2</t>
        </is>
      </c>
      <c r="G287" s="406" t="inlineStr">
        <is>
          <t>RECLASSIFIED v1.2: Rootkit hides malware and connections through OS manipulation — an evasion technique, not a safety-system outcome.</t>
        </is>
      </c>
      <c r="H287" s="426" t="inlineStr">
        <is>
          <t>https://attack.mitre.org/techniques/T0851</t>
        </is>
      </c>
    </row>
    <row r="288" ht="54.75" customHeight="1" s="508">
      <c r="A288" s="406" t="inlineStr">
        <is>
          <t>Destructive or Integrity Attack</t>
        </is>
      </c>
      <c r="B288" s="406" t="inlineStr">
        <is>
          <t>T0851</t>
        </is>
      </c>
      <c r="C288" s="406" t="inlineStr">
        <is>
          <t>Rootkit</t>
        </is>
      </c>
      <c r="D288" s="406" t="inlineStr">
        <is>
          <t>Evasion, Inhibit Response Function</t>
        </is>
      </c>
      <c r="E288" s="406" t="inlineStr">
        <is>
          <t>Candidate enabling technique</t>
        </is>
      </c>
      <c r="F288" s="406" t="inlineStr">
        <is>
          <t>S2</t>
        </is>
      </c>
      <c r="G288" s="406" t="inlineStr">
        <is>
          <t>RECLASSIFIED v1.2: As above: evasion, not a destructive or integrity outcome.</t>
        </is>
      </c>
      <c r="H288" s="426" t="inlineStr">
        <is>
          <t>https://attack.mitre.org/techniques/T0851</t>
        </is>
      </c>
    </row>
    <row r="289" ht="27.75" customHeight="1" s="508">
      <c r="A289" s="406" t="inlineStr">
        <is>
          <t>Operational Disruption</t>
        </is>
      </c>
      <c r="B289" s="406" t="inlineStr">
        <is>
          <t>T0852</t>
        </is>
      </c>
      <c r="C289" s="406" t="inlineStr">
        <is>
          <t>Screen Capture</t>
        </is>
      </c>
      <c r="D289" s="406" t="inlineStr">
        <is>
          <t>Collection</t>
        </is>
      </c>
      <c r="E289" s="406" t="inlineStr">
        <is>
          <t>Candidate enabling technique</t>
        </is>
      </c>
      <c r="F289" s="406" t="inlineStr">
        <is>
          <t>S4</t>
        </is>
      </c>
      <c r="G289" s="406" t="inlineStr">
        <is>
          <t>Model Mapping</t>
        </is>
      </c>
      <c r="H289" s="426" t="inlineStr">
        <is>
          <t>https://attack.mitre.org/techniques/T0852</t>
        </is>
      </c>
    </row>
    <row r="290" ht="27.75" customHeight="1" s="508">
      <c r="A290" s="406" t="inlineStr">
        <is>
          <t>Loss of Control or Visibility</t>
        </is>
      </c>
      <c r="B290" s="406" t="inlineStr">
        <is>
          <t>T0852</t>
        </is>
      </c>
      <c r="C290" s="406" t="inlineStr">
        <is>
          <t>Screen Capture</t>
        </is>
      </c>
      <c r="D290" s="406" t="inlineStr">
        <is>
          <t>Collection</t>
        </is>
      </c>
      <c r="E290" s="406" t="inlineStr">
        <is>
          <t>Candidate enabling technique</t>
        </is>
      </c>
      <c r="F290" s="406" t="inlineStr">
        <is>
          <t>S4</t>
        </is>
      </c>
      <c r="G290" s="406" t="inlineStr">
        <is>
          <t>Model Mapping</t>
        </is>
      </c>
      <c r="H290" s="426" t="inlineStr">
        <is>
          <t>https://attack.mitre.org/techniques/T0852</t>
        </is>
      </c>
    </row>
    <row r="291" ht="27.75" customHeight="1" s="508">
      <c r="A291" s="406" t="inlineStr">
        <is>
          <t>Process Manipulation</t>
        </is>
      </c>
      <c r="B291" s="406" t="inlineStr">
        <is>
          <t>T0852</t>
        </is>
      </c>
      <c r="C291" s="406" t="inlineStr">
        <is>
          <t>Screen Capture</t>
        </is>
      </c>
      <c r="D291" s="406" t="inlineStr">
        <is>
          <t>Collection</t>
        </is>
      </c>
      <c r="E291" s="406" t="inlineStr">
        <is>
          <t>Candidate enabling technique</t>
        </is>
      </c>
      <c r="F291" s="406" t="inlineStr">
        <is>
          <t>S4</t>
        </is>
      </c>
      <c r="G291" s="406" t="inlineStr">
        <is>
          <t>Model Mapping</t>
        </is>
      </c>
      <c r="H291" s="426" t="inlineStr">
        <is>
          <t>https://attack.mitre.org/techniques/T0852</t>
        </is>
      </c>
    </row>
    <row r="292" ht="27.75" customHeight="1" s="508">
      <c r="A292" s="406" t="inlineStr">
        <is>
          <t>Safety System Compromise</t>
        </is>
      </c>
      <c r="B292" s="406" t="inlineStr">
        <is>
          <t>T0852</t>
        </is>
      </c>
      <c r="C292" s="406" t="inlineStr">
        <is>
          <t>Screen Capture</t>
        </is>
      </c>
      <c r="D292" s="406" t="inlineStr">
        <is>
          <t>Collection</t>
        </is>
      </c>
      <c r="E292" s="406" t="inlineStr">
        <is>
          <t>Candidate enabling technique</t>
        </is>
      </c>
      <c r="F292" s="406" t="inlineStr">
        <is>
          <t>S4</t>
        </is>
      </c>
      <c r="G292" s="406" t="inlineStr">
        <is>
          <t>Model Mapping</t>
        </is>
      </c>
      <c r="H292" s="426" t="inlineStr">
        <is>
          <t>https://attack.mitre.org/techniques/T0852</t>
        </is>
      </c>
    </row>
    <row r="293" ht="27.75" customHeight="1" s="508">
      <c r="A293" s="406" t="inlineStr">
        <is>
          <t>Destructive or Integrity Attack</t>
        </is>
      </c>
      <c r="B293" s="406" t="inlineStr">
        <is>
          <t>T0852</t>
        </is>
      </c>
      <c r="C293" s="406" t="inlineStr">
        <is>
          <t>Screen Capture</t>
        </is>
      </c>
      <c r="D293" s="406" t="inlineStr">
        <is>
          <t>Collection</t>
        </is>
      </c>
      <c r="E293" s="406" t="inlineStr">
        <is>
          <t>Candidate enabling technique</t>
        </is>
      </c>
      <c r="F293" s="406" t="inlineStr">
        <is>
          <t>S4</t>
        </is>
      </c>
      <c r="G293" s="406" t="inlineStr">
        <is>
          <t>Model Mapping</t>
        </is>
      </c>
      <c r="H293" s="426" t="inlineStr">
        <is>
          <t>https://attack.mitre.org/techniques/T0852</t>
        </is>
      </c>
    </row>
    <row r="294" ht="27.75" customHeight="1" s="508">
      <c r="A294" s="406" t="inlineStr">
        <is>
          <t>Operational Disruption</t>
        </is>
      </c>
      <c r="B294" s="406" t="inlineStr">
        <is>
          <t>T0853</t>
        </is>
      </c>
      <c r="C294" s="406" t="inlineStr">
        <is>
          <t>Scripting</t>
        </is>
      </c>
      <c r="D294" s="406" t="inlineStr">
        <is>
          <t>Execution</t>
        </is>
      </c>
      <c r="E294" s="406" t="inlineStr">
        <is>
          <t>Candidate enabling technique</t>
        </is>
      </c>
      <c r="F294" s="406" t="inlineStr">
        <is>
          <t>S2</t>
        </is>
      </c>
      <c r="G294" s="406" t="inlineStr">
        <is>
          <t>Model Mapping</t>
        </is>
      </c>
      <c r="H294" s="426" t="inlineStr">
        <is>
          <t>https://attack.mitre.org/techniques/T0853</t>
        </is>
      </c>
    </row>
    <row r="295" ht="27.75" customHeight="1" s="508">
      <c r="A295" s="406" t="inlineStr">
        <is>
          <t>Loss of Control or Visibility</t>
        </is>
      </c>
      <c r="B295" s="406" t="inlineStr">
        <is>
          <t>T0853</t>
        </is>
      </c>
      <c r="C295" s="406" t="inlineStr">
        <is>
          <t>Scripting</t>
        </is>
      </c>
      <c r="D295" s="406" t="inlineStr">
        <is>
          <t>Execution</t>
        </is>
      </c>
      <c r="E295" s="406" t="inlineStr">
        <is>
          <t>Candidate enabling technique</t>
        </is>
      </c>
      <c r="F295" s="406" t="inlineStr">
        <is>
          <t>S2</t>
        </is>
      </c>
      <c r="G295" s="406" t="inlineStr">
        <is>
          <t>Model Mapping</t>
        </is>
      </c>
      <c r="H295" s="426" t="inlineStr">
        <is>
          <t>https://attack.mitre.org/techniques/T0853</t>
        </is>
      </c>
    </row>
    <row r="296" ht="27.75" customHeight="1" s="508">
      <c r="A296" s="406" t="inlineStr">
        <is>
          <t>Process Manipulation</t>
        </is>
      </c>
      <c r="B296" s="406" t="inlineStr">
        <is>
          <t>T0853</t>
        </is>
      </c>
      <c r="C296" s="406" t="inlineStr">
        <is>
          <t>Scripting</t>
        </is>
      </c>
      <c r="D296" s="406" t="inlineStr">
        <is>
          <t>Execution</t>
        </is>
      </c>
      <c r="E296" s="406" t="inlineStr">
        <is>
          <t>Candidate enabling technique</t>
        </is>
      </c>
      <c r="F296" s="406" t="inlineStr">
        <is>
          <t>S2</t>
        </is>
      </c>
      <c r="G296" s="406" t="inlineStr">
        <is>
          <t>Model Mapping</t>
        </is>
      </c>
      <c r="H296" s="426" t="inlineStr">
        <is>
          <t>https://attack.mitre.org/techniques/T0853</t>
        </is>
      </c>
    </row>
    <row r="297" ht="27.75" customHeight="1" s="508">
      <c r="A297" s="406" t="inlineStr">
        <is>
          <t>Safety System Compromise</t>
        </is>
      </c>
      <c r="B297" s="406" t="inlineStr">
        <is>
          <t>T0853</t>
        </is>
      </c>
      <c r="C297" s="406" t="inlineStr">
        <is>
          <t>Scripting</t>
        </is>
      </c>
      <c r="D297" s="406" t="inlineStr">
        <is>
          <t>Execution</t>
        </is>
      </c>
      <c r="E297" s="406" t="inlineStr">
        <is>
          <t>Candidate enabling technique</t>
        </is>
      </c>
      <c r="F297" s="406" t="inlineStr">
        <is>
          <t>S2</t>
        </is>
      </c>
      <c r="G297" s="406" t="inlineStr">
        <is>
          <t>Model Mapping</t>
        </is>
      </c>
      <c r="H297" s="426" t="inlineStr">
        <is>
          <t>https://attack.mitre.org/techniques/T0853</t>
        </is>
      </c>
    </row>
    <row r="298" ht="27.75" customHeight="1" s="508">
      <c r="A298" s="406" t="inlineStr">
        <is>
          <t>Destructive or Integrity Attack</t>
        </is>
      </c>
      <c r="B298" s="406" t="inlineStr">
        <is>
          <t>T0853</t>
        </is>
      </c>
      <c r="C298" s="406" t="inlineStr">
        <is>
          <t>Scripting</t>
        </is>
      </c>
      <c r="D298" s="406" t="inlineStr">
        <is>
          <t>Execution</t>
        </is>
      </c>
      <c r="E298" s="406" t="inlineStr">
        <is>
          <t>Candidate enabling technique</t>
        </is>
      </c>
      <c r="F298" s="406" t="inlineStr">
        <is>
          <t>S2</t>
        </is>
      </c>
      <c r="G298" s="406" t="inlineStr">
        <is>
          <t>Model Mapping</t>
        </is>
      </c>
      <c r="H298" s="426" t="inlineStr">
        <is>
          <t>https://attack.mitre.org/techniques/T0853</t>
        </is>
      </c>
    </row>
    <row r="299" ht="15" customHeight="1" s="508">
      <c r="A299" s="406" t="inlineStr">
        <is>
          <t>Safety System Compromise</t>
        </is>
      </c>
      <c r="B299" s="406" t="inlineStr">
        <is>
          <t>T1695.001</t>
        </is>
      </c>
      <c r="C299" s="406" t="inlineStr">
        <is>
          <t>Serial COM</t>
        </is>
      </c>
      <c r="D299" s="406" t="inlineStr">
        <is>
          <t>Inhibit Response Function</t>
        </is>
      </c>
      <c r="E299" s="406" t="inlineStr">
        <is>
          <t>Supporting / impact</t>
        </is>
      </c>
      <c r="F299" s="406" t="inlineStr">
        <is>
          <t>S5</t>
        </is>
      </c>
      <c r="G299" s="406" t="inlineStr">
        <is>
          <t>Model Mapping</t>
        </is>
      </c>
      <c r="H299" s="426" t="inlineStr">
        <is>
          <t>https://attack.mitre.org/techniques/T1695/001</t>
        </is>
      </c>
    </row>
    <row r="300" ht="15" customHeight="1" s="508">
      <c r="A300" s="406" t="inlineStr">
        <is>
          <t>Operational Disruption</t>
        </is>
      </c>
      <c r="B300" s="406" t="inlineStr">
        <is>
          <t>T0881</t>
        </is>
      </c>
      <c r="C300" s="406" t="inlineStr">
        <is>
          <t>Service Stop</t>
        </is>
      </c>
      <c r="D300" s="406" t="inlineStr">
        <is>
          <t>Inhibit Response Function</t>
        </is>
      </c>
      <c r="E300" s="406" t="inlineStr">
        <is>
          <t>Scenario-defining</t>
        </is>
      </c>
      <c r="F300" s="406" t="inlineStr">
        <is>
          <t>S5</t>
        </is>
      </c>
      <c r="G300" s="406" t="inlineStr">
        <is>
          <t>Model Mapping</t>
        </is>
      </c>
      <c r="H300" s="426" t="inlineStr">
        <is>
          <t>https://attack.mitre.org/techniques/T0881</t>
        </is>
      </c>
    </row>
    <row r="301" ht="27.75" customHeight="1" s="508">
      <c r="A301" s="406" t="inlineStr">
        <is>
          <t>Operational Disruption</t>
        </is>
      </c>
      <c r="B301" s="406" t="inlineStr">
        <is>
          <t>T0873.001</t>
        </is>
      </c>
      <c r="C301" s="406" t="inlineStr">
        <is>
          <t>Siemens Project File Format</t>
        </is>
      </c>
      <c r="D301" s="406" t="inlineStr">
        <is>
          <t>Persistence</t>
        </is>
      </c>
      <c r="E301" s="406" t="inlineStr">
        <is>
          <t>Candidate enabling technique</t>
        </is>
      </c>
      <c r="F301" s="406" t="inlineStr">
        <is>
          <t>S2</t>
        </is>
      </c>
      <c r="G301" s="406" t="inlineStr">
        <is>
          <t>Model Mapping</t>
        </is>
      </c>
      <c r="H301" s="426" t="inlineStr">
        <is>
          <t>https://attack.mitre.org/techniques/T0873/001</t>
        </is>
      </c>
    </row>
    <row r="302" ht="27.75" customHeight="1" s="508">
      <c r="A302" s="406" t="inlineStr">
        <is>
          <t>Loss of Control or Visibility</t>
        </is>
      </c>
      <c r="B302" s="406" t="inlineStr">
        <is>
          <t>T0873.001</t>
        </is>
      </c>
      <c r="C302" s="406" t="inlineStr">
        <is>
          <t>Siemens Project File Format</t>
        </is>
      </c>
      <c r="D302" s="406" t="inlineStr">
        <is>
          <t>Persistence</t>
        </is>
      </c>
      <c r="E302" s="406" t="inlineStr">
        <is>
          <t>Candidate enabling technique</t>
        </is>
      </c>
      <c r="F302" s="406" t="inlineStr">
        <is>
          <t>S2</t>
        </is>
      </c>
      <c r="G302" s="406" t="inlineStr">
        <is>
          <t>Model Mapping</t>
        </is>
      </c>
      <c r="H302" s="426" t="inlineStr">
        <is>
          <t>https://attack.mitre.org/techniques/T0873/001</t>
        </is>
      </c>
    </row>
    <row r="303" ht="27.75" customHeight="1" s="508">
      <c r="A303" s="406" t="inlineStr">
        <is>
          <t>Process Manipulation</t>
        </is>
      </c>
      <c r="B303" s="406" t="inlineStr">
        <is>
          <t>T0873.001</t>
        </is>
      </c>
      <c r="C303" s="406" t="inlineStr">
        <is>
          <t>Siemens Project File Format</t>
        </is>
      </c>
      <c r="D303" s="406" t="inlineStr">
        <is>
          <t>Persistence</t>
        </is>
      </c>
      <c r="E303" s="406" t="inlineStr">
        <is>
          <t>Candidate enabling technique</t>
        </is>
      </c>
      <c r="F303" s="406" t="inlineStr">
        <is>
          <t>S2</t>
        </is>
      </c>
      <c r="G303" s="406" t="inlineStr">
        <is>
          <t>Model Mapping</t>
        </is>
      </c>
      <c r="H303" s="426" t="inlineStr">
        <is>
          <t>https://attack.mitre.org/techniques/T0873/001</t>
        </is>
      </c>
    </row>
    <row r="304" ht="27.75" customHeight="1" s="508">
      <c r="A304" s="406" t="inlineStr">
        <is>
          <t>Safety System Compromise</t>
        </is>
      </c>
      <c r="B304" s="406" t="inlineStr">
        <is>
          <t>T0873.001</t>
        </is>
      </c>
      <c r="C304" s="406" t="inlineStr">
        <is>
          <t>Siemens Project File Format</t>
        </is>
      </c>
      <c r="D304" s="406" t="inlineStr">
        <is>
          <t>Persistence</t>
        </is>
      </c>
      <c r="E304" s="406" t="inlineStr">
        <is>
          <t>Candidate enabling technique</t>
        </is>
      </c>
      <c r="F304" s="406" t="inlineStr">
        <is>
          <t>S2</t>
        </is>
      </c>
      <c r="G304" s="406" t="inlineStr">
        <is>
          <t>Model Mapping</t>
        </is>
      </c>
      <c r="H304" s="426" t="inlineStr">
        <is>
          <t>https://attack.mitre.org/techniques/T0873/001</t>
        </is>
      </c>
    </row>
    <row r="305" ht="27.75" customHeight="1" s="508">
      <c r="A305" s="406" t="inlineStr">
        <is>
          <t>Destructive or Integrity Attack</t>
        </is>
      </c>
      <c r="B305" s="406" t="inlineStr">
        <is>
          <t>T0873.001</t>
        </is>
      </c>
      <c r="C305" s="406" t="inlineStr">
        <is>
          <t>Siemens Project File Format</t>
        </is>
      </c>
      <c r="D305" s="406" t="inlineStr">
        <is>
          <t>Persistence</t>
        </is>
      </c>
      <c r="E305" s="406" t="inlineStr">
        <is>
          <t>Candidate enabling technique</t>
        </is>
      </c>
      <c r="F305" s="406" t="inlineStr">
        <is>
          <t>S2</t>
        </is>
      </c>
      <c r="G305" s="406" t="inlineStr">
        <is>
          <t>Model Mapping</t>
        </is>
      </c>
      <c r="H305" s="426" t="inlineStr">
        <is>
          <t>https://attack.mitre.org/techniques/T0873/001</t>
        </is>
      </c>
    </row>
    <row r="306" ht="27.75" customHeight="1" s="508">
      <c r="A306" s="406" t="inlineStr">
        <is>
          <t>Operational Disruption</t>
        </is>
      </c>
      <c r="B306" s="406" t="inlineStr">
        <is>
          <t>T0865</t>
        </is>
      </c>
      <c r="C306" s="406" t="inlineStr">
        <is>
          <t>Spearphishing Attachment</t>
        </is>
      </c>
      <c r="D306" s="406" t="inlineStr">
        <is>
          <t>Initial Access</t>
        </is>
      </c>
      <c r="E306" s="406" t="inlineStr">
        <is>
          <t>Candidate enabling technique</t>
        </is>
      </c>
      <c r="F306" s="406" t="inlineStr">
        <is>
          <t>S1</t>
        </is>
      </c>
      <c r="G306" s="406" t="inlineStr">
        <is>
          <t>Model Mapping</t>
        </is>
      </c>
      <c r="H306" s="426" t="inlineStr">
        <is>
          <t>https://attack.mitre.org/techniques/T0865</t>
        </is>
      </c>
    </row>
    <row r="307" ht="27.75" customHeight="1" s="508">
      <c r="A307" s="406" t="inlineStr">
        <is>
          <t>Loss of Control or Visibility</t>
        </is>
      </c>
      <c r="B307" s="406" t="inlineStr">
        <is>
          <t>T0865</t>
        </is>
      </c>
      <c r="C307" s="406" t="inlineStr">
        <is>
          <t>Spearphishing Attachment</t>
        </is>
      </c>
      <c r="D307" s="406" t="inlineStr">
        <is>
          <t>Initial Access</t>
        </is>
      </c>
      <c r="E307" s="406" t="inlineStr">
        <is>
          <t>Candidate enabling technique</t>
        </is>
      </c>
      <c r="F307" s="406" t="inlineStr">
        <is>
          <t>S1</t>
        </is>
      </c>
      <c r="G307" s="406" t="inlineStr">
        <is>
          <t>Model Mapping</t>
        </is>
      </c>
      <c r="H307" s="426" t="inlineStr">
        <is>
          <t>https://attack.mitre.org/techniques/T0865</t>
        </is>
      </c>
    </row>
    <row r="308" ht="27.75" customHeight="1" s="508">
      <c r="A308" s="406" t="inlineStr">
        <is>
          <t>Process Manipulation</t>
        </is>
      </c>
      <c r="B308" s="406" t="inlineStr">
        <is>
          <t>T0865</t>
        </is>
      </c>
      <c r="C308" s="406" t="inlineStr">
        <is>
          <t>Spearphishing Attachment</t>
        </is>
      </c>
      <c r="D308" s="406" t="inlineStr">
        <is>
          <t>Initial Access</t>
        </is>
      </c>
      <c r="E308" s="406" t="inlineStr">
        <is>
          <t>Candidate enabling technique</t>
        </is>
      </c>
      <c r="F308" s="406" t="inlineStr">
        <is>
          <t>S1</t>
        </is>
      </c>
      <c r="G308" s="406" t="inlineStr">
        <is>
          <t>Model Mapping</t>
        </is>
      </c>
      <c r="H308" s="426" t="inlineStr">
        <is>
          <t>https://attack.mitre.org/techniques/T0865</t>
        </is>
      </c>
    </row>
    <row r="309" ht="27.75" customHeight="1" s="508">
      <c r="A309" s="406" t="inlineStr">
        <is>
          <t>Safety System Compromise</t>
        </is>
      </c>
      <c r="B309" s="406" t="inlineStr">
        <is>
          <t>T0865</t>
        </is>
      </c>
      <c r="C309" s="406" t="inlineStr">
        <is>
          <t>Spearphishing Attachment</t>
        </is>
      </c>
      <c r="D309" s="406" t="inlineStr">
        <is>
          <t>Initial Access</t>
        </is>
      </c>
      <c r="E309" s="406" t="inlineStr">
        <is>
          <t>Candidate enabling technique</t>
        </is>
      </c>
      <c r="F309" s="406" t="inlineStr">
        <is>
          <t>S1</t>
        </is>
      </c>
      <c r="G309" s="406" t="inlineStr">
        <is>
          <t>Model Mapping</t>
        </is>
      </c>
      <c r="H309" s="426" t="inlineStr">
        <is>
          <t>https://attack.mitre.org/techniques/T0865</t>
        </is>
      </c>
    </row>
    <row r="310" ht="27.75" customHeight="1" s="508">
      <c r="A310" s="406" t="inlineStr">
        <is>
          <t>Destructive or Integrity Attack</t>
        </is>
      </c>
      <c r="B310" s="406" t="inlineStr">
        <is>
          <t>T0865</t>
        </is>
      </c>
      <c r="C310" s="406" t="inlineStr">
        <is>
          <t>Spearphishing Attachment</t>
        </is>
      </c>
      <c r="D310" s="406" t="inlineStr">
        <is>
          <t>Initial Access</t>
        </is>
      </c>
      <c r="E310" s="406" t="inlineStr">
        <is>
          <t>Candidate enabling technique</t>
        </is>
      </c>
      <c r="F310" s="406" t="inlineStr">
        <is>
          <t>S1</t>
        </is>
      </c>
      <c r="G310" s="406" t="inlineStr">
        <is>
          <t>Model Mapping</t>
        </is>
      </c>
      <c r="H310" s="426" t="inlineStr">
        <is>
          <t>https://attack.mitre.org/techniques/T0865</t>
        </is>
      </c>
    </row>
    <row r="311" ht="27.75" customHeight="1" s="508">
      <c r="A311" s="406" t="inlineStr">
        <is>
          <t>Operational Disruption</t>
        </is>
      </c>
      <c r="B311" s="406" t="inlineStr">
        <is>
          <t>T0869</t>
        </is>
      </c>
      <c r="C311" s="406" t="inlineStr">
        <is>
          <t>Standard Application Layer Protocol</t>
        </is>
      </c>
      <c r="D311" s="406" t="inlineStr">
        <is>
          <t>Command and Control</t>
        </is>
      </c>
      <c r="E311" s="406" t="inlineStr">
        <is>
          <t>Candidate enabling technique</t>
        </is>
      </c>
      <c r="F311" s="406" t="inlineStr">
        <is>
          <t>S3</t>
        </is>
      </c>
      <c r="G311" s="406" t="inlineStr">
        <is>
          <t>Model Mapping</t>
        </is>
      </c>
      <c r="H311" s="426" t="inlineStr">
        <is>
          <t>https://attack.mitre.org/techniques/T0869</t>
        </is>
      </c>
    </row>
    <row r="312" ht="27.75" customHeight="1" s="508">
      <c r="A312" s="406" t="inlineStr">
        <is>
          <t>Loss of Control or Visibility</t>
        </is>
      </c>
      <c r="B312" s="406" t="inlineStr">
        <is>
          <t>T0869</t>
        </is>
      </c>
      <c r="C312" s="406" t="inlineStr">
        <is>
          <t>Standard Application Layer Protocol</t>
        </is>
      </c>
      <c r="D312" s="406" t="inlineStr">
        <is>
          <t>Command and Control</t>
        </is>
      </c>
      <c r="E312" s="406" t="inlineStr">
        <is>
          <t>Candidate enabling technique</t>
        </is>
      </c>
      <c r="F312" s="406" t="inlineStr">
        <is>
          <t>S3</t>
        </is>
      </c>
      <c r="G312" s="406" t="inlineStr">
        <is>
          <t>Model Mapping</t>
        </is>
      </c>
      <c r="H312" s="426" t="inlineStr">
        <is>
          <t>https://attack.mitre.org/techniques/T0869</t>
        </is>
      </c>
    </row>
    <row r="313" ht="27.75" customHeight="1" s="508">
      <c r="A313" s="406" t="inlineStr">
        <is>
          <t>Process Manipulation</t>
        </is>
      </c>
      <c r="B313" s="406" t="inlineStr">
        <is>
          <t>T0869</t>
        </is>
      </c>
      <c r="C313" s="406" t="inlineStr">
        <is>
          <t>Standard Application Layer Protocol</t>
        </is>
      </c>
      <c r="D313" s="406" t="inlineStr">
        <is>
          <t>Command and Control</t>
        </is>
      </c>
      <c r="E313" s="406" t="inlineStr">
        <is>
          <t>Candidate enabling technique</t>
        </is>
      </c>
      <c r="F313" s="406" t="inlineStr">
        <is>
          <t>S3</t>
        </is>
      </c>
      <c r="G313" s="406" t="inlineStr">
        <is>
          <t>Model Mapping</t>
        </is>
      </c>
      <c r="H313" s="426" t="inlineStr">
        <is>
          <t>https://attack.mitre.org/techniques/T0869</t>
        </is>
      </c>
    </row>
    <row r="314" ht="27.75" customHeight="1" s="508">
      <c r="A314" s="406" t="inlineStr">
        <is>
          <t>Safety System Compromise</t>
        </is>
      </c>
      <c r="B314" s="406" t="inlineStr">
        <is>
          <t>T0869</t>
        </is>
      </c>
      <c r="C314" s="406" t="inlineStr">
        <is>
          <t>Standard Application Layer Protocol</t>
        </is>
      </c>
      <c r="D314" s="406" t="inlineStr">
        <is>
          <t>Command and Control</t>
        </is>
      </c>
      <c r="E314" s="406" t="inlineStr">
        <is>
          <t>Candidate enabling technique</t>
        </is>
      </c>
      <c r="F314" s="406" t="inlineStr">
        <is>
          <t>S3</t>
        </is>
      </c>
      <c r="G314" s="406" t="inlineStr">
        <is>
          <t>Model Mapping</t>
        </is>
      </c>
      <c r="H314" s="426" t="inlineStr">
        <is>
          <t>https://attack.mitre.org/techniques/T0869</t>
        </is>
      </c>
    </row>
    <row r="315" ht="27.75" customHeight="1" s="508">
      <c r="A315" s="406" t="inlineStr">
        <is>
          <t>Destructive or Integrity Attack</t>
        </is>
      </c>
      <c r="B315" s="406" t="inlineStr">
        <is>
          <t>T0869</t>
        </is>
      </c>
      <c r="C315" s="406" t="inlineStr">
        <is>
          <t>Standard Application Layer Protocol</t>
        </is>
      </c>
      <c r="D315" s="406" t="inlineStr">
        <is>
          <t>Command and Control</t>
        </is>
      </c>
      <c r="E315" s="406" t="inlineStr">
        <is>
          <t>Candidate enabling technique</t>
        </is>
      </c>
      <c r="F315" s="406" t="inlineStr">
        <is>
          <t>S3</t>
        </is>
      </c>
      <c r="G315" s="406" t="inlineStr">
        <is>
          <t>Model Mapping</t>
        </is>
      </c>
      <c r="H315" s="426" t="inlineStr">
        <is>
          <t>https://attack.mitre.org/techniques/T0869</t>
        </is>
      </c>
    </row>
    <row r="316" ht="27.75" customHeight="1" s="508">
      <c r="A316" s="406" t="inlineStr">
        <is>
          <t>Operational Disruption</t>
        </is>
      </c>
      <c r="B316" s="406" t="inlineStr">
        <is>
          <t>T0862</t>
        </is>
      </c>
      <c r="C316" s="406" t="inlineStr">
        <is>
          <t>Supply Chain Compromise</t>
        </is>
      </c>
      <c r="D316" s="406" t="inlineStr">
        <is>
          <t>Initial Access</t>
        </is>
      </c>
      <c r="E316" s="406" t="inlineStr">
        <is>
          <t>Candidate enabling technique</t>
        </is>
      </c>
      <c r="F316" s="406" t="inlineStr">
        <is>
          <t>S1</t>
        </is>
      </c>
      <c r="G316" s="406" t="inlineStr">
        <is>
          <t>Model Mapping</t>
        </is>
      </c>
      <c r="H316" s="426" t="inlineStr">
        <is>
          <t>https://attack.mitre.org/techniques/T0862</t>
        </is>
      </c>
    </row>
    <row r="317" ht="27.75" customHeight="1" s="508">
      <c r="A317" s="406" t="inlineStr">
        <is>
          <t>Loss of Control or Visibility</t>
        </is>
      </c>
      <c r="B317" s="406" t="inlineStr">
        <is>
          <t>T0862</t>
        </is>
      </c>
      <c r="C317" s="406" t="inlineStr">
        <is>
          <t>Supply Chain Compromise</t>
        </is>
      </c>
      <c r="D317" s="406" t="inlineStr">
        <is>
          <t>Initial Access</t>
        </is>
      </c>
      <c r="E317" s="406" t="inlineStr">
        <is>
          <t>Candidate enabling technique</t>
        </is>
      </c>
      <c r="F317" s="406" t="inlineStr">
        <is>
          <t>S1</t>
        </is>
      </c>
      <c r="G317" s="406" t="inlineStr">
        <is>
          <t>Model Mapping</t>
        </is>
      </c>
      <c r="H317" s="426" t="inlineStr">
        <is>
          <t>https://attack.mitre.org/techniques/T0862</t>
        </is>
      </c>
    </row>
    <row r="318" ht="27.75" customHeight="1" s="508">
      <c r="A318" s="406" t="inlineStr">
        <is>
          <t>Process Manipulation</t>
        </is>
      </c>
      <c r="B318" s="406" t="inlineStr">
        <is>
          <t>T0862</t>
        </is>
      </c>
      <c r="C318" s="406" t="inlineStr">
        <is>
          <t>Supply Chain Compromise</t>
        </is>
      </c>
      <c r="D318" s="406" t="inlineStr">
        <is>
          <t>Initial Access</t>
        </is>
      </c>
      <c r="E318" s="406" t="inlineStr">
        <is>
          <t>Candidate enabling technique</t>
        </is>
      </c>
      <c r="F318" s="406" t="inlineStr">
        <is>
          <t>S1</t>
        </is>
      </c>
      <c r="G318" s="406" t="inlineStr">
        <is>
          <t>Model Mapping</t>
        </is>
      </c>
      <c r="H318" s="426" t="inlineStr">
        <is>
          <t>https://attack.mitre.org/techniques/T0862</t>
        </is>
      </c>
    </row>
    <row r="319" ht="27.75" customHeight="1" s="508">
      <c r="A319" s="406" t="inlineStr">
        <is>
          <t>Safety System Compromise</t>
        </is>
      </c>
      <c r="B319" s="406" t="inlineStr">
        <is>
          <t>T0862</t>
        </is>
      </c>
      <c r="C319" s="406" t="inlineStr">
        <is>
          <t>Supply Chain Compromise</t>
        </is>
      </c>
      <c r="D319" s="406" t="inlineStr">
        <is>
          <t>Initial Access</t>
        </is>
      </c>
      <c r="E319" s="406" t="inlineStr">
        <is>
          <t>Candidate enabling technique</t>
        </is>
      </c>
      <c r="F319" s="406" t="inlineStr">
        <is>
          <t>S1</t>
        </is>
      </c>
      <c r="G319" s="406" t="inlineStr">
        <is>
          <t>Model Mapping</t>
        </is>
      </c>
      <c r="H319" s="426" t="inlineStr">
        <is>
          <t>https://attack.mitre.org/techniques/T0862</t>
        </is>
      </c>
    </row>
    <row r="320" ht="27.75" customHeight="1" s="508">
      <c r="A320" s="406" t="inlineStr">
        <is>
          <t>Destructive or Integrity Attack</t>
        </is>
      </c>
      <c r="B320" s="406" t="inlineStr">
        <is>
          <t>T0862</t>
        </is>
      </c>
      <c r="C320" s="406" t="inlineStr">
        <is>
          <t>Supply Chain Compromise</t>
        </is>
      </c>
      <c r="D320" s="406" t="inlineStr">
        <is>
          <t>Initial Access</t>
        </is>
      </c>
      <c r="E320" s="406" t="inlineStr">
        <is>
          <t>Candidate enabling technique</t>
        </is>
      </c>
      <c r="F320" s="406" t="inlineStr">
        <is>
          <t>S1</t>
        </is>
      </c>
      <c r="G320" s="406" t="inlineStr">
        <is>
          <t>Model Mapping</t>
        </is>
      </c>
      <c r="H320" s="426" t="inlineStr">
        <is>
          <t>https://attack.mitre.org/techniques/T0862</t>
        </is>
      </c>
    </row>
    <row r="321" ht="27.75" customHeight="1" s="508">
      <c r="A321" s="406" t="inlineStr">
        <is>
          <t>Operational Disruption</t>
        </is>
      </c>
      <c r="B321" s="406" t="inlineStr">
        <is>
          <t>T0894</t>
        </is>
      </c>
      <c r="C321" s="406" t="inlineStr">
        <is>
          <t>System Binary Proxy Execution</t>
        </is>
      </c>
      <c r="D321" s="406" t="inlineStr">
        <is>
          <t>Evasion</t>
        </is>
      </c>
      <c r="E321" s="406" t="inlineStr">
        <is>
          <t>Candidate enabling technique</t>
        </is>
      </c>
      <c r="F321" s="406" t="inlineStr">
        <is>
          <t>S2</t>
        </is>
      </c>
      <c r="G321" s="406" t="inlineStr">
        <is>
          <t>Model Mapping</t>
        </is>
      </c>
      <c r="H321" s="426" t="inlineStr">
        <is>
          <t>https://attack.mitre.org/techniques/T0894</t>
        </is>
      </c>
    </row>
    <row r="322" ht="27.75" customHeight="1" s="508">
      <c r="A322" s="406" t="inlineStr">
        <is>
          <t>Loss of Control or Visibility</t>
        </is>
      </c>
      <c r="B322" s="406" t="inlineStr">
        <is>
          <t>T0894</t>
        </is>
      </c>
      <c r="C322" s="406" t="inlineStr">
        <is>
          <t>System Binary Proxy Execution</t>
        </is>
      </c>
      <c r="D322" s="406" t="inlineStr">
        <is>
          <t>Evasion</t>
        </is>
      </c>
      <c r="E322" s="406" t="inlineStr">
        <is>
          <t>Candidate enabling technique</t>
        </is>
      </c>
      <c r="F322" s="406" t="inlineStr">
        <is>
          <t>S2</t>
        </is>
      </c>
      <c r="G322" s="406" t="inlineStr">
        <is>
          <t>Model Mapping</t>
        </is>
      </c>
      <c r="H322" s="426" t="inlineStr">
        <is>
          <t>https://attack.mitre.org/techniques/T0894</t>
        </is>
      </c>
    </row>
    <row r="323" ht="27.75" customHeight="1" s="508">
      <c r="A323" s="406" t="inlineStr">
        <is>
          <t>Process Manipulation</t>
        </is>
      </c>
      <c r="B323" s="406" t="inlineStr">
        <is>
          <t>T0894</t>
        </is>
      </c>
      <c r="C323" s="406" t="inlineStr">
        <is>
          <t>System Binary Proxy Execution</t>
        </is>
      </c>
      <c r="D323" s="406" t="inlineStr">
        <is>
          <t>Evasion</t>
        </is>
      </c>
      <c r="E323" s="406" t="inlineStr">
        <is>
          <t>Candidate enabling technique</t>
        </is>
      </c>
      <c r="F323" s="406" t="inlineStr">
        <is>
          <t>S2</t>
        </is>
      </c>
      <c r="G323" s="406" t="inlineStr">
        <is>
          <t>Model Mapping</t>
        </is>
      </c>
      <c r="H323" s="426" t="inlineStr">
        <is>
          <t>https://attack.mitre.org/techniques/T0894</t>
        </is>
      </c>
    </row>
    <row r="324" ht="27.75" customHeight="1" s="508">
      <c r="A324" s="406" t="inlineStr">
        <is>
          <t>Safety System Compromise</t>
        </is>
      </c>
      <c r="B324" s="406" t="inlineStr">
        <is>
          <t>T0894</t>
        </is>
      </c>
      <c r="C324" s="406" t="inlineStr">
        <is>
          <t>System Binary Proxy Execution</t>
        </is>
      </c>
      <c r="D324" s="406" t="inlineStr">
        <is>
          <t>Evasion</t>
        </is>
      </c>
      <c r="E324" s="406" t="inlineStr">
        <is>
          <t>Candidate enabling technique</t>
        </is>
      </c>
      <c r="F324" s="406" t="inlineStr">
        <is>
          <t>S2</t>
        </is>
      </c>
      <c r="G324" s="406" t="inlineStr">
        <is>
          <t>Model Mapping</t>
        </is>
      </c>
      <c r="H324" s="426" t="inlineStr">
        <is>
          <t>https://attack.mitre.org/techniques/T0894</t>
        </is>
      </c>
    </row>
    <row r="325" ht="27.75" customHeight="1" s="508">
      <c r="A325" s="406" t="inlineStr">
        <is>
          <t>Destructive or Integrity Attack</t>
        </is>
      </c>
      <c r="B325" s="406" t="inlineStr">
        <is>
          <t>T0894</t>
        </is>
      </c>
      <c r="C325" s="406" t="inlineStr">
        <is>
          <t>System Binary Proxy Execution</t>
        </is>
      </c>
      <c r="D325" s="406" t="inlineStr">
        <is>
          <t>Evasion</t>
        </is>
      </c>
      <c r="E325" s="406" t="inlineStr">
        <is>
          <t>Candidate enabling technique</t>
        </is>
      </c>
      <c r="F325" s="406" t="inlineStr">
        <is>
          <t>S2</t>
        </is>
      </c>
      <c r="G325" s="406" t="inlineStr">
        <is>
          <t>Model Mapping</t>
        </is>
      </c>
      <c r="H325" s="426" t="inlineStr">
        <is>
          <t>https://attack.mitre.org/techniques/T0894</t>
        </is>
      </c>
    </row>
    <row r="326" ht="27.75" customHeight="1" s="508">
      <c r="A326" s="406" t="inlineStr">
        <is>
          <t>Destructive or Integrity Attack</t>
        </is>
      </c>
      <c r="B326" s="406" t="inlineStr">
        <is>
          <t>T1693.001</t>
        </is>
      </c>
      <c r="C326" s="406" t="inlineStr">
        <is>
          <t>System Firmware</t>
        </is>
      </c>
      <c r="D326" s="406" t="inlineStr">
        <is>
          <t>Impair Process Control, Inhibit Response Function, Persistence</t>
        </is>
      </c>
      <c r="E326" s="406" t="inlineStr">
        <is>
          <t>Scenario-defining</t>
        </is>
      </c>
      <c r="F326" s="406" t="inlineStr">
        <is>
          <t>S5</t>
        </is>
      </c>
      <c r="G326" s="406" t="inlineStr">
        <is>
          <t>Model Mapping</t>
        </is>
      </c>
      <c r="H326" s="426" t="inlineStr">
        <is>
          <t>https://attack.mitre.org/techniques/T1693/001</t>
        </is>
      </c>
    </row>
    <row r="327" ht="68.25" customHeight="1" s="508">
      <c r="A327" s="406" t="inlineStr">
        <is>
          <t>Operational Disruption</t>
        </is>
      </c>
      <c r="B327" s="406" t="inlineStr">
        <is>
          <t>T0882</t>
        </is>
      </c>
      <c r="C327" s="406" t="inlineStr">
        <is>
          <t>Theft of Operational Information</t>
        </is>
      </c>
      <c r="D327" s="406" t="inlineStr">
        <is>
          <t>Impact</t>
        </is>
      </c>
      <c r="E327" s="406" t="inlineStr">
        <is>
          <t>Removed — see mapping basis</t>
        </is>
      </c>
      <c r="F327" s="406" t="n"/>
      <c r="G327" s="406" t="inlineStr">
        <is>
          <t>REMOVED v1.2: Theft of Operational Information is an exfiltration outcome, not a disruption mechanism.</t>
        </is>
      </c>
      <c r="H327" s="426" t="inlineStr">
        <is>
          <t>https://attack.mitre.org/techniques/T0882</t>
        </is>
      </c>
    </row>
    <row r="328" ht="27.75" customHeight="1" s="508">
      <c r="A328" s="406" t="inlineStr">
        <is>
          <t>Operational Disruption</t>
        </is>
      </c>
      <c r="B328" s="406" t="inlineStr">
        <is>
          <t>T0864</t>
        </is>
      </c>
      <c r="C328" s="406" t="inlineStr">
        <is>
          <t>Transient Cyber Asset</t>
        </is>
      </c>
      <c r="D328" s="406" t="inlineStr">
        <is>
          <t>Initial Access</t>
        </is>
      </c>
      <c r="E328" s="406" t="inlineStr">
        <is>
          <t>Candidate enabling technique</t>
        </is>
      </c>
      <c r="F328" s="406" t="inlineStr">
        <is>
          <t>S1</t>
        </is>
      </c>
      <c r="G328" s="406" t="inlineStr">
        <is>
          <t>Model Mapping</t>
        </is>
      </c>
      <c r="H328" s="426" t="inlineStr">
        <is>
          <t>https://attack.mitre.org/techniques/T0864</t>
        </is>
      </c>
    </row>
    <row r="329" ht="27.75" customHeight="1" s="508">
      <c r="A329" s="406" t="inlineStr">
        <is>
          <t>Loss of Control or Visibility</t>
        </is>
      </c>
      <c r="B329" s="406" t="inlineStr">
        <is>
          <t>T0864</t>
        </is>
      </c>
      <c r="C329" s="406" t="inlineStr">
        <is>
          <t>Transient Cyber Asset</t>
        </is>
      </c>
      <c r="D329" s="406" t="inlineStr">
        <is>
          <t>Initial Access</t>
        </is>
      </c>
      <c r="E329" s="406" t="inlineStr">
        <is>
          <t>Candidate enabling technique</t>
        </is>
      </c>
      <c r="F329" s="406" t="inlineStr">
        <is>
          <t>S1</t>
        </is>
      </c>
      <c r="G329" s="406" t="inlineStr">
        <is>
          <t>Model Mapping</t>
        </is>
      </c>
      <c r="H329" s="426" t="inlineStr">
        <is>
          <t>https://attack.mitre.org/techniques/T0864</t>
        </is>
      </c>
    </row>
    <row r="330" ht="27.75" customHeight="1" s="508">
      <c r="A330" s="406" t="inlineStr">
        <is>
          <t>Process Manipulation</t>
        </is>
      </c>
      <c r="B330" s="406" t="inlineStr">
        <is>
          <t>T0864</t>
        </is>
      </c>
      <c r="C330" s="406" t="inlineStr">
        <is>
          <t>Transient Cyber Asset</t>
        </is>
      </c>
      <c r="D330" s="406" t="inlineStr">
        <is>
          <t>Initial Access</t>
        </is>
      </c>
      <c r="E330" s="406" t="inlineStr">
        <is>
          <t>Candidate enabling technique</t>
        </is>
      </c>
      <c r="F330" s="406" t="inlineStr">
        <is>
          <t>S1</t>
        </is>
      </c>
      <c r="G330" s="406" t="inlineStr">
        <is>
          <t>Model Mapping</t>
        </is>
      </c>
      <c r="H330" s="426" t="inlineStr">
        <is>
          <t>https://attack.mitre.org/techniques/T0864</t>
        </is>
      </c>
    </row>
    <row r="331" ht="27.75" customHeight="1" s="508">
      <c r="A331" s="406" t="inlineStr">
        <is>
          <t>Safety System Compromise</t>
        </is>
      </c>
      <c r="B331" s="406" t="inlineStr">
        <is>
          <t>T0864</t>
        </is>
      </c>
      <c r="C331" s="406" t="inlineStr">
        <is>
          <t>Transient Cyber Asset</t>
        </is>
      </c>
      <c r="D331" s="406" t="inlineStr">
        <is>
          <t>Initial Access</t>
        </is>
      </c>
      <c r="E331" s="406" t="inlineStr">
        <is>
          <t>Candidate enabling technique</t>
        </is>
      </c>
      <c r="F331" s="406" t="inlineStr">
        <is>
          <t>S1</t>
        </is>
      </c>
      <c r="G331" s="406" t="inlineStr">
        <is>
          <t>Model Mapping</t>
        </is>
      </c>
      <c r="H331" s="426" t="inlineStr">
        <is>
          <t>https://attack.mitre.org/techniques/T0864</t>
        </is>
      </c>
    </row>
    <row r="332" ht="27.75" customHeight="1" s="508">
      <c r="A332" s="406" t="inlineStr">
        <is>
          <t>Destructive or Integrity Attack</t>
        </is>
      </c>
      <c r="B332" s="406" t="inlineStr">
        <is>
          <t>T0864</t>
        </is>
      </c>
      <c r="C332" s="406" t="inlineStr">
        <is>
          <t>Transient Cyber Asset</t>
        </is>
      </c>
      <c r="D332" s="406" t="inlineStr">
        <is>
          <t>Initial Access</t>
        </is>
      </c>
      <c r="E332" s="406" t="inlineStr">
        <is>
          <t>Candidate enabling technique</t>
        </is>
      </c>
      <c r="F332" s="406" t="inlineStr">
        <is>
          <t>S1</t>
        </is>
      </c>
      <c r="G332" s="406" t="inlineStr">
        <is>
          <t>Model Mapping</t>
        </is>
      </c>
      <c r="H332" s="426" t="inlineStr">
        <is>
          <t>https://attack.mitre.org/techniques/T0864</t>
        </is>
      </c>
    </row>
    <row r="333" ht="122.25" customHeight="1" s="508">
      <c r="A333" s="406" t="inlineStr">
        <is>
          <t>Process Manipulation</t>
        </is>
      </c>
      <c r="B333" s="406" t="inlineStr">
        <is>
          <t>T1692</t>
        </is>
      </c>
      <c r="C333" s="406" t="inlineStr">
        <is>
          <t>Unauthorized Message</t>
        </is>
      </c>
      <c r="D333" s="406" t="inlineStr">
        <is>
          <t>Evasion, Impair Process Control</t>
        </is>
      </c>
      <c r="E333" s="406" t="inlineStr">
        <is>
          <t>Excluded — parent/sub duplicate</t>
        </is>
      </c>
      <c r="F333" s="406" t="inlineStr">
        <is>
          <t>S5</t>
        </is>
      </c>
      <c r="G333" s="406" t="inlineStr">
        <is>
          <t>SUPPRESSED v1.2: parent technique carries no separate weight where applicable sub-techniques are mapped in the same scenario. Prevents one underlying behaviour receiving multiple weights in the stage barrier.</t>
        </is>
      </c>
      <c r="H333" s="426" t="inlineStr">
        <is>
          <t>https://attack.mitre.org/techniques/T1692</t>
        </is>
      </c>
    </row>
    <row r="334" ht="27.75" customHeight="1" s="508">
      <c r="A334" s="406" t="inlineStr">
        <is>
          <t>Operational Disruption</t>
        </is>
      </c>
      <c r="B334" s="406" t="inlineStr">
        <is>
          <t>T0863</t>
        </is>
      </c>
      <c r="C334" s="406" t="inlineStr">
        <is>
          <t>User Execution</t>
        </is>
      </c>
      <c r="D334" s="406" t="inlineStr">
        <is>
          <t>Execution</t>
        </is>
      </c>
      <c r="E334" s="406" t="inlineStr">
        <is>
          <t>Candidate enabling technique</t>
        </is>
      </c>
      <c r="F334" s="406" t="inlineStr">
        <is>
          <t>S2</t>
        </is>
      </c>
      <c r="G334" s="406" t="inlineStr">
        <is>
          <t>Model Mapping</t>
        </is>
      </c>
      <c r="H334" s="426" t="inlineStr">
        <is>
          <t>https://attack.mitre.org/techniques/T0863</t>
        </is>
      </c>
    </row>
    <row r="335" ht="27.75" customHeight="1" s="508">
      <c r="A335" s="406" t="inlineStr">
        <is>
          <t>Loss of Control or Visibility</t>
        </is>
      </c>
      <c r="B335" s="406" t="inlineStr">
        <is>
          <t>T0863</t>
        </is>
      </c>
      <c r="C335" s="406" t="inlineStr">
        <is>
          <t>User Execution</t>
        </is>
      </c>
      <c r="D335" s="406" t="inlineStr">
        <is>
          <t>Execution</t>
        </is>
      </c>
      <c r="E335" s="406" t="inlineStr">
        <is>
          <t>Candidate enabling technique</t>
        </is>
      </c>
      <c r="F335" s="406" t="inlineStr">
        <is>
          <t>S2</t>
        </is>
      </c>
      <c r="G335" s="406" t="inlineStr">
        <is>
          <t>Model Mapping</t>
        </is>
      </c>
      <c r="H335" s="426" t="inlineStr">
        <is>
          <t>https://attack.mitre.org/techniques/T0863</t>
        </is>
      </c>
    </row>
    <row r="336" ht="27.75" customHeight="1" s="508">
      <c r="A336" s="406" t="inlineStr">
        <is>
          <t>Process Manipulation</t>
        </is>
      </c>
      <c r="B336" s="406" t="inlineStr">
        <is>
          <t>T0863</t>
        </is>
      </c>
      <c r="C336" s="406" t="inlineStr">
        <is>
          <t>User Execution</t>
        </is>
      </c>
      <c r="D336" s="406" t="inlineStr">
        <is>
          <t>Execution</t>
        </is>
      </c>
      <c r="E336" s="406" t="inlineStr">
        <is>
          <t>Candidate enabling technique</t>
        </is>
      </c>
      <c r="F336" s="406" t="inlineStr">
        <is>
          <t>S2</t>
        </is>
      </c>
      <c r="G336" s="406" t="inlineStr">
        <is>
          <t>Model Mapping</t>
        </is>
      </c>
      <c r="H336" s="426" t="inlineStr">
        <is>
          <t>https://attack.mitre.org/techniques/T0863</t>
        </is>
      </c>
    </row>
    <row r="337" ht="27.75" customHeight="1" s="508">
      <c r="A337" s="406" t="inlineStr">
        <is>
          <t>Safety System Compromise</t>
        </is>
      </c>
      <c r="B337" s="406" t="inlineStr">
        <is>
          <t>T0863</t>
        </is>
      </c>
      <c r="C337" s="406" t="inlineStr">
        <is>
          <t>User Execution</t>
        </is>
      </c>
      <c r="D337" s="406" t="inlineStr">
        <is>
          <t>Execution</t>
        </is>
      </c>
      <c r="E337" s="406" t="inlineStr">
        <is>
          <t>Candidate enabling technique</t>
        </is>
      </c>
      <c r="F337" s="406" t="inlineStr">
        <is>
          <t>S2</t>
        </is>
      </c>
      <c r="G337" s="406" t="inlineStr">
        <is>
          <t>Model Mapping</t>
        </is>
      </c>
      <c r="H337" s="426" t="inlineStr">
        <is>
          <t>https://attack.mitre.org/techniques/T0863</t>
        </is>
      </c>
    </row>
    <row r="338" ht="27.75" customHeight="1" s="508">
      <c r="A338" s="406" t="inlineStr">
        <is>
          <t>Destructive or Integrity Attack</t>
        </is>
      </c>
      <c r="B338" s="406" t="inlineStr">
        <is>
          <t>T0863</t>
        </is>
      </c>
      <c r="C338" s="406" t="inlineStr">
        <is>
          <t>User Execution</t>
        </is>
      </c>
      <c r="D338" s="406" t="inlineStr">
        <is>
          <t>Execution</t>
        </is>
      </c>
      <c r="E338" s="406" t="inlineStr">
        <is>
          <t>Candidate enabling technique</t>
        </is>
      </c>
      <c r="F338" s="406" t="inlineStr">
        <is>
          <t>S2</t>
        </is>
      </c>
      <c r="G338" s="406" t="inlineStr">
        <is>
          <t>Model Mapping</t>
        </is>
      </c>
      <c r="H338" s="426" t="inlineStr">
        <is>
          <t>https://attack.mitre.org/techniques/T0863</t>
        </is>
      </c>
    </row>
    <row r="339" ht="27.75" customHeight="1" s="508">
      <c r="A339" s="406" t="inlineStr">
        <is>
          <t>Operational Disruption</t>
        </is>
      </c>
      <c r="B339" s="406" t="inlineStr">
        <is>
          <t>T0859</t>
        </is>
      </c>
      <c r="C339" s="406" t="inlineStr">
        <is>
          <t>Valid Accounts</t>
        </is>
      </c>
      <c r="D339" s="406" t="inlineStr">
        <is>
          <t>Lateral Movement, Persistence</t>
        </is>
      </c>
      <c r="E339" s="406" t="inlineStr">
        <is>
          <t>Candidate enabling technique</t>
        </is>
      </c>
      <c r="F339" s="406" t="inlineStr">
        <is>
          <t>S3</t>
        </is>
      </c>
      <c r="G339" s="406" t="inlineStr">
        <is>
          <t>Model Mapping</t>
        </is>
      </c>
      <c r="H339" s="426" t="inlineStr">
        <is>
          <t>https://attack.mitre.org/techniques/T0859</t>
        </is>
      </c>
    </row>
    <row r="340" ht="27.75" customHeight="1" s="508">
      <c r="A340" s="406" t="inlineStr">
        <is>
          <t>Loss of Control or Visibility</t>
        </is>
      </c>
      <c r="B340" s="406" t="inlineStr">
        <is>
          <t>T0859</t>
        </is>
      </c>
      <c r="C340" s="406" t="inlineStr">
        <is>
          <t>Valid Accounts</t>
        </is>
      </c>
      <c r="D340" s="406" t="inlineStr">
        <is>
          <t>Lateral Movement, Persistence</t>
        </is>
      </c>
      <c r="E340" s="406" t="inlineStr">
        <is>
          <t>Candidate enabling technique</t>
        </is>
      </c>
      <c r="F340" s="406" t="inlineStr">
        <is>
          <t>S3</t>
        </is>
      </c>
      <c r="G340" s="406" t="inlineStr">
        <is>
          <t>Model Mapping</t>
        </is>
      </c>
      <c r="H340" s="426" t="inlineStr">
        <is>
          <t>https://attack.mitre.org/techniques/T0859</t>
        </is>
      </c>
    </row>
    <row r="341" ht="27.75" customHeight="1" s="508">
      <c r="A341" s="406" t="inlineStr">
        <is>
          <t>Process Manipulation</t>
        </is>
      </c>
      <c r="B341" s="406" t="inlineStr">
        <is>
          <t>T0859</t>
        </is>
      </c>
      <c r="C341" s="406" t="inlineStr">
        <is>
          <t>Valid Accounts</t>
        </is>
      </c>
      <c r="D341" s="406" t="inlineStr">
        <is>
          <t>Lateral Movement, Persistence</t>
        </is>
      </c>
      <c r="E341" s="406" t="inlineStr">
        <is>
          <t>Candidate enabling technique</t>
        </is>
      </c>
      <c r="F341" s="406" t="inlineStr">
        <is>
          <t>S3</t>
        </is>
      </c>
      <c r="G341" s="406" t="inlineStr">
        <is>
          <t>Model Mapping</t>
        </is>
      </c>
      <c r="H341" s="426" t="inlineStr">
        <is>
          <t>https://attack.mitre.org/techniques/T0859</t>
        </is>
      </c>
    </row>
    <row r="342" ht="27.75" customHeight="1" s="508">
      <c r="A342" s="406" t="inlineStr">
        <is>
          <t>Safety System Compromise</t>
        </is>
      </c>
      <c r="B342" s="406" t="inlineStr">
        <is>
          <t>T0859</t>
        </is>
      </c>
      <c r="C342" s="406" t="inlineStr">
        <is>
          <t>Valid Accounts</t>
        </is>
      </c>
      <c r="D342" s="406" t="inlineStr">
        <is>
          <t>Lateral Movement, Persistence</t>
        </is>
      </c>
      <c r="E342" s="406" t="inlineStr">
        <is>
          <t>Candidate enabling technique</t>
        </is>
      </c>
      <c r="F342" s="406" t="inlineStr">
        <is>
          <t>S3</t>
        </is>
      </c>
      <c r="G342" s="406" t="inlineStr">
        <is>
          <t>Model Mapping</t>
        </is>
      </c>
      <c r="H342" s="426" t="inlineStr">
        <is>
          <t>https://attack.mitre.org/techniques/T0859</t>
        </is>
      </c>
    </row>
    <row r="343" ht="27.75" customHeight="1" s="508">
      <c r="A343" s="406" t="inlineStr">
        <is>
          <t>Destructive or Integrity Attack</t>
        </is>
      </c>
      <c r="B343" s="406" t="inlineStr">
        <is>
          <t>T0859</t>
        </is>
      </c>
      <c r="C343" s="406" t="inlineStr">
        <is>
          <t>Valid Accounts</t>
        </is>
      </c>
      <c r="D343" s="406" t="inlineStr">
        <is>
          <t>Lateral Movement, Persistence</t>
        </is>
      </c>
      <c r="E343" s="406" t="inlineStr">
        <is>
          <t>Candidate enabling technique</t>
        </is>
      </c>
      <c r="F343" s="406" t="inlineStr">
        <is>
          <t>S3</t>
        </is>
      </c>
      <c r="G343" s="406" t="inlineStr">
        <is>
          <t>Model Mapping</t>
        </is>
      </c>
      <c r="H343" s="426" t="inlineStr">
        <is>
          <t>https://attack.mitre.org/techniques/T0859</t>
        </is>
      </c>
    </row>
    <row r="344" ht="15" customHeight="1" s="508">
      <c r="A344" s="406" t="inlineStr">
        <is>
          <t>Safety System Compromise</t>
        </is>
      </c>
      <c r="B344" s="406" t="inlineStr">
        <is>
          <t>T1695.003</t>
        </is>
      </c>
      <c r="C344" s="406" t="inlineStr">
        <is>
          <t>Wi-Fi</t>
        </is>
      </c>
      <c r="D344" s="406" t="inlineStr">
        <is>
          <t>Inhibit Response Function</t>
        </is>
      </c>
      <c r="E344" s="406" t="inlineStr">
        <is>
          <t>Supporting / impact</t>
        </is>
      </c>
      <c r="F344" s="406" t="inlineStr">
        <is>
          <t>S5</t>
        </is>
      </c>
      <c r="G344" s="406" t="inlineStr">
        <is>
          <t>Model Mapping</t>
        </is>
      </c>
      <c r="H344" s="426" t="inlineStr">
        <is>
          <t>https://attack.mitre.org/techniques/T1695/003</t>
        </is>
      </c>
    </row>
    <row r="345" ht="27.75" customHeight="1" s="508">
      <c r="A345" s="406" t="inlineStr">
        <is>
          <t>Operational Disruption</t>
        </is>
      </c>
      <c r="B345" s="406" t="inlineStr">
        <is>
          <t>T0860</t>
        </is>
      </c>
      <c r="C345" s="406" t="inlineStr">
        <is>
          <t>Wireless Compromise</t>
        </is>
      </c>
      <c r="D345" s="406" t="inlineStr">
        <is>
          <t>Initial Access</t>
        </is>
      </c>
      <c r="E345" s="406" t="inlineStr">
        <is>
          <t>Candidate enabling technique</t>
        </is>
      </c>
      <c r="F345" s="406" t="inlineStr">
        <is>
          <t>S1</t>
        </is>
      </c>
      <c r="G345" s="406" t="inlineStr">
        <is>
          <t>Model Mapping</t>
        </is>
      </c>
      <c r="H345" s="426" t="inlineStr">
        <is>
          <t>https://attack.mitre.org/techniques/T0860</t>
        </is>
      </c>
    </row>
    <row r="346" ht="27.75" customHeight="1" s="508">
      <c r="A346" s="406" t="inlineStr">
        <is>
          <t>Loss of Control or Visibility</t>
        </is>
      </c>
      <c r="B346" s="406" t="inlineStr">
        <is>
          <t>T0860</t>
        </is>
      </c>
      <c r="C346" s="406" t="inlineStr">
        <is>
          <t>Wireless Compromise</t>
        </is>
      </c>
      <c r="D346" s="406" t="inlineStr">
        <is>
          <t>Initial Access</t>
        </is>
      </c>
      <c r="E346" s="406" t="inlineStr">
        <is>
          <t>Candidate enabling technique</t>
        </is>
      </c>
      <c r="F346" s="406" t="inlineStr">
        <is>
          <t>S1</t>
        </is>
      </c>
      <c r="G346" s="406" t="inlineStr">
        <is>
          <t>Model Mapping</t>
        </is>
      </c>
      <c r="H346" s="426" t="inlineStr">
        <is>
          <t>https://attack.mitre.org/techniques/T0860</t>
        </is>
      </c>
    </row>
    <row r="347" ht="27.75" customHeight="1" s="508">
      <c r="A347" s="406" t="inlineStr">
        <is>
          <t>Process Manipulation</t>
        </is>
      </c>
      <c r="B347" s="406" t="inlineStr">
        <is>
          <t>T0860</t>
        </is>
      </c>
      <c r="C347" s="406" t="inlineStr">
        <is>
          <t>Wireless Compromise</t>
        </is>
      </c>
      <c r="D347" s="406" t="inlineStr">
        <is>
          <t>Initial Access</t>
        </is>
      </c>
      <c r="E347" s="406" t="inlineStr">
        <is>
          <t>Candidate enabling technique</t>
        </is>
      </c>
      <c r="F347" s="406" t="inlineStr">
        <is>
          <t>S1</t>
        </is>
      </c>
      <c r="G347" s="406" t="inlineStr">
        <is>
          <t>Model Mapping</t>
        </is>
      </c>
      <c r="H347" s="426" t="inlineStr">
        <is>
          <t>https://attack.mitre.org/techniques/T0860</t>
        </is>
      </c>
    </row>
    <row r="348" ht="27.75" customHeight="1" s="508">
      <c r="A348" s="406" t="inlineStr">
        <is>
          <t>Safety System Compromise</t>
        </is>
      </c>
      <c r="B348" s="406" t="inlineStr">
        <is>
          <t>T0860</t>
        </is>
      </c>
      <c r="C348" s="406" t="inlineStr">
        <is>
          <t>Wireless Compromise</t>
        </is>
      </c>
      <c r="D348" s="406" t="inlineStr">
        <is>
          <t>Initial Access</t>
        </is>
      </c>
      <c r="E348" s="406" t="inlineStr">
        <is>
          <t>Candidate enabling technique</t>
        </is>
      </c>
      <c r="F348" s="406" t="inlineStr">
        <is>
          <t>S1</t>
        </is>
      </c>
      <c r="G348" s="406" t="inlineStr">
        <is>
          <t>Model Mapping</t>
        </is>
      </c>
      <c r="H348" s="426" t="inlineStr">
        <is>
          <t>https://attack.mitre.org/techniques/T0860</t>
        </is>
      </c>
    </row>
    <row r="349" ht="27.75" customHeight="1" s="508">
      <c r="A349" s="406" t="inlineStr">
        <is>
          <t>Destructive or Integrity Attack</t>
        </is>
      </c>
      <c r="B349" s="406" t="inlineStr">
        <is>
          <t>T0860</t>
        </is>
      </c>
      <c r="C349" s="406" t="inlineStr">
        <is>
          <t>Wireless Compromise</t>
        </is>
      </c>
      <c r="D349" s="406" t="inlineStr">
        <is>
          <t>Initial Access</t>
        </is>
      </c>
      <c r="E349" s="406" t="inlineStr">
        <is>
          <t>Candidate enabling technique</t>
        </is>
      </c>
      <c r="F349" s="406" t="inlineStr">
        <is>
          <t>S1</t>
        </is>
      </c>
      <c r="G349" s="406" t="inlineStr">
        <is>
          <t>Model Mapping</t>
        </is>
      </c>
      <c r="H349" s="426" t="inlineStr">
        <is>
          <t>https://attack.mitre.org/techniques/T0860</t>
        </is>
      </c>
    </row>
    <row r="350" ht="27.75" customHeight="1" s="508">
      <c r="A350" s="406" t="inlineStr">
        <is>
          <t>Operational Disruption</t>
        </is>
      </c>
      <c r="B350" s="406" t="inlineStr">
        <is>
          <t>T0887</t>
        </is>
      </c>
      <c r="C350" s="406" t="inlineStr">
        <is>
          <t>Wireless Sniffing</t>
        </is>
      </c>
      <c r="D350" s="406" t="inlineStr">
        <is>
          <t>Collection, Discovery</t>
        </is>
      </c>
      <c r="E350" s="406" t="inlineStr">
        <is>
          <t>Candidate enabling technique</t>
        </is>
      </c>
      <c r="F350" s="406" t="inlineStr">
        <is>
          <t>S4</t>
        </is>
      </c>
      <c r="G350" s="406" t="inlineStr">
        <is>
          <t>Model Mapping</t>
        </is>
      </c>
      <c r="H350" s="426" t="inlineStr">
        <is>
          <t>https://attack.mitre.org/techniques/T0887</t>
        </is>
      </c>
    </row>
    <row r="351" ht="27.75" customHeight="1" s="508">
      <c r="A351" s="406" t="inlineStr">
        <is>
          <t>Loss of Control or Visibility</t>
        </is>
      </c>
      <c r="B351" s="406" t="inlineStr">
        <is>
          <t>T0887</t>
        </is>
      </c>
      <c r="C351" s="406" t="inlineStr">
        <is>
          <t>Wireless Sniffing</t>
        </is>
      </c>
      <c r="D351" s="406" t="inlineStr">
        <is>
          <t>Collection, Discovery</t>
        </is>
      </c>
      <c r="E351" s="406" t="inlineStr">
        <is>
          <t>Candidate enabling technique</t>
        </is>
      </c>
      <c r="F351" s="406" t="inlineStr">
        <is>
          <t>S4</t>
        </is>
      </c>
      <c r="G351" s="406" t="inlineStr">
        <is>
          <t>Model Mapping</t>
        </is>
      </c>
      <c r="H351" s="426" t="inlineStr">
        <is>
          <t>https://attack.mitre.org/techniques/T0887</t>
        </is>
      </c>
    </row>
    <row r="352" ht="27.75" customHeight="1" s="508">
      <c r="A352" s="406" t="inlineStr">
        <is>
          <t>Process Manipulation</t>
        </is>
      </c>
      <c r="B352" s="406" t="inlineStr">
        <is>
          <t>T0887</t>
        </is>
      </c>
      <c r="C352" s="406" t="inlineStr">
        <is>
          <t>Wireless Sniffing</t>
        </is>
      </c>
      <c r="D352" s="406" t="inlineStr">
        <is>
          <t>Collection, Discovery</t>
        </is>
      </c>
      <c r="E352" s="406" t="inlineStr">
        <is>
          <t>Candidate enabling technique</t>
        </is>
      </c>
      <c r="F352" s="406" t="inlineStr">
        <is>
          <t>S4</t>
        </is>
      </c>
      <c r="G352" s="406" t="inlineStr">
        <is>
          <t>Model Mapping</t>
        </is>
      </c>
      <c r="H352" s="426" t="inlineStr">
        <is>
          <t>https://attack.mitre.org/techniques/T0887</t>
        </is>
      </c>
    </row>
    <row r="353" ht="27.75" customHeight="1" s="508">
      <c r="A353" s="406" t="inlineStr">
        <is>
          <t>Safety System Compromise</t>
        </is>
      </c>
      <c r="B353" s="406" t="inlineStr">
        <is>
          <t>T0887</t>
        </is>
      </c>
      <c r="C353" s="406" t="inlineStr">
        <is>
          <t>Wireless Sniffing</t>
        </is>
      </c>
      <c r="D353" s="406" t="inlineStr">
        <is>
          <t>Collection, Discovery</t>
        </is>
      </c>
      <c r="E353" s="406" t="inlineStr">
        <is>
          <t>Candidate enabling technique</t>
        </is>
      </c>
      <c r="F353" s="406" t="inlineStr">
        <is>
          <t>S4</t>
        </is>
      </c>
      <c r="G353" s="406" t="inlineStr">
        <is>
          <t>Model Mapping</t>
        </is>
      </c>
      <c r="H353" s="426" t="inlineStr">
        <is>
          <t>https://attack.mitre.org/techniques/T0887</t>
        </is>
      </c>
    </row>
    <row r="354" ht="27.75" customHeight="1" s="508">
      <c r="A354" s="406" t="inlineStr">
        <is>
          <t>Destructive or Integrity Attack</t>
        </is>
      </c>
      <c r="B354" s="406" t="inlineStr">
        <is>
          <t>T0887</t>
        </is>
      </c>
      <c r="C354" s="406" t="inlineStr">
        <is>
          <t>Wireless Sniffing</t>
        </is>
      </c>
      <c r="D354" s="406" t="inlineStr">
        <is>
          <t>Collection, Discovery</t>
        </is>
      </c>
      <c r="E354" s="406" t="inlineStr">
        <is>
          <t>Candidate enabling technique</t>
        </is>
      </c>
      <c r="F354" s="406" t="inlineStr">
        <is>
          <t>S4</t>
        </is>
      </c>
      <c r="G354" s="406" t="inlineStr">
        <is>
          <t>Model Mapping</t>
        </is>
      </c>
      <c r="H354" s="426" t="inlineStr">
        <is>
          <t>https://attack.mitre.org/techniques/T0887</t>
        </is>
      </c>
    </row>
    <row r="355" ht="15" customHeight="1" s="508">
      <c r="A355" s="972" t="inlineStr">
        <is>
          <t>Loss of Control or Visibility</t>
        </is>
      </c>
      <c r="B355" s="972" t="inlineStr">
        <is>
          <t>T1691.001</t>
        </is>
      </c>
      <c r="C355" s="972" t="inlineStr">
        <is>
          <t>Command Message</t>
        </is>
      </c>
      <c r="D355" s="972" t="inlineStr">
        <is>
          <t>Inhibit Response Function</t>
        </is>
      </c>
      <c r="E355" s="972" t="inlineStr">
        <is>
          <t>Supporting / impact</t>
        </is>
      </c>
      <c r="F355" s="972" t="inlineStr">
        <is>
          <t>S5</t>
        </is>
      </c>
      <c r="G355" s="972" t="inlineStr">
        <is>
          <t>ADDED v1.2: Block Command Message can cause loss or denial of operator control.</t>
        </is>
      </c>
      <c r="H355" s="972" t="inlineStr">
        <is>
          <t>https://attack.mitre.org/techniques/T1691/001</t>
        </is>
      </c>
    </row>
    <row r="356" ht="15" customHeight="1" s="508">
      <c r="A356" s="972" t="inlineStr">
        <is>
          <t>Loss of Control or Visibility</t>
        </is>
      </c>
      <c r="B356" s="972" t="inlineStr">
        <is>
          <t>T1691.002</t>
        </is>
      </c>
      <c r="C356" s="972" t="inlineStr">
        <is>
          <t>Reporting Message</t>
        </is>
      </c>
      <c r="D356" s="972" t="inlineStr">
        <is>
          <t>Inhibit Response Function</t>
        </is>
      </c>
      <c r="E356" s="972" t="inlineStr">
        <is>
          <t>Supporting / impact</t>
        </is>
      </c>
      <c r="F356" s="972" t="inlineStr">
        <is>
          <t>S5</t>
        </is>
      </c>
      <c r="G356" s="972" t="inlineStr">
        <is>
          <t>ADDED v1.2: Block Reporting Message can cause loss of process visibility.</t>
        </is>
      </c>
      <c r="H356" s="972" t="inlineStr">
        <is>
          <t>https://attack.mitre.org/techniques/T1691/002</t>
        </is>
      </c>
    </row>
    <row r="357" ht="15" customHeight="1" s="508">
      <c r="A357" s="972" t="inlineStr">
        <is>
          <t>Loss of Control or Visibility</t>
        </is>
      </c>
      <c r="B357" s="972" t="inlineStr">
        <is>
          <t>T1692.002</t>
        </is>
      </c>
      <c r="C357" s="972" t="inlineStr">
        <is>
          <t>Reporting Message</t>
        </is>
      </c>
      <c r="D357" s="972" t="inlineStr">
        <is>
          <t>Evasion, Impair Process Control</t>
        </is>
      </c>
      <c r="E357" s="972" t="inlineStr">
        <is>
          <t>Supporting / impact</t>
        </is>
      </c>
      <c r="F357" s="972" t="inlineStr">
        <is>
          <t>S5</t>
        </is>
      </c>
      <c r="G357" s="972" t="inlineStr">
        <is>
          <t>ADDED v1.2: Unauthorized Reporting Message falsifies process telemetry presented to operators.</t>
        </is>
      </c>
      <c r="H357" s="972" t="inlineStr">
        <is>
          <t>https://attack.mitre.org/techniques/T1692/002</t>
        </is>
      </c>
    </row>
    <row r="358" ht="15" customHeight="1" s="508">
      <c r="A358" s="972" t="inlineStr">
        <is>
          <t>Loss of Control or Visibility</t>
        </is>
      </c>
      <c r="B358" s="972" t="inlineStr">
        <is>
          <t>T0892</t>
        </is>
      </c>
      <c r="C358" s="972" t="inlineStr">
        <is>
          <t>Change Credential</t>
        </is>
      </c>
      <c r="D358" s="972" t="inlineStr">
        <is>
          <t>Inhibit Response Function</t>
        </is>
      </c>
      <c r="E358" s="972" t="inlineStr">
        <is>
          <t>Supporting / impact</t>
        </is>
      </c>
      <c r="F358" s="972" t="inlineStr">
        <is>
          <t>S5</t>
        </is>
      </c>
      <c r="G358" s="972" t="inlineStr">
        <is>
          <t>ADDED v1.2: Change Credential can prevent legitimate operator access to control systems.</t>
        </is>
      </c>
      <c r="H358" s="972" t="inlineStr">
        <is>
          <t>https://attack.mitre.org/techniques/T0892</t>
        </is>
      </c>
    </row>
    <row r="359" ht="15" customHeight="1" s="508">
      <c r="A359" s="972" t="inlineStr">
        <is>
          <t>Loss of Control or Visibility</t>
        </is>
      </c>
      <c r="B359" s="972" t="inlineStr">
        <is>
          <t>T0832</t>
        </is>
      </c>
      <c r="C359" s="972" t="inlineStr">
        <is>
          <t>Manipulation of View</t>
        </is>
      </c>
      <c r="D359" s="972" t="inlineStr">
        <is>
          <t>Impact</t>
        </is>
      </c>
      <c r="E359" s="972" t="inlineStr">
        <is>
          <t>Supporting / impact</t>
        </is>
      </c>
      <c r="F359" s="972" t="inlineStr">
        <is>
          <t>S5</t>
        </is>
      </c>
      <c r="G359" s="972" t="inlineStr">
        <is>
          <t>ADDED v1.2: Manipulation of View — deceptive or compromised process visibility.</t>
        </is>
      </c>
      <c r="H359" s="972" t="inlineStr">
        <is>
          <t>https://attack.mitre.org/techniques/T0832</t>
        </is>
      </c>
    </row>
    <row r="360" ht="15" customHeight="1" s="508">
      <c r="A360" s="972" t="inlineStr">
        <is>
          <t>Operational Disruption</t>
        </is>
      </c>
      <c r="B360" s="972" t="inlineStr">
        <is>
          <t>T1691</t>
        </is>
      </c>
      <c r="C360" s="972" t="inlineStr">
        <is>
          <t>Block Operational Technology Message</t>
        </is>
      </c>
      <c r="D360" s="972" t="inlineStr">
        <is>
          <t>Inhibit Response Function</t>
        </is>
      </c>
      <c r="E360" s="972" t="inlineStr">
        <is>
          <t>Excluded — parent/sub duplicate</t>
        </is>
      </c>
      <c r="F360" s="972" t="inlineStr">
        <is>
          <t>S5</t>
        </is>
      </c>
      <c r="G360" s="972" t="inlineStr">
        <is>
          <t>SUPPRESSED v1.2: parent technique carries no separate weight where applicable sub-techniques are mapped in the same scenario. Prevents one underlying behaviour receiving multiple weights in the stage barrier.</t>
        </is>
      </c>
      <c r="H360" s="972" t="inlineStr">
        <is>
          <t>https://attack.mitre.org/techniques/T1691</t>
        </is>
      </c>
    </row>
    <row r="361" ht="15" customHeight="1" s="508">
      <c r="A361" s="972" t="inlineStr">
        <is>
          <t>Operational Disruption</t>
        </is>
      </c>
      <c r="B361" s="972" t="inlineStr">
        <is>
          <t>T1695</t>
        </is>
      </c>
      <c r="C361" s="972" t="inlineStr">
        <is>
          <t>Block Communications</t>
        </is>
      </c>
      <c r="D361" s="972" t="inlineStr">
        <is>
          <t>Inhibit Response Function</t>
        </is>
      </c>
      <c r="E361" s="972" t="inlineStr">
        <is>
          <t>Supporting / impact</t>
        </is>
      </c>
      <c r="F361" s="972" t="inlineStr">
        <is>
          <t>S5</t>
        </is>
      </c>
      <c r="G361" s="972" t="inlineStr">
        <is>
          <t>ADDED v1.2: Blocking OT communications disrupts process and operations.</t>
        </is>
      </c>
      <c r="H361" s="972" t="inlineStr">
        <is>
          <t>https://attack.mitre.org/techniques/T1695</t>
        </is>
      </c>
    </row>
    <row r="362" ht="15" customHeight="1" s="508">
      <c r="A362" s="972" t="inlineStr">
        <is>
          <t>Operational Disruption</t>
        </is>
      </c>
      <c r="B362" s="972" t="inlineStr">
        <is>
          <t>T1691.001</t>
        </is>
      </c>
      <c r="C362" s="972" t="inlineStr">
        <is>
          <t>Command Message</t>
        </is>
      </c>
      <c r="D362" s="972" t="inlineStr">
        <is>
          <t>Inhibit Response Function</t>
        </is>
      </c>
      <c r="E362" s="972" t="inlineStr">
        <is>
          <t>Supporting / impact</t>
        </is>
      </c>
      <c r="F362" s="972" t="inlineStr">
        <is>
          <t>S5</t>
        </is>
      </c>
      <c r="G362" s="972" t="inlineStr">
        <is>
          <t>ADDED v1.2: Blocked command messages interrupt normal operation.</t>
        </is>
      </c>
      <c r="H362" s="972" t="inlineStr">
        <is>
          <t>https://attack.mitre.org/techniques/T1691/001</t>
        </is>
      </c>
    </row>
    <row r="363" ht="15" customHeight="1" s="508">
      <c r="A363" s="972" t="inlineStr">
        <is>
          <t>Operational Disruption</t>
        </is>
      </c>
      <c r="B363" s="972" t="inlineStr">
        <is>
          <t>T0800</t>
        </is>
      </c>
      <c r="C363" s="972" t="inlineStr">
        <is>
          <t>Activate Firmware Update Mode</t>
        </is>
      </c>
      <c r="D363" s="972" t="inlineStr">
        <is>
          <t>Inhibit Response Function</t>
        </is>
      </c>
      <c r="E363" s="972" t="inlineStr">
        <is>
          <t>Supporting / impact</t>
        </is>
      </c>
      <c r="F363" s="972" t="inlineStr">
        <is>
          <t>S5</t>
        </is>
      </c>
      <c r="G363" s="972" t="inlineStr">
        <is>
          <t>ADDED v1.2: Firmware update mode denies expected device functionality.</t>
        </is>
      </c>
      <c r="H363" s="972" t="inlineStr">
        <is>
          <t>https://attack.mitre.org/techniques/T0800</t>
        </is>
      </c>
    </row>
    <row r="364" ht="15" customHeight="1" s="508">
      <c r="A364" s="972" t="inlineStr">
        <is>
          <t>Safety System Compromise</t>
        </is>
      </c>
      <c r="B364" s="972" t="inlineStr">
        <is>
          <t>T0837</t>
        </is>
      </c>
      <c r="C364" s="972" t="inlineStr">
        <is>
          <t>Loss of Protection</t>
        </is>
      </c>
      <c r="D364" s="972" t="inlineStr">
        <is>
          <t>Impact</t>
        </is>
      </c>
      <c r="E364" s="972" t="inlineStr">
        <is>
          <t>Scenario-defining</t>
        </is>
      </c>
      <c r="F364" s="972" t="inlineStr">
        <is>
          <t>S5</t>
        </is>
      </c>
      <c r="G364" s="972" t="inlineStr">
        <is>
          <t>ADDED v1.2: Loss of Protection compromises protective functions designed to prevent faults, abnormal conditions and equipment damage.</t>
        </is>
      </c>
      <c r="H364" s="972" t="inlineStr">
        <is>
          <t>https://attack.mitre.org/techniques/T0837</t>
        </is>
      </c>
    </row>
    <row r="365" ht="15" customHeight="1" s="508">
      <c r="A365" s="972" t="inlineStr">
        <is>
          <t>Destructive or Integrity Attack</t>
        </is>
      </c>
      <c r="B365" s="972" t="inlineStr">
        <is>
          <t>T0879</t>
        </is>
      </c>
      <c r="C365" s="972" t="inlineStr">
        <is>
          <t>Damage to Property</t>
        </is>
      </c>
      <c r="D365" s="972" t="inlineStr">
        <is>
          <t>Impact</t>
        </is>
      </c>
      <c r="E365" s="972" t="inlineStr">
        <is>
          <t>Supporting / impact</t>
        </is>
      </c>
      <c r="F365" s="972" t="inlineStr">
        <is>
          <t>S5</t>
        </is>
      </c>
      <c r="G365" s="972" t="inlineStr">
        <is>
          <t>ADDED v1.2: Damage to Property — destruction of infrastructure, operational equipment and surrounding environment.</t>
        </is>
      </c>
      <c r="H365" s="972" t="inlineStr">
        <is>
          <t>https://attack.mitre.org/techniques/T0879</t>
        </is>
      </c>
    </row>
    <row r="366" ht="15" customHeight="1" s="508">
      <c r="A366" s="972" t="inlineStr">
        <is>
          <t>Destructive or Integrity Attack</t>
        </is>
      </c>
      <c r="B366" s="972" t="inlineStr">
        <is>
          <t>T0836</t>
        </is>
      </c>
      <c r="C366" s="972" t="inlineStr">
        <is>
          <t>Modify Parameter</t>
        </is>
      </c>
      <c r="D366" s="972" t="inlineStr">
        <is>
          <t>Impair Process Control</t>
        </is>
      </c>
      <c r="E366" s="972" t="inlineStr">
        <is>
          <t>Supporting / impact</t>
        </is>
      </c>
      <c r="F366" s="972" t="inlineStr">
        <is>
          <t>S5</t>
        </is>
      </c>
      <c r="G366" s="972" t="inlineStr">
        <is>
          <t>ADDED v1.2: Modify Parameter where the purpose is destructive.</t>
        </is>
      </c>
      <c r="H366" s="972" t="inlineStr">
        <is>
          <t>https://attack.mitre.org/techniques/T0836</t>
        </is>
      </c>
    </row>
  </sheetData>
  <mergeCells count="13">
    <mergeCell ref="A9:H9"/>
    <mergeCell ref="A4:H4"/>
    <mergeCell ref="A12:H12"/>
    <mergeCell ref="A3:H3"/>
    <mergeCell ref="A5:H5"/>
    <mergeCell ref="A7:H7"/>
    <mergeCell ref="A2:H2"/>
    <mergeCell ref="A10:H10"/>
    <mergeCell ref="A13:H13"/>
    <mergeCell ref="A11:H11"/>
    <mergeCell ref="A1:H1"/>
    <mergeCell ref="A8:H8"/>
    <mergeCell ref="A6:H6"/>
  </mergeCells>
  <pageMargins left="0.7" right="0.7" top="0.75" bottom="0.75" header="0.3" footer="0.3"/>
</worksheet>
</file>

<file path=xl/worksheets/sheet40.xml><?xml version="1.0" encoding="utf-8"?>
<worksheet xmlns="http://schemas.openxmlformats.org/spreadsheetml/2006/main">
  <sheetPr>
    <tabColor rgb="00ED7D31"/>
    <outlinePr summaryBelow="1" summaryRight="1"/>
    <pageSetUpPr/>
  </sheetPr>
  <dimension ref="A1:F306"/>
  <sheetViews>
    <sheetView showGridLines="1" workbookViewId="0">
      <selection activeCell="A1" sqref="A1"/>
    </sheetView>
  </sheetViews>
  <sheetFormatPr baseColWidth="8" defaultColWidth="8.6796875" defaultRowHeight="15"/>
  <cols>
    <col width="22" customWidth="1" style="972" min="1" max="1"/>
    <col width="14" customWidth="1" style="972" min="2" max="2"/>
    <col width="35" customWidth="1" style="972" min="3" max="3"/>
    <col width="11" customWidth="1" style="972" min="4" max="4"/>
    <col width="13" customWidth="1" style="972" min="5" max="5"/>
    <col width="65" customWidth="1" style="972" min="6" max="6"/>
  </cols>
  <sheetData>
    <row r="1" ht="21.75" customHeight="1" s="508">
      <c r="A1" s="424" t="inlineStr">
        <is>
          <t>11 — Threat Actor → TTP Applicability</t>
        </is>
      </c>
    </row>
    <row r="2" ht="37.5" customHeight="1" s="508">
      <c r="A2" s="402" t="inlineStr">
        <is>
          <t>Purpose: Specify whether a scenario-relevant TTP is applicable to each of the three threat-actor archetypes.</t>
        </is>
      </c>
    </row>
    <row r="3" ht="37.5" customHeight="1" s="508">
      <c r="A3" s="403" t="inlineStr">
        <is>
          <t>In plain English: the model runs all three actors automatically. External actors use the full path; Malicious Insider starts inside the trust boundary and bypasses external Initial Access.</t>
        </is>
      </c>
    </row>
    <row r="4" ht="21.75" customHeight="1" s="508">
      <c r="A4" s="425" t="inlineStr">
        <is>
          <t>SHEET TYPE: MAPPING / MODEL LOGIC</t>
        </is>
      </c>
    </row>
    <row r="5" ht="21.75" customHeight="1" s="508">
      <c r="A5" s="405" t="inlineStr">
        <is>
          <t>Inputs / upstream sources</t>
        </is>
      </c>
    </row>
    <row r="6" ht="30" customHeight="1" s="508">
      <c r="A6" s="406" t="inlineStr">
        <is>
          <t>Scenario-TTP library plus actor-archetype modelling judgement. ATT&amp;CK group observations are evidence, not a capability veto.</t>
        </is>
      </c>
    </row>
    <row r="7" ht="30" customHeight="1" s="508">
      <c r="A7" s="405" t="inlineStr">
        <is>
          <t>Calculation / decision logic</t>
        </is>
      </c>
    </row>
    <row r="8" ht="30" customHeight="1" s="508">
      <c r="A8" s="406" t="inlineStr">
        <is>
          <t>ActorApplicable is a binary gate. Relevant TTP = ScenarioRelevant AND ActorApplicable AND FacilityFeasible. For Malicious Insider, S1 TTPs are not required because S1 is bypassed.</t>
        </is>
      </c>
    </row>
    <row r="9" ht="30" customHeight="1" s="508">
      <c r="A9" s="405" t="inlineStr">
        <is>
          <t>Key assumptions / defaults</t>
        </is>
      </c>
    </row>
    <row r="10" ht="30" customHeight="1" s="508">
      <c r="A10" s="406" t="inlineStr">
        <is>
          <t>Absence of a publicly reported ATT&amp;CK technique does not prove an actor cannot use it; named-group observations can later refine the archetype.</t>
        </is>
      </c>
    </row>
    <row r="11" ht="30" customHeight="1" s="508">
      <c r="A11" s="405" t="inlineStr">
        <is>
          <t>Outputs / downstream use</t>
        </is>
      </c>
    </row>
    <row r="12" ht="30" customHeight="1" s="508">
      <c r="A12" s="406" t="inlineStr">
        <is>
          <t>Feeds 14 TTP Relevance Calc and the Python engine.</t>
        </is>
      </c>
    </row>
    <row r="13" ht="30" customHeight="1" s="508">
      <c r="A13" s="407" t="inlineStr">
        <is>
          <t>Workbook convention: yellow cells / blue font are editable inputs or calibration assumptions; engine-output cells are not manually editable.</t>
        </is>
      </c>
    </row>
    <row r="15" ht="15" customHeight="1" s="508">
      <c r="A15" s="408" t="inlineStr">
        <is>
          <t>Threat actor</t>
        </is>
      </c>
      <c r="B15" s="408" t="inlineStr">
        <is>
          <t>TTP ID</t>
        </is>
      </c>
      <c r="C15" s="408" t="inlineStr">
        <is>
          <t>Technique</t>
        </is>
      </c>
      <c r="D15" s="408" t="inlineStr">
        <is>
          <t>Stage</t>
        </is>
      </c>
      <c r="E15" s="408" t="inlineStr">
        <is>
          <t>Applicable?</t>
        </is>
      </c>
      <c r="F15" s="408" t="inlineStr">
        <is>
          <t>Rationale</t>
        </is>
      </c>
    </row>
    <row r="16" ht="15" customHeight="1" s="508">
      <c r="A16" s="406" t="inlineStr">
        <is>
          <t>Nation State</t>
        </is>
      </c>
      <c r="B16" s="406" t="inlineStr">
        <is>
          <t>T0800</t>
        </is>
      </c>
      <c r="C16" s="406" t="inlineStr">
        <is>
          <t>Activate Firmware Update Mode</t>
        </is>
      </c>
      <c r="D16" s="406" t="inlineStr">
        <is>
          <t>S5</t>
        </is>
      </c>
      <c r="E16" s="406" t="inlineStr">
        <is>
          <t>Yes</t>
        </is>
      </c>
      <c r="F16" s="406" t="inlineStr">
        <is>
          <t>Scenario-relevant TTP retained for this external actor archetype.</t>
        </is>
      </c>
    </row>
    <row r="17" ht="15" customHeight="1" s="508">
      <c r="A17" s="406" t="inlineStr">
        <is>
          <t>Nation State</t>
        </is>
      </c>
      <c r="B17" s="406" t="inlineStr">
        <is>
          <t>T0801</t>
        </is>
      </c>
      <c r="C17" s="406" t="inlineStr">
        <is>
          <t>Monitor Process State</t>
        </is>
      </c>
      <c r="D17" s="406" t="inlineStr">
        <is>
          <t>S4</t>
        </is>
      </c>
      <c r="E17" s="406" t="inlineStr">
        <is>
          <t>Yes</t>
        </is>
      </c>
      <c r="F17" s="406" t="inlineStr">
        <is>
          <t>Scenario-relevant TTP retained for this external actor archetype.</t>
        </is>
      </c>
    </row>
    <row r="18" ht="15" customHeight="1" s="508">
      <c r="A18" s="406" t="inlineStr">
        <is>
          <t>Nation State</t>
        </is>
      </c>
      <c r="B18" s="406" t="inlineStr">
        <is>
          <t>T0802</t>
        </is>
      </c>
      <c r="C18" s="406" t="inlineStr">
        <is>
          <t>Automated Collection</t>
        </is>
      </c>
      <c r="D18" s="406" t="inlineStr">
        <is>
          <t>S4</t>
        </is>
      </c>
      <c r="E18" s="406" t="inlineStr">
        <is>
          <t>Yes</t>
        </is>
      </c>
      <c r="F18" s="406" t="inlineStr">
        <is>
          <t>Scenario-relevant TTP retained for this external actor archetype.</t>
        </is>
      </c>
    </row>
    <row r="19" ht="15" customHeight="1" s="508">
      <c r="A19" s="406" t="inlineStr">
        <is>
          <t>Nation State</t>
        </is>
      </c>
      <c r="B19" s="406" t="inlineStr">
        <is>
          <t>T0806</t>
        </is>
      </c>
      <c r="C19" s="406" t="inlineStr">
        <is>
          <t>Brute Force I/O</t>
        </is>
      </c>
      <c r="D19" s="406" t="inlineStr">
        <is>
          <t>S5</t>
        </is>
      </c>
      <c r="E19" s="406" t="inlineStr">
        <is>
          <t>Yes</t>
        </is>
      </c>
      <c r="F19" s="406" t="inlineStr">
        <is>
          <t>Scenario-relevant TTP retained for this external actor archetype.</t>
        </is>
      </c>
    </row>
    <row r="20" ht="15" customHeight="1" s="508">
      <c r="A20" s="406" t="inlineStr">
        <is>
          <t>Nation State</t>
        </is>
      </c>
      <c r="B20" s="406" t="inlineStr">
        <is>
          <t>T0807</t>
        </is>
      </c>
      <c r="C20" s="406" t="inlineStr">
        <is>
          <t>Command-Line Interface</t>
        </is>
      </c>
      <c r="D20" s="406" t="inlineStr">
        <is>
          <t>S2</t>
        </is>
      </c>
      <c r="E20" s="406" t="inlineStr">
        <is>
          <t>Yes</t>
        </is>
      </c>
      <c r="F20" s="406" t="inlineStr">
        <is>
          <t>Scenario-relevant TTP retained for this external actor archetype.</t>
        </is>
      </c>
    </row>
    <row r="21" ht="15" customHeight="1" s="508">
      <c r="A21" s="406" t="inlineStr">
        <is>
          <t>Nation State</t>
        </is>
      </c>
      <c r="B21" s="406" t="inlineStr">
        <is>
          <t>T0809</t>
        </is>
      </c>
      <c r="C21" s="406" t="inlineStr">
        <is>
          <t>Data Destruction</t>
        </is>
      </c>
      <c r="D21" s="406" t="inlineStr">
        <is>
          <t>S5</t>
        </is>
      </c>
      <c r="E21" s="406" t="inlineStr">
        <is>
          <t>Yes</t>
        </is>
      </c>
      <c r="F21" s="406" t="inlineStr">
        <is>
          <t>Scenario-relevant TTP retained for this external actor archetype.</t>
        </is>
      </c>
    </row>
    <row r="22" ht="15" customHeight="1" s="508">
      <c r="A22" s="406" t="inlineStr">
        <is>
          <t>Nation State</t>
        </is>
      </c>
      <c r="B22" s="406" t="inlineStr">
        <is>
          <t>T0811</t>
        </is>
      </c>
      <c r="C22" s="406" t="inlineStr">
        <is>
          <t>Data from Information Repositories</t>
        </is>
      </c>
      <c r="D22" s="406" t="inlineStr">
        <is>
          <t>S4</t>
        </is>
      </c>
      <c r="E22" s="406" t="inlineStr">
        <is>
          <t>Yes</t>
        </is>
      </c>
      <c r="F22" s="406" t="inlineStr">
        <is>
          <t>Scenario-relevant TTP retained for this external actor archetype.</t>
        </is>
      </c>
    </row>
    <row r="23" ht="15" customHeight="1" s="508">
      <c r="A23" s="406" t="inlineStr">
        <is>
          <t>Nation State</t>
        </is>
      </c>
      <c r="B23" s="406" t="inlineStr">
        <is>
          <t>T0813</t>
        </is>
      </c>
      <c r="C23" s="406" t="inlineStr">
        <is>
          <t>Denial of Control</t>
        </is>
      </c>
      <c r="D23" s="406" t="inlineStr">
        <is>
          <t>S5</t>
        </is>
      </c>
      <c r="E23" s="406" t="inlineStr">
        <is>
          <t>Yes</t>
        </is>
      </c>
      <c r="F23" s="406" t="inlineStr">
        <is>
          <t>Scenario-relevant TTP retained for this external actor archetype.</t>
        </is>
      </c>
    </row>
    <row r="24" ht="15" customHeight="1" s="508">
      <c r="A24" s="406" t="inlineStr">
        <is>
          <t>Nation State</t>
        </is>
      </c>
      <c r="B24" s="406" t="inlineStr">
        <is>
          <t>T0814</t>
        </is>
      </c>
      <c r="C24" s="406" t="inlineStr">
        <is>
          <t>Denial of Service</t>
        </is>
      </c>
      <c r="D24" s="406" t="inlineStr">
        <is>
          <t>S5</t>
        </is>
      </c>
      <c r="E24" s="406" t="inlineStr">
        <is>
          <t>Yes</t>
        </is>
      </c>
      <c r="F24" s="406" t="inlineStr">
        <is>
          <t>Scenario-relevant TTP retained for this external actor archetype.</t>
        </is>
      </c>
    </row>
    <row r="25" ht="15" customHeight="1" s="508">
      <c r="A25" s="406" t="inlineStr">
        <is>
          <t>Nation State</t>
        </is>
      </c>
      <c r="B25" s="406" t="inlineStr">
        <is>
          <t>T0815</t>
        </is>
      </c>
      <c r="C25" s="406" t="inlineStr">
        <is>
          <t>Denial of View</t>
        </is>
      </c>
      <c r="D25" s="406" t="inlineStr">
        <is>
          <t>S5</t>
        </is>
      </c>
      <c r="E25" s="406" t="inlineStr">
        <is>
          <t>Yes</t>
        </is>
      </c>
      <c r="F25" s="406" t="inlineStr">
        <is>
          <t>Scenario-relevant TTP retained for this external actor archetype.</t>
        </is>
      </c>
    </row>
    <row r="26" ht="15" customHeight="1" s="508">
      <c r="A26" s="406" t="inlineStr">
        <is>
          <t>Nation State</t>
        </is>
      </c>
      <c r="B26" s="406" t="inlineStr">
        <is>
          <t>T0816</t>
        </is>
      </c>
      <c r="C26" s="406" t="inlineStr">
        <is>
          <t>Device Restart/Shutdown</t>
        </is>
      </c>
      <c r="D26" s="406" t="inlineStr">
        <is>
          <t>S5</t>
        </is>
      </c>
      <c r="E26" s="406" t="inlineStr">
        <is>
          <t>Yes</t>
        </is>
      </c>
      <c r="F26" s="406" t="inlineStr">
        <is>
          <t>Scenario-relevant TTP retained for this external actor archetype.</t>
        </is>
      </c>
    </row>
    <row r="27" ht="15" customHeight="1" s="508">
      <c r="A27" s="406" t="inlineStr">
        <is>
          <t>Nation State</t>
        </is>
      </c>
      <c r="B27" s="406" t="inlineStr">
        <is>
          <t>T0817</t>
        </is>
      </c>
      <c r="C27" s="406" t="inlineStr">
        <is>
          <t>Drive-by Compromise</t>
        </is>
      </c>
      <c r="D27" s="406" t="inlineStr">
        <is>
          <t>S1</t>
        </is>
      </c>
      <c r="E27" s="406" t="inlineStr">
        <is>
          <t>Yes</t>
        </is>
      </c>
      <c r="F27" s="406" t="inlineStr">
        <is>
          <t>Scenario-relevant TTP retained for this external actor archetype.</t>
        </is>
      </c>
    </row>
    <row r="28" ht="15" customHeight="1" s="508">
      <c r="A28" s="406" t="inlineStr">
        <is>
          <t>Nation State</t>
        </is>
      </c>
      <c r="B28" s="406" t="inlineStr">
        <is>
          <t>T0819</t>
        </is>
      </c>
      <c r="C28" s="406" t="inlineStr">
        <is>
          <t>Exploit Public-Facing Application</t>
        </is>
      </c>
      <c r="D28" s="406" t="inlineStr">
        <is>
          <t>S1</t>
        </is>
      </c>
      <c r="E28" s="406" t="inlineStr">
        <is>
          <t>Yes</t>
        </is>
      </c>
      <c r="F28" s="406" t="inlineStr">
        <is>
          <t>Scenario-relevant TTP retained for this external actor archetype.</t>
        </is>
      </c>
    </row>
    <row r="29" ht="15" customHeight="1" s="508">
      <c r="A29" s="406" t="inlineStr">
        <is>
          <t>Nation State</t>
        </is>
      </c>
      <c r="B29" s="406" t="inlineStr">
        <is>
          <t>T0820</t>
        </is>
      </c>
      <c r="C29" s="406" t="inlineStr">
        <is>
          <t>Exploitation for Evasion</t>
        </is>
      </c>
      <c r="D29" s="406" t="inlineStr">
        <is>
          <t>S2</t>
        </is>
      </c>
      <c r="E29" s="406" t="inlineStr">
        <is>
          <t>Yes</t>
        </is>
      </c>
      <c r="F29" s="406" t="inlineStr">
        <is>
          <t>Scenario-relevant TTP retained for this external actor archetype.</t>
        </is>
      </c>
    </row>
    <row r="30" ht="15" customHeight="1" s="508">
      <c r="A30" s="406" t="inlineStr">
        <is>
          <t>Nation State</t>
        </is>
      </c>
      <c r="B30" s="406" t="inlineStr">
        <is>
          <t>T0821</t>
        </is>
      </c>
      <c r="C30" s="406" t="inlineStr">
        <is>
          <t>Modify Controller Tasking</t>
        </is>
      </c>
      <c r="D30" s="406" t="inlineStr">
        <is>
          <t>S2</t>
        </is>
      </c>
      <c r="E30" s="406" t="inlineStr">
        <is>
          <t>Yes</t>
        </is>
      </c>
      <c r="F30" s="406" t="inlineStr">
        <is>
          <t>Scenario-relevant TTP retained for this external actor archetype.</t>
        </is>
      </c>
    </row>
    <row r="31" ht="15" customHeight="1" s="508">
      <c r="A31" s="406" t="inlineStr">
        <is>
          <t>Nation State</t>
        </is>
      </c>
      <c r="B31" s="406" t="inlineStr">
        <is>
          <t>T0822</t>
        </is>
      </c>
      <c r="C31" s="406" t="inlineStr">
        <is>
          <t>External Remote Services</t>
        </is>
      </c>
      <c r="D31" s="406" t="inlineStr">
        <is>
          <t>S1</t>
        </is>
      </c>
      <c r="E31" s="406" t="inlineStr">
        <is>
          <t>Yes</t>
        </is>
      </c>
      <c r="F31" s="406" t="inlineStr">
        <is>
          <t>Scenario-relevant TTP retained for this external actor archetype.</t>
        </is>
      </c>
    </row>
    <row r="32" ht="15" customHeight="1" s="508">
      <c r="A32" s="406" t="inlineStr">
        <is>
          <t>Nation State</t>
        </is>
      </c>
      <c r="B32" s="406" t="inlineStr">
        <is>
          <t>T0823</t>
        </is>
      </c>
      <c r="C32" s="406" t="inlineStr">
        <is>
          <t>Graphical User Interface</t>
        </is>
      </c>
      <c r="D32" s="406" t="inlineStr">
        <is>
          <t>S2</t>
        </is>
      </c>
      <c r="E32" s="406" t="inlineStr">
        <is>
          <t>Yes</t>
        </is>
      </c>
      <c r="F32" s="406" t="inlineStr">
        <is>
          <t>Scenario-relevant TTP retained for this external actor archetype.</t>
        </is>
      </c>
    </row>
    <row r="33" ht="15" customHeight="1" s="508">
      <c r="A33" s="406" t="inlineStr">
        <is>
          <t>Nation State</t>
        </is>
      </c>
      <c r="B33" s="406" t="inlineStr">
        <is>
          <t>T0826</t>
        </is>
      </c>
      <c r="C33" s="406" t="inlineStr">
        <is>
          <t>Loss of Availability</t>
        </is>
      </c>
      <c r="D33" s="406" t="inlineStr">
        <is>
          <t>S5</t>
        </is>
      </c>
      <c r="E33" s="406" t="inlineStr">
        <is>
          <t>Yes</t>
        </is>
      </c>
      <c r="F33" s="406" t="inlineStr">
        <is>
          <t>Scenario-relevant TTP retained for this external actor archetype.</t>
        </is>
      </c>
    </row>
    <row r="34" ht="15" customHeight="1" s="508">
      <c r="A34" s="406" t="inlineStr">
        <is>
          <t>Nation State</t>
        </is>
      </c>
      <c r="B34" s="406" t="inlineStr">
        <is>
          <t>T0827</t>
        </is>
      </c>
      <c r="C34" s="406" t="inlineStr">
        <is>
          <t>Loss of Control</t>
        </is>
      </c>
      <c r="D34" s="406" t="inlineStr">
        <is>
          <t>S5</t>
        </is>
      </c>
      <c r="E34" s="406" t="inlineStr">
        <is>
          <t>Yes</t>
        </is>
      </c>
      <c r="F34" s="406" t="inlineStr">
        <is>
          <t>Scenario-relevant TTP retained for this external actor archetype.</t>
        </is>
      </c>
    </row>
    <row r="35" ht="15" customHeight="1" s="508">
      <c r="A35" s="406" t="inlineStr">
        <is>
          <t>Nation State</t>
        </is>
      </c>
      <c r="B35" s="406" t="inlineStr">
        <is>
          <t>T0828</t>
        </is>
      </c>
      <c r="C35" s="406" t="inlineStr">
        <is>
          <t>Loss of Productivity and Revenue</t>
        </is>
      </c>
      <c r="D35" s="406" t="inlineStr">
        <is>
          <t>S5</t>
        </is>
      </c>
      <c r="E35" s="406" t="inlineStr">
        <is>
          <t>Yes</t>
        </is>
      </c>
      <c r="F35" s="406" t="inlineStr">
        <is>
          <t>Scenario-relevant TTP retained for this external actor archetype.</t>
        </is>
      </c>
    </row>
    <row r="36" ht="15" customHeight="1" s="508">
      <c r="A36" s="406" t="inlineStr">
        <is>
          <t>Nation State</t>
        </is>
      </c>
      <c r="B36" s="406" t="inlineStr">
        <is>
          <t>T0829</t>
        </is>
      </c>
      <c r="C36" s="406" t="inlineStr">
        <is>
          <t>Loss of View</t>
        </is>
      </c>
      <c r="D36" s="406" t="inlineStr">
        <is>
          <t>S5</t>
        </is>
      </c>
      <c r="E36" s="406" t="inlineStr">
        <is>
          <t>Yes</t>
        </is>
      </c>
      <c r="F36" s="406" t="inlineStr">
        <is>
          <t>Scenario-relevant TTP retained for this external actor archetype.</t>
        </is>
      </c>
    </row>
    <row r="37" ht="15" customHeight="1" s="508">
      <c r="A37" s="406" t="inlineStr">
        <is>
          <t>Nation State</t>
        </is>
      </c>
      <c r="B37" s="406" t="inlineStr">
        <is>
          <t>T0830</t>
        </is>
      </c>
      <c r="C37" s="406" t="inlineStr">
        <is>
          <t>Adversary-in-the-Middle</t>
        </is>
      </c>
      <c r="D37" s="406" t="inlineStr">
        <is>
          <t>S4</t>
        </is>
      </c>
      <c r="E37" s="406" t="inlineStr">
        <is>
          <t>Yes</t>
        </is>
      </c>
      <c r="F37" s="406" t="inlineStr">
        <is>
          <t>Scenario-relevant TTP retained for this external actor archetype.</t>
        </is>
      </c>
    </row>
    <row r="38" ht="15" customHeight="1" s="508">
      <c r="A38" s="406" t="inlineStr">
        <is>
          <t>Nation State</t>
        </is>
      </c>
      <c r="B38" s="406" t="inlineStr">
        <is>
          <t>T0831</t>
        </is>
      </c>
      <c r="C38" s="406" t="inlineStr">
        <is>
          <t>Manipulation of Control</t>
        </is>
      </c>
      <c r="D38" s="406" t="inlineStr">
        <is>
          <t>S5</t>
        </is>
      </c>
      <c r="E38" s="406" t="inlineStr">
        <is>
          <t>Yes</t>
        </is>
      </c>
      <c r="F38" s="406" t="inlineStr">
        <is>
          <t>Scenario-relevant TTP retained for this external actor archetype.</t>
        </is>
      </c>
    </row>
    <row r="39" ht="15" customHeight="1" s="508">
      <c r="A39" s="406" t="inlineStr">
        <is>
          <t>Nation State</t>
        </is>
      </c>
      <c r="B39" s="406" t="inlineStr">
        <is>
          <t>T0832</t>
        </is>
      </c>
      <c r="C39" s="406" t="inlineStr">
        <is>
          <t>Manipulation of View</t>
        </is>
      </c>
      <c r="D39" s="406" t="inlineStr">
        <is>
          <t>S5</t>
        </is>
      </c>
      <c r="E39" s="406" t="inlineStr">
        <is>
          <t>Yes</t>
        </is>
      </c>
      <c r="F39" s="406" t="inlineStr">
        <is>
          <t>Scenario-relevant TTP retained for this external actor archetype.</t>
        </is>
      </c>
    </row>
    <row r="40" ht="15" customHeight="1" s="508">
      <c r="A40" s="406" t="inlineStr">
        <is>
          <t>Nation State</t>
        </is>
      </c>
      <c r="B40" s="406" t="inlineStr">
        <is>
          <t>T0834</t>
        </is>
      </c>
      <c r="C40" s="406" t="inlineStr">
        <is>
          <t>Native API</t>
        </is>
      </c>
      <c r="D40" s="406" t="inlineStr">
        <is>
          <t>S2</t>
        </is>
      </c>
      <c r="E40" s="406" t="inlineStr">
        <is>
          <t>Yes</t>
        </is>
      </c>
      <c r="F40" s="406" t="inlineStr">
        <is>
          <t>Scenario-relevant TTP retained for this external actor archetype.</t>
        </is>
      </c>
    </row>
    <row r="41" ht="15" customHeight="1" s="508">
      <c r="A41" s="406" t="inlineStr">
        <is>
          <t>Nation State</t>
        </is>
      </c>
      <c r="B41" s="406" t="inlineStr">
        <is>
          <t>T0835</t>
        </is>
      </c>
      <c r="C41" s="406" t="inlineStr">
        <is>
          <t>Manipulate I/O Image</t>
        </is>
      </c>
      <c r="D41" s="406" t="inlineStr">
        <is>
          <t>S5</t>
        </is>
      </c>
      <c r="E41" s="406" t="inlineStr">
        <is>
          <t>Yes</t>
        </is>
      </c>
      <c r="F41" s="406" t="inlineStr">
        <is>
          <t>Scenario-relevant TTP retained for this external actor archetype.</t>
        </is>
      </c>
    </row>
    <row r="42" ht="15" customHeight="1" s="508">
      <c r="A42" s="406" t="inlineStr">
        <is>
          <t>Nation State</t>
        </is>
      </c>
      <c r="B42" s="406" t="inlineStr">
        <is>
          <t>T0836</t>
        </is>
      </c>
      <c r="C42" s="406" t="inlineStr">
        <is>
          <t>Modify Parameter</t>
        </is>
      </c>
      <c r="D42" s="406" t="inlineStr">
        <is>
          <t>S5</t>
        </is>
      </c>
      <c r="E42" s="406" t="inlineStr">
        <is>
          <t>Yes</t>
        </is>
      </c>
      <c r="F42" s="406" t="inlineStr">
        <is>
          <t>Scenario-relevant TTP retained for this external actor archetype.</t>
        </is>
      </c>
    </row>
    <row r="43" ht="15" customHeight="1" s="508">
      <c r="A43" s="406" t="inlineStr">
        <is>
          <t>Nation State</t>
        </is>
      </c>
      <c r="B43" s="406" t="inlineStr">
        <is>
          <t>T0837</t>
        </is>
      </c>
      <c r="C43" s="406" t="inlineStr">
        <is>
          <t>Loss of Protection</t>
        </is>
      </c>
      <c r="D43" s="406" t="inlineStr">
        <is>
          <t>S5</t>
        </is>
      </c>
      <c r="E43" s="406" t="inlineStr">
        <is>
          <t>Yes</t>
        </is>
      </c>
      <c r="F43" s="406" t="inlineStr">
        <is>
          <t>Scenario-relevant TTP retained for this external actor archetype.</t>
        </is>
      </c>
    </row>
    <row r="44" ht="15" customHeight="1" s="508">
      <c r="A44" s="406" t="inlineStr">
        <is>
          <t>Nation State</t>
        </is>
      </c>
      <c r="B44" s="406" t="inlineStr">
        <is>
          <t>T0838</t>
        </is>
      </c>
      <c r="C44" s="406" t="inlineStr">
        <is>
          <t>Modify Alarm Settings</t>
        </is>
      </c>
      <c r="D44" s="406" t="inlineStr">
        <is>
          <t>S5</t>
        </is>
      </c>
      <c r="E44" s="406" t="inlineStr">
        <is>
          <t>Yes</t>
        </is>
      </c>
      <c r="F44" s="406" t="inlineStr">
        <is>
          <t>Scenario-relevant TTP retained for this external actor archetype.</t>
        </is>
      </c>
    </row>
    <row r="45" ht="15" customHeight="1" s="508">
      <c r="A45" s="406" t="inlineStr">
        <is>
          <t>Nation State</t>
        </is>
      </c>
      <c r="B45" s="406" t="inlineStr">
        <is>
          <t>T0840</t>
        </is>
      </c>
      <c r="C45" s="406" t="inlineStr">
        <is>
          <t>Network Connection Enumeration</t>
        </is>
      </c>
      <c r="D45" s="406" t="inlineStr">
        <is>
          <t>S4</t>
        </is>
      </c>
      <c r="E45" s="406" t="inlineStr">
        <is>
          <t>Yes</t>
        </is>
      </c>
      <c r="F45" s="406" t="inlineStr">
        <is>
          <t>Scenario-relevant TTP retained for this external actor archetype.</t>
        </is>
      </c>
    </row>
    <row r="46" ht="15" customHeight="1" s="508">
      <c r="A46" s="406" t="inlineStr">
        <is>
          <t>Nation State</t>
        </is>
      </c>
      <c r="B46" s="406" t="inlineStr">
        <is>
          <t>T0842</t>
        </is>
      </c>
      <c r="C46" s="406" t="inlineStr">
        <is>
          <t>Network Sniffing</t>
        </is>
      </c>
      <c r="D46" s="406" t="inlineStr">
        <is>
          <t>S4</t>
        </is>
      </c>
      <c r="E46" s="406" t="inlineStr">
        <is>
          <t>Yes</t>
        </is>
      </c>
      <c r="F46" s="406" t="inlineStr">
        <is>
          <t>Scenario-relevant TTP retained for this external actor archetype.</t>
        </is>
      </c>
    </row>
    <row r="47" ht="15" customHeight="1" s="508">
      <c r="A47" s="406" t="inlineStr">
        <is>
          <t>Nation State</t>
        </is>
      </c>
      <c r="B47" s="406" t="inlineStr">
        <is>
          <t>T0843</t>
        </is>
      </c>
      <c r="C47" s="406" t="inlineStr">
        <is>
          <t>Program Download</t>
        </is>
      </c>
      <c r="D47" s="406" t="inlineStr">
        <is>
          <t>S3</t>
        </is>
      </c>
      <c r="E47" s="406" t="inlineStr">
        <is>
          <t>Yes</t>
        </is>
      </c>
      <c r="F47" s="406" t="inlineStr">
        <is>
          <t>Scenario-relevant TTP retained for this external actor archetype.</t>
        </is>
      </c>
    </row>
    <row r="48" ht="15" customHeight="1" s="508">
      <c r="A48" s="406" t="inlineStr">
        <is>
          <t>Nation State</t>
        </is>
      </c>
      <c r="B48" s="406" t="inlineStr">
        <is>
          <t>T0843.001</t>
        </is>
      </c>
      <c r="C48" s="406" t="inlineStr">
        <is>
          <t>Download All</t>
        </is>
      </c>
      <c r="D48" s="406" t="inlineStr">
        <is>
          <t>S3</t>
        </is>
      </c>
      <c r="E48" s="406" t="inlineStr">
        <is>
          <t>Yes</t>
        </is>
      </c>
      <c r="F48" s="406" t="inlineStr">
        <is>
          <t>Scenario-relevant TTP retained for this external actor archetype.</t>
        </is>
      </c>
    </row>
    <row r="49" ht="15" customHeight="1" s="508">
      <c r="A49" s="406" t="inlineStr">
        <is>
          <t>Nation State</t>
        </is>
      </c>
      <c r="B49" s="406" t="inlineStr">
        <is>
          <t>T0843.002</t>
        </is>
      </c>
      <c r="C49" s="406" t="inlineStr">
        <is>
          <t>Online Edit</t>
        </is>
      </c>
      <c r="D49" s="406" t="inlineStr">
        <is>
          <t>S3</t>
        </is>
      </c>
      <c r="E49" s="406" t="inlineStr">
        <is>
          <t>Yes</t>
        </is>
      </c>
      <c r="F49" s="406" t="inlineStr">
        <is>
          <t>Scenario-relevant TTP retained for this external actor archetype.</t>
        </is>
      </c>
    </row>
    <row r="50" ht="15" customHeight="1" s="508">
      <c r="A50" s="406" t="inlineStr">
        <is>
          <t>Nation State</t>
        </is>
      </c>
      <c r="B50" s="406" t="inlineStr">
        <is>
          <t>T0843.003</t>
        </is>
      </c>
      <c r="C50" s="406" t="inlineStr">
        <is>
          <t>Program Append</t>
        </is>
      </c>
      <c r="D50" s="406" t="inlineStr">
        <is>
          <t>S3</t>
        </is>
      </c>
      <c r="E50" s="406" t="inlineStr">
        <is>
          <t>Yes</t>
        </is>
      </c>
      <c r="F50" s="406" t="inlineStr">
        <is>
          <t>Scenario-relevant TTP retained for this external actor archetype.</t>
        </is>
      </c>
    </row>
    <row r="51" ht="15" customHeight="1" s="508">
      <c r="A51" s="406" t="inlineStr">
        <is>
          <t>Nation State</t>
        </is>
      </c>
      <c r="B51" s="406" t="inlineStr">
        <is>
          <t>T0845</t>
        </is>
      </c>
      <c r="C51" s="406" t="inlineStr">
        <is>
          <t>Program Upload</t>
        </is>
      </c>
      <c r="D51" s="406" t="inlineStr">
        <is>
          <t>S4</t>
        </is>
      </c>
      <c r="E51" s="406" t="inlineStr">
        <is>
          <t>Yes</t>
        </is>
      </c>
      <c r="F51" s="406" t="inlineStr">
        <is>
          <t>Scenario-relevant TTP retained for this external actor archetype.</t>
        </is>
      </c>
    </row>
    <row r="52" ht="15" customHeight="1" s="508">
      <c r="A52" s="406" t="inlineStr">
        <is>
          <t>Nation State</t>
        </is>
      </c>
      <c r="B52" s="406" t="inlineStr">
        <is>
          <t>T0846</t>
        </is>
      </c>
      <c r="C52" s="406" t="inlineStr">
        <is>
          <t>Remote System Discovery</t>
        </is>
      </c>
      <c r="D52" s="406" t="inlineStr">
        <is>
          <t>S4</t>
        </is>
      </c>
      <c r="E52" s="406" t="inlineStr">
        <is>
          <t>Yes</t>
        </is>
      </c>
      <c r="F52" s="406" t="inlineStr">
        <is>
          <t>Scenario-relevant TTP retained for this external actor archetype.</t>
        </is>
      </c>
    </row>
    <row r="53" ht="15" customHeight="1" s="508">
      <c r="A53" s="406" t="inlineStr">
        <is>
          <t>Nation State</t>
        </is>
      </c>
      <c r="B53" s="406" t="inlineStr">
        <is>
          <t>T0846.001</t>
        </is>
      </c>
      <c r="C53" s="406" t="inlineStr">
        <is>
          <t>Port Scan</t>
        </is>
      </c>
      <c r="D53" s="406" t="inlineStr">
        <is>
          <t>S4</t>
        </is>
      </c>
      <c r="E53" s="406" t="inlineStr">
        <is>
          <t>Yes</t>
        </is>
      </c>
      <c r="F53" s="406" t="inlineStr">
        <is>
          <t>Scenario-relevant TTP retained for this external actor archetype.</t>
        </is>
      </c>
    </row>
    <row r="54" ht="15" customHeight="1" s="508">
      <c r="A54" s="406" t="inlineStr">
        <is>
          <t>Nation State</t>
        </is>
      </c>
      <c r="B54" s="406" t="inlineStr">
        <is>
          <t>T0846.002</t>
        </is>
      </c>
      <c r="C54" s="406" t="inlineStr">
        <is>
          <t>Broadcast Discovery</t>
        </is>
      </c>
      <c r="D54" s="406" t="inlineStr">
        <is>
          <t>S4</t>
        </is>
      </c>
      <c r="E54" s="406" t="inlineStr">
        <is>
          <t>Yes</t>
        </is>
      </c>
      <c r="F54" s="406" t="inlineStr">
        <is>
          <t>Scenario-relevant TTP retained for this external actor archetype.</t>
        </is>
      </c>
    </row>
    <row r="55" ht="15" customHeight="1" s="508">
      <c r="A55" s="406" t="inlineStr">
        <is>
          <t>Nation State</t>
        </is>
      </c>
      <c r="B55" s="406" t="inlineStr">
        <is>
          <t>T0846.003</t>
        </is>
      </c>
      <c r="C55" s="406" t="inlineStr">
        <is>
          <t>Multicast Discovery</t>
        </is>
      </c>
      <c r="D55" s="406" t="inlineStr">
        <is>
          <t>S4</t>
        </is>
      </c>
      <c r="E55" s="406" t="inlineStr">
        <is>
          <t>Yes</t>
        </is>
      </c>
      <c r="F55" s="406" t="inlineStr">
        <is>
          <t>Scenario-relevant TTP retained for this external actor archetype.</t>
        </is>
      </c>
    </row>
    <row r="56" ht="15" customHeight="1" s="508">
      <c r="A56" s="406" t="inlineStr">
        <is>
          <t>Nation State</t>
        </is>
      </c>
      <c r="B56" s="406" t="inlineStr">
        <is>
          <t>T0847</t>
        </is>
      </c>
      <c r="C56" s="406" t="inlineStr">
        <is>
          <t>Replication Through Removable Media</t>
        </is>
      </c>
      <c r="D56" s="406" t="inlineStr">
        <is>
          <t>S1</t>
        </is>
      </c>
      <c r="E56" s="406" t="inlineStr">
        <is>
          <t>Yes</t>
        </is>
      </c>
      <c r="F56" s="406" t="inlineStr">
        <is>
          <t>Scenario-relevant TTP retained for this external actor archetype.</t>
        </is>
      </c>
    </row>
    <row r="57" ht="15" customHeight="1" s="508">
      <c r="A57" s="406" t="inlineStr">
        <is>
          <t>Nation State</t>
        </is>
      </c>
      <c r="B57" s="406" t="inlineStr">
        <is>
          <t>T0848</t>
        </is>
      </c>
      <c r="C57" s="406" t="inlineStr">
        <is>
          <t>Rogue Master</t>
        </is>
      </c>
      <c r="D57" s="406" t="inlineStr">
        <is>
          <t>S1</t>
        </is>
      </c>
      <c r="E57" s="406" t="inlineStr">
        <is>
          <t>Yes</t>
        </is>
      </c>
      <c r="F57" s="406" t="inlineStr">
        <is>
          <t>Scenario-relevant TTP retained for this external actor archetype.</t>
        </is>
      </c>
    </row>
    <row r="58" ht="15" customHeight="1" s="508">
      <c r="A58" s="406" t="inlineStr">
        <is>
          <t>Nation State</t>
        </is>
      </c>
      <c r="B58" s="406" t="inlineStr">
        <is>
          <t>T0849</t>
        </is>
      </c>
      <c r="C58" s="406" t="inlineStr">
        <is>
          <t>Masquerading</t>
        </is>
      </c>
      <c r="D58" s="406" t="inlineStr">
        <is>
          <t>S2</t>
        </is>
      </c>
      <c r="E58" s="406" t="inlineStr">
        <is>
          <t>Yes</t>
        </is>
      </c>
      <c r="F58" s="406" t="inlineStr">
        <is>
          <t>Scenario-relevant TTP retained for this external actor archetype.</t>
        </is>
      </c>
    </row>
    <row r="59" ht="15" customHeight="1" s="508">
      <c r="A59" s="406" t="inlineStr">
        <is>
          <t>Nation State</t>
        </is>
      </c>
      <c r="B59" s="406" t="inlineStr">
        <is>
          <t>T0851</t>
        </is>
      </c>
      <c r="C59" s="406" t="inlineStr">
        <is>
          <t>Rootkit</t>
        </is>
      </c>
      <c r="D59" s="406" t="inlineStr">
        <is>
          <t>S5</t>
        </is>
      </c>
      <c r="E59" s="406" t="inlineStr">
        <is>
          <t>Yes</t>
        </is>
      </c>
      <c r="F59" s="406" t="inlineStr">
        <is>
          <t>Scenario-relevant TTP retained for this external actor archetype.</t>
        </is>
      </c>
    </row>
    <row r="60" ht="15" customHeight="1" s="508">
      <c r="A60" s="406" t="inlineStr">
        <is>
          <t>Nation State</t>
        </is>
      </c>
      <c r="B60" s="406" t="inlineStr">
        <is>
          <t>T0852</t>
        </is>
      </c>
      <c r="C60" s="406" t="inlineStr">
        <is>
          <t>Screen Capture</t>
        </is>
      </c>
      <c r="D60" s="406" t="inlineStr">
        <is>
          <t>S4</t>
        </is>
      </c>
      <c r="E60" s="406" t="inlineStr">
        <is>
          <t>Yes</t>
        </is>
      </c>
      <c r="F60" s="406" t="inlineStr">
        <is>
          <t>Scenario-relevant TTP retained for this external actor archetype.</t>
        </is>
      </c>
    </row>
    <row r="61" ht="15" customHeight="1" s="508">
      <c r="A61" s="406" t="inlineStr">
        <is>
          <t>Nation State</t>
        </is>
      </c>
      <c r="B61" s="406" t="inlineStr">
        <is>
          <t>T0853</t>
        </is>
      </c>
      <c r="C61" s="406" t="inlineStr">
        <is>
          <t>Scripting</t>
        </is>
      </c>
      <c r="D61" s="406" t="inlineStr">
        <is>
          <t>S2</t>
        </is>
      </c>
      <c r="E61" s="406" t="inlineStr">
        <is>
          <t>Yes</t>
        </is>
      </c>
      <c r="F61" s="406" t="inlineStr">
        <is>
          <t>Scenario-relevant TTP retained for this external actor archetype.</t>
        </is>
      </c>
    </row>
    <row r="62" ht="15" customHeight="1" s="508">
      <c r="A62" s="406" t="inlineStr">
        <is>
          <t>Nation State</t>
        </is>
      </c>
      <c r="B62" s="406" t="inlineStr">
        <is>
          <t>T0858</t>
        </is>
      </c>
      <c r="C62" s="406" t="inlineStr">
        <is>
          <t>Change Operating Mode</t>
        </is>
      </c>
      <c r="D62" s="406" t="inlineStr">
        <is>
          <t>S2</t>
        </is>
      </c>
      <c r="E62" s="406" t="inlineStr">
        <is>
          <t>Yes</t>
        </is>
      </c>
      <c r="F62" s="406" t="inlineStr">
        <is>
          <t>Scenario-relevant TTP retained for this external actor archetype.</t>
        </is>
      </c>
    </row>
    <row r="63" ht="15" customHeight="1" s="508">
      <c r="A63" s="406" t="inlineStr">
        <is>
          <t>Nation State</t>
        </is>
      </c>
      <c r="B63" s="406" t="inlineStr">
        <is>
          <t>T0859</t>
        </is>
      </c>
      <c r="C63" s="406" t="inlineStr">
        <is>
          <t>Valid Accounts</t>
        </is>
      </c>
      <c r="D63" s="406" t="inlineStr">
        <is>
          <t>S3</t>
        </is>
      </c>
      <c r="E63" s="406" t="inlineStr">
        <is>
          <t>Yes</t>
        </is>
      </c>
      <c r="F63" s="406" t="inlineStr">
        <is>
          <t>Scenario-relevant TTP retained for this external actor archetype.</t>
        </is>
      </c>
    </row>
    <row r="64" ht="15" customHeight="1" s="508">
      <c r="A64" s="406" t="inlineStr">
        <is>
          <t>Nation State</t>
        </is>
      </c>
      <c r="B64" s="406" t="inlineStr">
        <is>
          <t>T0860</t>
        </is>
      </c>
      <c r="C64" s="406" t="inlineStr">
        <is>
          <t>Wireless Compromise</t>
        </is>
      </c>
      <c r="D64" s="406" t="inlineStr">
        <is>
          <t>S1</t>
        </is>
      </c>
      <c r="E64" s="406" t="inlineStr">
        <is>
          <t>Yes</t>
        </is>
      </c>
      <c r="F64" s="406" t="inlineStr">
        <is>
          <t>Scenario-relevant TTP retained for this external actor archetype.</t>
        </is>
      </c>
    </row>
    <row r="65" ht="15" customHeight="1" s="508">
      <c r="A65" s="406" t="inlineStr">
        <is>
          <t>Nation State</t>
        </is>
      </c>
      <c r="B65" s="406" t="inlineStr">
        <is>
          <t>T0861</t>
        </is>
      </c>
      <c r="C65" s="406" t="inlineStr">
        <is>
          <t>Point &amp; Tag Identification</t>
        </is>
      </c>
      <c r="D65" s="406" t="inlineStr">
        <is>
          <t>S4</t>
        </is>
      </c>
      <c r="E65" s="406" t="inlineStr">
        <is>
          <t>Yes</t>
        </is>
      </c>
      <c r="F65" s="406" t="inlineStr">
        <is>
          <t>Scenario-relevant TTP retained for this external actor archetype.</t>
        </is>
      </c>
    </row>
    <row r="66" ht="15" customHeight="1" s="508">
      <c r="A66" s="406" t="inlineStr">
        <is>
          <t>Nation State</t>
        </is>
      </c>
      <c r="B66" s="406" t="inlineStr">
        <is>
          <t>T0862</t>
        </is>
      </c>
      <c r="C66" s="406" t="inlineStr">
        <is>
          <t>Supply Chain Compromise</t>
        </is>
      </c>
      <c r="D66" s="406" t="inlineStr">
        <is>
          <t>S1</t>
        </is>
      </c>
      <c r="E66" s="406" t="inlineStr">
        <is>
          <t>Yes</t>
        </is>
      </c>
      <c r="F66" s="406" t="inlineStr">
        <is>
          <t>Scenario-relevant TTP retained for this external actor archetype.</t>
        </is>
      </c>
    </row>
    <row r="67" ht="15" customHeight="1" s="508">
      <c r="A67" s="406" t="inlineStr">
        <is>
          <t>Nation State</t>
        </is>
      </c>
      <c r="B67" s="406" t="inlineStr">
        <is>
          <t>T0863</t>
        </is>
      </c>
      <c r="C67" s="406" t="inlineStr">
        <is>
          <t>User Execution</t>
        </is>
      </c>
      <c r="D67" s="406" t="inlineStr">
        <is>
          <t>S2</t>
        </is>
      </c>
      <c r="E67" s="406" t="inlineStr">
        <is>
          <t>Yes</t>
        </is>
      </c>
      <c r="F67" s="406" t="inlineStr">
        <is>
          <t>Scenario-relevant TTP retained for this external actor archetype.</t>
        </is>
      </c>
    </row>
    <row r="68" ht="15" customHeight="1" s="508">
      <c r="A68" s="406" t="inlineStr">
        <is>
          <t>Nation State</t>
        </is>
      </c>
      <c r="B68" s="406" t="inlineStr">
        <is>
          <t>T0864</t>
        </is>
      </c>
      <c r="C68" s="406" t="inlineStr">
        <is>
          <t>Transient Cyber Asset</t>
        </is>
      </c>
      <c r="D68" s="406" t="inlineStr">
        <is>
          <t>S1</t>
        </is>
      </c>
      <c r="E68" s="406" t="inlineStr">
        <is>
          <t>Yes</t>
        </is>
      </c>
      <c r="F68" s="406" t="inlineStr">
        <is>
          <t>Scenario-relevant TTP retained for this external actor archetype.</t>
        </is>
      </c>
    </row>
    <row r="69" ht="15" customHeight="1" s="508">
      <c r="A69" s="406" t="inlineStr">
        <is>
          <t>Nation State</t>
        </is>
      </c>
      <c r="B69" s="406" t="inlineStr">
        <is>
          <t>T0865</t>
        </is>
      </c>
      <c r="C69" s="406" t="inlineStr">
        <is>
          <t>Spearphishing Attachment</t>
        </is>
      </c>
      <c r="D69" s="406" t="inlineStr">
        <is>
          <t>S1</t>
        </is>
      </c>
      <c r="E69" s="406" t="inlineStr">
        <is>
          <t>Yes</t>
        </is>
      </c>
      <c r="F69" s="406" t="inlineStr">
        <is>
          <t>Scenario-relevant TTP retained for this external actor archetype.</t>
        </is>
      </c>
    </row>
    <row r="70" ht="15" customHeight="1" s="508">
      <c r="A70" s="406" t="inlineStr">
        <is>
          <t>Nation State</t>
        </is>
      </c>
      <c r="B70" s="406" t="inlineStr">
        <is>
          <t>T0866</t>
        </is>
      </c>
      <c r="C70" s="406" t="inlineStr">
        <is>
          <t>Exploitation of Remote Services</t>
        </is>
      </c>
      <c r="D70" s="406" t="inlineStr">
        <is>
          <t>S1</t>
        </is>
      </c>
      <c r="E70" s="406" t="inlineStr">
        <is>
          <t>Yes</t>
        </is>
      </c>
      <c r="F70" s="406" t="inlineStr">
        <is>
          <t>Scenario-relevant TTP retained for this external actor archetype.</t>
        </is>
      </c>
    </row>
    <row r="71" ht="15" customHeight="1" s="508">
      <c r="A71" s="406" t="inlineStr">
        <is>
          <t>Nation State</t>
        </is>
      </c>
      <c r="B71" s="406" t="inlineStr">
        <is>
          <t>T0867</t>
        </is>
      </c>
      <c r="C71" s="406" t="inlineStr">
        <is>
          <t>Lateral Tool Transfer</t>
        </is>
      </c>
      <c r="D71" s="406" t="inlineStr">
        <is>
          <t>S3</t>
        </is>
      </c>
      <c r="E71" s="406" t="inlineStr">
        <is>
          <t>Yes</t>
        </is>
      </c>
      <c r="F71" s="406" t="inlineStr">
        <is>
          <t>Scenario-relevant TTP retained for this external actor archetype.</t>
        </is>
      </c>
    </row>
    <row r="72" ht="15" customHeight="1" s="508">
      <c r="A72" s="406" t="inlineStr">
        <is>
          <t>Nation State</t>
        </is>
      </c>
      <c r="B72" s="406" t="inlineStr">
        <is>
          <t>T0868</t>
        </is>
      </c>
      <c r="C72" s="406" t="inlineStr">
        <is>
          <t>Detect Operating Mode</t>
        </is>
      </c>
      <c r="D72" s="406" t="inlineStr">
        <is>
          <t>S4</t>
        </is>
      </c>
      <c r="E72" s="406" t="inlineStr">
        <is>
          <t>Yes</t>
        </is>
      </c>
      <c r="F72" s="406" t="inlineStr">
        <is>
          <t>Scenario-relevant TTP retained for this external actor archetype.</t>
        </is>
      </c>
    </row>
    <row r="73" ht="15" customHeight="1" s="508">
      <c r="A73" s="406" t="inlineStr">
        <is>
          <t>Nation State</t>
        </is>
      </c>
      <c r="B73" s="406" t="inlineStr">
        <is>
          <t>T0869</t>
        </is>
      </c>
      <c r="C73" s="406" t="inlineStr">
        <is>
          <t>Standard Application Layer Protocol</t>
        </is>
      </c>
      <c r="D73" s="406" t="inlineStr">
        <is>
          <t>S3</t>
        </is>
      </c>
      <c r="E73" s="406" t="inlineStr">
        <is>
          <t>Yes</t>
        </is>
      </c>
      <c r="F73" s="406" t="inlineStr">
        <is>
          <t>Scenario-relevant TTP retained for this external actor archetype.</t>
        </is>
      </c>
    </row>
    <row r="74" ht="15" customHeight="1" s="508">
      <c r="A74" s="406" t="inlineStr">
        <is>
          <t>Nation State</t>
        </is>
      </c>
      <c r="B74" s="406" t="inlineStr">
        <is>
          <t>T0871</t>
        </is>
      </c>
      <c r="C74" s="406" t="inlineStr">
        <is>
          <t>Execution through API</t>
        </is>
      </c>
      <c r="D74" s="406" t="inlineStr">
        <is>
          <t>S2</t>
        </is>
      </c>
      <c r="E74" s="406" t="inlineStr">
        <is>
          <t>Yes</t>
        </is>
      </c>
      <c r="F74" s="406" t="inlineStr">
        <is>
          <t>Scenario-relevant TTP retained for this external actor archetype.</t>
        </is>
      </c>
    </row>
    <row r="75" ht="15" customHeight="1" s="508">
      <c r="A75" s="406" t="inlineStr">
        <is>
          <t>Nation State</t>
        </is>
      </c>
      <c r="B75" s="406" t="inlineStr">
        <is>
          <t>T0872</t>
        </is>
      </c>
      <c r="C75" s="406" t="inlineStr">
        <is>
          <t>Indicator Removal on Host</t>
        </is>
      </c>
      <c r="D75" s="406" t="inlineStr">
        <is>
          <t>S2</t>
        </is>
      </c>
      <c r="E75" s="406" t="inlineStr">
        <is>
          <t>Yes</t>
        </is>
      </c>
      <c r="F75" s="406" t="inlineStr">
        <is>
          <t>Scenario-relevant TTP retained for this external actor archetype.</t>
        </is>
      </c>
    </row>
    <row r="76" ht="15" customHeight="1" s="508">
      <c r="A76" s="406" t="inlineStr">
        <is>
          <t>Nation State</t>
        </is>
      </c>
      <c r="B76" s="406" t="inlineStr">
        <is>
          <t>T0873</t>
        </is>
      </c>
      <c r="C76" s="406" t="inlineStr">
        <is>
          <t>Project File Infection</t>
        </is>
      </c>
      <c r="D76" s="406" t="inlineStr">
        <is>
          <t>S2</t>
        </is>
      </c>
      <c r="E76" s="406" t="inlineStr">
        <is>
          <t>Yes</t>
        </is>
      </c>
      <c r="F76" s="406" t="inlineStr">
        <is>
          <t>Scenario-relevant TTP retained for this external actor archetype.</t>
        </is>
      </c>
    </row>
    <row r="77" ht="15" customHeight="1" s="508">
      <c r="A77" s="406" t="inlineStr">
        <is>
          <t>Nation State</t>
        </is>
      </c>
      <c r="B77" s="406" t="inlineStr">
        <is>
          <t>T0873.001</t>
        </is>
      </c>
      <c r="C77" s="406" t="inlineStr">
        <is>
          <t>Siemens Project File Format</t>
        </is>
      </c>
      <c r="D77" s="406" t="inlineStr">
        <is>
          <t>S2</t>
        </is>
      </c>
      <c r="E77" s="406" t="inlineStr">
        <is>
          <t>Yes</t>
        </is>
      </c>
      <c r="F77" s="406" t="inlineStr">
        <is>
          <t>Scenario-relevant TTP retained for this external actor archetype.</t>
        </is>
      </c>
    </row>
    <row r="78" ht="15" customHeight="1" s="508">
      <c r="A78" s="406" t="inlineStr">
        <is>
          <t>Nation State</t>
        </is>
      </c>
      <c r="B78" s="406" t="inlineStr">
        <is>
          <t>T0874</t>
        </is>
      </c>
      <c r="C78" s="406" t="inlineStr">
        <is>
          <t>Hooking</t>
        </is>
      </c>
      <c r="D78" s="406" t="inlineStr">
        <is>
          <t>S2</t>
        </is>
      </c>
      <c r="E78" s="406" t="inlineStr">
        <is>
          <t>Yes</t>
        </is>
      </c>
      <c r="F78" s="406" t="inlineStr">
        <is>
          <t>Scenario-relevant TTP retained for this external actor archetype.</t>
        </is>
      </c>
    </row>
    <row r="79" ht="15" customHeight="1" s="508">
      <c r="A79" s="406" t="inlineStr">
        <is>
          <t>Nation State</t>
        </is>
      </c>
      <c r="B79" s="406" t="inlineStr">
        <is>
          <t>T0877</t>
        </is>
      </c>
      <c r="C79" s="406" t="inlineStr">
        <is>
          <t>I/O Image</t>
        </is>
      </c>
      <c r="D79" s="406" t="inlineStr">
        <is>
          <t>S4</t>
        </is>
      </c>
      <c r="E79" s="406" t="inlineStr">
        <is>
          <t>Yes</t>
        </is>
      </c>
      <c r="F79" s="406" t="inlineStr">
        <is>
          <t>Scenario-relevant TTP retained for this external actor archetype.</t>
        </is>
      </c>
    </row>
    <row r="80" ht="15" customHeight="1" s="508">
      <c r="A80" s="406" t="inlineStr">
        <is>
          <t>Nation State</t>
        </is>
      </c>
      <c r="B80" s="406" t="inlineStr">
        <is>
          <t>T0878</t>
        </is>
      </c>
      <c r="C80" s="406" t="inlineStr">
        <is>
          <t>Alarm Suppression</t>
        </is>
      </c>
      <c r="D80" s="406" t="inlineStr">
        <is>
          <t>S5</t>
        </is>
      </c>
      <c r="E80" s="406" t="inlineStr">
        <is>
          <t>Yes</t>
        </is>
      </c>
      <c r="F80" s="406" t="inlineStr">
        <is>
          <t>Scenario-relevant TTP retained for this external actor archetype.</t>
        </is>
      </c>
    </row>
    <row r="81" ht="15" customHeight="1" s="508">
      <c r="A81" s="406" t="inlineStr">
        <is>
          <t>Nation State</t>
        </is>
      </c>
      <c r="B81" s="406" t="inlineStr">
        <is>
          <t>T0879</t>
        </is>
      </c>
      <c r="C81" s="406" t="inlineStr">
        <is>
          <t>Damage to Property</t>
        </is>
      </c>
      <c r="D81" s="406" t="inlineStr">
        <is>
          <t>S5</t>
        </is>
      </c>
      <c r="E81" s="406" t="inlineStr">
        <is>
          <t>Yes</t>
        </is>
      </c>
      <c r="F81" s="406" t="inlineStr">
        <is>
          <t>Scenario-relevant TTP retained for this external actor archetype.</t>
        </is>
      </c>
    </row>
    <row r="82" ht="15" customHeight="1" s="508">
      <c r="A82" s="406" t="inlineStr">
        <is>
          <t>Nation State</t>
        </is>
      </c>
      <c r="B82" s="406" t="inlineStr">
        <is>
          <t>T0880</t>
        </is>
      </c>
      <c r="C82" s="406" t="inlineStr">
        <is>
          <t>Loss of Safety</t>
        </is>
      </c>
      <c r="D82" s="406" t="inlineStr">
        <is>
          <t>S5</t>
        </is>
      </c>
      <c r="E82" s="406" t="inlineStr">
        <is>
          <t>Yes</t>
        </is>
      </c>
      <c r="F82" s="406" t="inlineStr">
        <is>
          <t>Scenario-relevant TTP retained for this external actor archetype.</t>
        </is>
      </c>
    </row>
    <row r="83" ht="15" customHeight="1" s="508">
      <c r="A83" s="406" t="inlineStr">
        <is>
          <t>Nation State</t>
        </is>
      </c>
      <c r="B83" s="406" t="inlineStr">
        <is>
          <t>T0881</t>
        </is>
      </c>
      <c r="C83" s="406" t="inlineStr">
        <is>
          <t>Service Stop</t>
        </is>
      </c>
      <c r="D83" s="406" t="inlineStr">
        <is>
          <t>S5</t>
        </is>
      </c>
      <c r="E83" s="406" t="inlineStr">
        <is>
          <t>Yes</t>
        </is>
      </c>
      <c r="F83" s="406" t="inlineStr">
        <is>
          <t>Scenario-relevant TTP retained for this external actor archetype.</t>
        </is>
      </c>
    </row>
    <row r="84" ht="15" customHeight="1" s="508">
      <c r="A84" s="406" t="inlineStr">
        <is>
          <t>Nation State</t>
        </is>
      </c>
      <c r="B84" s="406" t="inlineStr">
        <is>
          <t>T0882</t>
        </is>
      </c>
      <c r="C84" s="406" t="inlineStr">
        <is>
          <t>Theft of Operational Information</t>
        </is>
      </c>
      <c r="D84" s="406" t="inlineStr">
        <is>
          <t>S5</t>
        </is>
      </c>
      <c r="E84" s="406" t="inlineStr">
        <is>
          <t>Yes</t>
        </is>
      </c>
      <c r="F84" s="406" t="inlineStr">
        <is>
          <t>Scenario-relevant TTP retained for this external actor archetype.</t>
        </is>
      </c>
    </row>
    <row r="85" ht="15" customHeight="1" s="508">
      <c r="A85" s="406" t="inlineStr">
        <is>
          <t>Nation State</t>
        </is>
      </c>
      <c r="B85" s="406" t="inlineStr">
        <is>
          <t>T0883</t>
        </is>
      </c>
      <c r="C85" s="406" t="inlineStr">
        <is>
          <t>Internet Accessible Device</t>
        </is>
      </c>
      <c r="D85" s="406" t="inlineStr">
        <is>
          <t>S1</t>
        </is>
      </c>
      <c r="E85" s="406" t="inlineStr">
        <is>
          <t>Yes</t>
        </is>
      </c>
      <c r="F85" s="406" t="inlineStr">
        <is>
          <t>Scenario-relevant TTP retained for this external actor archetype.</t>
        </is>
      </c>
    </row>
    <row r="86" ht="15" customHeight="1" s="508">
      <c r="A86" s="406" t="inlineStr">
        <is>
          <t>Nation State</t>
        </is>
      </c>
      <c r="B86" s="406" t="inlineStr">
        <is>
          <t>T0884</t>
        </is>
      </c>
      <c r="C86" s="406" t="inlineStr">
        <is>
          <t>Connection Proxy</t>
        </is>
      </c>
      <c r="D86" s="406" t="inlineStr">
        <is>
          <t>S3</t>
        </is>
      </c>
      <c r="E86" s="406" t="inlineStr">
        <is>
          <t>Yes</t>
        </is>
      </c>
      <c r="F86" s="406" t="inlineStr">
        <is>
          <t>Scenario-relevant TTP retained for this external actor archetype.</t>
        </is>
      </c>
    </row>
    <row r="87" ht="15" customHeight="1" s="508">
      <c r="A87" s="406" t="inlineStr">
        <is>
          <t>Nation State</t>
        </is>
      </c>
      <c r="B87" s="406" t="inlineStr">
        <is>
          <t>T0885</t>
        </is>
      </c>
      <c r="C87" s="406" t="inlineStr">
        <is>
          <t>Commonly Used Port</t>
        </is>
      </c>
      <c r="D87" s="406" t="inlineStr">
        <is>
          <t>S3</t>
        </is>
      </c>
      <c r="E87" s="406" t="inlineStr">
        <is>
          <t>Yes</t>
        </is>
      </c>
      <c r="F87" s="406" t="inlineStr">
        <is>
          <t>Scenario-relevant TTP retained for this external actor archetype.</t>
        </is>
      </c>
    </row>
    <row r="88" ht="15" customHeight="1" s="508">
      <c r="A88" s="406" t="inlineStr">
        <is>
          <t>Nation State</t>
        </is>
      </c>
      <c r="B88" s="406" t="inlineStr">
        <is>
          <t>T0886</t>
        </is>
      </c>
      <c r="C88" s="406" t="inlineStr">
        <is>
          <t>Remote Services</t>
        </is>
      </c>
      <c r="D88" s="406" t="inlineStr">
        <is>
          <t>S1</t>
        </is>
      </c>
      <c r="E88" s="406" t="inlineStr">
        <is>
          <t>Yes</t>
        </is>
      </c>
      <c r="F88" s="406" t="inlineStr">
        <is>
          <t>Scenario-relevant TTP retained for this external actor archetype.</t>
        </is>
      </c>
    </row>
    <row r="89" ht="15" customHeight="1" s="508">
      <c r="A89" s="406" t="inlineStr">
        <is>
          <t>Nation State</t>
        </is>
      </c>
      <c r="B89" s="406" t="inlineStr">
        <is>
          <t>T0887</t>
        </is>
      </c>
      <c r="C89" s="406" t="inlineStr">
        <is>
          <t>Wireless Sniffing</t>
        </is>
      </c>
      <c r="D89" s="406" t="inlineStr">
        <is>
          <t>S4</t>
        </is>
      </c>
      <c r="E89" s="406" t="inlineStr">
        <is>
          <t>Yes</t>
        </is>
      </c>
      <c r="F89" s="406" t="inlineStr">
        <is>
          <t>Scenario-relevant TTP retained for this external actor archetype.</t>
        </is>
      </c>
    </row>
    <row r="90" ht="15" customHeight="1" s="508">
      <c r="A90" s="406" t="inlineStr">
        <is>
          <t>Nation State</t>
        </is>
      </c>
      <c r="B90" s="406" t="inlineStr">
        <is>
          <t>T0888</t>
        </is>
      </c>
      <c r="C90" s="406" t="inlineStr">
        <is>
          <t>Remote System Information Discovery</t>
        </is>
      </c>
      <c r="D90" s="406" t="inlineStr">
        <is>
          <t>S4</t>
        </is>
      </c>
      <c r="E90" s="406" t="inlineStr">
        <is>
          <t>Yes</t>
        </is>
      </c>
      <c r="F90" s="406" t="inlineStr">
        <is>
          <t>Scenario-relevant TTP retained for this external actor archetype.</t>
        </is>
      </c>
    </row>
    <row r="91" ht="15" customHeight="1" s="508">
      <c r="A91" s="406" t="inlineStr">
        <is>
          <t>Nation State</t>
        </is>
      </c>
      <c r="B91" s="406" t="inlineStr">
        <is>
          <t>T0889</t>
        </is>
      </c>
      <c r="C91" s="406" t="inlineStr">
        <is>
          <t>Modify Program</t>
        </is>
      </c>
      <c r="D91" s="406" t="inlineStr">
        <is>
          <t>S2</t>
        </is>
      </c>
      <c r="E91" s="406" t="inlineStr">
        <is>
          <t>Yes</t>
        </is>
      </c>
      <c r="F91" s="406" t="inlineStr">
        <is>
          <t>Scenario-relevant TTP retained for this external actor archetype.</t>
        </is>
      </c>
    </row>
    <row r="92" ht="15" customHeight="1" s="508">
      <c r="A92" s="406" t="inlineStr">
        <is>
          <t>Nation State</t>
        </is>
      </c>
      <c r="B92" s="406" t="inlineStr">
        <is>
          <t>T0890</t>
        </is>
      </c>
      <c r="C92" s="406" t="inlineStr">
        <is>
          <t>Exploitation for Privilege Escalation</t>
        </is>
      </c>
      <c r="D92" s="406" t="inlineStr">
        <is>
          <t>S2</t>
        </is>
      </c>
      <c r="E92" s="406" t="inlineStr">
        <is>
          <t>Yes</t>
        </is>
      </c>
      <c r="F92" s="406" t="inlineStr">
        <is>
          <t>Scenario-relevant TTP retained for this external actor archetype.</t>
        </is>
      </c>
    </row>
    <row r="93" ht="15" customHeight="1" s="508">
      <c r="A93" s="406" t="inlineStr">
        <is>
          <t>Nation State</t>
        </is>
      </c>
      <c r="B93" s="406" t="inlineStr">
        <is>
          <t>T0892</t>
        </is>
      </c>
      <c r="C93" s="406" t="inlineStr">
        <is>
          <t>Change Credential</t>
        </is>
      </c>
      <c r="D93" s="406" t="inlineStr">
        <is>
          <t>S5</t>
        </is>
      </c>
      <c r="E93" s="406" t="inlineStr">
        <is>
          <t>Yes</t>
        </is>
      </c>
      <c r="F93" s="406" t="inlineStr">
        <is>
          <t>Scenario-relevant TTP retained for this external actor archetype.</t>
        </is>
      </c>
    </row>
    <row r="94" ht="15" customHeight="1" s="508">
      <c r="A94" s="406" t="inlineStr">
        <is>
          <t>Nation State</t>
        </is>
      </c>
      <c r="B94" s="406" t="inlineStr">
        <is>
          <t>T0893</t>
        </is>
      </c>
      <c r="C94" s="406" t="inlineStr">
        <is>
          <t>Data from Local System</t>
        </is>
      </c>
      <c r="D94" s="406" t="inlineStr">
        <is>
          <t>S4</t>
        </is>
      </c>
      <c r="E94" s="406" t="inlineStr">
        <is>
          <t>Yes</t>
        </is>
      </c>
      <c r="F94" s="406" t="inlineStr">
        <is>
          <t>Scenario-relevant TTP retained for this external actor archetype.</t>
        </is>
      </c>
    </row>
    <row r="95" ht="15" customHeight="1" s="508">
      <c r="A95" s="406" t="inlineStr">
        <is>
          <t>Nation State</t>
        </is>
      </c>
      <c r="B95" s="406" t="inlineStr">
        <is>
          <t>T0894</t>
        </is>
      </c>
      <c r="C95" s="406" t="inlineStr">
        <is>
          <t>System Binary Proxy Execution</t>
        </is>
      </c>
      <c r="D95" s="406" t="inlineStr">
        <is>
          <t>S2</t>
        </is>
      </c>
      <c r="E95" s="406" t="inlineStr">
        <is>
          <t>Yes</t>
        </is>
      </c>
      <c r="F95" s="406" t="inlineStr">
        <is>
          <t>Scenario-relevant TTP retained for this external actor archetype.</t>
        </is>
      </c>
    </row>
    <row r="96" ht="15" customHeight="1" s="508">
      <c r="A96" s="406" t="inlineStr">
        <is>
          <t>Nation State</t>
        </is>
      </c>
      <c r="B96" s="406" t="inlineStr">
        <is>
          <t>T0895</t>
        </is>
      </c>
      <c r="C96" s="406" t="inlineStr">
        <is>
          <t>Autorun Image</t>
        </is>
      </c>
      <c r="D96" s="406" t="inlineStr">
        <is>
          <t>S2</t>
        </is>
      </c>
      <c r="E96" s="406" t="inlineStr">
        <is>
          <t>Yes</t>
        </is>
      </c>
      <c r="F96" s="406" t="inlineStr">
        <is>
          <t>Scenario-relevant TTP retained for this external actor archetype.</t>
        </is>
      </c>
    </row>
    <row r="97" ht="15" customHeight="1" s="508">
      <c r="A97" s="406" t="inlineStr">
        <is>
          <t>Nation State</t>
        </is>
      </c>
      <c r="B97" s="406" t="inlineStr">
        <is>
          <t>T1691</t>
        </is>
      </c>
      <c r="C97" s="406" t="inlineStr">
        <is>
          <t>Block Operational Technology Message</t>
        </is>
      </c>
      <c r="D97" s="406" t="inlineStr">
        <is>
          <t>S5</t>
        </is>
      </c>
      <c r="E97" s="406" t="inlineStr">
        <is>
          <t>Yes</t>
        </is>
      </c>
      <c r="F97" s="406" t="inlineStr">
        <is>
          <t>Scenario-relevant TTP retained for this external actor archetype.</t>
        </is>
      </c>
    </row>
    <row r="98" ht="15" customHeight="1" s="508">
      <c r="A98" s="406" t="inlineStr">
        <is>
          <t>Nation State</t>
        </is>
      </c>
      <c r="B98" s="406" t="inlineStr">
        <is>
          <t>T1691.001</t>
        </is>
      </c>
      <c r="C98" s="406" t="inlineStr">
        <is>
          <t>Command Message</t>
        </is>
      </c>
      <c r="D98" s="406" t="inlineStr">
        <is>
          <t>S5</t>
        </is>
      </c>
      <c r="E98" s="406" t="inlineStr">
        <is>
          <t>Yes</t>
        </is>
      </c>
      <c r="F98" s="406" t="inlineStr">
        <is>
          <t>Scenario-relevant TTP retained for this external actor archetype.</t>
        </is>
      </c>
    </row>
    <row r="99" ht="15" customHeight="1" s="508">
      <c r="A99" s="406" t="inlineStr">
        <is>
          <t>Nation State</t>
        </is>
      </c>
      <c r="B99" s="406" t="inlineStr">
        <is>
          <t>T1691.002</t>
        </is>
      </c>
      <c r="C99" s="406" t="inlineStr">
        <is>
          <t>Reporting Message</t>
        </is>
      </c>
      <c r="D99" s="406" t="inlineStr">
        <is>
          <t>S5</t>
        </is>
      </c>
      <c r="E99" s="406" t="inlineStr">
        <is>
          <t>Yes</t>
        </is>
      </c>
      <c r="F99" s="406" t="inlineStr">
        <is>
          <t>Scenario-relevant TTP retained for this external actor archetype.</t>
        </is>
      </c>
    </row>
    <row r="100" ht="15" customHeight="1" s="508">
      <c r="A100" s="406" t="inlineStr">
        <is>
          <t>Nation State</t>
        </is>
      </c>
      <c r="B100" s="406" t="inlineStr">
        <is>
          <t>T1692</t>
        </is>
      </c>
      <c r="C100" s="406" t="inlineStr">
        <is>
          <t>Unauthorized Message</t>
        </is>
      </c>
      <c r="D100" s="406" t="inlineStr">
        <is>
          <t>S5</t>
        </is>
      </c>
      <c r="E100" s="406" t="inlineStr">
        <is>
          <t>Yes</t>
        </is>
      </c>
      <c r="F100" s="406" t="inlineStr">
        <is>
          <t>Scenario-relevant TTP retained for this external actor archetype.</t>
        </is>
      </c>
    </row>
    <row r="101" ht="15" customHeight="1" s="508">
      <c r="A101" s="406" t="inlineStr">
        <is>
          <t>Nation State</t>
        </is>
      </c>
      <c r="B101" s="406" t="inlineStr">
        <is>
          <t>T1692.001</t>
        </is>
      </c>
      <c r="C101" s="406" t="inlineStr">
        <is>
          <t>Command Message</t>
        </is>
      </c>
      <c r="D101" s="406" t="inlineStr">
        <is>
          <t>S5</t>
        </is>
      </c>
      <c r="E101" s="406" t="inlineStr">
        <is>
          <t>Yes</t>
        </is>
      </c>
      <c r="F101" s="406" t="inlineStr">
        <is>
          <t>Scenario-relevant TTP retained for this external actor archetype.</t>
        </is>
      </c>
    </row>
    <row r="102" ht="15" customHeight="1" s="508">
      <c r="A102" s="406" t="inlineStr">
        <is>
          <t>Nation State</t>
        </is>
      </c>
      <c r="B102" s="406" t="inlineStr">
        <is>
          <t>T1692.002</t>
        </is>
      </c>
      <c r="C102" s="406" t="inlineStr">
        <is>
          <t>Reporting Message</t>
        </is>
      </c>
      <c r="D102" s="406" t="inlineStr">
        <is>
          <t>S5</t>
        </is>
      </c>
      <c r="E102" s="406" t="inlineStr">
        <is>
          <t>Yes</t>
        </is>
      </c>
      <c r="F102" s="406" t="inlineStr">
        <is>
          <t>Scenario-relevant TTP retained for this external actor archetype.</t>
        </is>
      </c>
    </row>
    <row r="103" ht="15" customHeight="1" s="508">
      <c r="A103" s="406" t="inlineStr">
        <is>
          <t>Nation State</t>
        </is>
      </c>
      <c r="B103" s="406" t="inlineStr">
        <is>
          <t>T1693</t>
        </is>
      </c>
      <c r="C103" s="406" t="inlineStr">
        <is>
          <t>Modify Firmware</t>
        </is>
      </c>
      <c r="D103" s="406" t="inlineStr">
        <is>
          <t>S5</t>
        </is>
      </c>
      <c r="E103" s="406" t="inlineStr">
        <is>
          <t>Yes</t>
        </is>
      </c>
      <c r="F103" s="406" t="inlineStr">
        <is>
          <t>Scenario-relevant TTP retained for this external actor archetype.</t>
        </is>
      </c>
    </row>
    <row r="104" ht="15" customHeight="1" s="508">
      <c r="A104" s="406" t="inlineStr">
        <is>
          <t>Nation State</t>
        </is>
      </c>
      <c r="B104" s="406" t="inlineStr">
        <is>
          <t>T1693.001</t>
        </is>
      </c>
      <c r="C104" s="406" t="inlineStr">
        <is>
          <t>System Firmware</t>
        </is>
      </c>
      <c r="D104" s="406" t="inlineStr">
        <is>
          <t>S5</t>
        </is>
      </c>
      <c r="E104" s="406" t="inlineStr">
        <is>
          <t>Yes</t>
        </is>
      </c>
      <c r="F104" s="406" t="inlineStr">
        <is>
          <t>Scenario-relevant TTP retained for this external actor archetype.</t>
        </is>
      </c>
    </row>
    <row r="105" ht="15" customHeight="1" s="508">
      <c r="A105" s="406" t="inlineStr">
        <is>
          <t>Nation State</t>
        </is>
      </c>
      <c r="B105" s="406" t="inlineStr">
        <is>
          <t>T1693.002</t>
        </is>
      </c>
      <c r="C105" s="406" t="inlineStr">
        <is>
          <t>Module Firmware</t>
        </is>
      </c>
      <c r="D105" s="406" t="inlineStr">
        <is>
          <t>S5</t>
        </is>
      </c>
      <c r="E105" s="406" t="inlineStr">
        <is>
          <t>Yes</t>
        </is>
      </c>
      <c r="F105" s="406" t="inlineStr">
        <is>
          <t>Scenario-relevant TTP retained for this external actor archetype.</t>
        </is>
      </c>
    </row>
    <row r="106" ht="15" customHeight="1" s="508">
      <c r="A106" s="406" t="inlineStr">
        <is>
          <t>Nation State</t>
        </is>
      </c>
      <c r="B106" s="406" t="inlineStr">
        <is>
          <t>T1694</t>
        </is>
      </c>
      <c r="C106" s="406" t="inlineStr">
        <is>
          <t>Insecure Credentials</t>
        </is>
      </c>
      <c r="D106" s="406" t="inlineStr">
        <is>
          <t>S3</t>
        </is>
      </c>
      <c r="E106" s="406" t="inlineStr">
        <is>
          <t>Yes</t>
        </is>
      </c>
      <c r="F106" s="406" t="inlineStr">
        <is>
          <t>Scenario-relevant TTP retained for this external actor archetype.</t>
        </is>
      </c>
    </row>
    <row r="107" ht="15" customHeight="1" s="508">
      <c r="A107" s="406" t="inlineStr">
        <is>
          <t>Nation State</t>
        </is>
      </c>
      <c r="B107" s="406" t="inlineStr">
        <is>
          <t>T1694.001</t>
        </is>
      </c>
      <c r="C107" s="406" t="inlineStr">
        <is>
          <t>Default Credentials</t>
        </is>
      </c>
      <c r="D107" s="406" t="inlineStr">
        <is>
          <t>S3</t>
        </is>
      </c>
      <c r="E107" s="406" t="inlineStr">
        <is>
          <t>Yes</t>
        </is>
      </c>
      <c r="F107" s="406" t="inlineStr">
        <is>
          <t>Scenario-relevant TTP retained for this external actor archetype.</t>
        </is>
      </c>
    </row>
    <row r="108" ht="15" customHeight="1" s="508">
      <c r="A108" s="406" t="inlineStr">
        <is>
          <t>Nation State</t>
        </is>
      </c>
      <c r="B108" s="406" t="inlineStr">
        <is>
          <t>T1694.002</t>
        </is>
      </c>
      <c r="C108" s="406" t="inlineStr">
        <is>
          <t>Hardcoded Credentials</t>
        </is>
      </c>
      <c r="D108" s="406" t="inlineStr">
        <is>
          <t>S3</t>
        </is>
      </c>
      <c r="E108" s="406" t="inlineStr">
        <is>
          <t>Yes</t>
        </is>
      </c>
      <c r="F108" s="406" t="inlineStr">
        <is>
          <t>Scenario-relevant TTP retained for this external actor archetype.</t>
        </is>
      </c>
    </row>
    <row r="109" ht="15" customHeight="1" s="508">
      <c r="A109" s="406" t="inlineStr">
        <is>
          <t>Nation State</t>
        </is>
      </c>
      <c r="B109" s="406" t="inlineStr">
        <is>
          <t>T1695</t>
        </is>
      </c>
      <c r="C109" s="406" t="inlineStr">
        <is>
          <t>Block Communications</t>
        </is>
      </c>
      <c r="D109" s="406" t="inlineStr">
        <is>
          <t>S5</t>
        </is>
      </c>
      <c r="E109" s="406" t="inlineStr">
        <is>
          <t>Yes</t>
        </is>
      </c>
      <c r="F109" s="406" t="inlineStr">
        <is>
          <t>Scenario-relevant TTP retained for this external actor archetype.</t>
        </is>
      </c>
    </row>
    <row r="110" ht="15" customHeight="1" s="508">
      <c r="A110" s="406" t="inlineStr">
        <is>
          <t>Nation State</t>
        </is>
      </c>
      <c r="B110" s="406" t="inlineStr">
        <is>
          <t>T1695.001</t>
        </is>
      </c>
      <c r="C110" s="406" t="inlineStr">
        <is>
          <t>Serial COM</t>
        </is>
      </c>
      <c r="D110" s="406" t="inlineStr">
        <is>
          <t>S5</t>
        </is>
      </c>
      <c r="E110" s="406" t="inlineStr">
        <is>
          <t>Yes</t>
        </is>
      </c>
      <c r="F110" s="406" t="inlineStr">
        <is>
          <t>Scenario-relevant TTP retained for this external actor archetype.</t>
        </is>
      </c>
    </row>
    <row r="111" ht="15" customHeight="1" s="508">
      <c r="A111" s="406" t="inlineStr">
        <is>
          <t>Nation State</t>
        </is>
      </c>
      <c r="B111" s="406" t="inlineStr">
        <is>
          <t>T1695.002</t>
        </is>
      </c>
      <c r="C111" s="406" t="inlineStr">
        <is>
          <t>Ethernet</t>
        </is>
      </c>
      <c r="D111" s="406" t="inlineStr">
        <is>
          <t>S5</t>
        </is>
      </c>
      <c r="E111" s="406" t="inlineStr">
        <is>
          <t>Yes</t>
        </is>
      </c>
      <c r="F111" s="406" t="inlineStr">
        <is>
          <t>Scenario-relevant TTP retained for this external actor archetype.</t>
        </is>
      </c>
    </row>
    <row r="112" ht="15" customHeight="1" s="508">
      <c r="A112" s="406" t="inlineStr">
        <is>
          <t>Nation State</t>
        </is>
      </c>
      <c r="B112" s="406" t="inlineStr">
        <is>
          <t>T1695.003</t>
        </is>
      </c>
      <c r="C112" s="406" t="inlineStr">
        <is>
          <t>Wi-Fi</t>
        </is>
      </c>
      <c r="D112" s="406" t="inlineStr">
        <is>
          <t>S5</t>
        </is>
      </c>
      <c r="E112" s="406" t="inlineStr">
        <is>
          <t>Yes</t>
        </is>
      </c>
      <c r="F112" s="406" t="inlineStr">
        <is>
          <t>Scenario-relevant TTP retained for this external actor archetype.</t>
        </is>
      </c>
    </row>
    <row r="113" ht="15" customHeight="1" s="508">
      <c r="A113" s="406" t="inlineStr">
        <is>
          <t>Cybercriminal</t>
        </is>
      </c>
      <c r="B113" s="406" t="inlineStr">
        <is>
          <t>T0800</t>
        </is>
      </c>
      <c r="C113" s="406" t="inlineStr">
        <is>
          <t>Activate Firmware Update Mode</t>
        </is>
      </c>
      <c r="D113" s="406" t="inlineStr">
        <is>
          <t>S5</t>
        </is>
      </c>
      <c r="E113" s="406" t="inlineStr">
        <is>
          <t>Yes</t>
        </is>
      </c>
      <c r="F113" s="406" t="inlineStr">
        <is>
          <t>Scenario-relevant TTP retained for this external actor archetype.</t>
        </is>
      </c>
    </row>
    <row r="114" ht="15" customHeight="1" s="508">
      <c r="A114" s="406" t="inlineStr">
        <is>
          <t>Cybercriminal</t>
        </is>
      </c>
      <c r="B114" s="406" t="inlineStr">
        <is>
          <t>T0801</t>
        </is>
      </c>
      <c r="C114" s="406" t="inlineStr">
        <is>
          <t>Monitor Process State</t>
        </is>
      </c>
      <c r="D114" s="406" t="inlineStr">
        <is>
          <t>S4</t>
        </is>
      </c>
      <c r="E114" s="406" t="inlineStr">
        <is>
          <t>Yes</t>
        </is>
      </c>
      <c r="F114" s="406" t="inlineStr">
        <is>
          <t>Scenario-relevant TTP retained for this external actor archetype.</t>
        </is>
      </c>
    </row>
    <row r="115" ht="15" customHeight="1" s="508">
      <c r="A115" s="406" t="inlineStr">
        <is>
          <t>Cybercriminal</t>
        </is>
      </c>
      <c r="B115" s="406" t="inlineStr">
        <is>
          <t>T0802</t>
        </is>
      </c>
      <c r="C115" s="406" t="inlineStr">
        <is>
          <t>Automated Collection</t>
        </is>
      </c>
      <c r="D115" s="406" t="inlineStr">
        <is>
          <t>S4</t>
        </is>
      </c>
      <c r="E115" s="406" t="inlineStr">
        <is>
          <t>Yes</t>
        </is>
      </c>
      <c r="F115" s="406" t="inlineStr">
        <is>
          <t>Scenario-relevant TTP retained for this external actor archetype.</t>
        </is>
      </c>
    </row>
    <row r="116" ht="15" customHeight="1" s="508">
      <c r="A116" s="406" t="inlineStr">
        <is>
          <t>Cybercriminal</t>
        </is>
      </c>
      <c r="B116" s="406" t="inlineStr">
        <is>
          <t>T0806</t>
        </is>
      </c>
      <c r="C116" s="406" t="inlineStr">
        <is>
          <t>Brute Force I/O</t>
        </is>
      </c>
      <c r="D116" s="406" t="inlineStr">
        <is>
          <t>S5</t>
        </is>
      </c>
      <c r="E116" s="406" t="inlineStr">
        <is>
          <t>Yes</t>
        </is>
      </c>
      <c r="F116" s="406" t="inlineStr">
        <is>
          <t>Scenario-relevant TTP retained for this external actor archetype.</t>
        </is>
      </c>
    </row>
    <row r="117" ht="15" customHeight="1" s="508">
      <c r="A117" s="406" t="inlineStr">
        <is>
          <t>Cybercriminal</t>
        </is>
      </c>
      <c r="B117" s="406" t="inlineStr">
        <is>
          <t>T0807</t>
        </is>
      </c>
      <c r="C117" s="406" t="inlineStr">
        <is>
          <t>Command-Line Interface</t>
        </is>
      </c>
      <c r="D117" s="406" t="inlineStr">
        <is>
          <t>S2</t>
        </is>
      </c>
      <c r="E117" s="406" t="inlineStr">
        <is>
          <t>Yes</t>
        </is>
      </c>
      <c r="F117" s="406" t="inlineStr">
        <is>
          <t>Scenario-relevant TTP retained for this external actor archetype.</t>
        </is>
      </c>
    </row>
    <row r="118" ht="15" customHeight="1" s="508">
      <c r="A118" s="406" t="inlineStr">
        <is>
          <t>Cybercriminal</t>
        </is>
      </c>
      <c r="B118" s="406" t="inlineStr">
        <is>
          <t>T0809</t>
        </is>
      </c>
      <c r="C118" s="406" t="inlineStr">
        <is>
          <t>Data Destruction</t>
        </is>
      </c>
      <c r="D118" s="406" t="inlineStr">
        <is>
          <t>S5</t>
        </is>
      </c>
      <c r="E118" s="406" t="inlineStr">
        <is>
          <t>Yes</t>
        </is>
      </c>
      <c r="F118" s="406" t="inlineStr">
        <is>
          <t>Scenario-relevant TTP retained for this external actor archetype.</t>
        </is>
      </c>
    </row>
    <row r="119" ht="15" customHeight="1" s="508">
      <c r="A119" s="406" t="inlineStr">
        <is>
          <t>Cybercriminal</t>
        </is>
      </c>
      <c r="B119" s="406" t="inlineStr">
        <is>
          <t>T0811</t>
        </is>
      </c>
      <c r="C119" s="406" t="inlineStr">
        <is>
          <t>Data from Information Repositories</t>
        </is>
      </c>
      <c r="D119" s="406" t="inlineStr">
        <is>
          <t>S4</t>
        </is>
      </c>
      <c r="E119" s="406" t="inlineStr">
        <is>
          <t>Yes</t>
        </is>
      </c>
      <c r="F119" s="406" t="inlineStr">
        <is>
          <t>Scenario-relevant TTP retained for this external actor archetype.</t>
        </is>
      </c>
    </row>
    <row r="120" ht="15" customHeight="1" s="508">
      <c r="A120" s="406" t="inlineStr">
        <is>
          <t>Cybercriminal</t>
        </is>
      </c>
      <c r="B120" s="406" t="inlineStr">
        <is>
          <t>T0813</t>
        </is>
      </c>
      <c r="C120" s="406" t="inlineStr">
        <is>
          <t>Denial of Control</t>
        </is>
      </c>
      <c r="D120" s="406" t="inlineStr">
        <is>
          <t>S5</t>
        </is>
      </c>
      <c r="E120" s="406" t="inlineStr">
        <is>
          <t>Yes</t>
        </is>
      </c>
      <c r="F120" s="406" t="inlineStr">
        <is>
          <t>Scenario-relevant TTP retained for this external actor archetype.</t>
        </is>
      </c>
    </row>
    <row r="121" ht="15" customHeight="1" s="508">
      <c r="A121" s="406" t="inlineStr">
        <is>
          <t>Cybercriminal</t>
        </is>
      </c>
      <c r="B121" s="406" t="inlineStr">
        <is>
          <t>T0814</t>
        </is>
      </c>
      <c r="C121" s="406" t="inlineStr">
        <is>
          <t>Denial of Service</t>
        </is>
      </c>
      <c r="D121" s="406" t="inlineStr">
        <is>
          <t>S5</t>
        </is>
      </c>
      <c r="E121" s="406" t="inlineStr">
        <is>
          <t>Yes</t>
        </is>
      </c>
      <c r="F121" s="406" t="inlineStr">
        <is>
          <t>Scenario-relevant TTP retained for this external actor archetype.</t>
        </is>
      </c>
    </row>
    <row r="122" ht="15" customHeight="1" s="508">
      <c r="A122" s="406" t="inlineStr">
        <is>
          <t>Cybercriminal</t>
        </is>
      </c>
      <c r="B122" s="406" t="inlineStr">
        <is>
          <t>T0815</t>
        </is>
      </c>
      <c r="C122" s="406" t="inlineStr">
        <is>
          <t>Denial of View</t>
        </is>
      </c>
      <c r="D122" s="406" t="inlineStr">
        <is>
          <t>S5</t>
        </is>
      </c>
      <c r="E122" s="406" t="inlineStr">
        <is>
          <t>Yes</t>
        </is>
      </c>
      <c r="F122" s="406" t="inlineStr">
        <is>
          <t>Scenario-relevant TTP retained for this external actor archetype.</t>
        </is>
      </c>
    </row>
    <row r="123" ht="15" customHeight="1" s="508">
      <c r="A123" s="406" t="inlineStr">
        <is>
          <t>Cybercriminal</t>
        </is>
      </c>
      <c r="B123" s="406" t="inlineStr">
        <is>
          <t>T0816</t>
        </is>
      </c>
      <c r="C123" s="406" t="inlineStr">
        <is>
          <t>Device Restart/Shutdown</t>
        </is>
      </c>
      <c r="D123" s="406" t="inlineStr">
        <is>
          <t>S5</t>
        </is>
      </c>
      <c r="E123" s="406" t="inlineStr">
        <is>
          <t>Yes</t>
        </is>
      </c>
      <c r="F123" s="406" t="inlineStr">
        <is>
          <t>Scenario-relevant TTP retained for this external actor archetype.</t>
        </is>
      </c>
    </row>
    <row r="124" ht="15" customHeight="1" s="508">
      <c r="A124" s="406" t="inlineStr">
        <is>
          <t>Cybercriminal</t>
        </is>
      </c>
      <c r="B124" s="406" t="inlineStr">
        <is>
          <t>T0817</t>
        </is>
      </c>
      <c r="C124" s="406" t="inlineStr">
        <is>
          <t>Drive-by Compromise</t>
        </is>
      </c>
      <c r="D124" s="406" t="inlineStr">
        <is>
          <t>S1</t>
        </is>
      </c>
      <c r="E124" s="406" t="inlineStr">
        <is>
          <t>Yes</t>
        </is>
      </c>
      <c r="F124" s="406" t="inlineStr">
        <is>
          <t>Scenario-relevant TTP retained for this external actor archetype.</t>
        </is>
      </c>
    </row>
    <row r="125" ht="15" customHeight="1" s="508">
      <c r="A125" s="406" t="inlineStr">
        <is>
          <t>Cybercriminal</t>
        </is>
      </c>
      <c r="B125" s="406" t="inlineStr">
        <is>
          <t>T0819</t>
        </is>
      </c>
      <c r="C125" s="406" t="inlineStr">
        <is>
          <t>Exploit Public-Facing Application</t>
        </is>
      </c>
      <c r="D125" s="406" t="inlineStr">
        <is>
          <t>S1</t>
        </is>
      </c>
      <c r="E125" s="406" t="inlineStr">
        <is>
          <t>Yes</t>
        </is>
      </c>
      <c r="F125" s="406" t="inlineStr">
        <is>
          <t>Scenario-relevant TTP retained for this external actor archetype.</t>
        </is>
      </c>
    </row>
    <row r="126" ht="15" customHeight="1" s="508">
      <c r="A126" s="406" t="inlineStr">
        <is>
          <t>Cybercriminal</t>
        </is>
      </c>
      <c r="B126" s="406" t="inlineStr">
        <is>
          <t>T0820</t>
        </is>
      </c>
      <c r="C126" s="406" t="inlineStr">
        <is>
          <t>Exploitation for Evasion</t>
        </is>
      </c>
      <c r="D126" s="406" t="inlineStr">
        <is>
          <t>S2</t>
        </is>
      </c>
      <c r="E126" s="406" t="inlineStr">
        <is>
          <t>Yes</t>
        </is>
      </c>
      <c r="F126" s="406" t="inlineStr">
        <is>
          <t>Scenario-relevant TTP retained for this external actor archetype.</t>
        </is>
      </c>
    </row>
    <row r="127" ht="15" customHeight="1" s="508">
      <c r="A127" s="406" t="inlineStr">
        <is>
          <t>Cybercriminal</t>
        </is>
      </c>
      <c r="B127" s="406" t="inlineStr">
        <is>
          <t>T0821</t>
        </is>
      </c>
      <c r="C127" s="406" t="inlineStr">
        <is>
          <t>Modify Controller Tasking</t>
        </is>
      </c>
      <c r="D127" s="406" t="inlineStr">
        <is>
          <t>S2</t>
        </is>
      </c>
      <c r="E127" s="406" t="inlineStr">
        <is>
          <t>Yes</t>
        </is>
      </c>
      <c r="F127" s="406" t="inlineStr">
        <is>
          <t>Scenario-relevant TTP retained for this external actor archetype.</t>
        </is>
      </c>
    </row>
    <row r="128" ht="15" customHeight="1" s="508">
      <c r="A128" s="406" t="inlineStr">
        <is>
          <t>Cybercriminal</t>
        </is>
      </c>
      <c r="B128" s="406" t="inlineStr">
        <is>
          <t>T0822</t>
        </is>
      </c>
      <c r="C128" s="406" t="inlineStr">
        <is>
          <t>External Remote Services</t>
        </is>
      </c>
      <c r="D128" s="406" t="inlineStr">
        <is>
          <t>S1</t>
        </is>
      </c>
      <c r="E128" s="406" t="inlineStr">
        <is>
          <t>Yes</t>
        </is>
      </c>
      <c r="F128" s="406" t="inlineStr">
        <is>
          <t>Scenario-relevant TTP retained for this external actor archetype.</t>
        </is>
      </c>
    </row>
    <row r="129" ht="15" customHeight="1" s="508">
      <c r="A129" s="406" t="inlineStr">
        <is>
          <t>Cybercriminal</t>
        </is>
      </c>
      <c r="B129" s="406" t="inlineStr">
        <is>
          <t>T0823</t>
        </is>
      </c>
      <c r="C129" s="406" t="inlineStr">
        <is>
          <t>Graphical User Interface</t>
        </is>
      </c>
      <c r="D129" s="406" t="inlineStr">
        <is>
          <t>S2</t>
        </is>
      </c>
      <c r="E129" s="406" t="inlineStr">
        <is>
          <t>Yes</t>
        </is>
      </c>
      <c r="F129" s="406" t="inlineStr">
        <is>
          <t>Scenario-relevant TTP retained for this external actor archetype.</t>
        </is>
      </c>
    </row>
    <row r="130" ht="15" customHeight="1" s="508">
      <c r="A130" s="406" t="inlineStr">
        <is>
          <t>Cybercriminal</t>
        </is>
      </c>
      <c r="B130" s="406" t="inlineStr">
        <is>
          <t>T0826</t>
        </is>
      </c>
      <c r="C130" s="406" t="inlineStr">
        <is>
          <t>Loss of Availability</t>
        </is>
      </c>
      <c r="D130" s="406" t="inlineStr">
        <is>
          <t>S5</t>
        </is>
      </c>
      <c r="E130" s="406" t="inlineStr">
        <is>
          <t>Yes</t>
        </is>
      </c>
      <c r="F130" s="406" t="inlineStr">
        <is>
          <t>Scenario-relevant TTP retained for this external actor archetype.</t>
        </is>
      </c>
    </row>
    <row r="131" ht="15" customHeight="1" s="508">
      <c r="A131" s="406" t="inlineStr">
        <is>
          <t>Cybercriminal</t>
        </is>
      </c>
      <c r="B131" s="406" t="inlineStr">
        <is>
          <t>T0827</t>
        </is>
      </c>
      <c r="C131" s="406" t="inlineStr">
        <is>
          <t>Loss of Control</t>
        </is>
      </c>
      <c r="D131" s="406" t="inlineStr">
        <is>
          <t>S5</t>
        </is>
      </c>
      <c r="E131" s="406" t="inlineStr">
        <is>
          <t>Yes</t>
        </is>
      </c>
      <c r="F131" s="406" t="inlineStr">
        <is>
          <t>Scenario-relevant TTP retained for this external actor archetype.</t>
        </is>
      </c>
    </row>
    <row r="132" ht="15" customHeight="1" s="508">
      <c r="A132" s="406" t="inlineStr">
        <is>
          <t>Cybercriminal</t>
        </is>
      </c>
      <c r="B132" s="406" t="inlineStr">
        <is>
          <t>T0828</t>
        </is>
      </c>
      <c r="C132" s="406" t="inlineStr">
        <is>
          <t>Loss of Productivity and Revenue</t>
        </is>
      </c>
      <c r="D132" s="406" t="inlineStr">
        <is>
          <t>S5</t>
        </is>
      </c>
      <c r="E132" s="406" t="inlineStr">
        <is>
          <t>Yes</t>
        </is>
      </c>
      <c r="F132" s="406" t="inlineStr">
        <is>
          <t>Scenario-relevant TTP retained for this external actor archetype.</t>
        </is>
      </c>
    </row>
    <row r="133" ht="15" customHeight="1" s="508">
      <c r="A133" s="406" t="inlineStr">
        <is>
          <t>Cybercriminal</t>
        </is>
      </c>
      <c r="B133" s="406" t="inlineStr">
        <is>
          <t>T0829</t>
        </is>
      </c>
      <c r="C133" s="406" t="inlineStr">
        <is>
          <t>Loss of View</t>
        </is>
      </c>
      <c r="D133" s="406" t="inlineStr">
        <is>
          <t>S5</t>
        </is>
      </c>
      <c r="E133" s="406" t="inlineStr">
        <is>
          <t>Yes</t>
        </is>
      </c>
      <c r="F133" s="406" t="inlineStr">
        <is>
          <t>Scenario-relevant TTP retained for this external actor archetype.</t>
        </is>
      </c>
    </row>
    <row r="134" ht="15" customHeight="1" s="508">
      <c r="A134" s="406" t="inlineStr">
        <is>
          <t>Cybercriminal</t>
        </is>
      </c>
      <c r="B134" s="406" t="inlineStr">
        <is>
          <t>T0830</t>
        </is>
      </c>
      <c r="C134" s="406" t="inlineStr">
        <is>
          <t>Adversary-in-the-Middle</t>
        </is>
      </c>
      <c r="D134" s="406" t="inlineStr">
        <is>
          <t>S4</t>
        </is>
      </c>
      <c r="E134" s="406" t="inlineStr">
        <is>
          <t>Yes</t>
        </is>
      </c>
      <c r="F134" s="406" t="inlineStr">
        <is>
          <t>Scenario-relevant TTP retained for this external actor archetype.</t>
        </is>
      </c>
    </row>
    <row r="135" ht="15" customHeight="1" s="508">
      <c r="A135" s="406" t="inlineStr">
        <is>
          <t>Cybercriminal</t>
        </is>
      </c>
      <c r="B135" s="406" t="inlineStr">
        <is>
          <t>T0831</t>
        </is>
      </c>
      <c r="C135" s="406" t="inlineStr">
        <is>
          <t>Manipulation of Control</t>
        </is>
      </c>
      <c r="D135" s="406" t="inlineStr">
        <is>
          <t>S5</t>
        </is>
      </c>
      <c r="E135" s="406" t="inlineStr">
        <is>
          <t>Yes</t>
        </is>
      </c>
      <c r="F135" s="406" t="inlineStr">
        <is>
          <t>Scenario-relevant TTP retained for this external actor archetype.</t>
        </is>
      </c>
    </row>
    <row r="136" ht="15" customHeight="1" s="508">
      <c r="A136" s="406" t="inlineStr">
        <is>
          <t>Cybercriminal</t>
        </is>
      </c>
      <c r="B136" s="406" t="inlineStr">
        <is>
          <t>T0832</t>
        </is>
      </c>
      <c r="C136" s="406" t="inlineStr">
        <is>
          <t>Manipulation of View</t>
        </is>
      </c>
      <c r="D136" s="406" t="inlineStr">
        <is>
          <t>S5</t>
        </is>
      </c>
      <c r="E136" s="406" t="inlineStr">
        <is>
          <t>Yes</t>
        </is>
      </c>
      <c r="F136" s="406" t="inlineStr">
        <is>
          <t>Scenario-relevant TTP retained for this external actor archetype.</t>
        </is>
      </c>
    </row>
    <row r="137" ht="15" customHeight="1" s="508">
      <c r="A137" s="406" t="inlineStr">
        <is>
          <t>Cybercriminal</t>
        </is>
      </c>
      <c r="B137" s="406" t="inlineStr">
        <is>
          <t>T0834</t>
        </is>
      </c>
      <c r="C137" s="406" t="inlineStr">
        <is>
          <t>Native API</t>
        </is>
      </c>
      <c r="D137" s="406" t="inlineStr">
        <is>
          <t>S2</t>
        </is>
      </c>
      <c r="E137" s="406" t="inlineStr">
        <is>
          <t>Yes</t>
        </is>
      </c>
      <c r="F137" s="406" t="inlineStr">
        <is>
          <t>Scenario-relevant TTP retained for this external actor archetype.</t>
        </is>
      </c>
    </row>
    <row r="138" ht="15" customHeight="1" s="508">
      <c r="A138" s="406" t="inlineStr">
        <is>
          <t>Cybercriminal</t>
        </is>
      </c>
      <c r="B138" s="406" t="inlineStr">
        <is>
          <t>T0835</t>
        </is>
      </c>
      <c r="C138" s="406" t="inlineStr">
        <is>
          <t>Manipulate I/O Image</t>
        </is>
      </c>
      <c r="D138" s="406" t="inlineStr">
        <is>
          <t>S5</t>
        </is>
      </c>
      <c r="E138" s="406" t="inlineStr">
        <is>
          <t>Yes</t>
        </is>
      </c>
      <c r="F138" s="406" t="inlineStr">
        <is>
          <t>Scenario-relevant TTP retained for this external actor archetype.</t>
        </is>
      </c>
    </row>
    <row r="139" ht="15" customHeight="1" s="508">
      <c r="A139" s="406" t="inlineStr">
        <is>
          <t>Cybercriminal</t>
        </is>
      </c>
      <c r="B139" s="406" t="inlineStr">
        <is>
          <t>T0836</t>
        </is>
      </c>
      <c r="C139" s="406" t="inlineStr">
        <is>
          <t>Modify Parameter</t>
        </is>
      </c>
      <c r="D139" s="406" t="inlineStr">
        <is>
          <t>S5</t>
        </is>
      </c>
      <c r="E139" s="406" t="inlineStr">
        <is>
          <t>Yes</t>
        </is>
      </c>
      <c r="F139" s="406" t="inlineStr">
        <is>
          <t>Scenario-relevant TTP retained for this external actor archetype.</t>
        </is>
      </c>
    </row>
    <row r="140" ht="15" customHeight="1" s="508">
      <c r="A140" s="406" t="inlineStr">
        <is>
          <t>Cybercriminal</t>
        </is>
      </c>
      <c r="B140" s="406" t="inlineStr">
        <is>
          <t>T0837</t>
        </is>
      </c>
      <c r="C140" s="406" t="inlineStr">
        <is>
          <t>Loss of Protection</t>
        </is>
      </c>
      <c r="D140" s="406" t="inlineStr">
        <is>
          <t>S5</t>
        </is>
      </c>
      <c r="E140" s="406" t="inlineStr">
        <is>
          <t>Yes</t>
        </is>
      </c>
      <c r="F140" s="406" t="inlineStr">
        <is>
          <t>Scenario-relevant TTP retained for this external actor archetype.</t>
        </is>
      </c>
    </row>
    <row r="141" ht="15" customHeight="1" s="508">
      <c r="A141" s="406" t="inlineStr">
        <is>
          <t>Cybercriminal</t>
        </is>
      </c>
      <c r="B141" s="406" t="inlineStr">
        <is>
          <t>T0838</t>
        </is>
      </c>
      <c r="C141" s="406" t="inlineStr">
        <is>
          <t>Modify Alarm Settings</t>
        </is>
      </c>
      <c r="D141" s="406" t="inlineStr">
        <is>
          <t>S5</t>
        </is>
      </c>
      <c r="E141" s="406" t="inlineStr">
        <is>
          <t>Yes</t>
        </is>
      </c>
      <c r="F141" s="406" t="inlineStr">
        <is>
          <t>Scenario-relevant TTP retained for this external actor archetype.</t>
        </is>
      </c>
    </row>
    <row r="142" ht="15" customHeight="1" s="508">
      <c r="A142" s="406" t="inlineStr">
        <is>
          <t>Cybercriminal</t>
        </is>
      </c>
      <c r="B142" s="406" t="inlineStr">
        <is>
          <t>T0840</t>
        </is>
      </c>
      <c r="C142" s="406" t="inlineStr">
        <is>
          <t>Network Connection Enumeration</t>
        </is>
      </c>
      <c r="D142" s="406" t="inlineStr">
        <is>
          <t>S4</t>
        </is>
      </c>
      <c r="E142" s="406" t="inlineStr">
        <is>
          <t>Yes</t>
        </is>
      </c>
      <c r="F142" s="406" t="inlineStr">
        <is>
          <t>Scenario-relevant TTP retained for this external actor archetype.</t>
        </is>
      </c>
    </row>
    <row r="143" ht="15" customHeight="1" s="508">
      <c r="A143" s="406" t="inlineStr">
        <is>
          <t>Cybercriminal</t>
        </is>
      </c>
      <c r="B143" s="406" t="inlineStr">
        <is>
          <t>T0842</t>
        </is>
      </c>
      <c r="C143" s="406" t="inlineStr">
        <is>
          <t>Network Sniffing</t>
        </is>
      </c>
      <c r="D143" s="406" t="inlineStr">
        <is>
          <t>S4</t>
        </is>
      </c>
      <c r="E143" s="406" t="inlineStr">
        <is>
          <t>Yes</t>
        </is>
      </c>
      <c r="F143" s="406" t="inlineStr">
        <is>
          <t>Scenario-relevant TTP retained for this external actor archetype.</t>
        </is>
      </c>
    </row>
    <row r="144" ht="15" customHeight="1" s="508">
      <c r="A144" s="406" t="inlineStr">
        <is>
          <t>Cybercriminal</t>
        </is>
      </c>
      <c r="B144" s="406" t="inlineStr">
        <is>
          <t>T0843</t>
        </is>
      </c>
      <c r="C144" s="406" t="inlineStr">
        <is>
          <t>Program Download</t>
        </is>
      </c>
      <c r="D144" s="406" t="inlineStr">
        <is>
          <t>S3</t>
        </is>
      </c>
      <c r="E144" s="406" t="inlineStr">
        <is>
          <t>Yes</t>
        </is>
      </c>
      <c r="F144" s="406" t="inlineStr">
        <is>
          <t>Scenario-relevant TTP retained for this external actor archetype.</t>
        </is>
      </c>
    </row>
    <row r="145" ht="15" customHeight="1" s="508">
      <c r="A145" s="406" t="inlineStr">
        <is>
          <t>Cybercriminal</t>
        </is>
      </c>
      <c r="B145" s="406" t="inlineStr">
        <is>
          <t>T0843.001</t>
        </is>
      </c>
      <c r="C145" s="406" t="inlineStr">
        <is>
          <t>Download All</t>
        </is>
      </c>
      <c r="D145" s="406" t="inlineStr">
        <is>
          <t>S3</t>
        </is>
      </c>
      <c r="E145" s="406" t="inlineStr">
        <is>
          <t>Yes</t>
        </is>
      </c>
      <c r="F145" s="406" t="inlineStr">
        <is>
          <t>Scenario-relevant TTP retained for this external actor archetype.</t>
        </is>
      </c>
    </row>
    <row r="146" ht="15" customHeight="1" s="508">
      <c r="A146" s="406" t="inlineStr">
        <is>
          <t>Cybercriminal</t>
        </is>
      </c>
      <c r="B146" s="406" t="inlineStr">
        <is>
          <t>T0843.002</t>
        </is>
      </c>
      <c r="C146" s="406" t="inlineStr">
        <is>
          <t>Online Edit</t>
        </is>
      </c>
      <c r="D146" s="406" t="inlineStr">
        <is>
          <t>S3</t>
        </is>
      </c>
      <c r="E146" s="406" t="inlineStr">
        <is>
          <t>Yes</t>
        </is>
      </c>
      <c r="F146" s="406" t="inlineStr">
        <is>
          <t>Scenario-relevant TTP retained for this external actor archetype.</t>
        </is>
      </c>
    </row>
    <row r="147" ht="15" customHeight="1" s="508">
      <c r="A147" s="406" t="inlineStr">
        <is>
          <t>Cybercriminal</t>
        </is>
      </c>
      <c r="B147" s="406" t="inlineStr">
        <is>
          <t>T0843.003</t>
        </is>
      </c>
      <c r="C147" s="406" t="inlineStr">
        <is>
          <t>Program Append</t>
        </is>
      </c>
      <c r="D147" s="406" t="inlineStr">
        <is>
          <t>S3</t>
        </is>
      </c>
      <c r="E147" s="406" t="inlineStr">
        <is>
          <t>Yes</t>
        </is>
      </c>
      <c r="F147" s="406" t="inlineStr">
        <is>
          <t>Scenario-relevant TTP retained for this external actor archetype.</t>
        </is>
      </c>
    </row>
    <row r="148" ht="15" customHeight="1" s="508">
      <c r="A148" s="406" t="inlineStr">
        <is>
          <t>Cybercriminal</t>
        </is>
      </c>
      <c r="B148" s="406" t="inlineStr">
        <is>
          <t>T0845</t>
        </is>
      </c>
      <c r="C148" s="406" t="inlineStr">
        <is>
          <t>Program Upload</t>
        </is>
      </c>
      <c r="D148" s="406" t="inlineStr">
        <is>
          <t>S4</t>
        </is>
      </c>
      <c r="E148" s="406" t="inlineStr">
        <is>
          <t>Yes</t>
        </is>
      </c>
      <c r="F148" s="406" t="inlineStr">
        <is>
          <t>Scenario-relevant TTP retained for this external actor archetype.</t>
        </is>
      </c>
    </row>
    <row r="149" ht="15" customHeight="1" s="508">
      <c r="A149" s="406" t="inlineStr">
        <is>
          <t>Cybercriminal</t>
        </is>
      </c>
      <c r="B149" s="406" t="inlineStr">
        <is>
          <t>T0846</t>
        </is>
      </c>
      <c r="C149" s="406" t="inlineStr">
        <is>
          <t>Remote System Discovery</t>
        </is>
      </c>
      <c r="D149" s="406" t="inlineStr">
        <is>
          <t>S4</t>
        </is>
      </c>
      <c r="E149" s="406" t="inlineStr">
        <is>
          <t>Yes</t>
        </is>
      </c>
      <c r="F149" s="406" t="inlineStr">
        <is>
          <t>Scenario-relevant TTP retained for this external actor archetype.</t>
        </is>
      </c>
    </row>
    <row r="150" ht="15" customHeight="1" s="508">
      <c r="A150" s="406" t="inlineStr">
        <is>
          <t>Cybercriminal</t>
        </is>
      </c>
      <c r="B150" s="406" t="inlineStr">
        <is>
          <t>T0846.001</t>
        </is>
      </c>
      <c r="C150" s="406" t="inlineStr">
        <is>
          <t>Port Scan</t>
        </is>
      </c>
      <c r="D150" s="406" t="inlineStr">
        <is>
          <t>S4</t>
        </is>
      </c>
      <c r="E150" s="406" t="inlineStr">
        <is>
          <t>Yes</t>
        </is>
      </c>
      <c r="F150" s="406" t="inlineStr">
        <is>
          <t>Scenario-relevant TTP retained for this external actor archetype.</t>
        </is>
      </c>
    </row>
    <row r="151" ht="15" customHeight="1" s="508">
      <c r="A151" s="406" t="inlineStr">
        <is>
          <t>Cybercriminal</t>
        </is>
      </c>
      <c r="B151" s="406" t="inlineStr">
        <is>
          <t>T0846.002</t>
        </is>
      </c>
      <c r="C151" s="406" t="inlineStr">
        <is>
          <t>Broadcast Discovery</t>
        </is>
      </c>
      <c r="D151" s="406" t="inlineStr">
        <is>
          <t>S4</t>
        </is>
      </c>
      <c r="E151" s="406" t="inlineStr">
        <is>
          <t>Yes</t>
        </is>
      </c>
      <c r="F151" s="406" t="inlineStr">
        <is>
          <t>Scenario-relevant TTP retained for this external actor archetype.</t>
        </is>
      </c>
    </row>
    <row r="152" ht="15" customHeight="1" s="508">
      <c r="A152" s="406" t="inlineStr">
        <is>
          <t>Cybercriminal</t>
        </is>
      </c>
      <c r="B152" s="406" t="inlineStr">
        <is>
          <t>T0846.003</t>
        </is>
      </c>
      <c r="C152" s="406" t="inlineStr">
        <is>
          <t>Multicast Discovery</t>
        </is>
      </c>
      <c r="D152" s="406" t="inlineStr">
        <is>
          <t>S4</t>
        </is>
      </c>
      <c r="E152" s="406" t="inlineStr">
        <is>
          <t>Yes</t>
        </is>
      </c>
      <c r="F152" s="406" t="inlineStr">
        <is>
          <t>Scenario-relevant TTP retained for this external actor archetype.</t>
        </is>
      </c>
    </row>
    <row r="153" ht="15" customHeight="1" s="508">
      <c r="A153" s="406" t="inlineStr">
        <is>
          <t>Cybercriminal</t>
        </is>
      </c>
      <c r="B153" s="406" t="inlineStr">
        <is>
          <t>T0847</t>
        </is>
      </c>
      <c r="C153" s="406" t="inlineStr">
        <is>
          <t>Replication Through Removable Media</t>
        </is>
      </c>
      <c r="D153" s="406" t="inlineStr">
        <is>
          <t>S1</t>
        </is>
      </c>
      <c r="E153" s="406" t="inlineStr">
        <is>
          <t>Yes</t>
        </is>
      </c>
      <c r="F153" s="406" t="inlineStr">
        <is>
          <t>Scenario-relevant TTP retained for this external actor archetype.</t>
        </is>
      </c>
    </row>
    <row r="154" ht="15" customHeight="1" s="508">
      <c r="A154" s="406" t="inlineStr">
        <is>
          <t>Cybercriminal</t>
        </is>
      </c>
      <c r="B154" s="406" t="inlineStr">
        <is>
          <t>T0848</t>
        </is>
      </c>
      <c r="C154" s="406" t="inlineStr">
        <is>
          <t>Rogue Master</t>
        </is>
      </c>
      <c r="D154" s="406" t="inlineStr">
        <is>
          <t>S1</t>
        </is>
      </c>
      <c r="E154" s="406" t="inlineStr">
        <is>
          <t>Yes</t>
        </is>
      </c>
      <c r="F154" s="406" t="inlineStr">
        <is>
          <t>Scenario-relevant TTP retained for this external actor archetype.</t>
        </is>
      </c>
    </row>
    <row r="155" ht="15" customHeight="1" s="508">
      <c r="A155" s="406" t="inlineStr">
        <is>
          <t>Cybercriminal</t>
        </is>
      </c>
      <c r="B155" s="406" t="inlineStr">
        <is>
          <t>T0849</t>
        </is>
      </c>
      <c r="C155" s="406" t="inlineStr">
        <is>
          <t>Masquerading</t>
        </is>
      </c>
      <c r="D155" s="406" t="inlineStr">
        <is>
          <t>S2</t>
        </is>
      </c>
      <c r="E155" s="406" t="inlineStr">
        <is>
          <t>Yes</t>
        </is>
      </c>
      <c r="F155" s="406" t="inlineStr">
        <is>
          <t>Scenario-relevant TTP retained for this external actor archetype.</t>
        </is>
      </c>
    </row>
    <row r="156" ht="15" customHeight="1" s="508">
      <c r="A156" s="406" t="inlineStr">
        <is>
          <t>Cybercriminal</t>
        </is>
      </c>
      <c r="B156" s="406" t="inlineStr">
        <is>
          <t>T0851</t>
        </is>
      </c>
      <c r="C156" s="406" t="inlineStr">
        <is>
          <t>Rootkit</t>
        </is>
      </c>
      <c r="D156" s="406" t="inlineStr">
        <is>
          <t>S5</t>
        </is>
      </c>
      <c r="E156" s="406" t="inlineStr">
        <is>
          <t>Yes</t>
        </is>
      </c>
      <c r="F156" s="406" t="inlineStr">
        <is>
          <t>Scenario-relevant TTP retained for this external actor archetype.</t>
        </is>
      </c>
    </row>
    <row r="157" ht="15" customHeight="1" s="508">
      <c r="A157" s="406" t="inlineStr">
        <is>
          <t>Cybercriminal</t>
        </is>
      </c>
      <c r="B157" s="406" t="inlineStr">
        <is>
          <t>T0852</t>
        </is>
      </c>
      <c r="C157" s="406" t="inlineStr">
        <is>
          <t>Screen Capture</t>
        </is>
      </c>
      <c r="D157" s="406" t="inlineStr">
        <is>
          <t>S4</t>
        </is>
      </c>
      <c r="E157" s="406" t="inlineStr">
        <is>
          <t>Yes</t>
        </is>
      </c>
      <c r="F157" s="406" t="inlineStr">
        <is>
          <t>Scenario-relevant TTP retained for this external actor archetype.</t>
        </is>
      </c>
    </row>
    <row r="158" ht="15" customHeight="1" s="508">
      <c r="A158" s="406" t="inlineStr">
        <is>
          <t>Cybercriminal</t>
        </is>
      </c>
      <c r="B158" s="406" t="inlineStr">
        <is>
          <t>T0853</t>
        </is>
      </c>
      <c r="C158" s="406" t="inlineStr">
        <is>
          <t>Scripting</t>
        </is>
      </c>
      <c r="D158" s="406" t="inlineStr">
        <is>
          <t>S2</t>
        </is>
      </c>
      <c r="E158" s="406" t="inlineStr">
        <is>
          <t>Yes</t>
        </is>
      </c>
      <c r="F158" s="406" t="inlineStr">
        <is>
          <t>Scenario-relevant TTP retained for this external actor archetype.</t>
        </is>
      </c>
    </row>
    <row r="159" ht="15" customHeight="1" s="508">
      <c r="A159" s="406" t="inlineStr">
        <is>
          <t>Cybercriminal</t>
        </is>
      </c>
      <c r="B159" s="406" t="inlineStr">
        <is>
          <t>T0858</t>
        </is>
      </c>
      <c r="C159" s="406" t="inlineStr">
        <is>
          <t>Change Operating Mode</t>
        </is>
      </c>
      <c r="D159" s="406" t="inlineStr">
        <is>
          <t>S2</t>
        </is>
      </c>
      <c r="E159" s="406" t="inlineStr">
        <is>
          <t>Yes</t>
        </is>
      </c>
      <c r="F159" s="406" t="inlineStr">
        <is>
          <t>Scenario-relevant TTP retained for this external actor archetype.</t>
        </is>
      </c>
    </row>
    <row r="160" ht="15" customHeight="1" s="508">
      <c r="A160" s="406" t="inlineStr">
        <is>
          <t>Cybercriminal</t>
        </is>
      </c>
      <c r="B160" s="406" t="inlineStr">
        <is>
          <t>T0859</t>
        </is>
      </c>
      <c r="C160" s="406" t="inlineStr">
        <is>
          <t>Valid Accounts</t>
        </is>
      </c>
      <c r="D160" s="406" t="inlineStr">
        <is>
          <t>S3</t>
        </is>
      </c>
      <c r="E160" s="406" t="inlineStr">
        <is>
          <t>Yes</t>
        </is>
      </c>
      <c r="F160" s="406" t="inlineStr">
        <is>
          <t>Scenario-relevant TTP retained for this external actor archetype.</t>
        </is>
      </c>
    </row>
    <row r="161" ht="15" customHeight="1" s="508">
      <c r="A161" s="406" t="inlineStr">
        <is>
          <t>Cybercriminal</t>
        </is>
      </c>
      <c r="B161" s="406" t="inlineStr">
        <is>
          <t>T0860</t>
        </is>
      </c>
      <c r="C161" s="406" t="inlineStr">
        <is>
          <t>Wireless Compromise</t>
        </is>
      </c>
      <c r="D161" s="406" t="inlineStr">
        <is>
          <t>S1</t>
        </is>
      </c>
      <c r="E161" s="406" t="inlineStr">
        <is>
          <t>Yes</t>
        </is>
      </c>
      <c r="F161" s="406" t="inlineStr">
        <is>
          <t>Scenario-relevant TTP retained for this external actor archetype.</t>
        </is>
      </c>
    </row>
    <row r="162" ht="15" customHeight="1" s="508">
      <c r="A162" s="406" t="inlineStr">
        <is>
          <t>Cybercriminal</t>
        </is>
      </c>
      <c r="B162" s="406" t="inlineStr">
        <is>
          <t>T0861</t>
        </is>
      </c>
      <c r="C162" s="406" t="inlineStr">
        <is>
          <t>Point &amp; Tag Identification</t>
        </is>
      </c>
      <c r="D162" s="406" t="inlineStr">
        <is>
          <t>S4</t>
        </is>
      </c>
      <c r="E162" s="406" t="inlineStr">
        <is>
          <t>Yes</t>
        </is>
      </c>
      <c r="F162" s="406" t="inlineStr">
        <is>
          <t>Scenario-relevant TTP retained for this external actor archetype.</t>
        </is>
      </c>
    </row>
    <row r="163" ht="15" customHeight="1" s="508">
      <c r="A163" s="406" t="inlineStr">
        <is>
          <t>Cybercriminal</t>
        </is>
      </c>
      <c r="B163" s="406" t="inlineStr">
        <is>
          <t>T0862</t>
        </is>
      </c>
      <c r="C163" s="406" t="inlineStr">
        <is>
          <t>Supply Chain Compromise</t>
        </is>
      </c>
      <c r="D163" s="406" t="inlineStr">
        <is>
          <t>S1</t>
        </is>
      </c>
      <c r="E163" s="406" t="inlineStr">
        <is>
          <t>Yes</t>
        </is>
      </c>
      <c r="F163" s="406" t="inlineStr">
        <is>
          <t>Scenario-relevant TTP retained for this external actor archetype.</t>
        </is>
      </c>
    </row>
    <row r="164" ht="15" customHeight="1" s="508">
      <c r="A164" s="406" t="inlineStr">
        <is>
          <t>Cybercriminal</t>
        </is>
      </c>
      <c r="B164" s="406" t="inlineStr">
        <is>
          <t>T0863</t>
        </is>
      </c>
      <c r="C164" s="406" t="inlineStr">
        <is>
          <t>User Execution</t>
        </is>
      </c>
      <c r="D164" s="406" t="inlineStr">
        <is>
          <t>S2</t>
        </is>
      </c>
      <c r="E164" s="406" t="inlineStr">
        <is>
          <t>Yes</t>
        </is>
      </c>
      <c r="F164" s="406" t="inlineStr">
        <is>
          <t>Scenario-relevant TTP retained for this external actor archetype.</t>
        </is>
      </c>
    </row>
    <row r="165" ht="15" customHeight="1" s="508">
      <c r="A165" s="406" t="inlineStr">
        <is>
          <t>Cybercriminal</t>
        </is>
      </c>
      <c r="B165" s="406" t="inlineStr">
        <is>
          <t>T0864</t>
        </is>
      </c>
      <c r="C165" s="406" t="inlineStr">
        <is>
          <t>Transient Cyber Asset</t>
        </is>
      </c>
      <c r="D165" s="406" t="inlineStr">
        <is>
          <t>S1</t>
        </is>
      </c>
      <c r="E165" s="406" t="inlineStr">
        <is>
          <t>Yes</t>
        </is>
      </c>
      <c r="F165" s="406" t="inlineStr">
        <is>
          <t>Scenario-relevant TTP retained for this external actor archetype.</t>
        </is>
      </c>
    </row>
    <row r="166" ht="15" customHeight="1" s="508">
      <c r="A166" s="406" t="inlineStr">
        <is>
          <t>Cybercriminal</t>
        </is>
      </c>
      <c r="B166" s="406" t="inlineStr">
        <is>
          <t>T0865</t>
        </is>
      </c>
      <c r="C166" s="406" t="inlineStr">
        <is>
          <t>Spearphishing Attachment</t>
        </is>
      </c>
      <c r="D166" s="406" t="inlineStr">
        <is>
          <t>S1</t>
        </is>
      </c>
      <c r="E166" s="406" t="inlineStr">
        <is>
          <t>Yes</t>
        </is>
      </c>
      <c r="F166" s="406" t="inlineStr">
        <is>
          <t>Scenario-relevant TTP retained for this external actor archetype.</t>
        </is>
      </c>
    </row>
    <row r="167" ht="15" customHeight="1" s="508">
      <c r="A167" s="406" t="inlineStr">
        <is>
          <t>Cybercriminal</t>
        </is>
      </c>
      <c r="B167" s="406" t="inlineStr">
        <is>
          <t>T0866</t>
        </is>
      </c>
      <c r="C167" s="406" t="inlineStr">
        <is>
          <t>Exploitation of Remote Services</t>
        </is>
      </c>
      <c r="D167" s="406" t="inlineStr">
        <is>
          <t>S1</t>
        </is>
      </c>
      <c r="E167" s="406" t="inlineStr">
        <is>
          <t>Yes</t>
        </is>
      </c>
      <c r="F167" s="406" t="inlineStr">
        <is>
          <t>Scenario-relevant TTP retained for this external actor archetype.</t>
        </is>
      </c>
    </row>
    <row r="168" ht="15" customHeight="1" s="508">
      <c r="A168" s="406" t="inlineStr">
        <is>
          <t>Cybercriminal</t>
        </is>
      </c>
      <c r="B168" s="406" t="inlineStr">
        <is>
          <t>T0867</t>
        </is>
      </c>
      <c r="C168" s="406" t="inlineStr">
        <is>
          <t>Lateral Tool Transfer</t>
        </is>
      </c>
      <c r="D168" s="406" t="inlineStr">
        <is>
          <t>S3</t>
        </is>
      </c>
      <c r="E168" s="406" t="inlineStr">
        <is>
          <t>Yes</t>
        </is>
      </c>
      <c r="F168" s="406" t="inlineStr">
        <is>
          <t>Scenario-relevant TTP retained for this external actor archetype.</t>
        </is>
      </c>
    </row>
    <row r="169" ht="15" customHeight="1" s="508">
      <c r="A169" s="406" t="inlineStr">
        <is>
          <t>Cybercriminal</t>
        </is>
      </c>
      <c r="B169" s="406" t="inlineStr">
        <is>
          <t>T0868</t>
        </is>
      </c>
      <c r="C169" s="406" t="inlineStr">
        <is>
          <t>Detect Operating Mode</t>
        </is>
      </c>
      <c r="D169" s="406" t="inlineStr">
        <is>
          <t>S4</t>
        </is>
      </c>
      <c r="E169" s="406" t="inlineStr">
        <is>
          <t>Yes</t>
        </is>
      </c>
      <c r="F169" s="406" t="inlineStr">
        <is>
          <t>Scenario-relevant TTP retained for this external actor archetype.</t>
        </is>
      </c>
    </row>
    <row r="170" ht="15" customHeight="1" s="508">
      <c r="A170" s="406" t="inlineStr">
        <is>
          <t>Cybercriminal</t>
        </is>
      </c>
      <c r="B170" s="406" t="inlineStr">
        <is>
          <t>T0869</t>
        </is>
      </c>
      <c r="C170" s="406" t="inlineStr">
        <is>
          <t>Standard Application Layer Protocol</t>
        </is>
      </c>
      <c r="D170" s="406" t="inlineStr">
        <is>
          <t>S3</t>
        </is>
      </c>
      <c r="E170" s="406" t="inlineStr">
        <is>
          <t>Yes</t>
        </is>
      </c>
      <c r="F170" s="406" t="inlineStr">
        <is>
          <t>Scenario-relevant TTP retained for this external actor archetype.</t>
        </is>
      </c>
    </row>
    <row r="171" ht="15" customHeight="1" s="508">
      <c r="A171" s="406" t="inlineStr">
        <is>
          <t>Cybercriminal</t>
        </is>
      </c>
      <c r="B171" s="406" t="inlineStr">
        <is>
          <t>T0871</t>
        </is>
      </c>
      <c r="C171" s="406" t="inlineStr">
        <is>
          <t>Execution through API</t>
        </is>
      </c>
      <c r="D171" s="406" t="inlineStr">
        <is>
          <t>S2</t>
        </is>
      </c>
      <c r="E171" s="406" t="inlineStr">
        <is>
          <t>Yes</t>
        </is>
      </c>
      <c r="F171" s="406" t="inlineStr">
        <is>
          <t>Scenario-relevant TTP retained for this external actor archetype.</t>
        </is>
      </c>
    </row>
    <row r="172" ht="15" customHeight="1" s="508">
      <c r="A172" s="406" t="inlineStr">
        <is>
          <t>Cybercriminal</t>
        </is>
      </c>
      <c r="B172" s="406" t="inlineStr">
        <is>
          <t>T0872</t>
        </is>
      </c>
      <c r="C172" s="406" t="inlineStr">
        <is>
          <t>Indicator Removal on Host</t>
        </is>
      </c>
      <c r="D172" s="406" t="inlineStr">
        <is>
          <t>S2</t>
        </is>
      </c>
      <c r="E172" s="406" t="inlineStr">
        <is>
          <t>Yes</t>
        </is>
      </c>
      <c r="F172" s="406" t="inlineStr">
        <is>
          <t>Scenario-relevant TTP retained for this external actor archetype.</t>
        </is>
      </c>
    </row>
    <row r="173" ht="15" customHeight="1" s="508">
      <c r="A173" s="406" t="inlineStr">
        <is>
          <t>Cybercriminal</t>
        </is>
      </c>
      <c r="B173" s="406" t="inlineStr">
        <is>
          <t>T0873</t>
        </is>
      </c>
      <c r="C173" s="406" t="inlineStr">
        <is>
          <t>Project File Infection</t>
        </is>
      </c>
      <c r="D173" s="406" t="inlineStr">
        <is>
          <t>S2</t>
        </is>
      </c>
      <c r="E173" s="406" t="inlineStr">
        <is>
          <t>Yes</t>
        </is>
      </c>
      <c r="F173" s="406" t="inlineStr">
        <is>
          <t>Scenario-relevant TTP retained for this external actor archetype.</t>
        </is>
      </c>
    </row>
    <row r="174" ht="15" customHeight="1" s="508">
      <c r="A174" s="406" t="inlineStr">
        <is>
          <t>Cybercriminal</t>
        </is>
      </c>
      <c r="B174" s="406" t="inlineStr">
        <is>
          <t>T0873.001</t>
        </is>
      </c>
      <c r="C174" s="406" t="inlineStr">
        <is>
          <t>Siemens Project File Format</t>
        </is>
      </c>
      <c r="D174" s="406" t="inlineStr">
        <is>
          <t>S2</t>
        </is>
      </c>
      <c r="E174" s="406" t="inlineStr">
        <is>
          <t>Yes</t>
        </is>
      </c>
      <c r="F174" s="406" t="inlineStr">
        <is>
          <t>Scenario-relevant TTP retained for this external actor archetype.</t>
        </is>
      </c>
    </row>
    <row r="175" ht="15" customHeight="1" s="508">
      <c r="A175" s="406" t="inlineStr">
        <is>
          <t>Cybercriminal</t>
        </is>
      </c>
      <c r="B175" s="406" t="inlineStr">
        <is>
          <t>T0874</t>
        </is>
      </c>
      <c r="C175" s="406" t="inlineStr">
        <is>
          <t>Hooking</t>
        </is>
      </c>
      <c r="D175" s="406" t="inlineStr">
        <is>
          <t>S2</t>
        </is>
      </c>
      <c r="E175" s="406" t="inlineStr">
        <is>
          <t>Yes</t>
        </is>
      </c>
      <c r="F175" s="406" t="inlineStr">
        <is>
          <t>Scenario-relevant TTP retained for this external actor archetype.</t>
        </is>
      </c>
    </row>
    <row r="176" ht="15" customHeight="1" s="508">
      <c r="A176" s="406" t="inlineStr">
        <is>
          <t>Cybercriminal</t>
        </is>
      </c>
      <c r="B176" s="406" t="inlineStr">
        <is>
          <t>T0877</t>
        </is>
      </c>
      <c r="C176" s="406" t="inlineStr">
        <is>
          <t>I/O Image</t>
        </is>
      </c>
      <c r="D176" s="406" t="inlineStr">
        <is>
          <t>S4</t>
        </is>
      </c>
      <c r="E176" s="406" t="inlineStr">
        <is>
          <t>Yes</t>
        </is>
      </c>
      <c r="F176" s="406" t="inlineStr">
        <is>
          <t>Scenario-relevant TTP retained for this external actor archetype.</t>
        </is>
      </c>
    </row>
    <row r="177" ht="15" customHeight="1" s="508">
      <c r="A177" s="406" t="inlineStr">
        <is>
          <t>Cybercriminal</t>
        </is>
      </c>
      <c r="B177" s="406" t="inlineStr">
        <is>
          <t>T0878</t>
        </is>
      </c>
      <c r="C177" s="406" t="inlineStr">
        <is>
          <t>Alarm Suppression</t>
        </is>
      </c>
      <c r="D177" s="406" t="inlineStr">
        <is>
          <t>S5</t>
        </is>
      </c>
      <c r="E177" s="406" t="inlineStr">
        <is>
          <t>Yes</t>
        </is>
      </c>
      <c r="F177" s="406" t="inlineStr">
        <is>
          <t>Scenario-relevant TTP retained for this external actor archetype.</t>
        </is>
      </c>
    </row>
    <row r="178" ht="15" customHeight="1" s="508">
      <c r="A178" s="406" t="inlineStr">
        <is>
          <t>Cybercriminal</t>
        </is>
      </c>
      <c r="B178" s="406" t="inlineStr">
        <is>
          <t>T0879</t>
        </is>
      </c>
      <c r="C178" s="406" t="inlineStr">
        <is>
          <t>Damage to Property</t>
        </is>
      </c>
      <c r="D178" s="406" t="inlineStr">
        <is>
          <t>S5</t>
        </is>
      </c>
      <c r="E178" s="406" t="inlineStr">
        <is>
          <t>Yes</t>
        </is>
      </c>
      <c r="F178" s="406" t="inlineStr">
        <is>
          <t>Scenario-relevant TTP retained for this external actor archetype.</t>
        </is>
      </c>
    </row>
    <row r="179" ht="15" customHeight="1" s="508">
      <c r="A179" s="406" t="inlineStr">
        <is>
          <t>Cybercriminal</t>
        </is>
      </c>
      <c r="B179" s="406" t="inlineStr">
        <is>
          <t>T0880</t>
        </is>
      </c>
      <c r="C179" s="406" t="inlineStr">
        <is>
          <t>Loss of Safety</t>
        </is>
      </c>
      <c r="D179" s="406" t="inlineStr">
        <is>
          <t>S5</t>
        </is>
      </c>
      <c r="E179" s="406" t="inlineStr">
        <is>
          <t>Yes</t>
        </is>
      </c>
      <c r="F179" s="406" t="inlineStr">
        <is>
          <t>Scenario-relevant TTP retained for this external actor archetype.</t>
        </is>
      </c>
    </row>
    <row r="180" ht="15" customHeight="1" s="508">
      <c r="A180" s="406" t="inlineStr">
        <is>
          <t>Cybercriminal</t>
        </is>
      </c>
      <c r="B180" s="406" t="inlineStr">
        <is>
          <t>T0881</t>
        </is>
      </c>
      <c r="C180" s="406" t="inlineStr">
        <is>
          <t>Service Stop</t>
        </is>
      </c>
      <c r="D180" s="406" t="inlineStr">
        <is>
          <t>S5</t>
        </is>
      </c>
      <c r="E180" s="406" t="inlineStr">
        <is>
          <t>Yes</t>
        </is>
      </c>
      <c r="F180" s="406" t="inlineStr">
        <is>
          <t>Scenario-relevant TTP retained for this external actor archetype.</t>
        </is>
      </c>
    </row>
    <row r="181" ht="15" customHeight="1" s="508">
      <c r="A181" s="406" t="inlineStr">
        <is>
          <t>Cybercriminal</t>
        </is>
      </c>
      <c r="B181" s="406" t="inlineStr">
        <is>
          <t>T0882</t>
        </is>
      </c>
      <c r="C181" s="406" t="inlineStr">
        <is>
          <t>Theft of Operational Information</t>
        </is>
      </c>
      <c r="D181" s="406" t="inlineStr">
        <is>
          <t>S5</t>
        </is>
      </c>
      <c r="E181" s="406" t="inlineStr">
        <is>
          <t>Yes</t>
        </is>
      </c>
      <c r="F181" s="406" t="inlineStr">
        <is>
          <t>Scenario-relevant TTP retained for this external actor archetype.</t>
        </is>
      </c>
    </row>
    <row r="182" ht="15" customHeight="1" s="508">
      <c r="A182" s="406" t="inlineStr">
        <is>
          <t>Cybercriminal</t>
        </is>
      </c>
      <c r="B182" s="406" t="inlineStr">
        <is>
          <t>T0883</t>
        </is>
      </c>
      <c r="C182" s="406" t="inlineStr">
        <is>
          <t>Internet Accessible Device</t>
        </is>
      </c>
      <c r="D182" s="406" t="inlineStr">
        <is>
          <t>S1</t>
        </is>
      </c>
      <c r="E182" s="406" t="inlineStr">
        <is>
          <t>Yes</t>
        </is>
      </c>
      <c r="F182" s="406" t="inlineStr">
        <is>
          <t>Scenario-relevant TTP retained for this external actor archetype.</t>
        </is>
      </c>
    </row>
    <row r="183" ht="15" customHeight="1" s="508">
      <c r="A183" s="406" t="inlineStr">
        <is>
          <t>Cybercriminal</t>
        </is>
      </c>
      <c r="B183" s="406" t="inlineStr">
        <is>
          <t>T0884</t>
        </is>
      </c>
      <c r="C183" s="406" t="inlineStr">
        <is>
          <t>Connection Proxy</t>
        </is>
      </c>
      <c r="D183" s="406" t="inlineStr">
        <is>
          <t>S3</t>
        </is>
      </c>
      <c r="E183" s="406" t="inlineStr">
        <is>
          <t>Yes</t>
        </is>
      </c>
      <c r="F183" s="406" t="inlineStr">
        <is>
          <t>Scenario-relevant TTP retained for this external actor archetype.</t>
        </is>
      </c>
    </row>
    <row r="184" ht="15" customHeight="1" s="508">
      <c r="A184" s="406" t="inlineStr">
        <is>
          <t>Cybercriminal</t>
        </is>
      </c>
      <c r="B184" s="406" t="inlineStr">
        <is>
          <t>T0885</t>
        </is>
      </c>
      <c r="C184" s="406" t="inlineStr">
        <is>
          <t>Commonly Used Port</t>
        </is>
      </c>
      <c r="D184" s="406" t="inlineStr">
        <is>
          <t>S3</t>
        </is>
      </c>
      <c r="E184" s="406" t="inlineStr">
        <is>
          <t>Yes</t>
        </is>
      </c>
      <c r="F184" s="406" t="inlineStr">
        <is>
          <t>Scenario-relevant TTP retained for this external actor archetype.</t>
        </is>
      </c>
    </row>
    <row r="185" ht="15" customHeight="1" s="508">
      <c r="A185" s="406" t="inlineStr">
        <is>
          <t>Cybercriminal</t>
        </is>
      </c>
      <c r="B185" s="406" t="inlineStr">
        <is>
          <t>T0886</t>
        </is>
      </c>
      <c r="C185" s="406" t="inlineStr">
        <is>
          <t>Remote Services</t>
        </is>
      </c>
      <c r="D185" s="406" t="inlineStr">
        <is>
          <t>S1</t>
        </is>
      </c>
      <c r="E185" s="406" t="inlineStr">
        <is>
          <t>Yes</t>
        </is>
      </c>
      <c r="F185" s="406" t="inlineStr">
        <is>
          <t>Scenario-relevant TTP retained for this external actor archetype.</t>
        </is>
      </c>
    </row>
    <row r="186" ht="15" customHeight="1" s="508">
      <c r="A186" s="406" t="inlineStr">
        <is>
          <t>Cybercriminal</t>
        </is>
      </c>
      <c r="B186" s="406" t="inlineStr">
        <is>
          <t>T0887</t>
        </is>
      </c>
      <c r="C186" s="406" t="inlineStr">
        <is>
          <t>Wireless Sniffing</t>
        </is>
      </c>
      <c r="D186" s="406" t="inlineStr">
        <is>
          <t>S4</t>
        </is>
      </c>
      <c r="E186" s="406" t="inlineStr">
        <is>
          <t>Yes</t>
        </is>
      </c>
      <c r="F186" s="406" t="inlineStr">
        <is>
          <t>Scenario-relevant TTP retained for this external actor archetype.</t>
        </is>
      </c>
    </row>
    <row r="187" ht="15" customHeight="1" s="508">
      <c r="A187" s="406" t="inlineStr">
        <is>
          <t>Cybercriminal</t>
        </is>
      </c>
      <c r="B187" s="406" t="inlineStr">
        <is>
          <t>T0888</t>
        </is>
      </c>
      <c r="C187" s="406" t="inlineStr">
        <is>
          <t>Remote System Information Discovery</t>
        </is>
      </c>
      <c r="D187" s="406" t="inlineStr">
        <is>
          <t>S4</t>
        </is>
      </c>
      <c r="E187" s="406" t="inlineStr">
        <is>
          <t>Yes</t>
        </is>
      </c>
      <c r="F187" s="406" t="inlineStr">
        <is>
          <t>Scenario-relevant TTP retained for this external actor archetype.</t>
        </is>
      </c>
    </row>
    <row r="188" ht="15" customHeight="1" s="508">
      <c r="A188" s="406" t="inlineStr">
        <is>
          <t>Cybercriminal</t>
        </is>
      </c>
      <c r="B188" s="406" t="inlineStr">
        <is>
          <t>T0889</t>
        </is>
      </c>
      <c r="C188" s="406" t="inlineStr">
        <is>
          <t>Modify Program</t>
        </is>
      </c>
      <c r="D188" s="406" t="inlineStr">
        <is>
          <t>S2</t>
        </is>
      </c>
      <c r="E188" s="406" t="inlineStr">
        <is>
          <t>Yes</t>
        </is>
      </c>
      <c r="F188" s="406" t="inlineStr">
        <is>
          <t>Scenario-relevant TTP retained for this external actor archetype.</t>
        </is>
      </c>
    </row>
    <row r="189" ht="15" customHeight="1" s="508">
      <c r="A189" s="406" t="inlineStr">
        <is>
          <t>Cybercriminal</t>
        </is>
      </c>
      <c r="B189" s="406" t="inlineStr">
        <is>
          <t>T0890</t>
        </is>
      </c>
      <c r="C189" s="406" t="inlineStr">
        <is>
          <t>Exploitation for Privilege Escalation</t>
        </is>
      </c>
      <c r="D189" s="406" t="inlineStr">
        <is>
          <t>S2</t>
        </is>
      </c>
      <c r="E189" s="406" t="inlineStr">
        <is>
          <t>Yes</t>
        </is>
      </c>
      <c r="F189" s="406" t="inlineStr">
        <is>
          <t>Scenario-relevant TTP retained for this external actor archetype.</t>
        </is>
      </c>
    </row>
    <row r="190" ht="15" customHeight="1" s="508">
      <c r="A190" s="406" t="inlineStr">
        <is>
          <t>Cybercriminal</t>
        </is>
      </c>
      <c r="B190" s="406" t="inlineStr">
        <is>
          <t>T0892</t>
        </is>
      </c>
      <c r="C190" s="406" t="inlineStr">
        <is>
          <t>Change Credential</t>
        </is>
      </c>
      <c r="D190" s="406" t="inlineStr">
        <is>
          <t>S5</t>
        </is>
      </c>
      <c r="E190" s="406" t="inlineStr">
        <is>
          <t>Yes</t>
        </is>
      </c>
      <c r="F190" s="406" t="inlineStr">
        <is>
          <t>Scenario-relevant TTP retained for this external actor archetype.</t>
        </is>
      </c>
    </row>
    <row r="191" ht="15" customHeight="1" s="508">
      <c r="A191" s="406" t="inlineStr">
        <is>
          <t>Cybercriminal</t>
        </is>
      </c>
      <c r="B191" s="406" t="inlineStr">
        <is>
          <t>T0893</t>
        </is>
      </c>
      <c r="C191" s="406" t="inlineStr">
        <is>
          <t>Data from Local System</t>
        </is>
      </c>
      <c r="D191" s="406" t="inlineStr">
        <is>
          <t>S4</t>
        </is>
      </c>
      <c r="E191" s="406" t="inlineStr">
        <is>
          <t>Yes</t>
        </is>
      </c>
      <c r="F191" s="406" t="inlineStr">
        <is>
          <t>Scenario-relevant TTP retained for this external actor archetype.</t>
        </is>
      </c>
    </row>
    <row r="192" ht="15" customHeight="1" s="508">
      <c r="A192" s="406" t="inlineStr">
        <is>
          <t>Cybercriminal</t>
        </is>
      </c>
      <c r="B192" s="406" t="inlineStr">
        <is>
          <t>T0894</t>
        </is>
      </c>
      <c r="C192" s="406" t="inlineStr">
        <is>
          <t>System Binary Proxy Execution</t>
        </is>
      </c>
      <c r="D192" s="406" t="inlineStr">
        <is>
          <t>S2</t>
        </is>
      </c>
      <c r="E192" s="406" t="inlineStr">
        <is>
          <t>Yes</t>
        </is>
      </c>
      <c r="F192" s="406" t="inlineStr">
        <is>
          <t>Scenario-relevant TTP retained for this external actor archetype.</t>
        </is>
      </c>
    </row>
    <row r="193" ht="15" customHeight="1" s="508">
      <c r="A193" s="406" t="inlineStr">
        <is>
          <t>Cybercriminal</t>
        </is>
      </c>
      <c r="B193" s="406" t="inlineStr">
        <is>
          <t>T0895</t>
        </is>
      </c>
      <c r="C193" s="406" t="inlineStr">
        <is>
          <t>Autorun Image</t>
        </is>
      </c>
      <c r="D193" s="406" t="inlineStr">
        <is>
          <t>S2</t>
        </is>
      </c>
      <c r="E193" s="406" t="inlineStr">
        <is>
          <t>Yes</t>
        </is>
      </c>
      <c r="F193" s="406" t="inlineStr">
        <is>
          <t>Scenario-relevant TTP retained for this external actor archetype.</t>
        </is>
      </c>
    </row>
    <row r="194" ht="15" customHeight="1" s="508">
      <c r="A194" s="406" t="inlineStr">
        <is>
          <t>Cybercriminal</t>
        </is>
      </c>
      <c r="B194" s="406" t="inlineStr">
        <is>
          <t>T1691</t>
        </is>
      </c>
      <c r="C194" s="406" t="inlineStr">
        <is>
          <t>Block Operational Technology Message</t>
        </is>
      </c>
      <c r="D194" s="406" t="inlineStr">
        <is>
          <t>S5</t>
        </is>
      </c>
      <c r="E194" s="406" t="inlineStr">
        <is>
          <t>Yes</t>
        </is>
      </c>
      <c r="F194" s="406" t="inlineStr">
        <is>
          <t>Scenario-relevant TTP retained for this external actor archetype.</t>
        </is>
      </c>
    </row>
    <row r="195" ht="15" customHeight="1" s="508">
      <c r="A195" s="406" t="inlineStr">
        <is>
          <t>Cybercriminal</t>
        </is>
      </c>
      <c r="B195" s="406" t="inlineStr">
        <is>
          <t>T1691.001</t>
        </is>
      </c>
      <c r="C195" s="406" t="inlineStr">
        <is>
          <t>Command Message</t>
        </is>
      </c>
      <c r="D195" s="406" t="inlineStr">
        <is>
          <t>S5</t>
        </is>
      </c>
      <c r="E195" s="406" t="inlineStr">
        <is>
          <t>Yes</t>
        </is>
      </c>
      <c r="F195" s="406" t="inlineStr">
        <is>
          <t>Scenario-relevant TTP retained for this external actor archetype.</t>
        </is>
      </c>
    </row>
    <row r="196" ht="15" customHeight="1" s="508">
      <c r="A196" s="406" t="inlineStr">
        <is>
          <t>Cybercriminal</t>
        </is>
      </c>
      <c r="B196" s="406" t="inlineStr">
        <is>
          <t>T1691.002</t>
        </is>
      </c>
      <c r="C196" s="406" t="inlineStr">
        <is>
          <t>Reporting Message</t>
        </is>
      </c>
      <c r="D196" s="406" t="inlineStr">
        <is>
          <t>S5</t>
        </is>
      </c>
      <c r="E196" s="406" t="inlineStr">
        <is>
          <t>Yes</t>
        </is>
      </c>
      <c r="F196" s="406" t="inlineStr">
        <is>
          <t>Scenario-relevant TTP retained for this external actor archetype.</t>
        </is>
      </c>
    </row>
    <row r="197" ht="15" customHeight="1" s="508">
      <c r="A197" s="406" t="inlineStr">
        <is>
          <t>Cybercriminal</t>
        </is>
      </c>
      <c r="B197" s="406" t="inlineStr">
        <is>
          <t>T1692</t>
        </is>
      </c>
      <c r="C197" s="406" t="inlineStr">
        <is>
          <t>Unauthorized Message</t>
        </is>
      </c>
      <c r="D197" s="406" t="inlineStr">
        <is>
          <t>S5</t>
        </is>
      </c>
      <c r="E197" s="406" t="inlineStr">
        <is>
          <t>Yes</t>
        </is>
      </c>
      <c r="F197" s="406" t="inlineStr">
        <is>
          <t>Scenario-relevant TTP retained for this external actor archetype.</t>
        </is>
      </c>
    </row>
    <row r="198" ht="15" customHeight="1" s="508">
      <c r="A198" s="406" t="inlineStr">
        <is>
          <t>Cybercriminal</t>
        </is>
      </c>
      <c r="B198" s="406" t="inlineStr">
        <is>
          <t>T1692.001</t>
        </is>
      </c>
      <c r="C198" s="406" t="inlineStr">
        <is>
          <t>Command Message</t>
        </is>
      </c>
      <c r="D198" s="406" t="inlineStr">
        <is>
          <t>S5</t>
        </is>
      </c>
      <c r="E198" s="406" t="inlineStr">
        <is>
          <t>Yes</t>
        </is>
      </c>
      <c r="F198" s="406" t="inlineStr">
        <is>
          <t>Scenario-relevant TTP retained for this external actor archetype.</t>
        </is>
      </c>
    </row>
    <row r="199" ht="15" customHeight="1" s="508">
      <c r="A199" s="406" t="inlineStr">
        <is>
          <t>Cybercriminal</t>
        </is>
      </c>
      <c r="B199" s="406" t="inlineStr">
        <is>
          <t>T1692.002</t>
        </is>
      </c>
      <c r="C199" s="406" t="inlineStr">
        <is>
          <t>Reporting Message</t>
        </is>
      </c>
      <c r="D199" s="406" t="inlineStr">
        <is>
          <t>S5</t>
        </is>
      </c>
      <c r="E199" s="406" t="inlineStr">
        <is>
          <t>Yes</t>
        </is>
      </c>
      <c r="F199" s="406" t="inlineStr">
        <is>
          <t>Scenario-relevant TTP retained for this external actor archetype.</t>
        </is>
      </c>
    </row>
    <row r="200" ht="15" customHeight="1" s="508">
      <c r="A200" s="406" t="inlineStr">
        <is>
          <t>Cybercriminal</t>
        </is>
      </c>
      <c r="B200" s="406" t="inlineStr">
        <is>
          <t>T1693</t>
        </is>
      </c>
      <c r="C200" s="406" t="inlineStr">
        <is>
          <t>Modify Firmware</t>
        </is>
      </c>
      <c r="D200" s="406" t="inlineStr">
        <is>
          <t>S5</t>
        </is>
      </c>
      <c r="E200" s="406" t="inlineStr">
        <is>
          <t>Yes</t>
        </is>
      </c>
      <c r="F200" s="406" t="inlineStr">
        <is>
          <t>Scenario-relevant TTP retained for this external actor archetype.</t>
        </is>
      </c>
    </row>
    <row r="201" ht="15" customHeight="1" s="508">
      <c r="A201" s="406" t="inlineStr">
        <is>
          <t>Cybercriminal</t>
        </is>
      </c>
      <c r="B201" s="406" t="inlineStr">
        <is>
          <t>T1693.001</t>
        </is>
      </c>
      <c r="C201" s="406" t="inlineStr">
        <is>
          <t>System Firmware</t>
        </is>
      </c>
      <c r="D201" s="406" t="inlineStr">
        <is>
          <t>S5</t>
        </is>
      </c>
      <c r="E201" s="406" t="inlineStr">
        <is>
          <t>Yes</t>
        </is>
      </c>
      <c r="F201" s="406" t="inlineStr">
        <is>
          <t>Scenario-relevant TTP retained for this external actor archetype.</t>
        </is>
      </c>
    </row>
    <row r="202" ht="15" customHeight="1" s="508">
      <c r="A202" s="406" t="inlineStr">
        <is>
          <t>Cybercriminal</t>
        </is>
      </c>
      <c r="B202" s="406" t="inlineStr">
        <is>
          <t>T1693.002</t>
        </is>
      </c>
      <c r="C202" s="406" t="inlineStr">
        <is>
          <t>Module Firmware</t>
        </is>
      </c>
      <c r="D202" s="406" t="inlineStr">
        <is>
          <t>S5</t>
        </is>
      </c>
      <c r="E202" s="406" t="inlineStr">
        <is>
          <t>Yes</t>
        </is>
      </c>
      <c r="F202" s="406" t="inlineStr">
        <is>
          <t>Scenario-relevant TTP retained for this external actor archetype.</t>
        </is>
      </c>
    </row>
    <row r="203" ht="15" customHeight="1" s="508">
      <c r="A203" s="406" t="inlineStr">
        <is>
          <t>Cybercriminal</t>
        </is>
      </c>
      <c r="B203" s="406" t="inlineStr">
        <is>
          <t>T1694</t>
        </is>
      </c>
      <c r="C203" s="406" t="inlineStr">
        <is>
          <t>Insecure Credentials</t>
        </is>
      </c>
      <c r="D203" s="406" t="inlineStr">
        <is>
          <t>S3</t>
        </is>
      </c>
      <c r="E203" s="406" t="inlineStr">
        <is>
          <t>Yes</t>
        </is>
      </c>
      <c r="F203" s="406" t="inlineStr">
        <is>
          <t>Scenario-relevant TTP retained for this external actor archetype.</t>
        </is>
      </c>
    </row>
    <row r="204" ht="15" customHeight="1" s="508">
      <c r="A204" s="406" t="inlineStr">
        <is>
          <t>Cybercriminal</t>
        </is>
      </c>
      <c r="B204" s="406" t="inlineStr">
        <is>
          <t>T1694.001</t>
        </is>
      </c>
      <c r="C204" s="406" t="inlineStr">
        <is>
          <t>Default Credentials</t>
        </is>
      </c>
      <c r="D204" s="406" t="inlineStr">
        <is>
          <t>S3</t>
        </is>
      </c>
      <c r="E204" s="406" t="inlineStr">
        <is>
          <t>Yes</t>
        </is>
      </c>
      <c r="F204" s="406" t="inlineStr">
        <is>
          <t>Scenario-relevant TTP retained for this external actor archetype.</t>
        </is>
      </c>
    </row>
    <row r="205" ht="15" customHeight="1" s="508">
      <c r="A205" s="406" t="inlineStr">
        <is>
          <t>Cybercriminal</t>
        </is>
      </c>
      <c r="B205" s="406" t="inlineStr">
        <is>
          <t>T1694.002</t>
        </is>
      </c>
      <c r="C205" s="406" t="inlineStr">
        <is>
          <t>Hardcoded Credentials</t>
        </is>
      </c>
      <c r="D205" s="406" t="inlineStr">
        <is>
          <t>S3</t>
        </is>
      </c>
      <c r="E205" s="406" t="inlineStr">
        <is>
          <t>Yes</t>
        </is>
      </c>
      <c r="F205" s="406" t="inlineStr">
        <is>
          <t>Scenario-relevant TTP retained for this external actor archetype.</t>
        </is>
      </c>
    </row>
    <row r="206" ht="15" customHeight="1" s="508">
      <c r="A206" s="406" t="inlineStr">
        <is>
          <t>Cybercriminal</t>
        </is>
      </c>
      <c r="B206" s="406" t="inlineStr">
        <is>
          <t>T1695</t>
        </is>
      </c>
      <c r="C206" s="406" t="inlineStr">
        <is>
          <t>Block Communications</t>
        </is>
      </c>
      <c r="D206" s="406" t="inlineStr">
        <is>
          <t>S5</t>
        </is>
      </c>
      <c r="E206" s="406" t="inlineStr">
        <is>
          <t>Yes</t>
        </is>
      </c>
      <c r="F206" s="406" t="inlineStr">
        <is>
          <t>Scenario-relevant TTP retained for this external actor archetype.</t>
        </is>
      </c>
    </row>
    <row r="207" ht="15" customHeight="1" s="508">
      <c r="A207" s="406" t="inlineStr">
        <is>
          <t>Cybercriminal</t>
        </is>
      </c>
      <c r="B207" s="406" t="inlineStr">
        <is>
          <t>T1695.001</t>
        </is>
      </c>
      <c r="C207" s="406" t="inlineStr">
        <is>
          <t>Serial COM</t>
        </is>
      </c>
      <c r="D207" s="406" t="inlineStr">
        <is>
          <t>S5</t>
        </is>
      </c>
      <c r="E207" s="406" t="inlineStr">
        <is>
          <t>Yes</t>
        </is>
      </c>
      <c r="F207" s="406" t="inlineStr">
        <is>
          <t>Scenario-relevant TTP retained for this external actor archetype.</t>
        </is>
      </c>
    </row>
    <row r="208" ht="15" customHeight="1" s="508">
      <c r="A208" s="406" t="inlineStr">
        <is>
          <t>Cybercriminal</t>
        </is>
      </c>
      <c r="B208" s="406" t="inlineStr">
        <is>
          <t>T1695.002</t>
        </is>
      </c>
      <c r="C208" s="406" t="inlineStr">
        <is>
          <t>Ethernet</t>
        </is>
      </c>
      <c r="D208" s="406" t="inlineStr">
        <is>
          <t>S5</t>
        </is>
      </c>
      <c r="E208" s="406" t="inlineStr">
        <is>
          <t>Yes</t>
        </is>
      </c>
      <c r="F208" s="406" t="inlineStr">
        <is>
          <t>Scenario-relevant TTP retained for this external actor archetype.</t>
        </is>
      </c>
    </row>
    <row r="209" ht="15" customHeight="1" s="508">
      <c r="A209" s="406" t="inlineStr">
        <is>
          <t>Cybercriminal</t>
        </is>
      </c>
      <c r="B209" s="406" t="inlineStr">
        <is>
          <t>T1695.003</t>
        </is>
      </c>
      <c r="C209" s="406" t="inlineStr">
        <is>
          <t>Wi-Fi</t>
        </is>
      </c>
      <c r="D209" s="406" t="inlineStr">
        <is>
          <t>S5</t>
        </is>
      </c>
      <c r="E209" s="406" t="inlineStr">
        <is>
          <t>Yes</t>
        </is>
      </c>
      <c r="F209" s="406" t="inlineStr">
        <is>
          <t>Scenario-relevant TTP retained for this external actor archetype.</t>
        </is>
      </c>
    </row>
    <row r="210" ht="15" customHeight="1" s="508">
      <c r="A210" s="406" t="inlineStr">
        <is>
          <t>Malicious Insider</t>
        </is>
      </c>
      <c r="B210" s="406" t="inlineStr">
        <is>
          <t>T0800</t>
        </is>
      </c>
      <c r="C210" s="406" t="inlineStr">
        <is>
          <t>Activate Firmware Update Mode</t>
        </is>
      </c>
      <c r="D210" s="406" t="inlineStr">
        <is>
          <t>S5</t>
        </is>
      </c>
      <c r="E210" s="406" t="inlineStr">
        <is>
          <t>Yes</t>
        </is>
      </c>
      <c r="F210" s="406" t="inlineStr">
        <is>
          <t>Applicable after the trusted-access starting point.</t>
        </is>
      </c>
    </row>
    <row r="211" ht="15" customHeight="1" s="508">
      <c r="A211" s="406" t="inlineStr">
        <is>
          <t>Malicious Insider</t>
        </is>
      </c>
      <c r="B211" s="406" t="inlineStr">
        <is>
          <t>T0801</t>
        </is>
      </c>
      <c r="C211" s="406" t="inlineStr">
        <is>
          <t>Monitor Process State</t>
        </is>
      </c>
      <c r="D211" s="406" t="inlineStr">
        <is>
          <t>S4</t>
        </is>
      </c>
      <c r="E211" s="406" t="inlineStr">
        <is>
          <t>Yes</t>
        </is>
      </c>
      <c r="F211" s="406" t="inlineStr">
        <is>
          <t>Applicable after the trusted-access starting point.</t>
        </is>
      </c>
    </row>
    <row r="212" ht="15" customHeight="1" s="508">
      <c r="A212" s="406" t="inlineStr">
        <is>
          <t>Malicious Insider</t>
        </is>
      </c>
      <c r="B212" s="406" t="inlineStr">
        <is>
          <t>T0802</t>
        </is>
      </c>
      <c r="C212" s="406" t="inlineStr">
        <is>
          <t>Automated Collection</t>
        </is>
      </c>
      <c r="D212" s="406" t="inlineStr">
        <is>
          <t>S4</t>
        </is>
      </c>
      <c r="E212" s="406" t="inlineStr">
        <is>
          <t>Yes</t>
        </is>
      </c>
      <c r="F212" s="406" t="inlineStr">
        <is>
          <t>Applicable after the trusted-access starting point.</t>
        </is>
      </c>
    </row>
    <row r="213" ht="15" customHeight="1" s="508">
      <c r="A213" s="406" t="inlineStr">
        <is>
          <t>Malicious Insider</t>
        </is>
      </c>
      <c r="B213" s="406" t="inlineStr">
        <is>
          <t>T0806</t>
        </is>
      </c>
      <c r="C213" s="406" t="inlineStr">
        <is>
          <t>Brute Force I/O</t>
        </is>
      </c>
      <c r="D213" s="406" t="inlineStr">
        <is>
          <t>S5</t>
        </is>
      </c>
      <c r="E213" s="406" t="inlineStr">
        <is>
          <t>Yes</t>
        </is>
      </c>
      <c r="F213" s="406" t="inlineStr">
        <is>
          <t>Applicable after the trusted-access starting point.</t>
        </is>
      </c>
    </row>
    <row r="214" ht="15" customHeight="1" s="508">
      <c r="A214" s="406" t="inlineStr">
        <is>
          <t>Malicious Insider</t>
        </is>
      </c>
      <c r="B214" s="406" t="inlineStr">
        <is>
          <t>T0807</t>
        </is>
      </c>
      <c r="C214" s="406" t="inlineStr">
        <is>
          <t>Command-Line Interface</t>
        </is>
      </c>
      <c r="D214" s="406" t="inlineStr">
        <is>
          <t>S2</t>
        </is>
      </c>
      <c r="E214" s="406" t="inlineStr">
        <is>
          <t>Yes</t>
        </is>
      </c>
      <c r="F214" s="406" t="inlineStr">
        <is>
          <t>Applicable after the trusted-access starting point.</t>
        </is>
      </c>
    </row>
    <row r="215" ht="15" customHeight="1" s="508">
      <c r="A215" s="406" t="inlineStr">
        <is>
          <t>Malicious Insider</t>
        </is>
      </c>
      <c r="B215" s="406" t="inlineStr">
        <is>
          <t>T0809</t>
        </is>
      </c>
      <c r="C215" s="406" t="inlineStr">
        <is>
          <t>Data Destruction</t>
        </is>
      </c>
      <c r="D215" s="406" t="inlineStr">
        <is>
          <t>S5</t>
        </is>
      </c>
      <c r="E215" s="406" t="inlineStr">
        <is>
          <t>Yes</t>
        </is>
      </c>
      <c r="F215" s="406" t="inlineStr">
        <is>
          <t>Applicable after the trusted-access starting point.</t>
        </is>
      </c>
    </row>
    <row r="216" ht="15" customHeight="1" s="508">
      <c r="A216" s="406" t="inlineStr">
        <is>
          <t>Malicious Insider</t>
        </is>
      </c>
      <c r="B216" s="406" t="inlineStr">
        <is>
          <t>T0811</t>
        </is>
      </c>
      <c r="C216" s="406" t="inlineStr">
        <is>
          <t>Data from Information Repositories</t>
        </is>
      </c>
      <c r="D216" s="406" t="inlineStr">
        <is>
          <t>S4</t>
        </is>
      </c>
      <c r="E216" s="406" t="inlineStr">
        <is>
          <t>Yes</t>
        </is>
      </c>
      <c r="F216" s="406" t="inlineStr">
        <is>
          <t>Applicable after the trusted-access starting point.</t>
        </is>
      </c>
    </row>
    <row r="217" ht="15" customHeight="1" s="508">
      <c r="A217" s="406" t="inlineStr">
        <is>
          <t>Malicious Insider</t>
        </is>
      </c>
      <c r="B217" s="406" t="inlineStr">
        <is>
          <t>T0813</t>
        </is>
      </c>
      <c r="C217" s="406" t="inlineStr">
        <is>
          <t>Denial of Control</t>
        </is>
      </c>
      <c r="D217" s="406" t="inlineStr">
        <is>
          <t>S5</t>
        </is>
      </c>
      <c r="E217" s="406" t="inlineStr">
        <is>
          <t>Yes</t>
        </is>
      </c>
      <c r="F217" s="406" t="inlineStr">
        <is>
          <t>Applicable after the trusted-access starting point.</t>
        </is>
      </c>
    </row>
    <row r="218" ht="15" customHeight="1" s="508">
      <c r="A218" s="406" t="inlineStr">
        <is>
          <t>Malicious Insider</t>
        </is>
      </c>
      <c r="B218" s="406" t="inlineStr">
        <is>
          <t>T0814</t>
        </is>
      </c>
      <c r="C218" s="406" t="inlineStr">
        <is>
          <t>Denial of Service</t>
        </is>
      </c>
      <c r="D218" s="406" t="inlineStr">
        <is>
          <t>S5</t>
        </is>
      </c>
      <c r="E218" s="406" t="inlineStr">
        <is>
          <t>Yes</t>
        </is>
      </c>
      <c r="F218" s="406" t="inlineStr">
        <is>
          <t>Applicable after the trusted-access starting point.</t>
        </is>
      </c>
    </row>
    <row r="219" ht="15" customHeight="1" s="508">
      <c r="A219" s="406" t="inlineStr">
        <is>
          <t>Malicious Insider</t>
        </is>
      </c>
      <c r="B219" s="406" t="inlineStr">
        <is>
          <t>T0815</t>
        </is>
      </c>
      <c r="C219" s="406" t="inlineStr">
        <is>
          <t>Denial of View</t>
        </is>
      </c>
      <c r="D219" s="406" t="inlineStr">
        <is>
          <t>S5</t>
        </is>
      </c>
      <c r="E219" s="406" t="inlineStr">
        <is>
          <t>Yes</t>
        </is>
      </c>
      <c r="F219" s="406" t="inlineStr">
        <is>
          <t>Applicable after the trusted-access starting point.</t>
        </is>
      </c>
    </row>
    <row r="220" ht="15" customHeight="1" s="508">
      <c r="A220" s="406" t="inlineStr">
        <is>
          <t>Malicious Insider</t>
        </is>
      </c>
      <c r="B220" s="406" t="inlineStr">
        <is>
          <t>T0816</t>
        </is>
      </c>
      <c r="C220" s="406" t="inlineStr">
        <is>
          <t>Device Restart/Shutdown</t>
        </is>
      </c>
      <c r="D220" s="406" t="inlineStr">
        <is>
          <t>S5</t>
        </is>
      </c>
      <c r="E220" s="406" t="inlineStr">
        <is>
          <t>Yes</t>
        </is>
      </c>
      <c r="F220" s="406" t="inlineStr">
        <is>
          <t>Applicable after the trusted-access starting point.</t>
        </is>
      </c>
    </row>
    <row r="221" ht="27.75" customHeight="1" s="508">
      <c r="A221" s="406" t="inlineStr">
        <is>
          <t>Malicious Insider</t>
        </is>
      </c>
      <c r="B221" s="406" t="inlineStr">
        <is>
          <t>T0817</t>
        </is>
      </c>
      <c r="C221" s="406" t="inlineStr">
        <is>
          <t>Drive-by Compromise</t>
        </is>
      </c>
      <c r="D221" s="406" t="inlineStr">
        <is>
          <t>S1</t>
        </is>
      </c>
      <c r="E221" s="406" t="inlineStr">
        <is>
          <t>No</t>
        </is>
      </c>
      <c r="F221" s="406" t="inlineStr">
        <is>
          <t>Malicious insider starts inside the trust boundary; external Initial Access is bypassed.</t>
        </is>
      </c>
    </row>
    <row r="222" ht="27.75" customHeight="1" s="508">
      <c r="A222" s="406" t="inlineStr">
        <is>
          <t>Malicious Insider</t>
        </is>
      </c>
      <c r="B222" s="406" t="inlineStr">
        <is>
          <t>T0819</t>
        </is>
      </c>
      <c r="C222" s="406" t="inlineStr">
        <is>
          <t>Exploit Public-Facing Application</t>
        </is>
      </c>
      <c r="D222" s="406" t="inlineStr">
        <is>
          <t>S1</t>
        </is>
      </c>
      <c r="E222" s="406" t="inlineStr">
        <is>
          <t>No</t>
        </is>
      </c>
      <c r="F222" s="406" t="inlineStr">
        <is>
          <t>Malicious insider starts inside the trust boundary; external Initial Access is bypassed.</t>
        </is>
      </c>
    </row>
    <row r="223" ht="15" customHeight="1" s="508">
      <c r="A223" s="406" t="inlineStr">
        <is>
          <t>Malicious Insider</t>
        </is>
      </c>
      <c r="B223" s="406" t="inlineStr">
        <is>
          <t>T0820</t>
        </is>
      </c>
      <c r="C223" s="406" t="inlineStr">
        <is>
          <t>Exploitation for Evasion</t>
        </is>
      </c>
      <c r="D223" s="406" t="inlineStr">
        <is>
          <t>S2</t>
        </is>
      </c>
      <c r="E223" s="406" t="inlineStr">
        <is>
          <t>Yes</t>
        </is>
      </c>
      <c r="F223" s="406" t="inlineStr">
        <is>
          <t>Applicable after the trusted-access starting point.</t>
        </is>
      </c>
    </row>
    <row r="224" ht="15" customHeight="1" s="508">
      <c r="A224" s="406" t="inlineStr">
        <is>
          <t>Malicious Insider</t>
        </is>
      </c>
      <c r="B224" s="406" t="inlineStr">
        <is>
          <t>T0821</t>
        </is>
      </c>
      <c r="C224" s="406" t="inlineStr">
        <is>
          <t>Modify Controller Tasking</t>
        </is>
      </c>
      <c r="D224" s="406" t="inlineStr">
        <is>
          <t>S2</t>
        </is>
      </c>
      <c r="E224" s="406" t="inlineStr">
        <is>
          <t>Yes</t>
        </is>
      </c>
      <c r="F224" s="406" t="inlineStr">
        <is>
          <t>Applicable after the trusted-access starting point.</t>
        </is>
      </c>
    </row>
    <row r="225" ht="27.75" customHeight="1" s="508">
      <c r="A225" s="406" t="inlineStr">
        <is>
          <t>Malicious Insider</t>
        </is>
      </c>
      <c r="B225" s="406" t="inlineStr">
        <is>
          <t>T0822</t>
        </is>
      </c>
      <c r="C225" s="406" t="inlineStr">
        <is>
          <t>External Remote Services</t>
        </is>
      </c>
      <c r="D225" s="406" t="inlineStr">
        <is>
          <t>S1</t>
        </is>
      </c>
      <c r="E225" s="406" t="inlineStr">
        <is>
          <t>No</t>
        </is>
      </c>
      <c r="F225" s="406" t="inlineStr">
        <is>
          <t>Malicious insider starts inside the trust boundary; external Initial Access is bypassed.</t>
        </is>
      </c>
    </row>
    <row r="226" ht="15" customHeight="1" s="508">
      <c r="A226" s="406" t="inlineStr">
        <is>
          <t>Malicious Insider</t>
        </is>
      </c>
      <c r="B226" s="406" t="inlineStr">
        <is>
          <t>T0823</t>
        </is>
      </c>
      <c r="C226" s="406" t="inlineStr">
        <is>
          <t>Graphical User Interface</t>
        </is>
      </c>
      <c r="D226" s="406" t="inlineStr">
        <is>
          <t>S2</t>
        </is>
      </c>
      <c r="E226" s="406" t="inlineStr">
        <is>
          <t>Yes</t>
        </is>
      </c>
      <c r="F226" s="406" t="inlineStr">
        <is>
          <t>Applicable after the trusted-access starting point.</t>
        </is>
      </c>
    </row>
    <row r="227" ht="15" customHeight="1" s="508">
      <c r="A227" s="406" t="inlineStr">
        <is>
          <t>Malicious Insider</t>
        </is>
      </c>
      <c r="B227" s="406" t="inlineStr">
        <is>
          <t>T0826</t>
        </is>
      </c>
      <c r="C227" s="406" t="inlineStr">
        <is>
          <t>Loss of Availability</t>
        </is>
      </c>
      <c r="D227" s="406" t="inlineStr">
        <is>
          <t>S5</t>
        </is>
      </c>
      <c r="E227" s="406" t="inlineStr">
        <is>
          <t>Yes</t>
        </is>
      </c>
      <c r="F227" s="406" t="inlineStr">
        <is>
          <t>Applicable after the trusted-access starting point.</t>
        </is>
      </c>
    </row>
    <row r="228" ht="15" customHeight="1" s="508">
      <c r="A228" s="406" t="inlineStr">
        <is>
          <t>Malicious Insider</t>
        </is>
      </c>
      <c r="B228" s="406" t="inlineStr">
        <is>
          <t>T0827</t>
        </is>
      </c>
      <c r="C228" s="406" t="inlineStr">
        <is>
          <t>Loss of Control</t>
        </is>
      </c>
      <c r="D228" s="406" t="inlineStr">
        <is>
          <t>S5</t>
        </is>
      </c>
      <c r="E228" s="406" t="inlineStr">
        <is>
          <t>Yes</t>
        </is>
      </c>
      <c r="F228" s="406" t="inlineStr">
        <is>
          <t>Applicable after the trusted-access starting point.</t>
        </is>
      </c>
    </row>
    <row r="229" ht="15" customHeight="1" s="508">
      <c r="A229" s="406" t="inlineStr">
        <is>
          <t>Malicious Insider</t>
        </is>
      </c>
      <c r="B229" s="406" t="inlineStr">
        <is>
          <t>T0828</t>
        </is>
      </c>
      <c r="C229" s="406" t="inlineStr">
        <is>
          <t>Loss of Productivity and Revenue</t>
        </is>
      </c>
      <c r="D229" s="406" t="inlineStr">
        <is>
          <t>S5</t>
        </is>
      </c>
      <c r="E229" s="406" t="inlineStr">
        <is>
          <t>Yes</t>
        </is>
      </c>
      <c r="F229" s="406" t="inlineStr">
        <is>
          <t>Applicable after the trusted-access starting point.</t>
        </is>
      </c>
    </row>
    <row r="230" ht="15" customHeight="1" s="508">
      <c r="A230" s="406" t="inlineStr">
        <is>
          <t>Malicious Insider</t>
        </is>
      </c>
      <c r="B230" s="406" t="inlineStr">
        <is>
          <t>T0829</t>
        </is>
      </c>
      <c r="C230" s="406" t="inlineStr">
        <is>
          <t>Loss of View</t>
        </is>
      </c>
      <c r="D230" s="406" t="inlineStr">
        <is>
          <t>S5</t>
        </is>
      </c>
      <c r="E230" s="406" t="inlineStr">
        <is>
          <t>Yes</t>
        </is>
      </c>
      <c r="F230" s="406" t="inlineStr">
        <is>
          <t>Applicable after the trusted-access starting point.</t>
        </is>
      </c>
    </row>
    <row r="231" ht="15" customHeight="1" s="508">
      <c r="A231" s="406" t="inlineStr">
        <is>
          <t>Malicious Insider</t>
        </is>
      </c>
      <c r="B231" s="406" t="inlineStr">
        <is>
          <t>T0830</t>
        </is>
      </c>
      <c r="C231" s="406" t="inlineStr">
        <is>
          <t>Adversary-in-the-Middle</t>
        </is>
      </c>
      <c r="D231" s="406" t="inlineStr">
        <is>
          <t>S4</t>
        </is>
      </c>
      <c r="E231" s="406" t="inlineStr">
        <is>
          <t>Yes</t>
        </is>
      </c>
      <c r="F231" s="406" t="inlineStr">
        <is>
          <t>Applicable after the trusted-access starting point.</t>
        </is>
      </c>
    </row>
    <row r="232" ht="15" customHeight="1" s="508">
      <c r="A232" s="406" t="inlineStr">
        <is>
          <t>Malicious Insider</t>
        </is>
      </c>
      <c r="B232" s="406" t="inlineStr">
        <is>
          <t>T0831</t>
        </is>
      </c>
      <c r="C232" s="406" t="inlineStr">
        <is>
          <t>Manipulation of Control</t>
        </is>
      </c>
      <c r="D232" s="406" t="inlineStr">
        <is>
          <t>S5</t>
        </is>
      </c>
      <c r="E232" s="406" t="inlineStr">
        <is>
          <t>Yes</t>
        </is>
      </c>
      <c r="F232" s="406" t="inlineStr">
        <is>
          <t>Applicable after the trusted-access starting point.</t>
        </is>
      </c>
    </row>
    <row r="233" ht="15" customHeight="1" s="508">
      <c r="A233" s="406" t="inlineStr">
        <is>
          <t>Malicious Insider</t>
        </is>
      </c>
      <c r="B233" s="406" t="inlineStr">
        <is>
          <t>T0832</t>
        </is>
      </c>
      <c r="C233" s="406" t="inlineStr">
        <is>
          <t>Manipulation of View</t>
        </is>
      </c>
      <c r="D233" s="406" t="inlineStr">
        <is>
          <t>S5</t>
        </is>
      </c>
      <c r="E233" s="406" t="inlineStr">
        <is>
          <t>Yes</t>
        </is>
      </c>
      <c r="F233" s="406" t="inlineStr">
        <is>
          <t>Applicable after the trusted-access starting point.</t>
        </is>
      </c>
    </row>
    <row r="234" ht="15" customHeight="1" s="508">
      <c r="A234" s="406" t="inlineStr">
        <is>
          <t>Malicious Insider</t>
        </is>
      </c>
      <c r="B234" s="406" t="inlineStr">
        <is>
          <t>T0834</t>
        </is>
      </c>
      <c r="C234" s="406" t="inlineStr">
        <is>
          <t>Native API</t>
        </is>
      </c>
      <c r="D234" s="406" t="inlineStr">
        <is>
          <t>S2</t>
        </is>
      </c>
      <c r="E234" s="406" t="inlineStr">
        <is>
          <t>Yes</t>
        </is>
      </c>
      <c r="F234" s="406" t="inlineStr">
        <is>
          <t>Applicable after the trusted-access starting point.</t>
        </is>
      </c>
    </row>
    <row r="235" ht="15" customHeight="1" s="508">
      <c r="A235" s="406" t="inlineStr">
        <is>
          <t>Malicious Insider</t>
        </is>
      </c>
      <c r="B235" s="406" t="inlineStr">
        <is>
          <t>T0835</t>
        </is>
      </c>
      <c r="C235" s="406" t="inlineStr">
        <is>
          <t>Manipulate I/O Image</t>
        </is>
      </c>
      <c r="D235" s="406" t="inlineStr">
        <is>
          <t>S5</t>
        </is>
      </c>
      <c r="E235" s="406" t="inlineStr">
        <is>
          <t>Yes</t>
        </is>
      </c>
      <c r="F235" s="406" t="inlineStr">
        <is>
          <t>Applicable after the trusted-access starting point.</t>
        </is>
      </c>
    </row>
    <row r="236" ht="15" customHeight="1" s="508">
      <c r="A236" s="406" t="inlineStr">
        <is>
          <t>Malicious Insider</t>
        </is>
      </c>
      <c r="B236" s="406" t="inlineStr">
        <is>
          <t>T0836</t>
        </is>
      </c>
      <c r="C236" s="406" t="inlineStr">
        <is>
          <t>Modify Parameter</t>
        </is>
      </c>
      <c r="D236" s="406" t="inlineStr">
        <is>
          <t>S5</t>
        </is>
      </c>
      <c r="E236" s="406" t="inlineStr">
        <is>
          <t>Yes</t>
        </is>
      </c>
      <c r="F236" s="406" t="inlineStr">
        <is>
          <t>Applicable after the trusted-access starting point.</t>
        </is>
      </c>
    </row>
    <row r="237" ht="15" customHeight="1" s="508">
      <c r="A237" s="406" t="inlineStr">
        <is>
          <t>Malicious Insider</t>
        </is>
      </c>
      <c r="B237" s="406" t="inlineStr">
        <is>
          <t>T0837</t>
        </is>
      </c>
      <c r="C237" s="406" t="inlineStr">
        <is>
          <t>Loss of Protection</t>
        </is>
      </c>
      <c r="D237" s="406" t="inlineStr">
        <is>
          <t>S5</t>
        </is>
      </c>
      <c r="E237" s="406" t="inlineStr">
        <is>
          <t>Yes</t>
        </is>
      </c>
      <c r="F237" s="406" t="inlineStr">
        <is>
          <t>Applicable after the trusted-access starting point.</t>
        </is>
      </c>
    </row>
    <row r="238" ht="15" customHeight="1" s="508">
      <c r="A238" s="406" t="inlineStr">
        <is>
          <t>Malicious Insider</t>
        </is>
      </c>
      <c r="B238" s="406" t="inlineStr">
        <is>
          <t>T0838</t>
        </is>
      </c>
      <c r="C238" s="406" t="inlineStr">
        <is>
          <t>Modify Alarm Settings</t>
        </is>
      </c>
      <c r="D238" s="406" t="inlineStr">
        <is>
          <t>S5</t>
        </is>
      </c>
      <c r="E238" s="406" t="inlineStr">
        <is>
          <t>Yes</t>
        </is>
      </c>
      <c r="F238" s="406" t="inlineStr">
        <is>
          <t>Applicable after the trusted-access starting point.</t>
        </is>
      </c>
    </row>
    <row r="239" ht="15" customHeight="1" s="508">
      <c r="A239" s="406" t="inlineStr">
        <is>
          <t>Malicious Insider</t>
        </is>
      </c>
      <c r="B239" s="406" t="inlineStr">
        <is>
          <t>T0840</t>
        </is>
      </c>
      <c r="C239" s="406" t="inlineStr">
        <is>
          <t>Network Connection Enumeration</t>
        </is>
      </c>
      <c r="D239" s="406" t="inlineStr">
        <is>
          <t>S4</t>
        </is>
      </c>
      <c r="E239" s="406" t="inlineStr">
        <is>
          <t>Yes</t>
        </is>
      </c>
      <c r="F239" s="406" t="inlineStr">
        <is>
          <t>Applicable after the trusted-access starting point.</t>
        </is>
      </c>
    </row>
    <row r="240" ht="15" customHeight="1" s="508">
      <c r="A240" s="406" t="inlineStr">
        <is>
          <t>Malicious Insider</t>
        </is>
      </c>
      <c r="B240" s="406" t="inlineStr">
        <is>
          <t>T0842</t>
        </is>
      </c>
      <c r="C240" s="406" t="inlineStr">
        <is>
          <t>Network Sniffing</t>
        </is>
      </c>
      <c r="D240" s="406" t="inlineStr">
        <is>
          <t>S4</t>
        </is>
      </c>
      <c r="E240" s="406" t="inlineStr">
        <is>
          <t>Yes</t>
        </is>
      </c>
      <c r="F240" s="406" t="inlineStr">
        <is>
          <t>Applicable after the trusted-access starting point.</t>
        </is>
      </c>
    </row>
    <row r="241" ht="15" customHeight="1" s="508">
      <c r="A241" s="406" t="inlineStr">
        <is>
          <t>Malicious Insider</t>
        </is>
      </c>
      <c r="B241" s="406" t="inlineStr">
        <is>
          <t>T0843</t>
        </is>
      </c>
      <c r="C241" s="406" t="inlineStr">
        <is>
          <t>Program Download</t>
        </is>
      </c>
      <c r="D241" s="406" t="inlineStr">
        <is>
          <t>S3</t>
        </is>
      </c>
      <c r="E241" s="406" t="inlineStr">
        <is>
          <t>Yes</t>
        </is>
      </c>
      <c r="F241" s="406" t="inlineStr">
        <is>
          <t>Applicable after the trusted-access starting point.</t>
        </is>
      </c>
    </row>
    <row r="242" ht="15" customHeight="1" s="508">
      <c r="A242" s="406" t="inlineStr">
        <is>
          <t>Malicious Insider</t>
        </is>
      </c>
      <c r="B242" s="406" t="inlineStr">
        <is>
          <t>T0843.001</t>
        </is>
      </c>
      <c r="C242" s="406" t="inlineStr">
        <is>
          <t>Download All</t>
        </is>
      </c>
      <c r="D242" s="406" t="inlineStr">
        <is>
          <t>S3</t>
        </is>
      </c>
      <c r="E242" s="406" t="inlineStr">
        <is>
          <t>Yes</t>
        </is>
      </c>
      <c r="F242" s="406" t="inlineStr">
        <is>
          <t>Applicable after the trusted-access starting point.</t>
        </is>
      </c>
    </row>
    <row r="243" ht="15" customHeight="1" s="508">
      <c r="A243" s="406" t="inlineStr">
        <is>
          <t>Malicious Insider</t>
        </is>
      </c>
      <c r="B243" s="406" t="inlineStr">
        <is>
          <t>T0843.002</t>
        </is>
      </c>
      <c r="C243" s="406" t="inlineStr">
        <is>
          <t>Online Edit</t>
        </is>
      </c>
      <c r="D243" s="406" t="inlineStr">
        <is>
          <t>S3</t>
        </is>
      </c>
      <c r="E243" s="406" t="inlineStr">
        <is>
          <t>Yes</t>
        </is>
      </c>
      <c r="F243" s="406" t="inlineStr">
        <is>
          <t>Applicable after the trusted-access starting point.</t>
        </is>
      </c>
    </row>
    <row r="244" ht="15" customHeight="1" s="508">
      <c r="A244" s="406" t="inlineStr">
        <is>
          <t>Malicious Insider</t>
        </is>
      </c>
      <c r="B244" s="406" t="inlineStr">
        <is>
          <t>T0843.003</t>
        </is>
      </c>
      <c r="C244" s="406" t="inlineStr">
        <is>
          <t>Program Append</t>
        </is>
      </c>
      <c r="D244" s="406" t="inlineStr">
        <is>
          <t>S3</t>
        </is>
      </c>
      <c r="E244" s="406" t="inlineStr">
        <is>
          <t>Yes</t>
        </is>
      </c>
      <c r="F244" s="406" t="inlineStr">
        <is>
          <t>Applicable after the trusted-access starting point.</t>
        </is>
      </c>
    </row>
    <row r="245" ht="15" customHeight="1" s="508">
      <c r="A245" s="406" t="inlineStr">
        <is>
          <t>Malicious Insider</t>
        </is>
      </c>
      <c r="B245" s="406" t="inlineStr">
        <is>
          <t>T0845</t>
        </is>
      </c>
      <c r="C245" s="406" t="inlineStr">
        <is>
          <t>Program Upload</t>
        </is>
      </c>
      <c r="D245" s="406" t="inlineStr">
        <is>
          <t>S4</t>
        </is>
      </c>
      <c r="E245" s="406" t="inlineStr">
        <is>
          <t>Yes</t>
        </is>
      </c>
      <c r="F245" s="406" t="inlineStr">
        <is>
          <t>Applicable after the trusted-access starting point.</t>
        </is>
      </c>
    </row>
    <row r="246" ht="15" customHeight="1" s="508">
      <c r="A246" s="406" t="inlineStr">
        <is>
          <t>Malicious Insider</t>
        </is>
      </c>
      <c r="B246" s="406" t="inlineStr">
        <is>
          <t>T0846</t>
        </is>
      </c>
      <c r="C246" s="406" t="inlineStr">
        <is>
          <t>Remote System Discovery</t>
        </is>
      </c>
      <c r="D246" s="406" t="inlineStr">
        <is>
          <t>S4</t>
        </is>
      </c>
      <c r="E246" s="406" t="inlineStr">
        <is>
          <t>Yes</t>
        </is>
      </c>
      <c r="F246" s="406" t="inlineStr">
        <is>
          <t>Applicable after the trusted-access starting point.</t>
        </is>
      </c>
    </row>
    <row r="247" ht="15" customHeight="1" s="508">
      <c r="A247" s="406" t="inlineStr">
        <is>
          <t>Malicious Insider</t>
        </is>
      </c>
      <c r="B247" s="406" t="inlineStr">
        <is>
          <t>T0846.001</t>
        </is>
      </c>
      <c r="C247" s="406" t="inlineStr">
        <is>
          <t>Port Scan</t>
        </is>
      </c>
      <c r="D247" s="406" t="inlineStr">
        <is>
          <t>S4</t>
        </is>
      </c>
      <c r="E247" s="406" t="inlineStr">
        <is>
          <t>Yes</t>
        </is>
      </c>
      <c r="F247" s="406" t="inlineStr">
        <is>
          <t>Applicable after the trusted-access starting point.</t>
        </is>
      </c>
    </row>
    <row r="248" ht="15" customHeight="1" s="508">
      <c r="A248" s="406" t="inlineStr">
        <is>
          <t>Malicious Insider</t>
        </is>
      </c>
      <c r="B248" s="406" t="inlineStr">
        <is>
          <t>T0846.002</t>
        </is>
      </c>
      <c r="C248" s="406" t="inlineStr">
        <is>
          <t>Broadcast Discovery</t>
        </is>
      </c>
      <c r="D248" s="406" t="inlineStr">
        <is>
          <t>S4</t>
        </is>
      </c>
      <c r="E248" s="406" t="inlineStr">
        <is>
          <t>Yes</t>
        </is>
      </c>
      <c r="F248" s="406" t="inlineStr">
        <is>
          <t>Applicable after the trusted-access starting point.</t>
        </is>
      </c>
    </row>
    <row r="249" ht="15" customHeight="1" s="508">
      <c r="A249" s="406" t="inlineStr">
        <is>
          <t>Malicious Insider</t>
        </is>
      </c>
      <c r="B249" s="406" t="inlineStr">
        <is>
          <t>T0846.003</t>
        </is>
      </c>
      <c r="C249" s="406" t="inlineStr">
        <is>
          <t>Multicast Discovery</t>
        </is>
      </c>
      <c r="D249" s="406" t="inlineStr">
        <is>
          <t>S4</t>
        </is>
      </c>
      <c r="E249" s="406" t="inlineStr">
        <is>
          <t>Yes</t>
        </is>
      </c>
      <c r="F249" s="406" t="inlineStr">
        <is>
          <t>Applicable after the trusted-access starting point.</t>
        </is>
      </c>
    </row>
    <row r="250" ht="27.75" customHeight="1" s="508">
      <c r="A250" s="406" t="inlineStr">
        <is>
          <t>Malicious Insider</t>
        </is>
      </c>
      <c r="B250" s="406" t="inlineStr">
        <is>
          <t>T0847</t>
        </is>
      </c>
      <c r="C250" s="406" t="inlineStr">
        <is>
          <t>Replication Through Removable Media</t>
        </is>
      </c>
      <c r="D250" s="406" t="inlineStr">
        <is>
          <t>S1</t>
        </is>
      </c>
      <c r="E250" s="406" t="inlineStr">
        <is>
          <t>No</t>
        </is>
      </c>
      <c r="F250" s="406" t="inlineStr">
        <is>
          <t>Malicious insider starts inside the trust boundary; external Initial Access is bypassed.</t>
        </is>
      </c>
    </row>
    <row r="251" ht="27.75" customHeight="1" s="508">
      <c r="A251" s="406" t="inlineStr">
        <is>
          <t>Malicious Insider</t>
        </is>
      </c>
      <c r="B251" s="406" t="inlineStr">
        <is>
          <t>T0848</t>
        </is>
      </c>
      <c r="C251" s="406" t="inlineStr">
        <is>
          <t>Rogue Master</t>
        </is>
      </c>
      <c r="D251" s="406" t="inlineStr">
        <is>
          <t>S1</t>
        </is>
      </c>
      <c r="E251" s="406" t="inlineStr">
        <is>
          <t>No</t>
        </is>
      </c>
      <c r="F251" s="406" t="inlineStr">
        <is>
          <t>Malicious insider starts inside the trust boundary; external Initial Access is bypassed.</t>
        </is>
      </c>
    </row>
    <row r="252" ht="15" customHeight="1" s="508">
      <c r="A252" s="406" t="inlineStr">
        <is>
          <t>Malicious Insider</t>
        </is>
      </c>
      <c r="B252" s="406" t="inlineStr">
        <is>
          <t>T0849</t>
        </is>
      </c>
      <c r="C252" s="406" t="inlineStr">
        <is>
          <t>Masquerading</t>
        </is>
      </c>
      <c r="D252" s="406" t="inlineStr">
        <is>
          <t>S2</t>
        </is>
      </c>
      <c r="E252" s="406" t="inlineStr">
        <is>
          <t>Yes</t>
        </is>
      </c>
      <c r="F252" s="406" t="inlineStr">
        <is>
          <t>Applicable after the trusted-access starting point.</t>
        </is>
      </c>
    </row>
    <row r="253" ht="15" customHeight="1" s="508">
      <c r="A253" s="406" t="inlineStr">
        <is>
          <t>Malicious Insider</t>
        </is>
      </c>
      <c r="B253" s="406" t="inlineStr">
        <is>
          <t>T0851</t>
        </is>
      </c>
      <c r="C253" s="406" t="inlineStr">
        <is>
          <t>Rootkit</t>
        </is>
      </c>
      <c r="D253" s="406" t="inlineStr">
        <is>
          <t>S5</t>
        </is>
      </c>
      <c r="E253" s="406" t="inlineStr">
        <is>
          <t>Yes</t>
        </is>
      </c>
      <c r="F253" s="406" t="inlineStr">
        <is>
          <t>Applicable after the trusted-access starting point.</t>
        </is>
      </c>
    </row>
    <row r="254" ht="15" customHeight="1" s="508">
      <c r="A254" s="406" t="inlineStr">
        <is>
          <t>Malicious Insider</t>
        </is>
      </c>
      <c r="B254" s="406" t="inlineStr">
        <is>
          <t>T0852</t>
        </is>
      </c>
      <c r="C254" s="406" t="inlineStr">
        <is>
          <t>Screen Capture</t>
        </is>
      </c>
      <c r="D254" s="406" t="inlineStr">
        <is>
          <t>S4</t>
        </is>
      </c>
      <c r="E254" s="406" t="inlineStr">
        <is>
          <t>Yes</t>
        </is>
      </c>
      <c r="F254" s="406" t="inlineStr">
        <is>
          <t>Applicable after the trusted-access starting point.</t>
        </is>
      </c>
    </row>
    <row r="255" ht="15" customHeight="1" s="508">
      <c r="A255" s="406" t="inlineStr">
        <is>
          <t>Malicious Insider</t>
        </is>
      </c>
      <c r="B255" s="406" t="inlineStr">
        <is>
          <t>T0853</t>
        </is>
      </c>
      <c r="C255" s="406" t="inlineStr">
        <is>
          <t>Scripting</t>
        </is>
      </c>
      <c r="D255" s="406" t="inlineStr">
        <is>
          <t>S2</t>
        </is>
      </c>
      <c r="E255" s="406" t="inlineStr">
        <is>
          <t>Yes</t>
        </is>
      </c>
      <c r="F255" s="406" t="inlineStr">
        <is>
          <t>Applicable after the trusted-access starting point.</t>
        </is>
      </c>
    </row>
    <row r="256" ht="15" customHeight="1" s="508">
      <c r="A256" s="406" t="inlineStr">
        <is>
          <t>Malicious Insider</t>
        </is>
      </c>
      <c r="B256" s="406" t="inlineStr">
        <is>
          <t>T0858</t>
        </is>
      </c>
      <c r="C256" s="406" t="inlineStr">
        <is>
          <t>Change Operating Mode</t>
        </is>
      </c>
      <c r="D256" s="406" t="inlineStr">
        <is>
          <t>S2</t>
        </is>
      </c>
      <c r="E256" s="406" t="inlineStr">
        <is>
          <t>Yes</t>
        </is>
      </c>
      <c r="F256" s="406" t="inlineStr">
        <is>
          <t>Applicable after the trusted-access starting point.</t>
        </is>
      </c>
    </row>
    <row r="257" ht="15" customHeight="1" s="508">
      <c r="A257" s="406" t="inlineStr">
        <is>
          <t>Malicious Insider</t>
        </is>
      </c>
      <c r="B257" s="406" t="inlineStr">
        <is>
          <t>T0859</t>
        </is>
      </c>
      <c r="C257" s="406" t="inlineStr">
        <is>
          <t>Valid Accounts</t>
        </is>
      </c>
      <c r="D257" s="406" t="inlineStr">
        <is>
          <t>S3</t>
        </is>
      </c>
      <c r="E257" s="406" t="inlineStr">
        <is>
          <t>Yes</t>
        </is>
      </c>
      <c r="F257" s="406" t="inlineStr">
        <is>
          <t>Applicable after the trusted-access starting point.</t>
        </is>
      </c>
    </row>
    <row r="258" ht="27.75" customHeight="1" s="508">
      <c r="A258" s="406" t="inlineStr">
        <is>
          <t>Malicious Insider</t>
        </is>
      </c>
      <c r="B258" s="406" t="inlineStr">
        <is>
          <t>T0860</t>
        </is>
      </c>
      <c r="C258" s="406" t="inlineStr">
        <is>
          <t>Wireless Compromise</t>
        </is>
      </c>
      <c r="D258" s="406" t="inlineStr">
        <is>
          <t>S1</t>
        </is>
      </c>
      <c r="E258" s="406" t="inlineStr">
        <is>
          <t>No</t>
        </is>
      </c>
      <c r="F258" s="406" t="inlineStr">
        <is>
          <t>Malicious insider starts inside the trust boundary; external Initial Access is bypassed.</t>
        </is>
      </c>
    </row>
    <row r="259" ht="15" customHeight="1" s="508">
      <c r="A259" s="406" t="inlineStr">
        <is>
          <t>Malicious Insider</t>
        </is>
      </c>
      <c r="B259" s="406" t="inlineStr">
        <is>
          <t>T0861</t>
        </is>
      </c>
      <c r="C259" s="406" t="inlineStr">
        <is>
          <t>Point &amp; Tag Identification</t>
        </is>
      </c>
      <c r="D259" s="406" t="inlineStr">
        <is>
          <t>S4</t>
        </is>
      </c>
      <c r="E259" s="406" t="inlineStr">
        <is>
          <t>Yes</t>
        </is>
      </c>
      <c r="F259" s="406" t="inlineStr">
        <is>
          <t>Applicable after the trusted-access starting point.</t>
        </is>
      </c>
    </row>
    <row r="260" ht="27.75" customHeight="1" s="508">
      <c r="A260" s="406" t="inlineStr">
        <is>
          <t>Malicious Insider</t>
        </is>
      </c>
      <c r="B260" s="406" t="inlineStr">
        <is>
          <t>T0862</t>
        </is>
      </c>
      <c r="C260" s="406" t="inlineStr">
        <is>
          <t>Supply Chain Compromise</t>
        </is>
      </c>
      <c r="D260" s="406" t="inlineStr">
        <is>
          <t>S1</t>
        </is>
      </c>
      <c r="E260" s="406" t="inlineStr">
        <is>
          <t>No</t>
        </is>
      </c>
      <c r="F260" s="406" t="inlineStr">
        <is>
          <t>Malicious insider starts inside the trust boundary; external Initial Access is bypassed.</t>
        </is>
      </c>
    </row>
    <row r="261" ht="15" customHeight="1" s="508">
      <c r="A261" s="406" t="inlineStr">
        <is>
          <t>Malicious Insider</t>
        </is>
      </c>
      <c r="B261" s="406" t="inlineStr">
        <is>
          <t>T0863</t>
        </is>
      </c>
      <c r="C261" s="406" t="inlineStr">
        <is>
          <t>User Execution</t>
        </is>
      </c>
      <c r="D261" s="406" t="inlineStr">
        <is>
          <t>S2</t>
        </is>
      </c>
      <c r="E261" s="406" t="inlineStr">
        <is>
          <t>Yes</t>
        </is>
      </c>
      <c r="F261" s="406" t="inlineStr">
        <is>
          <t>Applicable after the trusted-access starting point.</t>
        </is>
      </c>
    </row>
    <row r="262" ht="27.75" customHeight="1" s="508">
      <c r="A262" s="406" t="inlineStr">
        <is>
          <t>Malicious Insider</t>
        </is>
      </c>
      <c r="B262" s="406" t="inlineStr">
        <is>
          <t>T0864</t>
        </is>
      </c>
      <c r="C262" s="406" t="inlineStr">
        <is>
          <t>Transient Cyber Asset</t>
        </is>
      </c>
      <c r="D262" s="406" t="inlineStr">
        <is>
          <t>S1</t>
        </is>
      </c>
      <c r="E262" s="406" t="inlineStr">
        <is>
          <t>No</t>
        </is>
      </c>
      <c r="F262" s="406" t="inlineStr">
        <is>
          <t>Malicious insider starts inside the trust boundary; external Initial Access is bypassed.</t>
        </is>
      </c>
    </row>
    <row r="263" ht="27.75" customHeight="1" s="508">
      <c r="A263" s="406" t="inlineStr">
        <is>
          <t>Malicious Insider</t>
        </is>
      </c>
      <c r="B263" s="406" t="inlineStr">
        <is>
          <t>T0865</t>
        </is>
      </c>
      <c r="C263" s="406" t="inlineStr">
        <is>
          <t>Spearphishing Attachment</t>
        </is>
      </c>
      <c r="D263" s="406" t="inlineStr">
        <is>
          <t>S1</t>
        </is>
      </c>
      <c r="E263" s="406" t="inlineStr">
        <is>
          <t>No</t>
        </is>
      </c>
      <c r="F263" s="406" t="inlineStr">
        <is>
          <t>Malicious insider starts inside the trust boundary; external Initial Access is bypassed.</t>
        </is>
      </c>
    </row>
    <row r="264" ht="27.75" customHeight="1" s="508">
      <c r="A264" s="406" t="inlineStr">
        <is>
          <t>Malicious Insider</t>
        </is>
      </c>
      <c r="B264" s="406" t="inlineStr">
        <is>
          <t>T0866</t>
        </is>
      </c>
      <c r="C264" s="406" t="inlineStr">
        <is>
          <t>Exploitation of Remote Services</t>
        </is>
      </c>
      <c r="D264" s="406" t="inlineStr">
        <is>
          <t>S1</t>
        </is>
      </c>
      <c r="E264" s="406" t="inlineStr">
        <is>
          <t>No</t>
        </is>
      </c>
      <c r="F264" s="406" t="inlineStr">
        <is>
          <t>Malicious insider starts inside the trust boundary; external Initial Access is bypassed.</t>
        </is>
      </c>
    </row>
    <row r="265" ht="15" customHeight="1" s="508">
      <c r="A265" s="406" t="inlineStr">
        <is>
          <t>Malicious Insider</t>
        </is>
      </c>
      <c r="B265" s="406" t="inlineStr">
        <is>
          <t>T0867</t>
        </is>
      </c>
      <c r="C265" s="406" t="inlineStr">
        <is>
          <t>Lateral Tool Transfer</t>
        </is>
      </c>
      <c r="D265" s="406" t="inlineStr">
        <is>
          <t>S3</t>
        </is>
      </c>
      <c r="E265" s="406" t="inlineStr">
        <is>
          <t>Yes</t>
        </is>
      </c>
      <c r="F265" s="406" t="inlineStr">
        <is>
          <t>Applicable after the trusted-access starting point.</t>
        </is>
      </c>
    </row>
    <row r="266" ht="15" customHeight="1" s="508">
      <c r="A266" s="406" t="inlineStr">
        <is>
          <t>Malicious Insider</t>
        </is>
      </c>
      <c r="B266" s="406" t="inlineStr">
        <is>
          <t>T0868</t>
        </is>
      </c>
      <c r="C266" s="406" t="inlineStr">
        <is>
          <t>Detect Operating Mode</t>
        </is>
      </c>
      <c r="D266" s="406" t="inlineStr">
        <is>
          <t>S4</t>
        </is>
      </c>
      <c r="E266" s="406" t="inlineStr">
        <is>
          <t>Yes</t>
        </is>
      </c>
      <c r="F266" s="406" t="inlineStr">
        <is>
          <t>Applicable after the trusted-access starting point.</t>
        </is>
      </c>
    </row>
    <row r="267" ht="15" customHeight="1" s="508">
      <c r="A267" s="406" t="inlineStr">
        <is>
          <t>Malicious Insider</t>
        </is>
      </c>
      <c r="B267" s="406" t="inlineStr">
        <is>
          <t>T0869</t>
        </is>
      </c>
      <c r="C267" s="406" t="inlineStr">
        <is>
          <t>Standard Application Layer Protocol</t>
        </is>
      </c>
      <c r="D267" s="406" t="inlineStr">
        <is>
          <t>S3</t>
        </is>
      </c>
      <c r="E267" s="406" t="inlineStr">
        <is>
          <t>Yes</t>
        </is>
      </c>
      <c r="F267" s="406" t="inlineStr">
        <is>
          <t>Applicable after the trusted-access starting point.</t>
        </is>
      </c>
    </row>
    <row r="268" ht="15" customHeight="1" s="508">
      <c r="A268" s="406" t="inlineStr">
        <is>
          <t>Malicious Insider</t>
        </is>
      </c>
      <c r="B268" s="406" t="inlineStr">
        <is>
          <t>T0871</t>
        </is>
      </c>
      <c r="C268" s="406" t="inlineStr">
        <is>
          <t>Execution through API</t>
        </is>
      </c>
      <c r="D268" s="406" t="inlineStr">
        <is>
          <t>S2</t>
        </is>
      </c>
      <c r="E268" s="406" t="inlineStr">
        <is>
          <t>Yes</t>
        </is>
      </c>
      <c r="F268" s="406" t="inlineStr">
        <is>
          <t>Applicable after the trusted-access starting point.</t>
        </is>
      </c>
    </row>
    <row r="269" ht="15" customHeight="1" s="508">
      <c r="A269" s="406" t="inlineStr">
        <is>
          <t>Malicious Insider</t>
        </is>
      </c>
      <c r="B269" s="406" t="inlineStr">
        <is>
          <t>T0872</t>
        </is>
      </c>
      <c r="C269" s="406" t="inlineStr">
        <is>
          <t>Indicator Removal on Host</t>
        </is>
      </c>
      <c r="D269" s="406" t="inlineStr">
        <is>
          <t>S2</t>
        </is>
      </c>
      <c r="E269" s="406" t="inlineStr">
        <is>
          <t>Yes</t>
        </is>
      </c>
      <c r="F269" s="406" t="inlineStr">
        <is>
          <t>Applicable after the trusted-access starting point.</t>
        </is>
      </c>
    </row>
    <row r="270" ht="15" customHeight="1" s="508">
      <c r="A270" s="406" t="inlineStr">
        <is>
          <t>Malicious Insider</t>
        </is>
      </c>
      <c r="B270" s="406" t="inlineStr">
        <is>
          <t>T0873</t>
        </is>
      </c>
      <c r="C270" s="406" t="inlineStr">
        <is>
          <t>Project File Infection</t>
        </is>
      </c>
      <c r="D270" s="406" t="inlineStr">
        <is>
          <t>S2</t>
        </is>
      </c>
      <c r="E270" s="406" t="inlineStr">
        <is>
          <t>Yes</t>
        </is>
      </c>
      <c r="F270" s="406" t="inlineStr">
        <is>
          <t>Applicable after the trusted-access starting point.</t>
        </is>
      </c>
    </row>
    <row r="271" ht="15" customHeight="1" s="508">
      <c r="A271" s="406" t="inlineStr">
        <is>
          <t>Malicious Insider</t>
        </is>
      </c>
      <c r="B271" s="406" t="inlineStr">
        <is>
          <t>T0873.001</t>
        </is>
      </c>
      <c r="C271" s="406" t="inlineStr">
        <is>
          <t>Siemens Project File Format</t>
        </is>
      </c>
      <c r="D271" s="406" t="inlineStr">
        <is>
          <t>S2</t>
        </is>
      </c>
      <c r="E271" s="406" t="inlineStr">
        <is>
          <t>Yes</t>
        </is>
      </c>
      <c r="F271" s="406" t="inlineStr">
        <is>
          <t>Applicable after the trusted-access starting point.</t>
        </is>
      </c>
    </row>
    <row r="272" ht="15" customHeight="1" s="508">
      <c r="A272" s="406" t="inlineStr">
        <is>
          <t>Malicious Insider</t>
        </is>
      </c>
      <c r="B272" s="406" t="inlineStr">
        <is>
          <t>T0874</t>
        </is>
      </c>
      <c r="C272" s="406" t="inlineStr">
        <is>
          <t>Hooking</t>
        </is>
      </c>
      <c r="D272" s="406" t="inlineStr">
        <is>
          <t>S2</t>
        </is>
      </c>
      <c r="E272" s="406" t="inlineStr">
        <is>
          <t>Yes</t>
        </is>
      </c>
      <c r="F272" s="406" t="inlineStr">
        <is>
          <t>Applicable after the trusted-access starting point.</t>
        </is>
      </c>
    </row>
    <row r="273" ht="15" customHeight="1" s="508">
      <c r="A273" s="406" t="inlineStr">
        <is>
          <t>Malicious Insider</t>
        </is>
      </c>
      <c r="B273" s="406" t="inlineStr">
        <is>
          <t>T0877</t>
        </is>
      </c>
      <c r="C273" s="406" t="inlineStr">
        <is>
          <t>I/O Image</t>
        </is>
      </c>
      <c r="D273" s="406" t="inlineStr">
        <is>
          <t>S4</t>
        </is>
      </c>
      <c r="E273" s="406" t="inlineStr">
        <is>
          <t>Yes</t>
        </is>
      </c>
      <c r="F273" s="406" t="inlineStr">
        <is>
          <t>Applicable after the trusted-access starting point.</t>
        </is>
      </c>
    </row>
    <row r="274" ht="15" customHeight="1" s="508">
      <c r="A274" s="406" t="inlineStr">
        <is>
          <t>Malicious Insider</t>
        </is>
      </c>
      <c r="B274" s="406" t="inlineStr">
        <is>
          <t>T0878</t>
        </is>
      </c>
      <c r="C274" s="406" t="inlineStr">
        <is>
          <t>Alarm Suppression</t>
        </is>
      </c>
      <c r="D274" s="406" t="inlineStr">
        <is>
          <t>S5</t>
        </is>
      </c>
      <c r="E274" s="406" t="inlineStr">
        <is>
          <t>Yes</t>
        </is>
      </c>
      <c r="F274" s="406" t="inlineStr">
        <is>
          <t>Applicable after the trusted-access starting point.</t>
        </is>
      </c>
    </row>
    <row r="275" ht="15" customHeight="1" s="508">
      <c r="A275" s="406" t="inlineStr">
        <is>
          <t>Malicious Insider</t>
        </is>
      </c>
      <c r="B275" s="406" t="inlineStr">
        <is>
          <t>T0879</t>
        </is>
      </c>
      <c r="C275" s="406" t="inlineStr">
        <is>
          <t>Damage to Property</t>
        </is>
      </c>
      <c r="D275" s="406" t="inlineStr">
        <is>
          <t>S5</t>
        </is>
      </c>
      <c r="E275" s="406" t="inlineStr">
        <is>
          <t>Yes</t>
        </is>
      </c>
      <c r="F275" s="406" t="inlineStr">
        <is>
          <t>Applicable after the trusted-access starting point.</t>
        </is>
      </c>
    </row>
    <row r="276" ht="15" customHeight="1" s="508">
      <c r="A276" s="406" t="inlineStr">
        <is>
          <t>Malicious Insider</t>
        </is>
      </c>
      <c r="B276" s="406" t="inlineStr">
        <is>
          <t>T0880</t>
        </is>
      </c>
      <c r="C276" s="406" t="inlineStr">
        <is>
          <t>Loss of Safety</t>
        </is>
      </c>
      <c r="D276" s="406" t="inlineStr">
        <is>
          <t>S5</t>
        </is>
      </c>
      <c r="E276" s="406" t="inlineStr">
        <is>
          <t>Yes</t>
        </is>
      </c>
      <c r="F276" s="406" t="inlineStr">
        <is>
          <t>Applicable after the trusted-access starting point.</t>
        </is>
      </c>
    </row>
    <row r="277" ht="15" customHeight="1" s="508">
      <c r="A277" s="406" t="inlineStr">
        <is>
          <t>Malicious Insider</t>
        </is>
      </c>
      <c r="B277" s="406" t="inlineStr">
        <is>
          <t>T0881</t>
        </is>
      </c>
      <c r="C277" s="406" t="inlineStr">
        <is>
          <t>Service Stop</t>
        </is>
      </c>
      <c r="D277" s="406" t="inlineStr">
        <is>
          <t>S5</t>
        </is>
      </c>
      <c r="E277" s="406" t="inlineStr">
        <is>
          <t>Yes</t>
        </is>
      </c>
      <c r="F277" s="406" t="inlineStr">
        <is>
          <t>Applicable after the trusted-access starting point.</t>
        </is>
      </c>
    </row>
    <row r="278" ht="15" customHeight="1" s="508">
      <c r="A278" s="406" t="inlineStr">
        <is>
          <t>Malicious Insider</t>
        </is>
      </c>
      <c r="B278" s="406" t="inlineStr">
        <is>
          <t>T0882</t>
        </is>
      </c>
      <c r="C278" s="406" t="inlineStr">
        <is>
          <t>Theft of Operational Information</t>
        </is>
      </c>
      <c r="D278" s="406" t="inlineStr">
        <is>
          <t>S5</t>
        </is>
      </c>
      <c r="E278" s="406" t="inlineStr">
        <is>
          <t>Yes</t>
        </is>
      </c>
      <c r="F278" s="406" t="inlineStr">
        <is>
          <t>Applicable after the trusted-access starting point.</t>
        </is>
      </c>
    </row>
    <row r="279" ht="27.75" customHeight="1" s="508">
      <c r="A279" s="406" t="inlineStr">
        <is>
          <t>Malicious Insider</t>
        </is>
      </c>
      <c r="B279" s="406" t="inlineStr">
        <is>
          <t>T0883</t>
        </is>
      </c>
      <c r="C279" s="406" t="inlineStr">
        <is>
          <t>Internet Accessible Device</t>
        </is>
      </c>
      <c r="D279" s="406" t="inlineStr">
        <is>
          <t>S1</t>
        </is>
      </c>
      <c r="E279" s="406" t="inlineStr">
        <is>
          <t>No</t>
        </is>
      </c>
      <c r="F279" s="406" t="inlineStr">
        <is>
          <t>Malicious insider starts inside the trust boundary; external Initial Access is bypassed.</t>
        </is>
      </c>
    </row>
    <row r="280" ht="15" customHeight="1" s="508">
      <c r="A280" s="406" t="inlineStr">
        <is>
          <t>Malicious Insider</t>
        </is>
      </c>
      <c r="B280" s="406" t="inlineStr">
        <is>
          <t>T0884</t>
        </is>
      </c>
      <c r="C280" s="406" t="inlineStr">
        <is>
          <t>Connection Proxy</t>
        </is>
      </c>
      <c r="D280" s="406" t="inlineStr">
        <is>
          <t>S3</t>
        </is>
      </c>
      <c r="E280" s="406" t="inlineStr">
        <is>
          <t>Yes</t>
        </is>
      </c>
      <c r="F280" s="406" t="inlineStr">
        <is>
          <t>Applicable after the trusted-access starting point.</t>
        </is>
      </c>
    </row>
    <row r="281" ht="15" customHeight="1" s="508">
      <c r="A281" s="406" t="inlineStr">
        <is>
          <t>Malicious Insider</t>
        </is>
      </c>
      <c r="B281" s="406" t="inlineStr">
        <is>
          <t>T0885</t>
        </is>
      </c>
      <c r="C281" s="406" t="inlineStr">
        <is>
          <t>Commonly Used Port</t>
        </is>
      </c>
      <c r="D281" s="406" t="inlineStr">
        <is>
          <t>S3</t>
        </is>
      </c>
      <c r="E281" s="406" t="inlineStr">
        <is>
          <t>Yes</t>
        </is>
      </c>
      <c r="F281" s="406" t="inlineStr">
        <is>
          <t>Applicable after the trusted-access starting point.</t>
        </is>
      </c>
    </row>
    <row r="282" ht="27.75" customHeight="1" s="508">
      <c r="A282" s="406" t="inlineStr">
        <is>
          <t>Malicious Insider</t>
        </is>
      </c>
      <c r="B282" s="406" t="inlineStr">
        <is>
          <t>T0886</t>
        </is>
      </c>
      <c r="C282" s="406" t="inlineStr">
        <is>
          <t>Remote Services</t>
        </is>
      </c>
      <c r="D282" s="406" t="inlineStr">
        <is>
          <t>S1</t>
        </is>
      </c>
      <c r="E282" s="406" t="inlineStr">
        <is>
          <t>No</t>
        </is>
      </c>
      <c r="F282" s="406" t="inlineStr">
        <is>
          <t>Malicious insider starts inside the trust boundary; external Initial Access is bypassed.</t>
        </is>
      </c>
    </row>
    <row r="283" ht="15" customHeight="1" s="508">
      <c r="A283" s="406" t="inlineStr">
        <is>
          <t>Malicious Insider</t>
        </is>
      </c>
      <c r="B283" s="406" t="inlineStr">
        <is>
          <t>T0887</t>
        </is>
      </c>
      <c r="C283" s="406" t="inlineStr">
        <is>
          <t>Wireless Sniffing</t>
        </is>
      </c>
      <c r="D283" s="406" t="inlineStr">
        <is>
          <t>S4</t>
        </is>
      </c>
      <c r="E283" s="406" t="inlineStr">
        <is>
          <t>Yes</t>
        </is>
      </c>
      <c r="F283" s="406" t="inlineStr">
        <is>
          <t>Applicable after the trusted-access starting point.</t>
        </is>
      </c>
    </row>
    <row r="284" ht="15" customHeight="1" s="508">
      <c r="A284" s="406" t="inlineStr">
        <is>
          <t>Malicious Insider</t>
        </is>
      </c>
      <c r="B284" s="406" t="inlineStr">
        <is>
          <t>T0888</t>
        </is>
      </c>
      <c r="C284" s="406" t="inlineStr">
        <is>
          <t>Remote System Information Discovery</t>
        </is>
      </c>
      <c r="D284" s="406" t="inlineStr">
        <is>
          <t>S4</t>
        </is>
      </c>
      <c r="E284" s="406" t="inlineStr">
        <is>
          <t>Yes</t>
        </is>
      </c>
      <c r="F284" s="406" t="inlineStr">
        <is>
          <t>Applicable after the trusted-access starting point.</t>
        </is>
      </c>
    </row>
    <row r="285" ht="15" customHeight="1" s="508">
      <c r="A285" s="406" t="inlineStr">
        <is>
          <t>Malicious Insider</t>
        </is>
      </c>
      <c r="B285" s="406" t="inlineStr">
        <is>
          <t>T0889</t>
        </is>
      </c>
      <c r="C285" s="406" t="inlineStr">
        <is>
          <t>Modify Program</t>
        </is>
      </c>
      <c r="D285" s="406" t="inlineStr">
        <is>
          <t>S2</t>
        </is>
      </c>
      <c r="E285" s="406" t="inlineStr">
        <is>
          <t>Yes</t>
        </is>
      </c>
      <c r="F285" s="406" t="inlineStr">
        <is>
          <t>Applicable after the trusted-access starting point.</t>
        </is>
      </c>
    </row>
    <row r="286" ht="15" customHeight="1" s="508">
      <c r="A286" s="406" t="inlineStr">
        <is>
          <t>Malicious Insider</t>
        </is>
      </c>
      <c r="B286" s="406" t="inlineStr">
        <is>
          <t>T0890</t>
        </is>
      </c>
      <c r="C286" s="406" t="inlineStr">
        <is>
          <t>Exploitation for Privilege Escalation</t>
        </is>
      </c>
      <c r="D286" s="406" t="inlineStr">
        <is>
          <t>S2</t>
        </is>
      </c>
      <c r="E286" s="406" t="inlineStr">
        <is>
          <t>Yes</t>
        </is>
      </c>
      <c r="F286" s="406" t="inlineStr">
        <is>
          <t>Applicable after the trusted-access starting point.</t>
        </is>
      </c>
    </row>
    <row r="287" ht="15" customHeight="1" s="508">
      <c r="A287" s="406" t="inlineStr">
        <is>
          <t>Malicious Insider</t>
        </is>
      </c>
      <c r="B287" s="406" t="inlineStr">
        <is>
          <t>T0892</t>
        </is>
      </c>
      <c r="C287" s="406" t="inlineStr">
        <is>
          <t>Change Credential</t>
        </is>
      </c>
      <c r="D287" s="406" t="inlineStr">
        <is>
          <t>S5</t>
        </is>
      </c>
      <c r="E287" s="406" t="inlineStr">
        <is>
          <t>Yes</t>
        </is>
      </c>
      <c r="F287" s="406" t="inlineStr">
        <is>
          <t>Applicable after the trusted-access starting point.</t>
        </is>
      </c>
    </row>
    <row r="288" ht="15" customHeight="1" s="508">
      <c r="A288" s="406" t="inlineStr">
        <is>
          <t>Malicious Insider</t>
        </is>
      </c>
      <c r="B288" s="406" t="inlineStr">
        <is>
          <t>T0893</t>
        </is>
      </c>
      <c r="C288" s="406" t="inlineStr">
        <is>
          <t>Data from Local System</t>
        </is>
      </c>
      <c r="D288" s="406" t="inlineStr">
        <is>
          <t>S4</t>
        </is>
      </c>
      <c r="E288" s="406" t="inlineStr">
        <is>
          <t>Yes</t>
        </is>
      </c>
      <c r="F288" s="406" t="inlineStr">
        <is>
          <t>Applicable after the trusted-access starting point.</t>
        </is>
      </c>
    </row>
    <row r="289" ht="15" customHeight="1" s="508">
      <c r="A289" s="406" t="inlineStr">
        <is>
          <t>Malicious Insider</t>
        </is>
      </c>
      <c r="B289" s="406" t="inlineStr">
        <is>
          <t>T0894</t>
        </is>
      </c>
      <c r="C289" s="406" t="inlineStr">
        <is>
          <t>System Binary Proxy Execution</t>
        </is>
      </c>
      <c r="D289" s="406" t="inlineStr">
        <is>
          <t>S2</t>
        </is>
      </c>
      <c r="E289" s="406" t="inlineStr">
        <is>
          <t>Yes</t>
        </is>
      </c>
      <c r="F289" s="406" t="inlineStr">
        <is>
          <t>Applicable after the trusted-access starting point.</t>
        </is>
      </c>
    </row>
    <row r="290" ht="15" customHeight="1" s="508">
      <c r="A290" s="406" t="inlineStr">
        <is>
          <t>Malicious Insider</t>
        </is>
      </c>
      <c r="B290" s="406" t="inlineStr">
        <is>
          <t>T0895</t>
        </is>
      </c>
      <c r="C290" s="406" t="inlineStr">
        <is>
          <t>Autorun Image</t>
        </is>
      </c>
      <c r="D290" s="406" t="inlineStr">
        <is>
          <t>S2</t>
        </is>
      </c>
      <c r="E290" s="406" t="inlineStr">
        <is>
          <t>Yes</t>
        </is>
      </c>
      <c r="F290" s="406" t="inlineStr">
        <is>
          <t>Applicable after the trusted-access starting point.</t>
        </is>
      </c>
    </row>
    <row r="291" ht="15" customHeight="1" s="508">
      <c r="A291" s="406" t="inlineStr">
        <is>
          <t>Malicious Insider</t>
        </is>
      </c>
      <c r="B291" s="406" t="inlineStr">
        <is>
          <t>T1691</t>
        </is>
      </c>
      <c r="C291" s="406" t="inlineStr">
        <is>
          <t>Block Operational Technology Message</t>
        </is>
      </c>
      <c r="D291" s="406" t="inlineStr">
        <is>
          <t>S5</t>
        </is>
      </c>
      <c r="E291" s="406" t="inlineStr">
        <is>
          <t>Yes</t>
        </is>
      </c>
      <c r="F291" s="406" t="inlineStr">
        <is>
          <t>Applicable after the trusted-access starting point.</t>
        </is>
      </c>
    </row>
    <row r="292" ht="15" customHeight="1" s="508">
      <c r="A292" s="406" t="inlineStr">
        <is>
          <t>Malicious Insider</t>
        </is>
      </c>
      <c r="B292" s="406" t="inlineStr">
        <is>
          <t>T1691.001</t>
        </is>
      </c>
      <c r="C292" s="406" t="inlineStr">
        <is>
          <t>Command Message</t>
        </is>
      </c>
      <c r="D292" s="406" t="inlineStr">
        <is>
          <t>S5</t>
        </is>
      </c>
      <c r="E292" s="406" t="inlineStr">
        <is>
          <t>Yes</t>
        </is>
      </c>
      <c r="F292" s="406" t="inlineStr">
        <is>
          <t>Applicable after the trusted-access starting point.</t>
        </is>
      </c>
    </row>
    <row r="293" ht="15" customHeight="1" s="508">
      <c r="A293" s="406" t="inlineStr">
        <is>
          <t>Malicious Insider</t>
        </is>
      </c>
      <c r="B293" s="406" t="inlineStr">
        <is>
          <t>T1691.002</t>
        </is>
      </c>
      <c r="C293" s="406" t="inlineStr">
        <is>
          <t>Reporting Message</t>
        </is>
      </c>
      <c r="D293" s="406" t="inlineStr">
        <is>
          <t>S5</t>
        </is>
      </c>
      <c r="E293" s="406" t="inlineStr">
        <is>
          <t>Yes</t>
        </is>
      </c>
      <c r="F293" s="406" t="inlineStr">
        <is>
          <t>Applicable after the trusted-access starting point.</t>
        </is>
      </c>
    </row>
    <row r="294" ht="15" customHeight="1" s="508">
      <c r="A294" s="406" t="inlineStr">
        <is>
          <t>Malicious Insider</t>
        </is>
      </c>
      <c r="B294" s="406" t="inlineStr">
        <is>
          <t>T1692</t>
        </is>
      </c>
      <c r="C294" s="406" t="inlineStr">
        <is>
          <t>Unauthorized Message</t>
        </is>
      </c>
      <c r="D294" s="406" t="inlineStr">
        <is>
          <t>S5</t>
        </is>
      </c>
      <c r="E294" s="406" t="inlineStr">
        <is>
          <t>Yes</t>
        </is>
      </c>
      <c r="F294" s="406" t="inlineStr">
        <is>
          <t>Applicable after the trusted-access starting point.</t>
        </is>
      </c>
    </row>
    <row r="295" ht="15" customHeight="1" s="508">
      <c r="A295" s="406" t="inlineStr">
        <is>
          <t>Malicious Insider</t>
        </is>
      </c>
      <c r="B295" s="406" t="inlineStr">
        <is>
          <t>T1692.001</t>
        </is>
      </c>
      <c r="C295" s="406" t="inlineStr">
        <is>
          <t>Command Message</t>
        </is>
      </c>
      <c r="D295" s="406" t="inlineStr">
        <is>
          <t>S5</t>
        </is>
      </c>
      <c r="E295" s="406" t="inlineStr">
        <is>
          <t>Yes</t>
        </is>
      </c>
      <c r="F295" s="406" t="inlineStr">
        <is>
          <t>Applicable after the trusted-access starting point.</t>
        </is>
      </c>
    </row>
    <row r="296" ht="15" customHeight="1" s="508">
      <c r="A296" s="406" t="inlineStr">
        <is>
          <t>Malicious Insider</t>
        </is>
      </c>
      <c r="B296" s="406" t="inlineStr">
        <is>
          <t>T1692.002</t>
        </is>
      </c>
      <c r="C296" s="406" t="inlineStr">
        <is>
          <t>Reporting Message</t>
        </is>
      </c>
      <c r="D296" s="406" t="inlineStr">
        <is>
          <t>S5</t>
        </is>
      </c>
      <c r="E296" s="406" t="inlineStr">
        <is>
          <t>Yes</t>
        </is>
      </c>
      <c r="F296" s="406" t="inlineStr">
        <is>
          <t>Applicable after the trusted-access starting point.</t>
        </is>
      </c>
    </row>
    <row r="297" ht="15" customHeight="1" s="508">
      <c r="A297" s="406" t="inlineStr">
        <is>
          <t>Malicious Insider</t>
        </is>
      </c>
      <c r="B297" s="406" t="inlineStr">
        <is>
          <t>T1693</t>
        </is>
      </c>
      <c r="C297" s="406" t="inlineStr">
        <is>
          <t>Modify Firmware</t>
        </is>
      </c>
      <c r="D297" s="406" t="inlineStr">
        <is>
          <t>S5</t>
        </is>
      </c>
      <c r="E297" s="406" t="inlineStr">
        <is>
          <t>Yes</t>
        </is>
      </c>
      <c r="F297" s="406" t="inlineStr">
        <is>
          <t>Applicable after the trusted-access starting point.</t>
        </is>
      </c>
    </row>
    <row r="298" ht="15" customHeight="1" s="508">
      <c r="A298" s="406" t="inlineStr">
        <is>
          <t>Malicious Insider</t>
        </is>
      </c>
      <c r="B298" s="406" t="inlineStr">
        <is>
          <t>T1693.001</t>
        </is>
      </c>
      <c r="C298" s="406" t="inlineStr">
        <is>
          <t>System Firmware</t>
        </is>
      </c>
      <c r="D298" s="406" t="inlineStr">
        <is>
          <t>S5</t>
        </is>
      </c>
      <c r="E298" s="406" t="inlineStr">
        <is>
          <t>Yes</t>
        </is>
      </c>
      <c r="F298" s="406" t="inlineStr">
        <is>
          <t>Applicable after the trusted-access starting point.</t>
        </is>
      </c>
    </row>
    <row r="299" ht="15" customHeight="1" s="508">
      <c r="A299" s="406" t="inlineStr">
        <is>
          <t>Malicious Insider</t>
        </is>
      </c>
      <c r="B299" s="406" t="inlineStr">
        <is>
          <t>T1693.002</t>
        </is>
      </c>
      <c r="C299" s="406" t="inlineStr">
        <is>
          <t>Module Firmware</t>
        </is>
      </c>
      <c r="D299" s="406" t="inlineStr">
        <is>
          <t>S5</t>
        </is>
      </c>
      <c r="E299" s="406" t="inlineStr">
        <is>
          <t>Yes</t>
        </is>
      </c>
      <c r="F299" s="406" t="inlineStr">
        <is>
          <t>Applicable after the trusted-access starting point.</t>
        </is>
      </c>
    </row>
    <row r="300" ht="15" customHeight="1" s="508">
      <c r="A300" s="406" t="inlineStr">
        <is>
          <t>Malicious Insider</t>
        </is>
      </c>
      <c r="B300" s="406" t="inlineStr">
        <is>
          <t>T1694</t>
        </is>
      </c>
      <c r="C300" s="406" t="inlineStr">
        <is>
          <t>Insecure Credentials</t>
        </is>
      </c>
      <c r="D300" s="406" t="inlineStr">
        <is>
          <t>S3</t>
        </is>
      </c>
      <c r="E300" s="406" t="inlineStr">
        <is>
          <t>Yes</t>
        </is>
      </c>
      <c r="F300" s="406" t="inlineStr">
        <is>
          <t>Applicable after the trusted-access starting point.</t>
        </is>
      </c>
    </row>
    <row r="301" ht="15" customHeight="1" s="508">
      <c r="A301" s="406" t="inlineStr">
        <is>
          <t>Malicious Insider</t>
        </is>
      </c>
      <c r="B301" s="406" t="inlineStr">
        <is>
          <t>T1694.001</t>
        </is>
      </c>
      <c r="C301" s="406" t="inlineStr">
        <is>
          <t>Default Credentials</t>
        </is>
      </c>
      <c r="D301" s="406" t="inlineStr">
        <is>
          <t>S3</t>
        </is>
      </c>
      <c r="E301" s="406" t="inlineStr">
        <is>
          <t>Yes</t>
        </is>
      </c>
      <c r="F301" s="406" t="inlineStr">
        <is>
          <t>Applicable after the trusted-access starting point.</t>
        </is>
      </c>
    </row>
    <row r="302" ht="15" customHeight="1" s="508">
      <c r="A302" s="406" t="inlineStr">
        <is>
          <t>Malicious Insider</t>
        </is>
      </c>
      <c r="B302" s="406" t="inlineStr">
        <is>
          <t>T1694.002</t>
        </is>
      </c>
      <c r="C302" s="406" t="inlineStr">
        <is>
          <t>Hardcoded Credentials</t>
        </is>
      </c>
      <c r="D302" s="406" t="inlineStr">
        <is>
          <t>S3</t>
        </is>
      </c>
      <c r="E302" s="406" t="inlineStr">
        <is>
          <t>Yes</t>
        </is>
      </c>
      <c r="F302" s="406" t="inlineStr">
        <is>
          <t>Applicable after the trusted-access starting point.</t>
        </is>
      </c>
    </row>
    <row r="303" ht="15" customHeight="1" s="508">
      <c r="A303" s="406" t="inlineStr">
        <is>
          <t>Malicious Insider</t>
        </is>
      </c>
      <c r="B303" s="406" t="inlineStr">
        <is>
          <t>T1695</t>
        </is>
      </c>
      <c r="C303" s="406" t="inlineStr">
        <is>
          <t>Block Communications</t>
        </is>
      </c>
      <c r="D303" s="406" t="inlineStr">
        <is>
          <t>S5</t>
        </is>
      </c>
      <c r="E303" s="406" t="inlineStr">
        <is>
          <t>Yes</t>
        </is>
      </c>
      <c r="F303" s="406" t="inlineStr">
        <is>
          <t>Applicable after the trusted-access starting point.</t>
        </is>
      </c>
    </row>
    <row r="304" ht="15" customHeight="1" s="508">
      <c r="A304" s="406" t="inlineStr">
        <is>
          <t>Malicious Insider</t>
        </is>
      </c>
      <c r="B304" s="406" t="inlineStr">
        <is>
          <t>T1695.001</t>
        </is>
      </c>
      <c r="C304" s="406" t="inlineStr">
        <is>
          <t>Serial COM</t>
        </is>
      </c>
      <c r="D304" s="406" t="inlineStr">
        <is>
          <t>S5</t>
        </is>
      </c>
      <c r="E304" s="406" t="inlineStr">
        <is>
          <t>Yes</t>
        </is>
      </c>
      <c r="F304" s="406" t="inlineStr">
        <is>
          <t>Applicable after the trusted-access starting point.</t>
        </is>
      </c>
    </row>
    <row r="305" ht="15" customHeight="1" s="508">
      <c r="A305" s="406" t="inlineStr">
        <is>
          <t>Malicious Insider</t>
        </is>
      </c>
      <c r="B305" s="406" t="inlineStr">
        <is>
          <t>T1695.002</t>
        </is>
      </c>
      <c r="C305" s="406" t="inlineStr">
        <is>
          <t>Ethernet</t>
        </is>
      </c>
      <c r="D305" s="406" t="inlineStr">
        <is>
          <t>S5</t>
        </is>
      </c>
      <c r="E305" s="406" t="inlineStr">
        <is>
          <t>Yes</t>
        </is>
      </c>
      <c r="F305" s="406" t="inlineStr">
        <is>
          <t>Applicable after the trusted-access starting point.</t>
        </is>
      </c>
    </row>
    <row r="306" ht="15" customHeight="1" s="508">
      <c r="A306" s="406" t="inlineStr">
        <is>
          <t>Malicious Insider</t>
        </is>
      </c>
      <c r="B306" s="406" t="inlineStr">
        <is>
          <t>T1695.003</t>
        </is>
      </c>
      <c r="C306" s="406" t="inlineStr">
        <is>
          <t>Wi-Fi</t>
        </is>
      </c>
      <c r="D306" s="406" t="inlineStr">
        <is>
          <t>S5</t>
        </is>
      </c>
      <c r="E306" s="406" t="inlineStr">
        <is>
          <t>Yes</t>
        </is>
      </c>
      <c r="F306" s="406" t="inlineStr">
        <is>
          <t>Applicable after the trusted-access starting point.</t>
        </is>
      </c>
    </row>
  </sheetData>
  <mergeCells count="13">
    <mergeCell ref="A2:F2"/>
    <mergeCell ref="A11:F11"/>
    <mergeCell ref="A10:F10"/>
    <mergeCell ref="A13:F13"/>
    <mergeCell ref="A1:F1"/>
    <mergeCell ref="A5:F5"/>
    <mergeCell ref="A9:F9"/>
    <mergeCell ref="A8:F8"/>
    <mergeCell ref="A6:F6"/>
    <mergeCell ref="A12:F12"/>
    <mergeCell ref="A4:F4"/>
    <mergeCell ref="A3:F3"/>
    <mergeCell ref="A7:F7"/>
  </mergeCells>
  <pageMargins left="0.7" right="0.7" top="0.75" bottom="0.75" header="0.3" footer="0.3"/>
</worksheet>
</file>

<file path=xl/worksheets/sheet41.xml><?xml version="1.0" encoding="utf-8"?>
<worksheet xmlns="http://schemas.openxmlformats.org/spreadsheetml/2006/main">
  <sheetPr>
    <tabColor rgb="00ED7D31"/>
    <outlinePr summaryBelow="1" summaryRight="1"/>
    <pageSetUpPr/>
  </sheetPr>
  <dimension ref="A1:J26"/>
  <sheetViews>
    <sheetView showGridLines="1" workbookViewId="0">
      <selection activeCell="A1" sqref="A1"/>
    </sheetView>
  </sheetViews>
  <sheetFormatPr baseColWidth="8" defaultColWidth="8.6796875" defaultRowHeight="15"/>
  <cols>
    <col width="14" customWidth="1" style="972" min="1" max="1"/>
    <col width="29" customWidth="1" style="972" min="2" max="2"/>
    <col width="34" customWidth="1" style="972" min="3" max="3"/>
    <col width="20" customWidth="1" style="972" min="4" max="4"/>
    <col width="25" customWidth="1" style="972" min="5" max="7"/>
    <col width="54" customWidth="1" style="972" min="8" max="8"/>
    <col width="28" customWidth="1" style="972" min="9" max="9"/>
    <col width="13" customWidth="1" style="972" min="10" max="10"/>
  </cols>
  <sheetData>
    <row r="1" ht="21.75" customHeight="1" s="508">
      <c r="A1" s="424" t="inlineStr">
        <is>
          <t>12 — Facility Feasibility Rules</t>
        </is>
      </c>
    </row>
    <row r="2" ht="37.5" customHeight="1" s="508">
      <c r="A2" s="402" t="inlineStr">
        <is>
          <t>Purpose: Gate TTPs or whole scenarios when the facility lacks the architectural condition required for that route.</t>
        </is>
      </c>
    </row>
    <row r="3" ht="37.5" customHeight="1" s="508">
      <c r="A3" s="403" t="inlineStr">
        <is>
          <t>In plain English: this prevents nonsensical paths such as wireless compromise when the OT environment has no wireless connectivity.</t>
        </is>
      </c>
    </row>
    <row r="4" ht="21.75" customHeight="1" s="508">
      <c r="A4" s="425" t="inlineStr">
        <is>
          <t>SHEET TYPE: MAPPING / MODEL LOGIC</t>
        </is>
      </c>
    </row>
    <row r="5" ht="21.75" customHeight="1" s="508">
      <c r="A5" s="405" t="inlineStr">
        <is>
          <t>Inputs / upstream sources</t>
        </is>
      </c>
    </row>
    <row r="6" ht="30" customHeight="1" s="508">
      <c r="A6" s="406" t="inlineStr">
        <is>
          <t>03 Facility Inputs plus explicit rule table below.</t>
        </is>
      </c>
    </row>
    <row r="7" ht="30" customHeight="1" s="508">
      <c r="A7" s="405" t="inlineStr">
        <is>
          <t>Calculation / decision logic</t>
        </is>
      </c>
    </row>
    <row r="8" ht="30" customHeight="1" s="508">
      <c r="A8" s="406" t="inlineStr">
        <is>
          <t>Relevant TTP = ScenarioRelevant AND ActorApplicable AND FacilityFeasible. Rules below are explicit exceptions; a TTP with no facility rule defaults to feasible. Current Facility Value and Feasible? are formula-linked to 04 Facility Inputs for review transparency.</t>
        </is>
      </c>
    </row>
    <row r="9" ht="30" customHeight="1" s="508">
      <c r="A9" s="405" t="inlineStr">
        <is>
          <t>Key assumptions / defaults</t>
        </is>
      </c>
    </row>
    <row r="10" ht="30" customHeight="1" s="508">
      <c r="A10" s="406" t="inlineStr">
        <is>
          <t>Rules are intentionally narrow. A facility input can affect both feasibility (is a route possible?) and frequency exposure (does it make campaigns more likely?) for different causal reasons.</t>
        </is>
      </c>
    </row>
    <row r="11" ht="30" customHeight="1" s="508">
      <c r="A11" s="405" t="inlineStr">
        <is>
          <t>Outputs / downstream use</t>
        </is>
      </c>
    </row>
    <row r="12" ht="30" customHeight="1" s="508">
      <c r="A12" s="406" t="inlineStr">
        <is>
          <t>Feeds 14 TTP Relevance Calc and attack-path generation.</t>
        </is>
      </c>
    </row>
    <row r="13" ht="30" customHeight="1" s="508">
      <c r="A13" s="407" t="inlineStr">
        <is>
          <t>Workbook convention: yellow cells / blue font are editable inputs or calibration assumptions; engine-output cells are not manually editable.</t>
        </is>
      </c>
    </row>
    <row r="15" ht="15" customHeight="1" s="508">
      <c r="A15" s="408" t="inlineStr">
        <is>
          <t>Rule target</t>
        </is>
      </c>
      <c r="B15" s="408" t="inlineStr">
        <is>
          <t>ID / Scenario</t>
        </is>
      </c>
      <c r="C15" s="408" t="inlineStr">
        <is>
          <t>Technique / Scenario</t>
        </is>
      </c>
      <c r="D15" s="408" t="inlineStr">
        <is>
          <t>Rule code</t>
        </is>
      </c>
      <c r="E15" s="408" t="inlineStr">
        <is>
          <t>Facility input 1</t>
        </is>
      </c>
      <c r="F15" s="408" t="inlineStr">
        <is>
          <t>Facility input 2</t>
        </is>
      </c>
      <c r="G15" s="408" t="inlineStr">
        <is>
          <t>Required condition</t>
        </is>
      </c>
      <c r="H15" s="408" t="inlineStr">
        <is>
          <t>Rationale</t>
        </is>
      </c>
      <c r="I15" s="408" t="inlineStr">
        <is>
          <t>Current facility value</t>
        </is>
      </c>
      <c r="J15" s="408" t="inlineStr">
        <is>
          <t>Feasible?</t>
        </is>
      </c>
    </row>
    <row r="16" ht="15" customHeight="1" s="508">
      <c r="A16" s="406" t="inlineStr">
        <is>
          <t>TTP</t>
        </is>
      </c>
      <c r="B16" s="406" t="inlineStr">
        <is>
          <t>T0822</t>
        </is>
      </c>
      <c r="C16" s="406" t="inlineStr">
        <is>
          <t>External Remote Services</t>
        </is>
      </c>
      <c r="D16" s="406" t="inlineStr">
        <is>
          <t>REMOTE_REQUIRED</t>
        </is>
      </c>
      <c r="E16" s="406" t="inlineStr">
        <is>
          <t>REMOTE_ACCESS</t>
        </is>
      </c>
      <c r="F16" s="406" t="n"/>
      <c r="G16" s="406" t="inlineStr">
        <is>
          <t>Not None</t>
        </is>
      </c>
      <c r="H16" s="406" t="inlineStr">
        <is>
          <t>Requires a remote-access path.</t>
        </is>
      </c>
      <c r="I16" s="406">
        <f>INDEX('OT 03 - Facility Inputs'!$C$16:$C$29,MATCH(E16,'OT 03 - Facility Inputs'!$A$16:$A$29,0))</f>
        <v/>
      </c>
      <c r="J16" s="406">
        <f>IF(INDEX('OT 03 - Facility Inputs'!$C$16:$C$29,MATCH(E16,'OT 03 - Facility Inputs'!$A$16:$A$29,0))&lt;&gt;"None","Yes","No")</f>
        <v/>
      </c>
    </row>
    <row r="17" ht="27.75" customHeight="1" s="508">
      <c r="A17" s="406" t="inlineStr">
        <is>
          <t>TTP</t>
        </is>
      </c>
      <c r="B17" s="406" t="inlineStr">
        <is>
          <t>T0866</t>
        </is>
      </c>
      <c r="C17" s="406" t="inlineStr">
        <is>
          <t>Exploitation of Remote Services</t>
        </is>
      </c>
      <c r="D17" s="406" t="inlineStr">
        <is>
          <t>REMOTE_OR_ITOT</t>
        </is>
      </c>
      <c r="E17" s="406" t="inlineStr">
        <is>
          <t>REMOTE_ACCESS</t>
        </is>
      </c>
      <c r="F17" s="406" t="inlineStr">
        <is>
          <t>IT_OT_CONNECTIVITY</t>
        </is>
      </c>
      <c r="G17" s="406" t="inlineStr">
        <is>
          <t>Remote path or IT-OT connection</t>
        </is>
      </c>
      <c r="H17" s="406" t="inlineStr">
        <is>
          <t>Requires a remotely reachable service or an IT-to-OT path.</t>
        </is>
      </c>
      <c r="I17" s="406">
        <f>INDEX('OT 03 - Facility Inputs'!$C$16:$C$29,MATCH(E17,'OT 03 - Facility Inputs'!$A$16:$A$29,0))&amp;" / "&amp;INDEX('OT 03 - Facility Inputs'!$C$16:$C$29,MATCH(F17,'OT 03 - Facility Inputs'!$A$16:$A$29,0))</f>
        <v/>
      </c>
      <c r="J17" s="406">
        <f>IF(OR(INDEX('OT 03 - Facility Inputs'!$C$16:$C$29,MATCH(E17,'OT 03 - Facility Inputs'!$A$16:$A$29,0))&lt;&gt;"None",INDEX('OT 03 - Facility Inputs'!$C$16:$C$29,MATCH(F17,'OT 03 - Facility Inputs'!$A$16:$A$29,0))="Yes"),"Yes","No")</f>
        <v/>
      </c>
    </row>
    <row r="18" ht="27.75" customHeight="1" s="508">
      <c r="A18" s="406" t="inlineStr">
        <is>
          <t>TTP</t>
        </is>
      </c>
      <c r="B18" s="406" t="inlineStr">
        <is>
          <t>T0886</t>
        </is>
      </c>
      <c r="C18" s="406" t="inlineStr">
        <is>
          <t>Remote Services</t>
        </is>
      </c>
      <c r="D18" s="406" t="inlineStr">
        <is>
          <t>REMOTE_OR_ITOT</t>
        </is>
      </c>
      <c r="E18" s="406" t="inlineStr">
        <is>
          <t>REMOTE_ACCESS</t>
        </is>
      </c>
      <c r="F18" s="406" t="inlineStr">
        <is>
          <t>IT_OT_CONNECTIVITY</t>
        </is>
      </c>
      <c r="G18" s="406" t="inlineStr">
        <is>
          <t>Remote path or IT-OT connection</t>
        </is>
      </c>
      <c r="H18" s="406" t="inlineStr">
        <is>
          <t>Requires a remotely reachable service or an IT-to-OT path.</t>
        </is>
      </c>
      <c r="I18" s="406">
        <f>INDEX('OT 03 - Facility Inputs'!$C$16:$C$29,MATCH(E18,'OT 03 - Facility Inputs'!$A$16:$A$29,0))&amp;" / "&amp;INDEX('OT 03 - Facility Inputs'!$C$16:$C$29,MATCH(F18,'OT 03 - Facility Inputs'!$A$16:$A$29,0))</f>
        <v/>
      </c>
      <c r="J18" s="406">
        <f>IF(OR(INDEX('OT 03 - Facility Inputs'!$C$16:$C$29,MATCH(E18,'OT 03 - Facility Inputs'!$A$16:$A$29,0))&lt;&gt;"None",INDEX('OT 03 - Facility Inputs'!$C$16:$C$29,MATCH(F18,'OT 03 - Facility Inputs'!$A$16:$A$29,0))="Yes"),"Yes","No")</f>
        <v/>
      </c>
    </row>
    <row r="19" ht="15" customHeight="1" s="508">
      <c r="A19" s="406" t="inlineStr">
        <is>
          <t>TTP</t>
        </is>
      </c>
      <c r="B19" s="406" t="inlineStr">
        <is>
          <t>T0883</t>
        </is>
      </c>
      <c r="C19" s="406" t="inlineStr">
        <is>
          <t>Internet Accessible Device</t>
        </is>
      </c>
      <c r="D19" s="406" t="inlineStr">
        <is>
          <t>INTERNET_OT</t>
        </is>
      </c>
      <c r="E19" s="406" t="inlineStr">
        <is>
          <t>INTERNET_OT</t>
        </is>
      </c>
      <c r="F19" s="406" t="n"/>
      <c r="G19" s="406" t="inlineStr">
        <is>
          <t>Yes</t>
        </is>
      </c>
      <c r="H19" s="406" t="inlineStr">
        <is>
          <t>Requires a critical OT service/device to be internet accessible.</t>
        </is>
      </c>
      <c r="I19" s="406">
        <f>INDEX('OT 03 - Facility Inputs'!$C$16:$C$29,MATCH(E19,'OT 03 - Facility Inputs'!$A$16:$A$29,0))</f>
        <v/>
      </c>
      <c r="J19" s="406">
        <f>IF(INDEX('OT 03 - Facility Inputs'!$C$16:$C$29,MATCH(E19,'OT 03 - Facility Inputs'!$A$16:$A$29,0))="Yes","Yes","No")</f>
        <v/>
      </c>
    </row>
    <row r="20" ht="15" customHeight="1" s="508">
      <c r="A20" s="406" t="inlineStr">
        <is>
          <t>TTP</t>
        </is>
      </c>
      <c r="B20" s="406" t="inlineStr">
        <is>
          <t>T0864</t>
        </is>
      </c>
      <c r="C20" s="406" t="inlineStr">
        <is>
          <t>Transient Cyber Asset</t>
        </is>
      </c>
      <c r="D20" s="406" t="inlineStr">
        <is>
          <t>TRANSIENT_REQUIRED</t>
        </is>
      </c>
      <c r="E20" s="406" t="inlineStr">
        <is>
          <t>TRANSIENT_ASSETS</t>
        </is>
      </c>
      <c r="F20" s="406" t="n"/>
      <c r="G20" s="406" t="inlineStr">
        <is>
          <t>Not None</t>
        </is>
      </c>
      <c r="H20" s="406" t="inlineStr">
        <is>
          <t>Requires transient/contractor assets.</t>
        </is>
      </c>
      <c r="I20" s="406">
        <f>INDEX('OT 03 - Facility Inputs'!$C$16:$C$29,MATCH(E20,'OT 03 - Facility Inputs'!$A$16:$A$29,0))</f>
        <v/>
      </c>
      <c r="J20" s="406">
        <f>IF(INDEX('OT 03 - Facility Inputs'!$C$16:$C$29,MATCH(E20,'OT 03 - Facility Inputs'!$A$16:$A$29,0))&lt;&gt;"None","Yes","No")</f>
        <v/>
      </c>
    </row>
    <row r="21" ht="15" customHeight="1" s="508">
      <c r="A21" s="406" t="inlineStr">
        <is>
          <t>TTP</t>
        </is>
      </c>
      <c r="B21" s="406" t="inlineStr">
        <is>
          <t>T0847</t>
        </is>
      </c>
      <c r="C21" s="406" t="inlineStr">
        <is>
          <t>Replication Through Removable Media</t>
        </is>
      </c>
      <c r="D21" s="406" t="inlineStr">
        <is>
          <t>TRANSIENT_REQUIRED</t>
        </is>
      </c>
      <c r="E21" s="406" t="inlineStr">
        <is>
          <t>TRANSIENT_ASSETS</t>
        </is>
      </c>
      <c r="F21" s="406" t="n"/>
      <c r="G21" s="406" t="inlineStr">
        <is>
          <t>Not None</t>
        </is>
      </c>
      <c r="H21" s="406" t="inlineStr">
        <is>
          <t>Uses transient/removable-media route as a feasibility proxy.</t>
        </is>
      </c>
      <c r="I21" s="406">
        <f>INDEX('OT 03 - Facility Inputs'!$C$16:$C$29,MATCH(E21,'OT 03 - Facility Inputs'!$A$16:$A$29,0))</f>
        <v/>
      </c>
      <c r="J21" s="406">
        <f>IF(INDEX('OT 03 - Facility Inputs'!$C$16:$C$29,MATCH(E21,'OT 03 - Facility Inputs'!$A$16:$A$29,0))&lt;&gt;"None","Yes","No")</f>
        <v/>
      </c>
    </row>
    <row r="22" ht="15" customHeight="1" s="508">
      <c r="A22" s="406" t="inlineStr">
        <is>
          <t>TTP</t>
        </is>
      </c>
      <c r="B22" s="406" t="inlineStr">
        <is>
          <t>T0862</t>
        </is>
      </c>
      <c r="C22" s="406" t="inlineStr">
        <is>
          <t>Supply Chain Compromise</t>
        </is>
      </c>
      <c r="D22" s="406" t="inlineStr">
        <is>
          <t>SUPPLY_CHAIN</t>
        </is>
      </c>
      <c r="E22" s="406" t="inlineStr">
        <is>
          <t>SUPPLY_CHAIN_ROUTE</t>
        </is>
      </c>
      <c r="F22" s="406" t="n"/>
      <c r="G22" s="406" t="inlineStr">
        <is>
          <t>Yes</t>
        </is>
      </c>
      <c r="H22" s="406" t="inlineStr">
        <is>
          <t>Requires a trusted supplier/update route.</t>
        </is>
      </c>
      <c r="I22" s="406">
        <f>INDEX('OT 03 - Facility Inputs'!$C$16:$C$29,MATCH(E22,'OT 03 - Facility Inputs'!$A$16:$A$29,0))</f>
        <v/>
      </c>
      <c r="J22" s="406">
        <f>IF(INDEX('OT 03 - Facility Inputs'!$C$16:$C$29,MATCH(E22,'OT 03 - Facility Inputs'!$A$16:$A$29,0))="Yes","Yes","No")</f>
        <v/>
      </c>
    </row>
    <row r="23" ht="15" customHeight="1" s="508">
      <c r="A23" s="406" t="inlineStr">
        <is>
          <t>TTP</t>
        </is>
      </c>
      <c r="B23" s="406" t="inlineStr">
        <is>
          <t>T0860</t>
        </is>
      </c>
      <c r="C23" s="406" t="inlineStr">
        <is>
          <t>Wireless Compromise</t>
        </is>
      </c>
      <c r="D23" s="406" t="inlineStr">
        <is>
          <t>WIRELESS</t>
        </is>
      </c>
      <c r="E23" s="406" t="inlineStr">
        <is>
          <t>WIRELESS_OT</t>
        </is>
      </c>
      <c r="F23" s="406" t="n"/>
      <c r="G23" s="406" t="inlineStr">
        <is>
          <t>Yes</t>
        </is>
      </c>
      <c r="H23" s="406" t="inlineStr">
        <is>
          <t>Requires wireless OT connectivity.</t>
        </is>
      </c>
      <c r="I23" s="406">
        <f>INDEX('OT 03 - Facility Inputs'!$C$16:$C$29,MATCH(E23,'OT 03 - Facility Inputs'!$A$16:$A$29,0))</f>
        <v/>
      </c>
      <c r="J23" s="406">
        <f>IF(INDEX('OT 03 - Facility Inputs'!$C$16:$C$29,MATCH(E23,'OT 03 - Facility Inputs'!$A$16:$A$29,0))="Yes","Yes","No")</f>
        <v/>
      </c>
    </row>
    <row r="24" ht="15" customHeight="1" s="508">
      <c r="A24" s="406" t="inlineStr">
        <is>
          <t>TTP</t>
        </is>
      </c>
      <c r="B24" s="406" t="inlineStr">
        <is>
          <t>T0887</t>
        </is>
      </c>
      <c r="C24" s="406" t="inlineStr">
        <is>
          <t>Wireless Sniffing</t>
        </is>
      </c>
      <c r="D24" s="406" t="inlineStr">
        <is>
          <t>WIRELESS</t>
        </is>
      </c>
      <c r="E24" s="406" t="inlineStr">
        <is>
          <t>WIRELESS_OT</t>
        </is>
      </c>
      <c r="F24" s="406" t="n"/>
      <c r="G24" s="406" t="inlineStr">
        <is>
          <t>Yes</t>
        </is>
      </c>
      <c r="H24" s="406" t="inlineStr">
        <is>
          <t>Requires wireless OT connectivity.</t>
        </is>
      </c>
      <c r="I24" s="406">
        <f>INDEX('OT 03 - Facility Inputs'!$C$16:$C$29,MATCH(E24,'OT 03 - Facility Inputs'!$A$16:$A$29,0))</f>
        <v/>
      </c>
      <c r="J24" s="406">
        <f>IF(INDEX('OT 03 - Facility Inputs'!$C$16:$C$29,MATCH(E24,'OT 03 - Facility Inputs'!$A$16:$A$29,0))="Yes","Yes","No")</f>
        <v/>
      </c>
    </row>
    <row r="25" ht="15" customHeight="1" s="508">
      <c r="A25" s="406" t="inlineStr">
        <is>
          <t>TTP</t>
        </is>
      </c>
      <c r="B25" s="406" t="inlineStr">
        <is>
          <t>T1695.003</t>
        </is>
      </c>
      <c r="C25" s="406" t="inlineStr">
        <is>
          <t>Wi-Fi</t>
        </is>
      </c>
      <c r="D25" s="406" t="inlineStr">
        <is>
          <t>WIRELESS</t>
        </is>
      </c>
      <c r="E25" s="406" t="inlineStr">
        <is>
          <t>WIRELESS_OT</t>
        </is>
      </c>
      <c r="F25" s="406" t="n"/>
      <c r="G25" s="406" t="inlineStr">
        <is>
          <t>Yes</t>
        </is>
      </c>
      <c r="H25" s="406" t="inlineStr">
        <is>
          <t>Requires wireless OT connectivity.</t>
        </is>
      </c>
      <c r="I25" s="406">
        <f>INDEX('OT 03 - Facility Inputs'!$C$16:$C$29,MATCH(E25,'OT 03 - Facility Inputs'!$A$16:$A$29,0))</f>
        <v/>
      </c>
      <c r="J25" s="406">
        <f>IF(INDEX('OT 03 - Facility Inputs'!$C$16:$C$29,MATCH(E25,'OT 03 - Facility Inputs'!$A$16:$A$29,0))="Yes","Yes","No")</f>
        <v/>
      </c>
    </row>
    <row r="26" ht="27.75" customHeight="1" s="508">
      <c r="A26" s="406" t="inlineStr">
        <is>
          <t>Scenario</t>
        </is>
      </c>
      <c r="B26" s="406" t="inlineStr">
        <is>
          <t>Safety System Compromise</t>
        </is>
      </c>
      <c r="C26" s="406" t="inlineStr">
        <is>
          <t>Safety System Compromise</t>
        </is>
      </c>
      <c r="D26" s="406" t="inlineStr">
        <is>
          <t>SIS_PRESENT</t>
        </is>
      </c>
      <c r="E26" s="406" t="inlineStr">
        <is>
          <t>SAFETY_SYSTEM</t>
        </is>
      </c>
      <c r="F26" s="406" t="n"/>
      <c r="G26" s="406" t="inlineStr">
        <is>
          <t>Not None</t>
        </is>
      </c>
      <c r="H26" s="406" t="inlineStr">
        <is>
          <t>Scenario not quantified when no safety/protection system exists.</t>
        </is>
      </c>
      <c r="I26" s="406">
        <f>INDEX('OT 03 - Facility Inputs'!$C$16:$C$29,MATCH(E26,'OT 03 - Facility Inputs'!$A$16:$A$29,0))</f>
        <v/>
      </c>
      <c r="J26" s="406">
        <f>IF(INDEX('OT 03 - Facility Inputs'!$C$16:$C$29,MATCH(E26,'OT 03 - Facility Inputs'!$A$16:$A$29,0))&lt;&gt;"None","Yes","No")</f>
        <v/>
      </c>
    </row>
  </sheetData>
  <mergeCells count="13">
    <mergeCell ref="A1:J1"/>
    <mergeCell ref="A5:J5"/>
    <mergeCell ref="A8:J8"/>
    <mergeCell ref="A6:J6"/>
    <mergeCell ref="A9:J9"/>
    <mergeCell ref="A3:J3"/>
    <mergeCell ref="A12:J12"/>
    <mergeCell ref="A4:J4"/>
    <mergeCell ref="A7:J7"/>
    <mergeCell ref="A2:J2"/>
    <mergeCell ref="A10:J10"/>
    <mergeCell ref="A13:J13"/>
    <mergeCell ref="A11:J11"/>
  </mergeCells>
  <conditionalFormatting sqref="J16:J26">
    <cfRule type="expression" rank="0" priority="2" equalAverage="0" aboveAverage="0" dxfId="0" percent="0" bottom="0">
      <formula>J16="No"</formula>
    </cfRule>
  </conditionalFormatting>
  <pageMargins left="0.7" right="0.7" top="0.75" bottom="0.75" header="0.3" footer="0.3"/>
</worksheet>
</file>

<file path=xl/worksheets/sheet42.xml><?xml version="1.0" encoding="utf-8"?>
<worksheet xmlns="http://schemas.openxmlformats.org/spreadsheetml/2006/main">
  <sheetPr>
    <tabColor rgb="00ED7D31"/>
    <outlinePr summaryBelow="1" summaryRight="1"/>
    <pageSetUpPr/>
  </sheetPr>
  <dimension ref="A1:M417"/>
  <sheetViews>
    <sheetView showGridLines="1" workbookViewId="0">
      <selection activeCell="A1" sqref="A1"/>
    </sheetView>
  </sheetViews>
  <sheetFormatPr baseColWidth="8" defaultColWidth="8.6796875" defaultRowHeight="15"/>
  <cols>
    <col width="14" customWidth="1" style="972" min="1" max="1"/>
    <col width="34" customWidth="1" style="972" min="2" max="2"/>
    <col width="14" customWidth="1" style="972" min="3" max="3"/>
    <col width="34" customWidth="1" style="972" min="4" max="4"/>
    <col width="22" customWidth="1" style="972" min="5" max="5"/>
    <col width="15" customWidth="1" style="972" min="6" max="9"/>
    <col width="32" customWidth="1" style="972" min="10" max="10"/>
    <col width="46" customWidth="1" style="972" min="11" max="12"/>
    <col width="65" customWidth="1" style="972" min="13" max="13"/>
  </cols>
  <sheetData>
    <row r="1" ht="21.75" customHeight="1" s="508">
      <c r="A1" s="424" t="inlineStr">
        <is>
          <t>13 — TTP → Control Mapping &amp; Efficacy</t>
        </is>
      </c>
    </row>
    <row r="2" ht="37.5" customHeight="1" s="508">
      <c r="A2" s="402" t="inlineStr">
        <is>
          <t>Purpose: Link ATT&amp;CK ICS techniques to controls and calculate the realised efficacy of each TTP-control relationship.</t>
        </is>
      </c>
    </row>
    <row r="3" ht="37.5" customHeight="1" s="508">
      <c r="A3" s="403" t="inlineStr">
        <is>
          <t>In plain English: this is where control efficacy actually lives. A control does not have one universal effectiveness score; efficacy is evaluated for each mapped TTP relationship.</t>
        </is>
      </c>
    </row>
    <row r="4" ht="21.75" customHeight="1" s="508">
      <c r="A4" s="425" t="inlineStr">
        <is>
          <t>SHEET TYPE: MAPPING / MODEL LOGIC</t>
        </is>
      </c>
    </row>
    <row r="5" ht="21.75" customHeight="1" s="508">
      <c r="A5" s="405" t="inlineStr">
        <is>
          <t>Inputs / upstream sources</t>
        </is>
      </c>
    </row>
    <row r="6" ht="30" customHeight="1" s="508">
      <c r="A6" s="406" t="inlineStr">
        <is>
          <t>ATT&amp;CK mitigation relationships, 04 Control Assessment and the editable Base Efficacy prior on this sheet.</t>
        </is>
      </c>
    </row>
    <row r="7" ht="30" customHeight="1" s="508">
      <c r="A7" s="405" t="inlineStr">
        <is>
          <t>Calculation / decision logic</t>
        </is>
      </c>
    </row>
    <row r="8" ht="30" customHeight="1" s="508">
      <c r="A8" s="406" t="inlineStr">
        <is>
          <t>Applied Efficacy(c,t) = Base Efficacy(c,t) × Maturity Factor(c) × Coverage Used(c). Maturity and coverage columns are formula-linked to 04. The Python engine independently performs the same deterministic calculation before aggregating barriers.</t>
        </is>
      </c>
    </row>
    <row r="9" ht="30" customHeight="1" s="508">
      <c r="A9" s="405" t="inlineStr">
        <is>
          <t>Key assumptions / defaults</t>
        </is>
      </c>
    </row>
    <row r="10" ht="30" customHeight="1" s="508">
      <c r="A10" s="406" t="inlineStr">
        <is>
          <t>Base Efficacy is an explicit WORKING PRIOR, not an empirical fact. The current Power Generation reference calibration uses 80% for non-excluded mappings; ATT&amp;CK identifies mitigation applicability but does not quantify probability of prevention. Where a relevant TTP has no mapped control in a causal channel, the model assigns zero efficacy for that channel; this is a mapping-coverage limitation, not evidence that the technique is inherently unmitigable. Calibrate mappings and efficacy values when testing / incident / SME evidence is available.</t>
        </is>
      </c>
    </row>
    <row r="11" ht="30" customHeight="1" s="508">
      <c r="A11" s="405" t="inlineStr">
        <is>
          <t>Outputs / downstream use</t>
        </is>
      </c>
    </row>
    <row r="12" ht="30" customHeight="1" s="508">
      <c r="A12" s="406" t="inlineStr">
        <is>
          <t>Feeds 15 Attack Path Calc and Detect/Recover/Safety consequence adjustments. Control what-if results remain provisional until Base Efficacy is calibrated.</t>
        </is>
      </c>
    </row>
    <row r="13" ht="30" customHeight="1" s="508">
      <c r="A13" s="407" t="inlineStr">
        <is>
          <t>Workbook convention: yellow cells / blue font are editable inputs or calibration assumptions; engine-output cells are not manually editable.</t>
        </is>
      </c>
    </row>
    <row r="15" ht="15" customHeight="1" s="508">
      <c r="A15" s="408" t="inlineStr">
        <is>
          <t>TTP ID</t>
        </is>
      </c>
      <c r="B15" s="408" t="inlineStr">
        <is>
          <t>Technique</t>
        </is>
      </c>
      <c r="C15" s="408" t="inlineStr">
        <is>
          <t>Control ID</t>
        </is>
      </c>
      <c r="D15" s="408" t="inlineStr">
        <is>
          <t>Control</t>
        </is>
      </c>
      <c r="E15" s="408" t="inlineStr">
        <is>
          <t>Channel</t>
        </is>
      </c>
      <c r="F15" s="408" t="inlineStr">
        <is>
          <t>Base efficacy</t>
        </is>
      </c>
      <c r="G15" s="408" t="inlineStr">
        <is>
          <t>Maturity factor</t>
        </is>
      </c>
      <c r="H15" s="408" t="inlineStr">
        <is>
          <t>Coverage used</t>
        </is>
      </c>
      <c r="I15" s="408" t="inlineStr">
        <is>
          <t>Applied efficacy</t>
        </is>
      </c>
      <c r="J15" s="408" t="inlineStr">
        <is>
          <t>Mapping source</t>
        </is>
      </c>
      <c r="K15" s="408" t="inlineStr">
        <is>
          <t>Technique URL</t>
        </is>
      </c>
      <c r="L15" s="408" t="inlineStr">
        <is>
          <t>Control URL</t>
        </is>
      </c>
      <c r="M15" s="408" t="inlineStr">
        <is>
          <t>Efficacy basis / status</t>
        </is>
      </c>
    </row>
    <row r="16" ht="41.25" customHeight="1" s="508">
      <c r="A16" s="406" t="inlineStr">
        <is>
          <t>T0800</t>
        </is>
      </c>
      <c r="B16" s="406" t="inlineStr">
        <is>
          <t>Activate Firmware Update Mode</t>
        </is>
      </c>
      <c r="C16" s="406" t="inlineStr">
        <is>
          <t>M0801</t>
        </is>
      </c>
      <c r="D16" s="406" t="inlineStr">
        <is>
          <t>Access Management</t>
        </is>
      </c>
      <c r="E16" s="406" t="inlineStr">
        <is>
          <t>Prevent / Resist</t>
        </is>
      </c>
      <c r="F16" s="417" t="n">
        <v>0.8</v>
      </c>
      <c r="G16" s="444">
        <f>IFERROR(INDEX('OT 04 - Control Assessment'!$I$16:$I$67,MATCH(C16,'OT 04 - Control Assessment'!$A$16:$A$67,0)),0)</f>
        <v/>
      </c>
      <c r="H16" s="444">
        <f>IFERROR(INDEX('OT 04 - Control Assessment'!$J$16:$J$67,MATCH(C16,'OT 04 - Control Assessment'!$A$16:$A$67,0)),0)</f>
        <v/>
      </c>
      <c r="I16" s="444">
        <f>F16*G16*H16</f>
        <v/>
      </c>
      <c r="J16" s="406" t="inlineStr">
        <is>
          <t>Direct ATT&amp;CK mitigation relationship</t>
        </is>
      </c>
      <c r="K16" s="426" t="inlineStr">
        <is>
          <t>https://attack.mitre.org/techniques/T0800</t>
        </is>
      </c>
      <c r="L16" s="426" t="inlineStr">
        <is>
          <t>https://attack.mitre.org/mitigations/M0801</t>
        </is>
      </c>
      <c r="M16" s="406" t="inlineStr">
        <is>
          <t>Current Power Generation working prior (80%) because ATT&amp;CK establishes mitigation applicability but does not quantify efficacy. Replace with test / incident / SME calibration when available.</t>
        </is>
      </c>
    </row>
    <row r="17" ht="41.25" customHeight="1" s="508">
      <c r="A17" s="406" t="inlineStr">
        <is>
          <t>T0858</t>
        </is>
      </c>
      <c r="B17" s="406" t="inlineStr">
        <is>
          <t>Change Operating Mode</t>
        </is>
      </c>
      <c r="C17" s="406" t="inlineStr">
        <is>
          <t>M0801</t>
        </is>
      </c>
      <c r="D17" s="406" t="inlineStr">
        <is>
          <t>Access Management</t>
        </is>
      </c>
      <c r="E17" s="406" t="inlineStr">
        <is>
          <t>Prevent / Resist</t>
        </is>
      </c>
      <c r="F17" s="417" t="n">
        <v>0.8</v>
      </c>
      <c r="G17" s="444">
        <f>IFERROR(INDEX('OT 04 - Control Assessment'!$I$16:$I$67,MATCH(C17,'OT 04 - Control Assessment'!$A$16:$A$67,0)),0)</f>
        <v/>
      </c>
      <c r="H17" s="444">
        <f>IFERROR(INDEX('OT 04 - Control Assessment'!$J$16:$J$67,MATCH(C17,'OT 04 - Control Assessment'!$A$16:$A$67,0)),0)</f>
        <v/>
      </c>
      <c r="I17" s="444">
        <f>F17*G17*H17</f>
        <v/>
      </c>
      <c r="J17" s="406" t="inlineStr">
        <is>
          <t>Direct ATT&amp;CK mitigation relationship</t>
        </is>
      </c>
      <c r="K17" s="426" t="inlineStr">
        <is>
          <t>https://attack.mitre.org/techniques/T0858</t>
        </is>
      </c>
      <c r="L17" s="426" t="inlineStr">
        <is>
          <t>https://attack.mitre.org/mitigations/M0801</t>
        </is>
      </c>
      <c r="M17" s="406" t="inlineStr">
        <is>
          <t>Current Power Generation working prior (80%) because ATT&amp;CK establishes mitigation applicability but does not quantify efficacy. Replace with test / incident / SME calibration when available.</t>
        </is>
      </c>
    </row>
    <row r="18" ht="41.25" customHeight="1" s="508">
      <c r="A18" s="406" t="inlineStr">
        <is>
          <t>T1694.001</t>
        </is>
      </c>
      <c r="B18" s="406" t="inlineStr">
        <is>
          <t>Default Credentials</t>
        </is>
      </c>
      <c r="C18" s="406" t="inlineStr">
        <is>
          <t>M0801</t>
        </is>
      </c>
      <c r="D18" s="406" t="inlineStr">
        <is>
          <t>Access Management</t>
        </is>
      </c>
      <c r="E18" s="406" t="inlineStr">
        <is>
          <t>Prevent / Resist</t>
        </is>
      </c>
      <c r="F18" s="417" t="n">
        <v>0.8</v>
      </c>
      <c r="G18" s="444">
        <f>IFERROR(INDEX('OT 04 - Control Assessment'!$I$16:$I$67,MATCH(C18,'OT 04 - Control Assessment'!$A$16:$A$67,0)),0)</f>
        <v/>
      </c>
      <c r="H18" s="444">
        <f>IFERROR(INDEX('OT 04 - Control Assessment'!$J$16:$J$67,MATCH(C18,'OT 04 - Control Assessment'!$A$16:$A$67,0)),0)</f>
        <v/>
      </c>
      <c r="I18" s="444">
        <f>F18*G18*H18</f>
        <v/>
      </c>
      <c r="J18" s="406" t="inlineStr">
        <is>
          <t>Direct ATT&amp;CK mitigation relationship</t>
        </is>
      </c>
      <c r="K18" s="426" t="inlineStr">
        <is>
          <t>https://attack.mitre.org/techniques/T1694/001</t>
        </is>
      </c>
      <c r="L18" s="426" t="inlineStr">
        <is>
          <t>https://attack.mitre.org/mitigations/M0801</t>
        </is>
      </c>
      <c r="M18" s="406" t="inlineStr">
        <is>
          <t>Current Power Generation working prior (80%) because ATT&amp;CK establishes mitigation applicability but does not quantify efficacy. Replace with test / incident / SME calibration when available.</t>
        </is>
      </c>
    </row>
    <row r="19" ht="41.25" customHeight="1" s="508">
      <c r="A19" s="406" t="inlineStr">
        <is>
          <t>T0868</t>
        </is>
      </c>
      <c r="B19" s="406" t="inlineStr">
        <is>
          <t>Detect Operating Mode</t>
        </is>
      </c>
      <c r="C19" s="406" t="inlineStr">
        <is>
          <t>M0801</t>
        </is>
      </c>
      <c r="D19" s="406" t="inlineStr">
        <is>
          <t>Access Management</t>
        </is>
      </c>
      <c r="E19" s="406" t="inlineStr">
        <is>
          <t>Prevent / Resist</t>
        </is>
      </c>
      <c r="F19" s="417" t="n">
        <v>0.8</v>
      </c>
      <c r="G19" s="444">
        <f>IFERROR(INDEX('OT 04 - Control Assessment'!$I$16:$I$67,MATCH(C19,'OT 04 - Control Assessment'!$A$16:$A$67,0)),0)</f>
        <v/>
      </c>
      <c r="H19" s="444">
        <f>IFERROR(INDEX('OT 04 - Control Assessment'!$J$16:$J$67,MATCH(C19,'OT 04 - Control Assessment'!$A$16:$A$67,0)),0)</f>
        <v/>
      </c>
      <c r="I19" s="444">
        <f>F19*G19*H19</f>
        <v/>
      </c>
      <c r="J19" s="406" t="inlineStr">
        <is>
          <t>Direct ATT&amp;CK mitigation relationship</t>
        </is>
      </c>
      <c r="K19" s="426" t="inlineStr">
        <is>
          <t>https://attack.mitre.org/techniques/T0868</t>
        </is>
      </c>
      <c r="L19" s="426" t="inlineStr">
        <is>
          <t>https://attack.mitre.org/mitigations/M0801</t>
        </is>
      </c>
      <c r="M19" s="406" t="inlineStr">
        <is>
          <t>Current Power Generation working prior (80%) because ATT&amp;CK establishes mitigation applicability but does not quantify efficacy. Replace with test / incident / SME calibration when available.</t>
        </is>
      </c>
    </row>
    <row r="20" ht="41.25" customHeight="1" s="508">
      <c r="A20" s="406" t="inlineStr">
        <is>
          <t>T0816</t>
        </is>
      </c>
      <c r="B20" s="406" t="inlineStr">
        <is>
          <t>Device Restart/Shutdown</t>
        </is>
      </c>
      <c r="C20" s="406" t="inlineStr">
        <is>
          <t>M0801</t>
        </is>
      </c>
      <c r="D20" s="406" t="inlineStr">
        <is>
          <t>Access Management</t>
        </is>
      </c>
      <c r="E20" s="406" t="inlineStr">
        <is>
          <t>Prevent / Resist</t>
        </is>
      </c>
      <c r="F20" s="417" t="n">
        <v>0.8</v>
      </c>
      <c r="G20" s="444">
        <f>IFERROR(INDEX('OT 04 - Control Assessment'!$I$16:$I$67,MATCH(C20,'OT 04 - Control Assessment'!$A$16:$A$67,0)),0)</f>
        <v/>
      </c>
      <c r="H20" s="444">
        <f>IFERROR(INDEX('OT 04 - Control Assessment'!$J$16:$J$67,MATCH(C20,'OT 04 - Control Assessment'!$A$16:$A$67,0)),0)</f>
        <v/>
      </c>
      <c r="I20" s="444">
        <f>F20*G20*H20</f>
        <v/>
      </c>
      <c r="J20" s="406" t="inlineStr">
        <is>
          <t>Direct ATT&amp;CK mitigation relationship</t>
        </is>
      </c>
      <c r="K20" s="426" t="inlineStr">
        <is>
          <t>https://attack.mitre.org/techniques/T0816</t>
        </is>
      </c>
      <c r="L20" s="426" t="inlineStr">
        <is>
          <t>https://attack.mitre.org/mitigations/M0801</t>
        </is>
      </c>
      <c r="M20" s="406" t="inlineStr">
        <is>
          <t>Current Power Generation working prior (80%) because ATT&amp;CK establishes mitigation applicability but does not quantify efficacy. Replace with test / incident / SME calibration when available.</t>
        </is>
      </c>
    </row>
    <row r="21" ht="41.25" customHeight="1" s="508">
      <c r="A21" s="406" t="inlineStr">
        <is>
          <t>T0843.001</t>
        </is>
      </c>
      <c r="B21" s="406" t="inlineStr">
        <is>
          <t>Download All</t>
        </is>
      </c>
      <c r="C21" s="406" t="inlineStr">
        <is>
          <t>M0801</t>
        </is>
      </c>
      <c r="D21" s="406" t="inlineStr">
        <is>
          <t>Access Management</t>
        </is>
      </c>
      <c r="E21" s="406" t="inlineStr">
        <is>
          <t>Prevent / Resist</t>
        </is>
      </c>
      <c r="F21" s="417" t="n">
        <v>0.8</v>
      </c>
      <c r="G21" s="444">
        <f>IFERROR(INDEX('OT 04 - Control Assessment'!$I$16:$I$67,MATCH(C21,'OT 04 - Control Assessment'!$A$16:$A$67,0)),0)</f>
        <v/>
      </c>
      <c r="H21" s="444">
        <f>IFERROR(INDEX('OT 04 - Control Assessment'!$J$16:$J$67,MATCH(C21,'OT 04 - Control Assessment'!$A$16:$A$67,0)),0)</f>
        <v/>
      </c>
      <c r="I21" s="444">
        <f>F21*G21*H21</f>
        <v/>
      </c>
      <c r="J21" s="406" t="inlineStr">
        <is>
          <t>Direct ATT&amp;CK mitigation relationship</t>
        </is>
      </c>
      <c r="K21" s="426" t="inlineStr">
        <is>
          <t>https://attack.mitre.org/techniques/T0843/001</t>
        </is>
      </c>
      <c r="L21" s="426" t="inlineStr">
        <is>
          <t>https://attack.mitre.org/mitigations/M0801</t>
        </is>
      </c>
      <c r="M21" s="406" t="inlineStr">
        <is>
          <t>Current Power Generation working prior (80%) because ATT&amp;CK establishes mitigation applicability but does not quantify efficacy. Replace with test / incident / SME calibration when available.</t>
        </is>
      </c>
    </row>
    <row r="22" ht="41.25" customHeight="1" s="508">
      <c r="A22" s="406" t="inlineStr">
        <is>
          <t>T0871</t>
        </is>
      </c>
      <c r="B22" s="406" t="inlineStr">
        <is>
          <t>Execution through API</t>
        </is>
      </c>
      <c r="C22" s="406" t="inlineStr">
        <is>
          <t>M0801</t>
        </is>
      </c>
      <c r="D22" s="406" t="inlineStr">
        <is>
          <t>Access Management</t>
        </is>
      </c>
      <c r="E22" s="406" t="inlineStr">
        <is>
          <t>Prevent / Resist</t>
        </is>
      </c>
      <c r="F22" s="417" t="n">
        <v>0.8</v>
      </c>
      <c r="G22" s="444">
        <f>IFERROR(INDEX('OT 04 - Control Assessment'!$I$16:$I$67,MATCH(C22,'OT 04 - Control Assessment'!$A$16:$A$67,0)),0)</f>
        <v/>
      </c>
      <c r="H22" s="444">
        <f>IFERROR(INDEX('OT 04 - Control Assessment'!$J$16:$J$67,MATCH(C22,'OT 04 - Control Assessment'!$A$16:$A$67,0)),0)</f>
        <v/>
      </c>
      <c r="I22" s="444">
        <f>F22*G22*H22</f>
        <v/>
      </c>
      <c r="J22" s="406" t="inlineStr">
        <is>
          <t>Direct ATT&amp;CK mitigation relationship</t>
        </is>
      </c>
      <c r="K22" s="426" t="inlineStr">
        <is>
          <t>https://attack.mitre.org/techniques/T0871</t>
        </is>
      </c>
      <c r="L22" s="426" t="inlineStr">
        <is>
          <t>https://attack.mitre.org/mitigations/M0801</t>
        </is>
      </c>
      <c r="M22" s="406" t="inlineStr">
        <is>
          <t>Current Power Generation working prior (80%) because ATT&amp;CK establishes mitigation applicability but does not quantify efficacy. Replace with test / incident / SME calibration when available.</t>
        </is>
      </c>
    </row>
    <row r="23" ht="41.25" customHeight="1" s="508">
      <c r="A23" s="406" t="inlineStr">
        <is>
          <t>T1694.002</t>
        </is>
      </c>
      <c r="B23" s="406" t="inlineStr">
        <is>
          <t>Hardcoded Credentials</t>
        </is>
      </c>
      <c r="C23" s="406" t="inlineStr">
        <is>
          <t>M0801</t>
        </is>
      </c>
      <c r="D23" s="406" t="inlineStr">
        <is>
          <t>Access Management</t>
        </is>
      </c>
      <c r="E23" s="406" t="inlineStr">
        <is>
          <t>Prevent / Resist</t>
        </is>
      </c>
      <c r="F23" s="417" t="n">
        <v>0.8</v>
      </c>
      <c r="G23" s="444">
        <f>IFERROR(INDEX('OT 04 - Control Assessment'!$I$16:$I$67,MATCH(C23,'OT 04 - Control Assessment'!$A$16:$A$67,0)),0)</f>
        <v/>
      </c>
      <c r="H23" s="444">
        <f>IFERROR(INDEX('OT 04 - Control Assessment'!$J$16:$J$67,MATCH(C23,'OT 04 - Control Assessment'!$A$16:$A$67,0)),0)</f>
        <v/>
      </c>
      <c r="I23" s="444">
        <f>F23*G23*H23</f>
        <v/>
      </c>
      <c r="J23" s="406" t="inlineStr">
        <is>
          <t>Direct ATT&amp;CK mitigation relationship</t>
        </is>
      </c>
      <c r="K23" s="426" t="inlineStr">
        <is>
          <t>https://attack.mitre.org/techniques/T1694/002</t>
        </is>
      </c>
      <c r="L23" s="426" t="inlineStr">
        <is>
          <t>https://attack.mitre.org/mitigations/M0801</t>
        </is>
      </c>
      <c r="M23" s="406" t="inlineStr">
        <is>
          <t>Current Power Generation working prior (80%) because ATT&amp;CK establishes mitigation applicability but does not quantify efficacy. Replace with test / incident / SME calibration when available.</t>
        </is>
      </c>
    </row>
    <row r="24" ht="41.25" customHeight="1" s="508">
      <c r="A24" s="406" t="inlineStr">
        <is>
          <t>T1694</t>
        </is>
      </c>
      <c r="B24" s="406" t="inlineStr">
        <is>
          <t>Insecure Credentials</t>
        </is>
      </c>
      <c r="C24" s="406" t="inlineStr">
        <is>
          <t>M0801</t>
        </is>
      </c>
      <c r="D24" s="406" t="inlineStr">
        <is>
          <t>Access Management</t>
        </is>
      </c>
      <c r="E24" s="406" t="inlineStr">
        <is>
          <t>Prevent / Resist</t>
        </is>
      </c>
      <c r="F24" s="417" t="n">
        <v>0.8</v>
      </c>
      <c r="G24" s="444">
        <f>IFERROR(INDEX('OT 04 - Control Assessment'!$I$16:$I$67,MATCH(C24,'OT 04 - Control Assessment'!$A$16:$A$67,0)),0)</f>
        <v/>
      </c>
      <c r="H24" s="444">
        <f>IFERROR(INDEX('OT 04 - Control Assessment'!$J$16:$J$67,MATCH(C24,'OT 04 - Control Assessment'!$A$16:$A$67,0)),0)</f>
        <v/>
      </c>
      <c r="I24" s="444">
        <f>F24*G24*H24</f>
        <v/>
      </c>
      <c r="J24" s="406" t="inlineStr">
        <is>
          <t>Direct ATT&amp;CK mitigation relationship</t>
        </is>
      </c>
      <c r="K24" s="426" t="inlineStr">
        <is>
          <t>https://attack.mitre.org/techniques/T1694</t>
        </is>
      </c>
      <c r="L24" s="426" t="inlineStr">
        <is>
          <t>https://attack.mitre.org/mitigations/M0801</t>
        </is>
      </c>
      <c r="M24" s="406" t="inlineStr">
        <is>
          <t>Current Power Generation working prior (80%) because ATT&amp;CK establishes mitigation applicability but does not quantify efficacy. Replace with test / incident / SME calibration when available.</t>
        </is>
      </c>
    </row>
    <row r="25" ht="41.25" customHeight="1" s="508">
      <c r="A25" s="406" t="inlineStr">
        <is>
          <t>T0838</t>
        </is>
      </c>
      <c r="B25" s="406" t="inlineStr">
        <is>
          <t>Modify Alarm Settings</t>
        </is>
      </c>
      <c r="C25" s="406" t="inlineStr">
        <is>
          <t>M0801</t>
        </is>
      </c>
      <c r="D25" s="406" t="inlineStr">
        <is>
          <t>Access Management</t>
        </is>
      </c>
      <c r="E25" s="406" t="inlineStr">
        <is>
          <t>Prevent / Resist</t>
        </is>
      </c>
      <c r="F25" s="417" t="n">
        <v>0.8</v>
      </c>
      <c r="G25" s="444">
        <f>IFERROR(INDEX('OT 04 - Control Assessment'!$I$16:$I$67,MATCH(C25,'OT 04 - Control Assessment'!$A$16:$A$67,0)),0)</f>
        <v/>
      </c>
      <c r="H25" s="444">
        <f>IFERROR(INDEX('OT 04 - Control Assessment'!$J$16:$J$67,MATCH(C25,'OT 04 - Control Assessment'!$A$16:$A$67,0)),0)</f>
        <v/>
      </c>
      <c r="I25" s="444">
        <f>F25*G25*H25</f>
        <v/>
      </c>
      <c r="J25" s="406" t="inlineStr">
        <is>
          <t>Direct ATT&amp;CK mitigation relationship</t>
        </is>
      </c>
      <c r="K25" s="426" t="inlineStr">
        <is>
          <t>https://attack.mitre.org/techniques/T0838</t>
        </is>
      </c>
      <c r="L25" s="426" t="inlineStr">
        <is>
          <t>https://attack.mitre.org/mitigations/M0801</t>
        </is>
      </c>
      <c r="M25" s="406" t="inlineStr">
        <is>
          <t>Current Power Generation working prior (80%) because ATT&amp;CK establishes mitigation applicability but does not quantify efficacy. Replace with test / incident / SME calibration when available.</t>
        </is>
      </c>
    </row>
    <row r="26" ht="41.25" customHeight="1" s="508">
      <c r="A26" s="406" t="inlineStr">
        <is>
          <t>T1693</t>
        </is>
      </c>
      <c r="B26" s="406" t="inlineStr">
        <is>
          <t>Modify Firmware</t>
        </is>
      </c>
      <c r="C26" s="406" t="inlineStr">
        <is>
          <t>M0801</t>
        </is>
      </c>
      <c r="D26" s="406" t="inlineStr">
        <is>
          <t>Access Management</t>
        </is>
      </c>
      <c r="E26" s="406" t="inlineStr">
        <is>
          <t>Prevent / Resist</t>
        </is>
      </c>
      <c r="F26" s="417" t="n">
        <v>0.8</v>
      </c>
      <c r="G26" s="444">
        <f>IFERROR(INDEX('OT 04 - Control Assessment'!$I$16:$I$67,MATCH(C26,'OT 04 - Control Assessment'!$A$16:$A$67,0)),0)</f>
        <v/>
      </c>
      <c r="H26" s="444">
        <f>IFERROR(INDEX('OT 04 - Control Assessment'!$J$16:$J$67,MATCH(C26,'OT 04 - Control Assessment'!$A$16:$A$67,0)),0)</f>
        <v/>
      </c>
      <c r="I26" s="444">
        <f>F26*G26*H26</f>
        <v/>
      </c>
      <c r="J26" s="406" t="inlineStr">
        <is>
          <t>Direct ATT&amp;CK mitigation relationship</t>
        </is>
      </c>
      <c r="K26" s="426" t="inlineStr">
        <is>
          <t>https://attack.mitre.org/techniques/T1693</t>
        </is>
      </c>
      <c r="L26" s="426" t="inlineStr">
        <is>
          <t>https://attack.mitre.org/mitigations/M0801</t>
        </is>
      </c>
      <c r="M26" s="406" t="inlineStr">
        <is>
          <t>Current Power Generation working prior (80%) because ATT&amp;CK establishes mitigation applicability but does not quantify efficacy. Replace with test / incident / SME calibration when available.</t>
        </is>
      </c>
    </row>
    <row r="27" ht="41.25" customHeight="1" s="508">
      <c r="A27" s="406" t="inlineStr">
        <is>
          <t>T1693.002</t>
        </is>
      </c>
      <c r="B27" s="406" t="inlineStr">
        <is>
          <t>Module Firmware</t>
        </is>
      </c>
      <c r="C27" s="406" t="inlineStr">
        <is>
          <t>M0801</t>
        </is>
      </c>
      <c r="D27" s="406" t="inlineStr">
        <is>
          <t>Access Management</t>
        </is>
      </c>
      <c r="E27" s="406" t="inlineStr">
        <is>
          <t>Prevent / Resist</t>
        </is>
      </c>
      <c r="F27" s="417" t="n">
        <v>0.8</v>
      </c>
      <c r="G27" s="444">
        <f>IFERROR(INDEX('OT 04 - Control Assessment'!$I$16:$I$67,MATCH(C27,'OT 04 - Control Assessment'!$A$16:$A$67,0)),0)</f>
        <v/>
      </c>
      <c r="H27" s="444">
        <f>IFERROR(INDEX('OT 04 - Control Assessment'!$J$16:$J$67,MATCH(C27,'OT 04 - Control Assessment'!$A$16:$A$67,0)),0)</f>
        <v/>
      </c>
      <c r="I27" s="444">
        <f>F27*G27*H27</f>
        <v/>
      </c>
      <c r="J27" s="406" t="inlineStr">
        <is>
          <t>Direct ATT&amp;CK mitigation relationship</t>
        </is>
      </c>
      <c r="K27" s="426" t="inlineStr">
        <is>
          <t>https://attack.mitre.org/techniques/T1693/002</t>
        </is>
      </c>
      <c r="L27" s="426" t="inlineStr">
        <is>
          <t>https://attack.mitre.org/mitigations/M0801</t>
        </is>
      </c>
      <c r="M27" s="406" t="inlineStr">
        <is>
          <t>Current Power Generation working prior (80%) because ATT&amp;CK establishes mitigation applicability but does not quantify efficacy. Replace with test / incident / SME calibration when available.</t>
        </is>
      </c>
    </row>
    <row r="28" ht="41.25" customHeight="1" s="508">
      <c r="A28" s="406" t="inlineStr">
        <is>
          <t>T0843.002</t>
        </is>
      </c>
      <c r="B28" s="406" t="inlineStr">
        <is>
          <t>Online Edit</t>
        </is>
      </c>
      <c r="C28" s="406" t="inlineStr">
        <is>
          <t>M0801</t>
        </is>
      </c>
      <c r="D28" s="406" t="inlineStr">
        <is>
          <t>Access Management</t>
        </is>
      </c>
      <c r="E28" s="406" t="inlineStr">
        <is>
          <t>Prevent / Resist</t>
        </is>
      </c>
      <c r="F28" s="417" t="n">
        <v>0.8</v>
      </c>
      <c r="G28" s="444">
        <f>IFERROR(INDEX('OT 04 - Control Assessment'!$I$16:$I$67,MATCH(C28,'OT 04 - Control Assessment'!$A$16:$A$67,0)),0)</f>
        <v/>
      </c>
      <c r="H28" s="444">
        <f>IFERROR(INDEX('OT 04 - Control Assessment'!$J$16:$J$67,MATCH(C28,'OT 04 - Control Assessment'!$A$16:$A$67,0)),0)</f>
        <v/>
      </c>
      <c r="I28" s="444">
        <f>F28*G28*H28</f>
        <v/>
      </c>
      <c r="J28" s="406" t="inlineStr">
        <is>
          <t>Direct ATT&amp;CK mitigation relationship</t>
        </is>
      </c>
      <c r="K28" s="426" t="inlineStr">
        <is>
          <t>https://attack.mitre.org/techniques/T0843/002</t>
        </is>
      </c>
      <c r="L28" s="426" t="inlineStr">
        <is>
          <t>https://attack.mitre.org/mitigations/M0801</t>
        </is>
      </c>
      <c r="M28" s="406" t="inlineStr">
        <is>
          <t>Current Power Generation working prior (80%) because ATT&amp;CK establishes mitigation applicability but does not quantify efficacy. Replace with test / incident / SME calibration when available.</t>
        </is>
      </c>
    </row>
    <row r="29" ht="41.25" customHeight="1" s="508">
      <c r="A29" s="406" t="inlineStr">
        <is>
          <t>T0861</t>
        </is>
      </c>
      <c r="B29" s="406" t="inlineStr">
        <is>
          <t>Point &amp; Tag Identification</t>
        </is>
      </c>
      <c r="C29" s="406" t="inlineStr">
        <is>
          <t>M0801</t>
        </is>
      </c>
      <c r="D29" s="406" t="inlineStr">
        <is>
          <t>Access Management</t>
        </is>
      </c>
      <c r="E29" s="406" t="inlineStr">
        <is>
          <t>Prevent / Resist</t>
        </is>
      </c>
      <c r="F29" s="417" t="n">
        <v>0.8</v>
      </c>
      <c r="G29" s="444">
        <f>IFERROR(INDEX('OT 04 - Control Assessment'!$I$16:$I$67,MATCH(C29,'OT 04 - Control Assessment'!$A$16:$A$67,0)),0)</f>
        <v/>
      </c>
      <c r="H29" s="444">
        <f>IFERROR(INDEX('OT 04 - Control Assessment'!$J$16:$J$67,MATCH(C29,'OT 04 - Control Assessment'!$A$16:$A$67,0)),0)</f>
        <v/>
      </c>
      <c r="I29" s="444">
        <f>F29*G29*H29</f>
        <v/>
      </c>
      <c r="J29" s="406" t="inlineStr">
        <is>
          <t>Direct ATT&amp;CK mitigation relationship</t>
        </is>
      </c>
      <c r="K29" s="426" t="inlineStr">
        <is>
          <t>https://attack.mitre.org/techniques/T0861</t>
        </is>
      </c>
      <c r="L29" s="426" t="inlineStr">
        <is>
          <t>https://attack.mitre.org/mitigations/M0801</t>
        </is>
      </c>
      <c r="M29" s="406" t="inlineStr">
        <is>
          <t>Current Power Generation working prior (80%) because ATT&amp;CK establishes mitigation applicability but does not quantify efficacy. Replace with test / incident / SME calibration when available.</t>
        </is>
      </c>
    </row>
    <row r="30" ht="41.25" customHeight="1" s="508">
      <c r="A30" s="406" t="inlineStr">
        <is>
          <t>T0843.003</t>
        </is>
      </c>
      <c r="B30" s="406" t="inlineStr">
        <is>
          <t>Program Append</t>
        </is>
      </c>
      <c r="C30" s="406" t="inlineStr">
        <is>
          <t>M0801</t>
        </is>
      </c>
      <c r="D30" s="406" t="inlineStr">
        <is>
          <t>Access Management</t>
        </is>
      </c>
      <c r="E30" s="406" t="inlineStr">
        <is>
          <t>Prevent / Resist</t>
        </is>
      </c>
      <c r="F30" s="417" t="n">
        <v>0.8</v>
      </c>
      <c r="G30" s="444">
        <f>IFERROR(INDEX('OT 04 - Control Assessment'!$I$16:$I$67,MATCH(C30,'OT 04 - Control Assessment'!$A$16:$A$67,0)),0)</f>
        <v/>
      </c>
      <c r="H30" s="444">
        <f>IFERROR(INDEX('OT 04 - Control Assessment'!$J$16:$J$67,MATCH(C30,'OT 04 - Control Assessment'!$A$16:$A$67,0)),0)</f>
        <v/>
      </c>
      <c r="I30" s="444">
        <f>F30*G30*H30</f>
        <v/>
      </c>
      <c r="J30" s="406" t="inlineStr">
        <is>
          <t>Direct ATT&amp;CK mitigation relationship</t>
        </is>
      </c>
      <c r="K30" s="426" t="inlineStr">
        <is>
          <t>https://attack.mitre.org/techniques/T0843/003</t>
        </is>
      </c>
      <c r="L30" s="426" t="inlineStr">
        <is>
          <t>https://attack.mitre.org/mitigations/M0801</t>
        </is>
      </c>
      <c r="M30" s="406" t="inlineStr">
        <is>
          <t>Current Power Generation working prior (80%) because ATT&amp;CK establishes mitigation applicability but does not quantify efficacy. Replace with test / incident / SME calibration when available.</t>
        </is>
      </c>
    </row>
    <row r="31" ht="41.25" customHeight="1" s="508">
      <c r="A31" s="406" t="inlineStr">
        <is>
          <t>T0843</t>
        </is>
      </c>
      <c r="B31" s="406" t="inlineStr">
        <is>
          <t>Program Download</t>
        </is>
      </c>
      <c r="C31" s="406" t="inlineStr">
        <is>
          <t>M0801</t>
        </is>
      </c>
      <c r="D31" s="406" t="inlineStr">
        <is>
          <t>Access Management</t>
        </is>
      </c>
      <c r="E31" s="406" t="inlineStr">
        <is>
          <t>Prevent / Resist</t>
        </is>
      </c>
      <c r="F31" s="417" t="n">
        <v>0.8</v>
      </c>
      <c r="G31" s="444">
        <f>IFERROR(INDEX('OT 04 - Control Assessment'!$I$16:$I$67,MATCH(C31,'OT 04 - Control Assessment'!$A$16:$A$67,0)),0)</f>
        <v/>
      </c>
      <c r="H31" s="444">
        <f>IFERROR(INDEX('OT 04 - Control Assessment'!$J$16:$J$67,MATCH(C31,'OT 04 - Control Assessment'!$A$16:$A$67,0)),0)</f>
        <v/>
      </c>
      <c r="I31" s="444">
        <f>F31*G31*H31</f>
        <v/>
      </c>
      <c r="J31" s="406" t="inlineStr">
        <is>
          <t>Direct ATT&amp;CK mitigation relationship</t>
        </is>
      </c>
      <c r="K31" s="426" t="inlineStr">
        <is>
          <t>https://attack.mitre.org/techniques/T0843</t>
        </is>
      </c>
      <c r="L31" s="426" t="inlineStr">
        <is>
          <t>https://attack.mitre.org/mitigations/M0801</t>
        </is>
      </c>
      <c r="M31" s="406" t="inlineStr">
        <is>
          <t>Current Power Generation working prior (80%) because ATT&amp;CK establishes mitigation applicability but does not quantify efficacy. Replace with test / incident / SME calibration when available.</t>
        </is>
      </c>
    </row>
    <row r="32" ht="41.25" customHeight="1" s="508">
      <c r="A32" s="406" t="inlineStr">
        <is>
          <t>T0845</t>
        </is>
      </c>
      <c r="B32" s="406" t="inlineStr">
        <is>
          <t>Program Upload</t>
        </is>
      </c>
      <c r="C32" s="406" t="inlineStr">
        <is>
          <t>M0801</t>
        </is>
      </c>
      <c r="D32" s="406" t="inlineStr">
        <is>
          <t>Access Management</t>
        </is>
      </c>
      <c r="E32" s="406" t="inlineStr">
        <is>
          <t>Prevent / Resist</t>
        </is>
      </c>
      <c r="F32" s="417" t="n">
        <v>0.8</v>
      </c>
      <c r="G32" s="444">
        <f>IFERROR(INDEX('OT 04 - Control Assessment'!$I$16:$I$67,MATCH(C32,'OT 04 - Control Assessment'!$A$16:$A$67,0)),0)</f>
        <v/>
      </c>
      <c r="H32" s="444">
        <f>IFERROR(INDEX('OT 04 - Control Assessment'!$J$16:$J$67,MATCH(C32,'OT 04 - Control Assessment'!$A$16:$A$67,0)),0)</f>
        <v/>
      </c>
      <c r="I32" s="444">
        <f>F32*G32*H32</f>
        <v/>
      </c>
      <c r="J32" s="406" t="inlineStr">
        <is>
          <t>Direct ATT&amp;CK mitigation relationship</t>
        </is>
      </c>
      <c r="K32" s="426" t="inlineStr">
        <is>
          <t>https://attack.mitre.org/techniques/T0845</t>
        </is>
      </c>
      <c r="L32" s="426" t="inlineStr">
        <is>
          <t>https://attack.mitre.org/mitigations/M0801</t>
        </is>
      </c>
      <c r="M32" s="406" t="inlineStr">
        <is>
          <t>Current Power Generation working prior (80%) because ATT&amp;CK establishes mitigation applicability but does not quantify efficacy. Replace with test / incident / SME calibration when available.</t>
        </is>
      </c>
    </row>
    <row r="33" ht="41.25" customHeight="1" s="508">
      <c r="A33" s="406" t="inlineStr">
        <is>
          <t>T0886</t>
        </is>
      </c>
      <c r="B33" s="406" t="inlineStr">
        <is>
          <t>Remote Services</t>
        </is>
      </c>
      <c r="C33" s="406" t="inlineStr">
        <is>
          <t>M0801</t>
        </is>
      </c>
      <c r="D33" s="406" t="inlineStr">
        <is>
          <t>Access Management</t>
        </is>
      </c>
      <c r="E33" s="406" t="inlineStr">
        <is>
          <t>Prevent / Resist</t>
        </is>
      </c>
      <c r="F33" s="417" t="n">
        <v>0.8</v>
      </c>
      <c r="G33" s="444">
        <f>IFERROR(INDEX('OT 04 - Control Assessment'!$I$16:$I$67,MATCH(C33,'OT 04 - Control Assessment'!$A$16:$A$67,0)),0)</f>
        <v/>
      </c>
      <c r="H33" s="444">
        <f>IFERROR(INDEX('OT 04 - Control Assessment'!$J$16:$J$67,MATCH(C33,'OT 04 - Control Assessment'!$A$16:$A$67,0)),0)</f>
        <v/>
      </c>
      <c r="I33" s="444">
        <f>F33*G33*H33</f>
        <v/>
      </c>
      <c r="J33" s="406" t="inlineStr">
        <is>
          <t>Direct ATT&amp;CK mitigation relationship</t>
        </is>
      </c>
      <c r="K33" s="426" t="inlineStr">
        <is>
          <t>https://attack.mitre.org/techniques/T0886</t>
        </is>
      </c>
      <c r="L33" s="426" t="inlineStr">
        <is>
          <t>https://attack.mitre.org/mitigations/M0801</t>
        </is>
      </c>
      <c r="M33" s="406" t="inlineStr">
        <is>
          <t>Current Power Generation working prior (80%) because ATT&amp;CK establishes mitigation applicability but does not quantify efficacy. Replace with test / incident / SME calibration when available.</t>
        </is>
      </c>
    </row>
    <row r="34" ht="41.25" customHeight="1" s="508">
      <c r="A34" s="406" t="inlineStr">
        <is>
          <t>T1693.001</t>
        </is>
      </c>
      <c r="B34" s="406" t="inlineStr">
        <is>
          <t>System Firmware</t>
        </is>
      </c>
      <c r="C34" s="406" t="inlineStr">
        <is>
          <t>M0801</t>
        </is>
      </c>
      <c r="D34" s="406" t="inlineStr">
        <is>
          <t>Access Management</t>
        </is>
      </c>
      <c r="E34" s="406" t="inlineStr">
        <is>
          <t>Prevent / Resist</t>
        </is>
      </c>
      <c r="F34" s="417" t="n">
        <v>0.8</v>
      </c>
      <c r="G34" s="444">
        <f>IFERROR(INDEX('OT 04 - Control Assessment'!$I$16:$I$67,MATCH(C34,'OT 04 - Control Assessment'!$A$16:$A$67,0)),0)</f>
        <v/>
      </c>
      <c r="H34" s="444">
        <f>IFERROR(INDEX('OT 04 - Control Assessment'!$J$16:$J$67,MATCH(C34,'OT 04 - Control Assessment'!$A$16:$A$67,0)),0)</f>
        <v/>
      </c>
      <c r="I34" s="444">
        <f>F34*G34*H34</f>
        <v/>
      </c>
      <c r="J34" s="406" t="inlineStr">
        <is>
          <t>Direct ATT&amp;CK mitigation relationship</t>
        </is>
      </c>
      <c r="K34" s="426" t="inlineStr">
        <is>
          <t>https://attack.mitre.org/techniques/T1693/001</t>
        </is>
      </c>
      <c r="L34" s="426" t="inlineStr">
        <is>
          <t>https://attack.mitre.org/mitigations/M0801</t>
        </is>
      </c>
      <c r="M34" s="406" t="inlineStr">
        <is>
          <t>Current Power Generation working prior (80%) because ATT&amp;CK establishes mitigation applicability but does not quantify efficacy. Replace with test / incident / SME calibration when available.</t>
        </is>
      </c>
    </row>
    <row r="35" ht="41.25" customHeight="1" s="508">
      <c r="A35" s="406" t="inlineStr">
        <is>
          <t>T0859</t>
        </is>
      </c>
      <c r="B35" s="406" t="inlineStr">
        <is>
          <t>Valid Accounts</t>
        </is>
      </c>
      <c r="C35" s="406" t="inlineStr">
        <is>
          <t>M0801</t>
        </is>
      </c>
      <c r="D35" s="406" t="inlineStr">
        <is>
          <t>Access Management</t>
        </is>
      </c>
      <c r="E35" s="406" t="inlineStr">
        <is>
          <t>Prevent / Resist</t>
        </is>
      </c>
      <c r="F35" s="417" t="n">
        <v>0.8</v>
      </c>
      <c r="G35" s="444">
        <f>IFERROR(INDEX('OT 04 - Control Assessment'!$I$16:$I$67,MATCH(C35,'OT 04 - Control Assessment'!$A$16:$A$67,0)),0)</f>
        <v/>
      </c>
      <c r="H35" s="444">
        <f>IFERROR(INDEX('OT 04 - Control Assessment'!$J$16:$J$67,MATCH(C35,'OT 04 - Control Assessment'!$A$16:$A$67,0)),0)</f>
        <v/>
      </c>
      <c r="I35" s="444">
        <f>F35*G35*H35</f>
        <v/>
      </c>
      <c r="J35" s="406" t="inlineStr">
        <is>
          <t>Direct ATT&amp;CK mitigation relationship</t>
        </is>
      </c>
      <c r="K35" s="426" t="inlineStr">
        <is>
          <t>https://attack.mitre.org/techniques/T0859</t>
        </is>
      </c>
      <c r="L35" s="426" t="inlineStr">
        <is>
          <t>https://attack.mitre.org/mitigations/M0801</t>
        </is>
      </c>
      <c r="M35" s="406" t="inlineStr">
        <is>
          <t>Current Power Generation working prior (80%) because ATT&amp;CK establishes mitigation applicability but does not quantify efficacy. Replace with test / incident / SME calibration when available.</t>
        </is>
      </c>
    </row>
    <row r="36" ht="41.25" customHeight="1" s="508">
      <c r="A36" s="406" t="inlineStr">
        <is>
          <t>T0822</t>
        </is>
      </c>
      <c r="B36" s="406" t="inlineStr">
        <is>
          <t>External Remote Services</t>
        </is>
      </c>
      <c r="C36" s="406" t="inlineStr">
        <is>
          <t>M0936</t>
        </is>
      </c>
      <c r="D36" s="406" t="inlineStr">
        <is>
          <t>Account Use Policies</t>
        </is>
      </c>
      <c r="E36" s="406" t="inlineStr">
        <is>
          <t>Prevent / Resist</t>
        </is>
      </c>
      <c r="F36" s="417" t="n">
        <v>0.8</v>
      </c>
      <c r="G36" s="444">
        <f>IFERROR(INDEX('OT 04 - Control Assessment'!$I$16:$I$67,MATCH(C36,'OT 04 - Control Assessment'!$A$16:$A$67,0)),0)</f>
        <v/>
      </c>
      <c r="H36" s="444">
        <f>IFERROR(INDEX('OT 04 - Control Assessment'!$J$16:$J$67,MATCH(C36,'OT 04 - Control Assessment'!$A$16:$A$67,0)),0)</f>
        <v/>
      </c>
      <c r="I36" s="444">
        <f>F36*G36*H36</f>
        <v/>
      </c>
      <c r="J36" s="406" t="inlineStr">
        <is>
          <t>Direct ATT&amp;CK mitigation relationship</t>
        </is>
      </c>
      <c r="K36" s="426" t="inlineStr">
        <is>
          <t>https://attack.mitre.org/techniques/T0822</t>
        </is>
      </c>
      <c r="L36" s="426" t="inlineStr">
        <is>
          <t>https://attack.mitre.org/mitigations/M0936</t>
        </is>
      </c>
      <c r="M36" s="406" t="inlineStr">
        <is>
          <t>Current Power Generation working prior (80%) because ATT&amp;CK establishes mitigation applicability but does not quantify efficacy. Replace with test / incident / SME calibration when available.</t>
        </is>
      </c>
    </row>
    <row r="37" ht="41.25" customHeight="1" s="508">
      <c r="A37" s="406" t="inlineStr">
        <is>
          <t>T0859</t>
        </is>
      </c>
      <c r="B37" s="406" t="inlineStr">
        <is>
          <t>Valid Accounts</t>
        </is>
      </c>
      <c r="C37" s="406" t="inlineStr">
        <is>
          <t>M0936</t>
        </is>
      </c>
      <c r="D37" s="406" t="inlineStr">
        <is>
          <t>Account Use Policies</t>
        </is>
      </c>
      <c r="E37" s="406" t="inlineStr">
        <is>
          <t>Prevent / Resist</t>
        </is>
      </c>
      <c r="F37" s="417" t="n">
        <v>0.8</v>
      </c>
      <c r="G37" s="444">
        <f>IFERROR(INDEX('OT 04 - Control Assessment'!$I$16:$I$67,MATCH(C37,'OT 04 - Control Assessment'!$A$16:$A$67,0)),0)</f>
        <v/>
      </c>
      <c r="H37" s="444">
        <f>IFERROR(INDEX('OT 04 - Control Assessment'!$J$16:$J$67,MATCH(C37,'OT 04 - Control Assessment'!$A$16:$A$67,0)),0)</f>
        <v/>
      </c>
      <c r="I37" s="444">
        <f>F37*G37*H37</f>
        <v/>
      </c>
      <c r="J37" s="406" t="inlineStr">
        <is>
          <t>Direct ATT&amp;CK mitigation relationship</t>
        </is>
      </c>
      <c r="K37" s="426" t="inlineStr">
        <is>
          <t>https://attack.mitre.org/techniques/T0859</t>
        </is>
      </c>
      <c r="L37" s="426" t="inlineStr">
        <is>
          <t>https://attack.mitre.org/mitigations/M0936</t>
        </is>
      </c>
      <c r="M37" s="406" t="inlineStr">
        <is>
          <t>Current Power Generation working prior (80%) because ATT&amp;CK establishes mitigation applicability but does not quantify efficacy. Replace with test / incident / SME calibration when available.</t>
        </is>
      </c>
    </row>
    <row r="38" ht="41.25" customHeight="1" s="508">
      <c r="A38" s="406" t="inlineStr">
        <is>
          <t>T0859</t>
        </is>
      </c>
      <c r="B38" s="406" t="inlineStr">
        <is>
          <t>Valid Accounts</t>
        </is>
      </c>
      <c r="C38" s="406" t="inlineStr">
        <is>
          <t>M0915</t>
        </is>
      </c>
      <c r="D38" s="406" t="inlineStr">
        <is>
          <t>Active Directory Configuration</t>
        </is>
      </c>
      <c r="E38" s="406" t="inlineStr">
        <is>
          <t>Prevent / Resist</t>
        </is>
      </c>
      <c r="F38" s="417" t="n">
        <v>0.8</v>
      </c>
      <c r="G38" s="444">
        <f>IFERROR(INDEX('OT 04 - Control Assessment'!$I$16:$I$67,MATCH(C38,'OT 04 - Control Assessment'!$A$16:$A$67,0)),0)</f>
        <v/>
      </c>
      <c r="H38" s="444">
        <f>IFERROR(INDEX('OT 04 - Control Assessment'!$J$16:$J$67,MATCH(C38,'OT 04 - Control Assessment'!$A$16:$A$67,0)),0)</f>
        <v/>
      </c>
      <c r="I38" s="444">
        <f>F38*G38*H38</f>
        <v/>
      </c>
      <c r="J38" s="406" t="inlineStr">
        <is>
          <t>Direct ATT&amp;CK mitigation relationship</t>
        </is>
      </c>
      <c r="K38" s="426" t="inlineStr">
        <is>
          <t>https://attack.mitre.org/techniques/T0859</t>
        </is>
      </c>
      <c r="L38" s="426" t="inlineStr">
        <is>
          <t>https://attack.mitre.org/mitigations/M0915</t>
        </is>
      </c>
      <c r="M38" s="406" t="inlineStr">
        <is>
          <t>Current Power Generation working prior (80%) because ATT&amp;CK establishes mitigation applicability but does not quantify efficacy. Replace with test / incident / SME calibration when available.</t>
        </is>
      </c>
    </row>
    <row r="39" ht="41.25" customHeight="1" s="508">
      <c r="A39" s="406" t="inlineStr">
        <is>
          <t>T0865</t>
        </is>
      </c>
      <c r="B39" s="406" t="inlineStr">
        <is>
          <t>Spearphishing Attachment</t>
        </is>
      </c>
      <c r="C39" s="406" t="inlineStr">
        <is>
          <t>M0949</t>
        </is>
      </c>
      <c r="D39" s="406" t="inlineStr">
        <is>
          <t>Antivirus/Antimalware</t>
        </is>
      </c>
      <c r="E39" s="406" t="inlineStr">
        <is>
          <t>Prevent / Resist</t>
        </is>
      </c>
      <c r="F39" s="417" t="n">
        <v>0.8</v>
      </c>
      <c r="G39" s="444">
        <f>IFERROR(INDEX('OT 04 - Control Assessment'!$I$16:$I$67,MATCH(C39,'OT 04 - Control Assessment'!$A$16:$A$67,0)),0)</f>
        <v/>
      </c>
      <c r="H39" s="444">
        <f>IFERROR(INDEX('OT 04 - Control Assessment'!$J$16:$J$67,MATCH(C39,'OT 04 - Control Assessment'!$A$16:$A$67,0)),0)</f>
        <v/>
      </c>
      <c r="I39" s="444">
        <f>F39*G39*H39</f>
        <v/>
      </c>
      <c r="J39" s="406" t="inlineStr">
        <is>
          <t>Direct ATT&amp;CK mitigation relationship</t>
        </is>
      </c>
      <c r="K39" s="426" t="inlineStr">
        <is>
          <t>https://attack.mitre.org/techniques/T0865</t>
        </is>
      </c>
      <c r="L39" s="426" t="inlineStr">
        <is>
          <t>https://attack.mitre.org/mitigations/M0949</t>
        </is>
      </c>
      <c r="M39" s="406" t="inlineStr">
        <is>
          <t>Current Power Generation working prior (80%) because ATT&amp;CK establishes mitigation applicability but does not quantify efficacy. Replace with test / incident / SME calibration when available.</t>
        </is>
      </c>
    </row>
    <row r="40" ht="41.25" customHeight="1" s="508">
      <c r="A40" s="406" t="inlineStr">
        <is>
          <t>T0864</t>
        </is>
      </c>
      <c r="B40" s="406" t="inlineStr">
        <is>
          <t>Transient Cyber Asset</t>
        </is>
      </c>
      <c r="C40" s="406" t="inlineStr">
        <is>
          <t>M0949</t>
        </is>
      </c>
      <c r="D40" s="406" t="inlineStr">
        <is>
          <t>Antivirus/Antimalware</t>
        </is>
      </c>
      <c r="E40" s="406" t="inlineStr">
        <is>
          <t>Prevent / Resist</t>
        </is>
      </c>
      <c r="F40" s="417" t="n">
        <v>0.8</v>
      </c>
      <c r="G40" s="444">
        <f>IFERROR(INDEX('OT 04 - Control Assessment'!$I$16:$I$67,MATCH(C40,'OT 04 - Control Assessment'!$A$16:$A$67,0)),0)</f>
        <v/>
      </c>
      <c r="H40" s="444">
        <f>IFERROR(INDEX('OT 04 - Control Assessment'!$J$16:$J$67,MATCH(C40,'OT 04 - Control Assessment'!$A$16:$A$67,0)),0)</f>
        <v/>
      </c>
      <c r="I40" s="444">
        <f>F40*G40*H40</f>
        <v/>
      </c>
      <c r="J40" s="406" t="inlineStr">
        <is>
          <t>Direct ATT&amp;CK mitigation relationship</t>
        </is>
      </c>
      <c r="K40" s="426" t="inlineStr">
        <is>
          <t>https://attack.mitre.org/techniques/T0864</t>
        </is>
      </c>
      <c r="L40" s="426" t="inlineStr">
        <is>
          <t>https://attack.mitre.org/mitigations/M0949</t>
        </is>
      </c>
      <c r="M40" s="406" t="inlineStr">
        <is>
          <t>Current Power Generation working prior (80%) because ATT&amp;CK establishes mitigation applicability but does not quantify efficacy. Replace with test / incident / SME calibration when available.</t>
        </is>
      </c>
    </row>
    <row r="41" ht="41.25" customHeight="1" s="508">
      <c r="A41" s="406" t="inlineStr">
        <is>
          <t>T0863</t>
        </is>
      </c>
      <c r="B41" s="406" t="inlineStr">
        <is>
          <t>User Execution</t>
        </is>
      </c>
      <c r="C41" s="406" t="inlineStr">
        <is>
          <t>M0949</t>
        </is>
      </c>
      <c r="D41" s="406" t="inlineStr">
        <is>
          <t>Antivirus/Antimalware</t>
        </is>
      </c>
      <c r="E41" s="406" t="inlineStr">
        <is>
          <t>Prevent / Resist</t>
        </is>
      </c>
      <c r="F41" s="417" t="n">
        <v>0.8</v>
      </c>
      <c r="G41" s="444">
        <f>IFERROR(INDEX('OT 04 - Control Assessment'!$I$16:$I$67,MATCH(C41,'OT 04 - Control Assessment'!$A$16:$A$67,0)),0)</f>
        <v/>
      </c>
      <c r="H41" s="444">
        <f>IFERROR(INDEX('OT 04 - Control Assessment'!$J$16:$J$67,MATCH(C41,'OT 04 - Control Assessment'!$A$16:$A$67,0)),0)</f>
        <v/>
      </c>
      <c r="I41" s="444">
        <f>F41*G41*H41</f>
        <v/>
      </c>
      <c r="J41" s="406" t="inlineStr">
        <is>
          <t>Direct ATT&amp;CK mitigation relationship</t>
        </is>
      </c>
      <c r="K41" s="426" t="inlineStr">
        <is>
          <t>https://attack.mitre.org/techniques/T0863</t>
        </is>
      </c>
      <c r="L41" s="426" t="inlineStr">
        <is>
          <t>https://attack.mitre.org/mitigations/M0949</t>
        </is>
      </c>
      <c r="M41" s="406" t="inlineStr">
        <is>
          <t>Current Power Generation working prior (80%) because ATT&amp;CK establishes mitigation applicability but does not quantify efficacy. Replace with test / incident / SME calibration when available.</t>
        </is>
      </c>
    </row>
    <row r="42" ht="41.25" customHeight="1" s="508">
      <c r="A42" s="406" t="inlineStr">
        <is>
          <t>T0859</t>
        </is>
      </c>
      <c r="B42" s="406" t="inlineStr">
        <is>
          <t>Valid Accounts</t>
        </is>
      </c>
      <c r="C42" s="406" t="inlineStr">
        <is>
          <t>M0913</t>
        </is>
      </c>
      <c r="D42" s="406" t="inlineStr">
        <is>
          <t>Application Developer Guidance</t>
        </is>
      </c>
      <c r="E42" s="406" t="inlineStr">
        <is>
          <t>Prevent / Resist</t>
        </is>
      </c>
      <c r="F42" s="417" t="n">
        <v>0.8</v>
      </c>
      <c r="G42" s="444">
        <f>IFERROR(INDEX('OT 04 - Control Assessment'!$I$16:$I$67,MATCH(C42,'OT 04 - Control Assessment'!$A$16:$A$67,0)),0)</f>
        <v/>
      </c>
      <c r="H42" s="444">
        <f>IFERROR(INDEX('OT 04 - Control Assessment'!$J$16:$J$67,MATCH(C42,'OT 04 - Control Assessment'!$A$16:$A$67,0)),0)</f>
        <v/>
      </c>
      <c r="I42" s="444">
        <f>F42*G42*H42</f>
        <v/>
      </c>
      <c r="J42" s="406" t="inlineStr">
        <is>
          <t>Direct ATT&amp;CK mitigation relationship</t>
        </is>
      </c>
      <c r="K42" s="426" t="inlineStr">
        <is>
          <t>https://attack.mitre.org/techniques/T0859</t>
        </is>
      </c>
      <c r="L42" s="426" t="inlineStr">
        <is>
          <t>https://attack.mitre.org/mitigations/M0913</t>
        </is>
      </c>
      <c r="M42" s="406" t="inlineStr">
        <is>
          <t>Current Power Generation working prior (80%) because ATT&amp;CK establishes mitigation applicability but does not quantify efficacy. Replace with test / incident / SME calibration when available.</t>
        </is>
      </c>
    </row>
    <row r="43" ht="41.25" customHeight="1" s="508">
      <c r="A43" s="406" t="inlineStr">
        <is>
          <t>T0817</t>
        </is>
      </c>
      <c r="B43" s="406" t="inlineStr">
        <is>
          <t>Drive-by Compromise</t>
        </is>
      </c>
      <c r="C43" s="406" t="inlineStr">
        <is>
          <t>M0948</t>
        </is>
      </c>
      <c r="D43" s="406" t="inlineStr">
        <is>
          <t>Application Isolation and Sandboxing</t>
        </is>
      </c>
      <c r="E43" s="406" t="inlineStr">
        <is>
          <t>Prevent / Resist</t>
        </is>
      </c>
      <c r="F43" s="417" t="n">
        <v>0.8</v>
      </c>
      <c r="G43" s="444">
        <f>IFERROR(INDEX('OT 04 - Control Assessment'!$I$16:$I$67,MATCH(C43,'OT 04 - Control Assessment'!$A$16:$A$67,0)),0)</f>
        <v/>
      </c>
      <c r="H43" s="444">
        <f>IFERROR(INDEX('OT 04 - Control Assessment'!$J$16:$J$67,MATCH(C43,'OT 04 - Control Assessment'!$A$16:$A$67,0)),0)</f>
        <v/>
      </c>
      <c r="I43" s="444">
        <f>F43*G43*H43</f>
        <v/>
      </c>
      <c r="J43" s="406" t="inlineStr">
        <is>
          <t>Direct ATT&amp;CK mitigation relationship</t>
        </is>
      </c>
      <c r="K43" s="426" t="inlineStr">
        <is>
          <t>https://attack.mitre.org/techniques/T0817</t>
        </is>
      </c>
      <c r="L43" s="426" t="inlineStr">
        <is>
          <t>https://attack.mitre.org/mitigations/M0948</t>
        </is>
      </c>
      <c r="M43" s="406" t="inlineStr">
        <is>
          <t>Current Power Generation working prior (80%) because ATT&amp;CK establishes mitigation applicability but does not quantify efficacy. Replace with test / incident / SME calibration when available.</t>
        </is>
      </c>
    </row>
    <row r="44" ht="41.25" customHeight="1" s="508">
      <c r="A44" s="406" t="inlineStr">
        <is>
          <t>T0819</t>
        </is>
      </c>
      <c r="B44" s="406" t="inlineStr">
        <is>
          <t>Exploit Public-Facing Application</t>
        </is>
      </c>
      <c r="C44" s="406" t="inlineStr">
        <is>
          <t>M0948</t>
        </is>
      </c>
      <c r="D44" s="406" t="inlineStr">
        <is>
          <t>Application Isolation and Sandboxing</t>
        </is>
      </c>
      <c r="E44" s="406" t="inlineStr">
        <is>
          <t>Prevent / Resist</t>
        </is>
      </c>
      <c r="F44" s="417" t="n">
        <v>0.8</v>
      </c>
      <c r="G44" s="444">
        <f>IFERROR(INDEX('OT 04 - Control Assessment'!$I$16:$I$67,MATCH(C44,'OT 04 - Control Assessment'!$A$16:$A$67,0)),0)</f>
        <v/>
      </c>
      <c r="H44" s="444">
        <f>IFERROR(INDEX('OT 04 - Control Assessment'!$J$16:$J$67,MATCH(C44,'OT 04 - Control Assessment'!$A$16:$A$67,0)),0)</f>
        <v/>
      </c>
      <c r="I44" s="444">
        <f>F44*G44*H44</f>
        <v/>
      </c>
      <c r="J44" s="406" t="inlineStr">
        <is>
          <t>Direct ATT&amp;CK mitigation relationship</t>
        </is>
      </c>
      <c r="K44" s="426" t="inlineStr">
        <is>
          <t>https://attack.mitre.org/techniques/T0819</t>
        </is>
      </c>
      <c r="L44" s="426" t="inlineStr">
        <is>
          <t>https://attack.mitre.org/mitigations/M0948</t>
        </is>
      </c>
      <c r="M44" s="406" t="inlineStr">
        <is>
          <t>Current Power Generation working prior (80%) because ATT&amp;CK establishes mitigation applicability but does not quantify efficacy. Replace with test / incident / SME calibration when available.</t>
        </is>
      </c>
    </row>
    <row r="45" ht="41.25" customHeight="1" s="508">
      <c r="A45" s="406" t="inlineStr">
        <is>
          <t>T0820</t>
        </is>
      </c>
      <c r="B45" s="406" t="inlineStr">
        <is>
          <t>Exploitation for Evasion</t>
        </is>
      </c>
      <c r="C45" s="406" t="inlineStr">
        <is>
          <t>M0948</t>
        </is>
      </c>
      <c r="D45" s="406" t="inlineStr">
        <is>
          <t>Application Isolation and Sandboxing</t>
        </is>
      </c>
      <c r="E45" s="406" t="inlineStr">
        <is>
          <t>Prevent / Resist</t>
        </is>
      </c>
      <c r="F45" s="417" t="n">
        <v>0.8</v>
      </c>
      <c r="G45" s="444">
        <f>IFERROR(INDEX('OT 04 - Control Assessment'!$I$16:$I$67,MATCH(C45,'OT 04 - Control Assessment'!$A$16:$A$67,0)),0)</f>
        <v/>
      </c>
      <c r="H45" s="444">
        <f>IFERROR(INDEX('OT 04 - Control Assessment'!$J$16:$J$67,MATCH(C45,'OT 04 - Control Assessment'!$A$16:$A$67,0)),0)</f>
        <v/>
      </c>
      <c r="I45" s="444">
        <f>F45*G45*H45</f>
        <v/>
      </c>
      <c r="J45" s="406" t="inlineStr">
        <is>
          <t>Direct ATT&amp;CK mitigation relationship</t>
        </is>
      </c>
      <c r="K45" s="426" t="inlineStr">
        <is>
          <t>https://attack.mitre.org/techniques/T0820</t>
        </is>
      </c>
      <c r="L45" s="426" t="inlineStr">
        <is>
          <t>https://attack.mitre.org/mitigations/M0948</t>
        </is>
      </c>
      <c r="M45" s="406" t="inlineStr">
        <is>
          <t>Current Power Generation working prior (80%) because ATT&amp;CK establishes mitigation applicability but does not quantify efficacy. Replace with test / incident / SME calibration when available.</t>
        </is>
      </c>
    </row>
    <row r="46" ht="41.25" customHeight="1" s="508">
      <c r="A46" s="406" t="inlineStr">
        <is>
          <t>T0890</t>
        </is>
      </c>
      <c r="B46" s="406" t="inlineStr">
        <is>
          <t>Exploitation for Privilege Escalation</t>
        </is>
      </c>
      <c r="C46" s="406" t="inlineStr">
        <is>
          <t>M0948</t>
        </is>
      </c>
      <c r="D46" s="406" t="inlineStr">
        <is>
          <t>Application Isolation and Sandboxing</t>
        </is>
      </c>
      <c r="E46" s="406" t="inlineStr">
        <is>
          <t>Prevent / Resist</t>
        </is>
      </c>
      <c r="F46" s="417" t="n">
        <v>0.8</v>
      </c>
      <c r="G46" s="444">
        <f>IFERROR(INDEX('OT 04 - Control Assessment'!$I$16:$I$67,MATCH(C46,'OT 04 - Control Assessment'!$A$16:$A$67,0)),0)</f>
        <v/>
      </c>
      <c r="H46" s="444">
        <f>IFERROR(INDEX('OT 04 - Control Assessment'!$J$16:$J$67,MATCH(C46,'OT 04 - Control Assessment'!$A$16:$A$67,0)),0)</f>
        <v/>
      </c>
      <c r="I46" s="444">
        <f>F46*G46*H46</f>
        <v/>
      </c>
      <c r="J46" s="406" t="inlineStr">
        <is>
          <t>Direct ATT&amp;CK mitigation relationship</t>
        </is>
      </c>
      <c r="K46" s="426" t="inlineStr">
        <is>
          <t>https://attack.mitre.org/techniques/T0890</t>
        </is>
      </c>
      <c r="L46" s="426" t="inlineStr">
        <is>
          <t>https://attack.mitre.org/mitigations/M0948</t>
        </is>
      </c>
      <c r="M46" s="406" t="inlineStr">
        <is>
          <t>Current Power Generation working prior (80%) because ATT&amp;CK establishes mitigation applicability but does not quantify efficacy. Replace with test / incident / SME calibration when available.</t>
        </is>
      </c>
    </row>
    <row r="47" ht="41.25" customHeight="1" s="508">
      <c r="A47" s="406" t="inlineStr">
        <is>
          <t>T0866</t>
        </is>
      </c>
      <c r="B47" s="406" t="inlineStr">
        <is>
          <t>Exploitation of Remote Services</t>
        </is>
      </c>
      <c r="C47" s="406" t="inlineStr">
        <is>
          <t>M0948</t>
        </is>
      </c>
      <c r="D47" s="406" t="inlineStr">
        <is>
          <t>Application Isolation and Sandboxing</t>
        </is>
      </c>
      <c r="E47" s="406" t="inlineStr">
        <is>
          <t>Prevent / Resist</t>
        </is>
      </c>
      <c r="F47" s="417" t="n">
        <v>0.8</v>
      </c>
      <c r="G47" s="444">
        <f>IFERROR(INDEX('OT 04 - Control Assessment'!$I$16:$I$67,MATCH(C47,'OT 04 - Control Assessment'!$A$16:$A$67,0)),0)</f>
        <v/>
      </c>
      <c r="H47" s="444">
        <f>IFERROR(INDEX('OT 04 - Control Assessment'!$J$16:$J$67,MATCH(C47,'OT 04 - Control Assessment'!$A$16:$A$67,0)),0)</f>
        <v/>
      </c>
      <c r="I47" s="444">
        <f>F47*G47*H47</f>
        <v/>
      </c>
      <c r="J47" s="406" t="inlineStr">
        <is>
          <t>Direct ATT&amp;CK mitigation relationship</t>
        </is>
      </c>
      <c r="K47" s="426" t="inlineStr">
        <is>
          <t>https://attack.mitre.org/techniques/T0866</t>
        </is>
      </c>
      <c r="L47" s="426" t="inlineStr">
        <is>
          <t>https://attack.mitre.org/mitigations/M0948</t>
        </is>
      </c>
      <c r="M47" s="406" t="inlineStr">
        <is>
          <t>Current Power Generation working prior (80%) because ATT&amp;CK establishes mitigation applicability but does not quantify efficacy. Replace with test / incident / SME calibration when available.</t>
        </is>
      </c>
    </row>
    <row r="48" ht="41.25" customHeight="1" s="508">
      <c r="A48" s="406" t="inlineStr">
        <is>
          <t>T0853</t>
        </is>
      </c>
      <c r="B48" s="406" t="inlineStr">
        <is>
          <t>Scripting</t>
        </is>
      </c>
      <c r="C48" s="406" t="inlineStr">
        <is>
          <t>M0948</t>
        </is>
      </c>
      <c r="D48" s="406" t="inlineStr">
        <is>
          <t>Application Isolation and Sandboxing</t>
        </is>
      </c>
      <c r="E48" s="406" t="inlineStr">
        <is>
          <t>Prevent / Resist</t>
        </is>
      </c>
      <c r="F48" s="417" t="n">
        <v>0.8</v>
      </c>
      <c r="G48" s="444">
        <f>IFERROR(INDEX('OT 04 - Control Assessment'!$I$16:$I$67,MATCH(C48,'OT 04 - Control Assessment'!$A$16:$A$67,0)),0)</f>
        <v/>
      </c>
      <c r="H48" s="444">
        <f>IFERROR(INDEX('OT 04 - Control Assessment'!$J$16:$J$67,MATCH(C48,'OT 04 - Control Assessment'!$A$16:$A$67,0)),0)</f>
        <v/>
      </c>
      <c r="I48" s="444">
        <f>F48*G48*H48</f>
        <v/>
      </c>
      <c r="J48" s="406" t="inlineStr">
        <is>
          <t>Direct ATT&amp;CK mitigation relationship</t>
        </is>
      </c>
      <c r="K48" s="426" t="inlineStr">
        <is>
          <t>https://attack.mitre.org/techniques/T0853</t>
        </is>
      </c>
      <c r="L48" s="426" t="inlineStr">
        <is>
          <t>https://attack.mitre.org/mitigations/M0948</t>
        </is>
      </c>
      <c r="M48" s="406" t="inlineStr">
        <is>
          <t>Current Power Generation working prior (80%) because ATT&amp;CK establishes mitigation applicability but does not quantify efficacy. Replace with test / incident / SME calibration when available.</t>
        </is>
      </c>
    </row>
    <row r="49" ht="41.25" customHeight="1" s="508">
      <c r="A49" s="406" t="inlineStr">
        <is>
          <t>T0830</t>
        </is>
      </c>
      <c r="B49" s="406" t="inlineStr">
        <is>
          <t>Adversary-in-the-Middle</t>
        </is>
      </c>
      <c r="C49" s="406" t="inlineStr">
        <is>
          <t>M0947</t>
        </is>
      </c>
      <c r="D49" s="406" t="inlineStr">
        <is>
          <t>Audit</t>
        </is>
      </c>
      <c r="E49" s="406" t="inlineStr">
        <is>
          <t>Detect / Contain</t>
        </is>
      </c>
      <c r="F49" s="417" t="n">
        <v>0.8</v>
      </c>
      <c r="G49" s="444">
        <f>IFERROR(INDEX('OT 04 - Control Assessment'!$I$16:$I$67,MATCH(C49,'OT 04 - Control Assessment'!$A$16:$A$67,0)),0)</f>
        <v/>
      </c>
      <c r="H49" s="444">
        <f>IFERROR(INDEX('OT 04 - Control Assessment'!$J$16:$J$67,MATCH(C49,'OT 04 - Control Assessment'!$A$16:$A$67,0)),0)</f>
        <v/>
      </c>
      <c r="I49" s="444">
        <f>F49*G49*H49</f>
        <v/>
      </c>
      <c r="J49" s="406" t="inlineStr">
        <is>
          <t>Direct ATT&amp;CK mitigation relationship</t>
        </is>
      </c>
      <c r="K49" s="426" t="inlineStr">
        <is>
          <t>https://attack.mitre.org/techniques/T0830</t>
        </is>
      </c>
      <c r="L49" s="426" t="inlineStr">
        <is>
          <t>https://attack.mitre.org/mitigations/M0947</t>
        </is>
      </c>
      <c r="M49" s="406" t="inlineStr">
        <is>
          <t>Current Power Generation working prior (80%) because ATT&amp;CK establishes mitigation applicability but does not quantify efficacy. Replace with test / incident / SME calibration when available.</t>
        </is>
      </c>
    </row>
    <row r="50" ht="41.25" customHeight="1" s="508">
      <c r="A50" s="406" t="inlineStr">
        <is>
          <t>T0811</t>
        </is>
      </c>
      <c r="B50" s="406" t="inlineStr">
        <is>
          <t>Data from Information Repositories</t>
        </is>
      </c>
      <c r="C50" s="406" t="inlineStr">
        <is>
          <t>M0947</t>
        </is>
      </c>
      <c r="D50" s="406" t="inlineStr">
        <is>
          <t>Audit</t>
        </is>
      </c>
      <c r="E50" s="406" t="inlineStr">
        <is>
          <t>Detect / Contain</t>
        </is>
      </c>
      <c r="F50" s="417" t="n">
        <v>0.8</v>
      </c>
      <c r="G50" s="444">
        <f>IFERROR(INDEX('OT 04 - Control Assessment'!$I$16:$I$67,MATCH(C50,'OT 04 - Control Assessment'!$A$16:$A$67,0)),0)</f>
        <v/>
      </c>
      <c r="H50" s="444">
        <f>IFERROR(INDEX('OT 04 - Control Assessment'!$J$16:$J$67,MATCH(C50,'OT 04 - Control Assessment'!$A$16:$A$67,0)),0)</f>
        <v/>
      </c>
      <c r="I50" s="444">
        <f>F50*G50*H50</f>
        <v/>
      </c>
      <c r="J50" s="406" t="inlineStr">
        <is>
          <t>Direct ATT&amp;CK mitigation relationship</t>
        </is>
      </c>
      <c r="K50" s="426" t="inlineStr">
        <is>
          <t>https://attack.mitre.org/techniques/T0811</t>
        </is>
      </c>
      <c r="L50" s="426" t="inlineStr">
        <is>
          <t>https://attack.mitre.org/mitigations/M0947</t>
        </is>
      </c>
      <c r="M50" s="406" t="inlineStr">
        <is>
          <t>Current Power Generation working prior (80%) because ATT&amp;CK establishes mitigation applicability but does not quantify efficacy. Replace with test / incident / SME calibration when available.</t>
        </is>
      </c>
    </row>
    <row r="51" ht="41.25" customHeight="1" s="508">
      <c r="A51" s="406" t="inlineStr">
        <is>
          <t>T0843.001</t>
        </is>
      </c>
      <c r="B51" s="406" t="inlineStr">
        <is>
          <t>Download All</t>
        </is>
      </c>
      <c r="C51" s="406" t="inlineStr">
        <is>
          <t>M0947</t>
        </is>
      </c>
      <c r="D51" s="406" t="inlineStr">
        <is>
          <t>Audit</t>
        </is>
      </c>
      <c r="E51" s="406" t="inlineStr">
        <is>
          <t>Detect / Contain</t>
        </is>
      </c>
      <c r="F51" s="417" t="n">
        <v>0.8</v>
      </c>
      <c r="G51" s="444">
        <f>IFERROR(INDEX('OT 04 - Control Assessment'!$I$16:$I$67,MATCH(C51,'OT 04 - Control Assessment'!$A$16:$A$67,0)),0)</f>
        <v/>
      </c>
      <c r="H51" s="444">
        <f>IFERROR(INDEX('OT 04 - Control Assessment'!$J$16:$J$67,MATCH(C51,'OT 04 - Control Assessment'!$A$16:$A$67,0)),0)</f>
        <v/>
      </c>
      <c r="I51" s="444">
        <f>F51*G51*H51</f>
        <v/>
      </c>
      <c r="J51" s="406" t="inlineStr">
        <is>
          <t>Direct ATT&amp;CK mitigation relationship</t>
        </is>
      </c>
      <c r="K51" s="426" t="inlineStr">
        <is>
          <t>https://attack.mitre.org/techniques/T0843/001</t>
        </is>
      </c>
      <c r="L51" s="426" t="inlineStr">
        <is>
          <t>https://attack.mitre.org/mitigations/M0947</t>
        </is>
      </c>
      <c r="M51" s="406" t="inlineStr">
        <is>
          <t>Current Power Generation working prior (80%) because ATT&amp;CK establishes mitigation applicability but does not quantify efficacy. Replace with test / incident / SME calibration when available.</t>
        </is>
      </c>
    </row>
    <row r="52" ht="41.25" customHeight="1" s="508">
      <c r="A52" s="406" t="inlineStr">
        <is>
          <t>T0874</t>
        </is>
      </c>
      <c r="B52" s="406" t="inlineStr">
        <is>
          <t>Hooking</t>
        </is>
      </c>
      <c r="C52" s="406" t="inlineStr">
        <is>
          <t>M0947</t>
        </is>
      </c>
      <c r="D52" s="406" t="inlineStr">
        <is>
          <t>Audit</t>
        </is>
      </c>
      <c r="E52" s="406" t="inlineStr">
        <is>
          <t>Detect / Contain</t>
        </is>
      </c>
      <c r="F52" s="417" t="n">
        <v>0.8</v>
      </c>
      <c r="G52" s="444">
        <f>IFERROR(INDEX('OT 04 - Control Assessment'!$I$16:$I$67,MATCH(C52,'OT 04 - Control Assessment'!$A$16:$A$67,0)),0)</f>
        <v/>
      </c>
      <c r="H52" s="444">
        <f>IFERROR(INDEX('OT 04 - Control Assessment'!$J$16:$J$67,MATCH(C52,'OT 04 - Control Assessment'!$A$16:$A$67,0)),0)</f>
        <v/>
      </c>
      <c r="I52" s="444">
        <f>F52*G52*H52</f>
        <v/>
      </c>
      <c r="J52" s="406" t="inlineStr">
        <is>
          <t>Direct ATT&amp;CK mitigation relationship</t>
        </is>
      </c>
      <c r="K52" s="426" t="inlineStr">
        <is>
          <t>https://attack.mitre.org/techniques/T0874</t>
        </is>
      </c>
      <c r="L52" s="426" t="inlineStr">
        <is>
          <t>https://attack.mitre.org/mitigations/M0947</t>
        </is>
      </c>
      <c r="M52" s="406" t="inlineStr">
        <is>
          <t>Current Power Generation working prior (80%) because ATT&amp;CK establishes mitigation applicability but does not quantify efficacy. Replace with test / incident / SME calibration when available.</t>
        </is>
      </c>
    </row>
    <row r="53" ht="41.25" customHeight="1" s="508">
      <c r="A53" s="406" t="inlineStr">
        <is>
          <t>T0821</t>
        </is>
      </c>
      <c r="B53" s="406" t="inlineStr">
        <is>
          <t>Modify Controller Tasking</t>
        </is>
      </c>
      <c r="C53" s="406" t="inlineStr">
        <is>
          <t>M0947</t>
        </is>
      </c>
      <c r="D53" s="406" t="inlineStr">
        <is>
          <t>Audit</t>
        </is>
      </c>
      <c r="E53" s="406" t="inlineStr">
        <is>
          <t>Detect / Contain</t>
        </is>
      </c>
      <c r="F53" s="417" t="n">
        <v>0.8</v>
      </c>
      <c r="G53" s="444">
        <f>IFERROR(INDEX('OT 04 - Control Assessment'!$I$16:$I$67,MATCH(C53,'OT 04 - Control Assessment'!$A$16:$A$67,0)),0)</f>
        <v/>
      </c>
      <c r="H53" s="444">
        <f>IFERROR(INDEX('OT 04 - Control Assessment'!$J$16:$J$67,MATCH(C53,'OT 04 - Control Assessment'!$A$16:$A$67,0)),0)</f>
        <v/>
      </c>
      <c r="I53" s="444">
        <f>F53*G53*H53</f>
        <v/>
      </c>
      <c r="J53" s="406" t="inlineStr">
        <is>
          <t>Direct ATT&amp;CK mitigation relationship</t>
        </is>
      </c>
      <c r="K53" s="426" t="inlineStr">
        <is>
          <t>https://attack.mitre.org/techniques/T0821</t>
        </is>
      </c>
      <c r="L53" s="426" t="inlineStr">
        <is>
          <t>https://attack.mitre.org/mitigations/M0947</t>
        </is>
      </c>
      <c r="M53" s="406" t="inlineStr">
        <is>
          <t>Current Power Generation working prior (80%) because ATT&amp;CK establishes mitigation applicability but does not quantify efficacy. Replace with test / incident / SME calibration when available.</t>
        </is>
      </c>
    </row>
    <row r="54" ht="41.25" customHeight="1" s="508">
      <c r="A54" s="406" t="inlineStr">
        <is>
          <t>T1693</t>
        </is>
      </c>
      <c r="B54" s="406" t="inlineStr">
        <is>
          <t>Modify Firmware</t>
        </is>
      </c>
      <c r="C54" s="406" t="inlineStr">
        <is>
          <t>M0947</t>
        </is>
      </c>
      <c r="D54" s="406" t="inlineStr">
        <is>
          <t>Audit</t>
        </is>
      </c>
      <c r="E54" s="406" t="inlineStr">
        <is>
          <t>Detect / Contain</t>
        </is>
      </c>
      <c r="F54" s="417" t="n">
        <v>0.8</v>
      </c>
      <c r="G54" s="444">
        <f>IFERROR(INDEX('OT 04 - Control Assessment'!$I$16:$I$67,MATCH(C54,'OT 04 - Control Assessment'!$A$16:$A$67,0)),0)</f>
        <v/>
      </c>
      <c r="H54" s="444">
        <f>IFERROR(INDEX('OT 04 - Control Assessment'!$J$16:$J$67,MATCH(C54,'OT 04 - Control Assessment'!$A$16:$A$67,0)),0)</f>
        <v/>
      </c>
      <c r="I54" s="444">
        <f>F54*G54*H54</f>
        <v/>
      </c>
      <c r="J54" s="406" t="inlineStr">
        <is>
          <t>Direct ATT&amp;CK mitigation relationship</t>
        </is>
      </c>
      <c r="K54" s="426" t="inlineStr">
        <is>
          <t>https://attack.mitre.org/techniques/T1693</t>
        </is>
      </c>
      <c r="L54" s="426" t="inlineStr">
        <is>
          <t>https://attack.mitre.org/mitigations/M0947</t>
        </is>
      </c>
      <c r="M54" s="406" t="inlineStr">
        <is>
          <t>Current Power Generation working prior (80%) because ATT&amp;CK establishes mitigation applicability but does not quantify efficacy. Replace with test / incident / SME calibration when available.</t>
        </is>
      </c>
    </row>
    <row r="55" ht="41.25" customHeight="1" s="508">
      <c r="A55" s="406" t="inlineStr">
        <is>
          <t>T0836</t>
        </is>
      </c>
      <c r="B55" s="406" t="inlineStr">
        <is>
          <t>Modify Parameter</t>
        </is>
      </c>
      <c r="C55" s="406" t="inlineStr">
        <is>
          <t>M0947</t>
        </is>
      </c>
      <c r="D55" s="406" t="inlineStr">
        <is>
          <t>Audit</t>
        </is>
      </c>
      <c r="E55" s="406" t="inlineStr">
        <is>
          <t>Detect / Contain</t>
        </is>
      </c>
      <c r="F55" s="417" t="n">
        <v>0.8</v>
      </c>
      <c r="G55" s="444">
        <f>IFERROR(INDEX('OT 04 - Control Assessment'!$I$16:$I$67,MATCH(C55,'OT 04 - Control Assessment'!$A$16:$A$67,0)),0)</f>
        <v/>
      </c>
      <c r="H55" s="444">
        <f>IFERROR(INDEX('OT 04 - Control Assessment'!$J$16:$J$67,MATCH(C55,'OT 04 - Control Assessment'!$A$16:$A$67,0)),0)</f>
        <v/>
      </c>
      <c r="I55" s="444">
        <f>F55*G55*H55</f>
        <v/>
      </c>
      <c r="J55" s="406" t="inlineStr">
        <is>
          <t>Direct ATT&amp;CK mitigation relationship</t>
        </is>
      </c>
      <c r="K55" s="426" t="inlineStr">
        <is>
          <t>https://attack.mitre.org/techniques/T0836</t>
        </is>
      </c>
      <c r="L55" s="426" t="inlineStr">
        <is>
          <t>https://attack.mitre.org/mitigations/M0947</t>
        </is>
      </c>
      <c r="M55" s="406" t="inlineStr">
        <is>
          <t>Current Power Generation working prior (80%) because ATT&amp;CK establishes mitigation applicability but does not quantify efficacy. Replace with test / incident / SME calibration when available.</t>
        </is>
      </c>
    </row>
    <row r="56" ht="41.25" customHeight="1" s="508">
      <c r="A56" s="406" t="inlineStr">
        <is>
          <t>T0889</t>
        </is>
      </c>
      <c r="B56" s="406" t="inlineStr">
        <is>
          <t>Modify Program</t>
        </is>
      </c>
      <c r="C56" s="406" t="inlineStr">
        <is>
          <t>M0947</t>
        </is>
      </c>
      <c r="D56" s="406" t="inlineStr">
        <is>
          <t>Audit</t>
        </is>
      </c>
      <c r="E56" s="406" t="inlineStr">
        <is>
          <t>Detect / Contain</t>
        </is>
      </c>
      <c r="F56" s="417" t="n">
        <v>0.8</v>
      </c>
      <c r="G56" s="444">
        <f>IFERROR(INDEX('OT 04 - Control Assessment'!$I$16:$I$67,MATCH(C56,'OT 04 - Control Assessment'!$A$16:$A$67,0)),0)</f>
        <v/>
      </c>
      <c r="H56" s="444">
        <f>IFERROR(INDEX('OT 04 - Control Assessment'!$J$16:$J$67,MATCH(C56,'OT 04 - Control Assessment'!$A$16:$A$67,0)),0)</f>
        <v/>
      </c>
      <c r="I56" s="444">
        <f>F56*G56*H56</f>
        <v/>
      </c>
      <c r="J56" s="406" t="inlineStr">
        <is>
          <t>Direct ATT&amp;CK mitigation relationship</t>
        </is>
      </c>
      <c r="K56" s="426" t="inlineStr">
        <is>
          <t>https://attack.mitre.org/techniques/T0889</t>
        </is>
      </c>
      <c r="L56" s="426" t="inlineStr">
        <is>
          <t>https://attack.mitre.org/mitigations/M0947</t>
        </is>
      </c>
      <c r="M56" s="406" t="inlineStr">
        <is>
          <t>Current Power Generation working prior (80%) because ATT&amp;CK establishes mitigation applicability but does not quantify efficacy. Replace with test / incident / SME calibration when available.</t>
        </is>
      </c>
    </row>
    <row r="57" ht="41.25" customHeight="1" s="508">
      <c r="A57" s="406" t="inlineStr">
        <is>
          <t>T1693.002</t>
        </is>
      </c>
      <c r="B57" s="406" t="inlineStr">
        <is>
          <t>Module Firmware</t>
        </is>
      </c>
      <c r="C57" s="406" t="inlineStr">
        <is>
          <t>M0947</t>
        </is>
      </c>
      <c r="D57" s="406" t="inlineStr">
        <is>
          <t>Audit</t>
        </is>
      </c>
      <c r="E57" s="406" t="inlineStr">
        <is>
          <t>Detect / Contain</t>
        </is>
      </c>
      <c r="F57" s="417" t="n">
        <v>0.8</v>
      </c>
      <c r="G57" s="444">
        <f>IFERROR(INDEX('OT 04 - Control Assessment'!$I$16:$I$67,MATCH(C57,'OT 04 - Control Assessment'!$A$16:$A$67,0)),0)</f>
        <v/>
      </c>
      <c r="H57" s="444">
        <f>IFERROR(INDEX('OT 04 - Control Assessment'!$J$16:$J$67,MATCH(C57,'OT 04 - Control Assessment'!$A$16:$A$67,0)),0)</f>
        <v/>
      </c>
      <c r="I57" s="444">
        <f>F57*G57*H57</f>
        <v/>
      </c>
      <c r="J57" s="406" t="inlineStr">
        <is>
          <t>Direct ATT&amp;CK mitigation relationship</t>
        </is>
      </c>
      <c r="K57" s="426" t="inlineStr">
        <is>
          <t>https://attack.mitre.org/techniques/T1693/002</t>
        </is>
      </c>
      <c r="L57" s="426" t="inlineStr">
        <is>
          <t>https://attack.mitre.org/mitigations/M0947</t>
        </is>
      </c>
      <c r="M57" s="406" t="inlineStr">
        <is>
          <t>Current Power Generation working prior (80%) because ATT&amp;CK establishes mitigation applicability but does not quantify efficacy. Replace with test / incident / SME calibration when available.</t>
        </is>
      </c>
    </row>
    <row r="58" ht="41.25" customHeight="1" s="508">
      <c r="A58" s="406" t="inlineStr">
        <is>
          <t>T0843.002</t>
        </is>
      </c>
      <c r="B58" s="406" t="inlineStr">
        <is>
          <t>Online Edit</t>
        </is>
      </c>
      <c r="C58" s="406" t="inlineStr">
        <is>
          <t>M0947</t>
        </is>
      </c>
      <c r="D58" s="406" t="inlineStr">
        <is>
          <t>Audit</t>
        </is>
      </c>
      <c r="E58" s="406" t="inlineStr">
        <is>
          <t>Detect / Contain</t>
        </is>
      </c>
      <c r="F58" s="417" t="n">
        <v>0.8</v>
      </c>
      <c r="G58" s="444">
        <f>IFERROR(INDEX('OT 04 - Control Assessment'!$I$16:$I$67,MATCH(C58,'OT 04 - Control Assessment'!$A$16:$A$67,0)),0)</f>
        <v/>
      </c>
      <c r="H58" s="444">
        <f>IFERROR(INDEX('OT 04 - Control Assessment'!$J$16:$J$67,MATCH(C58,'OT 04 - Control Assessment'!$A$16:$A$67,0)),0)</f>
        <v/>
      </c>
      <c r="I58" s="444">
        <f>F58*G58*H58</f>
        <v/>
      </c>
      <c r="J58" s="406" t="inlineStr">
        <is>
          <t>Direct ATT&amp;CK mitigation relationship</t>
        </is>
      </c>
      <c r="K58" s="426" t="inlineStr">
        <is>
          <t>https://attack.mitre.org/techniques/T0843/002</t>
        </is>
      </c>
      <c r="L58" s="426" t="inlineStr">
        <is>
          <t>https://attack.mitre.org/mitigations/M0947</t>
        </is>
      </c>
      <c r="M58" s="406" t="inlineStr">
        <is>
          <t>Current Power Generation working prior (80%) because ATT&amp;CK establishes mitigation applicability but does not quantify efficacy. Replace with test / incident / SME calibration when available.</t>
        </is>
      </c>
    </row>
    <row r="59" ht="41.25" customHeight="1" s="508">
      <c r="A59" s="406" t="inlineStr">
        <is>
          <t>T0843.003</t>
        </is>
      </c>
      <c r="B59" s="406" t="inlineStr">
        <is>
          <t>Program Append</t>
        </is>
      </c>
      <c r="C59" s="406" t="inlineStr">
        <is>
          <t>M0947</t>
        </is>
      </c>
      <c r="D59" s="406" t="inlineStr">
        <is>
          <t>Audit</t>
        </is>
      </c>
      <c r="E59" s="406" t="inlineStr">
        <is>
          <t>Detect / Contain</t>
        </is>
      </c>
      <c r="F59" s="417" t="n">
        <v>0.8</v>
      </c>
      <c r="G59" s="444">
        <f>IFERROR(INDEX('OT 04 - Control Assessment'!$I$16:$I$67,MATCH(C59,'OT 04 - Control Assessment'!$A$16:$A$67,0)),0)</f>
        <v/>
      </c>
      <c r="H59" s="444">
        <f>IFERROR(INDEX('OT 04 - Control Assessment'!$J$16:$J$67,MATCH(C59,'OT 04 - Control Assessment'!$A$16:$A$67,0)),0)</f>
        <v/>
      </c>
      <c r="I59" s="444">
        <f>F59*G59*H59</f>
        <v/>
      </c>
      <c r="J59" s="406" t="inlineStr">
        <is>
          <t>Direct ATT&amp;CK mitigation relationship</t>
        </is>
      </c>
      <c r="K59" s="426" t="inlineStr">
        <is>
          <t>https://attack.mitre.org/techniques/T0843/003</t>
        </is>
      </c>
      <c r="L59" s="426" t="inlineStr">
        <is>
          <t>https://attack.mitre.org/mitigations/M0947</t>
        </is>
      </c>
      <c r="M59" s="406" t="inlineStr">
        <is>
          <t>Current Power Generation working prior (80%) because ATT&amp;CK establishes mitigation applicability but does not quantify efficacy. Replace with test / incident / SME calibration when available.</t>
        </is>
      </c>
    </row>
    <row r="60" ht="41.25" customHeight="1" s="508">
      <c r="A60" s="406" t="inlineStr">
        <is>
          <t>T0843</t>
        </is>
      </c>
      <c r="B60" s="406" t="inlineStr">
        <is>
          <t>Program Download</t>
        </is>
      </c>
      <c r="C60" s="406" t="inlineStr">
        <is>
          <t>M0947</t>
        </is>
      </c>
      <c r="D60" s="406" t="inlineStr">
        <is>
          <t>Audit</t>
        </is>
      </c>
      <c r="E60" s="406" t="inlineStr">
        <is>
          <t>Detect / Contain</t>
        </is>
      </c>
      <c r="F60" s="417" t="n">
        <v>0.8</v>
      </c>
      <c r="G60" s="444">
        <f>IFERROR(INDEX('OT 04 - Control Assessment'!$I$16:$I$67,MATCH(C60,'OT 04 - Control Assessment'!$A$16:$A$67,0)),0)</f>
        <v/>
      </c>
      <c r="H60" s="444">
        <f>IFERROR(INDEX('OT 04 - Control Assessment'!$J$16:$J$67,MATCH(C60,'OT 04 - Control Assessment'!$A$16:$A$67,0)),0)</f>
        <v/>
      </c>
      <c r="I60" s="444">
        <f>F60*G60*H60</f>
        <v/>
      </c>
      <c r="J60" s="406" t="inlineStr">
        <is>
          <t>Direct ATT&amp;CK mitigation relationship</t>
        </is>
      </c>
      <c r="K60" s="426" t="inlineStr">
        <is>
          <t>https://attack.mitre.org/techniques/T0843</t>
        </is>
      </c>
      <c r="L60" s="426" t="inlineStr">
        <is>
          <t>https://attack.mitre.org/mitigations/M0947</t>
        </is>
      </c>
      <c r="M60" s="406" t="inlineStr">
        <is>
          <t>Current Power Generation working prior (80%) because ATT&amp;CK establishes mitigation applicability but does not quantify efficacy. Replace with test / incident / SME calibration when available.</t>
        </is>
      </c>
    </row>
    <row r="61" ht="41.25" customHeight="1" s="508">
      <c r="A61" s="406" t="inlineStr">
        <is>
          <t>T0873</t>
        </is>
      </c>
      <c r="B61" s="406" t="inlineStr">
        <is>
          <t>Project File Infection</t>
        </is>
      </c>
      <c r="C61" s="406" t="inlineStr">
        <is>
          <t>M0947</t>
        </is>
      </c>
      <c r="D61" s="406" t="inlineStr">
        <is>
          <t>Audit</t>
        </is>
      </c>
      <c r="E61" s="406" t="inlineStr">
        <is>
          <t>Detect / Contain</t>
        </is>
      </c>
      <c r="F61" s="417" t="n">
        <v>0.8</v>
      </c>
      <c r="G61" s="444">
        <f>IFERROR(INDEX('OT 04 - Control Assessment'!$I$16:$I$67,MATCH(C61,'OT 04 - Control Assessment'!$A$16:$A$67,0)),0)</f>
        <v/>
      </c>
      <c r="H61" s="444">
        <f>IFERROR(INDEX('OT 04 - Control Assessment'!$J$16:$J$67,MATCH(C61,'OT 04 - Control Assessment'!$A$16:$A$67,0)),0)</f>
        <v/>
      </c>
      <c r="I61" s="444">
        <f>F61*G61*H61</f>
        <v/>
      </c>
      <c r="J61" s="406" t="inlineStr">
        <is>
          <t>Direct ATT&amp;CK mitigation relationship</t>
        </is>
      </c>
      <c r="K61" s="426" t="inlineStr">
        <is>
          <t>https://attack.mitre.org/techniques/T0873</t>
        </is>
      </c>
      <c r="L61" s="426" t="inlineStr">
        <is>
          <t>https://attack.mitre.org/mitigations/M0947</t>
        </is>
      </c>
      <c r="M61" s="406" t="inlineStr">
        <is>
          <t>Current Power Generation working prior (80%) because ATT&amp;CK establishes mitigation applicability but does not quantify efficacy. Replace with test / incident / SME calibration when available.</t>
        </is>
      </c>
    </row>
    <row r="62" ht="41.25" customHeight="1" s="508">
      <c r="A62" s="406" t="inlineStr">
        <is>
          <t>T0851</t>
        </is>
      </c>
      <c r="B62" s="406" t="inlineStr">
        <is>
          <t>Rootkit</t>
        </is>
      </c>
      <c r="C62" s="406" t="inlineStr">
        <is>
          <t>M0947</t>
        </is>
      </c>
      <c r="D62" s="406" t="inlineStr">
        <is>
          <t>Audit</t>
        </is>
      </c>
      <c r="E62" s="406" t="inlineStr">
        <is>
          <t>Detect / Contain</t>
        </is>
      </c>
      <c r="F62" s="417" t="n">
        <v>0.8</v>
      </c>
      <c r="G62" s="444">
        <f>IFERROR(INDEX('OT 04 - Control Assessment'!$I$16:$I$67,MATCH(C62,'OT 04 - Control Assessment'!$A$16:$A$67,0)),0)</f>
        <v/>
      </c>
      <c r="H62" s="444">
        <f>IFERROR(INDEX('OT 04 - Control Assessment'!$J$16:$J$67,MATCH(C62,'OT 04 - Control Assessment'!$A$16:$A$67,0)),0)</f>
        <v/>
      </c>
      <c r="I62" s="444">
        <f>F62*G62*H62</f>
        <v/>
      </c>
      <c r="J62" s="406" t="inlineStr">
        <is>
          <t>Direct ATT&amp;CK mitigation relationship</t>
        </is>
      </c>
      <c r="K62" s="426" t="inlineStr">
        <is>
          <t>https://attack.mitre.org/techniques/T0851</t>
        </is>
      </c>
      <c r="L62" s="426" t="inlineStr">
        <is>
          <t>https://attack.mitre.org/mitigations/M0947</t>
        </is>
      </c>
      <c r="M62" s="406" t="inlineStr">
        <is>
          <t>Current Power Generation working prior (80%) because ATT&amp;CK establishes mitigation applicability but does not quantify efficacy. Replace with test / incident / SME calibration when available.</t>
        </is>
      </c>
    </row>
    <row r="63" ht="41.25" customHeight="1" s="508">
      <c r="A63" s="406" t="inlineStr">
        <is>
          <t>T0873.001</t>
        </is>
      </c>
      <c r="B63" s="406" t="inlineStr">
        <is>
          <t>Siemens Project File Format</t>
        </is>
      </c>
      <c r="C63" s="406" t="inlineStr">
        <is>
          <t>M0947</t>
        </is>
      </c>
      <c r="D63" s="406" t="inlineStr">
        <is>
          <t>Audit</t>
        </is>
      </c>
      <c r="E63" s="406" t="inlineStr">
        <is>
          <t>Detect / Contain</t>
        </is>
      </c>
      <c r="F63" s="417" t="n">
        <v>0.8</v>
      </c>
      <c r="G63" s="444">
        <f>IFERROR(INDEX('OT 04 - Control Assessment'!$I$16:$I$67,MATCH(C63,'OT 04 - Control Assessment'!$A$16:$A$67,0)),0)</f>
        <v/>
      </c>
      <c r="H63" s="444">
        <f>IFERROR(INDEX('OT 04 - Control Assessment'!$J$16:$J$67,MATCH(C63,'OT 04 - Control Assessment'!$A$16:$A$67,0)),0)</f>
        <v/>
      </c>
      <c r="I63" s="444">
        <f>F63*G63*H63</f>
        <v/>
      </c>
      <c r="J63" s="406" t="inlineStr">
        <is>
          <t>Direct ATT&amp;CK mitigation relationship</t>
        </is>
      </c>
      <c r="K63" s="426" t="inlineStr">
        <is>
          <t>https://attack.mitre.org/techniques/T0873/001</t>
        </is>
      </c>
      <c r="L63" s="426" t="inlineStr">
        <is>
          <t>https://attack.mitre.org/mitigations/M0947</t>
        </is>
      </c>
      <c r="M63" s="406" t="inlineStr">
        <is>
          <t>Current Power Generation working prior (80%) because ATT&amp;CK establishes mitigation applicability but does not quantify efficacy. Replace with test / incident / SME calibration when available.</t>
        </is>
      </c>
    </row>
    <row r="64" ht="41.25" customHeight="1" s="508">
      <c r="A64" s="406" t="inlineStr">
        <is>
          <t>T0862</t>
        </is>
      </c>
      <c r="B64" s="406" t="inlineStr">
        <is>
          <t>Supply Chain Compromise</t>
        </is>
      </c>
      <c r="C64" s="406" t="inlineStr">
        <is>
          <t>M0947</t>
        </is>
      </c>
      <c r="D64" s="406" t="inlineStr">
        <is>
          <t>Audit</t>
        </is>
      </c>
      <c r="E64" s="406" t="inlineStr">
        <is>
          <t>Detect / Contain</t>
        </is>
      </c>
      <c r="F64" s="417" t="n">
        <v>0.8</v>
      </c>
      <c r="G64" s="444">
        <f>IFERROR(INDEX('OT 04 - Control Assessment'!$I$16:$I$67,MATCH(C64,'OT 04 - Control Assessment'!$A$16:$A$67,0)),0)</f>
        <v/>
      </c>
      <c r="H64" s="444">
        <f>IFERROR(INDEX('OT 04 - Control Assessment'!$J$16:$J$67,MATCH(C64,'OT 04 - Control Assessment'!$A$16:$A$67,0)),0)</f>
        <v/>
      </c>
      <c r="I64" s="444">
        <f>F64*G64*H64</f>
        <v/>
      </c>
      <c r="J64" s="406" t="inlineStr">
        <is>
          <t>Direct ATT&amp;CK mitigation relationship</t>
        </is>
      </c>
      <c r="K64" s="426" t="inlineStr">
        <is>
          <t>https://attack.mitre.org/techniques/T0862</t>
        </is>
      </c>
      <c r="L64" s="426" t="inlineStr">
        <is>
          <t>https://attack.mitre.org/mitigations/M0947</t>
        </is>
      </c>
      <c r="M64" s="406" t="inlineStr">
        <is>
          <t>Current Power Generation working prior (80%) because ATT&amp;CK establishes mitigation applicability but does not quantify efficacy. Replace with test / incident / SME calibration when available.</t>
        </is>
      </c>
    </row>
    <row r="65" ht="41.25" customHeight="1" s="508">
      <c r="A65" s="406" t="inlineStr">
        <is>
          <t>T1693.001</t>
        </is>
      </c>
      <c r="B65" s="406" t="inlineStr">
        <is>
          <t>System Firmware</t>
        </is>
      </c>
      <c r="C65" s="406" t="inlineStr">
        <is>
          <t>M0947</t>
        </is>
      </c>
      <c r="D65" s="406" t="inlineStr">
        <is>
          <t>Audit</t>
        </is>
      </c>
      <c r="E65" s="406" t="inlineStr">
        <is>
          <t>Detect / Contain</t>
        </is>
      </c>
      <c r="F65" s="417" t="n">
        <v>0.8</v>
      </c>
      <c r="G65" s="444">
        <f>IFERROR(INDEX('OT 04 - Control Assessment'!$I$16:$I$67,MATCH(C65,'OT 04 - Control Assessment'!$A$16:$A$67,0)),0)</f>
        <v/>
      </c>
      <c r="H65" s="444">
        <f>IFERROR(INDEX('OT 04 - Control Assessment'!$J$16:$J$67,MATCH(C65,'OT 04 - Control Assessment'!$A$16:$A$67,0)),0)</f>
        <v/>
      </c>
      <c r="I65" s="444">
        <f>F65*G65*H65</f>
        <v/>
      </c>
      <c r="J65" s="406" t="inlineStr">
        <is>
          <t>Direct ATT&amp;CK mitigation relationship</t>
        </is>
      </c>
      <c r="K65" s="426" t="inlineStr">
        <is>
          <t>https://attack.mitre.org/techniques/T1693/001</t>
        </is>
      </c>
      <c r="L65" s="426" t="inlineStr">
        <is>
          <t>https://attack.mitre.org/mitigations/M0947</t>
        </is>
      </c>
      <c r="M65" s="406" t="inlineStr">
        <is>
          <t>Current Power Generation working prior (80%) because ATT&amp;CK establishes mitigation applicability but does not quantify efficacy. Replace with test / incident / SME calibration when available.</t>
        </is>
      </c>
    </row>
    <row r="66" ht="41.25" customHeight="1" s="508">
      <c r="A66" s="406" t="inlineStr">
        <is>
          <t>T0864</t>
        </is>
      </c>
      <c r="B66" s="406" t="inlineStr">
        <is>
          <t>Transient Cyber Asset</t>
        </is>
      </c>
      <c r="C66" s="406" t="inlineStr">
        <is>
          <t>M0947</t>
        </is>
      </c>
      <c r="D66" s="406" t="inlineStr">
        <is>
          <t>Audit</t>
        </is>
      </c>
      <c r="E66" s="406" t="inlineStr">
        <is>
          <t>Detect / Contain</t>
        </is>
      </c>
      <c r="F66" s="417" t="n">
        <v>0.8</v>
      </c>
      <c r="G66" s="444">
        <f>IFERROR(INDEX('OT 04 - Control Assessment'!$I$16:$I$67,MATCH(C66,'OT 04 - Control Assessment'!$A$16:$A$67,0)),0)</f>
        <v/>
      </c>
      <c r="H66" s="444">
        <f>IFERROR(INDEX('OT 04 - Control Assessment'!$J$16:$J$67,MATCH(C66,'OT 04 - Control Assessment'!$A$16:$A$67,0)),0)</f>
        <v/>
      </c>
      <c r="I66" s="444">
        <f>F66*G66*H66</f>
        <v/>
      </c>
      <c r="J66" s="406" t="inlineStr">
        <is>
          <t>Direct ATT&amp;CK mitigation relationship</t>
        </is>
      </c>
      <c r="K66" s="426" t="inlineStr">
        <is>
          <t>https://attack.mitre.org/techniques/T0864</t>
        </is>
      </c>
      <c r="L66" s="426" t="inlineStr">
        <is>
          <t>https://attack.mitre.org/mitigations/M0947</t>
        </is>
      </c>
      <c r="M66" s="406" t="inlineStr">
        <is>
          <t>Current Power Generation working prior (80%) because ATT&amp;CK establishes mitigation applicability but does not quantify efficacy. Replace with test / incident / SME calibration when available.</t>
        </is>
      </c>
    </row>
    <row r="67" ht="41.25" customHeight="1" s="508">
      <c r="A67" s="406" t="inlineStr">
        <is>
          <t>T0859</t>
        </is>
      </c>
      <c r="B67" s="406" t="inlineStr">
        <is>
          <t>Valid Accounts</t>
        </is>
      </c>
      <c r="C67" s="406" t="inlineStr">
        <is>
          <t>M0947</t>
        </is>
      </c>
      <c r="D67" s="406" t="inlineStr">
        <is>
          <t>Audit</t>
        </is>
      </c>
      <c r="E67" s="406" t="inlineStr">
        <is>
          <t>Detect / Contain</t>
        </is>
      </c>
      <c r="F67" s="417" t="n">
        <v>0.8</v>
      </c>
      <c r="G67" s="444">
        <f>IFERROR(INDEX('OT 04 - Control Assessment'!$I$16:$I$67,MATCH(C67,'OT 04 - Control Assessment'!$A$16:$A$67,0)),0)</f>
        <v/>
      </c>
      <c r="H67" s="444">
        <f>IFERROR(INDEX('OT 04 - Control Assessment'!$J$16:$J$67,MATCH(C67,'OT 04 - Control Assessment'!$A$16:$A$67,0)),0)</f>
        <v/>
      </c>
      <c r="I67" s="444">
        <f>F67*G67*H67</f>
        <v/>
      </c>
      <c r="J67" s="406" t="inlineStr">
        <is>
          <t>Direct ATT&amp;CK mitigation relationship</t>
        </is>
      </c>
      <c r="K67" s="426" t="inlineStr">
        <is>
          <t>https://attack.mitre.org/techniques/T0859</t>
        </is>
      </c>
      <c r="L67" s="426" t="inlineStr">
        <is>
          <t>https://attack.mitre.org/mitigations/M0947</t>
        </is>
      </c>
      <c r="M67" s="406" t="inlineStr">
        <is>
          <t>Current Power Generation working prior (80%) because ATT&amp;CK establishes mitigation applicability but does not quantify efficacy. Replace with test / incident / SME calibration when available.</t>
        </is>
      </c>
    </row>
    <row r="68" ht="41.25" customHeight="1" s="508">
      <c r="A68" s="406" t="inlineStr">
        <is>
          <t>T0800</t>
        </is>
      </c>
      <c r="B68" s="406" t="inlineStr">
        <is>
          <t>Activate Firmware Update Mode</t>
        </is>
      </c>
      <c r="C68" s="406" t="inlineStr">
        <is>
          <t>M0800</t>
        </is>
      </c>
      <c r="D68" s="406" t="inlineStr">
        <is>
          <t>Authorization Enforcement</t>
        </is>
      </c>
      <c r="E68" s="406" t="inlineStr">
        <is>
          <t>Prevent / Resist</t>
        </is>
      </c>
      <c r="F68" s="417" t="n">
        <v>0.8</v>
      </c>
      <c r="G68" s="444">
        <f>IFERROR(INDEX('OT 04 - Control Assessment'!$I$16:$I$67,MATCH(C68,'OT 04 - Control Assessment'!$A$16:$A$67,0)),0)</f>
        <v/>
      </c>
      <c r="H68" s="444">
        <f>IFERROR(INDEX('OT 04 - Control Assessment'!$J$16:$J$67,MATCH(C68,'OT 04 - Control Assessment'!$A$16:$A$67,0)),0)</f>
        <v/>
      </c>
      <c r="I68" s="444">
        <f>F68*G68*H68</f>
        <v/>
      </c>
      <c r="J68" s="406" t="inlineStr">
        <is>
          <t>Direct ATT&amp;CK mitigation relationship</t>
        </is>
      </c>
      <c r="K68" s="426" t="inlineStr">
        <is>
          <t>https://attack.mitre.org/techniques/T0800</t>
        </is>
      </c>
      <c r="L68" s="426" t="inlineStr">
        <is>
          <t>https://attack.mitre.org/mitigations/M0800</t>
        </is>
      </c>
      <c r="M68" s="406" t="inlineStr">
        <is>
          <t>Current Power Generation working prior (80%) because ATT&amp;CK establishes mitigation applicability but does not quantify efficacy. Replace with test / incident / SME calibration when available.</t>
        </is>
      </c>
    </row>
    <row r="69" ht="41.25" customHeight="1" s="508">
      <c r="A69" s="406" t="inlineStr">
        <is>
          <t>T0858</t>
        </is>
      </c>
      <c r="B69" s="406" t="inlineStr">
        <is>
          <t>Change Operating Mode</t>
        </is>
      </c>
      <c r="C69" s="406" t="inlineStr">
        <is>
          <t>M0800</t>
        </is>
      </c>
      <c r="D69" s="406" t="inlineStr">
        <is>
          <t>Authorization Enforcement</t>
        </is>
      </c>
      <c r="E69" s="406" t="inlineStr">
        <is>
          <t>Prevent / Resist</t>
        </is>
      </c>
      <c r="F69" s="417" t="n">
        <v>0.8</v>
      </c>
      <c r="G69" s="444">
        <f>IFERROR(INDEX('OT 04 - Control Assessment'!$I$16:$I$67,MATCH(C69,'OT 04 - Control Assessment'!$A$16:$A$67,0)),0)</f>
        <v/>
      </c>
      <c r="H69" s="444">
        <f>IFERROR(INDEX('OT 04 - Control Assessment'!$J$16:$J$67,MATCH(C69,'OT 04 - Control Assessment'!$A$16:$A$67,0)),0)</f>
        <v/>
      </c>
      <c r="I69" s="444">
        <f>F69*G69*H69</f>
        <v/>
      </c>
      <c r="J69" s="406" t="inlineStr">
        <is>
          <t>Direct ATT&amp;CK mitigation relationship</t>
        </is>
      </c>
      <c r="K69" s="426" t="inlineStr">
        <is>
          <t>https://attack.mitre.org/techniques/T0858</t>
        </is>
      </c>
      <c r="L69" s="426" t="inlineStr">
        <is>
          <t>https://attack.mitre.org/mitigations/M0800</t>
        </is>
      </c>
      <c r="M69" s="406" t="inlineStr">
        <is>
          <t>Current Power Generation working prior (80%) because ATT&amp;CK establishes mitigation applicability but does not quantify efficacy. Replace with test / incident / SME calibration when available.</t>
        </is>
      </c>
    </row>
    <row r="70" ht="41.25" customHeight="1" s="508">
      <c r="A70" s="406" t="inlineStr">
        <is>
          <t>T0868</t>
        </is>
      </c>
      <c r="B70" s="406" t="inlineStr">
        <is>
          <t>Detect Operating Mode</t>
        </is>
      </c>
      <c r="C70" s="406" t="inlineStr">
        <is>
          <t>M0800</t>
        </is>
      </c>
      <c r="D70" s="406" t="inlineStr">
        <is>
          <t>Authorization Enforcement</t>
        </is>
      </c>
      <c r="E70" s="406" t="inlineStr">
        <is>
          <t>Prevent / Resist</t>
        </is>
      </c>
      <c r="F70" s="417" t="n">
        <v>0.8</v>
      </c>
      <c r="G70" s="444">
        <f>IFERROR(INDEX('OT 04 - Control Assessment'!$I$16:$I$67,MATCH(C70,'OT 04 - Control Assessment'!$A$16:$A$67,0)),0)</f>
        <v/>
      </c>
      <c r="H70" s="444">
        <f>IFERROR(INDEX('OT 04 - Control Assessment'!$J$16:$J$67,MATCH(C70,'OT 04 - Control Assessment'!$A$16:$A$67,0)),0)</f>
        <v/>
      </c>
      <c r="I70" s="444">
        <f>F70*G70*H70</f>
        <v/>
      </c>
      <c r="J70" s="406" t="inlineStr">
        <is>
          <t>Direct ATT&amp;CK mitigation relationship</t>
        </is>
      </c>
      <c r="K70" s="426" t="inlineStr">
        <is>
          <t>https://attack.mitre.org/techniques/T0868</t>
        </is>
      </c>
      <c r="L70" s="426" t="inlineStr">
        <is>
          <t>https://attack.mitre.org/mitigations/M0800</t>
        </is>
      </c>
      <c r="M70" s="406" t="inlineStr">
        <is>
          <t>Current Power Generation working prior (80%) because ATT&amp;CK establishes mitigation applicability but does not quantify efficacy. Replace with test / incident / SME calibration when available.</t>
        </is>
      </c>
    </row>
    <row r="71" ht="41.25" customHeight="1" s="508">
      <c r="A71" s="406" t="inlineStr">
        <is>
          <t>T0816</t>
        </is>
      </c>
      <c r="B71" s="406" t="inlineStr">
        <is>
          <t>Device Restart/Shutdown</t>
        </is>
      </c>
      <c r="C71" s="406" t="inlineStr">
        <is>
          <t>M0800</t>
        </is>
      </c>
      <c r="D71" s="406" t="inlineStr">
        <is>
          <t>Authorization Enforcement</t>
        </is>
      </c>
      <c r="E71" s="406" t="inlineStr">
        <is>
          <t>Prevent / Resist</t>
        </is>
      </c>
      <c r="F71" s="417" t="n">
        <v>0.8</v>
      </c>
      <c r="G71" s="444">
        <f>IFERROR(INDEX('OT 04 - Control Assessment'!$I$16:$I$67,MATCH(C71,'OT 04 - Control Assessment'!$A$16:$A$67,0)),0)</f>
        <v/>
      </c>
      <c r="H71" s="444">
        <f>IFERROR(INDEX('OT 04 - Control Assessment'!$J$16:$J$67,MATCH(C71,'OT 04 - Control Assessment'!$A$16:$A$67,0)),0)</f>
        <v/>
      </c>
      <c r="I71" s="444">
        <f>F71*G71*H71</f>
        <v/>
      </c>
      <c r="J71" s="406" t="inlineStr">
        <is>
          <t>Direct ATT&amp;CK mitigation relationship</t>
        </is>
      </c>
      <c r="K71" s="426" t="inlineStr">
        <is>
          <t>https://attack.mitre.org/techniques/T0816</t>
        </is>
      </c>
      <c r="L71" s="426" t="inlineStr">
        <is>
          <t>https://attack.mitre.org/mitigations/M0800</t>
        </is>
      </c>
      <c r="M71" s="406" t="inlineStr">
        <is>
          <t>Current Power Generation working prior (80%) because ATT&amp;CK establishes mitigation applicability but does not quantify efficacy. Replace with test / incident / SME calibration when available.</t>
        </is>
      </c>
    </row>
    <row r="72" ht="41.25" customHeight="1" s="508">
      <c r="A72" s="406" t="inlineStr">
        <is>
          <t>T0843.001</t>
        </is>
      </c>
      <c r="B72" s="406" t="inlineStr">
        <is>
          <t>Download All</t>
        </is>
      </c>
      <c r="C72" s="406" t="inlineStr">
        <is>
          <t>M0800</t>
        </is>
      </c>
      <c r="D72" s="406" t="inlineStr">
        <is>
          <t>Authorization Enforcement</t>
        </is>
      </c>
      <c r="E72" s="406" t="inlineStr">
        <is>
          <t>Prevent / Resist</t>
        </is>
      </c>
      <c r="F72" s="417" t="n">
        <v>0.8</v>
      </c>
      <c r="G72" s="444">
        <f>IFERROR(INDEX('OT 04 - Control Assessment'!$I$16:$I$67,MATCH(C72,'OT 04 - Control Assessment'!$A$16:$A$67,0)),0)</f>
        <v/>
      </c>
      <c r="H72" s="444">
        <f>IFERROR(INDEX('OT 04 - Control Assessment'!$J$16:$J$67,MATCH(C72,'OT 04 - Control Assessment'!$A$16:$A$67,0)),0)</f>
        <v/>
      </c>
      <c r="I72" s="444">
        <f>F72*G72*H72</f>
        <v/>
      </c>
      <c r="J72" s="406" t="inlineStr">
        <is>
          <t>Direct ATT&amp;CK mitigation relationship</t>
        </is>
      </c>
      <c r="K72" s="426" t="inlineStr">
        <is>
          <t>https://attack.mitre.org/techniques/T0843/001</t>
        </is>
      </c>
      <c r="L72" s="426" t="inlineStr">
        <is>
          <t>https://attack.mitre.org/mitigations/M0800</t>
        </is>
      </c>
      <c r="M72" s="406" t="inlineStr">
        <is>
          <t>Current Power Generation working prior (80%) because ATT&amp;CK establishes mitigation applicability but does not quantify efficacy. Replace with test / incident / SME calibration when available.</t>
        </is>
      </c>
    </row>
    <row r="73" ht="41.25" customHeight="1" s="508">
      <c r="A73" s="406" t="inlineStr">
        <is>
          <t>T0871</t>
        </is>
      </c>
      <c r="B73" s="406" t="inlineStr">
        <is>
          <t>Execution through API</t>
        </is>
      </c>
      <c r="C73" s="406" t="inlineStr">
        <is>
          <t>M0800</t>
        </is>
      </c>
      <c r="D73" s="406" t="inlineStr">
        <is>
          <t>Authorization Enforcement</t>
        </is>
      </c>
      <c r="E73" s="406" t="inlineStr">
        <is>
          <t>Prevent / Resist</t>
        </is>
      </c>
      <c r="F73" s="417" t="n">
        <v>0.8</v>
      </c>
      <c r="G73" s="444">
        <f>IFERROR(INDEX('OT 04 - Control Assessment'!$I$16:$I$67,MATCH(C73,'OT 04 - Control Assessment'!$A$16:$A$67,0)),0)</f>
        <v/>
      </c>
      <c r="H73" s="444">
        <f>IFERROR(INDEX('OT 04 - Control Assessment'!$J$16:$J$67,MATCH(C73,'OT 04 - Control Assessment'!$A$16:$A$67,0)),0)</f>
        <v/>
      </c>
      <c r="I73" s="444">
        <f>F73*G73*H73</f>
        <v/>
      </c>
      <c r="J73" s="406" t="inlineStr">
        <is>
          <t>Direct ATT&amp;CK mitigation relationship</t>
        </is>
      </c>
      <c r="K73" s="426" t="inlineStr">
        <is>
          <t>https://attack.mitre.org/techniques/T0871</t>
        </is>
      </c>
      <c r="L73" s="426" t="inlineStr">
        <is>
          <t>https://attack.mitre.org/mitigations/M0800</t>
        </is>
      </c>
      <c r="M73" s="406" t="inlineStr">
        <is>
          <t>Current Power Generation working prior (80%) because ATT&amp;CK establishes mitigation applicability but does not quantify efficacy. Replace with test / incident / SME calibration when available.</t>
        </is>
      </c>
    </row>
    <row r="74" ht="41.25" customHeight="1" s="508">
      <c r="A74" s="406" t="inlineStr">
        <is>
          <t>T0838</t>
        </is>
      </c>
      <c r="B74" s="406" t="inlineStr">
        <is>
          <t>Modify Alarm Settings</t>
        </is>
      </c>
      <c r="C74" s="406" t="inlineStr">
        <is>
          <t>M0800</t>
        </is>
      </c>
      <c r="D74" s="406" t="inlineStr">
        <is>
          <t>Authorization Enforcement</t>
        </is>
      </c>
      <c r="E74" s="406" t="inlineStr">
        <is>
          <t>Prevent / Resist</t>
        </is>
      </c>
      <c r="F74" s="417" t="n">
        <v>0.8</v>
      </c>
      <c r="G74" s="444">
        <f>IFERROR(INDEX('OT 04 - Control Assessment'!$I$16:$I$67,MATCH(C74,'OT 04 - Control Assessment'!$A$16:$A$67,0)),0)</f>
        <v/>
      </c>
      <c r="H74" s="444">
        <f>IFERROR(INDEX('OT 04 - Control Assessment'!$J$16:$J$67,MATCH(C74,'OT 04 - Control Assessment'!$A$16:$A$67,0)),0)</f>
        <v/>
      </c>
      <c r="I74" s="444">
        <f>F74*G74*H74</f>
        <v/>
      </c>
      <c r="J74" s="406" t="inlineStr">
        <is>
          <t>Direct ATT&amp;CK mitigation relationship</t>
        </is>
      </c>
      <c r="K74" s="426" t="inlineStr">
        <is>
          <t>https://attack.mitre.org/techniques/T0838</t>
        </is>
      </c>
      <c r="L74" s="426" t="inlineStr">
        <is>
          <t>https://attack.mitre.org/mitigations/M0800</t>
        </is>
      </c>
      <c r="M74" s="406" t="inlineStr">
        <is>
          <t>Current Power Generation working prior (80%) because ATT&amp;CK establishes mitigation applicability but does not quantify efficacy. Replace with test / incident / SME calibration when available.</t>
        </is>
      </c>
    </row>
    <row r="75" ht="41.25" customHeight="1" s="508">
      <c r="A75" s="406" t="inlineStr">
        <is>
          <t>T0821</t>
        </is>
      </c>
      <c r="B75" s="406" t="inlineStr">
        <is>
          <t>Modify Controller Tasking</t>
        </is>
      </c>
      <c r="C75" s="406" t="inlineStr">
        <is>
          <t>M0800</t>
        </is>
      </c>
      <c r="D75" s="406" t="inlineStr">
        <is>
          <t>Authorization Enforcement</t>
        </is>
      </c>
      <c r="E75" s="406" t="inlineStr">
        <is>
          <t>Prevent / Resist</t>
        </is>
      </c>
      <c r="F75" s="417" t="n">
        <v>0.8</v>
      </c>
      <c r="G75" s="444">
        <f>IFERROR(INDEX('OT 04 - Control Assessment'!$I$16:$I$67,MATCH(C75,'OT 04 - Control Assessment'!$A$16:$A$67,0)),0)</f>
        <v/>
      </c>
      <c r="H75" s="444">
        <f>IFERROR(INDEX('OT 04 - Control Assessment'!$J$16:$J$67,MATCH(C75,'OT 04 - Control Assessment'!$A$16:$A$67,0)),0)</f>
        <v/>
      </c>
      <c r="I75" s="444">
        <f>F75*G75*H75</f>
        <v/>
      </c>
      <c r="J75" s="406" t="inlineStr">
        <is>
          <t>Direct ATT&amp;CK mitigation relationship</t>
        </is>
      </c>
      <c r="K75" s="426" t="inlineStr">
        <is>
          <t>https://attack.mitre.org/techniques/T0821</t>
        </is>
      </c>
      <c r="L75" s="426" t="inlineStr">
        <is>
          <t>https://attack.mitre.org/mitigations/M0800</t>
        </is>
      </c>
      <c r="M75" s="406" t="inlineStr">
        <is>
          <t>Current Power Generation working prior (80%) because ATT&amp;CK establishes mitigation applicability but does not quantify efficacy. Replace with test / incident / SME calibration when available.</t>
        </is>
      </c>
    </row>
    <row r="76" ht="41.25" customHeight="1" s="508">
      <c r="A76" s="406" t="inlineStr">
        <is>
          <t>T0836</t>
        </is>
      </c>
      <c r="B76" s="406" t="inlineStr">
        <is>
          <t>Modify Parameter</t>
        </is>
      </c>
      <c r="C76" s="406" t="inlineStr">
        <is>
          <t>M0800</t>
        </is>
      </c>
      <c r="D76" s="406" t="inlineStr">
        <is>
          <t>Authorization Enforcement</t>
        </is>
      </c>
      <c r="E76" s="406" t="inlineStr">
        <is>
          <t>Prevent / Resist</t>
        </is>
      </c>
      <c r="F76" s="417" t="n">
        <v>0.8</v>
      </c>
      <c r="G76" s="444">
        <f>IFERROR(INDEX('OT 04 - Control Assessment'!$I$16:$I$67,MATCH(C76,'OT 04 - Control Assessment'!$A$16:$A$67,0)),0)</f>
        <v/>
      </c>
      <c r="H76" s="444">
        <f>IFERROR(INDEX('OT 04 - Control Assessment'!$J$16:$J$67,MATCH(C76,'OT 04 - Control Assessment'!$A$16:$A$67,0)),0)</f>
        <v/>
      </c>
      <c r="I76" s="444">
        <f>F76*G76*H76</f>
        <v/>
      </c>
      <c r="J76" s="406" t="inlineStr">
        <is>
          <t>Direct ATT&amp;CK mitigation relationship</t>
        </is>
      </c>
      <c r="K76" s="426" t="inlineStr">
        <is>
          <t>https://attack.mitre.org/techniques/T0836</t>
        </is>
      </c>
      <c r="L76" s="426" t="inlineStr">
        <is>
          <t>https://attack.mitre.org/mitigations/M0800</t>
        </is>
      </c>
      <c r="M76" s="406" t="inlineStr">
        <is>
          <t>Current Power Generation working prior (80%) because ATT&amp;CK establishes mitigation applicability but does not quantify efficacy. Replace with test / incident / SME calibration when available.</t>
        </is>
      </c>
    </row>
    <row r="77" ht="41.25" customHeight="1" s="508">
      <c r="A77" s="406" t="inlineStr">
        <is>
          <t>T0889</t>
        </is>
      </c>
      <c r="B77" s="406" t="inlineStr">
        <is>
          <t>Modify Program</t>
        </is>
      </c>
      <c r="C77" s="406" t="inlineStr">
        <is>
          <t>M0800</t>
        </is>
      </c>
      <c r="D77" s="406" t="inlineStr">
        <is>
          <t>Authorization Enforcement</t>
        </is>
      </c>
      <c r="E77" s="406" t="inlineStr">
        <is>
          <t>Prevent / Resist</t>
        </is>
      </c>
      <c r="F77" s="417" t="n">
        <v>0.8</v>
      </c>
      <c r="G77" s="444">
        <f>IFERROR(INDEX('OT 04 - Control Assessment'!$I$16:$I$67,MATCH(C77,'OT 04 - Control Assessment'!$A$16:$A$67,0)),0)</f>
        <v/>
      </c>
      <c r="H77" s="444">
        <f>IFERROR(INDEX('OT 04 - Control Assessment'!$J$16:$J$67,MATCH(C77,'OT 04 - Control Assessment'!$A$16:$A$67,0)),0)</f>
        <v/>
      </c>
      <c r="I77" s="444">
        <f>F77*G77*H77</f>
        <v/>
      </c>
      <c r="J77" s="406" t="inlineStr">
        <is>
          <t>Direct ATT&amp;CK mitigation relationship</t>
        </is>
      </c>
      <c r="K77" s="426" t="inlineStr">
        <is>
          <t>https://attack.mitre.org/techniques/T0889</t>
        </is>
      </c>
      <c r="L77" s="426" t="inlineStr">
        <is>
          <t>https://attack.mitre.org/mitigations/M0800</t>
        </is>
      </c>
      <c r="M77" s="406" t="inlineStr">
        <is>
          <t>Current Power Generation working prior (80%) because ATT&amp;CK establishes mitigation applicability but does not quantify efficacy. Replace with test / incident / SME calibration when available.</t>
        </is>
      </c>
    </row>
    <row r="78" ht="41.25" customHeight="1" s="508">
      <c r="A78" s="406" t="inlineStr">
        <is>
          <t>T0843.002</t>
        </is>
      </c>
      <c r="B78" s="406" t="inlineStr">
        <is>
          <t>Online Edit</t>
        </is>
      </c>
      <c r="C78" s="406" t="inlineStr">
        <is>
          <t>M0800</t>
        </is>
      </c>
      <c r="D78" s="406" t="inlineStr">
        <is>
          <t>Authorization Enforcement</t>
        </is>
      </c>
      <c r="E78" s="406" t="inlineStr">
        <is>
          <t>Prevent / Resist</t>
        </is>
      </c>
      <c r="F78" s="417" t="n">
        <v>0.8</v>
      </c>
      <c r="G78" s="444">
        <f>IFERROR(INDEX('OT 04 - Control Assessment'!$I$16:$I$67,MATCH(C78,'OT 04 - Control Assessment'!$A$16:$A$67,0)),0)</f>
        <v/>
      </c>
      <c r="H78" s="444">
        <f>IFERROR(INDEX('OT 04 - Control Assessment'!$J$16:$J$67,MATCH(C78,'OT 04 - Control Assessment'!$A$16:$A$67,0)),0)</f>
        <v/>
      </c>
      <c r="I78" s="444">
        <f>F78*G78*H78</f>
        <v/>
      </c>
      <c r="J78" s="406" t="inlineStr">
        <is>
          <t>Direct ATT&amp;CK mitigation relationship</t>
        </is>
      </c>
      <c r="K78" s="426" t="inlineStr">
        <is>
          <t>https://attack.mitre.org/techniques/T0843/002</t>
        </is>
      </c>
      <c r="L78" s="426" t="inlineStr">
        <is>
          <t>https://attack.mitre.org/mitigations/M0800</t>
        </is>
      </c>
      <c r="M78" s="406" t="inlineStr">
        <is>
          <t>Current Power Generation working prior (80%) because ATT&amp;CK establishes mitigation applicability but does not quantify efficacy. Replace with test / incident / SME calibration when available.</t>
        </is>
      </c>
    </row>
    <row r="79" ht="41.25" customHeight="1" s="508">
      <c r="A79" s="406" t="inlineStr">
        <is>
          <t>T0861</t>
        </is>
      </c>
      <c r="B79" s="406" t="inlineStr">
        <is>
          <t>Point &amp; Tag Identification</t>
        </is>
      </c>
      <c r="C79" s="406" t="inlineStr">
        <is>
          <t>M0800</t>
        </is>
      </c>
      <c r="D79" s="406" t="inlineStr">
        <is>
          <t>Authorization Enforcement</t>
        </is>
      </c>
      <c r="E79" s="406" t="inlineStr">
        <is>
          <t>Prevent / Resist</t>
        </is>
      </c>
      <c r="F79" s="417" t="n">
        <v>0.8</v>
      </c>
      <c r="G79" s="444">
        <f>IFERROR(INDEX('OT 04 - Control Assessment'!$I$16:$I$67,MATCH(C79,'OT 04 - Control Assessment'!$A$16:$A$67,0)),0)</f>
        <v/>
      </c>
      <c r="H79" s="444">
        <f>IFERROR(INDEX('OT 04 - Control Assessment'!$J$16:$J$67,MATCH(C79,'OT 04 - Control Assessment'!$A$16:$A$67,0)),0)</f>
        <v/>
      </c>
      <c r="I79" s="444">
        <f>F79*G79*H79</f>
        <v/>
      </c>
      <c r="J79" s="406" t="inlineStr">
        <is>
          <t>Direct ATT&amp;CK mitigation relationship</t>
        </is>
      </c>
      <c r="K79" s="426" t="inlineStr">
        <is>
          <t>https://attack.mitre.org/techniques/T0861</t>
        </is>
      </c>
      <c r="L79" s="426" t="inlineStr">
        <is>
          <t>https://attack.mitre.org/mitigations/M0800</t>
        </is>
      </c>
      <c r="M79" s="406" t="inlineStr">
        <is>
          <t>Current Power Generation working prior (80%) because ATT&amp;CK establishes mitigation applicability but does not quantify efficacy. Replace with test / incident / SME calibration when available.</t>
        </is>
      </c>
    </row>
    <row r="80" ht="41.25" customHeight="1" s="508">
      <c r="A80" s="406" t="inlineStr">
        <is>
          <t>T0843.003</t>
        </is>
      </c>
      <c r="B80" s="406" t="inlineStr">
        <is>
          <t>Program Append</t>
        </is>
      </c>
      <c r="C80" s="406" t="inlineStr">
        <is>
          <t>M0800</t>
        </is>
      </c>
      <c r="D80" s="406" t="inlineStr">
        <is>
          <t>Authorization Enforcement</t>
        </is>
      </c>
      <c r="E80" s="406" t="inlineStr">
        <is>
          <t>Prevent / Resist</t>
        </is>
      </c>
      <c r="F80" s="417" t="n">
        <v>0.8</v>
      </c>
      <c r="G80" s="444">
        <f>IFERROR(INDEX('OT 04 - Control Assessment'!$I$16:$I$67,MATCH(C80,'OT 04 - Control Assessment'!$A$16:$A$67,0)),0)</f>
        <v/>
      </c>
      <c r="H80" s="444">
        <f>IFERROR(INDEX('OT 04 - Control Assessment'!$J$16:$J$67,MATCH(C80,'OT 04 - Control Assessment'!$A$16:$A$67,0)),0)</f>
        <v/>
      </c>
      <c r="I80" s="444">
        <f>F80*G80*H80</f>
        <v/>
      </c>
      <c r="J80" s="406" t="inlineStr">
        <is>
          <t>Direct ATT&amp;CK mitigation relationship</t>
        </is>
      </c>
      <c r="K80" s="426" t="inlineStr">
        <is>
          <t>https://attack.mitre.org/techniques/T0843/003</t>
        </is>
      </c>
      <c r="L80" s="426" t="inlineStr">
        <is>
          <t>https://attack.mitre.org/mitigations/M0800</t>
        </is>
      </c>
      <c r="M80" s="406" t="inlineStr">
        <is>
          <t>Current Power Generation working prior (80%) because ATT&amp;CK establishes mitigation applicability but does not quantify efficacy. Replace with test / incident / SME calibration when available.</t>
        </is>
      </c>
    </row>
    <row r="81" ht="41.25" customHeight="1" s="508">
      <c r="A81" s="406" t="inlineStr">
        <is>
          <t>T0843</t>
        </is>
      </c>
      <c r="B81" s="406" t="inlineStr">
        <is>
          <t>Program Download</t>
        </is>
      </c>
      <c r="C81" s="406" t="inlineStr">
        <is>
          <t>M0800</t>
        </is>
      </c>
      <c r="D81" s="406" t="inlineStr">
        <is>
          <t>Authorization Enforcement</t>
        </is>
      </c>
      <c r="E81" s="406" t="inlineStr">
        <is>
          <t>Prevent / Resist</t>
        </is>
      </c>
      <c r="F81" s="417" t="n">
        <v>0.8</v>
      </c>
      <c r="G81" s="444">
        <f>IFERROR(INDEX('OT 04 - Control Assessment'!$I$16:$I$67,MATCH(C81,'OT 04 - Control Assessment'!$A$16:$A$67,0)),0)</f>
        <v/>
      </c>
      <c r="H81" s="444">
        <f>IFERROR(INDEX('OT 04 - Control Assessment'!$J$16:$J$67,MATCH(C81,'OT 04 - Control Assessment'!$A$16:$A$67,0)),0)</f>
        <v/>
      </c>
      <c r="I81" s="444">
        <f>F81*G81*H81</f>
        <v/>
      </c>
      <c r="J81" s="406" t="inlineStr">
        <is>
          <t>Direct ATT&amp;CK mitigation relationship</t>
        </is>
      </c>
      <c r="K81" s="426" t="inlineStr">
        <is>
          <t>https://attack.mitre.org/techniques/T0843</t>
        </is>
      </c>
      <c r="L81" s="426" t="inlineStr">
        <is>
          <t>https://attack.mitre.org/mitigations/M0800</t>
        </is>
      </c>
      <c r="M81" s="406" t="inlineStr">
        <is>
          <t>Current Power Generation working prior (80%) because ATT&amp;CK establishes mitigation applicability but does not quantify efficacy. Replace with test / incident / SME calibration when available.</t>
        </is>
      </c>
    </row>
    <row r="82" ht="41.25" customHeight="1" s="508">
      <c r="A82" s="406" t="inlineStr">
        <is>
          <t>T0845</t>
        </is>
      </c>
      <c r="B82" s="406" t="inlineStr">
        <is>
          <t>Program Upload</t>
        </is>
      </c>
      <c r="C82" s="406" t="inlineStr">
        <is>
          <t>M0800</t>
        </is>
      </c>
      <c r="D82" s="406" t="inlineStr">
        <is>
          <t>Authorization Enforcement</t>
        </is>
      </c>
      <c r="E82" s="406" t="inlineStr">
        <is>
          <t>Prevent / Resist</t>
        </is>
      </c>
      <c r="F82" s="417" t="n">
        <v>0.8</v>
      </c>
      <c r="G82" s="444">
        <f>IFERROR(INDEX('OT 04 - Control Assessment'!$I$16:$I$67,MATCH(C82,'OT 04 - Control Assessment'!$A$16:$A$67,0)),0)</f>
        <v/>
      </c>
      <c r="H82" s="444">
        <f>IFERROR(INDEX('OT 04 - Control Assessment'!$J$16:$J$67,MATCH(C82,'OT 04 - Control Assessment'!$A$16:$A$67,0)),0)</f>
        <v/>
      </c>
      <c r="I82" s="444">
        <f>F82*G82*H82</f>
        <v/>
      </c>
      <c r="J82" s="406" t="inlineStr">
        <is>
          <t>Direct ATT&amp;CK mitigation relationship</t>
        </is>
      </c>
      <c r="K82" s="426" t="inlineStr">
        <is>
          <t>https://attack.mitre.org/techniques/T0845</t>
        </is>
      </c>
      <c r="L82" s="426" t="inlineStr">
        <is>
          <t>https://attack.mitre.org/mitigations/M0800</t>
        </is>
      </c>
      <c r="M82" s="406" t="inlineStr">
        <is>
          <t>Current Power Generation working prior (80%) because ATT&amp;CK establishes mitigation applicability but does not quantify efficacy. Replace with test / incident / SME calibration when available.</t>
        </is>
      </c>
    </row>
    <row r="83" ht="41.25" customHeight="1" s="508">
      <c r="A83" s="406" t="inlineStr">
        <is>
          <t>T0886</t>
        </is>
      </c>
      <c r="B83" s="406" t="inlineStr">
        <is>
          <t>Remote Services</t>
        </is>
      </c>
      <c r="C83" s="406" t="inlineStr">
        <is>
          <t>M0800</t>
        </is>
      </c>
      <c r="D83" s="406" t="inlineStr">
        <is>
          <t>Authorization Enforcement</t>
        </is>
      </c>
      <c r="E83" s="406" t="inlineStr">
        <is>
          <t>Prevent / Resist</t>
        </is>
      </c>
      <c r="F83" s="417" t="n">
        <v>0.8</v>
      </c>
      <c r="G83" s="444">
        <f>IFERROR(INDEX('OT 04 - Control Assessment'!$I$16:$I$67,MATCH(C83,'OT 04 - Control Assessment'!$A$16:$A$67,0)),0)</f>
        <v/>
      </c>
      <c r="H83" s="444">
        <f>IFERROR(INDEX('OT 04 - Control Assessment'!$J$16:$J$67,MATCH(C83,'OT 04 - Control Assessment'!$A$16:$A$67,0)),0)</f>
        <v/>
      </c>
      <c r="I83" s="444">
        <f>F83*G83*H83</f>
        <v/>
      </c>
      <c r="J83" s="406" t="inlineStr">
        <is>
          <t>Direct ATT&amp;CK mitigation relationship</t>
        </is>
      </c>
      <c r="K83" s="426" t="inlineStr">
        <is>
          <t>https://attack.mitre.org/techniques/T0886</t>
        </is>
      </c>
      <c r="L83" s="426" t="inlineStr">
        <is>
          <t>https://attack.mitre.org/mitigations/M0800</t>
        </is>
      </c>
      <c r="M83" s="406" t="inlineStr">
        <is>
          <t>Current Power Generation working prior (80%) because ATT&amp;CK establishes mitigation applicability but does not quantify efficacy. Replace with test / incident / SME calibration when available.</t>
        </is>
      </c>
    </row>
    <row r="84" ht="41.25" customHeight="1" s="508">
      <c r="A84" s="406" t="inlineStr">
        <is>
          <t>T1693</t>
        </is>
      </c>
      <c r="B84" s="406" t="inlineStr">
        <is>
          <t>Modify Firmware</t>
        </is>
      </c>
      <c r="C84" s="406" t="inlineStr">
        <is>
          <t>M0946</t>
        </is>
      </c>
      <c r="D84" s="406" t="inlineStr">
        <is>
          <t>Boot Integrity</t>
        </is>
      </c>
      <c r="E84" s="406" t="inlineStr">
        <is>
          <t>Prevent / Resist</t>
        </is>
      </c>
      <c r="F84" s="417" t="n">
        <v>0.8</v>
      </c>
      <c r="G84" s="444">
        <f>IFERROR(INDEX('OT 04 - Control Assessment'!$I$16:$I$67,MATCH(C84,'OT 04 - Control Assessment'!$A$16:$A$67,0)),0)</f>
        <v/>
      </c>
      <c r="H84" s="444">
        <f>IFERROR(INDEX('OT 04 - Control Assessment'!$J$16:$J$67,MATCH(C84,'OT 04 - Control Assessment'!$A$16:$A$67,0)),0)</f>
        <v/>
      </c>
      <c r="I84" s="444">
        <f>F84*G84*H84</f>
        <v/>
      </c>
      <c r="J84" s="406" t="inlineStr">
        <is>
          <t>Direct ATT&amp;CK mitigation relationship</t>
        </is>
      </c>
      <c r="K84" s="426" t="inlineStr">
        <is>
          <t>https://attack.mitre.org/techniques/T1693</t>
        </is>
      </c>
      <c r="L84" s="426" t="inlineStr">
        <is>
          <t>https://attack.mitre.org/mitigations/M0946</t>
        </is>
      </c>
      <c r="M84" s="406" t="inlineStr">
        <is>
          <t>Current Power Generation working prior (80%) because ATT&amp;CK establishes mitigation applicability but does not quantify efficacy. Replace with test / incident / SME calibration when available.</t>
        </is>
      </c>
    </row>
    <row r="85" ht="41.25" customHeight="1" s="508">
      <c r="A85" s="406" t="inlineStr">
        <is>
          <t>T1693.002</t>
        </is>
      </c>
      <c r="B85" s="406" t="inlineStr">
        <is>
          <t>Module Firmware</t>
        </is>
      </c>
      <c r="C85" s="406" t="inlineStr">
        <is>
          <t>M0946</t>
        </is>
      </c>
      <c r="D85" s="406" t="inlineStr">
        <is>
          <t>Boot Integrity</t>
        </is>
      </c>
      <c r="E85" s="406" t="inlineStr">
        <is>
          <t>Prevent / Resist</t>
        </is>
      </c>
      <c r="F85" s="417" t="n">
        <v>0.8</v>
      </c>
      <c r="G85" s="444">
        <f>IFERROR(INDEX('OT 04 - Control Assessment'!$I$16:$I$67,MATCH(C85,'OT 04 - Control Assessment'!$A$16:$A$67,0)),0)</f>
        <v/>
      </c>
      <c r="H85" s="444">
        <f>IFERROR(INDEX('OT 04 - Control Assessment'!$J$16:$J$67,MATCH(C85,'OT 04 - Control Assessment'!$A$16:$A$67,0)),0)</f>
        <v/>
      </c>
      <c r="I85" s="444">
        <f>F85*G85*H85</f>
        <v/>
      </c>
      <c r="J85" s="406" t="inlineStr">
        <is>
          <t>Direct ATT&amp;CK mitigation relationship</t>
        </is>
      </c>
      <c r="K85" s="426" t="inlineStr">
        <is>
          <t>https://attack.mitre.org/techniques/T1693/002</t>
        </is>
      </c>
      <c r="L85" s="426" t="inlineStr">
        <is>
          <t>https://attack.mitre.org/mitigations/M0946</t>
        </is>
      </c>
      <c r="M85" s="406" t="inlineStr">
        <is>
          <t>Current Power Generation working prior (80%) because ATT&amp;CK establishes mitigation applicability but does not quantify efficacy. Replace with test / incident / SME calibration when available.</t>
        </is>
      </c>
    </row>
    <row r="86" ht="41.25" customHeight="1" s="508">
      <c r="A86" s="406" t="inlineStr">
        <is>
          <t>T1693.001</t>
        </is>
      </c>
      <c r="B86" s="406" t="inlineStr">
        <is>
          <t>System Firmware</t>
        </is>
      </c>
      <c r="C86" s="406" t="inlineStr">
        <is>
          <t>M0946</t>
        </is>
      </c>
      <c r="D86" s="406" t="inlineStr">
        <is>
          <t>Boot Integrity</t>
        </is>
      </c>
      <c r="E86" s="406" t="inlineStr">
        <is>
          <t>Prevent / Resist</t>
        </is>
      </c>
      <c r="F86" s="417" t="n">
        <v>0.8</v>
      </c>
      <c r="G86" s="444">
        <f>IFERROR(INDEX('OT 04 - Control Assessment'!$I$16:$I$67,MATCH(C86,'OT 04 - Control Assessment'!$A$16:$A$67,0)),0)</f>
        <v/>
      </c>
      <c r="H86" s="444">
        <f>IFERROR(INDEX('OT 04 - Control Assessment'!$J$16:$J$67,MATCH(C86,'OT 04 - Control Assessment'!$A$16:$A$67,0)),0)</f>
        <v/>
      </c>
      <c r="I86" s="444">
        <f>F86*G86*H86</f>
        <v/>
      </c>
      <c r="J86" s="406" t="inlineStr">
        <is>
          <t>Direct ATT&amp;CK mitigation relationship</t>
        </is>
      </c>
      <c r="K86" s="426" t="inlineStr">
        <is>
          <t>https://attack.mitre.org/techniques/T1693/001</t>
        </is>
      </c>
      <c r="L86" s="426" t="inlineStr">
        <is>
          <t>https://attack.mitre.org/mitigations/M0946</t>
        </is>
      </c>
      <c r="M86" s="406" t="inlineStr">
        <is>
          <t>Current Power Generation working prior (80%) because ATT&amp;CK establishes mitigation applicability but does not quantify efficacy. Replace with test / incident / SME calibration when available.</t>
        </is>
      </c>
    </row>
    <row r="87" ht="41.25" customHeight="1" s="508">
      <c r="A87" s="406" t="inlineStr">
        <is>
          <t>T0843.001</t>
        </is>
      </c>
      <c r="B87" s="406" t="inlineStr">
        <is>
          <t>Download All</t>
        </is>
      </c>
      <c r="C87" s="406" t="inlineStr">
        <is>
          <t>M0945</t>
        </is>
      </c>
      <c r="D87" s="406" t="inlineStr">
        <is>
          <t>Code Signing</t>
        </is>
      </c>
      <c r="E87" s="406" t="inlineStr">
        <is>
          <t>Prevent / Resist</t>
        </is>
      </c>
      <c r="F87" s="417" t="n">
        <v>0.8</v>
      </c>
      <c r="G87" s="444">
        <f>IFERROR(INDEX('OT 04 - Control Assessment'!$I$16:$I$67,MATCH(C87,'OT 04 - Control Assessment'!$A$16:$A$67,0)),0)</f>
        <v/>
      </c>
      <c r="H87" s="444">
        <f>IFERROR(INDEX('OT 04 - Control Assessment'!$J$16:$J$67,MATCH(C87,'OT 04 - Control Assessment'!$A$16:$A$67,0)),0)</f>
        <v/>
      </c>
      <c r="I87" s="444">
        <f>F87*G87*H87</f>
        <v/>
      </c>
      <c r="J87" s="406" t="inlineStr">
        <is>
          <t>Direct ATT&amp;CK mitigation relationship</t>
        </is>
      </c>
      <c r="K87" s="426" t="inlineStr">
        <is>
          <t>https://attack.mitre.org/techniques/T0843/001</t>
        </is>
      </c>
      <c r="L87" s="426" t="inlineStr">
        <is>
          <t>https://attack.mitre.org/mitigations/M0945</t>
        </is>
      </c>
      <c r="M87" s="406" t="inlineStr">
        <is>
          <t>Current Power Generation working prior (80%) because ATT&amp;CK establishes mitigation applicability but does not quantify efficacy. Replace with test / incident / SME calibration when available.</t>
        </is>
      </c>
    </row>
    <row r="88" ht="41.25" customHeight="1" s="508">
      <c r="A88" s="406" t="inlineStr">
        <is>
          <t>T0849</t>
        </is>
      </c>
      <c r="B88" s="406" t="inlineStr">
        <is>
          <t>Masquerading</t>
        </is>
      </c>
      <c r="C88" s="406" t="inlineStr">
        <is>
          <t>M0945</t>
        </is>
      </c>
      <c r="D88" s="406" t="inlineStr">
        <is>
          <t>Code Signing</t>
        </is>
      </c>
      <c r="E88" s="406" t="inlineStr">
        <is>
          <t>Prevent / Resist</t>
        </is>
      </c>
      <c r="F88" s="417" t="n">
        <v>0.8</v>
      </c>
      <c r="G88" s="444">
        <f>IFERROR(INDEX('OT 04 - Control Assessment'!$I$16:$I$67,MATCH(C88,'OT 04 - Control Assessment'!$A$16:$A$67,0)),0)</f>
        <v/>
      </c>
      <c r="H88" s="444">
        <f>IFERROR(INDEX('OT 04 - Control Assessment'!$J$16:$J$67,MATCH(C88,'OT 04 - Control Assessment'!$A$16:$A$67,0)),0)</f>
        <v/>
      </c>
      <c r="I88" s="444">
        <f>F88*G88*H88</f>
        <v/>
      </c>
      <c r="J88" s="406" t="inlineStr">
        <is>
          <t>Direct ATT&amp;CK mitigation relationship</t>
        </is>
      </c>
      <c r="K88" s="426" t="inlineStr">
        <is>
          <t>https://attack.mitre.org/techniques/T0849</t>
        </is>
      </c>
      <c r="L88" s="426" t="inlineStr">
        <is>
          <t>https://attack.mitre.org/mitigations/M0945</t>
        </is>
      </c>
      <c r="M88" s="406" t="inlineStr">
        <is>
          <t>Current Power Generation working prior (80%) because ATT&amp;CK establishes mitigation applicability but does not quantify efficacy. Replace with test / incident / SME calibration when available.</t>
        </is>
      </c>
    </row>
    <row r="89" ht="41.25" customHeight="1" s="508">
      <c r="A89" s="406" t="inlineStr">
        <is>
          <t>T0821</t>
        </is>
      </c>
      <c r="B89" s="406" t="inlineStr">
        <is>
          <t>Modify Controller Tasking</t>
        </is>
      </c>
      <c r="C89" s="406" t="inlineStr">
        <is>
          <t>M0945</t>
        </is>
      </c>
      <c r="D89" s="406" t="inlineStr">
        <is>
          <t>Code Signing</t>
        </is>
      </c>
      <c r="E89" s="406" t="inlineStr">
        <is>
          <t>Prevent / Resist</t>
        </is>
      </c>
      <c r="F89" s="417" t="n">
        <v>0.8</v>
      </c>
      <c r="G89" s="444">
        <f>IFERROR(INDEX('OT 04 - Control Assessment'!$I$16:$I$67,MATCH(C89,'OT 04 - Control Assessment'!$A$16:$A$67,0)),0)</f>
        <v/>
      </c>
      <c r="H89" s="444">
        <f>IFERROR(INDEX('OT 04 - Control Assessment'!$J$16:$J$67,MATCH(C89,'OT 04 - Control Assessment'!$A$16:$A$67,0)),0)</f>
        <v/>
      </c>
      <c r="I89" s="444">
        <f>F89*G89*H89</f>
        <v/>
      </c>
      <c r="J89" s="406" t="inlineStr">
        <is>
          <t>Direct ATT&amp;CK mitigation relationship</t>
        </is>
      </c>
      <c r="K89" s="426" t="inlineStr">
        <is>
          <t>https://attack.mitre.org/techniques/T0821</t>
        </is>
      </c>
      <c r="L89" s="426" t="inlineStr">
        <is>
          <t>https://attack.mitre.org/mitigations/M0945</t>
        </is>
      </c>
      <c r="M89" s="406" t="inlineStr">
        <is>
          <t>Current Power Generation working prior (80%) because ATT&amp;CK establishes mitigation applicability but does not quantify efficacy. Replace with test / incident / SME calibration when available.</t>
        </is>
      </c>
    </row>
    <row r="90" ht="41.25" customHeight="1" s="508">
      <c r="A90" s="406" t="inlineStr">
        <is>
          <t>T1693</t>
        </is>
      </c>
      <c r="B90" s="406" t="inlineStr">
        <is>
          <t>Modify Firmware</t>
        </is>
      </c>
      <c r="C90" s="406" t="inlineStr">
        <is>
          <t>M0945</t>
        </is>
      </c>
      <c r="D90" s="406" t="inlineStr">
        <is>
          <t>Code Signing</t>
        </is>
      </c>
      <c r="E90" s="406" t="inlineStr">
        <is>
          <t>Prevent / Resist</t>
        </is>
      </c>
      <c r="F90" s="417" t="n">
        <v>0.8</v>
      </c>
      <c r="G90" s="444">
        <f>IFERROR(INDEX('OT 04 - Control Assessment'!$I$16:$I$67,MATCH(C90,'OT 04 - Control Assessment'!$A$16:$A$67,0)),0)</f>
        <v/>
      </c>
      <c r="H90" s="444">
        <f>IFERROR(INDEX('OT 04 - Control Assessment'!$J$16:$J$67,MATCH(C90,'OT 04 - Control Assessment'!$A$16:$A$67,0)),0)</f>
        <v/>
      </c>
      <c r="I90" s="444">
        <f>F90*G90*H90</f>
        <v/>
      </c>
      <c r="J90" s="406" t="inlineStr">
        <is>
          <t>Direct ATT&amp;CK mitigation relationship</t>
        </is>
      </c>
      <c r="K90" s="426" t="inlineStr">
        <is>
          <t>https://attack.mitre.org/techniques/T1693</t>
        </is>
      </c>
      <c r="L90" s="426" t="inlineStr">
        <is>
          <t>https://attack.mitre.org/mitigations/M0945</t>
        </is>
      </c>
      <c r="M90" s="406" t="inlineStr">
        <is>
          <t>Current Power Generation working prior (80%) because ATT&amp;CK establishes mitigation applicability but does not quantify efficacy. Replace with test / incident / SME calibration when available.</t>
        </is>
      </c>
    </row>
    <row r="91" ht="41.25" customHeight="1" s="508">
      <c r="A91" s="406" t="inlineStr">
        <is>
          <t>T0889</t>
        </is>
      </c>
      <c r="B91" s="406" t="inlineStr">
        <is>
          <t>Modify Program</t>
        </is>
      </c>
      <c r="C91" s="406" t="inlineStr">
        <is>
          <t>M0945</t>
        </is>
      </c>
      <c r="D91" s="406" t="inlineStr">
        <is>
          <t>Code Signing</t>
        </is>
      </c>
      <c r="E91" s="406" t="inlineStr">
        <is>
          <t>Prevent / Resist</t>
        </is>
      </c>
      <c r="F91" s="417" t="n">
        <v>0.8</v>
      </c>
      <c r="G91" s="444">
        <f>IFERROR(INDEX('OT 04 - Control Assessment'!$I$16:$I$67,MATCH(C91,'OT 04 - Control Assessment'!$A$16:$A$67,0)),0)</f>
        <v/>
      </c>
      <c r="H91" s="444">
        <f>IFERROR(INDEX('OT 04 - Control Assessment'!$J$16:$J$67,MATCH(C91,'OT 04 - Control Assessment'!$A$16:$A$67,0)),0)</f>
        <v/>
      </c>
      <c r="I91" s="444">
        <f>F91*G91*H91</f>
        <v/>
      </c>
      <c r="J91" s="406" t="inlineStr">
        <is>
          <t>Direct ATT&amp;CK mitigation relationship</t>
        </is>
      </c>
      <c r="K91" s="426" t="inlineStr">
        <is>
          <t>https://attack.mitre.org/techniques/T0889</t>
        </is>
      </c>
      <c r="L91" s="426" t="inlineStr">
        <is>
          <t>https://attack.mitre.org/mitigations/M0945</t>
        </is>
      </c>
      <c r="M91" s="406" t="inlineStr">
        <is>
          <t>Current Power Generation working prior (80%) because ATT&amp;CK establishes mitigation applicability but does not quantify efficacy. Replace with test / incident / SME calibration when available.</t>
        </is>
      </c>
    </row>
    <row r="92" ht="41.25" customHeight="1" s="508">
      <c r="A92" s="406" t="inlineStr">
        <is>
          <t>T1693.002</t>
        </is>
      </c>
      <c r="B92" s="406" t="inlineStr">
        <is>
          <t>Module Firmware</t>
        </is>
      </c>
      <c r="C92" s="406" t="inlineStr">
        <is>
          <t>M0945</t>
        </is>
      </c>
      <c r="D92" s="406" t="inlineStr">
        <is>
          <t>Code Signing</t>
        </is>
      </c>
      <c r="E92" s="406" t="inlineStr">
        <is>
          <t>Prevent / Resist</t>
        </is>
      </c>
      <c r="F92" s="417" t="n">
        <v>0.8</v>
      </c>
      <c r="G92" s="444">
        <f>IFERROR(INDEX('OT 04 - Control Assessment'!$I$16:$I$67,MATCH(C92,'OT 04 - Control Assessment'!$A$16:$A$67,0)),0)</f>
        <v/>
      </c>
      <c r="H92" s="444">
        <f>IFERROR(INDEX('OT 04 - Control Assessment'!$J$16:$J$67,MATCH(C92,'OT 04 - Control Assessment'!$A$16:$A$67,0)),0)</f>
        <v/>
      </c>
      <c r="I92" s="444">
        <f>F92*G92*H92</f>
        <v/>
      </c>
      <c r="J92" s="406" t="inlineStr">
        <is>
          <t>Direct ATT&amp;CK mitigation relationship</t>
        </is>
      </c>
      <c r="K92" s="426" t="inlineStr">
        <is>
          <t>https://attack.mitre.org/techniques/T1693/002</t>
        </is>
      </c>
      <c r="L92" s="426" t="inlineStr">
        <is>
          <t>https://attack.mitre.org/mitigations/M0945</t>
        </is>
      </c>
      <c r="M92" s="406" t="inlineStr">
        <is>
          <t>Current Power Generation working prior (80%) because ATT&amp;CK establishes mitigation applicability but does not quantify efficacy. Replace with test / incident / SME calibration when available.</t>
        </is>
      </c>
    </row>
    <row r="93" ht="41.25" customHeight="1" s="508">
      <c r="A93" s="406" t="inlineStr">
        <is>
          <t>T0843.002</t>
        </is>
      </c>
      <c r="B93" s="406" t="inlineStr">
        <is>
          <t>Online Edit</t>
        </is>
      </c>
      <c r="C93" s="406" t="inlineStr">
        <is>
          <t>M0945</t>
        </is>
      </c>
      <c r="D93" s="406" t="inlineStr">
        <is>
          <t>Code Signing</t>
        </is>
      </c>
      <c r="E93" s="406" t="inlineStr">
        <is>
          <t>Prevent / Resist</t>
        </is>
      </c>
      <c r="F93" s="417" t="n">
        <v>0.8</v>
      </c>
      <c r="G93" s="444">
        <f>IFERROR(INDEX('OT 04 - Control Assessment'!$I$16:$I$67,MATCH(C93,'OT 04 - Control Assessment'!$A$16:$A$67,0)),0)</f>
        <v/>
      </c>
      <c r="H93" s="444">
        <f>IFERROR(INDEX('OT 04 - Control Assessment'!$J$16:$J$67,MATCH(C93,'OT 04 - Control Assessment'!$A$16:$A$67,0)),0)</f>
        <v/>
      </c>
      <c r="I93" s="444">
        <f>F93*G93*H93</f>
        <v/>
      </c>
      <c r="J93" s="406" t="inlineStr">
        <is>
          <t>Direct ATT&amp;CK mitigation relationship</t>
        </is>
      </c>
      <c r="K93" s="426" t="inlineStr">
        <is>
          <t>https://attack.mitre.org/techniques/T0843/002</t>
        </is>
      </c>
      <c r="L93" s="426" t="inlineStr">
        <is>
          <t>https://attack.mitre.org/mitigations/M0945</t>
        </is>
      </c>
      <c r="M93" s="406" t="inlineStr">
        <is>
          <t>Current Power Generation working prior (80%) because ATT&amp;CK establishes mitigation applicability but does not quantify efficacy. Replace with test / incident / SME calibration when available.</t>
        </is>
      </c>
    </row>
    <row r="94" ht="41.25" customHeight="1" s="508">
      <c r="A94" s="406" t="inlineStr">
        <is>
          <t>T0843.003</t>
        </is>
      </c>
      <c r="B94" s="406" t="inlineStr">
        <is>
          <t>Program Append</t>
        </is>
      </c>
      <c r="C94" s="406" t="inlineStr">
        <is>
          <t>M0945</t>
        </is>
      </c>
      <c r="D94" s="406" t="inlineStr">
        <is>
          <t>Code Signing</t>
        </is>
      </c>
      <c r="E94" s="406" t="inlineStr">
        <is>
          <t>Prevent / Resist</t>
        </is>
      </c>
      <c r="F94" s="417" t="n">
        <v>0.8</v>
      </c>
      <c r="G94" s="444">
        <f>IFERROR(INDEX('OT 04 - Control Assessment'!$I$16:$I$67,MATCH(C94,'OT 04 - Control Assessment'!$A$16:$A$67,0)),0)</f>
        <v/>
      </c>
      <c r="H94" s="444">
        <f>IFERROR(INDEX('OT 04 - Control Assessment'!$J$16:$J$67,MATCH(C94,'OT 04 - Control Assessment'!$A$16:$A$67,0)),0)</f>
        <v/>
      </c>
      <c r="I94" s="444">
        <f>F94*G94*H94</f>
        <v/>
      </c>
      <c r="J94" s="406" t="inlineStr">
        <is>
          <t>Direct ATT&amp;CK mitigation relationship</t>
        </is>
      </c>
      <c r="K94" s="426" t="inlineStr">
        <is>
          <t>https://attack.mitre.org/techniques/T0843/003</t>
        </is>
      </c>
      <c r="L94" s="426" t="inlineStr">
        <is>
          <t>https://attack.mitre.org/mitigations/M0945</t>
        </is>
      </c>
      <c r="M94" s="406" t="inlineStr">
        <is>
          <t>Current Power Generation working prior (80%) because ATT&amp;CK establishes mitigation applicability but does not quantify efficacy. Replace with test / incident / SME calibration when available.</t>
        </is>
      </c>
    </row>
    <row r="95" ht="41.25" customHeight="1" s="508">
      <c r="A95" s="406" t="inlineStr">
        <is>
          <t>T0843</t>
        </is>
      </c>
      <c r="B95" s="406" t="inlineStr">
        <is>
          <t>Program Download</t>
        </is>
      </c>
      <c r="C95" s="406" t="inlineStr">
        <is>
          <t>M0945</t>
        </is>
      </c>
      <c r="D95" s="406" t="inlineStr">
        <is>
          <t>Code Signing</t>
        </is>
      </c>
      <c r="E95" s="406" t="inlineStr">
        <is>
          <t>Prevent / Resist</t>
        </is>
      </c>
      <c r="F95" s="417" t="n">
        <v>0.8</v>
      </c>
      <c r="G95" s="444">
        <f>IFERROR(INDEX('OT 04 - Control Assessment'!$I$16:$I$67,MATCH(C95,'OT 04 - Control Assessment'!$A$16:$A$67,0)),0)</f>
        <v/>
      </c>
      <c r="H95" s="444">
        <f>IFERROR(INDEX('OT 04 - Control Assessment'!$J$16:$J$67,MATCH(C95,'OT 04 - Control Assessment'!$A$16:$A$67,0)),0)</f>
        <v/>
      </c>
      <c r="I95" s="444">
        <f>F95*G95*H95</f>
        <v/>
      </c>
      <c r="J95" s="406" t="inlineStr">
        <is>
          <t>Direct ATT&amp;CK mitigation relationship</t>
        </is>
      </c>
      <c r="K95" s="426" t="inlineStr">
        <is>
          <t>https://attack.mitre.org/techniques/T0843</t>
        </is>
      </c>
      <c r="L95" s="426" t="inlineStr">
        <is>
          <t>https://attack.mitre.org/mitigations/M0945</t>
        </is>
      </c>
      <c r="M95" s="406" t="inlineStr">
        <is>
          <t>Current Power Generation working prior (80%) because ATT&amp;CK establishes mitigation applicability but does not quantify efficacy. Replace with test / incident / SME calibration when available.</t>
        </is>
      </c>
    </row>
    <row r="96" ht="41.25" customHeight="1" s="508">
      <c r="A96" s="406" t="inlineStr">
        <is>
          <t>T0873</t>
        </is>
      </c>
      <c r="B96" s="406" t="inlineStr">
        <is>
          <t>Project File Infection</t>
        </is>
      </c>
      <c r="C96" s="406" t="inlineStr">
        <is>
          <t>M0945</t>
        </is>
      </c>
      <c r="D96" s="406" t="inlineStr">
        <is>
          <t>Code Signing</t>
        </is>
      </c>
      <c r="E96" s="406" t="inlineStr">
        <is>
          <t>Prevent / Resist</t>
        </is>
      </c>
      <c r="F96" s="417" t="n">
        <v>0.8</v>
      </c>
      <c r="G96" s="444">
        <f>IFERROR(INDEX('OT 04 - Control Assessment'!$I$16:$I$67,MATCH(C96,'OT 04 - Control Assessment'!$A$16:$A$67,0)),0)</f>
        <v/>
      </c>
      <c r="H96" s="444">
        <f>IFERROR(INDEX('OT 04 - Control Assessment'!$J$16:$J$67,MATCH(C96,'OT 04 - Control Assessment'!$A$16:$A$67,0)),0)</f>
        <v/>
      </c>
      <c r="I96" s="444">
        <f>F96*G96*H96</f>
        <v/>
      </c>
      <c r="J96" s="406" t="inlineStr">
        <is>
          <t>Direct ATT&amp;CK mitigation relationship</t>
        </is>
      </c>
      <c r="K96" s="426" t="inlineStr">
        <is>
          <t>https://attack.mitre.org/techniques/T0873</t>
        </is>
      </c>
      <c r="L96" s="426" t="inlineStr">
        <is>
          <t>https://attack.mitre.org/mitigations/M0945</t>
        </is>
      </c>
      <c r="M96" s="406" t="inlineStr">
        <is>
          <t>Current Power Generation working prior (80%) because ATT&amp;CK establishes mitigation applicability but does not quantify efficacy. Replace with test / incident / SME calibration when available.</t>
        </is>
      </c>
    </row>
    <row r="97" ht="41.25" customHeight="1" s="508">
      <c r="A97" s="406" t="inlineStr">
        <is>
          <t>T0851</t>
        </is>
      </c>
      <c r="B97" s="406" t="inlineStr">
        <is>
          <t>Rootkit</t>
        </is>
      </c>
      <c r="C97" s="406" t="inlineStr">
        <is>
          <t>M0945</t>
        </is>
      </c>
      <c r="D97" s="406" t="inlineStr">
        <is>
          <t>Code Signing</t>
        </is>
      </c>
      <c r="E97" s="406" t="inlineStr">
        <is>
          <t>Prevent / Resist</t>
        </is>
      </c>
      <c r="F97" s="417" t="n">
        <v>0.8</v>
      </c>
      <c r="G97" s="444">
        <f>IFERROR(INDEX('OT 04 - Control Assessment'!$I$16:$I$67,MATCH(C97,'OT 04 - Control Assessment'!$A$16:$A$67,0)),0)</f>
        <v/>
      </c>
      <c r="H97" s="444">
        <f>IFERROR(INDEX('OT 04 - Control Assessment'!$J$16:$J$67,MATCH(C97,'OT 04 - Control Assessment'!$A$16:$A$67,0)),0)</f>
        <v/>
      </c>
      <c r="I97" s="444">
        <f>F97*G97*H97</f>
        <v/>
      </c>
      <c r="J97" s="406" t="inlineStr">
        <is>
          <t>Direct ATT&amp;CK mitigation relationship</t>
        </is>
      </c>
      <c r="K97" s="426" t="inlineStr">
        <is>
          <t>https://attack.mitre.org/techniques/T0851</t>
        </is>
      </c>
      <c r="L97" s="426" t="inlineStr">
        <is>
          <t>https://attack.mitre.org/mitigations/M0945</t>
        </is>
      </c>
      <c r="M97" s="406" t="inlineStr">
        <is>
          <t>Current Power Generation working prior (80%) because ATT&amp;CK establishes mitigation applicability but does not quantify efficacy. Replace with test / incident / SME calibration when available.</t>
        </is>
      </c>
    </row>
    <row r="98" ht="41.25" customHeight="1" s="508">
      <c r="A98" s="406" t="inlineStr">
        <is>
          <t>T0873.001</t>
        </is>
      </c>
      <c r="B98" s="406" t="inlineStr">
        <is>
          <t>Siemens Project File Format</t>
        </is>
      </c>
      <c r="C98" s="406" t="inlineStr">
        <is>
          <t>M0945</t>
        </is>
      </c>
      <c r="D98" s="406" t="inlineStr">
        <is>
          <t>Code Signing</t>
        </is>
      </c>
      <c r="E98" s="406" t="inlineStr">
        <is>
          <t>Prevent / Resist</t>
        </is>
      </c>
      <c r="F98" s="417" t="n">
        <v>0.8</v>
      </c>
      <c r="G98" s="444">
        <f>IFERROR(INDEX('OT 04 - Control Assessment'!$I$16:$I$67,MATCH(C98,'OT 04 - Control Assessment'!$A$16:$A$67,0)),0)</f>
        <v/>
      </c>
      <c r="H98" s="444">
        <f>IFERROR(INDEX('OT 04 - Control Assessment'!$J$16:$J$67,MATCH(C98,'OT 04 - Control Assessment'!$A$16:$A$67,0)),0)</f>
        <v/>
      </c>
      <c r="I98" s="444">
        <f>F98*G98*H98</f>
        <v/>
      </c>
      <c r="J98" s="406" t="inlineStr">
        <is>
          <t>Direct ATT&amp;CK mitigation relationship</t>
        </is>
      </c>
      <c r="K98" s="426" t="inlineStr">
        <is>
          <t>https://attack.mitre.org/techniques/T0873/001</t>
        </is>
      </c>
      <c r="L98" s="426" t="inlineStr">
        <is>
          <t>https://attack.mitre.org/mitigations/M0945</t>
        </is>
      </c>
      <c r="M98" s="406" t="inlineStr">
        <is>
          <t>Current Power Generation working prior (80%) because ATT&amp;CK establishes mitigation applicability but does not quantify efficacy. Replace with test / incident / SME calibration when available.</t>
        </is>
      </c>
    </row>
    <row r="99" ht="41.25" customHeight="1" s="508">
      <c r="A99" s="406" t="inlineStr">
        <is>
          <t>T0862</t>
        </is>
      </c>
      <c r="B99" s="406" t="inlineStr">
        <is>
          <t>Supply Chain Compromise</t>
        </is>
      </c>
      <c r="C99" s="406" t="inlineStr">
        <is>
          <t>M0945</t>
        </is>
      </c>
      <c r="D99" s="406" t="inlineStr">
        <is>
          <t>Code Signing</t>
        </is>
      </c>
      <c r="E99" s="406" t="inlineStr">
        <is>
          <t>Prevent / Resist</t>
        </is>
      </c>
      <c r="F99" s="417" t="n">
        <v>0.8</v>
      </c>
      <c r="G99" s="444">
        <f>IFERROR(INDEX('OT 04 - Control Assessment'!$I$16:$I$67,MATCH(C99,'OT 04 - Control Assessment'!$A$16:$A$67,0)),0)</f>
        <v/>
      </c>
      <c r="H99" s="444">
        <f>IFERROR(INDEX('OT 04 - Control Assessment'!$J$16:$J$67,MATCH(C99,'OT 04 - Control Assessment'!$A$16:$A$67,0)),0)</f>
        <v/>
      </c>
      <c r="I99" s="444">
        <f>F99*G99*H99</f>
        <v/>
      </c>
      <c r="J99" s="406" t="inlineStr">
        <is>
          <t>Direct ATT&amp;CK mitigation relationship</t>
        </is>
      </c>
      <c r="K99" s="426" t="inlineStr">
        <is>
          <t>https://attack.mitre.org/techniques/T0862</t>
        </is>
      </c>
      <c r="L99" s="426" t="inlineStr">
        <is>
          <t>https://attack.mitre.org/mitigations/M0945</t>
        </is>
      </c>
      <c r="M99" s="406" t="inlineStr">
        <is>
          <t>Current Power Generation working prior (80%) because ATT&amp;CK establishes mitigation applicability but does not quantify efficacy. Replace with test / incident / SME calibration when available.</t>
        </is>
      </c>
    </row>
    <row r="100" ht="41.25" customHeight="1" s="508">
      <c r="A100" s="406" t="inlineStr">
        <is>
          <t>T1693.001</t>
        </is>
      </c>
      <c r="B100" s="406" t="inlineStr">
        <is>
          <t>System Firmware</t>
        </is>
      </c>
      <c r="C100" s="406" t="inlineStr">
        <is>
          <t>M0945</t>
        </is>
      </c>
      <c r="D100" s="406" t="inlineStr">
        <is>
          <t>Code Signing</t>
        </is>
      </c>
      <c r="E100" s="406" t="inlineStr">
        <is>
          <t>Prevent / Resist</t>
        </is>
      </c>
      <c r="F100" s="417" t="n">
        <v>0.8</v>
      </c>
      <c r="G100" s="444">
        <f>IFERROR(INDEX('OT 04 - Control Assessment'!$I$16:$I$67,MATCH(C100,'OT 04 - Control Assessment'!$A$16:$A$67,0)),0)</f>
        <v/>
      </c>
      <c r="H100" s="444">
        <f>IFERROR(INDEX('OT 04 - Control Assessment'!$J$16:$J$67,MATCH(C100,'OT 04 - Control Assessment'!$A$16:$A$67,0)),0)</f>
        <v/>
      </c>
      <c r="I100" s="444">
        <f>F100*G100*H100</f>
        <v/>
      </c>
      <c r="J100" s="406" t="inlineStr">
        <is>
          <t>Direct ATT&amp;CK mitigation relationship</t>
        </is>
      </c>
      <c r="K100" s="426" t="inlineStr">
        <is>
          <t>https://attack.mitre.org/techniques/T1693/001</t>
        </is>
      </c>
      <c r="L100" s="426" t="inlineStr">
        <is>
          <t>https://attack.mitre.org/mitigations/M0945</t>
        </is>
      </c>
      <c r="M100" s="406" t="inlineStr">
        <is>
          <t>Current Power Generation working prior (80%) because ATT&amp;CK establishes mitigation applicability but does not quantify efficacy. Replace with test / incident / SME calibration when available.</t>
        </is>
      </c>
    </row>
    <row r="101" ht="41.25" customHeight="1" s="508">
      <c r="A101" s="406" t="inlineStr">
        <is>
          <t>T0863</t>
        </is>
      </c>
      <c r="B101" s="406" t="inlineStr">
        <is>
          <t>User Execution</t>
        </is>
      </c>
      <c r="C101" s="406" t="inlineStr">
        <is>
          <t>M0945</t>
        </is>
      </c>
      <c r="D101" s="406" t="inlineStr">
        <is>
          <t>Code Signing</t>
        </is>
      </c>
      <c r="E101" s="406" t="inlineStr">
        <is>
          <t>Prevent / Resist</t>
        </is>
      </c>
      <c r="F101" s="417" t="n">
        <v>0.8</v>
      </c>
      <c r="G101" s="444">
        <f>IFERROR(INDEX('OT 04 - Control Assessment'!$I$16:$I$67,MATCH(C101,'OT 04 - Control Assessment'!$A$16:$A$67,0)),0)</f>
        <v/>
      </c>
      <c r="H101" s="444">
        <f>IFERROR(INDEX('OT 04 - Control Assessment'!$J$16:$J$67,MATCH(C101,'OT 04 - Control Assessment'!$A$16:$A$67,0)),0)</f>
        <v/>
      </c>
      <c r="I101" s="444">
        <f>F101*G101*H101</f>
        <v/>
      </c>
      <c r="J101" s="406" t="inlineStr">
        <is>
          <t>Direct ATT&amp;CK mitigation relationship</t>
        </is>
      </c>
      <c r="K101" s="426" t="inlineStr">
        <is>
          <t>https://attack.mitre.org/techniques/T0863</t>
        </is>
      </c>
      <c r="L101" s="426" t="inlineStr">
        <is>
          <t>https://attack.mitre.org/mitigations/M0945</t>
        </is>
      </c>
      <c r="M101" s="406" t="inlineStr">
        <is>
          <t>Current Power Generation working prior (80%) because ATT&amp;CK establishes mitigation applicability but does not quantify efficacy. Replace with test / incident / SME calibration when available.</t>
        </is>
      </c>
    </row>
    <row r="102" ht="41.25" customHeight="1" s="508">
      <c r="A102" s="406" t="inlineStr">
        <is>
          <t>T0800</t>
        </is>
      </c>
      <c r="B102" s="406" t="inlineStr">
        <is>
          <t>Activate Firmware Update Mode</t>
        </is>
      </c>
      <c r="C102" s="406" t="inlineStr">
        <is>
          <t>M0802</t>
        </is>
      </c>
      <c r="D102" s="406" t="inlineStr">
        <is>
          <t>Communication Authenticity</t>
        </is>
      </c>
      <c r="E102" s="406" t="inlineStr">
        <is>
          <t>Prevent / Resist</t>
        </is>
      </c>
      <c r="F102" s="417" t="n">
        <v>0.8</v>
      </c>
      <c r="G102" s="444">
        <f>IFERROR(INDEX('OT 04 - Control Assessment'!$I$16:$I$67,MATCH(C102,'OT 04 - Control Assessment'!$A$16:$A$67,0)),0)</f>
        <v/>
      </c>
      <c r="H102" s="444">
        <f>IFERROR(INDEX('OT 04 - Control Assessment'!$J$16:$J$67,MATCH(C102,'OT 04 - Control Assessment'!$A$16:$A$67,0)),0)</f>
        <v/>
      </c>
      <c r="I102" s="444">
        <f>F102*G102*H102</f>
        <v/>
      </c>
      <c r="J102" s="406" t="inlineStr">
        <is>
          <t>Direct ATT&amp;CK mitigation relationship</t>
        </is>
      </c>
      <c r="K102" s="426" t="inlineStr">
        <is>
          <t>https://attack.mitre.org/techniques/T0800</t>
        </is>
      </c>
      <c r="L102" s="426" t="inlineStr">
        <is>
          <t>https://attack.mitre.org/mitigations/M0802</t>
        </is>
      </c>
      <c r="M102" s="406" t="inlineStr">
        <is>
          <t>Current Power Generation working prior (80%) because ATT&amp;CK establishes mitigation applicability but does not quantify efficacy. Replace with test / incident / SME calibration when available.</t>
        </is>
      </c>
    </row>
    <row r="103" ht="41.25" customHeight="1" s="508">
      <c r="A103" s="406" t="inlineStr">
        <is>
          <t>T0830</t>
        </is>
      </c>
      <c r="B103" s="406" t="inlineStr">
        <is>
          <t>Adversary-in-the-Middle</t>
        </is>
      </c>
      <c r="C103" s="406" t="inlineStr">
        <is>
          <t>M0802</t>
        </is>
      </c>
      <c r="D103" s="406" t="inlineStr">
        <is>
          <t>Communication Authenticity</t>
        </is>
      </c>
      <c r="E103" s="406" t="inlineStr">
        <is>
          <t>Prevent / Resist</t>
        </is>
      </c>
      <c r="F103" s="417" t="n">
        <v>0.8</v>
      </c>
      <c r="G103" s="444">
        <f>IFERROR(INDEX('OT 04 - Control Assessment'!$I$16:$I$67,MATCH(C103,'OT 04 - Control Assessment'!$A$16:$A$67,0)),0)</f>
        <v/>
      </c>
      <c r="H103" s="444">
        <f>IFERROR(INDEX('OT 04 - Control Assessment'!$J$16:$J$67,MATCH(C103,'OT 04 - Control Assessment'!$A$16:$A$67,0)),0)</f>
        <v/>
      </c>
      <c r="I103" s="444">
        <f>F103*G103*H103</f>
        <v/>
      </c>
      <c r="J103" s="406" t="inlineStr">
        <is>
          <t>Direct ATT&amp;CK mitigation relationship</t>
        </is>
      </c>
      <c r="K103" s="426" t="inlineStr">
        <is>
          <t>https://attack.mitre.org/techniques/T0830</t>
        </is>
      </c>
      <c r="L103" s="426" t="inlineStr">
        <is>
          <t>https://attack.mitre.org/mitigations/M0802</t>
        </is>
      </c>
      <c r="M103" s="406" t="inlineStr">
        <is>
          <t>Current Power Generation working prior (80%) because ATT&amp;CK establishes mitigation applicability but does not quantify efficacy. Replace with test / incident / SME calibration when available.</t>
        </is>
      </c>
    </row>
    <row r="104" ht="41.25" customHeight="1" s="508">
      <c r="A104" s="406" t="inlineStr">
        <is>
          <t>T0858</t>
        </is>
      </c>
      <c r="B104" s="406" t="inlineStr">
        <is>
          <t>Change Operating Mode</t>
        </is>
      </c>
      <c r="C104" s="406" t="inlineStr">
        <is>
          <t>M0802</t>
        </is>
      </c>
      <c r="D104" s="406" t="inlineStr">
        <is>
          <t>Communication Authenticity</t>
        </is>
      </c>
      <c r="E104" s="406" t="inlineStr">
        <is>
          <t>Prevent / Resist</t>
        </is>
      </c>
      <c r="F104" s="417" t="n">
        <v>0.8</v>
      </c>
      <c r="G104" s="444">
        <f>IFERROR(INDEX('OT 04 - Control Assessment'!$I$16:$I$67,MATCH(C104,'OT 04 - Control Assessment'!$A$16:$A$67,0)),0)</f>
        <v/>
      </c>
      <c r="H104" s="444">
        <f>IFERROR(INDEX('OT 04 - Control Assessment'!$J$16:$J$67,MATCH(C104,'OT 04 - Control Assessment'!$A$16:$A$67,0)),0)</f>
        <v/>
      </c>
      <c r="I104" s="444">
        <f>F104*G104*H104</f>
        <v/>
      </c>
      <c r="J104" s="406" t="inlineStr">
        <is>
          <t>Direct ATT&amp;CK mitigation relationship</t>
        </is>
      </c>
      <c r="K104" s="426" t="inlineStr">
        <is>
          <t>https://attack.mitre.org/techniques/T0858</t>
        </is>
      </c>
      <c r="L104" s="426" t="inlineStr">
        <is>
          <t>https://attack.mitre.org/mitigations/M0802</t>
        </is>
      </c>
      <c r="M104" s="406" t="inlineStr">
        <is>
          <t>Current Power Generation working prior (80%) because ATT&amp;CK establishes mitigation applicability but does not quantify efficacy. Replace with test / incident / SME calibration when available.</t>
        </is>
      </c>
    </row>
    <row r="105" ht="41.25" customHeight="1" s="508">
      <c r="A105" s="406" t="inlineStr">
        <is>
          <t>T1692.001</t>
        </is>
      </c>
      <c r="B105" s="406" t="inlineStr">
        <is>
          <t>Command Message</t>
        </is>
      </c>
      <c r="C105" s="406" t="inlineStr">
        <is>
          <t>M0802</t>
        </is>
      </c>
      <c r="D105" s="406" t="inlineStr">
        <is>
          <t>Communication Authenticity</t>
        </is>
      </c>
      <c r="E105" s="406" t="inlineStr">
        <is>
          <t>Prevent / Resist</t>
        </is>
      </c>
      <c r="F105" s="417" t="n">
        <v>0.8</v>
      </c>
      <c r="G105" s="444">
        <f>IFERROR(INDEX('OT 04 - Control Assessment'!$I$16:$I$67,MATCH(C105,'OT 04 - Control Assessment'!$A$16:$A$67,0)),0)</f>
        <v/>
      </c>
      <c r="H105" s="444">
        <f>IFERROR(INDEX('OT 04 - Control Assessment'!$J$16:$J$67,MATCH(C105,'OT 04 - Control Assessment'!$A$16:$A$67,0)),0)</f>
        <v/>
      </c>
      <c r="I105" s="444">
        <f>F105*G105*H105</f>
        <v/>
      </c>
      <c r="J105" s="406" t="inlineStr">
        <is>
          <t>Direct ATT&amp;CK mitigation relationship</t>
        </is>
      </c>
      <c r="K105" s="426" t="inlineStr">
        <is>
          <t>https://attack.mitre.org/techniques/T1692/001</t>
        </is>
      </c>
      <c r="L105" s="426" t="inlineStr">
        <is>
          <t>https://attack.mitre.org/mitigations/M0802</t>
        </is>
      </c>
      <c r="M105" s="406" t="inlineStr">
        <is>
          <t>Current Power Generation working prior (80%) because ATT&amp;CK establishes mitigation applicability but does not quantify efficacy. Replace with test / incident / SME calibration when available.</t>
        </is>
      </c>
    </row>
    <row r="106" ht="41.25" customHeight="1" s="508">
      <c r="A106" s="406" t="inlineStr">
        <is>
          <t>T0868</t>
        </is>
      </c>
      <c r="B106" s="406" t="inlineStr">
        <is>
          <t>Detect Operating Mode</t>
        </is>
      </c>
      <c r="C106" s="406" t="inlineStr">
        <is>
          <t>M0802</t>
        </is>
      </c>
      <c r="D106" s="406" t="inlineStr">
        <is>
          <t>Communication Authenticity</t>
        </is>
      </c>
      <c r="E106" s="406" t="inlineStr">
        <is>
          <t>Prevent / Resist</t>
        </is>
      </c>
      <c r="F106" s="417" t="n">
        <v>0.8</v>
      </c>
      <c r="G106" s="444">
        <f>IFERROR(INDEX('OT 04 - Control Assessment'!$I$16:$I$67,MATCH(C106,'OT 04 - Control Assessment'!$A$16:$A$67,0)),0)</f>
        <v/>
      </c>
      <c r="H106" s="444">
        <f>IFERROR(INDEX('OT 04 - Control Assessment'!$J$16:$J$67,MATCH(C106,'OT 04 - Control Assessment'!$A$16:$A$67,0)),0)</f>
        <v/>
      </c>
      <c r="I106" s="444">
        <f>F106*G106*H106</f>
        <v/>
      </c>
      <c r="J106" s="406" t="inlineStr">
        <is>
          <t>Direct ATT&amp;CK mitigation relationship</t>
        </is>
      </c>
      <c r="K106" s="426" t="inlineStr">
        <is>
          <t>https://attack.mitre.org/techniques/T0868</t>
        </is>
      </c>
      <c r="L106" s="426" t="inlineStr">
        <is>
          <t>https://attack.mitre.org/mitigations/M0802</t>
        </is>
      </c>
      <c r="M106" s="406" t="inlineStr">
        <is>
          <t>Current Power Generation working prior (80%) because ATT&amp;CK establishes mitigation applicability but does not quantify efficacy. Replace with test / incident / SME calibration when available.</t>
        </is>
      </c>
    </row>
    <row r="107" ht="41.25" customHeight="1" s="508">
      <c r="A107" s="406" t="inlineStr">
        <is>
          <t>T0816</t>
        </is>
      </c>
      <c r="B107" s="406" t="inlineStr">
        <is>
          <t>Device Restart/Shutdown</t>
        </is>
      </c>
      <c r="C107" s="406" t="inlineStr">
        <is>
          <t>M0802</t>
        </is>
      </c>
      <c r="D107" s="406" t="inlineStr">
        <is>
          <t>Communication Authenticity</t>
        </is>
      </c>
      <c r="E107" s="406" t="inlineStr">
        <is>
          <t>Prevent / Resist</t>
        </is>
      </c>
      <c r="F107" s="417" t="n">
        <v>0.8</v>
      </c>
      <c r="G107" s="444">
        <f>IFERROR(INDEX('OT 04 - Control Assessment'!$I$16:$I$67,MATCH(C107,'OT 04 - Control Assessment'!$A$16:$A$67,0)),0)</f>
        <v/>
      </c>
      <c r="H107" s="444">
        <f>IFERROR(INDEX('OT 04 - Control Assessment'!$J$16:$J$67,MATCH(C107,'OT 04 - Control Assessment'!$A$16:$A$67,0)),0)</f>
        <v/>
      </c>
      <c r="I107" s="444">
        <f>F107*G107*H107</f>
        <v/>
      </c>
      <c r="J107" s="406" t="inlineStr">
        <is>
          <t>Direct ATT&amp;CK mitigation relationship</t>
        </is>
      </c>
      <c r="K107" s="426" t="inlineStr">
        <is>
          <t>https://attack.mitre.org/techniques/T0816</t>
        </is>
      </c>
      <c r="L107" s="426" t="inlineStr">
        <is>
          <t>https://attack.mitre.org/mitigations/M0802</t>
        </is>
      </c>
      <c r="M107" s="406" t="inlineStr">
        <is>
          <t>Current Power Generation working prior (80%) because ATT&amp;CK establishes mitigation applicability but does not quantify efficacy. Replace with test / incident / SME calibration when available.</t>
        </is>
      </c>
    </row>
    <row r="108" ht="41.25" customHeight="1" s="508">
      <c r="A108" s="406" t="inlineStr">
        <is>
          <t>T0843.001</t>
        </is>
      </c>
      <c r="B108" s="406" t="inlineStr">
        <is>
          <t>Download All</t>
        </is>
      </c>
      <c r="C108" s="406" t="inlineStr">
        <is>
          <t>M0802</t>
        </is>
      </c>
      <c r="D108" s="406" t="inlineStr">
        <is>
          <t>Communication Authenticity</t>
        </is>
      </c>
      <c r="E108" s="406" t="inlineStr">
        <is>
          <t>Prevent / Resist</t>
        </is>
      </c>
      <c r="F108" s="417" t="n">
        <v>0.8</v>
      </c>
      <c r="G108" s="444">
        <f>IFERROR(INDEX('OT 04 - Control Assessment'!$I$16:$I$67,MATCH(C108,'OT 04 - Control Assessment'!$A$16:$A$67,0)),0)</f>
        <v/>
      </c>
      <c r="H108" s="444">
        <f>IFERROR(INDEX('OT 04 - Control Assessment'!$J$16:$J$67,MATCH(C108,'OT 04 - Control Assessment'!$A$16:$A$67,0)),0)</f>
        <v/>
      </c>
      <c r="I108" s="444">
        <f>F108*G108*H108</f>
        <v/>
      </c>
      <c r="J108" s="406" t="inlineStr">
        <is>
          <t>Direct ATT&amp;CK mitigation relationship</t>
        </is>
      </c>
      <c r="K108" s="426" t="inlineStr">
        <is>
          <t>https://attack.mitre.org/techniques/T0843/001</t>
        </is>
      </c>
      <c r="L108" s="426" t="inlineStr">
        <is>
          <t>https://attack.mitre.org/mitigations/M0802</t>
        </is>
      </c>
      <c r="M108" s="406" t="inlineStr">
        <is>
          <t>Current Power Generation working prior (80%) because ATT&amp;CK establishes mitigation applicability but does not quantify efficacy. Replace with test / incident / SME calibration when available.</t>
        </is>
      </c>
    </row>
    <row r="109" ht="41.25" customHeight="1" s="508">
      <c r="A109" s="406" t="inlineStr">
        <is>
          <t>T0831</t>
        </is>
      </c>
      <c r="B109" s="406" t="inlineStr">
        <is>
          <t>Manipulation of Control</t>
        </is>
      </c>
      <c r="C109" s="406" t="inlineStr">
        <is>
          <t>M0802</t>
        </is>
      </c>
      <c r="D109" s="406" t="inlineStr">
        <is>
          <t>Communication Authenticity</t>
        </is>
      </c>
      <c r="E109" s="406" t="inlineStr">
        <is>
          <t>Prevent / Resist</t>
        </is>
      </c>
      <c r="F109" s="417" t="n">
        <v>0.8</v>
      </c>
      <c r="G109" s="444">
        <f>IFERROR(INDEX('OT 04 - Control Assessment'!$I$16:$I$67,MATCH(C109,'OT 04 - Control Assessment'!$A$16:$A$67,0)),0)</f>
        <v/>
      </c>
      <c r="H109" s="444">
        <f>IFERROR(INDEX('OT 04 - Control Assessment'!$J$16:$J$67,MATCH(C109,'OT 04 - Control Assessment'!$A$16:$A$67,0)),0)</f>
        <v/>
      </c>
      <c r="I109" s="444">
        <f>F109*G109*H109</f>
        <v/>
      </c>
      <c r="J109" s="406" t="inlineStr">
        <is>
          <t>Direct ATT&amp;CK mitigation relationship</t>
        </is>
      </c>
      <c r="K109" s="426" t="inlineStr">
        <is>
          <t>https://attack.mitre.org/techniques/T0831</t>
        </is>
      </c>
      <c r="L109" s="426" t="inlineStr">
        <is>
          <t>https://attack.mitre.org/mitigations/M0802</t>
        </is>
      </c>
      <c r="M109" s="406" t="inlineStr">
        <is>
          <t>Current Power Generation working prior (80%) because ATT&amp;CK establishes mitigation applicability but does not quantify efficacy. Replace with test / incident / SME calibration when available.</t>
        </is>
      </c>
    </row>
    <row r="110" ht="41.25" customHeight="1" s="508">
      <c r="A110" s="406" t="inlineStr">
        <is>
          <t>T0832</t>
        </is>
      </c>
      <c r="B110" s="406" t="inlineStr">
        <is>
          <t>Manipulation of View</t>
        </is>
      </c>
      <c r="C110" s="406" t="inlineStr">
        <is>
          <t>M0802</t>
        </is>
      </c>
      <c r="D110" s="406" t="inlineStr">
        <is>
          <t>Communication Authenticity</t>
        </is>
      </c>
      <c r="E110" s="406" t="inlineStr">
        <is>
          <t>Prevent / Resist</t>
        </is>
      </c>
      <c r="F110" s="417" t="n">
        <v>0.8</v>
      </c>
      <c r="G110" s="444">
        <f>IFERROR(INDEX('OT 04 - Control Assessment'!$I$16:$I$67,MATCH(C110,'OT 04 - Control Assessment'!$A$16:$A$67,0)),0)</f>
        <v/>
      </c>
      <c r="H110" s="444">
        <f>IFERROR(INDEX('OT 04 - Control Assessment'!$J$16:$J$67,MATCH(C110,'OT 04 - Control Assessment'!$A$16:$A$67,0)),0)</f>
        <v/>
      </c>
      <c r="I110" s="444">
        <f>F110*G110*H110</f>
        <v/>
      </c>
      <c r="J110" s="406" t="inlineStr">
        <is>
          <t>Direct ATT&amp;CK mitigation relationship</t>
        </is>
      </c>
      <c r="K110" s="426" t="inlineStr">
        <is>
          <t>https://attack.mitre.org/techniques/T0832</t>
        </is>
      </c>
      <c r="L110" s="426" t="inlineStr">
        <is>
          <t>https://attack.mitre.org/mitigations/M0802</t>
        </is>
      </c>
      <c r="M110" s="406" t="inlineStr">
        <is>
          <t>Current Power Generation working prior (80%) because ATT&amp;CK establishes mitigation applicability but does not quantify efficacy. Replace with test / incident / SME calibration when available.</t>
        </is>
      </c>
    </row>
    <row r="111" ht="41.25" customHeight="1" s="508">
      <c r="A111" s="406" t="inlineStr">
        <is>
          <t>T1693</t>
        </is>
      </c>
      <c r="B111" s="406" t="inlineStr">
        <is>
          <t>Modify Firmware</t>
        </is>
      </c>
      <c r="C111" s="406" t="inlineStr">
        <is>
          <t>M0802</t>
        </is>
      </c>
      <c r="D111" s="406" t="inlineStr">
        <is>
          <t>Communication Authenticity</t>
        </is>
      </c>
      <c r="E111" s="406" t="inlineStr">
        <is>
          <t>Prevent / Resist</t>
        </is>
      </c>
      <c r="F111" s="417" t="n">
        <v>0.8</v>
      </c>
      <c r="G111" s="444">
        <f>IFERROR(INDEX('OT 04 - Control Assessment'!$I$16:$I$67,MATCH(C111,'OT 04 - Control Assessment'!$A$16:$A$67,0)),0)</f>
        <v/>
      </c>
      <c r="H111" s="444">
        <f>IFERROR(INDEX('OT 04 - Control Assessment'!$J$16:$J$67,MATCH(C111,'OT 04 - Control Assessment'!$A$16:$A$67,0)),0)</f>
        <v/>
      </c>
      <c r="I111" s="444">
        <f>F111*G111*H111</f>
        <v/>
      </c>
      <c r="J111" s="406" t="inlineStr">
        <is>
          <t>Direct ATT&amp;CK mitigation relationship</t>
        </is>
      </c>
      <c r="K111" s="426" t="inlineStr">
        <is>
          <t>https://attack.mitre.org/techniques/T1693</t>
        </is>
      </c>
      <c r="L111" s="426" t="inlineStr">
        <is>
          <t>https://attack.mitre.org/mitigations/M0802</t>
        </is>
      </c>
      <c r="M111" s="406" t="inlineStr">
        <is>
          <t>Current Power Generation working prior (80%) because ATT&amp;CK establishes mitigation applicability but does not quantify efficacy. Replace with test / incident / SME calibration when available.</t>
        </is>
      </c>
    </row>
    <row r="112" ht="41.25" customHeight="1" s="508">
      <c r="A112" s="406" t="inlineStr">
        <is>
          <t>T1693.002</t>
        </is>
      </c>
      <c r="B112" s="406" t="inlineStr">
        <is>
          <t>Module Firmware</t>
        </is>
      </c>
      <c r="C112" s="406" t="inlineStr">
        <is>
          <t>M0802</t>
        </is>
      </c>
      <c r="D112" s="406" t="inlineStr">
        <is>
          <t>Communication Authenticity</t>
        </is>
      </c>
      <c r="E112" s="406" t="inlineStr">
        <is>
          <t>Prevent / Resist</t>
        </is>
      </c>
      <c r="F112" s="417" t="n">
        <v>0.8</v>
      </c>
      <c r="G112" s="444">
        <f>IFERROR(INDEX('OT 04 - Control Assessment'!$I$16:$I$67,MATCH(C112,'OT 04 - Control Assessment'!$A$16:$A$67,0)),0)</f>
        <v/>
      </c>
      <c r="H112" s="444">
        <f>IFERROR(INDEX('OT 04 - Control Assessment'!$J$16:$J$67,MATCH(C112,'OT 04 - Control Assessment'!$A$16:$A$67,0)),0)</f>
        <v/>
      </c>
      <c r="I112" s="444">
        <f>F112*G112*H112</f>
        <v/>
      </c>
      <c r="J112" s="406" t="inlineStr">
        <is>
          <t>Direct ATT&amp;CK mitigation relationship</t>
        </is>
      </c>
      <c r="K112" s="426" t="inlineStr">
        <is>
          <t>https://attack.mitre.org/techniques/T1693/002</t>
        </is>
      </c>
      <c r="L112" s="426" t="inlineStr">
        <is>
          <t>https://attack.mitre.org/mitigations/M0802</t>
        </is>
      </c>
      <c r="M112" s="406" t="inlineStr">
        <is>
          <t>Current Power Generation working prior (80%) because ATT&amp;CK establishes mitigation applicability but does not quantify efficacy. Replace with test / incident / SME calibration when available.</t>
        </is>
      </c>
    </row>
    <row r="113" ht="41.25" customHeight="1" s="508">
      <c r="A113" s="406" t="inlineStr">
        <is>
          <t>T0843.002</t>
        </is>
      </c>
      <c r="B113" s="406" t="inlineStr">
        <is>
          <t>Online Edit</t>
        </is>
      </c>
      <c r="C113" s="406" t="inlineStr">
        <is>
          <t>M0802</t>
        </is>
      </c>
      <c r="D113" s="406" t="inlineStr">
        <is>
          <t>Communication Authenticity</t>
        </is>
      </c>
      <c r="E113" s="406" t="inlineStr">
        <is>
          <t>Prevent / Resist</t>
        </is>
      </c>
      <c r="F113" s="417" t="n">
        <v>0.8</v>
      </c>
      <c r="G113" s="444">
        <f>IFERROR(INDEX('OT 04 - Control Assessment'!$I$16:$I$67,MATCH(C113,'OT 04 - Control Assessment'!$A$16:$A$67,0)),0)</f>
        <v/>
      </c>
      <c r="H113" s="444">
        <f>IFERROR(INDEX('OT 04 - Control Assessment'!$J$16:$J$67,MATCH(C113,'OT 04 - Control Assessment'!$A$16:$A$67,0)),0)</f>
        <v/>
      </c>
      <c r="I113" s="444">
        <f>F113*G113*H113</f>
        <v/>
      </c>
      <c r="J113" s="406" t="inlineStr">
        <is>
          <t>Direct ATT&amp;CK mitigation relationship</t>
        </is>
      </c>
      <c r="K113" s="426" t="inlineStr">
        <is>
          <t>https://attack.mitre.org/techniques/T0843/002</t>
        </is>
      </c>
      <c r="L113" s="426" t="inlineStr">
        <is>
          <t>https://attack.mitre.org/mitigations/M0802</t>
        </is>
      </c>
      <c r="M113" s="406" t="inlineStr">
        <is>
          <t>Current Power Generation working prior (80%) because ATT&amp;CK establishes mitigation applicability but does not quantify efficacy. Replace with test / incident / SME calibration when available.</t>
        </is>
      </c>
    </row>
    <row r="114" ht="41.25" customHeight="1" s="508">
      <c r="A114" s="406" t="inlineStr">
        <is>
          <t>T0861</t>
        </is>
      </c>
      <c r="B114" s="406" t="inlineStr">
        <is>
          <t>Point &amp; Tag Identification</t>
        </is>
      </c>
      <c r="C114" s="406" t="inlineStr">
        <is>
          <t>M0802</t>
        </is>
      </c>
      <c r="D114" s="406" t="inlineStr">
        <is>
          <t>Communication Authenticity</t>
        </is>
      </c>
      <c r="E114" s="406" t="inlineStr">
        <is>
          <t>Prevent / Resist</t>
        </is>
      </c>
      <c r="F114" s="417" t="n">
        <v>0.8</v>
      </c>
      <c r="G114" s="444">
        <f>IFERROR(INDEX('OT 04 - Control Assessment'!$I$16:$I$67,MATCH(C114,'OT 04 - Control Assessment'!$A$16:$A$67,0)),0)</f>
        <v/>
      </c>
      <c r="H114" s="444">
        <f>IFERROR(INDEX('OT 04 - Control Assessment'!$J$16:$J$67,MATCH(C114,'OT 04 - Control Assessment'!$A$16:$A$67,0)),0)</f>
        <v/>
      </c>
      <c r="I114" s="444">
        <f>F114*G114*H114</f>
        <v/>
      </c>
      <c r="J114" s="406" t="inlineStr">
        <is>
          <t>Direct ATT&amp;CK mitigation relationship</t>
        </is>
      </c>
      <c r="K114" s="426" t="inlineStr">
        <is>
          <t>https://attack.mitre.org/techniques/T0861</t>
        </is>
      </c>
      <c r="L114" s="426" t="inlineStr">
        <is>
          <t>https://attack.mitre.org/mitigations/M0802</t>
        </is>
      </c>
      <c r="M114" s="406" t="inlineStr">
        <is>
          <t>Current Power Generation working prior (80%) because ATT&amp;CK establishes mitigation applicability but does not quantify efficacy. Replace with test / incident / SME calibration when available.</t>
        </is>
      </c>
    </row>
    <row r="115" ht="41.25" customHeight="1" s="508">
      <c r="A115" s="406" t="inlineStr">
        <is>
          <t>T0843.003</t>
        </is>
      </c>
      <c r="B115" s="406" t="inlineStr">
        <is>
          <t>Program Append</t>
        </is>
      </c>
      <c r="C115" s="406" t="inlineStr">
        <is>
          <t>M0802</t>
        </is>
      </c>
      <c r="D115" s="406" t="inlineStr">
        <is>
          <t>Communication Authenticity</t>
        </is>
      </c>
      <c r="E115" s="406" t="inlineStr">
        <is>
          <t>Prevent / Resist</t>
        </is>
      </c>
      <c r="F115" s="417" t="n">
        <v>0.8</v>
      </c>
      <c r="G115" s="444">
        <f>IFERROR(INDEX('OT 04 - Control Assessment'!$I$16:$I$67,MATCH(C115,'OT 04 - Control Assessment'!$A$16:$A$67,0)),0)</f>
        <v/>
      </c>
      <c r="H115" s="444">
        <f>IFERROR(INDEX('OT 04 - Control Assessment'!$J$16:$J$67,MATCH(C115,'OT 04 - Control Assessment'!$A$16:$A$67,0)),0)</f>
        <v/>
      </c>
      <c r="I115" s="444">
        <f>F115*G115*H115</f>
        <v/>
      </c>
      <c r="J115" s="406" t="inlineStr">
        <is>
          <t>Direct ATT&amp;CK mitigation relationship</t>
        </is>
      </c>
      <c r="K115" s="426" t="inlineStr">
        <is>
          <t>https://attack.mitre.org/techniques/T0843/003</t>
        </is>
      </c>
      <c r="L115" s="426" t="inlineStr">
        <is>
          <t>https://attack.mitre.org/mitigations/M0802</t>
        </is>
      </c>
      <c r="M115" s="406" t="inlineStr">
        <is>
          <t>Current Power Generation working prior (80%) because ATT&amp;CK establishes mitigation applicability but does not quantify efficacy. Replace with test / incident / SME calibration when available.</t>
        </is>
      </c>
    </row>
    <row r="116" ht="41.25" customHeight="1" s="508">
      <c r="A116" s="406" t="inlineStr">
        <is>
          <t>T0843</t>
        </is>
      </c>
      <c r="B116" s="406" t="inlineStr">
        <is>
          <t>Program Download</t>
        </is>
      </c>
      <c r="C116" s="406" t="inlineStr">
        <is>
          <t>M0802</t>
        </is>
      </c>
      <c r="D116" s="406" t="inlineStr">
        <is>
          <t>Communication Authenticity</t>
        </is>
      </c>
      <c r="E116" s="406" t="inlineStr">
        <is>
          <t>Prevent / Resist</t>
        </is>
      </c>
      <c r="F116" s="417" t="n">
        <v>0.8</v>
      </c>
      <c r="G116" s="444">
        <f>IFERROR(INDEX('OT 04 - Control Assessment'!$I$16:$I$67,MATCH(C116,'OT 04 - Control Assessment'!$A$16:$A$67,0)),0)</f>
        <v/>
      </c>
      <c r="H116" s="444">
        <f>IFERROR(INDEX('OT 04 - Control Assessment'!$J$16:$J$67,MATCH(C116,'OT 04 - Control Assessment'!$A$16:$A$67,0)),0)</f>
        <v/>
      </c>
      <c r="I116" s="444">
        <f>F116*G116*H116</f>
        <v/>
      </c>
      <c r="J116" s="406" t="inlineStr">
        <is>
          <t>Direct ATT&amp;CK mitigation relationship</t>
        </is>
      </c>
      <c r="K116" s="426" t="inlineStr">
        <is>
          <t>https://attack.mitre.org/techniques/T0843</t>
        </is>
      </c>
      <c r="L116" s="426" t="inlineStr">
        <is>
          <t>https://attack.mitre.org/mitigations/M0802</t>
        </is>
      </c>
      <c r="M116" s="406" t="inlineStr">
        <is>
          <t>Current Power Generation working prior (80%) because ATT&amp;CK establishes mitigation applicability but does not quantify efficacy. Replace with test / incident / SME calibration when available.</t>
        </is>
      </c>
    </row>
    <row r="117" ht="41.25" customHeight="1" s="508">
      <c r="A117" s="406" t="inlineStr">
        <is>
          <t>T0845</t>
        </is>
      </c>
      <c r="B117" s="406" t="inlineStr">
        <is>
          <t>Program Upload</t>
        </is>
      </c>
      <c r="C117" s="406" t="inlineStr">
        <is>
          <t>M0802</t>
        </is>
      </c>
      <c r="D117" s="406" t="inlineStr">
        <is>
          <t>Communication Authenticity</t>
        </is>
      </c>
      <c r="E117" s="406" t="inlineStr">
        <is>
          <t>Prevent / Resist</t>
        </is>
      </c>
      <c r="F117" s="417" t="n">
        <v>0.8</v>
      </c>
      <c r="G117" s="444">
        <f>IFERROR(INDEX('OT 04 - Control Assessment'!$I$16:$I$67,MATCH(C117,'OT 04 - Control Assessment'!$A$16:$A$67,0)),0)</f>
        <v/>
      </c>
      <c r="H117" s="444">
        <f>IFERROR(INDEX('OT 04 - Control Assessment'!$J$16:$J$67,MATCH(C117,'OT 04 - Control Assessment'!$A$16:$A$67,0)),0)</f>
        <v/>
      </c>
      <c r="I117" s="444">
        <f>F117*G117*H117</f>
        <v/>
      </c>
      <c r="J117" s="406" t="inlineStr">
        <is>
          <t>Direct ATT&amp;CK mitigation relationship</t>
        </is>
      </c>
      <c r="K117" s="426" t="inlineStr">
        <is>
          <t>https://attack.mitre.org/techniques/T0845</t>
        </is>
      </c>
      <c r="L117" s="426" t="inlineStr">
        <is>
          <t>https://attack.mitre.org/mitigations/M0802</t>
        </is>
      </c>
      <c r="M117" s="406" t="inlineStr">
        <is>
          <t>Current Power Generation working prior (80%) because ATT&amp;CK establishes mitigation applicability but does not quantify efficacy. Replace with test / incident / SME calibration when available.</t>
        </is>
      </c>
    </row>
    <row r="118" ht="41.25" customHeight="1" s="508">
      <c r="A118" s="406" t="inlineStr">
        <is>
          <t>T1692.002</t>
        </is>
      </c>
      <c r="B118" s="406" t="inlineStr">
        <is>
          <t>Reporting Message</t>
        </is>
      </c>
      <c r="C118" s="406" t="inlineStr">
        <is>
          <t>M0802</t>
        </is>
      </c>
      <c r="D118" s="406" t="inlineStr">
        <is>
          <t>Communication Authenticity</t>
        </is>
      </c>
      <c r="E118" s="406" t="inlineStr">
        <is>
          <t>Prevent / Resist</t>
        </is>
      </c>
      <c r="F118" s="417" t="n">
        <v>0.8</v>
      </c>
      <c r="G118" s="444">
        <f>IFERROR(INDEX('OT 04 - Control Assessment'!$I$16:$I$67,MATCH(C118,'OT 04 - Control Assessment'!$A$16:$A$67,0)),0)</f>
        <v/>
      </c>
      <c r="H118" s="444">
        <f>IFERROR(INDEX('OT 04 - Control Assessment'!$J$16:$J$67,MATCH(C118,'OT 04 - Control Assessment'!$A$16:$A$67,0)),0)</f>
        <v/>
      </c>
      <c r="I118" s="444">
        <f>F118*G118*H118</f>
        <v/>
      </c>
      <c r="J118" s="406" t="inlineStr">
        <is>
          <t>Direct ATT&amp;CK mitigation relationship</t>
        </is>
      </c>
      <c r="K118" s="426" t="inlineStr">
        <is>
          <t>https://attack.mitre.org/techniques/T1692/002</t>
        </is>
      </c>
      <c r="L118" s="426" t="inlineStr">
        <is>
          <t>https://attack.mitre.org/mitigations/M0802</t>
        </is>
      </c>
      <c r="M118" s="406" t="inlineStr">
        <is>
          <t>Current Power Generation working prior (80%) because ATT&amp;CK establishes mitigation applicability but does not quantify efficacy. Replace with test / incident / SME calibration when available.</t>
        </is>
      </c>
    </row>
    <row r="119" ht="41.25" customHeight="1" s="508">
      <c r="A119" s="406" t="inlineStr">
        <is>
          <t>T0848</t>
        </is>
      </c>
      <c r="B119" s="406" t="inlineStr">
        <is>
          <t>Rogue Master</t>
        </is>
      </c>
      <c r="C119" s="406" t="inlineStr">
        <is>
          <t>M0802</t>
        </is>
      </c>
      <c r="D119" s="406" t="inlineStr">
        <is>
          <t>Communication Authenticity</t>
        </is>
      </c>
      <c r="E119" s="406" t="inlineStr">
        <is>
          <t>Prevent / Resist</t>
        </is>
      </c>
      <c r="F119" s="417" t="n">
        <v>0.8</v>
      </c>
      <c r="G119" s="444">
        <f>IFERROR(INDEX('OT 04 - Control Assessment'!$I$16:$I$67,MATCH(C119,'OT 04 - Control Assessment'!$A$16:$A$67,0)),0)</f>
        <v/>
      </c>
      <c r="H119" s="444">
        <f>IFERROR(INDEX('OT 04 - Control Assessment'!$J$16:$J$67,MATCH(C119,'OT 04 - Control Assessment'!$A$16:$A$67,0)),0)</f>
        <v/>
      </c>
      <c r="I119" s="444">
        <f>F119*G119*H119</f>
        <v/>
      </c>
      <c r="J119" s="406" t="inlineStr">
        <is>
          <t>Direct ATT&amp;CK mitigation relationship</t>
        </is>
      </c>
      <c r="K119" s="426" t="inlineStr">
        <is>
          <t>https://attack.mitre.org/techniques/T0848</t>
        </is>
      </c>
      <c r="L119" s="426" t="inlineStr">
        <is>
          <t>https://attack.mitre.org/mitigations/M0802</t>
        </is>
      </c>
      <c r="M119" s="406" t="inlineStr">
        <is>
          <t>Current Power Generation working prior (80%) because ATT&amp;CK establishes mitigation applicability but does not quantify efficacy. Replace with test / incident / SME calibration when available.</t>
        </is>
      </c>
    </row>
    <row r="120" ht="41.25" customHeight="1" s="508">
      <c r="A120" s="406" t="inlineStr">
        <is>
          <t>T1693.001</t>
        </is>
      </c>
      <c r="B120" s="406" t="inlineStr">
        <is>
          <t>System Firmware</t>
        </is>
      </c>
      <c r="C120" s="406" t="inlineStr">
        <is>
          <t>M0802</t>
        </is>
      </c>
      <c r="D120" s="406" t="inlineStr">
        <is>
          <t>Communication Authenticity</t>
        </is>
      </c>
      <c r="E120" s="406" t="inlineStr">
        <is>
          <t>Prevent / Resist</t>
        </is>
      </c>
      <c r="F120" s="417" t="n">
        <v>0.8</v>
      </c>
      <c r="G120" s="444">
        <f>IFERROR(INDEX('OT 04 - Control Assessment'!$I$16:$I$67,MATCH(C120,'OT 04 - Control Assessment'!$A$16:$A$67,0)),0)</f>
        <v/>
      </c>
      <c r="H120" s="444">
        <f>IFERROR(INDEX('OT 04 - Control Assessment'!$J$16:$J$67,MATCH(C120,'OT 04 - Control Assessment'!$A$16:$A$67,0)),0)</f>
        <v/>
      </c>
      <c r="I120" s="444">
        <f>F120*G120*H120</f>
        <v/>
      </c>
      <c r="J120" s="406" t="inlineStr">
        <is>
          <t>Direct ATT&amp;CK mitigation relationship</t>
        </is>
      </c>
      <c r="K120" s="426" t="inlineStr">
        <is>
          <t>https://attack.mitre.org/techniques/T1693/001</t>
        </is>
      </c>
      <c r="L120" s="426" t="inlineStr">
        <is>
          <t>https://attack.mitre.org/mitigations/M0802</t>
        </is>
      </c>
      <c r="M120" s="406" t="inlineStr">
        <is>
          <t>Current Power Generation working prior (80%) because ATT&amp;CK establishes mitigation applicability but does not quantify efficacy. Replace with test / incident / SME calibration when available.</t>
        </is>
      </c>
    </row>
    <row r="121" ht="41.25" customHeight="1" s="508">
      <c r="A121" s="406" t="inlineStr">
        <is>
          <t>T1692</t>
        </is>
      </c>
      <c r="B121" s="406" t="inlineStr">
        <is>
          <t>Unauthorized Message</t>
        </is>
      </c>
      <c r="C121" s="406" t="inlineStr">
        <is>
          <t>M0802</t>
        </is>
      </c>
      <c r="D121" s="406" t="inlineStr">
        <is>
          <t>Communication Authenticity</t>
        </is>
      </c>
      <c r="E121" s="406" t="inlineStr">
        <is>
          <t>Prevent / Resist</t>
        </is>
      </c>
      <c r="F121" s="417" t="n">
        <v>0.8</v>
      </c>
      <c r="G121" s="444">
        <f>IFERROR(INDEX('OT 04 - Control Assessment'!$I$16:$I$67,MATCH(C121,'OT 04 - Control Assessment'!$A$16:$A$67,0)),0)</f>
        <v/>
      </c>
      <c r="H121" s="444">
        <f>IFERROR(INDEX('OT 04 - Control Assessment'!$J$16:$J$67,MATCH(C121,'OT 04 - Control Assessment'!$A$16:$A$67,0)),0)</f>
        <v/>
      </c>
      <c r="I121" s="444">
        <f>F121*G121*H121</f>
        <v/>
      </c>
      <c r="J121" s="406" t="inlineStr">
        <is>
          <t>Direct ATT&amp;CK mitigation relationship</t>
        </is>
      </c>
      <c r="K121" s="426" t="inlineStr">
        <is>
          <t>https://attack.mitre.org/techniques/T1692</t>
        </is>
      </c>
      <c r="L121" s="426" t="inlineStr">
        <is>
          <t>https://attack.mitre.org/mitigations/M0802</t>
        </is>
      </c>
      <c r="M121" s="406" t="inlineStr">
        <is>
          <t>Current Power Generation working prior (80%) because ATT&amp;CK establishes mitigation applicability but does not quantify efficacy. Replace with test / incident / SME calibration when available.</t>
        </is>
      </c>
    </row>
    <row r="122" ht="41.25" customHeight="1" s="508">
      <c r="A122" s="406" t="inlineStr">
        <is>
          <t>T0860</t>
        </is>
      </c>
      <c r="B122" s="406" t="inlineStr">
        <is>
          <t>Wireless Compromise</t>
        </is>
      </c>
      <c r="C122" s="406" t="inlineStr">
        <is>
          <t>M0802</t>
        </is>
      </c>
      <c r="D122" s="406" t="inlineStr">
        <is>
          <t>Communication Authenticity</t>
        </is>
      </c>
      <c r="E122" s="406" t="inlineStr">
        <is>
          <t>Prevent / Resist</t>
        </is>
      </c>
      <c r="F122" s="417" t="n">
        <v>0.8</v>
      </c>
      <c r="G122" s="444">
        <f>IFERROR(INDEX('OT 04 - Control Assessment'!$I$16:$I$67,MATCH(C122,'OT 04 - Control Assessment'!$A$16:$A$67,0)),0)</f>
        <v/>
      </c>
      <c r="H122" s="444">
        <f>IFERROR(INDEX('OT 04 - Control Assessment'!$J$16:$J$67,MATCH(C122,'OT 04 - Control Assessment'!$A$16:$A$67,0)),0)</f>
        <v/>
      </c>
      <c r="I122" s="444">
        <f>F122*G122*H122</f>
        <v/>
      </c>
      <c r="J122" s="406" t="inlineStr">
        <is>
          <t>Direct ATT&amp;CK mitigation relationship</t>
        </is>
      </c>
      <c r="K122" s="426" t="inlineStr">
        <is>
          <t>https://attack.mitre.org/techniques/T0860</t>
        </is>
      </c>
      <c r="L122" s="426" t="inlineStr">
        <is>
          <t>https://attack.mitre.org/mitigations/M0802</t>
        </is>
      </c>
      <c r="M122" s="406" t="inlineStr">
        <is>
          <t>Current Power Generation working prior (80%) because ATT&amp;CK establishes mitigation applicability but does not quantify efficacy. Replace with test / incident / SME calibration when available.</t>
        </is>
      </c>
    </row>
    <row r="123" ht="41.25" customHeight="1" s="508">
      <c r="A123" s="406" t="inlineStr">
        <is>
          <t>T0892</t>
        </is>
      </c>
      <c r="B123" s="406" t="inlineStr">
        <is>
          <t>Change Credential</t>
        </is>
      </c>
      <c r="C123" s="406" t="inlineStr">
        <is>
          <t>M0953</t>
        </is>
      </c>
      <c r="D123" s="406" t="inlineStr">
        <is>
          <t>Data Backup</t>
        </is>
      </c>
      <c r="E123" s="406" t="inlineStr">
        <is>
          <t>Recover / Restore</t>
        </is>
      </c>
      <c r="F123" s="417" t="n">
        <v>0.8</v>
      </c>
      <c r="G123" s="444">
        <f>IFERROR(INDEX('OT 04 - Control Assessment'!$I$16:$I$67,MATCH(C123,'OT 04 - Control Assessment'!$A$16:$A$67,0)),0)</f>
        <v/>
      </c>
      <c r="H123" s="444">
        <f>IFERROR(INDEX('OT 04 - Control Assessment'!$J$16:$J$67,MATCH(C123,'OT 04 - Control Assessment'!$A$16:$A$67,0)),0)</f>
        <v/>
      </c>
      <c r="I123" s="444">
        <f>F123*G123*H123</f>
        <v/>
      </c>
      <c r="J123" s="406" t="inlineStr">
        <is>
          <t>Direct ATT&amp;CK mitigation relationship</t>
        </is>
      </c>
      <c r="K123" s="426" t="inlineStr">
        <is>
          <t>https://attack.mitre.org/techniques/T0892</t>
        </is>
      </c>
      <c r="L123" s="426" t="inlineStr">
        <is>
          <t>https://attack.mitre.org/mitigations/M0953</t>
        </is>
      </c>
      <c r="M123" s="406" t="inlineStr">
        <is>
          <t>Current Power Generation working prior (80%) because ATT&amp;CK establishes mitigation applicability but does not quantify efficacy. Replace with test / incident / SME calibration when available.</t>
        </is>
      </c>
    </row>
    <row r="124" ht="41.25" customHeight="1" s="508">
      <c r="A124" s="406" t="inlineStr">
        <is>
          <t>T0809</t>
        </is>
      </c>
      <c r="B124" s="406" t="inlineStr">
        <is>
          <t>Data Destruction</t>
        </is>
      </c>
      <c r="C124" s="406" t="inlineStr">
        <is>
          <t>M0953</t>
        </is>
      </c>
      <c r="D124" s="406" t="inlineStr">
        <is>
          <t>Data Backup</t>
        </is>
      </c>
      <c r="E124" s="406" t="inlineStr">
        <is>
          <t>Recover / Restore</t>
        </is>
      </c>
      <c r="F124" s="417" t="n">
        <v>0.8</v>
      </c>
      <c r="G124" s="444">
        <f>IFERROR(INDEX('OT 04 - Control Assessment'!$I$16:$I$67,MATCH(C124,'OT 04 - Control Assessment'!$A$16:$A$67,0)),0)</f>
        <v/>
      </c>
      <c r="H124" s="444">
        <f>IFERROR(INDEX('OT 04 - Control Assessment'!$J$16:$J$67,MATCH(C124,'OT 04 - Control Assessment'!$A$16:$A$67,0)),0)</f>
        <v/>
      </c>
      <c r="I124" s="444">
        <f>F124*G124*H124</f>
        <v/>
      </c>
      <c r="J124" s="406" t="inlineStr">
        <is>
          <t>Direct ATT&amp;CK mitigation relationship</t>
        </is>
      </c>
      <c r="K124" s="426" t="inlineStr">
        <is>
          <t>https://attack.mitre.org/techniques/T0809</t>
        </is>
      </c>
      <c r="L124" s="426" t="inlineStr">
        <is>
          <t>https://attack.mitre.org/mitigations/M0953</t>
        </is>
      </c>
      <c r="M124" s="406" t="inlineStr">
        <is>
          <t>Current Power Generation working prior (80%) because ATT&amp;CK establishes mitigation applicability but does not quantify efficacy. Replace with test / incident / SME calibration when available.</t>
        </is>
      </c>
    </row>
    <row r="125" ht="41.25" customHeight="1" s="508">
      <c r="A125" s="406" t="inlineStr">
        <is>
          <t>T0813</t>
        </is>
      </c>
      <c r="B125" s="406" t="inlineStr">
        <is>
          <t>Denial of Control</t>
        </is>
      </c>
      <c r="C125" s="406" t="inlineStr">
        <is>
          <t>M0953</t>
        </is>
      </c>
      <c r="D125" s="406" t="inlineStr">
        <is>
          <t>Data Backup</t>
        </is>
      </c>
      <c r="E125" s="406" t="inlineStr">
        <is>
          <t>Recover / Restore</t>
        </is>
      </c>
      <c r="F125" s="417" t="n">
        <v>0.8</v>
      </c>
      <c r="G125" s="444">
        <f>IFERROR(INDEX('OT 04 - Control Assessment'!$I$16:$I$67,MATCH(C125,'OT 04 - Control Assessment'!$A$16:$A$67,0)),0)</f>
        <v/>
      </c>
      <c r="H125" s="444">
        <f>IFERROR(INDEX('OT 04 - Control Assessment'!$J$16:$J$67,MATCH(C125,'OT 04 - Control Assessment'!$A$16:$A$67,0)),0)</f>
        <v/>
      </c>
      <c r="I125" s="444">
        <f>F125*G125*H125</f>
        <v/>
      </c>
      <c r="J125" s="406" t="inlineStr">
        <is>
          <t>Direct ATT&amp;CK mitigation relationship</t>
        </is>
      </c>
      <c r="K125" s="426" t="inlineStr">
        <is>
          <t>https://attack.mitre.org/techniques/T0813</t>
        </is>
      </c>
      <c r="L125" s="426" t="inlineStr">
        <is>
          <t>https://attack.mitre.org/mitigations/M0953</t>
        </is>
      </c>
      <c r="M125" s="406" t="inlineStr">
        <is>
          <t>Current Power Generation working prior (80%) because ATT&amp;CK establishes mitigation applicability but does not quantify efficacy. Replace with test / incident / SME calibration when available.</t>
        </is>
      </c>
    </row>
    <row r="126" ht="41.25" customHeight="1" s="508">
      <c r="A126" s="406" t="inlineStr">
        <is>
          <t>T0815</t>
        </is>
      </c>
      <c r="B126" s="406" t="inlineStr">
        <is>
          <t>Denial of View</t>
        </is>
      </c>
      <c r="C126" s="406" t="inlineStr">
        <is>
          <t>M0953</t>
        </is>
      </c>
      <c r="D126" s="406" t="inlineStr">
        <is>
          <t>Data Backup</t>
        </is>
      </c>
      <c r="E126" s="406" t="inlineStr">
        <is>
          <t>Recover / Restore</t>
        </is>
      </c>
      <c r="F126" s="417" t="n">
        <v>0.8</v>
      </c>
      <c r="G126" s="444">
        <f>IFERROR(INDEX('OT 04 - Control Assessment'!$I$16:$I$67,MATCH(C126,'OT 04 - Control Assessment'!$A$16:$A$67,0)),0)</f>
        <v/>
      </c>
      <c r="H126" s="444">
        <f>IFERROR(INDEX('OT 04 - Control Assessment'!$J$16:$J$67,MATCH(C126,'OT 04 - Control Assessment'!$A$16:$A$67,0)),0)</f>
        <v/>
      </c>
      <c r="I126" s="444">
        <f>F126*G126*H126</f>
        <v/>
      </c>
      <c r="J126" s="406" t="inlineStr">
        <is>
          <t>Direct ATT&amp;CK mitigation relationship</t>
        </is>
      </c>
      <c r="K126" s="426" t="inlineStr">
        <is>
          <t>https://attack.mitre.org/techniques/T0815</t>
        </is>
      </c>
      <c r="L126" s="426" t="inlineStr">
        <is>
          <t>https://attack.mitre.org/mitigations/M0953</t>
        </is>
      </c>
      <c r="M126" s="406" t="inlineStr">
        <is>
          <t>Current Power Generation working prior (80%) because ATT&amp;CK establishes mitigation applicability but does not quantify efficacy. Replace with test / incident / SME calibration when available.</t>
        </is>
      </c>
    </row>
    <row r="127" ht="41.25" customHeight="1" s="508">
      <c r="A127" s="406" t="inlineStr">
        <is>
          <t>T0826</t>
        </is>
      </c>
      <c r="B127" s="406" t="inlineStr">
        <is>
          <t>Loss of Availability</t>
        </is>
      </c>
      <c r="C127" s="406" t="inlineStr">
        <is>
          <t>M0953</t>
        </is>
      </c>
      <c r="D127" s="406" t="inlineStr">
        <is>
          <t>Data Backup</t>
        </is>
      </c>
      <c r="E127" s="406" t="inlineStr">
        <is>
          <t>Recover / Restore</t>
        </is>
      </c>
      <c r="F127" s="417" t="n">
        <v>0.8</v>
      </c>
      <c r="G127" s="444">
        <f>IFERROR(INDEX('OT 04 - Control Assessment'!$I$16:$I$67,MATCH(C127,'OT 04 - Control Assessment'!$A$16:$A$67,0)),0)</f>
        <v/>
      </c>
      <c r="H127" s="444">
        <f>IFERROR(INDEX('OT 04 - Control Assessment'!$J$16:$J$67,MATCH(C127,'OT 04 - Control Assessment'!$A$16:$A$67,0)),0)</f>
        <v/>
      </c>
      <c r="I127" s="444">
        <f>F127*G127*H127</f>
        <v/>
      </c>
      <c r="J127" s="406" t="inlineStr">
        <is>
          <t>Direct ATT&amp;CK mitigation relationship</t>
        </is>
      </c>
      <c r="K127" s="426" t="inlineStr">
        <is>
          <t>https://attack.mitre.org/techniques/T0826</t>
        </is>
      </c>
      <c r="L127" s="426" t="inlineStr">
        <is>
          <t>https://attack.mitre.org/mitigations/M0953</t>
        </is>
      </c>
      <c r="M127" s="406" t="inlineStr">
        <is>
          <t>Current Power Generation working prior (80%) because ATT&amp;CK establishes mitigation applicability but does not quantify efficacy. Replace with test / incident / SME calibration when available.</t>
        </is>
      </c>
    </row>
    <row r="128" ht="41.25" customHeight="1" s="508">
      <c r="A128" s="406" t="inlineStr">
        <is>
          <t>T0827</t>
        </is>
      </c>
      <c r="B128" s="406" t="inlineStr">
        <is>
          <t>Loss of Control</t>
        </is>
      </c>
      <c r="C128" s="406" t="inlineStr">
        <is>
          <t>M0953</t>
        </is>
      </c>
      <c r="D128" s="406" t="inlineStr">
        <is>
          <t>Data Backup</t>
        </is>
      </c>
      <c r="E128" s="406" t="inlineStr">
        <is>
          <t>Recover / Restore</t>
        </is>
      </c>
      <c r="F128" s="417" t="n">
        <v>0.8</v>
      </c>
      <c r="G128" s="444">
        <f>IFERROR(INDEX('OT 04 - Control Assessment'!$I$16:$I$67,MATCH(C128,'OT 04 - Control Assessment'!$A$16:$A$67,0)),0)</f>
        <v/>
      </c>
      <c r="H128" s="444">
        <f>IFERROR(INDEX('OT 04 - Control Assessment'!$J$16:$J$67,MATCH(C128,'OT 04 - Control Assessment'!$A$16:$A$67,0)),0)</f>
        <v/>
      </c>
      <c r="I128" s="444">
        <f>F128*G128*H128</f>
        <v/>
      </c>
      <c r="J128" s="406" t="inlineStr">
        <is>
          <t>Direct ATT&amp;CK mitigation relationship</t>
        </is>
      </c>
      <c r="K128" s="426" t="inlineStr">
        <is>
          <t>https://attack.mitre.org/techniques/T0827</t>
        </is>
      </c>
      <c r="L128" s="426" t="inlineStr">
        <is>
          <t>https://attack.mitre.org/mitigations/M0953</t>
        </is>
      </c>
      <c r="M128" s="406" t="inlineStr">
        <is>
          <t>Current Power Generation working prior (80%) because ATT&amp;CK establishes mitigation applicability but does not quantify efficacy. Replace with test / incident / SME calibration when available.</t>
        </is>
      </c>
    </row>
    <row r="129" ht="41.25" customHeight="1" s="508">
      <c r="A129" s="406" t="inlineStr">
        <is>
          <t>T0828</t>
        </is>
      </c>
      <c r="B129" s="406" t="inlineStr">
        <is>
          <t>Loss of Productivity and Revenue</t>
        </is>
      </c>
      <c r="C129" s="406" t="inlineStr">
        <is>
          <t>M0953</t>
        </is>
      </c>
      <c r="D129" s="406" t="inlineStr">
        <is>
          <t>Data Backup</t>
        </is>
      </c>
      <c r="E129" s="406" t="inlineStr">
        <is>
          <t>Recover / Restore</t>
        </is>
      </c>
      <c r="F129" s="417" t="n">
        <v>0.8</v>
      </c>
      <c r="G129" s="444">
        <f>IFERROR(INDEX('OT 04 - Control Assessment'!$I$16:$I$67,MATCH(C129,'OT 04 - Control Assessment'!$A$16:$A$67,0)),0)</f>
        <v/>
      </c>
      <c r="H129" s="444">
        <f>IFERROR(INDEX('OT 04 - Control Assessment'!$J$16:$J$67,MATCH(C129,'OT 04 - Control Assessment'!$A$16:$A$67,0)),0)</f>
        <v/>
      </c>
      <c r="I129" s="444">
        <f>F129*G129*H129</f>
        <v/>
      </c>
      <c r="J129" s="406" t="inlineStr">
        <is>
          <t>Direct ATT&amp;CK mitigation relationship</t>
        </is>
      </c>
      <c r="K129" s="426" t="inlineStr">
        <is>
          <t>https://attack.mitre.org/techniques/T0828</t>
        </is>
      </c>
      <c r="L129" s="426" t="inlineStr">
        <is>
          <t>https://attack.mitre.org/mitigations/M0953</t>
        </is>
      </c>
      <c r="M129" s="406" t="inlineStr">
        <is>
          <t>Current Power Generation working prior (80%) because ATT&amp;CK establishes mitigation applicability but does not quantify efficacy. Replace with test / incident / SME calibration when available.</t>
        </is>
      </c>
    </row>
    <row r="130" ht="41.25" customHeight="1" s="508">
      <c r="A130" s="406" t="inlineStr">
        <is>
          <t>T0829</t>
        </is>
      </c>
      <c r="B130" s="406" t="inlineStr">
        <is>
          <t>Loss of View</t>
        </is>
      </c>
      <c r="C130" s="406" t="inlineStr">
        <is>
          <t>M0953</t>
        </is>
      </c>
      <c r="D130" s="406" t="inlineStr">
        <is>
          <t>Data Backup</t>
        </is>
      </c>
      <c r="E130" s="406" t="inlineStr">
        <is>
          <t>Recover / Restore</t>
        </is>
      </c>
      <c r="F130" s="417" t="n">
        <v>0.8</v>
      </c>
      <c r="G130" s="444">
        <f>IFERROR(INDEX('OT 04 - Control Assessment'!$I$16:$I$67,MATCH(C130,'OT 04 - Control Assessment'!$A$16:$A$67,0)),0)</f>
        <v/>
      </c>
      <c r="H130" s="444">
        <f>IFERROR(INDEX('OT 04 - Control Assessment'!$J$16:$J$67,MATCH(C130,'OT 04 - Control Assessment'!$A$16:$A$67,0)),0)</f>
        <v/>
      </c>
      <c r="I130" s="444">
        <f>F130*G130*H130</f>
        <v/>
      </c>
      <c r="J130" s="406" t="inlineStr">
        <is>
          <t>Direct ATT&amp;CK mitigation relationship</t>
        </is>
      </c>
      <c r="K130" s="426" t="inlineStr">
        <is>
          <t>https://attack.mitre.org/techniques/T0829</t>
        </is>
      </c>
      <c r="L130" s="426" t="inlineStr">
        <is>
          <t>https://attack.mitre.org/mitigations/M0953</t>
        </is>
      </c>
      <c r="M130" s="406" t="inlineStr">
        <is>
          <t>Current Power Generation working prior (80%) because ATT&amp;CK establishes mitigation applicability but does not quantify efficacy. Replace with test / incident / SME calibration when available.</t>
        </is>
      </c>
    </row>
    <row r="131" ht="41.25" customHeight="1" s="508">
      <c r="A131" s="406" t="inlineStr">
        <is>
          <t>T0831</t>
        </is>
      </c>
      <c r="B131" s="406" t="inlineStr">
        <is>
          <t>Manipulation of Control</t>
        </is>
      </c>
      <c r="C131" s="406" t="inlineStr">
        <is>
          <t>M0953</t>
        </is>
      </c>
      <c r="D131" s="406" t="inlineStr">
        <is>
          <t>Data Backup</t>
        </is>
      </c>
      <c r="E131" s="406" t="inlineStr">
        <is>
          <t>Recover / Restore</t>
        </is>
      </c>
      <c r="F131" s="417" t="n">
        <v>0.8</v>
      </c>
      <c r="G131" s="444">
        <f>IFERROR(INDEX('OT 04 - Control Assessment'!$I$16:$I$67,MATCH(C131,'OT 04 - Control Assessment'!$A$16:$A$67,0)),0)</f>
        <v/>
      </c>
      <c r="H131" s="444">
        <f>IFERROR(INDEX('OT 04 - Control Assessment'!$J$16:$J$67,MATCH(C131,'OT 04 - Control Assessment'!$A$16:$A$67,0)),0)</f>
        <v/>
      </c>
      <c r="I131" s="444">
        <f>F131*G131*H131</f>
        <v/>
      </c>
      <c r="J131" s="406" t="inlineStr">
        <is>
          <t>Direct ATT&amp;CK mitigation relationship</t>
        </is>
      </c>
      <c r="K131" s="426" t="inlineStr">
        <is>
          <t>https://attack.mitre.org/techniques/T0831</t>
        </is>
      </c>
      <c r="L131" s="426" t="inlineStr">
        <is>
          <t>https://attack.mitre.org/mitigations/M0953</t>
        </is>
      </c>
      <c r="M131" s="406" t="inlineStr">
        <is>
          <t>Current Power Generation working prior (80%) because ATT&amp;CK establishes mitigation applicability but does not quantify efficacy. Replace with test / incident / SME calibration when available.</t>
        </is>
      </c>
    </row>
    <row r="132" ht="41.25" customHeight="1" s="508">
      <c r="A132" s="406" t="inlineStr">
        <is>
          <t>T0832</t>
        </is>
      </c>
      <c r="B132" s="406" t="inlineStr">
        <is>
          <t>Manipulation of View</t>
        </is>
      </c>
      <c r="C132" s="406" t="inlineStr">
        <is>
          <t>M0953</t>
        </is>
      </c>
      <c r="D132" s="406" t="inlineStr">
        <is>
          <t>Data Backup</t>
        </is>
      </c>
      <c r="E132" s="406" t="inlineStr">
        <is>
          <t>Recover / Restore</t>
        </is>
      </c>
      <c r="F132" s="417" t="n">
        <v>0.8</v>
      </c>
      <c r="G132" s="444">
        <f>IFERROR(INDEX('OT 04 - Control Assessment'!$I$16:$I$67,MATCH(C132,'OT 04 - Control Assessment'!$A$16:$A$67,0)),0)</f>
        <v/>
      </c>
      <c r="H132" s="444">
        <f>IFERROR(INDEX('OT 04 - Control Assessment'!$J$16:$J$67,MATCH(C132,'OT 04 - Control Assessment'!$A$16:$A$67,0)),0)</f>
        <v/>
      </c>
      <c r="I132" s="444">
        <f>F132*G132*H132</f>
        <v/>
      </c>
      <c r="J132" s="406" t="inlineStr">
        <is>
          <t>Direct ATT&amp;CK mitigation relationship</t>
        </is>
      </c>
      <c r="K132" s="426" t="inlineStr">
        <is>
          <t>https://attack.mitre.org/techniques/T0832</t>
        </is>
      </c>
      <c r="L132" s="426" t="inlineStr">
        <is>
          <t>https://attack.mitre.org/mitigations/M0953</t>
        </is>
      </c>
      <c r="M132" s="406" t="inlineStr">
        <is>
          <t>Current Power Generation working prior (80%) because ATT&amp;CK establishes mitigation applicability but does not quantify efficacy. Replace with test / incident / SME calibration when available.</t>
        </is>
      </c>
    </row>
    <row r="133" ht="41.25" customHeight="1" s="508">
      <c r="A133" s="406" t="inlineStr">
        <is>
          <t>T0893</t>
        </is>
      </c>
      <c r="B133" s="406" t="inlineStr">
        <is>
          <t>Data from Local System</t>
        </is>
      </c>
      <c r="C133" s="406" t="inlineStr">
        <is>
          <t>M0803</t>
        </is>
      </c>
      <c r="D133" s="406" t="inlineStr">
        <is>
          <t>Data Loss Prevention</t>
        </is>
      </c>
      <c r="E133" s="406" t="inlineStr">
        <is>
          <t>Prevent / Resist</t>
        </is>
      </c>
      <c r="F133" s="417" t="n">
        <v>0.8</v>
      </c>
      <c r="G133" s="444">
        <f>IFERROR(INDEX('OT 04 - Control Assessment'!$I$16:$I$67,MATCH(C133,'OT 04 - Control Assessment'!$A$16:$A$67,0)),0)</f>
        <v/>
      </c>
      <c r="H133" s="444">
        <f>IFERROR(INDEX('OT 04 - Control Assessment'!$J$16:$J$67,MATCH(C133,'OT 04 - Control Assessment'!$A$16:$A$67,0)),0)</f>
        <v/>
      </c>
      <c r="I133" s="444">
        <f>F133*G133*H133</f>
        <v/>
      </c>
      <c r="J133" s="406" t="inlineStr">
        <is>
          <t>Direct ATT&amp;CK mitigation relationship</t>
        </is>
      </c>
      <c r="K133" s="426" t="inlineStr">
        <is>
          <t>https://attack.mitre.org/techniques/T0893</t>
        </is>
      </c>
      <c r="L133" s="426" t="inlineStr">
        <is>
          <t>https://attack.mitre.org/mitigations/M0803</t>
        </is>
      </c>
      <c r="M133" s="406" t="inlineStr">
        <is>
          <t>Current Power Generation working prior (80%) because ATT&amp;CK establishes mitigation applicability but does not quantify efficacy. Replace with test / incident / SME calibration when available.</t>
        </is>
      </c>
    </row>
    <row r="134" ht="41.25" customHeight="1" s="508">
      <c r="A134" s="406" t="inlineStr">
        <is>
          <t>T0882</t>
        </is>
      </c>
      <c r="B134" s="406" t="inlineStr">
        <is>
          <t>Theft of Operational Information</t>
        </is>
      </c>
      <c r="C134" s="406" t="inlineStr">
        <is>
          <t>M0803</t>
        </is>
      </c>
      <c r="D134" s="406" t="inlineStr">
        <is>
          <t>Data Loss Prevention</t>
        </is>
      </c>
      <c r="E134" s="406" t="inlineStr">
        <is>
          <t>Prevent / Resist</t>
        </is>
      </c>
      <c r="F134" s="417" t="n">
        <v>0.8</v>
      </c>
      <c r="G134" s="444">
        <f>IFERROR(INDEX('OT 04 - Control Assessment'!$I$16:$I$67,MATCH(C134,'OT 04 - Control Assessment'!$A$16:$A$67,0)),0)</f>
        <v/>
      </c>
      <c r="H134" s="444">
        <f>IFERROR(INDEX('OT 04 - Control Assessment'!$J$16:$J$67,MATCH(C134,'OT 04 - Control Assessment'!$A$16:$A$67,0)),0)</f>
        <v/>
      </c>
      <c r="I134" s="444">
        <f>F134*G134*H134</f>
        <v/>
      </c>
      <c r="J134" s="406" t="inlineStr">
        <is>
          <t>Direct ATT&amp;CK mitigation relationship</t>
        </is>
      </c>
      <c r="K134" s="426" t="inlineStr">
        <is>
          <t>https://attack.mitre.org/techniques/T0882</t>
        </is>
      </c>
      <c r="L134" s="426" t="inlineStr">
        <is>
          <t>https://attack.mitre.org/mitigations/M0803</t>
        </is>
      </c>
      <c r="M134" s="406" t="inlineStr">
        <is>
          <t>Current Power Generation working prior (80%) because ATT&amp;CK establishes mitigation applicability but does not quantify efficacy. Replace with test / incident / SME calibration when available.</t>
        </is>
      </c>
    </row>
    <row r="135" ht="41.25" customHeight="1" s="508">
      <c r="A135" s="406" t="inlineStr">
        <is>
          <t>T0830</t>
        </is>
      </c>
      <c r="B135" s="406" t="inlineStr">
        <is>
          <t>Adversary-in-the-Middle</t>
        </is>
      </c>
      <c r="C135" s="406" t="inlineStr">
        <is>
          <t>M0942</t>
        </is>
      </c>
      <c r="D135" s="406" t="inlineStr">
        <is>
          <t>Disable or Remove Feature or Program</t>
        </is>
      </c>
      <c r="E135" s="406" t="inlineStr">
        <is>
          <t>Prevent / Resist</t>
        </is>
      </c>
      <c r="F135" s="417" t="n">
        <v>0.8</v>
      </c>
      <c r="G135" s="444">
        <f>IFERROR(INDEX('OT 04 - Control Assessment'!$I$16:$I$67,MATCH(C135,'OT 04 - Control Assessment'!$A$16:$A$67,0)),0)</f>
        <v/>
      </c>
      <c r="H135" s="444">
        <f>IFERROR(INDEX('OT 04 - Control Assessment'!$J$16:$J$67,MATCH(C135,'OT 04 - Control Assessment'!$A$16:$A$67,0)),0)</f>
        <v/>
      </c>
      <c r="I135" s="444">
        <f>F135*G135*H135</f>
        <v/>
      </c>
      <c r="J135" s="406" t="inlineStr">
        <is>
          <t>Direct ATT&amp;CK mitigation relationship</t>
        </is>
      </c>
      <c r="K135" s="426" t="inlineStr">
        <is>
          <t>https://attack.mitre.org/techniques/T0830</t>
        </is>
      </c>
      <c r="L135" s="426" t="inlineStr">
        <is>
          <t>https://attack.mitre.org/mitigations/M0942</t>
        </is>
      </c>
      <c r="M135" s="406" t="inlineStr">
        <is>
          <t>Current Power Generation working prior (80%) because ATT&amp;CK establishes mitigation applicability but does not quantify efficacy. Replace with test / incident / SME calibration when available.</t>
        </is>
      </c>
    </row>
    <row r="136" ht="41.25" customHeight="1" s="508">
      <c r="A136" s="406" t="inlineStr">
        <is>
          <t>T0807</t>
        </is>
      </c>
      <c r="B136" s="406" t="inlineStr">
        <is>
          <t>Command-Line Interface</t>
        </is>
      </c>
      <c r="C136" s="406" t="inlineStr">
        <is>
          <t>M0942</t>
        </is>
      </c>
      <c r="D136" s="406" t="inlineStr">
        <is>
          <t>Disable or Remove Feature or Program</t>
        </is>
      </c>
      <c r="E136" s="406" t="inlineStr">
        <is>
          <t>Prevent / Resist</t>
        </is>
      </c>
      <c r="F136" s="417" t="n">
        <v>0.8</v>
      </c>
      <c r="G136" s="444">
        <f>IFERROR(INDEX('OT 04 - Control Assessment'!$I$16:$I$67,MATCH(C136,'OT 04 - Control Assessment'!$A$16:$A$67,0)),0)</f>
        <v/>
      </c>
      <c r="H136" s="444">
        <f>IFERROR(INDEX('OT 04 - Control Assessment'!$J$16:$J$67,MATCH(C136,'OT 04 - Control Assessment'!$A$16:$A$67,0)),0)</f>
        <v/>
      </c>
      <c r="I136" s="444">
        <f>F136*G136*H136</f>
        <v/>
      </c>
      <c r="J136" s="406" t="inlineStr">
        <is>
          <t>Direct ATT&amp;CK mitigation relationship</t>
        </is>
      </c>
      <c r="K136" s="426" t="inlineStr">
        <is>
          <t>https://attack.mitre.org/techniques/T0807</t>
        </is>
      </c>
      <c r="L136" s="426" t="inlineStr">
        <is>
          <t>https://attack.mitre.org/mitigations/M0942</t>
        </is>
      </c>
      <c r="M136" s="406" t="inlineStr">
        <is>
          <t>Current Power Generation working prior (80%) because ATT&amp;CK establishes mitigation applicability but does not quantify efficacy. Replace with test / incident / SME calibration when available.</t>
        </is>
      </c>
    </row>
    <row r="137" ht="41.25" customHeight="1" s="508">
      <c r="A137" s="406" t="inlineStr">
        <is>
          <t>T0885</t>
        </is>
      </c>
      <c r="B137" s="406" t="inlineStr">
        <is>
          <t>Commonly Used Port</t>
        </is>
      </c>
      <c r="C137" s="406" t="inlineStr">
        <is>
          <t>M0942</t>
        </is>
      </c>
      <c r="D137" s="406" t="inlineStr">
        <is>
          <t>Disable or Remove Feature or Program</t>
        </is>
      </c>
      <c r="E137" s="406" t="inlineStr">
        <is>
          <t>Prevent / Resist</t>
        </is>
      </c>
      <c r="F137" s="417" t="n">
        <v>0.8</v>
      </c>
      <c r="G137" s="444">
        <f>IFERROR(INDEX('OT 04 - Control Assessment'!$I$16:$I$67,MATCH(C137,'OT 04 - Control Assessment'!$A$16:$A$67,0)),0)</f>
        <v/>
      </c>
      <c r="H137" s="444">
        <f>IFERROR(INDEX('OT 04 - Control Assessment'!$J$16:$J$67,MATCH(C137,'OT 04 - Control Assessment'!$A$16:$A$67,0)),0)</f>
        <v/>
      </c>
      <c r="I137" s="444">
        <f>F137*G137*H137</f>
        <v/>
      </c>
      <c r="J137" s="406" t="inlineStr">
        <is>
          <t>Direct ATT&amp;CK mitigation relationship</t>
        </is>
      </c>
      <c r="K137" s="426" t="inlineStr">
        <is>
          <t>https://attack.mitre.org/techniques/T0885</t>
        </is>
      </c>
      <c r="L137" s="426" t="inlineStr">
        <is>
          <t>https://attack.mitre.org/mitigations/M0942</t>
        </is>
      </c>
      <c r="M137" s="406" t="inlineStr">
        <is>
          <t>Current Power Generation working prior (80%) because ATT&amp;CK establishes mitigation applicability but does not quantify efficacy. Replace with test / incident / SME calibration when available.</t>
        </is>
      </c>
    </row>
    <row r="138" ht="41.25" customHeight="1" s="508">
      <c r="A138" s="406" t="inlineStr">
        <is>
          <t>T0816</t>
        </is>
      </c>
      <c r="B138" s="406" t="inlineStr">
        <is>
          <t>Device Restart/Shutdown</t>
        </is>
      </c>
      <c r="C138" s="406" t="inlineStr">
        <is>
          <t>M0942</t>
        </is>
      </c>
      <c r="D138" s="406" t="inlineStr">
        <is>
          <t>Disable or Remove Feature or Program</t>
        </is>
      </c>
      <c r="E138" s="406" t="inlineStr">
        <is>
          <t>Prevent / Resist</t>
        </is>
      </c>
      <c r="F138" s="417" t="n">
        <v>0.8</v>
      </c>
      <c r="G138" s="444">
        <f>IFERROR(INDEX('OT 04 - Control Assessment'!$I$16:$I$67,MATCH(C138,'OT 04 - Control Assessment'!$A$16:$A$67,0)),0)</f>
        <v/>
      </c>
      <c r="H138" s="444">
        <f>IFERROR(INDEX('OT 04 - Control Assessment'!$J$16:$J$67,MATCH(C138,'OT 04 - Control Assessment'!$A$16:$A$67,0)),0)</f>
        <v/>
      </c>
      <c r="I138" s="444">
        <f>F138*G138*H138</f>
        <v/>
      </c>
      <c r="J138" s="406" t="inlineStr">
        <is>
          <t>Direct ATT&amp;CK mitigation relationship</t>
        </is>
      </c>
      <c r="K138" s="426" t="inlineStr">
        <is>
          <t>https://attack.mitre.org/techniques/T0816</t>
        </is>
      </c>
      <c r="L138" s="426" t="inlineStr">
        <is>
          <t>https://attack.mitre.org/mitigations/M0942</t>
        </is>
      </c>
      <c r="M138" s="406" t="inlineStr">
        <is>
          <t>Current Power Generation working prior (80%) because ATT&amp;CK establishes mitigation applicability but does not quantify efficacy. Replace with test / incident / SME calibration when available.</t>
        </is>
      </c>
    </row>
    <row r="139" ht="41.25" customHeight="1" s="508">
      <c r="A139" s="406" t="inlineStr">
        <is>
          <t>T0866</t>
        </is>
      </c>
      <c r="B139" s="406" t="inlineStr">
        <is>
          <t>Exploitation of Remote Services</t>
        </is>
      </c>
      <c r="C139" s="406" t="inlineStr">
        <is>
          <t>M0942</t>
        </is>
      </c>
      <c r="D139" s="406" t="inlineStr">
        <is>
          <t>Disable or Remove Feature or Program</t>
        </is>
      </c>
      <c r="E139" s="406" t="inlineStr">
        <is>
          <t>Prevent / Resist</t>
        </is>
      </c>
      <c r="F139" s="417" t="n">
        <v>0.8</v>
      </c>
      <c r="G139" s="444">
        <f>IFERROR(INDEX('OT 04 - Control Assessment'!$I$16:$I$67,MATCH(C139,'OT 04 - Control Assessment'!$A$16:$A$67,0)),0)</f>
        <v/>
      </c>
      <c r="H139" s="444">
        <f>IFERROR(INDEX('OT 04 - Control Assessment'!$J$16:$J$67,MATCH(C139,'OT 04 - Control Assessment'!$A$16:$A$67,0)),0)</f>
        <v/>
      </c>
      <c r="I139" s="444">
        <f>F139*G139*H139</f>
        <v/>
      </c>
      <c r="J139" s="406" t="inlineStr">
        <is>
          <t>Direct ATT&amp;CK mitigation relationship</t>
        </is>
      </c>
      <c r="K139" s="426" t="inlineStr">
        <is>
          <t>https://attack.mitre.org/techniques/T0866</t>
        </is>
      </c>
      <c r="L139" s="426" t="inlineStr">
        <is>
          <t>https://attack.mitre.org/mitigations/M0942</t>
        </is>
      </c>
      <c r="M139" s="406" t="inlineStr">
        <is>
          <t>Current Power Generation working prior (80%) because ATT&amp;CK establishes mitigation applicability but does not quantify efficacy. Replace with test / incident / SME calibration when available.</t>
        </is>
      </c>
    </row>
    <row r="140" ht="41.25" customHeight="1" s="508">
      <c r="A140" s="406" t="inlineStr">
        <is>
          <t>T0822</t>
        </is>
      </c>
      <c r="B140" s="406" t="inlineStr">
        <is>
          <t>External Remote Services</t>
        </is>
      </c>
      <c r="C140" s="406" t="inlineStr">
        <is>
          <t>M0942</t>
        </is>
      </c>
      <c r="D140" s="406" t="inlineStr">
        <is>
          <t>Disable or Remove Feature or Program</t>
        </is>
      </c>
      <c r="E140" s="406" t="inlineStr">
        <is>
          <t>Prevent / Resist</t>
        </is>
      </c>
      <c r="F140" s="417" t="n">
        <v>0.8</v>
      </c>
      <c r="G140" s="444">
        <f>IFERROR(INDEX('OT 04 - Control Assessment'!$I$16:$I$67,MATCH(C140,'OT 04 - Control Assessment'!$A$16:$A$67,0)),0)</f>
        <v/>
      </c>
      <c r="H140" s="444">
        <f>IFERROR(INDEX('OT 04 - Control Assessment'!$J$16:$J$67,MATCH(C140,'OT 04 - Control Assessment'!$A$16:$A$67,0)),0)</f>
        <v/>
      </c>
      <c r="I140" s="444">
        <f>F140*G140*H140</f>
        <v/>
      </c>
      <c r="J140" s="406" t="inlineStr">
        <is>
          <t>Direct ATT&amp;CK mitigation relationship</t>
        </is>
      </c>
      <c r="K140" s="426" t="inlineStr">
        <is>
          <t>https://attack.mitre.org/techniques/T0822</t>
        </is>
      </c>
      <c r="L140" s="426" t="inlineStr">
        <is>
          <t>https://attack.mitre.org/mitigations/M0942</t>
        </is>
      </c>
      <c r="M140" s="406" t="inlineStr">
        <is>
          <t>Current Power Generation working prior (80%) because ATT&amp;CK establishes mitigation applicability but does not quantify efficacy. Replace with test / incident / SME calibration when available.</t>
        </is>
      </c>
    </row>
    <row r="141" ht="41.25" customHeight="1" s="508">
      <c r="A141" s="406" t="inlineStr">
        <is>
          <t>T0847</t>
        </is>
      </c>
      <c r="B141" s="406" t="inlineStr">
        <is>
          <t>Replication Through Removable Media</t>
        </is>
      </c>
      <c r="C141" s="406" t="inlineStr">
        <is>
          <t>M0942</t>
        </is>
      </c>
      <c r="D141" s="406" t="inlineStr">
        <is>
          <t>Disable or Remove Feature or Program</t>
        </is>
      </c>
      <c r="E141" s="406" t="inlineStr">
        <is>
          <t>Prevent / Resist</t>
        </is>
      </c>
      <c r="F141" s="417" t="n">
        <v>0.8</v>
      </c>
      <c r="G141" s="444">
        <f>IFERROR(INDEX('OT 04 - Control Assessment'!$I$16:$I$67,MATCH(C141,'OT 04 - Control Assessment'!$A$16:$A$67,0)),0)</f>
        <v/>
      </c>
      <c r="H141" s="444">
        <f>IFERROR(INDEX('OT 04 - Control Assessment'!$J$16:$J$67,MATCH(C141,'OT 04 - Control Assessment'!$A$16:$A$67,0)),0)</f>
        <v/>
      </c>
      <c r="I141" s="444">
        <f>F141*G141*H141</f>
        <v/>
      </c>
      <c r="J141" s="406" t="inlineStr">
        <is>
          <t>Direct ATT&amp;CK mitigation relationship</t>
        </is>
      </c>
      <c r="K141" s="426" t="inlineStr">
        <is>
          <t>https://attack.mitre.org/techniques/T0847</t>
        </is>
      </c>
      <c r="L141" s="426" t="inlineStr">
        <is>
          <t>https://attack.mitre.org/mitigations/M0942</t>
        </is>
      </c>
      <c r="M141" s="406" t="inlineStr">
        <is>
          <t>Current Power Generation working prior (80%) because ATT&amp;CK establishes mitigation applicability but does not quantify efficacy. Replace with test / incident / SME calibration when available.</t>
        </is>
      </c>
    </row>
    <row r="142" ht="41.25" customHeight="1" s="508">
      <c r="A142" s="406" t="inlineStr">
        <is>
          <t>T0853</t>
        </is>
      </c>
      <c r="B142" s="406" t="inlineStr">
        <is>
          <t>Scripting</t>
        </is>
      </c>
      <c r="C142" s="406" t="inlineStr">
        <is>
          <t>M0942</t>
        </is>
      </c>
      <c r="D142" s="406" t="inlineStr">
        <is>
          <t>Disable or Remove Feature or Program</t>
        </is>
      </c>
      <c r="E142" s="406" t="inlineStr">
        <is>
          <t>Prevent / Resist</t>
        </is>
      </c>
      <c r="F142" s="417" t="n">
        <v>0.8</v>
      </c>
      <c r="G142" s="444">
        <f>IFERROR(INDEX('OT 04 - Control Assessment'!$I$16:$I$67,MATCH(C142,'OT 04 - Control Assessment'!$A$16:$A$67,0)),0)</f>
        <v/>
      </c>
      <c r="H142" s="444">
        <f>IFERROR(INDEX('OT 04 - Control Assessment'!$J$16:$J$67,MATCH(C142,'OT 04 - Control Assessment'!$A$16:$A$67,0)),0)</f>
        <v/>
      </c>
      <c r="I142" s="444">
        <f>F142*G142*H142</f>
        <v/>
      </c>
      <c r="J142" s="406" t="inlineStr">
        <is>
          <t>Direct ATT&amp;CK mitigation relationship</t>
        </is>
      </c>
      <c r="K142" s="426" t="inlineStr">
        <is>
          <t>https://attack.mitre.org/techniques/T0853</t>
        </is>
      </c>
      <c r="L142" s="426" t="inlineStr">
        <is>
          <t>https://attack.mitre.org/mitigations/M0942</t>
        </is>
      </c>
      <c r="M142" s="406" t="inlineStr">
        <is>
          <t>Current Power Generation working prior (80%) because ATT&amp;CK establishes mitigation applicability but does not quantify efficacy. Replace with test / incident / SME calibration when available.</t>
        </is>
      </c>
    </row>
    <row r="143" ht="41.25" customHeight="1" s="508">
      <c r="A143" s="406" t="inlineStr">
        <is>
          <t>T1693</t>
        </is>
      </c>
      <c r="B143" s="406" t="inlineStr">
        <is>
          <t>Modify Firmware</t>
        </is>
      </c>
      <c r="C143" s="406" t="inlineStr">
        <is>
          <t>M0808</t>
        </is>
      </c>
      <c r="D143" s="406" t="inlineStr">
        <is>
          <t>Encrypt Network Traffic</t>
        </is>
      </c>
      <c r="E143" s="406" t="inlineStr">
        <is>
          <t>Prevent / Resist</t>
        </is>
      </c>
      <c r="F143" s="417" t="n">
        <v>0.8</v>
      </c>
      <c r="G143" s="444">
        <f>IFERROR(INDEX('OT 04 - Control Assessment'!$I$16:$I$67,MATCH(C143,'OT 04 - Control Assessment'!$A$16:$A$67,0)),0)</f>
        <v/>
      </c>
      <c r="H143" s="444">
        <f>IFERROR(INDEX('OT 04 - Control Assessment'!$J$16:$J$67,MATCH(C143,'OT 04 - Control Assessment'!$A$16:$A$67,0)),0)</f>
        <v/>
      </c>
      <c r="I143" s="444">
        <f>F143*G143*H143</f>
        <v/>
      </c>
      <c r="J143" s="406" t="inlineStr">
        <is>
          <t>Direct ATT&amp;CK mitigation relationship</t>
        </is>
      </c>
      <c r="K143" s="426" t="inlineStr">
        <is>
          <t>https://attack.mitre.org/techniques/T1693</t>
        </is>
      </c>
      <c r="L143" s="426" t="inlineStr">
        <is>
          <t>https://attack.mitre.org/mitigations/M0808</t>
        </is>
      </c>
      <c r="M143" s="406" t="inlineStr">
        <is>
          <t>Current Power Generation working prior (80%) because ATT&amp;CK establishes mitigation applicability but does not quantify efficacy. Replace with test / incident / SME calibration when available.</t>
        </is>
      </c>
    </row>
    <row r="144" ht="41.25" customHeight="1" s="508">
      <c r="A144" s="406" t="inlineStr">
        <is>
          <t>T1693.002</t>
        </is>
      </c>
      <c r="B144" s="406" t="inlineStr">
        <is>
          <t>Module Firmware</t>
        </is>
      </c>
      <c r="C144" s="406" t="inlineStr">
        <is>
          <t>M0808</t>
        </is>
      </c>
      <c r="D144" s="406" t="inlineStr">
        <is>
          <t>Encrypt Network Traffic</t>
        </is>
      </c>
      <c r="E144" s="406" t="inlineStr">
        <is>
          <t>Prevent / Resist</t>
        </is>
      </c>
      <c r="F144" s="417" t="n">
        <v>0.8</v>
      </c>
      <c r="G144" s="444">
        <f>IFERROR(INDEX('OT 04 - Control Assessment'!$I$16:$I$67,MATCH(C144,'OT 04 - Control Assessment'!$A$16:$A$67,0)),0)</f>
        <v/>
      </c>
      <c r="H144" s="444">
        <f>IFERROR(INDEX('OT 04 - Control Assessment'!$J$16:$J$67,MATCH(C144,'OT 04 - Control Assessment'!$A$16:$A$67,0)),0)</f>
        <v/>
      </c>
      <c r="I144" s="444">
        <f>F144*G144*H144</f>
        <v/>
      </c>
      <c r="J144" s="406" t="inlineStr">
        <is>
          <t>Direct ATT&amp;CK mitigation relationship</t>
        </is>
      </c>
      <c r="K144" s="426" t="inlineStr">
        <is>
          <t>https://attack.mitre.org/techniques/T1693/002</t>
        </is>
      </c>
      <c r="L144" s="426" t="inlineStr">
        <is>
          <t>https://attack.mitre.org/mitigations/M0808</t>
        </is>
      </c>
      <c r="M144" s="406" t="inlineStr">
        <is>
          <t>Current Power Generation working prior (80%) because ATT&amp;CK establishes mitigation applicability but does not quantify efficacy. Replace with test / incident / SME calibration when available.</t>
        </is>
      </c>
    </row>
    <row r="145" ht="41.25" customHeight="1" s="508">
      <c r="A145" s="406" t="inlineStr">
        <is>
          <t>T0842</t>
        </is>
      </c>
      <c r="B145" s="406" t="inlineStr">
        <is>
          <t>Network Sniffing</t>
        </is>
      </c>
      <c r="C145" s="406" t="inlineStr">
        <is>
          <t>M0808</t>
        </is>
      </c>
      <c r="D145" s="406" t="inlineStr">
        <is>
          <t>Encrypt Network Traffic</t>
        </is>
      </c>
      <c r="E145" s="406" t="inlineStr">
        <is>
          <t>Prevent / Resist</t>
        </is>
      </c>
      <c r="F145" s="417" t="n">
        <v>0.8</v>
      </c>
      <c r="G145" s="444">
        <f>IFERROR(INDEX('OT 04 - Control Assessment'!$I$16:$I$67,MATCH(C145,'OT 04 - Control Assessment'!$A$16:$A$67,0)),0)</f>
        <v/>
      </c>
      <c r="H145" s="444">
        <f>IFERROR(INDEX('OT 04 - Control Assessment'!$J$16:$J$67,MATCH(C145,'OT 04 - Control Assessment'!$A$16:$A$67,0)),0)</f>
        <v/>
      </c>
      <c r="I145" s="444">
        <f>F145*G145*H145</f>
        <v/>
      </c>
      <c r="J145" s="406" t="inlineStr">
        <is>
          <t>Direct ATT&amp;CK mitigation relationship</t>
        </is>
      </c>
      <c r="K145" s="426" t="inlineStr">
        <is>
          <t>https://attack.mitre.org/techniques/T0842</t>
        </is>
      </c>
      <c r="L145" s="426" t="inlineStr">
        <is>
          <t>https://attack.mitre.org/mitigations/M0808</t>
        </is>
      </c>
      <c r="M145" s="406" t="inlineStr">
        <is>
          <t>Current Power Generation working prior (80%) because ATT&amp;CK establishes mitigation applicability but does not quantify efficacy. Replace with test / incident / SME calibration when available.</t>
        </is>
      </c>
    </row>
    <row r="146" ht="41.25" customHeight="1" s="508">
      <c r="A146" s="406" t="inlineStr">
        <is>
          <t>T1693.001</t>
        </is>
      </c>
      <c r="B146" s="406" t="inlineStr">
        <is>
          <t>System Firmware</t>
        </is>
      </c>
      <c r="C146" s="406" t="inlineStr">
        <is>
          <t>M0808</t>
        </is>
      </c>
      <c r="D146" s="406" t="inlineStr">
        <is>
          <t>Encrypt Network Traffic</t>
        </is>
      </c>
      <c r="E146" s="406" t="inlineStr">
        <is>
          <t>Prevent / Resist</t>
        </is>
      </c>
      <c r="F146" s="417" t="n">
        <v>0.8</v>
      </c>
      <c r="G146" s="444">
        <f>IFERROR(INDEX('OT 04 - Control Assessment'!$I$16:$I$67,MATCH(C146,'OT 04 - Control Assessment'!$A$16:$A$67,0)),0)</f>
        <v/>
      </c>
      <c r="H146" s="444">
        <f>IFERROR(INDEX('OT 04 - Control Assessment'!$J$16:$J$67,MATCH(C146,'OT 04 - Control Assessment'!$A$16:$A$67,0)),0)</f>
        <v/>
      </c>
      <c r="I146" s="444">
        <f>F146*G146*H146</f>
        <v/>
      </c>
      <c r="J146" s="406" t="inlineStr">
        <is>
          <t>Direct ATT&amp;CK mitigation relationship</t>
        </is>
      </c>
      <c r="K146" s="426" t="inlineStr">
        <is>
          <t>https://attack.mitre.org/techniques/T1693/001</t>
        </is>
      </c>
      <c r="L146" s="426" t="inlineStr">
        <is>
          <t>https://attack.mitre.org/mitigations/M0808</t>
        </is>
      </c>
      <c r="M146" s="406" t="inlineStr">
        <is>
          <t>Current Power Generation working prior (80%) because ATT&amp;CK establishes mitigation applicability but does not quantify efficacy. Replace with test / incident / SME calibration when available.</t>
        </is>
      </c>
    </row>
    <row r="147" ht="41.25" customHeight="1" s="508">
      <c r="A147" s="406" t="inlineStr">
        <is>
          <t>T0860</t>
        </is>
      </c>
      <c r="B147" s="406" t="inlineStr">
        <is>
          <t>Wireless Compromise</t>
        </is>
      </c>
      <c r="C147" s="406" t="inlineStr">
        <is>
          <t>M0808</t>
        </is>
      </c>
      <c r="D147" s="406" t="inlineStr">
        <is>
          <t>Encrypt Network Traffic</t>
        </is>
      </c>
      <c r="E147" s="406" t="inlineStr">
        <is>
          <t>Prevent / Resist</t>
        </is>
      </c>
      <c r="F147" s="417" t="n">
        <v>0.8</v>
      </c>
      <c r="G147" s="444">
        <f>IFERROR(INDEX('OT 04 - Control Assessment'!$I$16:$I$67,MATCH(C147,'OT 04 - Control Assessment'!$A$16:$A$67,0)),0)</f>
        <v/>
      </c>
      <c r="H147" s="444">
        <f>IFERROR(INDEX('OT 04 - Control Assessment'!$J$16:$J$67,MATCH(C147,'OT 04 - Control Assessment'!$A$16:$A$67,0)),0)</f>
        <v/>
      </c>
      <c r="I147" s="444">
        <f>F147*G147*H147</f>
        <v/>
      </c>
      <c r="J147" s="406" t="inlineStr">
        <is>
          <t>Direct ATT&amp;CK mitigation relationship</t>
        </is>
      </c>
      <c r="K147" s="426" t="inlineStr">
        <is>
          <t>https://attack.mitre.org/techniques/T0860</t>
        </is>
      </c>
      <c r="L147" s="426" t="inlineStr">
        <is>
          <t>https://attack.mitre.org/mitigations/M0808</t>
        </is>
      </c>
      <c r="M147" s="406" t="inlineStr">
        <is>
          <t>Current Power Generation working prior (80%) because ATT&amp;CK establishes mitigation applicability but does not quantify efficacy. Replace with test / incident / SME calibration when available.</t>
        </is>
      </c>
    </row>
    <row r="148" ht="41.25" customHeight="1" s="508">
      <c r="A148" s="406" t="inlineStr">
        <is>
          <t>T0887</t>
        </is>
      </c>
      <c r="B148" s="406" t="inlineStr">
        <is>
          <t>Wireless Sniffing</t>
        </is>
      </c>
      <c r="C148" s="406" t="inlineStr">
        <is>
          <t>M0808</t>
        </is>
      </c>
      <c r="D148" s="406" t="inlineStr">
        <is>
          <t>Encrypt Network Traffic</t>
        </is>
      </c>
      <c r="E148" s="406" t="inlineStr">
        <is>
          <t>Prevent / Resist</t>
        </is>
      </c>
      <c r="F148" s="417" t="n">
        <v>0.8</v>
      </c>
      <c r="G148" s="444">
        <f>IFERROR(INDEX('OT 04 - Control Assessment'!$I$16:$I$67,MATCH(C148,'OT 04 - Control Assessment'!$A$16:$A$67,0)),0)</f>
        <v/>
      </c>
      <c r="H148" s="444">
        <f>IFERROR(INDEX('OT 04 - Control Assessment'!$J$16:$J$67,MATCH(C148,'OT 04 - Control Assessment'!$A$16:$A$67,0)),0)</f>
        <v/>
      </c>
      <c r="I148" s="444">
        <f>F148*G148*H148</f>
        <v/>
      </c>
      <c r="J148" s="406" t="inlineStr">
        <is>
          <t>Direct ATT&amp;CK mitigation relationship</t>
        </is>
      </c>
      <c r="K148" s="426" t="inlineStr">
        <is>
          <t>https://attack.mitre.org/techniques/T0887</t>
        </is>
      </c>
      <c r="L148" s="426" t="inlineStr">
        <is>
          <t>https://attack.mitre.org/mitigations/M0808</t>
        </is>
      </c>
      <c r="M148" s="406" t="inlineStr">
        <is>
          <t>Current Power Generation working prior (80%) because ATT&amp;CK establishes mitigation applicability but does not quantify efficacy. Replace with test / incident / SME calibration when available.</t>
        </is>
      </c>
    </row>
    <row r="149" ht="41.25" customHeight="1" s="508">
      <c r="A149" s="406" t="inlineStr">
        <is>
          <t>T0811</t>
        </is>
      </c>
      <c r="B149" s="406" t="inlineStr">
        <is>
          <t>Data from Information Repositories</t>
        </is>
      </c>
      <c r="C149" s="406" t="inlineStr">
        <is>
          <t>M0941</t>
        </is>
      </c>
      <c r="D149" s="406" t="inlineStr">
        <is>
          <t>Encrypt Sensitive Information</t>
        </is>
      </c>
      <c r="E149" s="406" t="inlineStr">
        <is>
          <t>Prevent / Resist</t>
        </is>
      </c>
      <c r="F149" s="417" t="n">
        <v>0.8</v>
      </c>
      <c r="G149" s="444">
        <f>IFERROR(INDEX('OT 04 - Control Assessment'!$I$16:$I$67,MATCH(C149,'OT 04 - Control Assessment'!$A$16:$A$67,0)),0)</f>
        <v/>
      </c>
      <c r="H149" s="444">
        <f>IFERROR(INDEX('OT 04 - Control Assessment'!$J$16:$J$67,MATCH(C149,'OT 04 - Control Assessment'!$A$16:$A$67,0)),0)</f>
        <v/>
      </c>
      <c r="I149" s="444">
        <f>F149*G149*H149</f>
        <v/>
      </c>
      <c r="J149" s="406" t="inlineStr">
        <is>
          <t>Direct ATT&amp;CK mitigation relationship</t>
        </is>
      </c>
      <c r="K149" s="426" t="inlineStr">
        <is>
          <t>https://attack.mitre.org/techniques/T0811</t>
        </is>
      </c>
      <c r="L149" s="426" t="inlineStr">
        <is>
          <t>https://attack.mitre.org/mitigations/M0941</t>
        </is>
      </c>
      <c r="M149" s="406" t="inlineStr">
        <is>
          <t>Current Power Generation working prior (80%) because ATT&amp;CK establishes mitigation applicability but does not quantify efficacy. Replace with test / incident / SME calibration when available.</t>
        </is>
      </c>
    </row>
    <row r="150" ht="41.25" customHeight="1" s="508">
      <c r="A150" s="406" t="inlineStr">
        <is>
          <t>T0893</t>
        </is>
      </c>
      <c r="B150" s="406" t="inlineStr">
        <is>
          <t>Data from Local System</t>
        </is>
      </c>
      <c r="C150" s="406" t="inlineStr">
        <is>
          <t>M0941</t>
        </is>
      </c>
      <c r="D150" s="406" t="inlineStr">
        <is>
          <t>Encrypt Sensitive Information</t>
        </is>
      </c>
      <c r="E150" s="406" t="inlineStr">
        <is>
          <t>Prevent / Resist</t>
        </is>
      </c>
      <c r="F150" s="417" t="n">
        <v>0.8</v>
      </c>
      <c r="G150" s="444">
        <f>IFERROR(INDEX('OT 04 - Control Assessment'!$I$16:$I$67,MATCH(C150,'OT 04 - Control Assessment'!$A$16:$A$67,0)),0)</f>
        <v/>
      </c>
      <c r="H150" s="444">
        <f>IFERROR(INDEX('OT 04 - Control Assessment'!$J$16:$J$67,MATCH(C150,'OT 04 - Control Assessment'!$A$16:$A$67,0)),0)</f>
        <v/>
      </c>
      <c r="I150" s="444">
        <f>F150*G150*H150</f>
        <v/>
      </c>
      <c r="J150" s="406" t="inlineStr">
        <is>
          <t>Direct ATT&amp;CK mitigation relationship</t>
        </is>
      </c>
      <c r="K150" s="426" t="inlineStr">
        <is>
          <t>https://attack.mitre.org/techniques/T0893</t>
        </is>
      </c>
      <c r="L150" s="426" t="inlineStr">
        <is>
          <t>https://attack.mitre.org/mitigations/M0941</t>
        </is>
      </c>
      <c r="M150" s="406" t="inlineStr">
        <is>
          <t>Current Power Generation working prior (80%) because ATT&amp;CK establishes mitigation applicability but does not quantify efficacy. Replace with test / incident / SME calibration when available.</t>
        </is>
      </c>
    </row>
    <row r="151" ht="41.25" customHeight="1" s="508">
      <c r="A151" s="406" t="inlineStr">
        <is>
          <t>T1693</t>
        </is>
      </c>
      <c r="B151" s="406" t="inlineStr">
        <is>
          <t>Modify Firmware</t>
        </is>
      </c>
      <c r="C151" s="406" t="inlineStr">
        <is>
          <t>M0941</t>
        </is>
      </c>
      <c r="D151" s="406" t="inlineStr">
        <is>
          <t>Encrypt Sensitive Information</t>
        </is>
      </c>
      <c r="E151" s="406" t="inlineStr">
        <is>
          <t>Prevent / Resist</t>
        </is>
      </c>
      <c r="F151" s="417" t="n">
        <v>0.8</v>
      </c>
      <c r="G151" s="444">
        <f>IFERROR(INDEX('OT 04 - Control Assessment'!$I$16:$I$67,MATCH(C151,'OT 04 - Control Assessment'!$A$16:$A$67,0)),0)</f>
        <v/>
      </c>
      <c r="H151" s="444">
        <f>IFERROR(INDEX('OT 04 - Control Assessment'!$J$16:$J$67,MATCH(C151,'OT 04 - Control Assessment'!$A$16:$A$67,0)),0)</f>
        <v/>
      </c>
      <c r="I151" s="444">
        <f>F151*G151*H151</f>
        <v/>
      </c>
      <c r="J151" s="406" t="inlineStr">
        <is>
          <t>Direct ATT&amp;CK mitigation relationship</t>
        </is>
      </c>
      <c r="K151" s="426" t="inlineStr">
        <is>
          <t>https://attack.mitre.org/techniques/T1693</t>
        </is>
      </c>
      <c r="L151" s="426" t="inlineStr">
        <is>
          <t>https://attack.mitre.org/mitigations/M0941</t>
        </is>
      </c>
      <c r="M151" s="406" t="inlineStr">
        <is>
          <t>Current Power Generation working prior (80%) because ATT&amp;CK establishes mitigation applicability but does not quantify efficacy. Replace with test / incident / SME calibration when available.</t>
        </is>
      </c>
    </row>
    <row r="152" ht="41.25" customHeight="1" s="508">
      <c r="A152" s="406" t="inlineStr">
        <is>
          <t>T1693.002</t>
        </is>
      </c>
      <c r="B152" s="406" t="inlineStr">
        <is>
          <t>Module Firmware</t>
        </is>
      </c>
      <c r="C152" s="406" t="inlineStr">
        <is>
          <t>M0941</t>
        </is>
      </c>
      <c r="D152" s="406" t="inlineStr">
        <is>
          <t>Encrypt Sensitive Information</t>
        </is>
      </c>
      <c r="E152" s="406" t="inlineStr">
        <is>
          <t>Prevent / Resist</t>
        </is>
      </c>
      <c r="F152" s="417" t="n">
        <v>0.8</v>
      </c>
      <c r="G152" s="444">
        <f>IFERROR(INDEX('OT 04 - Control Assessment'!$I$16:$I$67,MATCH(C152,'OT 04 - Control Assessment'!$A$16:$A$67,0)),0)</f>
        <v/>
      </c>
      <c r="H152" s="444">
        <f>IFERROR(INDEX('OT 04 - Control Assessment'!$J$16:$J$67,MATCH(C152,'OT 04 - Control Assessment'!$A$16:$A$67,0)),0)</f>
        <v/>
      </c>
      <c r="I152" s="444">
        <f>F152*G152*H152</f>
        <v/>
      </c>
      <c r="J152" s="406" t="inlineStr">
        <is>
          <t>Direct ATT&amp;CK mitigation relationship</t>
        </is>
      </c>
      <c r="K152" s="426" t="inlineStr">
        <is>
          <t>https://attack.mitre.org/techniques/T1693/002</t>
        </is>
      </c>
      <c r="L152" s="426" t="inlineStr">
        <is>
          <t>https://attack.mitre.org/mitigations/M0941</t>
        </is>
      </c>
      <c r="M152" s="406" t="inlineStr">
        <is>
          <t>Current Power Generation working prior (80%) because ATT&amp;CK establishes mitigation applicability but does not quantify efficacy. Replace with test / incident / SME calibration when available.</t>
        </is>
      </c>
    </row>
    <row r="153" ht="41.25" customHeight="1" s="508">
      <c r="A153" s="406" t="inlineStr">
        <is>
          <t>T0873</t>
        </is>
      </c>
      <c r="B153" s="406" t="inlineStr">
        <is>
          <t>Project File Infection</t>
        </is>
      </c>
      <c r="C153" s="406" t="inlineStr">
        <is>
          <t>M0941</t>
        </is>
      </c>
      <c r="D153" s="406" t="inlineStr">
        <is>
          <t>Encrypt Sensitive Information</t>
        </is>
      </c>
      <c r="E153" s="406" t="inlineStr">
        <is>
          <t>Prevent / Resist</t>
        </is>
      </c>
      <c r="F153" s="417" t="n">
        <v>0.8</v>
      </c>
      <c r="G153" s="444">
        <f>IFERROR(INDEX('OT 04 - Control Assessment'!$I$16:$I$67,MATCH(C153,'OT 04 - Control Assessment'!$A$16:$A$67,0)),0)</f>
        <v/>
      </c>
      <c r="H153" s="444">
        <f>IFERROR(INDEX('OT 04 - Control Assessment'!$J$16:$J$67,MATCH(C153,'OT 04 - Control Assessment'!$A$16:$A$67,0)),0)</f>
        <v/>
      </c>
      <c r="I153" s="444">
        <f>F153*G153*H153</f>
        <v/>
      </c>
      <c r="J153" s="406" t="inlineStr">
        <is>
          <t>Direct ATT&amp;CK mitigation relationship</t>
        </is>
      </c>
      <c r="K153" s="426" t="inlineStr">
        <is>
          <t>https://attack.mitre.org/techniques/T0873</t>
        </is>
      </c>
      <c r="L153" s="426" t="inlineStr">
        <is>
          <t>https://attack.mitre.org/mitigations/M0941</t>
        </is>
      </c>
      <c r="M153" s="406" t="inlineStr">
        <is>
          <t>Current Power Generation working prior (80%) because ATT&amp;CK establishes mitigation applicability but does not quantify efficacy. Replace with test / incident / SME calibration when available.</t>
        </is>
      </c>
    </row>
    <row r="154" ht="41.25" customHeight="1" s="508">
      <c r="A154" s="406" t="inlineStr">
        <is>
          <t>T0873.001</t>
        </is>
      </c>
      <c r="B154" s="406" t="inlineStr">
        <is>
          <t>Siemens Project File Format</t>
        </is>
      </c>
      <c r="C154" s="406" t="inlineStr">
        <is>
          <t>M0941</t>
        </is>
      </c>
      <c r="D154" s="406" t="inlineStr">
        <is>
          <t>Encrypt Sensitive Information</t>
        </is>
      </c>
      <c r="E154" s="406" t="inlineStr">
        <is>
          <t>Prevent / Resist</t>
        </is>
      </c>
      <c r="F154" s="417" t="n">
        <v>0.8</v>
      </c>
      <c r="G154" s="444">
        <f>IFERROR(INDEX('OT 04 - Control Assessment'!$I$16:$I$67,MATCH(C154,'OT 04 - Control Assessment'!$A$16:$A$67,0)),0)</f>
        <v/>
      </c>
      <c r="H154" s="444">
        <f>IFERROR(INDEX('OT 04 - Control Assessment'!$J$16:$J$67,MATCH(C154,'OT 04 - Control Assessment'!$A$16:$A$67,0)),0)</f>
        <v/>
      </c>
      <c r="I154" s="444">
        <f>F154*G154*H154</f>
        <v/>
      </c>
      <c r="J154" s="406" t="inlineStr">
        <is>
          <t>Direct ATT&amp;CK mitigation relationship</t>
        </is>
      </c>
      <c r="K154" s="426" t="inlineStr">
        <is>
          <t>https://attack.mitre.org/techniques/T0873/001</t>
        </is>
      </c>
      <c r="L154" s="426" t="inlineStr">
        <is>
          <t>https://attack.mitre.org/mitigations/M0941</t>
        </is>
      </c>
      <c r="M154" s="406" t="inlineStr">
        <is>
          <t>Current Power Generation working prior (80%) because ATT&amp;CK establishes mitigation applicability but does not quantify efficacy. Replace with test / incident / SME calibration when available.</t>
        </is>
      </c>
    </row>
    <row r="155" ht="41.25" customHeight="1" s="508">
      <c r="A155" s="406" t="inlineStr">
        <is>
          <t>T1693.001</t>
        </is>
      </c>
      <c r="B155" s="406" t="inlineStr">
        <is>
          <t>System Firmware</t>
        </is>
      </c>
      <c r="C155" s="406" t="inlineStr">
        <is>
          <t>M0941</t>
        </is>
      </c>
      <c r="D155" s="406" t="inlineStr">
        <is>
          <t>Encrypt Sensitive Information</t>
        </is>
      </c>
      <c r="E155" s="406" t="inlineStr">
        <is>
          <t>Prevent / Resist</t>
        </is>
      </c>
      <c r="F155" s="417" t="n">
        <v>0.8</v>
      </c>
      <c r="G155" s="444">
        <f>IFERROR(INDEX('OT 04 - Control Assessment'!$I$16:$I$67,MATCH(C155,'OT 04 - Control Assessment'!$A$16:$A$67,0)),0)</f>
        <v/>
      </c>
      <c r="H155" s="444">
        <f>IFERROR(INDEX('OT 04 - Control Assessment'!$J$16:$J$67,MATCH(C155,'OT 04 - Control Assessment'!$A$16:$A$67,0)),0)</f>
        <v/>
      </c>
      <c r="I155" s="444">
        <f>F155*G155*H155</f>
        <v/>
      </c>
      <c r="J155" s="406" t="inlineStr">
        <is>
          <t>Direct ATT&amp;CK mitigation relationship</t>
        </is>
      </c>
      <c r="K155" s="426" t="inlineStr">
        <is>
          <t>https://attack.mitre.org/techniques/T1693/001</t>
        </is>
      </c>
      <c r="L155" s="426" t="inlineStr">
        <is>
          <t>https://attack.mitre.org/mitigations/M0941</t>
        </is>
      </c>
      <c r="M155" s="406" t="inlineStr">
        <is>
          <t>Current Power Generation working prior (80%) because ATT&amp;CK establishes mitigation applicability but does not quantify efficacy. Replace with test / incident / SME calibration when available.</t>
        </is>
      </c>
    </row>
    <row r="156" ht="41.25" customHeight="1" s="508">
      <c r="A156" s="406" t="inlineStr">
        <is>
          <t>T0882</t>
        </is>
      </c>
      <c r="B156" s="406" t="inlineStr">
        <is>
          <t>Theft of Operational Information</t>
        </is>
      </c>
      <c r="C156" s="406" t="inlineStr">
        <is>
          <t>M0941</t>
        </is>
      </c>
      <c r="D156" s="406" t="inlineStr">
        <is>
          <t>Encrypt Sensitive Information</t>
        </is>
      </c>
      <c r="E156" s="406" t="inlineStr">
        <is>
          <t>Prevent / Resist</t>
        </is>
      </c>
      <c r="F156" s="417" t="n">
        <v>0.8</v>
      </c>
      <c r="G156" s="444">
        <f>IFERROR(INDEX('OT 04 - Control Assessment'!$I$16:$I$67,MATCH(C156,'OT 04 - Control Assessment'!$A$16:$A$67,0)),0)</f>
        <v/>
      </c>
      <c r="H156" s="444">
        <f>IFERROR(INDEX('OT 04 - Control Assessment'!$J$16:$J$67,MATCH(C156,'OT 04 - Control Assessment'!$A$16:$A$67,0)),0)</f>
        <v/>
      </c>
      <c r="I156" s="444">
        <f>F156*G156*H156</f>
        <v/>
      </c>
      <c r="J156" s="406" t="inlineStr">
        <is>
          <t>Direct ATT&amp;CK mitigation relationship</t>
        </is>
      </c>
      <c r="K156" s="426" t="inlineStr">
        <is>
          <t>https://attack.mitre.org/techniques/T0882</t>
        </is>
      </c>
      <c r="L156" s="426" t="inlineStr">
        <is>
          <t>https://attack.mitre.org/mitigations/M0941</t>
        </is>
      </c>
      <c r="M156" s="406" t="inlineStr">
        <is>
          <t>Current Power Generation working prior (80%) because ATT&amp;CK establishes mitigation applicability but does not quantify efficacy. Replace with test / incident / SME calibration when available.</t>
        </is>
      </c>
    </row>
    <row r="157" ht="41.25" customHeight="1" s="508">
      <c r="A157" s="406" t="inlineStr">
        <is>
          <t>T0864</t>
        </is>
      </c>
      <c r="B157" s="406" t="inlineStr">
        <is>
          <t>Transient Cyber Asset</t>
        </is>
      </c>
      <c r="C157" s="406" t="inlineStr">
        <is>
          <t>M0941</t>
        </is>
      </c>
      <c r="D157" s="406" t="inlineStr">
        <is>
          <t>Encrypt Sensitive Information</t>
        </is>
      </c>
      <c r="E157" s="406" t="inlineStr">
        <is>
          <t>Prevent / Resist</t>
        </is>
      </c>
      <c r="F157" s="417" t="n">
        <v>0.8</v>
      </c>
      <c r="G157" s="444">
        <f>IFERROR(INDEX('OT 04 - Control Assessment'!$I$16:$I$67,MATCH(C157,'OT 04 - Control Assessment'!$A$16:$A$67,0)),0)</f>
        <v/>
      </c>
      <c r="H157" s="444">
        <f>IFERROR(INDEX('OT 04 - Control Assessment'!$J$16:$J$67,MATCH(C157,'OT 04 - Control Assessment'!$A$16:$A$67,0)),0)</f>
        <v/>
      </c>
      <c r="I157" s="444">
        <f>F157*G157*H157</f>
        <v/>
      </c>
      <c r="J157" s="406" t="inlineStr">
        <is>
          <t>Direct ATT&amp;CK mitigation relationship</t>
        </is>
      </c>
      <c r="K157" s="426" t="inlineStr">
        <is>
          <t>https://attack.mitre.org/techniques/T0864</t>
        </is>
      </c>
      <c r="L157" s="426" t="inlineStr">
        <is>
          <t>https://attack.mitre.org/mitigations/M0941</t>
        </is>
      </c>
      <c r="M157" s="406" t="inlineStr">
        <is>
          <t>Current Power Generation working prior (80%) because ATT&amp;CK establishes mitigation applicability but does not quantify efficacy. Replace with test / incident / SME calibration when available.</t>
        </is>
      </c>
    </row>
    <row r="158" ht="41.25" customHeight="1" s="508">
      <c r="A158" s="406" t="inlineStr">
        <is>
          <t>T0807</t>
        </is>
      </c>
      <c r="B158" s="406" t="inlineStr">
        <is>
          <t>Command-Line Interface</t>
        </is>
      </c>
      <c r="C158" s="406" t="inlineStr">
        <is>
          <t>M0938</t>
        </is>
      </c>
      <c r="D158" s="406" t="inlineStr">
        <is>
          <t>Execution Prevention</t>
        </is>
      </c>
      <c r="E158" s="406" t="inlineStr">
        <is>
          <t>Prevent / Resist</t>
        </is>
      </c>
      <c r="F158" s="417" t="n">
        <v>0.8</v>
      </c>
      <c r="G158" s="444">
        <f>IFERROR(INDEX('OT 04 - Control Assessment'!$I$16:$I$67,MATCH(C158,'OT 04 - Control Assessment'!$A$16:$A$67,0)),0)</f>
        <v/>
      </c>
      <c r="H158" s="444">
        <f>IFERROR(INDEX('OT 04 - Control Assessment'!$J$16:$J$67,MATCH(C158,'OT 04 - Control Assessment'!$A$16:$A$67,0)),0)</f>
        <v/>
      </c>
      <c r="I158" s="444">
        <f>F158*G158*H158</f>
        <v/>
      </c>
      <c r="J158" s="406" t="inlineStr">
        <is>
          <t>Direct ATT&amp;CK mitigation relationship</t>
        </is>
      </c>
      <c r="K158" s="426" t="inlineStr">
        <is>
          <t>https://attack.mitre.org/techniques/T0807</t>
        </is>
      </c>
      <c r="L158" s="426" t="inlineStr">
        <is>
          <t>https://attack.mitre.org/mitigations/M0938</t>
        </is>
      </c>
      <c r="M158" s="406" t="inlineStr">
        <is>
          <t>Current Power Generation working prior (80%) because ATT&amp;CK establishes mitigation applicability but does not quantify efficacy. Replace with test / incident / SME calibration when available.</t>
        </is>
      </c>
    </row>
    <row r="159" ht="41.25" customHeight="1" s="508">
      <c r="A159" s="406" t="inlineStr">
        <is>
          <t>T0871</t>
        </is>
      </c>
      <c r="B159" s="406" t="inlineStr">
        <is>
          <t>Execution through API</t>
        </is>
      </c>
      <c r="C159" s="406" t="inlineStr">
        <is>
          <t>M0938</t>
        </is>
      </c>
      <c r="D159" s="406" t="inlineStr">
        <is>
          <t>Execution Prevention</t>
        </is>
      </c>
      <c r="E159" s="406" t="inlineStr">
        <is>
          <t>Prevent / Resist</t>
        </is>
      </c>
      <c r="F159" s="417" t="n">
        <v>0.8</v>
      </c>
      <c r="G159" s="444">
        <f>IFERROR(INDEX('OT 04 - Control Assessment'!$I$16:$I$67,MATCH(C159,'OT 04 - Control Assessment'!$A$16:$A$67,0)),0)</f>
        <v/>
      </c>
      <c r="H159" s="444">
        <f>IFERROR(INDEX('OT 04 - Control Assessment'!$J$16:$J$67,MATCH(C159,'OT 04 - Control Assessment'!$A$16:$A$67,0)),0)</f>
        <v/>
      </c>
      <c r="I159" s="444">
        <f>F159*G159*H159</f>
        <v/>
      </c>
      <c r="J159" s="406" t="inlineStr">
        <is>
          <t>Direct ATT&amp;CK mitigation relationship</t>
        </is>
      </c>
      <c r="K159" s="426" t="inlineStr">
        <is>
          <t>https://attack.mitre.org/techniques/T0871</t>
        </is>
      </c>
      <c r="L159" s="426" t="inlineStr">
        <is>
          <t>https://attack.mitre.org/mitigations/M0938</t>
        </is>
      </c>
      <c r="M159" s="406" t="inlineStr">
        <is>
          <t>Current Power Generation working prior (80%) because ATT&amp;CK establishes mitigation applicability but does not quantify efficacy. Replace with test / incident / SME calibration when available.</t>
        </is>
      </c>
    </row>
    <row r="160" ht="41.25" customHeight="1" s="508">
      <c r="A160" s="406" t="inlineStr">
        <is>
          <t>T0849</t>
        </is>
      </c>
      <c r="B160" s="406" t="inlineStr">
        <is>
          <t>Masquerading</t>
        </is>
      </c>
      <c r="C160" s="406" t="inlineStr">
        <is>
          <t>M0938</t>
        </is>
      </c>
      <c r="D160" s="406" t="inlineStr">
        <is>
          <t>Execution Prevention</t>
        </is>
      </c>
      <c r="E160" s="406" t="inlineStr">
        <is>
          <t>Prevent / Resist</t>
        </is>
      </c>
      <c r="F160" s="417" t="n">
        <v>0.8</v>
      </c>
      <c r="G160" s="444">
        <f>IFERROR(INDEX('OT 04 - Control Assessment'!$I$16:$I$67,MATCH(C160,'OT 04 - Control Assessment'!$A$16:$A$67,0)),0)</f>
        <v/>
      </c>
      <c r="H160" s="444">
        <f>IFERROR(INDEX('OT 04 - Control Assessment'!$J$16:$J$67,MATCH(C160,'OT 04 - Control Assessment'!$A$16:$A$67,0)),0)</f>
        <v/>
      </c>
      <c r="I160" s="444">
        <f>F160*G160*H160</f>
        <v/>
      </c>
      <c r="J160" s="406" t="inlineStr">
        <is>
          <t>Direct ATT&amp;CK mitigation relationship</t>
        </is>
      </c>
      <c r="K160" s="426" t="inlineStr">
        <is>
          <t>https://attack.mitre.org/techniques/T0849</t>
        </is>
      </c>
      <c r="L160" s="426" t="inlineStr">
        <is>
          <t>https://attack.mitre.org/mitigations/M0938</t>
        </is>
      </c>
      <c r="M160" s="406" t="inlineStr">
        <is>
          <t>Current Power Generation working prior (80%) because ATT&amp;CK establishes mitigation applicability but does not quantify efficacy. Replace with test / incident / SME calibration when available.</t>
        </is>
      </c>
    </row>
    <row r="161" ht="41.25" customHeight="1" s="508">
      <c r="A161" s="406" t="inlineStr">
        <is>
          <t>T0834</t>
        </is>
      </c>
      <c r="B161" s="406" t="inlineStr">
        <is>
          <t>Native API</t>
        </is>
      </c>
      <c r="C161" s="406" t="inlineStr">
        <is>
          <t>M0938</t>
        </is>
      </c>
      <c r="D161" s="406" t="inlineStr">
        <is>
          <t>Execution Prevention</t>
        </is>
      </c>
      <c r="E161" s="406" t="inlineStr">
        <is>
          <t>Prevent / Resist</t>
        </is>
      </c>
      <c r="F161" s="417" t="n">
        <v>0.8</v>
      </c>
      <c r="G161" s="444">
        <f>IFERROR(INDEX('OT 04 - Control Assessment'!$I$16:$I$67,MATCH(C161,'OT 04 - Control Assessment'!$A$16:$A$67,0)),0)</f>
        <v/>
      </c>
      <c r="H161" s="444">
        <f>IFERROR(INDEX('OT 04 - Control Assessment'!$J$16:$J$67,MATCH(C161,'OT 04 - Control Assessment'!$A$16:$A$67,0)),0)</f>
        <v/>
      </c>
      <c r="I161" s="444">
        <f>F161*G161*H161</f>
        <v/>
      </c>
      <c r="J161" s="406" t="inlineStr">
        <is>
          <t>Direct ATT&amp;CK mitigation relationship</t>
        </is>
      </c>
      <c r="K161" s="426" t="inlineStr">
        <is>
          <t>https://attack.mitre.org/techniques/T0834</t>
        </is>
      </c>
      <c r="L161" s="426" t="inlineStr">
        <is>
          <t>https://attack.mitre.org/mitigations/M0938</t>
        </is>
      </c>
      <c r="M161" s="406" t="inlineStr">
        <is>
          <t>Current Power Generation working prior (80%) because ATT&amp;CK establishes mitigation applicability but does not quantify efficacy. Replace with test / incident / SME calibration when available.</t>
        </is>
      </c>
    </row>
    <row r="162" ht="41.25" customHeight="1" s="508">
      <c r="A162" s="406" t="inlineStr">
        <is>
          <t>T0853</t>
        </is>
      </c>
      <c r="B162" s="406" t="inlineStr">
        <is>
          <t>Scripting</t>
        </is>
      </c>
      <c r="C162" s="406" t="inlineStr">
        <is>
          <t>M0938</t>
        </is>
      </c>
      <c r="D162" s="406" t="inlineStr">
        <is>
          <t>Execution Prevention</t>
        </is>
      </c>
      <c r="E162" s="406" t="inlineStr">
        <is>
          <t>Prevent / Resist</t>
        </is>
      </c>
      <c r="F162" s="417" t="n">
        <v>0.8</v>
      </c>
      <c r="G162" s="444">
        <f>IFERROR(INDEX('OT 04 - Control Assessment'!$I$16:$I$67,MATCH(C162,'OT 04 - Control Assessment'!$A$16:$A$67,0)),0)</f>
        <v/>
      </c>
      <c r="H162" s="444">
        <f>IFERROR(INDEX('OT 04 - Control Assessment'!$J$16:$J$67,MATCH(C162,'OT 04 - Control Assessment'!$A$16:$A$67,0)),0)</f>
        <v/>
      </c>
      <c r="I162" s="444">
        <f>F162*G162*H162</f>
        <v/>
      </c>
      <c r="J162" s="406" t="inlineStr">
        <is>
          <t>Direct ATT&amp;CK mitigation relationship</t>
        </is>
      </c>
      <c r="K162" s="426" t="inlineStr">
        <is>
          <t>https://attack.mitre.org/techniques/T0853</t>
        </is>
      </c>
      <c r="L162" s="426" t="inlineStr">
        <is>
          <t>https://attack.mitre.org/mitigations/M0938</t>
        </is>
      </c>
      <c r="M162" s="406" t="inlineStr">
        <is>
          <t>Current Power Generation working prior (80%) because ATT&amp;CK establishes mitigation applicability but does not quantify efficacy. Replace with test / incident / SME calibration when available.</t>
        </is>
      </c>
    </row>
    <row r="163" ht="41.25" customHeight="1" s="508">
      <c r="A163" s="406" t="inlineStr">
        <is>
          <t>T0894</t>
        </is>
      </c>
      <c r="B163" s="406" t="inlineStr">
        <is>
          <t>System Binary Proxy Execution</t>
        </is>
      </c>
      <c r="C163" s="406" t="inlineStr">
        <is>
          <t>M0938</t>
        </is>
      </c>
      <c r="D163" s="406" t="inlineStr">
        <is>
          <t>Execution Prevention</t>
        </is>
      </c>
      <c r="E163" s="406" t="inlineStr">
        <is>
          <t>Prevent / Resist</t>
        </is>
      </c>
      <c r="F163" s="417" t="n">
        <v>0.8</v>
      </c>
      <c r="G163" s="444">
        <f>IFERROR(INDEX('OT 04 - Control Assessment'!$I$16:$I$67,MATCH(C163,'OT 04 - Control Assessment'!$A$16:$A$67,0)),0)</f>
        <v/>
      </c>
      <c r="H163" s="444">
        <f>IFERROR(INDEX('OT 04 - Control Assessment'!$J$16:$J$67,MATCH(C163,'OT 04 - Control Assessment'!$A$16:$A$67,0)),0)</f>
        <v/>
      </c>
      <c r="I163" s="444">
        <f>F163*G163*H163</f>
        <v/>
      </c>
      <c r="J163" s="406" t="inlineStr">
        <is>
          <t>Direct ATT&amp;CK mitigation relationship</t>
        </is>
      </c>
      <c r="K163" s="426" t="inlineStr">
        <is>
          <t>https://attack.mitre.org/techniques/T0894</t>
        </is>
      </c>
      <c r="L163" s="426" t="inlineStr">
        <is>
          <t>https://attack.mitre.org/mitigations/M0938</t>
        </is>
      </c>
      <c r="M163" s="406" t="inlineStr">
        <is>
          <t>Current Power Generation working prior (80%) because ATT&amp;CK establishes mitigation applicability but does not quantify efficacy. Replace with test / incident / SME calibration when available.</t>
        </is>
      </c>
    </row>
    <row r="164" ht="41.25" customHeight="1" s="508">
      <c r="A164" s="406" t="inlineStr">
        <is>
          <t>T0863</t>
        </is>
      </c>
      <c r="B164" s="406" t="inlineStr">
        <is>
          <t>User Execution</t>
        </is>
      </c>
      <c r="C164" s="406" t="inlineStr">
        <is>
          <t>M0938</t>
        </is>
      </c>
      <c r="D164" s="406" t="inlineStr">
        <is>
          <t>Execution Prevention</t>
        </is>
      </c>
      <c r="E164" s="406" t="inlineStr">
        <is>
          <t>Prevent / Resist</t>
        </is>
      </c>
      <c r="F164" s="417" t="n">
        <v>0.8</v>
      </c>
      <c r="G164" s="444">
        <f>IFERROR(INDEX('OT 04 - Control Assessment'!$I$16:$I$67,MATCH(C164,'OT 04 - Control Assessment'!$A$16:$A$67,0)),0)</f>
        <v/>
      </c>
      <c r="H164" s="444">
        <f>IFERROR(INDEX('OT 04 - Control Assessment'!$J$16:$J$67,MATCH(C164,'OT 04 - Control Assessment'!$A$16:$A$67,0)),0)</f>
        <v/>
      </c>
      <c r="I164" s="444">
        <f>F164*G164*H164</f>
        <v/>
      </c>
      <c r="J164" s="406" t="inlineStr">
        <is>
          <t>Direct ATT&amp;CK mitigation relationship</t>
        </is>
      </c>
      <c r="K164" s="426" t="inlineStr">
        <is>
          <t>https://attack.mitre.org/techniques/T0863</t>
        </is>
      </c>
      <c r="L164" s="426" t="inlineStr">
        <is>
          <t>https://attack.mitre.org/mitigations/M0938</t>
        </is>
      </c>
      <c r="M164" s="406" t="inlineStr">
        <is>
          <t>Current Power Generation working prior (80%) because ATT&amp;CK establishes mitigation applicability but does not quantify efficacy. Replace with test / incident / SME calibration when available.</t>
        </is>
      </c>
    </row>
    <row r="165" ht="41.25" customHeight="1" s="508">
      <c r="A165" s="406" t="inlineStr">
        <is>
          <t>T0817</t>
        </is>
      </c>
      <c r="B165" s="406" t="inlineStr">
        <is>
          <t>Drive-by Compromise</t>
        </is>
      </c>
      <c r="C165" s="406" t="inlineStr">
        <is>
          <t>M0950</t>
        </is>
      </c>
      <c r="D165" s="406" t="inlineStr">
        <is>
          <t>Exploit Protection</t>
        </is>
      </c>
      <c r="E165" s="406" t="inlineStr">
        <is>
          <t>Prevent / Resist</t>
        </is>
      </c>
      <c r="F165" s="417" t="n">
        <v>0.8</v>
      </c>
      <c r="G165" s="444">
        <f>IFERROR(INDEX('OT 04 - Control Assessment'!$I$16:$I$67,MATCH(C165,'OT 04 - Control Assessment'!$A$16:$A$67,0)),0)</f>
        <v/>
      </c>
      <c r="H165" s="444">
        <f>IFERROR(INDEX('OT 04 - Control Assessment'!$J$16:$J$67,MATCH(C165,'OT 04 - Control Assessment'!$A$16:$A$67,0)),0)</f>
        <v/>
      </c>
      <c r="I165" s="444">
        <f>F165*G165*H165</f>
        <v/>
      </c>
      <c r="J165" s="406" t="inlineStr">
        <is>
          <t>Direct ATT&amp;CK mitigation relationship</t>
        </is>
      </c>
      <c r="K165" s="426" t="inlineStr">
        <is>
          <t>https://attack.mitre.org/techniques/T0817</t>
        </is>
      </c>
      <c r="L165" s="426" t="inlineStr">
        <is>
          <t>https://attack.mitre.org/mitigations/M0950</t>
        </is>
      </c>
      <c r="M165" s="406" t="inlineStr">
        <is>
          <t>Current Power Generation working prior (80%) because ATT&amp;CK establishes mitigation applicability but does not quantify efficacy. Replace with test / incident / SME calibration when available.</t>
        </is>
      </c>
    </row>
    <row r="166" ht="41.25" customHeight="1" s="508">
      <c r="A166" s="406" t="inlineStr">
        <is>
          <t>T0819</t>
        </is>
      </c>
      <c r="B166" s="406" t="inlineStr">
        <is>
          <t>Exploit Public-Facing Application</t>
        </is>
      </c>
      <c r="C166" s="406" t="inlineStr">
        <is>
          <t>M0950</t>
        </is>
      </c>
      <c r="D166" s="406" t="inlineStr">
        <is>
          <t>Exploit Protection</t>
        </is>
      </c>
      <c r="E166" s="406" t="inlineStr">
        <is>
          <t>Prevent / Resist</t>
        </is>
      </c>
      <c r="F166" s="417" t="n">
        <v>0.8</v>
      </c>
      <c r="G166" s="444">
        <f>IFERROR(INDEX('OT 04 - Control Assessment'!$I$16:$I$67,MATCH(C166,'OT 04 - Control Assessment'!$A$16:$A$67,0)),0)</f>
        <v/>
      </c>
      <c r="H166" s="444">
        <f>IFERROR(INDEX('OT 04 - Control Assessment'!$J$16:$J$67,MATCH(C166,'OT 04 - Control Assessment'!$A$16:$A$67,0)),0)</f>
        <v/>
      </c>
      <c r="I166" s="444">
        <f>F166*G166*H166</f>
        <v/>
      </c>
      <c r="J166" s="406" t="inlineStr">
        <is>
          <t>Direct ATT&amp;CK mitigation relationship</t>
        </is>
      </c>
      <c r="K166" s="426" t="inlineStr">
        <is>
          <t>https://attack.mitre.org/techniques/T0819</t>
        </is>
      </c>
      <c r="L166" s="426" t="inlineStr">
        <is>
          <t>https://attack.mitre.org/mitigations/M0950</t>
        </is>
      </c>
      <c r="M166" s="406" t="inlineStr">
        <is>
          <t>Current Power Generation working prior (80%) because ATT&amp;CK establishes mitigation applicability but does not quantify efficacy. Replace with test / incident / SME calibration when available.</t>
        </is>
      </c>
    </row>
    <row r="167" ht="41.25" customHeight="1" s="508">
      <c r="A167" s="406" t="inlineStr">
        <is>
          <t>T0820</t>
        </is>
      </c>
      <c r="B167" s="406" t="inlineStr">
        <is>
          <t>Exploitation for Evasion</t>
        </is>
      </c>
      <c r="C167" s="406" t="inlineStr">
        <is>
          <t>M0950</t>
        </is>
      </c>
      <c r="D167" s="406" t="inlineStr">
        <is>
          <t>Exploit Protection</t>
        </is>
      </c>
      <c r="E167" s="406" t="inlineStr">
        <is>
          <t>Prevent / Resist</t>
        </is>
      </c>
      <c r="F167" s="417" t="n">
        <v>0.8</v>
      </c>
      <c r="G167" s="444">
        <f>IFERROR(INDEX('OT 04 - Control Assessment'!$I$16:$I$67,MATCH(C167,'OT 04 - Control Assessment'!$A$16:$A$67,0)),0)</f>
        <v/>
      </c>
      <c r="H167" s="444">
        <f>IFERROR(INDEX('OT 04 - Control Assessment'!$J$16:$J$67,MATCH(C167,'OT 04 - Control Assessment'!$A$16:$A$67,0)),0)</f>
        <v/>
      </c>
      <c r="I167" s="444">
        <f>F167*G167*H167</f>
        <v/>
      </c>
      <c r="J167" s="406" t="inlineStr">
        <is>
          <t>Direct ATT&amp;CK mitigation relationship</t>
        </is>
      </c>
      <c r="K167" s="426" t="inlineStr">
        <is>
          <t>https://attack.mitre.org/techniques/T0820</t>
        </is>
      </c>
      <c r="L167" s="426" t="inlineStr">
        <is>
          <t>https://attack.mitre.org/mitigations/M0950</t>
        </is>
      </c>
      <c r="M167" s="406" t="inlineStr">
        <is>
          <t>Current Power Generation working prior (80%) because ATT&amp;CK establishes mitigation applicability but does not quantify efficacy. Replace with test / incident / SME calibration when available.</t>
        </is>
      </c>
    </row>
    <row r="168" ht="41.25" customHeight="1" s="508">
      <c r="A168" s="406" t="inlineStr">
        <is>
          <t>T0890</t>
        </is>
      </c>
      <c r="B168" s="406" t="inlineStr">
        <is>
          <t>Exploitation for Privilege Escalation</t>
        </is>
      </c>
      <c r="C168" s="406" t="inlineStr">
        <is>
          <t>M0950</t>
        </is>
      </c>
      <c r="D168" s="406" t="inlineStr">
        <is>
          <t>Exploit Protection</t>
        </is>
      </c>
      <c r="E168" s="406" t="inlineStr">
        <is>
          <t>Prevent / Resist</t>
        </is>
      </c>
      <c r="F168" s="417" t="n">
        <v>0.8</v>
      </c>
      <c r="G168" s="444">
        <f>IFERROR(INDEX('OT 04 - Control Assessment'!$I$16:$I$67,MATCH(C168,'OT 04 - Control Assessment'!$A$16:$A$67,0)),0)</f>
        <v/>
      </c>
      <c r="H168" s="444">
        <f>IFERROR(INDEX('OT 04 - Control Assessment'!$J$16:$J$67,MATCH(C168,'OT 04 - Control Assessment'!$A$16:$A$67,0)),0)</f>
        <v/>
      </c>
      <c r="I168" s="444">
        <f>F168*G168*H168</f>
        <v/>
      </c>
      <c r="J168" s="406" t="inlineStr">
        <is>
          <t>Direct ATT&amp;CK mitigation relationship</t>
        </is>
      </c>
      <c r="K168" s="426" t="inlineStr">
        <is>
          <t>https://attack.mitre.org/techniques/T0890</t>
        </is>
      </c>
      <c r="L168" s="426" t="inlineStr">
        <is>
          <t>https://attack.mitre.org/mitigations/M0950</t>
        </is>
      </c>
      <c r="M168" s="406" t="inlineStr">
        <is>
          <t>Current Power Generation working prior (80%) because ATT&amp;CK establishes mitigation applicability but does not quantify efficacy. Replace with test / incident / SME calibration when available.</t>
        </is>
      </c>
    </row>
    <row r="169" ht="41.25" customHeight="1" s="508">
      <c r="A169" s="406" t="inlineStr">
        <is>
          <t>T0866</t>
        </is>
      </c>
      <c r="B169" s="406" t="inlineStr">
        <is>
          <t>Exploitation of Remote Services</t>
        </is>
      </c>
      <c r="C169" s="406" t="inlineStr">
        <is>
          <t>M0950</t>
        </is>
      </c>
      <c r="D169" s="406" t="inlineStr">
        <is>
          <t>Exploit Protection</t>
        </is>
      </c>
      <c r="E169" s="406" t="inlineStr">
        <is>
          <t>Prevent / Resist</t>
        </is>
      </c>
      <c r="F169" s="417" t="n">
        <v>0.8</v>
      </c>
      <c r="G169" s="444">
        <f>IFERROR(INDEX('OT 04 - Control Assessment'!$I$16:$I$67,MATCH(C169,'OT 04 - Control Assessment'!$A$16:$A$67,0)),0)</f>
        <v/>
      </c>
      <c r="H169" s="444">
        <f>IFERROR(INDEX('OT 04 - Control Assessment'!$J$16:$J$67,MATCH(C169,'OT 04 - Control Assessment'!$A$16:$A$67,0)),0)</f>
        <v/>
      </c>
      <c r="I169" s="444">
        <f>F169*G169*H169</f>
        <v/>
      </c>
      <c r="J169" s="406" t="inlineStr">
        <is>
          <t>Direct ATT&amp;CK mitigation relationship</t>
        </is>
      </c>
      <c r="K169" s="426" t="inlineStr">
        <is>
          <t>https://attack.mitre.org/techniques/T0866</t>
        </is>
      </c>
      <c r="L169" s="426" t="inlineStr">
        <is>
          <t>https://attack.mitre.org/mitigations/M0950</t>
        </is>
      </c>
      <c r="M169" s="406" t="inlineStr">
        <is>
          <t>Current Power Generation working prior (80%) because ATT&amp;CK establishes mitigation applicability but does not quantify efficacy. Replace with test / incident / SME calibration when available.</t>
        </is>
      </c>
    </row>
    <row r="170" ht="41.25" customHeight="1" s="508">
      <c r="A170" s="406" t="inlineStr">
        <is>
          <t>T0800</t>
        </is>
      </c>
      <c r="B170" s="406" t="inlineStr">
        <is>
          <t>Activate Firmware Update Mode</t>
        </is>
      </c>
      <c r="C170" s="406" t="inlineStr">
        <is>
          <t>M0937</t>
        </is>
      </c>
      <c r="D170" s="406" t="inlineStr">
        <is>
          <t>Filter Network Traffic</t>
        </is>
      </c>
      <c r="E170" s="406" t="inlineStr">
        <is>
          <t>Prevent / Resist</t>
        </is>
      </c>
      <c r="F170" s="417" t="n">
        <v>0.8</v>
      </c>
      <c r="G170" s="444">
        <f>IFERROR(INDEX('OT 04 - Control Assessment'!$I$16:$I$67,MATCH(C170,'OT 04 - Control Assessment'!$A$16:$A$67,0)),0)</f>
        <v/>
      </c>
      <c r="H170" s="444">
        <f>IFERROR(INDEX('OT 04 - Control Assessment'!$J$16:$J$67,MATCH(C170,'OT 04 - Control Assessment'!$A$16:$A$67,0)),0)</f>
        <v/>
      </c>
      <c r="I170" s="444">
        <f>F170*G170*H170</f>
        <v/>
      </c>
      <c r="J170" s="406" t="inlineStr">
        <is>
          <t>Direct ATT&amp;CK mitigation relationship</t>
        </is>
      </c>
      <c r="K170" s="426" t="inlineStr">
        <is>
          <t>https://attack.mitre.org/techniques/T0800</t>
        </is>
      </c>
      <c r="L170" s="426" t="inlineStr">
        <is>
          <t>https://attack.mitre.org/mitigations/M0937</t>
        </is>
      </c>
      <c r="M170" s="406" t="inlineStr">
        <is>
          <t>Current Power Generation working prior (80%) because ATT&amp;CK establishes mitigation applicability but does not quantify efficacy. Replace with test / incident / SME calibration when available.</t>
        </is>
      </c>
    </row>
    <row r="171" ht="41.25" customHeight="1" s="508">
      <c r="A171" s="406" t="inlineStr">
        <is>
          <t>T0806</t>
        </is>
      </c>
      <c r="B171" s="406" t="inlineStr">
        <is>
          <t>Brute Force I/O</t>
        </is>
      </c>
      <c r="C171" s="406" t="inlineStr">
        <is>
          <t>M0937</t>
        </is>
      </c>
      <c r="D171" s="406" t="inlineStr">
        <is>
          <t>Filter Network Traffic</t>
        </is>
      </c>
      <c r="E171" s="406" t="inlineStr">
        <is>
          <t>Prevent / Resist</t>
        </is>
      </c>
      <c r="F171" s="417" t="n">
        <v>0.8</v>
      </c>
      <c r="G171" s="444">
        <f>IFERROR(INDEX('OT 04 - Control Assessment'!$I$16:$I$67,MATCH(C171,'OT 04 - Control Assessment'!$A$16:$A$67,0)),0)</f>
        <v/>
      </c>
      <c r="H171" s="444">
        <f>IFERROR(INDEX('OT 04 - Control Assessment'!$J$16:$J$67,MATCH(C171,'OT 04 - Control Assessment'!$A$16:$A$67,0)),0)</f>
        <v/>
      </c>
      <c r="I171" s="444">
        <f>F171*G171*H171</f>
        <v/>
      </c>
      <c r="J171" s="406" t="inlineStr">
        <is>
          <t>Direct ATT&amp;CK mitigation relationship</t>
        </is>
      </c>
      <c r="K171" s="426" t="inlineStr">
        <is>
          <t>https://attack.mitre.org/techniques/T0806</t>
        </is>
      </c>
      <c r="L171" s="426" t="inlineStr">
        <is>
          <t>https://attack.mitre.org/mitigations/M0937</t>
        </is>
      </c>
      <c r="M171" s="406" t="inlineStr">
        <is>
          <t>Current Power Generation working prior (80%) because ATT&amp;CK establishes mitigation applicability but does not quantify efficacy. Replace with test / incident / SME calibration when available.</t>
        </is>
      </c>
    </row>
    <row r="172" ht="41.25" customHeight="1" s="508">
      <c r="A172" s="406" t="inlineStr">
        <is>
          <t>T1692.001</t>
        </is>
      </c>
      <c r="B172" s="406" t="inlineStr">
        <is>
          <t>Command Message</t>
        </is>
      </c>
      <c r="C172" s="406" t="inlineStr">
        <is>
          <t>M0937</t>
        </is>
      </c>
      <c r="D172" s="406" t="inlineStr">
        <is>
          <t>Filter Network Traffic</t>
        </is>
      </c>
      <c r="E172" s="406" t="inlineStr">
        <is>
          <t>Prevent / Resist</t>
        </is>
      </c>
      <c r="F172" s="417" t="n">
        <v>0.8</v>
      </c>
      <c r="G172" s="444">
        <f>IFERROR(INDEX('OT 04 - Control Assessment'!$I$16:$I$67,MATCH(C172,'OT 04 - Control Assessment'!$A$16:$A$67,0)),0)</f>
        <v/>
      </c>
      <c r="H172" s="444">
        <f>IFERROR(INDEX('OT 04 - Control Assessment'!$J$16:$J$67,MATCH(C172,'OT 04 - Control Assessment'!$A$16:$A$67,0)),0)</f>
        <v/>
      </c>
      <c r="I172" s="444">
        <f>F172*G172*H172</f>
        <v/>
      </c>
      <c r="J172" s="406" t="inlineStr">
        <is>
          <t>Direct ATT&amp;CK mitigation relationship</t>
        </is>
      </c>
      <c r="K172" s="426" t="inlineStr">
        <is>
          <t>https://attack.mitre.org/techniques/T1692/001</t>
        </is>
      </c>
      <c r="L172" s="426" t="inlineStr">
        <is>
          <t>https://attack.mitre.org/mitigations/M0937</t>
        </is>
      </c>
      <c r="M172" s="406" t="inlineStr">
        <is>
          <t>Current Power Generation working prior (80%) because ATT&amp;CK establishes mitigation applicability but does not quantify efficacy. Replace with test / incident / SME calibration when available.</t>
        </is>
      </c>
    </row>
    <row r="173" ht="41.25" customHeight="1" s="508">
      <c r="A173" s="406" t="inlineStr">
        <is>
          <t>T0884</t>
        </is>
      </c>
      <c r="B173" s="406" t="inlineStr">
        <is>
          <t>Connection Proxy</t>
        </is>
      </c>
      <c r="C173" s="406" t="inlineStr">
        <is>
          <t>M0937</t>
        </is>
      </c>
      <c r="D173" s="406" t="inlineStr">
        <is>
          <t>Filter Network Traffic</t>
        </is>
      </c>
      <c r="E173" s="406" t="inlineStr">
        <is>
          <t>Prevent / Resist</t>
        </is>
      </c>
      <c r="F173" s="417" t="n">
        <v>0.8</v>
      </c>
      <c r="G173" s="444">
        <f>IFERROR(INDEX('OT 04 - Control Assessment'!$I$16:$I$67,MATCH(C173,'OT 04 - Control Assessment'!$A$16:$A$67,0)),0)</f>
        <v/>
      </c>
      <c r="H173" s="444">
        <f>IFERROR(INDEX('OT 04 - Control Assessment'!$J$16:$J$67,MATCH(C173,'OT 04 - Control Assessment'!$A$16:$A$67,0)),0)</f>
        <v/>
      </c>
      <c r="I173" s="444">
        <f>F173*G173*H173</f>
        <v/>
      </c>
      <c r="J173" s="406" t="inlineStr">
        <is>
          <t>Direct ATT&amp;CK mitigation relationship</t>
        </is>
      </c>
      <c r="K173" s="426" t="inlineStr">
        <is>
          <t>https://attack.mitre.org/techniques/T0884</t>
        </is>
      </c>
      <c r="L173" s="426" t="inlineStr">
        <is>
          <t>https://attack.mitre.org/mitigations/M0937</t>
        </is>
      </c>
      <c r="M173" s="406" t="inlineStr">
        <is>
          <t>Current Power Generation working prior (80%) because ATT&amp;CK establishes mitigation applicability but does not quantify efficacy. Replace with test / incident / SME calibration when available.</t>
        </is>
      </c>
    </row>
    <row r="174" ht="41.25" customHeight="1" s="508">
      <c r="A174" s="406" t="inlineStr">
        <is>
          <t>T0868</t>
        </is>
      </c>
      <c r="B174" s="406" t="inlineStr">
        <is>
          <t>Detect Operating Mode</t>
        </is>
      </c>
      <c r="C174" s="406" t="inlineStr">
        <is>
          <t>M0937</t>
        </is>
      </c>
      <c r="D174" s="406" t="inlineStr">
        <is>
          <t>Filter Network Traffic</t>
        </is>
      </c>
      <c r="E174" s="406" t="inlineStr">
        <is>
          <t>Prevent / Resist</t>
        </is>
      </c>
      <c r="F174" s="417" t="n">
        <v>0.8</v>
      </c>
      <c r="G174" s="444">
        <f>IFERROR(INDEX('OT 04 - Control Assessment'!$I$16:$I$67,MATCH(C174,'OT 04 - Control Assessment'!$A$16:$A$67,0)),0)</f>
        <v/>
      </c>
      <c r="H174" s="444">
        <f>IFERROR(INDEX('OT 04 - Control Assessment'!$J$16:$J$67,MATCH(C174,'OT 04 - Control Assessment'!$A$16:$A$67,0)),0)</f>
        <v/>
      </c>
      <c r="I174" s="444">
        <f>F174*G174*H174</f>
        <v/>
      </c>
      <c r="J174" s="406" t="inlineStr">
        <is>
          <t>Direct ATT&amp;CK mitigation relationship</t>
        </is>
      </c>
      <c r="K174" s="426" t="inlineStr">
        <is>
          <t>https://attack.mitre.org/techniques/T0868</t>
        </is>
      </c>
      <c r="L174" s="426" t="inlineStr">
        <is>
          <t>https://attack.mitre.org/mitigations/M0937</t>
        </is>
      </c>
      <c r="M174" s="406" t="inlineStr">
        <is>
          <t>Current Power Generation working prior (80%) because ATT&amp;CK establishes mitigation applicability but does not quantify efficacy. Replace with test / incident / SME calibration when available.</t>
        </is>
      </c>
    </row>
    <row r="175" ht="41.25" customHeight="1" s="508">
      <c r="A175" s="406" t="inlineStr">
        <is>
          <t>T0816</t>
        </is>
      </c>
      <c r="B175" s="406" t="inlineStr">
        <is>
          <t>Device Restart/Shutdown</t>
        </is>
      </c>
      <c r="C175" s="406" t="inlineStr">
        <is>
          <t>M0937</t>
        </is>
      </c>
      <c r="D175" s="406" t="inlineStr">
        <is>
          <t>Filter Network Traffic</t>
        </is>
      </c>
      <c r="E175" s="406" t="inlineStr">
        <is>
          <t>Prevent / Resist</t>
        </is>
      </c>
      <c r="F175" s="417" t="n">
        <v>0.8</v>
      </c>
      <c r="G175" s="444">
        <f>IFERROR(INDEX('OT 04 - Control Assessment'!$I$16:$I$67,MATCH(C175,'OT 04 - Control Assessment'!$A$16:$A$67,0)),0)</f>
        <v/>
      </c>
      <c r="H175" s="444">
        <f>IFERROR(INDEX('OT 04 - Control Assessment'!$J$16:$J$67,MATCH(C175,'OT 04 - Control Assessment'!$A$16:$A$67,0)),0)</f>
        <v/>
      </c>
      <c r="I175" s="444">
        <f>F175*G175*H175</f>
        <v/>
      </c>
      <c r="J175" s="406" t="inlineStr">
        <is>
          <t>Direct ATT&amp;CK mitigation relationship</t>
        </is>
      </c>
      <c r="K175" s="426" t="inlineStr">
        <is>
          <t>https://attack.mitre.org/techniques/T0816</t>
        </is>
      </c>
      <c r="L175" s="426" t="inlineStr">
        <is>
          <t>https://attack.mitre.org/mitigations/M0937</t>
        </is>
      </c>
      <c r="M175" s="406" t="inlineStr">
        <is>
          <t>Current Power Generation working prior (80%) because ATT&amp;CK establishes mitigation applicability but does not quantify efficacy. Replace with test / incident / SME calibration when available.</t>
        </is>
      </c>
    </row>
    <row r="176" ht="41.25" customHeight="1" s="508">
      <c r="A176" s="406" t="inlineStr">
        <is>
          <t>T0843.001</t>
        </is>
      </c>
      <c r="B176" s="406" t="inlineStr">
        <is>
          <t>Download All</t>
        </is>
      </c>
      <c r="C176" s="406" t="inlineStr">
        <is>
          <t>M0937</t>
        </is>
      </c>
      <c r="D176" s="406" t="inlineStr">
        <is>
          <t>Filter Network Traffic</t>
        </is>
      </c>
      <c r="E176" s="406" t="inlineStr">
        <is>
          <t>Prevent / Resist</t>
        </is>
      </c>
      <c r="F176" s="417" t="n">
        <v>0.8</v>
      </c>
      <c r="G176" s="444">
        <f>IFERROR(INDEX('OT 04 - Control Assessment'!$I$16:$I$67,MATCH(C176,'OT 04 - Control Assessment'!$A$16:$A$67,0)),0)</f>
        <v/>
      </c>
      <c r="H176" s="444">
        <f>IFERROR(INDEX('OT 04 - Control Assessment'!$J$16:$J$67,MATCH(C176,'OT 04 - Control Assessment'!$A$16:$A$67,0)),0)</f>
        <v/>
      </c>
      <c r="I176" s="444">
        <f>F176*G176*H176</f>
        <v/>
      </c>
      <c r="J176" s="406" t="inlineStr">
        <is>
          <t>Direct ATT&amp;CK mitigation relationship</t>
        </is>
      </c>
      <c r="K176" s="426" t="inlineStr">
        <is>
          <t>https://attack.mitre.org/techniques/T0843/001</t>
        </is>
      </c>
      <c r="L176" s="426" t="inlineStr">
        <is>
          <t>https://attack.mitre.org/mitigations/M0937</t>
        </is>
      </c>
      <c r="M176" s="406" t="inlineStr">
        <is>
          <t>Current Power Generation working prior (80%) because ATT&amp;CK establishes mitigation applicability but does not quantify efficacy. Replace with test / incident / SME calibration when available.</t>
        </is>
      </c>
    </row>
    <row r="177" ht="41.25" customHeight="1" s="508">
      <c r="A177" s="406" t="inlineStr">
        <is>
          <t>T1693</t>
        </is>
      </c>
      <c r="B177" s="406" t="inlineStr">
        <is>
          <t>Modify Firmware</t>
        </is>
      </c>
      <c r="C177" s="406" t="inlineStr">
        <is>
          <t>M0937</t>
        </is>
      </c>
      <c r="D177" s="406" t="inlineStr">
        <is>
          <t>Filter Network Traffic</t>
        </is>
      </c>
      <c r="E177" s="406" t="inlineStr">
        <is>
          <t>Prevent / Resist</t>
        </is>
      </c>
      <c r="F177" s="417" t="n">
        <v>0.8</v>
      </c>
      <c r="G177" s="444">
        <f>IFERROR(INDEX('OT 04 - Control Assessment'!$I$16:$I$67,MATCH(C177,'OT 04 - Control Assessment'!$A$16:$A$67,0)),0)</f>
        <v/>
      </c>
      <c r="H177" s="444">
        <f>IFERROR(INDEX('OT 04 - Control Assessment'!$J$16:$J$67,MATCH(C177,'OT 04 - Control Assessment'!$A$16:$A$67,0)),0)</f>
        <v/>
      </c>
      <c r="I177" s="444">
        <f>F177*G177*H177</f>
        <v/>
      </c>
      <c r="J177" s="406" t="inlineStr">
        <is>
          <t>Direct ATT&amp;CK mitigation relationship</t>
        </is>
      </c>
      <c r="K177" s="426" t="inlineStr">
        <is>
          <t>https://attack.mitre.org/techniques/T1693</t>
        </is>
      </c>
      <c r="L177" s="426" t="inlineStr">
        <is>
          <t>https://attack.mitre.org/mitigations/M0937</t>
        </is>
      </c>
      <c r="M177" s="406" t="inlineStr">
        <is>
          <t>Current Power Generation working prior (80%) because ATT&amp;CK establishes mitigation applicability but does not quantify efficacy. Replace with test / incident / SME calibration when available.</t>
        </is>
      </c>
    </row>
    <row r="178" ht="41.25" customHeight="1" s="508">
      <c r="A178" s="406" t="inlineStr">
        <is>
          <t>T1693.002</t>
        </is>
      </c>
      <c r="B178" s="406" t="inlineStr">
        <is>
          <t>Module Firmware</t>
        </is>
      </c>
      <c r="C178" s="406" t="inlineStr">
        <is>
          <t>M0937</t>
        </is>
      </c>
      <c r="D178" s="406" t="inlineStr">
        <is>
          <t>Filter Network Traffic</t>
        </is>
      </c>
      <c r="E178" s="406" t="inlineStr">
        <is>
          <t>Prevent / Resist</t>
        </is>
      </c>
      <c r="F178" s="417" t="n">
        <v>0.8</v>
      </c>
      <c r="G178" s="444">
        <f>IFERROR(INDEX('OT 04 - Control Assessment'!$I$16:$I$67,MATCH(C178,'OT 04 - Control Assessment'!$A$16:$A$67,0)),0)</f>
        <v/>
      </c>
      <c r="H178" s="444">
        <f>IFERROR(INDEX('OT 04 - Control Assessment'!$J$16:$J$67,MATCH(C178,'OT 04 - Control Assessment'!$A$16:$A$67,0)),0)</f>
        <v/>
      </c>
      <c r="I178" s="444">
        <f>F178*G178*H178</f>
        <v/>
      </c>
      <c r="J178" s="406" t="inlineStr">
        <is>
          <t>Direct ATT&amp;CK mitigation relationship</t>
        </is>
      </c>
      <c r="K178" s="426" t="inlineStr">
        <is>
          <t>https://attack.mitre.org/techniques/T1693/002</t>
        </is>
      </c>
      <c r="L178" s="426" t="inlineStr">
        <is>
          <t>https://attack.mitre.org/mitigations/M0937</t>
        </is>
      </c>
      <c r="M178" s="406" t="inlineStr">
        <is>
          <t>Current Power Generation working prior (80%) because ATT&amp;CK establishes mitigation applicability but does not quantify efficacy. Replace with test / incident / SME calibration when available.</t>
        </is>
      </c>
    </row>
    <row r="179" ht="41.25" customHeight="1" s="508">
      <c r="A179" s="406" t="inlineStr">
        <is>
          <t>T0843.002</t>
        </is>
      </c>
      <c r="B179" s="406" t="inlineStr">
        <is>
          <t>Online Edit</t>
        </is>
      </c>
      <c r="C179" s="406" t="inlineStr">
        <is>
          <t>M0937</t>
        </is>
      </c>
      <c r="D179" s="406" t="inlineStr">
        <is>
          <t>Filter Network Traffic</t>
        </is>
      </c>
      <c r="E179" s="406" t="inlineStr">
        <is>
          <t>Prevent / Resist</t>
        </is>
      </c>
      <c r="F179" s="417" t="n">
        <v>0.8</v>
      </c>
      <c r="G179" s="444">
        <f>IFERROR(INDEX('OT 04 - Control Assessment'!$I$16:$I$67,MATCH(C179,'OT 04 - Control Assessment'!$A$16:$A$67,0)),0)</f>
        <v/>
      </c>
      <c r="H179" s="444">
        <f>IFERROR(INDEX('OT 04 - Control Assessment'!$J$16:$J$67,MATCH(C179,'OT 04 - Control Assessment'!$A$16:$A$67,0)),0)</f>
        <v/>
      </c>
      <c r="I179" s="444">
        <f>F179*G179*H179</f>
        <v/>
      </c>
      <c r="J179" s="406" t="inlineStr">
        <is>
          <t>Direct ATT&amp;CK mitigation relationship</t>
        </is>
      </c>
      <c r="K179" s="426" t="inlineStr">
        <is>
          <t>https://attack.mitre.org/techniques/T0843/002</t>
        </is>
      </c>
      <c r="L179" s="426" t="inlineStr">
        <is>
          <t>https://attack.mitre.org/mitigations/M0937</t>
        </is>
      </c>
      <c r="M179" s="406" t="inlineStr">
        <is>
          <t>Current Power Generation working prior (80%) because ATT&amp;CK establishes mitigation applicability but does not quantify efficacy. Replace with test / incident / SME calibration when available.</t>
        </is>
      </c>
    </row>
    <row r="180" ht="41.25" customHeight="1" s="508">
      <c r="A180" s="406" t="inlineStr">
        <is>
          <t>T0861</t>
        </is>
      </c>
      <c r="B180" s="406" t="inlineStr">
        <is>
          <t>Point &amp; Tag Identification</t>
        </is>
      </c>
      <c r="C180" s="406" t="inlineStr">
        <is>
          <t>M0937</t>
        </is>
      </c>
      <c r="D180" s="406" t="inlineStr">
        <is>
          <t>Filter Network Traffic</t>
        </is>
      </c>
      <c r="E180" s="406" t="inlineStr">
        <is>
          <t>Prevent / Resist</t>
        </is>
      </c>
      <c r="F180" s="417" t="n">
        <v>0.8</v>
      </c>
      <c r="G180" s="444">
        <f>IFERROR(INDEX('OT 04 - Control Assessment'!$I$16:$I$67,MATCH(C180,'OT 04 - Control Assessment'!$A$16:$A$67,0)),0)</f>
        <v/>
      </c>
      <c r="H180" s="444">
        <f>IFERROR(INDEX('OT 04 - Control Assessment'!$J$16:$J$67,MATCH(C180,'OT 04 - Control Assessment'!$A$16:$A$67,0)),0)</f>
        <v/>
      </c>
      <c r="I180" s="444">
        <f>F180*G180*H180</f>
        <v/>
      </c>
      <c r="J180" s="406" t="inlineStr">
        <is>
          <t>Direct ATT&amp;CK mitigation relationship</t>
        </is>
      </c>
      <c r="K180" s="426" t="inlineStr">
        <is>
          <t>https://attack.mitre.org/techniques/T0861</t>
        </is>
      </c>
      <c r="L180" s="426" t="inlineStr">
        <is>
          <t>https://attack.mitre.org/mitigations/M0937</t>
        </is>
      </c>
      <c r="M180" s="406" t="inlineStr">
        <is>
          <t>Current Power Generation working prior (80%) because ATT&amp;CK establishes mitigation applicability but does not quantify efficacy. Replace with test / incident / SME calibration when available.</t>
        </is>
      </c>
    </row>
    <row r="181" ht="41.25" customHeight="1" s="508">
      <c r="A181" s="406" t="inlineStr">
        <is>
          <t>T0843.003</t>
        </is>
      </c>
      <c r="B181" s="406" t="inlineStr">
        <is>
          <t>Program Append</t>
        </is>
      </c>
      <c r="C181" s="406" t="inlineStr">
        <is>
          <t>M0937</t>
        </is>
      </c>
      <c r="D181" s="406" t="inlineStr">
        <is>
          <t>Filter Network Traffic</t>
        </is>
      </c>
      <c r="E181" s="406" t="inlineStr">
        <is>
          <t>Prevent / Resist</t>
        </is>
      </c>
      <c r="F181" s="417" t="n">
        <v>0.8</v>
      </c>
      <c r="G181" s="444">
        <f>IFERROR(INDEX('OT 04 - Control Assessment'!$I$16:$I$67,MATCH(C181,'OT 04 - Control Assessment'!$A$16:$A$67,0)),0)</f>
        <v/>
      </c>
      <c r="H181" s="444">
        <f>IFERROR(INDEX('OT 04 - Control Assessment'!$J$16:$J$67,MATCH(C181,'OT 04 - Control Assessment'!$A$16:$A$67,0)),0)</f>
        <v/>
      </c>
      <c r="I181" s="444">
        <f>F181*G181*H181</f>
        <v/>
      </c>
      <c r="J181" s="406" t="inlineStr">
        <is>
          <t>Direct ATT&amp;CK mitigation relationship</t>
        </is>
      </c>
      <c r="K181" s="426" t="inlineStr">
        <is>
          <t>https://attack.mitre.org/techniques/T0843/003</t>
        </is>
      </c>
      <c r="L181" s="426" t="inlineStr">
        <is>
          <t>https://attack.mitre.org/mitigations/M0937</t>
        </is>
      </c>
      <c r="M181" s="406" t="inlineStr">
        <is>
          <t>Current Power Generation working prior (80%) because ATT&amp;CK establishes mitigation applicability but does not quantify efficacy. Replace with test / incident / SME calibration when available.</t>
        </is>
      </c>
    </row>
    <row r="182" ht="41.25" customHeight="1" s="508">
      <c r="A182" s="406" t="inlineStr">
        <is>
          <t>T0843</t>
        </is>
      </c>
      <c r="B182" s="406" t="inlineStr">
        <is>
          <t>Program Download</t>
        </is>
      </c>
      <c r="C182" s="406" t="inlineStr">
        <is>
          <t>M0937</t>
        </is>
      </c>
      <c r="D182" s="406" t="inlineStr">
        <is>
          <t>Filter Network Traffic</t>
        </is>
      </c>
      <c r="E182" s="406" t="inlineStr">
        <is>
          <t>Prevent / Resist</t>
        </is>
      </c>
      <c r="F182" s="417" t="n">
        <v>0.8</v>
      </c>
      <c r="G182" s="444">
        <f>IFERROR(INDEX('OT 04 - Control Assessment'!$I$16:$I$67,MATCH(C182,'OT 04 - Control Assessment'!$A$16:$A$67,0)),0)</f>
        <v/>
      </c>
      <c r="H182" s="444">
        <f>IFERROR(INDEX('OT 04 - Control Assessment'!$J$16:$J$67,MATCH(C182,'OT 04 - Control Assessment'!$A$16:$A$67,0)),0)</f>
        <v/>
      </c>
      <c r="I182" s="444">
        <f>F182*G182*H182</f>
        <v/>
      </c>
      <c r="J182" s="406" t="inlineStr">
        <is>
          <t>Direct ATT&amp;CK mitigation relationship</t>
        </is>
      </c>
      <c r="K182" s="426" t="inlineStr">
        <is>
          <t>https://attack.mitre.org/techniques/T0843</t>
        </is>
      </c>
      <c r="L182" s="426" t="inlineStr">
        <is>
          <t>https://attack.mitre.org/mitigations/M0937</t>
        </is>
      </c>
      <c r="M182" s="406" t="inlineStr">
        <is>
          <t>Current Power Generation working prior (80%) because ATT&amp;CK establishes mitigation applicability but does not quantify efficacy. Replace with test / incident / SME calibration when available.</t>
        </is>
      </c>
    </row>
    <row r="183" ht="41.25" customHeight="1" s="508">
      <c r="A183" s="406" t="inlineStr">
        <is>
          <t>T0845</t>
        </is>
      </c>
      <c r="B183" s="406" t="inlineStr">
        <is>
          <t>Program Upload</t>
        </is>
      </c>
      <c r="C183" s="406" t="inlineStr">
        <is>
          <t>M0937</t>
        </is>
      </c>
      <c r="D183" s="406" t="inlineStr">
        <is>
          <t>Filter Network Traffic</t>
        </is>
      </c>
      <c r="E183" s="406" t="inlineStr">
        <is>
          <t>Prevent / Resist</t>
        </is>
      </c>
      <c r="F183" s="417" t="n">
        <v>0.8</v>
      </c>
      <c r="G183" s="444">
        <f>IFERROR(INDEX('OT 04 - Control Assessment'!$I$16:$I$67,MATCH(C183,'OT 04 - Control Assessment'!$A$16:$A$67,0)),0)</f>
        <v/>
      </c>
      <c r="H183" s="444">
        <f>IFERROR(INDEX('OT 04 - Control Assessment'!$J$16:$J$67,MATCH(C183,'OT 04 - Control Assessment'!$A$16:$A$67,0)),0)</f>
        <v/>
      </c>
      <c r="I183" s="444">
        <f>F183*G183*H183</f>
        <v/>
      </c>
      <c r="J183" s="406" t="inlineStr">
        <is>
          <t>Direct ATT&amp;CK mitigation relationship</t>
        </is>
      </c>
      <c r="K183" s="426" t="inlineStr">
        <is>
          <t>https://attack.mitre.org/techniques/T0845</t>
        </is>
      </c>
      <c r="L183" s="426" t="inlineStr">
        <is>
          <t>https://attack.mitre.org/mitigations/M0937</t>
        </is>
      </c>
      <c r="M183" s="406" t="inlineStr">
        <is>
          <t>Current Power Generation working prior (80%) because ATT&amp;CK establishes mitigation applicability but does not quantify efficacy. Replace with test / incident / SME calibration when available.</t>
        </is>
      </c>
    </row>
    <row r="184" ht="41.25" customHeight="1" s="508">
      <c r="A184" s="406" t="inlineStr">
        <is>
          <t>T0886</t>
        </is>
      </c>
      <c r="B184" s="406" t="inlineStr">
        <is>
          <t>Remote Services</t>
        </is>
      </c>
      <c r="C184" s="406" t="inlineStr">
        <is>
          <t>M0937</t>
        </is>
      </c>
      <c r="D184" s="406" t="inlineStr">
        <is>
          <t>Filter Network Traffic</t>
        </is>
      </c>
      <c r="E184" s="406" t="inlineStr">
        <is>
          <t>Prevent / Resist</t>
        </is>
      </c>
      <c r="F184" s="417" t="n">
        <v>0.8</v>
      </c>
      <c r="G184" s="444">
        <f>IFERROR(INDEX('OT 04 - Control Assessment'!$I$16:$I$67,MATCH(C184,'OT 04 - Control Assessment'!$A$16:$A$67,0)),0)</f>
        <v/>
      </c>
      <c r="H184" s="444">
        <f>IFERROR(INDEX('OT 04 - Control Assessment'!$J$16:$J$67,MATCH(C184,'OT 04 - Control Assessment'!$A$16:$A$67,0)),0)</f>
        <v/>
      </c>
      <c r="I184" s="444">
        <f>F184*G184*H184</f>
        <v/>
      </c>
      <c r="J184" s="406" t="inlineStr">
        <is>
          <t>Direct ATT&amp;CK mitigation relationship</t>
        </is>
      </c>
      <c r="K184" s="426" t="inlineStr">
        <is>
          <t>https://attack.mitre.org/techniques/T0886</t>
        </is>
      </c>
      <c r="L184" s="426" t="inlineStr">
        <is>
          <t>https://attack.mitre.org/mitigations/M0937</t>
        </is>
      </c>
      <c r="M184" s="406" t="inlineStr">
        <is>
          <t>Current Power Generation working prior (80%) because ATT&amp;CK establishes mitigation applicability but does not quantify efficacy. Replace with test / incident / SME calibration when available.</t>
        </is>
      </c>
    </row>
    <row r="185" ht="41.25" customHeight="1" s="508">
      <c r="A185" s="406" t="inlineStr">
        <is>
          <t>T1692.002</t>
        </is>
      </c>
      <c r="B185" s="406" t="inlineStr">
        <is>
          <t>Reporting Message</t>
        </is>
      </c>
      <c r="C185" s="406" t="inlineStr">
        <is>
          <t>M0937</t>
        </is>
      </c>
      <c r="D185" s="406" t="inlineStr">
        <is>
          <t>Filter Network Traffic</t>
        </is>
      </c>
      <c r="E185" s="406" t="inlineStr">
        <is>
          <t>Prevent / Resist</t>
        </is>
      </c>
      <c r="F185" s="417" t="n">
        <v>0.8</v>
      </c>
      <c r="G185" s="444">
        <f>IFERROR(INDEX('OT 04 - Control Assessment'!$I$16:$I$67,MATCH(C185,'OT 04 - Control Assessment'!$A$16:$A$67,0)),0)</f>
        <v/>
      </c>
      <c r="H185" s="444">
        <f>IFERROR(INDEX('OT 04 - Control Assessment'!$J$16:$J$67,MATCH(C185,'OT 04 - Control Assessment'!$A$16:$A$67,0)),0)</f>
        <v/>
      </c>
      <c r="I185" s="444">
        <f>F185*G185*H185</f>
        <v/>
      </c>
      <c r="J185" s="406" t="inlineStr">
        <is>
          <t>Direct ATT&amp;CK mitigation relationship</t>
        </is>
      </c>
      <c r="K185" s="426" t="inlineStr">
        <is>
          <t>https://attack.mitre.org/techniques/T1692/002</t>
        </is>
      </c>
      <c r="L185" s="426" t="inlineStr">
        <is>
          <t>https://attack.mitre.org/mitigations/M0937</t>
        </is>
      </c>
      <c r="M185" s="406" t="inlineStr">
        <is>
          <t>Current Power Generation working prior (80%) because ATT&amp;CK establishes mitigation applicability but does not quantify efficacy. Replace with test / incident / SME calibration when available.</t>
        </is>
      </c>
    </row>
    <row r="186" ht="41.25" customHeight="1" s="508">
      <c r="A186" s="406" t="inlineStr">
        <is>
          <t>T0848</t>
        </is>
      </c>
      <c r="B186" s="406" t="inlineStr">
        <is>
          <t>Rogue Master</t>
        </is>
      </c>
      <c r="C186" s="406" t="inlineStr">
        <is>
          <t>M0937</t>
        </is>
      </c>
      <c r="D186" s="406" t="inlineStr">
        <is>
          <t>Filter Network Traffic</t>
        </is>
      </c>
      <c r="E186" s="406" t="inlineStr">
        <is>
          <t>Prevent / Resist</t>
        </is>
      </c>
      <c r="F186" s="417" t="n">
        <v>0.8</v>
      </c>
      <c r="G186" s="444">
        <f>IFERROR(INDEX('OT 04 - Control Assessment'!$I$16:$I$67,MATCH(C186,'OT 04 - Control Assessment'!$A$16:$A$67,0)),0)</f>
        <v/>
      </c>
      <c r="H186" s="444">
        <f>IFERROR(INDEX('OT 04 - Control Assessment'!$J$16:$J$67,MATCH(C186,'OT 04 - Control Assessment'!$A$16:$A$67,0)),0)</f>
        <v/>
      </c>
      <c r="I186" s="444">
        <f>F186*G186*H186</f>
        <v/>
      </c>
      <c r="J186" s="406" t="inlineStr">
        <is>
          <t>Direct ATT&amp;CK mitigation relationship</t>
        </is>
      </c>
      <c r="K186" s="426" t="inlineStr">
        <is>
          <t>https://attack.mitre.org/techniques/T0848</t>
        </is>
      </c>
      <c r="L186" s="426" t="inlineStr">
        <is>
          <t>https://attack.mitre.org/mitigations/M0937</t>
        </is>
      </c>
      <c r="M186" s="406" t="inlineStr">
        <is>
          <t>Current Power Generation working prior (80%) because ATT&amp;CK establishes mitigation applicability but does not quantify efficacy. Replace with test / incident / SME calibration when available.</t>
        </is>
      </c>
    </row>
    <row r="187" ht="41.25" customHeight="1" s="508">
      <c r="A187" s="406" t="inlineStr">
        <is>
          <t>T1693.001</t>
        </is>
      </c>
      <c r="B187" s="406" t="inlineStr">
        <is>
          <t>System Firmware</t>
        </is>
      </c>
      <c r="C187" s="406" t="inlineStr">
        <is>
          <t>M0937</t>
        </is>
      </c>
      <c r="D187" s="406" t="inlineStr">
        <is>
          <t>Filter Network Traffic</t>
        </is>
      </c>
      <c r="E187" s="406" t="inlineStr">
        <is>
          <t>Prevent / Resist</t>
        </is>
      </c>
      <c r="F187" s="417" t="n">
        <v>0.8</v>
      </c>
      <c r="G187" s="444">
        <f>IFERROR(INDEX('OT 04 - Control Assessment'!$I$16:$I$67,MATCH(C187,'OT 04 - Control Assessment'!$A$16:$A$67,0)),0)</f>
        <v/>
      </c>
      <c r="H187" s="444">
        <f>IFERROR(INDEX('OT 04 - Control Assessment'!$J$16:$J$67,MATCH(C187,'OT 04 - Control Assessment'!$A$16:$A$67,0)),0)</f>
        <v/>
      </c>
      <c r="I187" s="444">
        <f>F187*G187*H187</f>
        <v/>
      </c>
      <c r="J187" s="406" t="inlineStr">
        <is>
          <t>Direct ATT&amp;CK mitigation relationship</t>
        </is>
      </c>
      <c r="K187" s="426" t="inlineStr">
        <is>
          <t>https://attack.mitre.org/techniques/T1693/001</t>
        </is>
      </c>
      <c r="L187" s="426" t="inlineStr">
        <is>
          <t>https://attack.mitre.org/mitigations/M0937</t>
        </is>
      </c>
      <c r="M187" s="406" t="inlineStr">
        <is>
          <t>Current Power Generation working prior (80%) because ATT&amp;CK establishes mitigation applicability but does not quantify efficacy. Replace with test / incident / SME calibration when available.</t>
        </is>
      </c>
    </row>
    <row r="188" ht="41.25" customHeight="1" s="508">
      <c r="A188" s="406" t="inlineStr">
        <is>
          <t>T1692</t>
        </is>
      </c>
      <c r="B188" s="406" t="inlineStr">
        <is>
          <t>Unauthorized Message</t>
        </is>
      </c>
      <c r="C188" s="406" t="inlineStr">
        <is>
          <t>M0937</t>
        </is>
      </c>
      <c r="D188" s="406" t="inlineStr">
        <is>
          <t>Filter Network Traffic</t>
        </is>
      </c>
      <c r="E188" s="406" t="inlineStr">
        <is>
          <t>Prevent / Resist</t>
        </is>
      </c>
      <c r="F188" s="417" t="n">
        <v>0.8</v>
      </c>
      <c r="G188" s="444">
        <f>IFERROR(INDEX('OT 04 - Control Assessment'!$I$16:$I$67,MATCH(C188,'OT 04 - Control Assessment'!$A$16:$A$67,0)),0)</f>
        <v/>
      </c>
      <c r="H188" s="444">
        <f>IFERROR(INDEX('OT 04 - Control Assessment'!$J$16:$J$67,MATCH(C188,'OT 04 - Control Assessment'!$A$16:$A$67,0)),0)</f>
        <v/>
      </c>
      <c r="I188" s="444">
        <f>F188*G188*H188</f>
        <v/>
      </c>
      <c r="J188" s="406" t="inlineStr">
        <is>
          <t>Direct ATT&amp;CK mitigation relationship</t>
        </is>
      </c>
      <c r="K188" s="426" t="inlineStr">
        <is>
          <t>https://attack.mitre.org/techniques/T1692</t>
        </is>
      </c>
      <c r="L188" s="426" t="inlineStr">
        <is>
          <t>https://attack.mitre.org/mitigations/M0937</t>
        </is>
      </c>
      <c r="M188" s="406" t="inlineStr">
        <is>
          <t>Current Power Generation working prior (80%) because ATT&amp;CK establishes mitigation applicability but does not quantify efficacy. Replace with test / incident / SME calibration when available.</t>
        </is>
      </c>
    </row>
    <row r="189" ht="41.25" customHeight="1" s="508">
      <c r="A189" s="406" t="inlineStr">
        <is>
          <t>T0859</t>
        </is>
      </c>
      <c r="B189" s="406" t="inlineStr">
        <is>
          <t>Valid Accounts</t>
        </is>
      </c>
      <c r="C189" s="406" t="inlineStr">
        <is>
          <t>M0937</t>
        </is>
      </c>
      <c r="D189" s="406" t="inlineStr">
        <is>
          <t>Filter Network Traffic</t>
        </is>
      </c>
      <c r="E189" s="406" t="inlineStr">
        <is>
          <t>Prevent / Resist</t>
        </is>
      </c>
      <c r="F189" s="417" t="n">
        <v>0.8</v>
      </c>
      <c r="G189" s="444">
        <f>IFERROR(INDEX('OT 04 - Control Assessment'!$I$16:$I$67,MATCH(C189,'OT 04 - Control Assessment'!$A$16:$A$67,0)),0)</f>
        <v/>
      </c>
      <c r="H189" s="444">
        <f>IFERROR(INDEX('OT 04 - Control Assessment'!$J$16:$J$67,MATCH(C189,'OT 04 - Control Assessment'!$A$16:$A$67,0)),0)</f>
        <v/>
      </c>
      <c r="I189" s="444">
        <f>F189*G189*H189</f>
        <v/>
      </c>
      <c r="J189" s="406" t="inlineStr">
        <is>
          <t>Direct ATT&amp;CK mitigation relationship</t>
        </is>
      </c>
      <c r="K189" s="426" t="inlineStr">
        <is>
          <t>https://attack.mitre.org/techniques/T0859</t>
        </is>
      </c>
      <c r="L189" s="426" t="inlineStr">
        <is>
          <t>https://attack.mitre.org/mitigations/M0937</t>
        </is>
      </c>
      <c r="M189" s="406" t="inlineStr">
        <is>
          <t>Current Power Generation working prior (80%) because ATT&amp;CK establishes mitigation applicability but does not quantify efficacy. Replace with test / incident / SME calibration when available.</t>
        </is>
      </c>
    </row>
    <row r="190" ht="41.25" customHeight="1" s="508">
      <c r="A190" s="406" t="inlineStr">
        <is>
          <t>T0800</t>
        </is>
      </c>
      <c r="B190" s="406" t="inlineStr">
        <is>
          <t>Activate Firmware Update Mode</t>
        </is>
      </c>
      <c r="C190" s="406" t="inlineStr">
        <is>
          <t>M0804</t>
        </is>
      </c>
      <c r="D190" s="406" t="inlineStr">
        <is>
          <t>Human User Authentication</t>
        </is>
      </c>
      <c r="E190" s="406" t="inlineStr">
        <is>
          <t>Prevent / Resist</t>
        </is>
      </c>
      <c r="F190" s="417" t="n">
        <v>0.8</v>
      </c>
      <c r="G190" s="444">
        <f>IFERROR(INDEX('OT 04 - Control Assessment'!$I$16:$I$67,MATCH(C190,'OT 04 - Control Assessment'!$A$16:$A$67,0)),0)</f>
        <v/>
      </c>
      <c r="H190" s="444">
        <f>IFERROR(INDEX('OT 04 - Control Assessment'!$J$16:$J$67,MATCH(C190,'OT 04 - Control Assessment'!$A$16:$A$67,0)),0)</f>
        <v/>
      </c>
      <c r="I190" s="444">
        <f>F190*G190*H190</f>
        <v/>
      </c>
      <c r="J190" s="406" t="inlineStr">
        <is>
          <t>Direct ATT&amp;CK mitigation relationship</t>
        </is>
      </c>
      <c r="K190" s="426" t="inlineStr">
        <is>
          <t>https://attack.mitre.org/techniques/T0800</t>
        </is>
      </c>
      <c r="L190" s="426" t="inlineStr">
        <is>
          <t>https://attack.mitre.org/mitigations/M0804</t>
        </is>
      </c>
      <c r="M190" s="406" t="inlineStr">
        <is>
          <t>Current Power Generation working prior (80%) because ATT&amp;CK establishes mitigation applicability but does not quantify efficacy. Replace with test / incident / SME calibration when available.</t>
        </is>
      </c>
    </row>
    <row r="191" ht="41.25" customHeight="1" s="508">
      <c r="A191" s="406" t="inlineStr">
        <is>
          <t>T0858</t>
        </is>
      </c>
      <c r="B191" s="406" t="inlineStr">
        <is>
          <t>Change Operating Mode</t>
        </is>
      </c>
      <c r="C191" s="406" t="inlineStr">
        <is>
          <t>M0804</t>
        </is>
      </c>
      <c r="D191" s="406" t="inlineStr">
        <is>
          <t>Human User Authentication</t>
        </is>
      </c>
      <c r="E191" s="406" t="inlineStr">
        <is>
          <t>Prevent / Resist</t>
        </is>
      </c>
      <c r="F191" s="417" t="n">
        <v>0.8</v>
      </c>
      <c r="G191" s="444">
        <f>IFERROR(INDEX('OT 04 - Control Assessment'!$I$16:$I$67,MATCH(C191,'OT 04 - Control Assessment'!$A$16:$A$67,0)),0)</f>
        <v/>
      </c>
      <c r="H191" s="444">
        <f>IFERROR(INDEX('OT 04 - Control Assessment'!$J$16:$J$67,MATCH(C191,'OT 04 - Control Assessment'!$A$16:$A$67,0)),0)</f>
        <v/>
      </c>
      <c r="I191" s="444">
        <f>F191*G191*H191</f>
        <v/>
      </c>
      <c r="J191" s="406" t="inlineStr">
        <is>
          <t>Direct ATT&amp;CK mitigation relationship</t>
        </is>
      </c>
      <c r="K191" s="426" t="inlineStr">
        <is>
          <t>https://attack.mitre.org/techniques/T0858</t>
        </is>
      </c>
      <c r="L191" s="426" t="inlineStr">
        <is>
          <t>https://attack.mitre.org/mitigations/M0804</t>
        </is>
      </c>
      <c r="M191" s="406" t="inlineStr">
        <is>
          <t>Current Power Generation working prior (80%) because ATT&amp;CK establishes mitigation applicability but does not quantify efficacy. Replace with test / incident / SME calibration when available.</t>
        </is>
      </c>
    </row>
    <row r="192" ht="41.25" customHeight="1" s="508">
      <c r="A192" s="406" t="inlineStr">
        <is>
          <t>T0885</t>
        </is>
      </c>
      <c r="B192" s="406" t="inlineStr">
        <is>
          <t>Commonly Used Port</t>
        </is>
      </c>
      <c r="C192" s="406" t="inlineStr">
        <is>
          <t>M0804</t>
        </is>
      </c>
      <c r="D192" s="406" t="inlineStr">
        <is>
          <t>Human User Authentication</t>
        </is>
      </c>
      <c r="E192" s="406" t="inlineStr">
        <is>
          <t>Prevent / Resist</t>
        </is>
      </c>
      <c r="F192" s="417" t="n">
        <v>0.8</v>
      </c>
      <c r="G192" s="444">
        <f>IFERROR(INDEX('OT 04 - Control Assessment'!$I$16:$I$67,MATCH(C192,'OT 04 - Control Assessment'!$A$16:$A$67,0)),0)</f>
        <v/>
      </c>
      <c r="H192" s="444">
        <f>IFERROR(INDEX('OT 04 - Control Assessment'!$J$16:$J$67,MATCH(C192,'OT 04 - Control Assessment'!$A$16:$A$67,0)),0)</f>
        <v/>
      </c>
      <c r="I192" s="444">
        <f>F192*G192*H192</f>
        <v/>
      </c>
      <c r="J192" s="406" t="inlineStr">
        <is>
          <t>Direct ATT&amp;CK mitigation relationship</t>
        </is>
      </c>
      <c r="K192" s="426" t="inlineStr">
        <is>
          <t>https://attack.mitre.org/techniques/T0885</t>
        </is>
      </c>
      <c r="L192" s="426" t="inlineStr">
        <is>
          <t>https://attack.mitre.org/mitigations/M0804</t>
        </is>
      </c>
      <c r="M192" s="406" t="inlineStr">
        <is>
          <t>Current Power Generation working prior (80%) because ATT&amp;CK establishes mitigation applicability but does not quantify efficacy. Replace with test / incident / SME calibration when available.</t>
        </is>
      </c>
    </row>
    <row r="193" ht="41.25" customHeight="1" s="508">
      <c r="A193" s="406" t="inlineStr">
        <is>
          <t>T0868</t>
        </is>
      </c>
      <c r="B193" s="406" t="inlineStr">
        <is>
          <t>Detect Operating Mode</t>
        </is>
      </c>
      <c r="C193" s="406" t="inlineStr">
        <is>
          <t>M0804</t>
        </is>
      </c>
      <c r="D193" s="406" t="inlineStr">
        <is>
          <t>Human User Authentication</t>
        </is>
      </c>
      <c r="E193" s="406" t="inlineStr">
        <is>
          <t>Prevent / Resist</t>
        </is>
      </c>
      <c r="F193" s="417" t="n">
        <v>0.8</v>
      </c>
      <c r="G193" s="444">
        <f>IFERROR(INDEX('OT 04 - Control Assessment'!$I$16:$I$67,MATCH(C193,'OT 04 - Control Assessment'!$A$16:$A$67,0)),0)</f>
        <v/>
      </c>
      <c r="H193" s="444">
        <f>IFERROR(INDEX('OT 04 - Control Assessment'!$J$16:$J$67,MATCH(C193,'OT 04 - Control Assessment'!$A$16:$A$67,0)),0)</f>
        <v/>
      </c>
      <c r="I193" s="444">
        <f>F193*G193*H193</f>
        <v/>
      </c>
      <c r="J193" s="406" t="inlineStr">
        <is>
          <t>Direct ATT&amp;CK mitigation relationship</t>
        </is>
      </c>
      <c r="K193" s="426" t="inlineStr">
        <is>
          <t>https://attack.mitre.org/techniques/T0868</t>
        </is>
      </c>
      <c r="L193" s="426" t="inlineStr">
        <is>
          <t>https://attack.mitre.org/mitigations/M0804</t>
        </is>
      </c>
      <c r="M193" s="406" t="inlineStr">
        <is>
          <t>Current Power Generation working prior (80%) because ATT&amp;CK establishes mitigation applicability but does not quantify efficacy. Replace with test / incident / SME calibration when available.</t>
        </is>
      </c>
    </row>
    <row r="194" ht="41.25" customHeight="1" s="508">
      <c r="A194" s="406" t="inlineStr">
        <is>
          <t>T0816</t>
        </is>
      </c>
      <c r="B194" s="406" t="inlineStr">
        <is>
          <t>Device Restart/Shutdown</t>
        </is>
      </c>
      <c r="C194" s="406" t="inlineStr">
        <is>
          <t>M0804</t>
        </is>
      </c>
      <c r="D194" s="406" t="inlineStr">
        <is>
          <t>Human User Authentication</t>
        </is>
      </c>
      <c r="E194" s="406" t="inlineStr">
        <is>
          <t>Prevent / Resist</t>
        </is>
      </c>
      <c r="F194" s="417" t="n">
        <v>0.8</v>
      </c>
      <c r="G194" s="444">
        <f>IFERROR(INDEX('OT 04 - Control Assessment'!$I$16:$I$67,MATCH(C194,'OT 04 - Control Assessment'!$A$16:$A$67,0)),0)</f>
        <v/>
      </c>
      <c r="H194" s="444">
        <f>IFERROR(INDEX('OT 04 - Control Assessment'!$J$16:$J$67,MATCH(C194,'OT 04 - Control Assessment'!$A$16:$A$67,0)),0)</f>
        <v/>
      </c>
      <c r="I194" s="444">
        <f>F194*G194*H194</f>
        <v/>
      </c>
      <c r="J194" s="406" t="inlineStr">
        <is>
          <t>Direct ATT&amp;CK mitigation relationship</t>
        </is>
      </c>
      <c r="K194" s="426" t="inlineStr">
        <is>
          <t>https://attack.mitre.org/techniques/T0816</t>
        </is>
      </c>
      <c r="L194" s="426" t="inlineStr">
        <is>
          <t>https://attack.mitre.org/mitigations/M0804</t>
        </is>
      </c>
      <c r="M194" s="406" t="inlineStr">
        <is>
          <t>Current Power Generation working prior (80%) because ATT&amp;CK establishes mitigation applicability but does not quantify efficacy. Replace with test / incident / SME calibration when available.</t>
        </is>
      </c>
    </row>
    <row r="195" ht="41.25" customHeight="1" s="508">
      <c r="A195" s="406" t="inlineStr">
        <is>
          <t>T0843.001</t>
        </is>
      </c>
      <c r="B195" s="406" t="inlineStr">
        <is>
          <t>Download All</t>
        </is>
      </c>
      <c r="C195" s="406" t="inlineStr">
        <is>
          <t>M0804</t>
        </is>
      </c>
      <c r="D195" s="406" t="inlineStr">
        <is>
          <t>Human User Authentication</t>
        </is>
      </c>
      <c r="E195" s="406" t="inlineStr">
        <is>
          <t>Prevent / Resist</t>
        </is>
      </c>
      <c r="F195" s="417" t="n">
        <v>0.8</v>
      </c>
      <c r="G195" s="444">
        <f>IFERROR(INDEX('OT 04 - Control Assessment'!$I$16:$I$67,MATCH(C195,'OT 04 - Control Assessment'!$A$16:$A$67,0)),0)</f>
        <v/>
      </c>
      <c r="H195" s="444">
        <f>IFERROR(INDEX('OT 04 - Control Assessment'!$J$16:$J$67,MATCH(C195,'OT 04 - Control Assessment'!$A$16:$A$67,0)),0)</f>
        <v/>
      </c>
      <c r="I195" s="444">
        <f>F195*G195*H195</f>
        <v/>
      </c>
      <c r="J195" s="406" t="inlineStr">
        <is>
          <t>Direct ATT&amp;CK mitigation relationship</t>
        </is>
      </c>
      <c r="K195" s="426" t="inlineStr">
        <is>
          <t>https://attack.mitre.org/techniques/T0843/001</t>
        </is>
      </c>
      <c r="L195" s="426" t="inlineStr">
        <is>
          <t>https://attack.mitre.org/mitigations/M0804</t>
        </is>
      </c>
      <c r="M195" s="406" t="inlineStr">
        <is>
          <t>Current Power Generation working prior (80%) because ATT&amp;CK establishes mitigation applicability but does not quantify efficacy. Replace with test / incident / SME calibration when available.</t>
        </is>
      </c>
    </row>
    <row r="196" ht="41.25" customHeight="1" s="508">
      <c r="A196" s="406" t="inlineStr">
        <is>
          <t>T0871</t>
        </is>
      </c>
      <c r="B196" s="406" t="inlineStr">
        <is>
          <t>Execution through API</t>
        </is>
      </c>
      <c r="C196" s="406" t="inlineStr">
        <is>
          <t>M0804</t>
        </is>
      </c>
      <c r="D196" s="406" t="inlineStr">
        <is>
          <t>Human User Authentication</t>
        </is>
      </c>
      <c r="E196" s="406" t="inlineStr">
        <is>
          <t>Prevent / Resist</t>
        </is>
      </c>
      <c r="F196" s="417" t="n">
        <v>0.8</v>
      </c>
      <c r="G196" s="444">
        <f>IFERROR(INDEX('OT 04 - Control Assessment'!$I$16:$I$67,MATCH(C196,'OT 04 - Control Assessment'!$A$16:$A$67,0)),0)</f>
        <v/>
      </c>
      <c r="H196" s="444">
        <f>IFERROR(INDEX('OT 04 - Control Assessment'!$J$16:$J$67,MATCH(C196,'OT 04 - Control Assessment'!$A$16:$A$67,0)),0)</f>
        <v/>
      </c>
      <c r="I196" s="444">
        <f>F196*G196*H196</f>
        <v/>
      </c>
      <c r="J196" s="406" t="inlineStr">
        <is>
          <t>Direct ATT&amp;CK mitigation relationship</t>
        </is>
      </c>
      <c r="K196" s="426" t="inlineStr">
        <is>
          <t>https://attack.mitre.org/techniques/T0871</t>
        </is>
      </c>
      <c r="L196" s="426" t="inlineStr">
        <is>
          <t>https://attack.mitre.org/mitigations/M0804</t>
        </is>
      </c>
      <c r="M196" s="406" t="inlineStr">
        <is>
          <t>Current Power Generation working prior (80%) because ATT&amp;CK establishes mitigation applicability but does not quantify efficacy. Replace with test / incident / SME calibration when available.</t>
        </is>
      </c>
    </row>
    <row r="197" ht="41.25" customHeight="1" s="508">
      <c r="A197" s="406" t="inlineStr">
        <is>
          <t>T0838</t>
        </is>
      </c>
      <c r="B197" s="406" t="inlineStr">
        <is>
          <t>Modify Alarm Settings</t>
        </is>
      </c>
      <c r="C197" s="406" t="inlineStr">
        <is>
          <t>M0804</t>
        </is>
      </c>
      <c r="D197" s="406" t="inlineStr">
        <is>
          <t>Human User Authentication</t>
        </is>
      </c>
      <c r="E197" s="406" t="inlineStr">
        <is>
          <t>Prevent / Resist</t>
        </is>
      </c>
      <c r="F197" s="417" t="n">
        <v>0.8</v>
      </c>
      <c r="G197" s="444">
        <f>IFERROR(INDEX('OT 04 - Control Assessment'!$I$16:$I$67,MATCH(C197,'OT 04 - Control Assessment'!$A$16:$A$67,0)),0)</f>
        <v/>
      </c>
      <c r="H197" s="444">
        <f>IFERROR(INDEX('OT 04 - Control Assessment'!$J$16:$J$67,MATCH(C197,'OT 04 - Control Assessment'!$A$16:$A$67,0)),0)</f>
        <v/>
      </c>
      <c r="I197" s="444">
        <f>F197*G197*H197</f>
        <v/>
      </c>
      <c r="J197" s="406" t="inlineStr">
        <is>
          <t>Direct ATT&amp;CK mitigation relationship</t>
        </is>
      </c>
      <c r="K197" s="426" t="inlineStr">
        <is>
          <t>https://attack.mitre.org/techniques/T0838</t>
        </is>
      </c>
      <c r="L197" s="426" t="inlineStr">
        <is>
          <t>https://attack.mitre.org/mitigations/M0804</t>
        </is>
      </c>
      <c r="M197" s="406" t="inlineStr">
        <is>
          <t>Current Power Generation working prior (80%) because ATT&amp;CK establishes mitigation applicability but does not quantify efficacy. Replace with test / incident / SME calibration when available.</t>
        </is>
      </c>
    </row>
    <row r="198" ht="41.25" customHeight="1" s="508">
      <c r="A198" s="406" t="inlineStr">
        <is>
          <t>T0821</t>
        </is>
      </c>
      <c r="B198" s="406" t="inlineStr">
        <is>
          <t>Modify Controller Tasking</t>
        </is>
      </c>
      <c r="C198" s="406" t="inlineStr">
        <is>
          <t>M0804</t>
        </is>
      </c>
      <c r="D198" s="406" t="inlineStr">
        <is>
          <t>Human User Authentication</t>
        </is>
      </c>
      <c r="E198" s="406" t="inlineStr">
        <is>
          <t>Prevent / Resist</t>
        </is>
      </c>
      <c r="F198" s="417" t="n">
        <v>0.8</v>
      </c>
      <c r="G198" s="444">
        <f>IFERROR(INDEX('OT 04 - Control Assessment'!$I$16:$I$67,MATCH(C198,'OT 04 - Control Assessment'!$A$16:$A$67,0)),0)</f>
        <v/>
      </c>
      <c r="H198" s="444">
        <f>IFERROR(INDEX('OT 04 - Control Assessment'!$J$16:$J$67,MATCH(C198,'OT 04 - Control Assessment'!$A$16:$A$67,0)),0)</f>
        <v/>
      </c>
      <c r="I198" s="444">
        <f>F198*G198*H198</f>
        <v/>
      </c>
      <c r="J198" s="406" t="inlineStr">
        <is>
          <t>Direct ATT&amp;CK mitigation relationship</t>
        </is>
      </c>
      <c r="K198" s="426" t="inlineStr">
        <is>
          <t>https://attack.mitre.org/techniques/T0821</t>
        </is>
      </c>
      <c r="L198" s="426" t="inlineStr">
        <is>
          <t>https://attack.mitre.org/mitigations/M0804</t>
        </is>
      </c>
      <c r="M198" s="406" t="inlineStr">
        <is>
          <t>Current Power Generation working prior (80%) because ATT&amp;CK establishes mitigation applicability but does not quantify efficacy. Replace with test / incident / SME calibration when available.</t>
        </is>
      </c>
    </row>
    <row r="199" ht="41.25" customHeight="1" s="508">
      <c r="A199" s="406" t="inlineStr">
        <is>
          <t>T1693</t>
        </is>
      </c>
      <c r="B199" s="406" t="inlineStr">
        <is>
          <t>Modify Firmware</t>
        </is>
      </c>
      <c r="C199" s="406" t="inlineStr">
        <is>
          <t>M0804</t>
        </is>
      </c>
      <c r="D199" s="406" t="inlineStr">
        <is>
          <t>Human User Authentication</t>
        </is>
      </c>
      <c r="E199" s="406" t="inlineStr">
        <is>
          <t>Prevent / Resist</t>
        </is>
      </c>
      <c r="F199" s="417" t="n">
        <v>0.8</v>
      </c>
      <c r="G199" s="444">
        <f>IFERROR(INDEX('OT 04 - Control Assessment'!$I$16:$I$67,MATCH(C199,'OT 04 - Control Assessment'!$A$16:$A$67,0)),0)</f>
        <v/>
      </c>
      <c r="H199" s="444">
        <f>IFERROR(INDEX('OT 04 - Control Assessment'!$J$16:$J$67,MATCH(C199,'OT 04 - Control Assessment'!$A$16:$A$67,0)),0)</f>
        <v/>
      </c>
      <c r="I199" s="444">
        <f>F199*G199*H199</f>
        <v/>
      </c>
      <c r="J199" s="406" t="inlineStr">
        <is>
          <t>Direct ATT&amp;CK mitigation relationship</t>
        </is>
      </c>
      <c r="K199" s="426" t="inlineStr">
        <is>
          <t>https://attack.mitre.org/techniques/T1693</t>
        </is>
      </c>
      <c r="L199" s="426" t="inlineStr">
        <is>
          <t>https://attack.mitre.org/mitigations/M0804</t>
        </is>
      </c>
      <c r="M199" s="406" t="inlineStr">
        <is>
          <t>Current Power Generation working prior (80%) because ATT&amp;CK establishes mitigation applicability but does not quantify efficacy. Replace with test / incident / SME calibration when available.</t>
        </is>
      </c>
    </row>
    <row r="200" ht="41.25" customHeight="1" s="508">
      <c r="A200" s="406" t="inlineStr">
        <is>
          <t>T0836</t>
        </is>
      </c>
      <c r="B200" s="406" t="inlineStr">
        <is>
          <t>Modify Parameter</t>
        </is>
      </c>
      <c r="C200" s="406" t="inlineStr">
        <is>
          <t>M0804</t>
        </is>
      </c>
      <c r="D200" s="406" t="inlineStr">
        <is>
          <t>Human User Authentication</t>
        </is>
      </c>
      <c r="E200" s="406" t="inlineStr">
        <is>
          <t>Prevent / Resist</t>
        </is>
      </c>
      <c r="F200" s="417" t="n">
        <v>0.8</v>
      </c>
      <c r="G200" s="444">
        <f>IFERROR(INDEX('OT 04 - Control Assessment'!$I$16:$I$67,MATCH(C200,'OT 04 - Control Assessment'!$A$16:$A$67,0)),0)</f>
        <v/>
      </c>
      <c r="H200" s="444">
        <f>IFERROR(INDEX('OT 04 - Control Assessment'!$J$16:$J$67,MATCH(C200,'OT 04 - Control Assessment'!$A$16:$A$67,0)),0)</f>
        <v/>
      </c>
      <c r="I200" s="444">
        <f>F200*G200*H200</f>
        <v/>
      </c>
      <c r="J200" s="406" t="inlineStr">
        <is>
          <t>Direct ATT&amp;CK mitigation relationship</t>
        </is>
      </c>
      <c r="K200" s="426" t="inlineStr">
        <is>
          <t>https://attack.mitre.org/techniques/T0836</t>
        </is>
      </c>
      <c r="L200" s="426" t="inlineStr">
        <is>
          <t>https://attack.mitre.org/mitigations/M0804</t>
        </is>
      </c>
      <c r="M200" s="406" t="inlineStr">
        <is>
          <t>Current Power Generation working prior (80%) because ATT&amp;CK establishes mitigation applicability but does not quantify efficacy. Replace with test / incident / SME calibration when available.</t>
        </is>
      </c>
    </row>
    <row r="201" ht="41.25" customHeight="1" s="508">
      <c r="A201" s="406" t="inlineStr">
        <is>
          <t>T0889</t>
        </is>
      </c>
      <c r="B201" s="406" t="inlineStr">
        <is>
          <t>Modify Program</t>
        </is>
      </c>
      <c r="C201" s="406" t="inlineStr">
        <is>
          <t>M0804</t>
        </is>
      </c>
      <c r="D201" s="406" t="inlineStr">
        <is>
          <t>Human User Authentication</t>
        </is>
      </c>
      <c r="E201" s="406" t="inlineStr">
        <is>
          <t>Prevent / Resist</t>
        </is>
      </c>
      <c r="F201" s="417" t="n">
        <v>0.8</v>
      </c>
      <c r="G201" s="444">
        <f>IFERROR(INDEX('OT 04 - Control Assessment'!$I$16:$I$67,MATCH(C201,'OT 04 - Control Assessment'!$A$16:$A$67,0)),0)</f>
        <v/>
      </c>
      <c r="H201" s="444">
        <f>IFERROR(INDEX('OT 04 - Control Assessment'!$J$16:$J$67,MATCH(C201,'OT 04 - Control Assessment'!$A$16:$A$67,0)),0)</f>
        <v/>
      </c>
      <c r="I201" s="444">
        <f>F201*G201*H201</f>
        <v/>
      </c>
      <c r="J201" s="406" t="inlineStr">
        <is>
          <t>Direct ATT&amp;CK mitigation relationship</t>
        </is>
      </c>
      <c r="K201" s="426" t="inlineStr">
        <is>
          <t>https://attack.mitre.org/techniques/T0889</t>
        </is>
      </c>
      <c r="L201" s="426" t="inlineStr">
        <is>
          <t>https://attack.mitre.org/mitigations/M0804</t>
        </is>
      </c>
      <c r="M201" s="406" t="inlineStr">
        <is>
          <t>Current Power Generation working prior (80%) because ATT&amp;CK establishes mitigation applicability but does not quantify efficacy. Replace with test / incident / SME calibration when available.</t>
        </is>
      </c>
    </row>
    <row r="202" ht="41.25" customHeight="1" s="508">
      <c r="A202" s="406" t="inlineStr">
        <is>
          <t>T1693.002</t>
        </is>
      </c>
      <c r="B202" s="406" t="inlineStr">
        <is>
          <t>Module Firmware</t>
        </is>
      </c>
      <c r="C202" s="406" t="inlineStr">
        <is>
          <t>M0804</t>
        </is>
      </c>
      <c r="D202" s="406" t="inlineStr">
        <is>
          <t>Human User Authentication</t>
        </is>
      </c>
      <c r="E202" s="406" t="inlineStr">
        <is>
          <t>Prevent / Resist</t>
        </is>
      </c>
      <c r="F202" s="417" t="n">
        <v>0.8</v>
      </c>
      <c r="G202" s="444">
        <f>IFERROR(INDEX('OT 04 - Control Assessment'!$I$16:$I$67,MATCH(C202,'OT 04 - Control Assessment'!$A$16:$A$67,0)),0)</f>
        <v/>
      </c>
      <c r="H202" s="444">
        <f>IFERROR(INDEX('OT 04 - Control Assessment'!$J$16:$J$67,MATCH(C202,'OT 04 - Control Assessment'!$A$16:$A$67,0)),0)</f>
        <v/>
      </c>
      <c r="I202" s="444">
        <f>F202*G202*H202</f>
        <v/>
      </c>
      <c r="J202" s="406" t="inlineStr">
        <is>
          <t>Direct ATT&amp;CK mitigation relationship</t>
        </is>
      </c>
      <c r="K202" s="426" t="inlineStr">
        <is>
          <t>https://attack.mitre.org/techniques/T1693/002</t>
        </is>
      </c>
      <c r="L202" s="426" t="inlineStr">
        <is>
          <t>https://attack.mitre.org/mitigations/M0804</t>
        </is>
      </c>
      <c r="M202" s="406" t="inlineStr">
        <is>
          <t>Current Power Generation working prior (80%) because ATT&amp;CK establishes mitigation applicability but does not quantify efficacy. Replace with test / incident / SME calibration when available.</t>
        </is>
      </c>
    </row>
    <row r="203" ht="41.25" customHeight="1" s="508">
      <c r="A203" s="406" t="inlineStr">
        <is>
          <t>T0843.002</t>
        </is>
      </c>
      <c r="B203" s="406" t="inlineStr">
        <is>
          <t>Online Edit</t>
        </is>
      </c>
      <c r="C203" s="406" t="inlineStr">
        <is>
          <t>M0804</t>
        </is>
      </c>
      <c r="D203" s="406" t="inlineStr">
        <is>
          <t>Human User Authentication</t>
        </is>
      </c>
      <c r="E203" s="406" t="inlineStr">
        <is>
          <t>Prevent / Resist</t>
        </is>
      </c>
      <c r="F203" s="417" t="n">
        <v>0.8</v>
      </c>
      <c r="G203" s="444">
        <f>IFERROR(INDEX('OT 04 - Control Assessment'!$I$16:$I$67,MATCH(C203,'OT 04 - Control Assessment'!$A$16:$A$67,0)),0)</f>
        <v/>
      </c>
      <c r="H203" s="444">
        <f>IFERROR(INDEX('OT 04 - Control Assessment'!$J$16:$J$67,MATCH(C203,'OT 04 - Control Assessment'!$A$16:$A$67,0)),0)</f>
        <v/>
      </c>
      <c r="I203" s="444">
        <f>F203*G203*H203</f>
        <v/>
      </c>
      <c r="J203" s="406" t="inlineStr">
        <is>
          <t>Direct ATT&amp;CK mitigation relationship</t>
        </is>
      </c>
      <c r="K203" s="426" t="inlineStr">
        <is>
          <t>https://attack.mitre.org/techniques/T0843/002</t>
        </is>
      </c>
      <c r="L203" s="426" t="inlineStr">
        <is>
          <t>https://attack.mitre.org/mitigations/M0804</t>
        </is>
      </c>
      <c r="M203" s="406" t="inlineStr">
        <is>
          <t>Current Power Generation working prior (80%) because ATT&amp;CK establishes mitigation applicability but does not quantify efficacy. Replace with test / incident / SME calibration when available.</t>
        </is>
      </c>
    </row>
    <row r="204" ht="41.25" customHeight="1" s="508">
      <c r="A204" s="406" t="inlineStr">
        <is>
          <t>T0861</t>
        </is>
      </c>
      <c r="B204" s="406" t="inlineStr">
        <is>
          <t>Point &amp; Tag Identification</t>
        </is>
      </c>
      <c r="C204" s="406" t="inlineStr">
        <is>
          <t>M0804</t>
        </is>
      </c>
      <c r="D204" s="406" t="inlineStr">
        <is>
          <t>Human User Authentication</t>
        </is>
      </c>
      <c r="E204" s="406" t="inlineStr">
        <is>
          <t>Prevent / Resist</t>
        </is>
      </c>
      <c r="F204" s="417" t="n">
        <v>0.8</v>
      </c>
      <c r="G204" s="444">
        <f>IFERROR(INDEX('OT 04 - Control Assessment'!$I$16:$I$67,MATCH(C204,'OT 04 - Control Assessment'!$A$16:$A$67,0)),0)</f>
        <v/>
      </c>
      <c r="H204" s="444">
        <f>IFERROR(INDEX('OT 04 - Control Assessment'!$J$16:$J$67,MATCH(C204,'OT 04 - Control Assessment'!$A$16:$A$67,0)),0)</f>
        <v/>
      </c>
      <c r="I204" s="444">
        <f>F204*G204*H204</f>
        <v/>
      </c>
      <c r="J204" s="406" t="inlineStr">
        <is>
          <t>Direct ATT&amp;CK mitigation relationship</t>
        </is>
      </c>
      <c r="K204" s="426" t="inlineStr">
        <is>
          <t>https://attack.mitre.org/techniques/T0861</t>
        </is>
      </c>
      <c r="L204" s="426" t="inlineStr">
        <is>
          <t>https://attack.mitre.org/mitigations/M0804</t>
        </is>
      </c>
      <c r="M204" s="406" t="inlineStr">
        <is>
          <t>Current Power Generation working prior (80%) because ATT&amp;CK establishes mitigation applicability but does not quantify efficacy. Replace with test / incident / SME calibration when available.</t>
        </is>
      </c>
    </row>
    <row r="205" ht="41.25" customHeight="1" s="508">
      <c r="A205" s="406" t="inlineStr">
        <is>
          <t>T0843.003</t>
        </is>
      </c>
      <c r="B205" s="406" t="inlineStr">
        <is>
          <t>Program Append</t>
        </is>
      </c>
      <c r="C205" s="406" t="inlineStr">
        <is>
          <t>M0804</t>
        </is>
      </c>
      <c r="D205" s="406" t="inlineStr">
        <is>
          <t>Human User Authentication</t>
        </is>
      </c>
      <c r="E205" s="406" t="inlineStr">
        <is>
          <t>Prevent / Resist</t>
        </is>
      </c>
      <c r="F205" s="417" t="n">
        <v>0.8</v>
      </c>
      <c r="G205" s="444">
        <f>IFERROR(INDEX('OT 04 - Control Assessment'!$I$16:$I$67,MATCH(C205,'OT 04 - Control Assessment'!$A$16:$A$67,0)),0)</f>
        <v/>
      </c>
      <c r="H205" s="444">
        <f>IFERROR(INDEX('OT 04 - Control Assessment'!$J$16:$J$67,MATCH(C205,'OT 04 - Control Assessment'!$A$16:$A$67,0)),0)</f>
        <v/>
      </c>
      <c r="I205" s="444">
        <f>F205*G205*H205</f>
        <v/>
      </c>
      <c r="J205" s="406" t="inlineStr">
        <is>
          <t>Direct ATT&amp;CK mitigation relationship</t>
        </is>
      </c>
      <c r="K205" s="426" t="inlineStr">
        <is>
          <t>https://attack.mitre.org/techniques/T0843/003</t>
        </is>
      </c>
      <c r="L205" s="426" t="inlineStr">
        <is>
          <t>https://attack.mitre.org/mitigations/M0804</t>
        </is>
      </c>
      <c r="M205" s="406" t="inlineStr">
        <is>
          <t>Current Power Generation working prior (80%) because ATT&amp;CK establishes mitigation applicability but does not quantify efficacy. Replace with test / incident / SME calibration when available.</t>
        </is>
      </c>
    </row>
    <row r="206" ht="41.25" customHeight="1" s="508">
      <c r="A206" s="406" t="inlineStr">
        <is>
          <t>T0843</t>
        </is>
      </c>
      <c r="B206" s="406" t="inlineStr">
        <is>
          <t>Program Download</t>
        </is>
      </c>
      <c r="C206" s="406" t="inlineStr">
        <is>
          <t>M0804</t>
        </is>
      </c>
      <c r="D206" s="406" t="inlineStr">
        <is>
          <t>Human User Authentication</t>
        </is>
      </c>
      <c r="E206" s="406" t="inlineStr">
        <is>
          <t>Prevent / Resist</t>
        </is>
      </c>
      <c r="F206" s="417" t="n">
        <v>0.8</v>
      </c>
      <c r="G206" s="444">
        <f>IFERROR(INDEX('OT 04 - Control Assessment'!$I$16:$I$67,MATCH(C206,'OT 04 - Control Assessment'!$A$16:$A$67,0)),0)</f>
        <v/>
      </c>
      <c r="H206" s="444">
        <f>IFERROR(INDEX('OT 04 - Control Assessment'!$J$16:$J$67,MATCH(C206,'OT 04 - Control Assessment'!$A$16:$A$67,0)),0)</f>
        <v/>
      </c>
      <c r="I206" s="444">
        <f>F206*G206*H206</f>
        <v/>
      </c>
      <c r="J206" s="406" t="inlineStr">
        <is>
          <t>Direct ATT&amp;CK mitigation relationship</t>
        </is>
      </c>
      <c r="K206" s="426" t="inlineStr">
        <is>
          <t>https://attack.mitre.org/techniques/T0843</t>
        </is>
      </c>
      <c r="L206" s="426" t="inlineStr">
        <is>
          <t>https://attack.mitre.org/mitigations/M0804</t>
        </is>
      </c>
      <c r="M206" s="406" t="inlineStr">
        <is>
          <t>Current Power Generation working prior (80%) because ATT&amp;CK establishes mitigation applicability but does not quantify efficacy. Replace with test / incident / SME calibration when available.</t>
        </is>
      </c>
    </row>
    <row r="207" ht="41.25" customHeight="1" s="508">
      <c r="A207" s="406" t="inlineStr">
        <is>
          <t>T0845</t>
        </is>
      </c>
      <c r="B207" s="406" t="inlineStr">
        <is>
          <t>Program Upload</t>
        </is>
      </c>
      <c r="C207" s="406" t="inlineStr">
        <is>
          <t>M0804</t>
        </is>
      </c>
      <c r="D207" s="406" t="inlineStr">
        <is>
          <t>Human User Authentication</t>
        </is>
      </c>
      <c r="E207" s="406" t="inlineStr">
        <is>
          <t>Prevent / Resist</t>
        </is>
      </c>
      <c r="F207" s="417" t="n">
        <v>0.8</v>
      </c>
      <c r="G207" s="444">
        <f>IFERROR(INDEX('OT 04 - Control Assessment'!$I$16:$I$67,MATCH(C207,'OT 04 - Control Assessment'!$A$16:$A$67,0)),0)</f>
        <v/>
      </c>
      <c r="H207" s="444">
        <f>IFERROR(INDEX('OT 04 - Control Assessment'!$J$16:$J$67,MATCH(C207,'OT 04 - Control Assessment'!$A$16:$A$67,0)),0)</f>
        <v/>
      </c>
      <c r="I207" s="444">
        <f>F207*G207*H207</f>
        <v/>
      </c>
      <c r="J207" s="406" t="inlineStr">
        <is>
          <t>Direct ATT&amp;CK mitigation relationship</t>
        </is>
      </c>
      <c r="K207" s="426" t="inlineStr">
        <is>
          <t>https://attack.mitre.org/techniques/T0845</t>
        </is>
      </c>
      <c r="L207" s="426" t="inlineStr">
        <is>
          <t>https://attack.mitre.org/mitigations/M0804</t>
        </is>
      </c>
      <c r="M207" s="406" t="inlineStr">
        <is>
          <t>Current Power Generation working prior (80%) because ATT&amp;CK establishes mitigation applicability but does not quantify efficacy. Replace with test / incident / SME calibration when available.</t>
        </is>
      </c>
    </row>
    <row r="208" ht="41.25" customHeight="1" s="508">
      <c r="A208" s="406" t="inlineStr">
        <is>
          <t>T0886</t>
        </is>
      </c>
      <c r="B208" s="406" t="inlineStr">
        <is>
          <t>Remote Services</t>
        </is>
      </c>
      <c r="C208" s="406" t="inlineStr">
        <is>
          <t>M0804</t>
        </is>
      </c>
      <c r="D208" s="406" t="inlineStr">
        <is>
          <t>Human User Authentication</t>
        </is>
      </c>
      <c r="E208" s="406" t="inlineStr">
        <is>
          <t>Prevent / Resist</t>
        </is>
      </c>
      <c r="F208" s="417" t="n">
        <v>0.8</v>
      </c>
      <c r="G208" s="444">
        <f>IFERROR(INDEX('OT 04 - Control Assessment'!$I$16:$I$67,MATCH(C208,'OT 04 - Control Assessment'!$A$16:$A$67,0)),0)</f>
        <v/>
      </c>
      <c r="H208" s="444">
        <f>IFERROR(INDEX('OT 04 - Control Assessment'!$J$16:$J$67,MATCH(C208,'OT 04 - Control Assessment'!$A$16:$A$67,0)),0)</f>
        <v/>
      </c>
      <c r="I208" s="444">
        <f>F208*G208*H208</f>
        <v/>
      </c>
      <c r="J208" s="406" t="inlineStr">
        <is>
          <t>Direct ATT&amp;CK mitigation relationship</t>
        </is>
      </c>
      <c r="K208" s="426" t="inlineStr">
        <is>
          <t>https://attack.mitre.org/techniques/T0886</t>
        </is>
      </c>
      <c r="L208" s="426" t="inlineStr">
        <is>
          <t>https://attack.mitre.org/mitigations/M0804</t>
        </is>
      </c>
      <c r="M208" s="406" t="inlineStr">
        <is>
          <t>Current Power Generation working prior (80%) because ATT&amp;CK establishes mitigation applicability but does not quantify efficacy. Replace with test / incident / SME calibration when available.</t>
        </is>
      </c>
    </row>
    <row r="209" ht="41.25" customHeight="1" s="508">
      <c r="A209" s="406" t="inlineStr">
        <is>
          <t>T1693.001</t>
        </is>
      </c>
      <c r="B209" s="406" t="inlineStr">
        <is>
          <t>System Firmware</t>
        </is>
      </c>
      <c r="C209" s="406" t="inlineStr">
        <is>
          <t>M0804</t>
        </is>
      </c>
      <c r="D209" s="406" t="inlineStr">
        <is>
          <t>Human User Authentication</t>
        </is>
      </c>
      <c r="E209" s="406" t="inlineStr">
        <is>
          <t>Prevent / Resist</t>
        </is>
      </c>
      <c r="F209" s="417" t="n">
        <v>0.8</v>
      </c>
      <c r="G209" s="444">
        <f>IFERROR(INDEX('OT 04 - Control Assessment'!$I$16:$I$67,MATCH(C209,'OT 04 - Control Assessment'!$A$16:$A$67,0)),0)</f>
        <v/>
      </c>
      <c r="H209" s="444">
        <f>IFERROR(INDEX('OT 04 - Control Assessment'!$J$16:$J$67,MATCH(C209,'OT 04 - Control Assessment'!$A$16:$A$67,0)),0)</f>
        <v/>
      </c>
      <c r="I209" s="444">
        <f>F209*G209*H209</f>
        <v/>
      </c>
      <c r="J209" s="406" t="inlineStr">
        <is>
          <t>Direct ATT&amp;CK mitigation relationship</t>
        </is>
      </c>
      <c r="K209" s="426" t="inlineStr">
        <is>
          <t>https://attack.mitre.org/techniques/T1693/001</t>
        </is>
      </c>
      <c r="L209" s="426" t="inlineStr">
        <is>
          <t>https://attack.mitre.org/mitigations/M0804</t>
        </is>
      </c>
      <c r="M209" s="406" t="inlineStr">
        <is>
          <t>Current Power Generation working prior (80%) because ATT&amp;CK establishes mitigation applicability but does not quantify efficacy. Replace with test / incident / SME calibration when available.</t>
        </is>
      </c>
    </row>
    <row r="210" ht="41.25" customHeight="1" s="508">
      <c r="A210" s="406" t="inlineStr">
        <is>
          <t>T0822</t>
        </is>
      </c>
      <c r="B210" s="406" t="inlineStr">
        <is>
          <t>External Remote Services</t>
        </is>
      </c>
      <c r="C210" s="406" t="inlineStr">
        <is>
          <t>M0935</t>
        </is>
      </c>
      <c r="D210" s="406" t="inlineStr">
        <is>
          <t>Limit Access to Resource Over Network</t>
        </is>
      </c>
      <c r="E210" s="406" t="inlineStr">
        <is>
          <t>Prevent / Resist</t>
        </is>
      </c>
      <c r="F210" s="417" t="n">
        <v>0.8</v>
      </c>
      <c r="G210" s="444">
        <f>IFERROR(INDEX('OT 04 - Control Assessment'!$I$16:$I$67,MATCH(C210,'OT 04 - Control Assessment'!$A$16:$A$67,0)),0)</f>
        <v/>
      </c>
      <c r="H210" s="444">
        <f>IFERROR(INDEX('OT 04 - Control Assessment'!$J$16:$J$67,MATCH(C210,'OT 04 - Control Assessment'!$A$16:$A$67,0)),0)</f>
        <v/>
      </c>
      <c r="I210" s="444">
        <f>F210*G210*H210</f>
        <v/>
      </c>
      <c r="J210" s="406" t="inlineStr">
        <is>
          <t>Direct ATT&amp;CK mitigation relationship</t>
        </is>
      </c>
      <c r="K210" s="426" t="inlineStr">
        <is>
          <t>https://attack.mitre.org/techniques/T0822</t>
        </is>
      </c>
      <c r="L210" s="426" t="inlineStr">
        <is>
          <t>https://attack.mitre.org/mitigations/M0935</t>
        </is>
      </c>
      <c r="M210" s="406" t="inlineStr">
        <is>
          <t>Current Power Generation working prior (80%) because ATT&amp;CK establishes mitigation applicability but does not quantify efficacy. Replace with test / incident / SME calibration when available.</t>
        </is>
      </c>
    </row>
    <row r="211" ht="41.25" customHeight="1" s="508">
      <c r="A211" s="406" t="inlineStr">
        <is>
          <t>T0847</t>
        </is>
      </c>
      <c r="B211" s="406" t="inlineStr">
        <is>
          <t>Replication Through Removable Media</t>
        </is>
      </c>
      <c r="C211" s="406" t="inlineStr">
        <is>
          <t>M0934</t>
        </is>
      </c>
      <c r="D211" s="406" t="inlineStr">
        <is>
          <t>Limit Hardware Installation</t>
        </is>
      </c>
      <c r="E211" s="406" t="inlineStr">
        <is>
          <t>Prevent / Resist</t>
        </is>
      </c>
      <c r="F211" s="417" t="n">
        <v>0.8</v>
      </c>
      <c r="G211" s="444">
        <f>IFERROR(INDEX('OT 04 - Control Assessment'!$I$16:$I$67,MATCH(C211,'OT 04 - Control Assessment'!$A$16:$A$67,0)),0)</f>
        <v/>
      </c>
      <c r="H211" s="444">
        <f>IFERROR(INDEX('OT 04 - Control Assessment'!$J$16:$J$67,MATCH(C211,'OT 04 - Control Assessment'!$A$16:$A$67,0)),0)</f>
        <v/>
      </c>
      <c r="I211" s="444">
        <f>F211*G211*H211</f>
        <v/>
      </c>
      <c r="J211" s="406" t="inlineStr">
        <is>
          <t>Direct ATT&amp;CK mitigation relationship</t>
        </is>
      </c>
      <c r="K211" s="426" t="inlineStr">
        <is>
          <t>https://attack.mitre.org/techniques/T0847</t>
        </is>
      </c>
      <c r="L211" s="426" t="inlineStr">
        <is>
          <t>https://attack.mitre.org/mitigations/M0934</t>
        </is>
      </c>
      <c r="M211" s="406" t="inlineStr">
        <is>
          <t>Current Power Generation working prior (80%) because ATT&amp;CK establishes mitigation applicability but does not quantify efficacy. Replace with test / incident / SME calibration when available.</t>
        </is>
      </c>
    </row>
    <row r="212" ht="41.25" customHeight="1" s="508">
      <c r="A212" s="406" t="inlineStr">
        <is>
          <t>T0879</t>
        </is>
      </c>
      <c r="B212" s="406" t="inlineStr">
        <is>
          <t>Damage to Property</t>
        </is>
      </c>
      <c r="C212" s="406" t="inlineStr">
        <is>
          <t>M0805</t>
        </is>
      </c>
      <c r="D212" s="406" t="inlineStr">
        <is>
          <t>Mechanical Protection Layers</t>
        </is>
      </c>
      <c r="E212" s="406" t="inlineStr">
        <is>
          <t>Safety / Resilience</t>
        </is>
      </c>
      <c r="F212" s="417" t="n">
        <v>0.8</v>
      </c>
      <c r="G212" s="444">
        <f>IFERROR(INDEX('OT 04 - Control Assessment'!$I$16:$I$67,MATCH(C212,'OT 04 - Control Assessment'!$A$16:$A$67,0)),0)</f>
        <v/>
      </c>
      <c r="H212" s="444">
        <f>IFERROR(INDEX('OT 04 - Control Assessment'!$J$16:$J$67,MATCH(C212,'OT 04 - Control Assessment'!$A$16:$A$67,0)),0)</f>
        <v/>
      </c>
      <c r="I212" s="444">
        <f>F212*G212*H212</f>
        <v/>
      </c>
      <c r="J212" s="406" t="inlineStr">
        <is>
          <t>Direct ATT&amp;CK mitigation relationship</t>
        </is>
      </c>
      <c r="K212" s="426" t="inlineStr">
        <is>
          <t>https://attack.mitre.org/techniques/T0879</t>
        </is>
      </c>
      <c r="L212" s="426" t="inlineStr">
        <is>
          <t>https://attack.mitre.org/mitigations/M0805</t>
        </is>
      </c>
      <c r="M212" s="406" t="inlineStr">
        <is>
          <t>Current Power Generation working prior (80%) because ATT&amp;CK establishes mitigation applicability but does not quantify efficacy. Replace with test / incident / SME calibration when available.</t>
        </is>
      </c>
    </row>
    <row r="213" ht="41.25" customHeight="1" s="508">
      <c r="A213" s="406" t="inlineStr">
        <is>
          <t>T0880</t>
        </is>
      </c>
      <c r="B213" s="406" t="inlineStr">
        <is>
          <t>Loss of Safety</t>
        </is>
      </c>
      <c r="C213" s="406" t="inlineStr">
        <is>
          <t>M0805</t>
        </is>
      </c>
      <c r="D213" s="406" t="inlineStr">
        <is>
          <t>Mechanical Protection Layers</t>
        </is>
      </c>
      <c r="E213" s="406" t="inlineStr">
        <is>
          <t>Safety / Resilience</t>
        </is>
      </c>
      <c r="F213" s="417" t="n">
        <v>0.8</v>
      </c>
      <c r="G213" s="444">
        <f>IFERROR(INDEX('OT 04 - Control Assessment'!$I$16:$I$67,MATCH(C213,'OT 04 - Control Assessment'!$A$16:$A$67,0)),0)</f>
        <v/>
      </c>
      <c r="H213" s="444">
        <f>IFERROR(INDEX('OT 04 - Control Assessment'!$J$16:$J$67,MATCH(C213,'OT 04 - Control Assessment'!$A$16:$A$67,0)),0)</f>
        <v/>
      </c>
      <c r="I213" s="444">
        <f>F213*G213*H213</f>
        <v/>
      </c>
      <c r="J213" s="406" t="inlineStr">
        <is>
          <t>Direct ATT&amp;CK mitigation relationship</t>
        </is>
      </c>
      <c r="K213" s="426" t="inlineStr">
        <is>
          <t>https://attack.mitre.org/techniques/T0880</t>
        </is>
      </c>
      <c r="L213" s="426" t="inlineStr">
        <is>
          <t>https://attack.mitre.org/mitigations/M0805</t>
        </is>
      </c>
      <c r="M213" s="406" t="inlineStr">
        <is>
          <t>Current Power Generation working prior (80%) because ATT&amp;CK establishes mitigation applicability but does not quantify efficacy. Replace with test / incident / SME calibration when available.</t>
        </is>
      </c>
    </row>
    <row r="214" ht="41.25" customHeight="1" s="508">
      <c r="A214" s="406" t="inlineStr">
        <is>
          <t>T0860</t>
        </is>
      </c>
      <c r="B214" s="406" t="inlineStr">
        <is>
          <t>Wireless Compromise</t>
        </is>
      </c>
      <c r="C214" s="406" t="inlineStr">
        <is>
          <t>M0806</t>
        </is>
      </c>
      <c r="D214" s="406" t="inlineStr">
        <is>
          <t>Minimize Wireless Signal Propagation</t>
        </is>
      </c>
      <c r="E214" s="406" t="inlineStr">
        <is>
          <t>Prevent / Resist</t>
        </is>
      </c>
      <c r="F214" s="417" t="n">
        <v>0.8</v>
      </c>
      <c r="G214" s="444">
        <f>IFERROR(INDEX('OT 04 - Control Assessment'!$I$16:$I$67,MATCH(C214,'OT 04 - Control Assessment'!$A$16:$A$67,0)),0)</f>
        <v/>
      </c>
      <c r="H214" s="444">
        <f>IFERROR(INDEX('OT 04 - Control Assessment'!$J$16:$J$67,MATCH(C214,'OT 04 - Control Assessment'!$A$16:$A$67,0)),0)</f>
        <v/>
      </c>
      <c r="I214" s="444">
        <f>F214*G214*H214</f>
        <v/>
      </c>
      <c r="J214" s="406" t="inlineStr">
        <is>
          <t>Direct ATT&amp;CK mitigation relationship</t>
        </is>
      </c>
      <c r="K214" s="426" t="inlineStr">
        <is>
          <t>https://attack.mitre.org/techniques/T0860</t>
        </is>
      </c>
      <c r="L214" s="426" t="inlineStr">
        <is>
          <t>https://attack.mitre.org/mitigations/M0806</t>
        </is>
      </c>
      <c r="M214" s="406" t="inlineStr">
        <is>
          <t>Current Power Generation working prior (80%) because ATT&amp;CK establishes mitigation applicability but does not quantify efficacy. Replace with test / incident / SME calibration when available.</t>
        </is>
      </c>
    </row>
    <row r="215" ht="41.25" customHeight="1" s="508">
      <c r="A215" s="406" t="inlineStr">
        <is>
          <t>T0887</t>
        </is>
      </c>
      <c r="B215" s="406" t="inlineStr">
        <is>
          <t>Wireless Sniffing</t>
        </is>
      </c>
      <c r="C215" s="406" t="inlineStr">
        <is>
          <t>M0806</t>
        </is>
      </c>
      <c r="D215" s="406" t="inlineStr">
        <is>
          <t>Minimize Wireless Signal Propagation</t>
        </is>
      </c>
      <c r="E215" s="406" t="inlineStr">
        <is>
          <t>Prevent / Resist</t>
        </is>
      </c>
      <c r="F215" s="417" t="n">
        <v>0.8</v>
      </c>
      <c r="G215" s="444">
        <f>IFERROR(INDEX('OT 04 - Control Assessment'!$I$16:$I$67,MATCH(C215,'OT 04 - Control Assessment'!$A$16:$A$67,0)),0)</f>
        <v/>
      </c>
      <c r="H215" s="444">
        <f>IFERROR(INDEX('OT 04 - Control Assessment'!$J$16:$J$67,MATCH(C215,'OT 04 - Control Assessment'!$A$16:$A$67,0)),0)</f>
        <v/>
      </c>
      <c r="I215" s="444">
        <f>F215*G215*H215</f>
        <v/>
      </c>
      <c r="J215" s="406" t="inlineStr">
        <is>
          <t>Direct ATT&amp;CK mitigation relationship</t>
        </is>
      </c>
      <c r="K215" s="426" t="inlineStr">
        <is>
          <t>https://attack.mitre.org/techniques/T0887</t>
        </is>
      </c>
      <c r="L215" s="426" t="inlineStr">
        <is>
          <t>https://attack.mitre.org/mitigations/M0806</t>
        </is>
      </c>
      <c r="M215" s="406" t="inlineStr">
        <is>
          <t>Current Power Generation working prior (80%) because ATT&amp;CK establishes mitigation applicability but does not quantify efficacy. Replace with test / incident / SME calibration when available.</t>
        </is>
      </c>
    </row>
    <row r="216" ht="27.75" customHeight="1" s="508">
      <c r="A216" s="406" t="inlineStr">
        <is>
          <t>T0823</t>
        </is>
      </c>
      <c r="B216" s="406" t="inlineStr">
        <is>
          <t>Graphical User Interface</t>
        </is>
      </c>
      <c r="C216" s="406" t="inlineStr">
        <is>
          <t>M0816</t>
        </is>
      </c>
      <c r="D216" s="406" t="inlineStr">
        <is>
          <t>Mitigation Limited or Not Effective</t>
        </is>
      </c>
      <c r="E216" s="406" t="inlineStr">
        <is>
          <t>Excluded — no modelled effect</t>
        </is>
      </c>
      <c r="F216" s="417" t="n">
        <v>0.8</v>
      </c>
      <c r="G216" s="444">
        <f>IFERROR(INDEX('OT 04 - Control Assessment'!$I$16:$I$67,MATCH(C216,'OT 04 - Control Assessment'!$A$16:$A$67,0)),0)</f>
        <v/>
      </c>
      <c r="H216" s="444">
        <f>IFERROR(INDEX('OT 04 - Control Assessment'!$J$16:$J$67,MATCH(C216,'OT 04 - Control Assessment'!$A$16:$A$67,0)),0)</f>
        <v/>
      </c>
      <c r="I216" s="444">
        <f>F216*G216*H216</f>
        <v/>
      </c>
      <c r="J216" s="406" t="inlineStr">
        <is>
          <t>Direct ATT&amp;CK mitigation relationship</t>
        </is>
      </c>
      <c r="K216" s="426" t="inlineStr">
        <is>
          <t>https://attack.mitre.org/techniques/T0823</t>
        </is>
      </c>
      <c r="L216" s="426" t="inlineStr">
        <is>
          <t>https://attack.mitre.org/mitigations/M0816</t>
        </is>
      </c>
      <c r="M216" s="406" t="inlineStr">
        <is>
          <t>Excluded / no modelled efficacy.</t>
        </is>
      </c>
    </row>
    <row r="217" ht="27.75" customHeight="1" s="508">
      <c r="A217" s="406" t="inlineStr">
        <is>
          <t>T0877</t>
        </is>
      </c>
      <c r="B217" s="406" t="inlineStr">
        <is>
          <t>I/O Image</t>
        </is>
      </c>
      <c r="C217" s="406" t="inlineStr">
        <is>
          <t>M0816</t>
        </is>
      </c>
      <c r="D217" s="406" t="inlineStr">
        <is>
          <t>Mitigation Limited or Not Effective</t>
        </is>
      </c>
      <c r="E217" s="406" t="inlineStr">
        <is>
          <t>Excluded — no modelled effect</t>
        </is>
      </c>
      <c r="F217" s="417" t="n">
        <v>0.8</v>
      </c>
      <c r="G217" s="444">
        <f>IFERROR(INDEX('OT 04 - Control Assessment'!$I$16:$I$67,MATCH(C217,'OT 04 - Control Assessment'!$A$16:$A$67,0)),0)</f>
        <v/>
      </c>
      <c r="H217" s="444">
        <f>IFERROR(INDEX('OT 04 - Control Assessment'!$J$16:$J$67,MATCH(C217,'OT 04 - Control Assessment'!$A$16:$A$67,0)),0)</f>
        <v/>
      </c>
      <c r="I217" s="444">
        <f>F217*G217*H217</f>
        <v/>
      </c>
      <c r="J217" s="406" t="inlineStr">
        <is>
          <t>Direct ATT&amp;CK mitigation relationship</t>
        </is>
      </c>
      <c r="K217" s="426" t="inlineStr">
        <is>
          <t>https://attack.mitre.org/techniques/T0877</t>
        </is>
      </c>
      <c r="L217" s="426" t="inlineStr">
        <is>
          <t>https://attack.mitre.org/mitigations/M0816</t>
        </is>
      </c>
      <c r="M217" s="406" t="inlineStr">
        <is>
          <t>Excluded / no modelled efficacy.</t>
        </is>
      </c>
    </row>
    <row r="218" ht="27.75" customHeight="1" s="508">
      <c r="A218" s="406" t="inlineStr">
        <is>
          <t>T0835</t>
        </is>
      </c>
      <c r="B218" s="406" t="inlineStr">
        <is>
          <t>Manipulate I/O Image</t>
        </is>
      </c>
      <c r="C218" s="406" t="inlineStr">
        <is>
          <t>M0816</t>
        </is>
      </c>
      <c r="D218" s="406" t="inlineStr">
        <is>
          <t>Mitigation Limited or Not Effective</t>
        </is>
      </c>
      <c r="E218" s="406" t="inlineStr">
        <is>
          <t>Excluded — no modelled effect</t>
        </is>
      </c>
      <c r="F218" s="417" t="n">
        <v>0.8</v>
      </c>
      <c r="G218" s="444">
        <f>IFERROR(INDEX('OT 04 - Control Assessment'!$I$16:$I$67,MATCH(C218,'OT 04 - Control Assessment'!$A$16:$A$67,0)),0)</f>
        <v/>
      </c>
      <c r="H218" s="444">
        <f>IFERROR(INDEX('OT 04 - Control Assessment'!$J$16:$J$67,MATCH(C218,'OT 04 - Control Assessment'!$A$16:$A$67,0)),0)</f>
        <v/>
      </c>
      <c r="I218" s="444">
        <f>F218*G218*H218</f>
        <v/>
      </c>
      <c r="J218" s="406" t="inlineStr">
        <is>
          <t>Direct ATT&amp;CK mitigation relationship</t>
        </is>
      </c>
      <c r="K218" s="426" t="inlineStr">
        <is>
          <t>https://attack.mitre.org/techniques/T0835</t>
        </is>
      </c>
      <c r="L218" s="426" t="inlineStr">
        <is>
          <t>https://attack.mitre.org/mitigations/M0816</t>
        </is>
      </c>
      <c r="M218" s="406" t="inlineStr">
        <is>
          <t>Excluded / no modelled efficacy.</t>
        </is>
      </c>
    </row>
    <row r="219" ht="27.75" customHeight="1" s="508">
      <c r="A219" s="406" t="inlineStr">
        <is>
          <t>T0801</t>
        </is>
      </c>
      <c r="B219" s="406" t="inlineStr">
        <is>
          <t>Monitor Process State</t>
        </is>
      </c>
      <c r="C219" s="406" t="inlineStr">
        <is>
          <t>M0816</t>
        </is>
      </c>
      <c r="D219" s="406" t="inlineStr">
        <is>
          <t>Mitigation Limited or Not Effective</t>
        </is>
      </c>
      <c r="E219" s="406" t="inlineStr">
        <is>
          <t>Excluded — no modelled effect</t>
        </is>
      </c>
      <c r="F219" s="417" t="n">
        <v>0.8</v>
      </c>
      <c r="G219" s="444">
        <f>IFERROR(INDEX('OT 04 - Control Assessment'!$I$16:$I$67,MATCH(C219,'OT 04 - Control Assessment'!$A$16:$A$67,0)),0)</f>
        <v/>
      </c>
      <c r="H219" s="444">
        <f>IFERROR(INDEX('OT 04 - Control Assessment'!$J$16:$J$67,MATCH(C219,'OT 04 - Control Assessment'!$A$16:$A$67,0)),0)</f>
        <v/>
      </c>
      <c r="I219" s="444">
        <f>F219*G219*H219</f>
        <v/>
      </c>
      <c r="J219" s="406" t="inlineStr">
        <is>
          <t>Direct ATT&amp;CK mitigation relationship</t>
        </is>
      </c>
      <c r="K219" s="426" t="inlineStr">
        <is>
          <t>https://attack.mitre.org/techniques/T0801</t>
        </is>
      </c>
      <c r="L219" s="426" t="inlineStr">
        <is>
          <t>https://attack.mitre.org/mitigations/M0816</t>
        </is>
      </c>
      <c r="M219" s="406" t="inlineStr">
        <is>
          <t>Excluded / no modelled efficacy.</t>
        </is>
      </c>
    </row>
    <row r="220" ht="27.75" customHeight="1" s="508">
      <c r="A220" s="406" t="inlineStr">
        <is>
          <t>T0840</t>
        </is>
      </c>
      <c r="B220" s="406" t="inlineStr">
        <is>
          <t>Network Connection Enumeration</t>
        </is>
      </c>
      <c r="C220" s="406" t="inlineStr">
        <is>
          <t>M0816</t>
        </is>
      </c>
      <c r="D220" s="406" t="inlineStr">
        <is>
          <t>Mitigation Limited or Not Effective</t>
        </is>
      </c>
      <c r="E220" s="406" t="inlineStr">
        <is>
          <t>Excluded — no modelled effect</t>
        </is>
      </c>
      <c r="F220" s="417" t="n">
        <v>0.8</v>
      </c>
      <c r="G220" s="444">
        <f>IFERROR(INDEX('OT 04 - Control Assessment'!$I$16:$I$67,MATCH(C220,'OT 04 - Control Assessment'!$A$16:$A$67,0)),0)</f>
        <v/>
      </c>
      <c r="H220" s="444">
        <f>IFERROR(INDEX('OT 04 - Control Assessment'!$J$16:$J$67,MATCH(C220,'OT 04 - Control Assessment'!$A$16:$A$67,0)),0)</f>
        <v/>
      </c>
      <c r="I220" s="444">
        <f>F220*G220*H220</f>
        <v/>
      </c>
      <c r="J220" s="406" t="inlineStr">
        <is>
          <t>Direct ATT&amp;CK mitigation relationship</t>
        </is>
      </c>
      <c r="K220" s="426" t="inlineStr">
        <is>
          <t>https://attack.mitre.org/techniques/T0840</t>
        </is>
      </c>
      <c r="L220" s="426" t="inlineStr">
        <is>
          <t>https://attack.mitre.org/mitigations/M0816</t>
        </is>
      </c>
      <c r="M220" s="406" t="inlineStr">
        <is>
          <t>Excluded / no modelled efficacy.</t>
        </is>
      </c>
    </row>
    <row r="221" ht="27.75" customHeight="1" s="508">
      <c r="A221" s="406" t="inlineStr">
        <is>
          <t>T0852</t>
        </is>
      </c>
      <c r="B221" s="406" t="inlineStr">
        <is>
          <t>Screen Capture</t>
        </is>
      </c>
      <c r="C221" s="406" t="inlineStr">
        <is>
          <t>M0816</t>
        </is>
      </c>
      <c r="D221" s="406" t="inlineStr">
        <is>
          <t>Mitigation Limited or Not Effective</t>
        </is>
      </c>
      <c r="E221" s="406" t="inlineStr">
        <is>
          <t>Excluded — no modelled effect</t>
        </is>
      </c>
      <c r="F221" s="417" t="n">
        <v>0.8</v>
      </c>
      <c r="G221" s="444">
        <f>IFERROR(INDEX('OT 04 - Control Assessment'!$I$16:$I$67,MATCH(C221,'OT 04 - Control Assessment'!$A$16:$A$67,0)),0)</f>
        <v/>
      </c>
      <c r="H221" s="444">
        <f>IFERROR(INDEX('OT 04 - Control Assessment'!$J$16:$J$67,MATCH(C221,'OT 04 - Control Assessment'!$A$16:$A$67,0)),0)</f>
        <v/>
      </c>
      <c r="I221" s="444">
        <f>F221*G221*H221</f>
        <v/>
      </c>
      <c r="J221" s="406" t="inlineStr">
        <is>
          <t>Direct ATT&amp;CK mitigation relationship</t>
        </is>
      </c>
      <c r="K221" s="426" t="inlineStr">
        <is>
          <t>https://attack.mitre.org/techniques/T0852</t>
        </is>
      </c>
      <c r="L221" s="426" t="inlineStr">
        <is>
          <t>https://attack.mitre.org/mitigations/M0816</t>
        </is>
      </c>
      <c r="M221" s="406" t="inlineStr">
        <is>
          <t>Excluded / no modelled efficacy.</t>
        </is>
      </c>
    </row>
    <row r="222" ht="41.25" customHeight="1" s="508">
      <c r="A222" s="406" t="inlineStr">
        <is>
          <t>T0822</t>
        </is>
      </c>
      <c r="B222" s="406" t="inlineStr">
        <is>
          <t>External Remote Services</t>
        </is>
      </c>
      <c r="C222" s="406" t="inlineStr">
        <is>
          <t>M0932</t>
        </is>
      </c>
      <c r="D222" s="406" t="inlineStr">
        <is>
          <t>Multi-factor Authentication</t>
        </is>
      </c>
      <c r="E222" s="406" t="inlineStr">
        <is>
          <t>Prevent / Resist</t>
        </is>
      </c>
      <c r="F222" s="417" t="n">
        <v>0.8</v>
      </c>
      <c r="G222" s="444">
        <f>IFERROR(INDEX('OT 04 - Control Assessment'!$I$16:$I$67,MATCH(C222,'OT 04 - Control Assessment'!$A$16:$A$67,0)),0)</f>
        <v/>
      </c>
      <c r="H222" s="444">
        <f>IFERROR(INDEX('OT 04 - Control Assessment'!$J$16:$J$67,MATCH(C222,'OT 04 - Control Assessment'!$A$16:$A$67,0)),0)</f>
        <v/>
      </c>
      <c r="I222" s="444">
        <f>F222*G222*H222</f>
        <v/>
      </c>
      <c r="J222" s="406" t="inlineStr">
        <is>
          <t>Direct ATT&amp;CK mitigation relationship</t>
        </is>
      </c>
      <c r="K222" s="426" t="inlineStr">
        <is>
          <t>https://attack.mitre.org/techniques/T0822</t>
        </is>
      </c>
      <c r="L222" s="426" t="inlineStr">
        <is>
          <t>https://attack.mitre.org/mitigations/M0932</t>
        </is>
      </c>
      <c r="M222" s="406" t="inlineStr">
        <is>
          <t>Current Power Generation working prior (80%) because ATT&amp;CK establishes mitigation applicability but does not quantify efficacy. Replace with test / incident / SME calibration when available.</t>
        </is>
      </c>
    </row>
    <row r="223" ht="41.25" customHeight="1" s="508">
      <c r="A223" s="406" t="inlineStr">
        <is>
          <t>T0842</t>
        </is>
      </c>
      <c r="B223" s="406" t="inlineStr">
        <is>
          <t>Network Sniffing</t>
        </is>
      </c>
      <c r="C223" s="406" t="inlineStr">
        <is>
          <t>M0932</t>
        </is>
      </c>
      <c r="D223" s="406" t="inlineStr">
        <is>
          <t>Multi-factor Authentication</t>
        </is>
      </c>
      <c r="E223" s="406" t="inlineStr">
        <is>
          <t>Prevent / Resist</t>
        </is>
      </c>
      <c r="F223" s="417" t="n">
        <v>0.8</v>
      </c>
      <c r="G223" s="444">
        <f>IFERROR(INDEX('OT 04 - Control Assessment'!$I$16:$I$67,MATCH(C223,'OT 04 - Control Assessment'!$A$16:$A$67,0)),0)</f>
        <v/>
      </c>
      <c r="H223" s="444">
        <f>IFERROR(INDEX('OT 04 - Control Assessment'!$J$16:$J$67,MATCH(C223,'OT 04 - Control Assessment'!$A$16:$A$67,0)),0)</f>
        <v/>
      </c>
      <c r="I223" s="444">
        <f>F223*G223*H223</f>
        <v/>
      </c>
      <c r="J223" s="406" t="inlineStr">
        <is>
          <t>Direct ATT&amp;CK mitigation relationship</t>
        </is>
      </c>
      <c r="K223" s="426" t="inlineStr">
        <is>
          <t>https://attack.mitre.org/techniques/T0842</t>
        </is>
      </c>
      <c r="L223" s="426" t="inlineStr">
        <is>
          <t>https://attack.mitre.org/mitigations/M0932</t>
        </is>
      </c>
      <c r="M223" s="406" t="inlineStr">
        <is>
          <t>Current Power Generation working prior (80%) because ATT&amp;CK establishes mitigation applicability but does not quantify efficacy. Replace with test / incident / SME calibration when available.</t>
        </is>
      </c>
    </row>
    <row r="224" ht="41.25" customHeight="1" s="508">
      <c r="A224" s="406" t="inlineStr">
        <is>
          <t>T0859</t>
        </is>
      </c>
      <c r="B224" s="406" t="inlineStr">
        <is>
          <t>Valid Accounts</t>
        </is>
      </c>
      <c r="C224" s="406" t="inlineStr">
        <is>
          <t>M0932</t>
        </is>
      </c>
      <c r="D224" s="406" t="inlineStr">
        <is>
          <t>Multi-factor Authentication</t>
        </is>
      </c>
      <c r="E224" s="406" t="inlineStr">
        <is>
          <t>Prevent / Resist</t>
        </is>
      </c>
      <c r="F224" s="417" t="n">
        <v>0.8</v>
      </c>
      <c r="G224" s="444">
        <f>IFERROR(INDEX('OT 04 - Control Assessment'!$I$16:$I$67,MATCH(C224,'OT 04 - Control Assessment'!$A$16:$A$67,0)),0)</f>
        <v/>
      </c>
      <c r="H224" s="444">
        <f>IFERROR(INDEX('OT 04 - Control Assessment'!$J$16:$J$67,MATCH(C224,'OT 04 - Control Assessment'!$A$16:$A$67,0)),0)</f>
        <v/>
      </c>
      <c r="I224" s="444">
        <f>F224*G224*H224</f>
        <v/>
      </c>
      <c r="J224" s="406" t="inlineStr">
        <is>
          <t>Direct ATT&amp;CK mitigation relationship</t>
        </is>
      </c>
      <c r="K224" s="426" t="inlineStr">
        <is>
          <t>https://attack.mitre.org/techniques/T0859</t>
        </is>
      </c>
      <c r="L224" s="426" t="inlineStr">
        <is>
          <t>https://attack.mitre.org/mitigations/M0932</t>
        </is>
      </c>
      <c r="M224" s="406" t="inlineStr">
        <is>
          <t>Current Power Generation working prior (80%) because ATT&amp;CK establishes mitigation applicability but does not quantify efficacy. Replace with test / incident / SME calibration when available.</t>
        </is>
      </c>
    </row>
    <row r="225" ht="41.25" customHeight="1" s="508">
      <c r="A225" s="406" t="inlineStr">
        <is>
          <t>T0800</t>
        </is>
      </c>
      <c r="B225" s="406" t="inlineStr">
        <is>
          <t>Activate Firmware Update Mode</t>
        </is>
      </c>
      <c r="C225" s="406" t="inlineStr">
        <is>
          <t>M0807</t>
        </is>
      </c>
      <c r="D225" s="406" t="inlineStr">
        <is>
          <t>Network Allowlists</t>
        </is>
      </c>
      <c r="E225" s="406" t="inlineStr">
        <is>
          <t>Prevent / Resist</t>
        </is>
      </c>
      <c r="F225" s="417" t="n">
        <v>0.8</v>
      </c>
      <c r="G225" s="444">
        <f>IFERROR(INDEX('OT 04 - Control Assessment'!$I$16:$I$67,MATCH(C225,'OT 04 - Control Assessment'!$A$16:$A$67,0)),0)</f>
        <v/>
      </c>
      <c r="H225" s="444">
        <f>IFERROR(INDEX('OT 04 - Control Assessment'!$J$16:$J$67,MATCH(C225,'OT 04 - Control Assessment'!$A$16:$A$67,0)),0)</f>
        <v/>
      </c>
      <c r="I225" s="444">
        <f>F225*G225*H225</f>
        <v/>
      </c>
      <c r="J225" s="406" t="inlineStr">
        <is>
          <t>Direct ATT&amp;CK mitigation relationship</t>
        </is>
      </c>
      <c r="K225" s="426" t="inlineStr">
        <is>
          <t>https://attack.mitre.org/techniques/T0800</t>
        </is>
      </c>
      <c r="L225" s="426" t="inlineStr">
        <is>
          <t>https://attack.mitre.org/mitigations/M0807</t>
        </is>
      </c>
      <c r="M225" s="406" t="inlineStr">
        <is>
          <t>Current Power Generation working prior (80%) because ATT&amp;CK establishes mitigation applicability but does not quantify efficacy. Replace with test / incident / SME calibration when available.</t>
        </is>
      </c>
    </row>
    <row r="226" ht="41.25" customHeight="1" s="508">
      <c r="A226" s="406" t="inlineStr">
        <is>
          <t>T0878</t>
        </is>
      </c>
      <c r="B226" s="406" t="inlineStr">
        <is>
          <t>Alarm Suppression</t>
        </is>
      </c>
      <c r="C226" s="406" t="inlineStr">
        <is>
          <t>M0807</t>
        </is>
      </c>
      <c r="D226" s="406" t="inlineStr">
        <is>
          <t>Network Allowlists</t>
        </is>
      </c>
      <c r="E226" s="406" t="inlineStr">
        <is>
          <t>Prevent / Resist</t>
        </is>
      </c>
      <c r="F226" s="417" t="n">
        <v>0.8</v>
      </c>
      <c r="G226" s="444">
        <f>IFERROR(INDEX('OT 04 - Control Assessment'!$I$16:$I$67,MATCH(C226,'OT 04 - Control Assessment'!$A$16:$A$67,0)),0)</f>
        <v/>
      </c>
      <c r="H226" s="444">
        <f>IFERROR(INDEX('OT 04 - Control Assessment'!$J$16:$J$67,MATCH(C226,'OT 04 - Control Assessment'!$A$16:$A$67,0)),0)</f>
        <v/>
      </c>
      <c r="I226" s="444">
        <f>F226*G226*H226</f>
        <v/>
      </c>
      <c r="J226" s="406" t="inlineStr">
        <is>
          <t>Direct ATT&amp;CK mitigation relationship</t>
        </is>
      </c>
      <c r="K226" s="426" t="inlineStr">
        <is>
          <t>https://attack.mitre.org/techniques/T0878</t>
        </is>
      </c>
      <c r="L226" s="426" t="inlineStr">
        <is>
          <t>https://attack.mitre.org/mitigations/M0807</t>
        </is>
      </c>
      <c r="M226" s="406" t="inlineStr">
        <is>
          <t>Current Power Generation working prior (80%) because ATT&amp;CK establishes mitigation applicability but does not quantify efficacy. Replace with test / incident / SME calibration when available.</t>
        </is>
      </c>
    </row>
    <row r="227" ht="41.25" customHeight="1" s="508">
      <c r="A227" s="406" t="inlineStr">
        <is>
          <t>T0802</t>
        </is>
      </c>
      <c r="B227" s="406" t="inlineStr">
        <is>
          <t>Automated Collection</t>
        </is>
      </c>
      <c r="C227" s="406" t="inlineStr">
        <is>
          <t>M0807</t>
        </is>
      </c>
      <c r="D227" s="406" t="inlineStr">
        <is>
          <t>Network Allowlists</t>
        </is>
      </c>
      <c r="E227" s="406" t="inlineStr">
        <is>
          <t>Prevent / Resist</t>
        </is>
      </c>
      <c r="F227" s="417" t="n">
        <v>0.8</v>
      </c>
      <c r="G227" s="444">
        <f>IFERROR(INDEX('OT 04 - Control Assessment'!$I$16:$I$67,MATCH(C227,'OT 04 - Control Assessment'!$A$16:$A$67,0)),0)</f>
        <v/>
      </c>
      <c r="H227" s="444">
        <f>IFERROR(INDEX('OT 04 - Control Assessment'!$J$16:$J$67,MATCH(C227,'OT 04 - Control Assessment'!$A$16:$A$67,0)),0)</f>
        <v/>
      </c>
      <c r="I227" s="444">
        <f>F227*G227*H227</f>
        <v/>
      </c>
      <c r="J227" s="406" t="inlineStr">
        <is>
          <t>Direct ATT&amp;CK mitigation relationship</t>
        </is>
      </c>
      <c r="K227" s="426" t="inlineStr">
        <is>
          <t>https://attack.mitre.org/techniques/T0802</t>
        </is>
      </c>
      <c r="L227" s="426" t="inlineStr">
        <is>
          <t>https://attack.mitre.org/mitigations/M0807</t>
        </is>
      </c>
      <c r="M227" s="406" t="inlineStr">
        <is>
          <t>Current Power Generation working prior (80%) because ATT&amp;CK establishes mitigation applicability but does not quantify efficacy. Replace with test / incident / SME calibration when available.</t>
        </is>
      </c>
    </row>
    <row r="228" ht="41.25" customHeight="1" s="508">
      <c r="A228" s="406" t="inlineStr">
        <is>
          <t>T1695</t>
        </is>
      </c>
      <c r="B228" s="406" t="inlineStr">
        <is>
          <t>Block Communications</t>
        </is>
      </c>
      <c r="C228" s="406" t="inlineStr">
        <is>
          <t>M0807</t>
        </is>
      </c>
      <c r="D228" s="406" t="inlineStr">
        <is>
          <t>Network Allowlists</t>
        </is>
      </c>
      <c r="E228" s="406" t="inlineStr">
        <is>
          <t>Prevent / Resist</t>
        </is>
      </c>
      <c r="F228" s="417" t="n">
        <v>0.8</v>
      </c>
      <c r="G228" s="444">
        <f>IFERROR(INDEX('OT 04 - Control Assessment'!$I$16:$I$67,MATCH(C228,'OT 04 - Control Assessment'!$A$16:$A$67,0)),0)</f>
        <v/>
      </c>
      <c r="H228" s="444">
        <f>IFERROR(INDEX('OT 04 - Control Assessment'!$J$16:$J$67,MATCH(C228,'OT 04 - Control Assessment'!$A$16:$A$67,0)),0)</f>
        <v/>
      </c>
      <c r="I228" s="444">
        <f>F228*G228*H228</f>
        <v/>
      </c>
      <c r="J228" s="406" t="inlineStr">
        <is>
          <t>Direct ATT&amp;CK mitigation relationship</t>
        </is>
      </c>
      <c r="K228" s="426" t="inlineStr">
        <is>
          <t>https://attack.mitre.org/techniques/T1695</t>
        </is>
      </c>
      <c r="L228" s="426" t="inlineStr">
        <is>
          <t>https://attack.mitre.org/mitigations/M0807</t>
        </is>
      </c>
      <c r="M228" s="406" t="inlineStr">
        <is>
          <t>Current Power Generation working prior (80%) because ATT&amp;CK establishes mitigation applicability but does not quantify efficacy. Replace with test / incident / SME calibration when available.</t>
        </is>
      </c>
    </row>
    <row r="229" ht="41.25" customHeight="1" s="508">
      <c r="A229" s="406" t="inlineStr">
        <is>
          <t>T1691</t>
        </is>
      </c>
      <c r="B229" s="406" t="inlineStr">
        <is>
          <t>Block Operational Technology Message</t>
        </is>
      </c>
      <c r="C229" s="406" t="inlineStr">
        <is>
          <t>M0807</t>
        </is>
      </c>
      <c r="D229" s="406" t="inlineStr">
        <is>
          <t>Network Allowlists</t>
        </is>
      </c>
      <c r="E229" s="406" t="inlineStr">
        <is>
          <t>Prevent / Resist</t>
        </is>
      </c>
      <c r="F229" s="417" t="n">
        <v>0.8</v>
      </c>
      <c r="G229" s="444">
        <f>IFERROR(INDEX('OT 04 - Control Assessment'!$I$16:$I$67,MATCH(C229,'OT 04 - Control Assessment'!$A$16:$A$67,0)),0)</f>
        <v/>
      </c>
      <c r="H229" s="444">
        <f>IFERROR(INDEX('OT 04 - Control Assessment'!$J$16:$J$67,MATCH(C229,'OT 04 - Control Assessment'!$A$16:$A$67,0)),0)</f>
        <v/>
      </c>
      <c r="I229" s="444">
        <f>F229*G229*H229</f>
        <v/>
      </c>
      <c r="J229" s="406" t="inlineStr">
        <is>
          <t>Direct ATT&amp;CK mitigation relationship</t>
        </is>
      </c>
      <c r="K229" s="426" t="inlineStr">
        <is>
          <t>https://attack.mitre.org/techniques/T1691</t>
        </is>
      </c>
      <c r="L229" s="426" t="inlineStr">
        <is>
          <t>https://attack.mitre.org/mitigations/M0807</t>
        </is>
      </c>
      <c r="M229" s="406" t="inlineStr">
        <is>
          <t>Current Power Generation working prior (80%) because ATT&amp;CK establishes mitigation applicability but does not quantify efficacy. Replace with test / incident / SME calibration when available.</t>
        </is>
      </c>
    </row>
    <row r="230" ht="41.25" customHeight="1" s="508">
      <c r="A230" s="406" t="inlineStr">
        <is>
          <t>T0806</t>
        </is>
      </c>
      <c r="B230" s="406" t="inlineStr">
        <is>
          <t>Brute Force I/O</t>
        </is>
      </c>
      <c r="C230" s="406" t="inlineStr">
        <is>
          <t>M0807</t>
        </is>
      </c>
      <c r="D230" s="406" t="inlineStr">
        <is>
          <t>Network Allowlists</t>
        </is>
      </c>
      <c r="E230" s="406" t="inlineStr">
        <is>
          <t>Prevent / Resist</t>
        </is>
      </c>
      <c r="F230" s="417" t="n">
        <v>0.8</v>
      </c>
      <c r="G230" s="444">
        <f>IFERROR(INDEX('OT 04 - Control Assessment'!$I$16:$I$67,MATCH(C230,'OT 04 - Control Assessment'!$A$16:$A$67,0)),0)</f>
        <v/>
      </c>
      <c r="H230" s="444">
        <f>IFERROR(INDEX('OT 04 - Control Assessment'!$J$16:$J$67,MATCH(C230,'OT 04 - Control Assessment'!$A$16:$A$67,0)),0)</f>
        <v/>
      </c>
      <c r="I230" s="444">
        <f>F230*G230*H230</f>
        <v/>
      </c>
      <c r="J230" s="406" t="inlineStr">
        <is>
          <t>Direct ATT&amp;CK mitigation relationship</t>
        </is>
      </c>
      <c r="K230" s="426" t="inlineStr">
        <is>
          <t>https://attack.mitre.org/techniques/T0806</t>
        </is>
      </c>
      <c r="L230" s="426" t="inlineStr">
        <is>
          <t>https://attack.mitre.org/mitigations/M0807</t>
        </is>
      </c>
      <c r="M230" s="406" t="inlineStr">
        <is>
          <t>Current Power Generation working prior (80%) because ATT&amp;CK establishes mitigation applicability but does not quantify efficacy. Replace with test / incident / SME calibration when available.</t>
        </is>
      </c>
    </row>
    <row r="231" ht="41.25" customHeight="1" s="508">
      <c r="A231" s="406" t="inlineStr">
        <is>
          <t>T0858</t>
        </is>
      </c>
      <c r="B231" s="406" t="inlineStr">
        <is>
          <t>Change Operating Mode</t>
        </is>
      </c>
      <c r="C231" s="406" t="inlineStr">
        <is>
          <t>M0807</t>
        </is>
      </c>
      <c r="D231" s="406" t="inlineStr">
        <is>
          <t>Network Allowlists</t>
        </is>
      </c>
      <c r="E231" s="406" t="inlineStr">
        <is>
          <t>Prevent / Resist</t>
        </is>
      </c>
      <c r="F231" s="417" t="n">
        <v>0.8</v>
      </c>
      <c r="G231" s="444">
        <f>IFERROR(INDEX('OT 04 - Control Assessment'!$I$16:$I$67,MATCH(C231,'OT 04 - Control Assessment'!$A$16:$A$67,0)),0)</f>
        <v/>
      </c>
      <c r="H231" s="444">
        <f>IFERROR(INDEX('OT 04 - Control Assessment'!$J$16:$J$67,MATCH(C231,'OT 04 - Control Assessment'!$A$16:$A$67,0)),0)</f>
        <v/>
      </c>
      <c r="I231" s="444">
        <f>F231*G231*H231</f>
        <v/>
      </c>
      <c r="J231" s="406" t="inlineStr">
        <is>
          <t>Direct ATT&amp;CK mitigation relationship</t>
        </is>
      </c>
      <c r="K231" s="426" t="inlineStr">
        <is>
          <t>https://attack.mitre.org/techniques/T0858</t>
        </is>
      </c>
      <c r="L231" s="426" t="inlineStr">
        <is>
          <t>https://attack.mitre.org/mitigations/M0807</t>
        </is>
      </c>
      <c r="M231" s="406" t="inlineStr">
        <is>
          <t>Current Power Generation working prior (80%) because ATT&amp;CK establishes mitigation applicability but does not quantify efficacy. Replace with test / incident / SME calibration when available.</t>
        </is>
      </c>
    </row>
    <row r="232" ht="41.25" customHeight="1" s="508">
      <c r="A232" s="406" t="inlineStr">
        <is>
          <t>T1691.001</t>
        </is>
      </c>
      <c r="B232" s="406" t="inlineStr">
        <is>
          <t>Command Message</t>
        </is>
      </c>
      <c r="C232" s="406" t="inlineStr">
        <is>
          <t>M0807</t>
        </is>
      </c>
      <c r="D232" s="406" t="inlineStr">
        <is>
          <t>Network Allowlists</t>
        </is>
      </c>
      <c r="E232" s="406" t="inlineStr">
        <is>
          <t>Prevent / Resist</t>
        </is>
      </c>
      <c r="F232" s="417" t="n">
        <v>0.8</v>
      </c>
      <c r="G232" s="444">
        <f>IFERROR(INDEX('OT 04 - Control Assessment'!$I$16:$I$67,MATCH(C232,'OT 04 - Control Assessment'!$A$16:$A$67,0)),0)</f>
        <v/>
      </c>
      <c r="H232" s="444">
        <f>IFERROR(INDEX('OT 04 - Control Assessment'!$J$16:$J$67,MATCH(C232,'OT 04 - Control Assessment'!$A$16:$A$67,0)),0)</f>
        <v/>
      </c>
      <c r="I232" s="444">
        <f>F232*G232*H232</f>
        <v/>
      </c>
      <c r="J232" s="406" t="inlineStr">
        <is>
          <t>Direct ATT&amp;CK mitigation relationship</t>
        </is>
      </c>
      <c r="K232" s="426" t="inlineStr">
        <is>
          <t>https://attack.mitre.org/techniques/T1691/001</t>
        </is>
      </c>
      <c r="L232" s="426" t="inlineStr">
        <is>
          <t>https://attack.mitre.org/mitigations/M0807</t>
        </is>
      </c>
      <c r="M232" s="406" t="inlineStr">
        <is>
          <t>Current Power Generation working prior (80%) because ATT&amp;CK establishes mitigation applicability but does not quantify efficacy. Replace with test / incident / SME calibration when available.</t>
        </is>
      </c>
    </row>
    <row r="233" ht="41.25" customHeight="1" s="508">
      <c r="A233" s="406" t="inlineStr">
        <is>
          <t>T1692.001</t>
        </is>
      </c>
      <c r="B233" s="406" t="inlineStr">
        <is>
          <t>Command Message</t>
        </is>
      </c>
      <c r="C233" s="406" t="inlineStr">
        <is>
          <t>M0807</t>
        </is>
      </c>
      <c r="D233" s="406" t="inlineStr">
        <is>
          <t>Network Allowlists</t>
        </is>
      </c>
      <c r="E233" s="406" t="inlineStr">
        <is>
          <t>Prevent / Resist</t>
        </is>
      </c>
      <c r="F233" s="417" t="n">
        <v>0.8</v>
      </c>
      <c r="G233" s="444">
        <f>IFERROR(INDEX('OT 04 - Control Assessment'!$I$16:$I$67,MATCH(C233,'OT 04 - Control Assessment'!$A$16:$A$67,0)),0)</f>
        <v/>
      </c>
      <c r="H233" s="444">
        <f>IFERROR(INDEX('OT 04 - Control Assessment'!$J$16:$J$67,MATCH(C233,'OT 04 - Control Assessment'!$A$16:$A$67,0)),0)</f>
        <v/>
      </c>
      <c r="I233" s="444">
        <f>F233*G233*H233</f>
        <v/>
      </c>
      <c r="J233" s="406" t="inlineStr">
        <is>
          <t>Direct ATT&amp;CK mitigation relationship</t>
        </is>
      </c>
      <c r="K233" s="426" t="inlineStr">
        <is>
          <t>https://attack.mitre.org/techniques/T1692/001</t>
        </is>
      </c>
      <c r="L233" s="426" t="inlineStr">
        <is>
          <t>https://attack.mitre.org/mitigations/M0807</t>
        </is>
      </c>
      <c r="M233" s="406" t="inlineStr">
        <is>
          <t>Current Power Generation working prior (80%) because ATT&amp;CK establishes mitigation applicability but does not quantify efficacy. Replace with test / incident / SME calibration when available.</t>
        </is>
      </c>
    </row>
    <row r="234" ht="41.25" customHeight="1" s="508">
      <c r="A234" s="406" t="inlineStr">
        <is>
          <t>T0884</t>
        </is>
      </c>
      <c r="B234" s="406" t="inlineStr">
        <is>
          <t>Connection Proxy</t>
        </is>
      </c>
      <c r="C234" s="406" t="inlineStr">
        <is>
          <t>M0807</t>
        </is>
      </c>
      <c r="D234" s="406" t="inlineStr">
        <is>
          <t>Network Allowlists</t>
        </is>
      </c>
      <c r="E234" s="406" t="inlineStr">
        <is>
          <t>Prevent / Resist</t>
        </is>
      </c>
      <c r="F234" s="417" t="n">
        <v>0.8</v>
      </c>
      <c r="G234" s="444">
        <f>IFERROR(INDEX('OT 04 - Control Assessment'!$I$16:$I$67,MATCH(C234,'OT 04 - Control Assessment'!$A$16:$A$67,0)),0)</f>
        <v/>
      </c>
      <c r="H234" s="444">
        <f>IFERROR(INDEX('OT 04 - Control Assessment'!$J$16:$J$67,MATCH(C234,'OT 04 - Control Assessment'!$A$16:$A$67,0)),0)</f>
        <v/>
      </c>
      <c r="I234" s="444">
        <f>F234*G234*H234</f>
        <v/>
      </c>
      <c r="J234" s="406" t="inlineStr">
        <is>
          <t>Direct ATT&amp;CK mitigation relationship</t>
        </is>
      </c>
      <c r="K234" s="426" t="inlineStr">
        <is>
          <t>https://attack.mitre.org/techniques/T0884</t>
        </is>
      </c>
      <c r="L234" s="426" t="inlineStr">
        <is>
          <t>https://attack.mitre.org/mitigations/M0807</t>
        </is>
      </c>
      <c r="M234" s="406" t="inlineStr">
        <is>
          <t>Current Power Generation working prior (80%) because ATT&amp;CK establishes mitigation applicability but does not quantify efficacy. Replace with test / incident / SME calibration when available.</t>
        </is>
      </c>
    </row>
    <row r="235" ht="41.25" customHeight="1" s="508">
      <c r="A235" s="406" t="inlineStr">
        <is>
          <t>T0879</t>
        </is>
      </c>
      <c r="B235" s="406" t="inlineStr">
        <is>
          <t>Damage to Property</t>
        </is>
      </c>
      <c r="C235" s="406" t="inlineStr">
        <is>
          <t>M0807</t>
        </is>
      </c>
      <c r="D235" s="406" t="inlineStr">
        <is>
          <t>Network Allowlists</t>
        </is>
      </c>
      <c r="E235" s="406" t="inlineStr">
        <is>
          <t>Prevent / Resist</t>
        </is>
      </c>
      <c r="F235" s="417" t="n">
        <v>0.8</v>
      </c>
      <c r="G235" s="444">
        <f>IFERROR(INDEX('OT 04 - Control Assessment'!$I$16:$I$67,MATCH(C235,'OT 04 - Control Assessment'!$A$16:$A$67,0)),0)</f>
        <v/>
      </c>
      <c r="H235" s="444">
        <f>IFERROR(INDEX('OT 04 - Control Assessment'!$J$16:$J$67,MATCH(C235,'OT 04 - Control Assessment'!$A$16:$A$67,0)),0)</f>
        <v/>
      </c>
      <c r="I235" s="444">
        <f>F235*G235*H235</f>
        <v/>
      </c>
      <c r="J235" s="406" t="inlineStr">
        <is>
          <t>Direct ATT&amp;CK mitigation relationship</t>
        </is>
      </c>
      <c r="K235" s="426" t="inlineStr">
        <is>
          <t>https://attack.mitre.org/techniques/T0879</t>
        </is>
      </c>
      <c r="L235" s="426" t="inlineStr">
        <is>
          <t>https://attack.mitre.org/mitigations/M0807</t>
        </is>
      </c>
      <c r="M235" s="406" t="inlineStr">
        <is>
          <t>Current Power Generation working prior (80%) because ATT&amp;CK establishes mitigation applicability but does not quantify efficacy. Replace with test / incident / SME calibration when available.</t>
        </is>
      </c>
    </row>
    <row r="236" ht="41.25" customHeight="1" s="508">
      <c r="A236" s="406" t="inlineStr">
        <is>
          <t>T0868</t>
        </is>
      </c>
      <c r="B236" s="406" t="inlineStr">
        <is>
          <t>Detect Operating Mode</t>
        </is>
      </c>
      <c r="C236" s="406" t="inlineStr">
        <is>
          <t>M0807</t>
        </is>
      </c>
      <c r="D236" s="406" t="inlineStr">
        <is>
          <t>Network Allowlists</t>
        </is>
      </c>
      <c r="E236" s="406" t="inlineStr">
        <is>
          <t>Prevent / Resist</t>
        </is>
      </c>
      <c r="F236" s="417" t="n">
        <v>0.8</v>
      </c>
      <c r="G236" s="444">
        <f>IFERROR(INDEX('OT 04 - Control Assessment'!$I$16:$I$67,MATCH(C236,'OT 04 - Control Assessment'!$A$16:$A$67,0)),0)</f>
        <v/>
      </c>
      <c r="H236" s="444">
        <f>IFERROR(INDEX('OT 04 - Control Assessment'!$J$16:$J$67,MATCH(C236,'OT 04 - Control Assessment'!$A$16:$A$67,0)),0)</f>
        <v/>
      </c>
      <c r="I236" s="444">
        <f>F236*G236*H236</f>
        <v/>
      </c>
      <c r="J236" s="406" t="inlineStr">
        <is>
          <t>Direct ATT&amp;CK mitigation relationship</t>
        </is>
      </c>
      <c r="K236" s="426" t="inlineStr">
        <is>
          <t>https://attack.mitre.org/techniques/T0868</t>
        </is>
      </c>
      <c r="L236" s="426" t="inlineStr">
        <is>
          <t>https://attack.mitre.org/mitigations/M0807</t>
        </is>
      </c>
      <c r="M236" s="406" t="inlineStr">
        <is>
          <t>Current Power Generation working prior (80%) because ATT&amp;CK establishes mitigation applicability but does not quantify efficacy. Replace with test / incident / SME calibration when available.</t>
        </is>
      </c>
    </row>
    <row r="237" ht="41.25" customHeight="1" s="508">
      <c r="A237" s="406" t="inlineStr">
        <is>
          <t>T0816</t>
        </is>
      </c>
      <c r="B237" s="406" t="inlineStr">
        <is>
          <t>Device Restart/Shutdown</t>
        </is>
      </c>
      <c r="C237" s="406" t="inlineStr">
        <is>
          <t>M0807</t>
        </is>
      </c>
      <c r="D237" s="406" t="inlineStr">
        <is>
          <t>Network Allowlists</t>
        </is>
      </c>
      <c r="E237" s="406" t="inlineStr">
        <is>
          <t>Prevent / Resist</t>
        </is>
      </c>
      <c r="F237" s="417" t="n">
        <v>0.8</v>
      </c>
      <c r="G237" s="444">
        <f>IFERROR(INDEX('OT 04 - Control Assessment'!$I$16:$I$67,MATCH(C237,'OT 04 - Control Assessment'!$A$16:$A$67,0)),0)</f>
        <v/>
      </c>
      <c r="H237" s="444">
        <f>IFERROR(INDEX('OT 04 - Control Assessment'!$J$16:$J$67,MATCH(C237,'OT 04 - Control Assessment'!$A$16:$A$67,0)),0)</f>
        <v/>
      </c>
      <c r="I237" s="444">
        <f>F237*G237*H237</f>
        <v/>
      </c>
      <c r="J237" s="406" t="inlineStr">
        <is>
          <t>Direct ATT&amp;CK mitigation relationship</t>
        </is>
      </c>
      <c r="K237" s="426" t="inlineStr">
        <is>
          <t>https://attack.mitre.org/techniques/T0816</t>
        </is>
      </c>
      <c r="L237" s="426" t="inlineStr">
        <is>
          <t>https://attack.mitre.org/mitigations/M0807</t>
        </is>
      </c>
      <c r="M237" s="406" t="inlineStr">
        <is>
          <t>Current Power Generation working prior (80%) because ATT&amp;CK establishes mitigation applicability but does not quantify efficacy. Replace with test / incident / SME calibration when available.</t>
        </is>
      </c>
    </row>
    <row r="238" ht="41.25" customHeight="1" s="508">
      <c r="A238" s="406" t="inlineStr">
        <is>
          <t>T0843.001</t>
        </is>
      </c>
      <c r="B238" s="406" t="inlineStr">
        <is>
          <t>Download All</t>
        </is>
      </c>
      <c r="C238" s="406" t="inlineStr">
        <is>
          <t>M0807</t>
        </is>
      </c>
      <c r="D238" s="406" t="inlineStr">
        <is>
          <t>Network Allowlists</t>
        </is>
      </c>
      <c r="E238" s="406" t="inlineStr">
        <is>
          <t>Prevent / Resist</t>
        </is>
      </c>
      <c r="F238" s="417" t="n">
        <v>0.8</v>
      </c>
      <c r="G238" s="444">
        <f>IFERROR(INDEX('OT 04 - Control Assessment'!$I$16:$I$67,MATCH(C238,'OT 04 - Control Assessment'!$A$16:$A$67,0)),0)</f>
        <v/>
      </c>
      <c r="H238" s="444">
        <f>IFERROR(INDEX('OT 04 - Control Assessment'!$J$16:$J$67,MATCH(C238,'OT 04 - Control Assessment'!$A$16:$A$67,0)),0)</f>
        <v/>
      </c>
      <c r="I238" s="444">
        <f>F238*G238*H238</f>
        <v/>
      </c>
      <c r="J238" s="406" t="inlineStr">
        <is>
          <t>Direct ATT&amp;CK mitigation relationship</t>
        </is>
      </c>
      <c r="K238" s="426" t="inlineStr">
        <is>
          <t>https://attack.mitre.org/techniques/T0843/001</t>
        </is>
      </c>
      <c r="L238" s="426" t="inlineStr">
        <is>
          <t>https://attack.mitre.org/mitigations/M0807</t>
        </is>
      </c>
      <c r="M238" s="406" t="inlineStr">
        <is>
          <t>Current Power Generation working prior (80%) because ATT&amp;CK establishes mitigation applicability but does not quantify efficacy. Replace with test / incident / SME calibration when available.</t>
        </is>
      </c>
    </row>
    <row r="239" ht="41.25" customHeight="1" s="508">
      <c r="A239" s="406" t="inlineStr">
        <is>
          <t>T1695.002</t>
        </is>
      </c>
      <c r="B239" s="406" t="inlineStr">
        <is>
          <t>Ethernet</t>
        </is>
      </c>
      <c r="C239" s="406" t="inlineStr">
        <is>
          <t>M0807</t>
        </is>
      </c>
      <c r="D239" s="406" t="inlineStr">
        <is>
          <t>Network Allowlists</t>
        </is>
      </c>
      <c r="E239" s="406" t="inlineStr">
        <is>
          <t>Prevent / Resist</t>
        </is>
      </c>
      <c r="F239" s="417" t="n">
        <v>0.8</v>
      </c>
      <c r="G239" s="444">
        <f>IFERROR(INDEX('OT 04 - Control Assessment'!$I$16:$I$67,MATCH(C239,'OT 04 - Control Assessment'!$A$16:$A$67,0)),0)</f>
        <v/>
      </c>
      <c r="H239" s="444">
        <f>IFERROR(INDEX('OT 04 - Control Assessment'!$J$16:$J$67,MATCH(C239,'OT 04 - Control Assessment'!$A$16:$A$67,0)),0)</f>
        <v/>
      </c>
      <c r="I239" s="444">
        <f>F239*G239*H239</f>
        <v/>
      </c>
      <c r="J239" s="406" t="inlineStr">
        <is>
          <t>Direct ATT&amp;CK mitigation relationship</t>
        </is>
      </c>
      <c r="K239" s="426" t="inlineStr">
        <is>
          <t>https://attack.mitre.org/techniques/T1695/002</t>
        </is>
      </c>
      <c r="L239" s="426" t="inlineStr">
        <is>
          <t>https://attack.mitre.org/mitigations/M0807</t>
        </is>
      </c>
      <c r="M239" s="406" t="inlineStr">
        <is>
          <t>Current Power Generation working prior (80%) because ATT&amp;CK establishes mitigation applicability but does not quantify efficacy. Replace with test / incident / SME calibration when available.</t>
        </is>
      </c>
    </row>
    <row r="240" ht="41.25" customHeight="1" s="508">
      <c r="A240" s="406" t="inlineStr">
        <is>
          <t>T0838</t>
        </is>
      </c>
      <c r="B240" s="406" t="inlineStr">
        <is>
          <t>Modify Alarm Settings</t>
        </is>
      </c>
      <c r="C240" s="406" t="inlineStr">
        <is>
          <t>M0807</t>
        </is>
      </c>
      <c r="D240" s="406" t="inlineStr">
        <is>
          <t>Network Allowlists</t>
        </is>
      </c>
      <c r="E240" s="406" t="inlineStr">
        <is>
          <t>Prevent / Resist</t>
        </is>
      </c>
      <c r="F240" s="417" t="n">
        <v>0.8</v>
      </c>
      <c r="G240" s="444">
        <f>IFERROR(INDEX('OT 04 - Control Assessment'!$I$16:$I$67,MATCH(C240,'OT 04 - Control Assessment'!$A$16:$A$67,0)),0)</f>
        <v/>
      </c>
      <c r="H240" s="444">
        <f>IFERROR(INDEX('OT 04 - Control Assessment'!$J$16:$J$67,MATCH(C240,'OT 04 - Control Assessment'!$A$16:$A$67,0)),0)</f>
        <v/>
      </c>
      <c r="I240" s="444">
        <f>F240*G240*H240</f>
        <v/>
      </c>
      <c r="J240" s="406" t="inlineStr">
        <is>
          <t>Direct ATT&amp;CK mitigation relationship</t>
        </is>
      </c>
      <c r="K240" s="426" t="inlineStr">
        <is>
          <t>https://attack.mitre.org/techniques/T0838</t>
        </is>
      </c>
      <c r="L240" s="426" t="inlineStr">
        <is>
          <t>https://attack.mitre.org/mitigations/M0807</t>
        </is>
      </c>
      <c r="M240" s="406" t="inlineStr">
        <is>
          <t>Current Power Generation working prior (80%) because ATT&amp;CK establishes mitigation applicability but does not quantify efficacy. Replace with test / incident / SME calibration when available.</t>
        </is>
      </c>
    </row>
    <row r="241" ht="41.25" customHeight="1" s="508">
      <c r="A241" s="406" t="inlineStr">
        <is>
          <t>T1693</t>
        </is>
      </c>
      <c r="B241" s="406" t="inlineStr">
        <is>
          <t>Modify Firmware</t>
        </is>
      </c>
      <c r="C241" s="406" t="inlineStr">
        <is>
          <t>M0807</t>
        </is>
      </c>
      <c r="D241" s="406" t="inlineStr">
        <is>
          <t>Network Allowlists</t>
        </is>
      </c>
      <c r="E241" s="406" t="inlineStr">
        <is>
          <t>Prevent / Resist</t>
        </is>
      </c>
      <c r="F241" s="417" t="n">
        <v>0.8</v>
      </c>
      <c r="G241" s="444">
        <f>IFERROR(INDEX('OT 04 - Control Assessment'!$I$16:$I$67,MATCH(C241,'OT 04 - Control Assessment'!$A$16:$A$67,0)),0)</f>
        <v/>
      </c>
      <c r="H241" s="444">
        <f>IFERROR(INDEX('OT 04 - Control Assessment'!$J$16:$J$67,MATCH(C241,'OT 04 - Control Assessment'!$A$16:$A$67,0)),0)</f>
        <v/>
      </c>
      <c r="I241" s="444">
        <f>F241*G241*H241</f>
        <v/>
      </c>
      <c r="J241" s="406" t="inlineStr">
        <is>
          <t>Direct ATT&amp;CK mitigation relationship</t>
        </is>
      </c>
      <c r="K241" s="426" t="inlineStr">
        <is>
          <t>https://attack.mitre.org/techniques/T1693</t>
        </is>
      </c>
      <c r="L241" s="426" t="inlineStr">
        <is>
          <t>https://attack.mitre.org/mitigations/M0807</t>
        </is>
      </c>
      <c r="M241" s="406" t="inlineStr">
        <is>
          <t>Current Power Generation working prior (80%) because ATT&amp;CK establishes mitigation applicability but does not quantify efficacy. Replace with test / incident / SME calibration when available.</t>
        </is>
      </c>
    </row>
    <row r="242" ht="41.25" customHeight="1" s="508">
      <c r="A242" s="406" t="inlineStr">
        <is>
          <t>T1693.002</t>
        </is>
      </c>
      <c r="B242" s="406" t="inlineStr">
        <is>
          <t>Module Firmware</t>
        </is>
      </c>
      <c r="C242" s="406" t="inlineStr">
        <is>
          <t>M0807</t>
        </is>
      </c>
      <c r="D242" s="406" t="inlineStr">
        <is>
          <t>Network Allowlists</t>
        </is>
      </c>
      <c r="E242" s="406" t="inlineStr">
        <is>
          <t>Prevent / Resist</t>
        </is>
      </c>
      <c r="F242" s="417" t="n">
        <v>0.8</v>
      </c>
      <c r="G242" s="444">
        <f>IFERROR(INDEX('OT 04 - Control Assessment'!$I$16:$I$67,MATCH(C242,'OT 04 - Control Assessment'!$A$16:$A$67,0)),0)</f>
        <v/>
      </c>
      <c r="H242" s="444">
        <f>IFERROR(INDEX('OT 04 - Control Assessment'!$J$16:$J$67,MATCH(C242,'OT 04 - Control Assessment'!$A$16:$A$67,0)),0)</f>
        <v/>
      </c>
      <c r="I242" s="444">
        <f>F242*G242*H242</f>
        <v/>
      </c>
      <c r="J242" s="406" t="inlineStr">
        <is>
          <t>Direct ATT&amp;CK mitigation relationship</t>
        </is>
      </c>
      <c r="K242" s="426" t="inlineStr">
        <is>
          <t>https://attack.mitre.org/techniques/T1693/002</t>
        </is>
      </c>
      <c r="L242" s="426" t="inlineStr">
        <is>
          <t>https://attack.mitre.org/mitigations/M0807</t>
        </is>
      </c>
      <c r="M242" s="406" t="inlineStr">
        <is>
          <t>Current Power Generation working prior (80%) because ATT&amp;CK establishes mitigation applicability but does not quantify efficacy. Replace with test / incident / SME calibration when available.</t>
        </is>
      </c>
    </row>
    <row r="243" ht="41.25" customHeight="1" s="508">
      <c r="A243" s="406" t="inlineStr">
        <is>
          <t>T0843.002</t>
        </is>
      </c>
      <c r="B243" s="406" t="inlineStr">
        <is>
          <t>Online Edit</t>
        </is>
      </c>
      <c r="C243" s="406" t="inlineStr">
        <is>
          <t>M0807</t>
        </is>
      </c>
      <c r="D243" s="406" t="inlineStr">
        <is>
          <t>Network Allowlists</t>
        </is>
      </c>
      <c r="E243" s="406" t="inlineStr">
        <is>
          <t>Prevent / Resist</t>
        </is>
      </c>
      <c r="F243" s="417" t="n">
        <v>0.8</v>
      </c>
      <c r="G243" s="444">
        <f>IFERROR(INDEX('OT 04 - Control Assessment'!$I$16:$I$67,MATCH(C243,'OT 04 - Control Assessment'!$A$16:$A$67,0)),0)</f>
        <v/>
      </c>
      <c r="H243" s="444">
        <f>IFERROR(INDEX('OT 04 - Control Assessment'!$J$16:$J$67,MATCH(C243,'OT 04 - Control Assessment'!$A$16:$A$67,0)),0)</f>
        <v/>
      </c>
      <c r="I243" s="444">
        <f>F243*G243*H243</f>
        <v/>
      </c>
      <c r="J243" s="406" t="inlineStr">
        <is>
          <t>Direct ATT&amp;CK mitigation relationship</t>
        </is>
      </c>
      <c r="K243" s="426" t="inlineStr">
        <is>
          <t>https://attack.mitre.org/techniques/T0843/002</t>
        </is>
      </c>
      <c r="L243" s="426" t="inlineStr">
        <is>
          <t>https://attack.mitre.org/mitigations/M0807</t>
        </is>
      </c>
      <c r="M243" s="406" t="inlineStr">
        <is>
          <t>Current Power Generation working prior (80%) because ATT&amp;CK establishes mitigation applicability but does not quantify efficacy. Replace with test / incident / SME calibration when available.</t>
        </is>
      </c>
    </row>
    <row r="244" ht="41.25" customHeight="1" s="508">
      <c r="A244" s="406" t="inlineStr">
        <is>
          <t>T0861</t>
        </is>
      </c>
      <c r="B244" s="406" t="inlineStr">
        <is>
          <t>Point &amp; Tag Identification</t>
        </is>
      </c>
      <c r="C244" s="406" t="inlineStr">
        <is>
          <t>M0807</t>
        </is>
      </c>
      <c r="D244" s="406" t="inlineStr">
        <is>
          <t>Network Allowlists</t>
        </is>
      </c>
      <c r="E244" s="406" t="inlineStr">
        <is>
          <t>Prevent / Resist</t>
        </is>
      </c>
      <c r="F244" s="417" t="n">
        <v>0.8</v>
      </c>
      <c r="G244" s="444">
        <f>IFERROR(INDEX('OT 04 - Control Assessment'!$I$16:$I$67,MATCH(C244,'OT 04 - Control Assessment'!$A$16:$A$67,0)),0)</f>
        <v/>
      </c>
      <c r="H244" s="444">
        <f>IFERROR(INDEX('OT 04 - Control Assessment'!$J$16:$J$67,MATCH(C244,'OT 04 - Control Assessment'!$A$16:$A$67,0)),0)</f>
        <v/>
      </c>
      <c r="I244" s="444">
        <f>F244*G244*H244</f>
        <v/>
      </c>
      <c r="J244" s="406" t="inlineStr">
        <is>
          <t>Direct ATT&amp;CK mitigation relationship</t>
        </is>
      </c>
      <c r="K244" s="426" t="inlineStr">
        <is>
          <t>https://attack.mitre.org/techniques/T0861</t>
        </is>
      </c>
      <c r="L244" s="426" t="inlineStr">
        <is>
          <t>https://attack.mitre.org/mitigations/M0807</t>
        </is>
      </c>
      <c r="M244" s="406" t="inlineStr">
        <is>
          <t>Current Power Generation working prior (80%) because ATT&amp;CK establishes mitigation applicability but does not quantify efficacy. Replace with test / incident / SME calibration when available.</t>
        </is>
      </c>
    </row>
    <row r="245" ht="41.25" customHeight="1" s="508">
      <c r="A245" s="406" t="inlineStr">
        <is>
          <t>T0843.003</t>
        </is>
      </c>
      <c r="B245" s="406" t="inlineStr">
        <is>
          <t>Program Append</t>
        </is>
      </c>
      <c r="C245" s="406" t="inlineStr">
        <is>
          <t>M0807</t>
        </is>
      </c>
      <c r="D245" s="406" t="inlineStr">
        <is>
          <t>Network Allowlists</t>
        </is>
      </c>
      <c r="E245" s="406" t="inlineStr">
        <is>
          <t>Prevent / Resist</t>
        </is>
      </c>
      <c r="F245" s="417" t="n">
        <v>0.8</v>
      </c>
      <c r="G245" s="444">
        <f>IFERROR(INDEX('OT 04 - Control Assessment'!$I$16:$I$67,MATCH(C245,'OT 04 - Control Assessment'!$A$16:$A$67,0)),0)</f>
        <v/>
      </c>
      <c r="H245" s="444">
        <f>IFERROR(INDEX('OT 04 - Control Assessment'!$J$16:$J$67,MATCH(C245,'OT 04 - Control Assessment'!$A$16:$A$67,0)),0)</f>
        <v/>
      </c>
      <c r="I245" s="444">
        <f>F245*G245*H245</f>
        <v/>
      </c>
      <c r="J245" s="406" t="inlineStr">
        <is>
          <t>Direct ATT&amp;CK mitigation relationship</t>
        </is>
      </c>
      <c r="K245" s="426" t="inlineStr">
        <is>
          <t>https://attack.mitre.org/techniques/T0843/003</t>
        </is>
      </c>
      <c r="L245" s="426" t="inlineStr">
        <is>
          <t>https://attack.mitre.org/mitigations/M0807</t>
        </is>
      </c>
      <c r="M245" s="406" t="inlineStr">
        <is>
          <t>Current Power Generation working prior (80%) because ATT&amp;CK establishes mitigation applicability but does not quantify efficacy. Replace with test / incident / SME calibration when available.</t>
        </is>
      </c>
    </row>
    <row r="246" ht="41.25" customHeight="1" s="508">
      <c r="A246" s="406" t="inlineStr">
        <is>
          <t>T0843</t>
        </is>
      </c>
      <c r="B246" s="406" t="inlineStr">
        <is>
          <t>Program Download</t>
        </is>
      </c>
      <c r="C246" s="406" t="inlineStr">
        <is>
          <t>M0807</t>
        </is>
      </c>
      <c r="D246" s="406" t="inlineStr">
        <is>
          <t>Network Allowlists</t>
        </is>
      </c>
      <c r="E246" s="406" t="inlineStr">
        <is>
          <t>Prevent / Resist</t>
        </is>
      </c>
      <c r="F246" s="417" t="n">
        <v>0.8</v>
      </c>
      <c r="G246" s="444">
        <f>IFERROR(INDEX('OT 04 - Control Assessment'!$I$16:$I$67,MATCH(C246,'OT 04 - Control Assessment'!$A$16:$A$67,0)),0)</f>
        <v/>
      </c>
      <c r="H246" s="444">
        <f>IFERROR(INDEX('OT 04 - Control Assessment'!$J$16:$J$67,MATCH(C246,'OT 04 - Control Assessment'!$A$16:$A$67,0)),0)</f>
        <v/>
      </c>
      <c r="I246" s="444">
        <f>F246*G246*H246</f>
        <v/>
      </c>
      <c r="J246" s="406" t="inlineStr">
        <is>
          <t>Direct ATT&amp;CK mitigation relationship</t>
        </is>
      </c>
      <c r="K246" s="426" t="inlineStr">
        <is>
          <t>https://attack.mitre.org/techniques/T0843</t>
        </is>
      </c>
      <c r="L246" s="426" t="inlineStr">
        <is>
          <t>https://attack.mitre.org/mitigations/M0807</t>
        </is>
      </c>
      <c r="M246" s="406" t="inlineStr">
        <is>
          <t>Current Power Generation working prior (80%) because ATT&amp;CK establishes mitigation applicability but does not quantify efficacy. Replace with test / incident / SME calibration when available.</t>
        </is>
      </c>
    </row>
    <row r="247" ht="41.25" customHeight="1" s="508">
      <c r="A247" s="406" t="inlineStr">
        <is>
          <t>T0845</t>
        </is>
      </c>
      <c r="B247" s="406" t="inlineStr">
        <is>
          <t>Program Upload</t>
        </is>
      </c>
      <c r="C247" s="406" t="inlineStr">
        <is>
          <t>M0807</t>
        </is>
      </c>
      <c r="D247" s="406" t="inlineStr">
        <is>
          <t>Network Allowlists</t>
        </is>
      </c>
      <c r="E247" s="406" t="inlineStr">
        <is>
          <t>Prevent / Resist</t>
        </is>
      </c>
      <c r="F247" s="417" t="n">
        <v>0.8</v>
      </c>
      <c r="G247" s="444">
        <f>IFERROR(INDEX('OT 04 - Control Assessment'!$I$16:$I$67,MATCH(C247,'OT 04 - Control Assessment'!$A$16:$A$67,0)),0)</f>
        <v/>
      </c>
      <c r="H247" s="444">
        <f>IFERROR(INDEX('OT 04 - Control Assessment'!$J$16:$J$67,MATCH(C247,'OT 04 - Control Assessment'!$A$16:$A$67,0)),0)</f>
        <v/>
      </c>
      <c r="I247" s="444">
        <f>F247*G247*H247</f>
        <v/>
      </c>
      <c r="J247" s="406" t="inlineStr">
        <is>
          <t>Direct ATT&amp;CK mitigation relationship</t>
        </is>
      </c>
      <c r="K247" s="426" t="inlineStr">
        <is>
          <t>https://attack.mitre.org/techniques/T0845</t>
        </is>
      </c>
      <c r="L247" s="426" t="inlineStr">
        <is>
          <t>https://attack.mitre.org/mitigations/M0807</t>
        </is>
      </c>
      <c r="M247" s="406" t="inlineStr">
        <is>
          <t>Current Power Generation working prior (80%) because ATT&amp;CK establishes mitigation applicability but does not quantify efficacy. Replace with test / incident / SME calibration when available.</t>
        </is>
      </c>
    </row>
    <row r="248" ht="41.25" customHeight="1" s="508">
      <c r="A248" s="406" t="inlineStr">
        <is>
          <t>T0886</t>
        </is>
      </c>
      <c r="B248" s="406" t="inlineStr">
        <is>
          <t>Remote Services</t>
        </is>
      </c>
      <c r="C248" s="406" t="inlineStr">
        <is>
          <t>M0807</t>
        </is>
      </c>
      <c r="D248" s="406" t="inlineStr">
        <is>
          <t>Network Allowlists</t>
        </is>
      </c>
      <c r="E248" s="406" t="inlineStr">
        <is>
          <t>Prevent / Resist</t>
        </is>
      </c>
      <c r="F248" s="417" t="n">
        <v>0.8</v>
      </c>
      <c r="G248" s="444">
        <f>IFERROR(INDEX('OT 04 - Control Assessment'!$I$16:$I$67,MATCH(C248,'OT 04 - Control Assessment'!$A$16:$A$67,0)),0)</f>
        <v/>
      </c>
      <c r="H248" s="444">
        <f>IFERROR(INDEX('OT 04 - Control Assessment'!$J$16:$J$67,MATCH(C248,'OT 04 - Control Assessment'!$A$16:$A$67,0)),0)</f>
        <v/>
      </c>
      <c r="I248" s="444">
        <f>F248*G248*H248</f>
        <v/>
      </c>
      <c r="J248" s="406" t="inlineStr">
        <is>
          <t>Direct ATT&amp;CK mitigation relationship</t>
        </is>
      </c>
      <c r="K248" s="426" t="inlineStr">
        <is>
          <t>https://attack.mitre.org/techniques/T0886</t>
        </is>
      </c>
      <c r="L248" s="426" t="inlineStr">
        <is>
          <t>https://attack.mitre.org/mitigations/M0807</t>
        </is>
      </c>
      <c r="M248" s="406" t="inlineStr">
        <is>
          <t>Current Power Generation working prior (80%) because ATT&amp;CK establishes mitigation applicability but does not quantify efficacy. Replace with test / incident / SME calibration when available.</t>
        </is>
      </c>
    </row>
    <row r="249" ht="41.25" customHeight="1" s="508">
      <c r="A249" s="406" t="inlineStr">
        <is>
          <t>T1692.002</t>
        </is>
      </c>
      <c r="B249" s="406" t="inlineStr">
        <is>
          <t>Reporting Message</t>
        </is>
      </c>
      <c r="C249" s="406" t="inlineStr">
        <is>
          <t>M0807</t>
        </is>
      </c>
      <c r="D249" s="406" t="inlineStr">
        <is>
          <t>Network Allowlists</t>
        </is>
      </c>
      <c r="E249" s="406" t="inlineStr">
        <is>
          <t>Prevent / Resist</t>
        </is>
      </c>
      <c r="F249" s="417" t="n">
        <v>0.8</v>
      </c>
      <c r="G249" s="444">
        <f>IFERROR(INDEX('OT 04 - Control Assessment'!$I$16:$I$67,MATCH(C249,'OT 04 - Control Assessment'!$A$16:$A$67,0)),0)</f>
        <v/>
      </c>
      <c r="H249" s="444">
        <f>IFERROR(INDEX('OT 04 - Control Assessment'!$J$16:$J$67,MATCH(C249,'OT 04 - Control Assessment'!$A$16:$A$67,0)),0)</f>
        <v/>
      </c>
      <c r="I249" s="444">
        <f>F249*G249*H249</f>
        <v/>
      </c>
      <c r="J249" s="406" t="inlineStr">
        <is>
          <t>Direct ATT&amp;CK mitigation relationship</t>
        </is>
      </c>
      <c r="K249" s="426" t="inlineStr">
        <is>
          <t>https://attack.mitre.org/techniques/T1692/002</t>
        </is>
      </c>
      <c r="L249" s="426" t="inlineStr">
        <is>
          <t>https://attack.mitre.org/mitigations/M0807</t>
        </is>
      </c>
      <c r="M249" s="406" t="inlineStr">
        <is>
          <t>Current Power Generation working prior (80%) because ATT&amp;CK establishes mitigation applicability but does not quantify efficacy. Replace with test / incident / SME calibration when available.</t>
        </is>
      </c>
    </row>
    <row r="250" ht="41.25" customHeight="1" s="508">
      <c r="A250" s="406" t="inlineStr">
        <is>
          <t>T1691.002</t>
        </is>
      </c>
      <c r="B250" s="406" t="inlineStr">
        <is>
          <t>Reporting Message</t>
        </is>
      </c>
      <c r="C250" s="406" t="inlineStr">
        <is>
          <t>M0807</t>
        </is>
      </c>
      <c r="D250" s="406" t="inlineStr">
        <is>
          <t>Network Allowlists</t>
        </is>
      </c>
      <c r="E250" s="406" t="inlineStr">
        <is>
          <t>Prevent / Resist</t>
        </is>
      </c>
      <c r="F250" s="417" t="n">
        <v>0.8</v>
      </c>
      <c r="G250" s="444">
        <f>IFERROR(INDEX('OT 04 - Control Assessment'!$I$16:$I$67,MATCH(C250,'OT 04 - Control Assessment'!$A$16:$A$67,0)),0)</f>
        <v/>
      </c>
      <c r="H250" s="444">
        <f>IFERROR(INDEX('OT 04 - Control Assessment'!$J$16:$J$67,MATCH(C250,'OT 04 - Control Assessment'!$A$16:$A$67,0)),0)</f>
        <v/>
      </c>
      <c r="I250" s="444">
        <f>F250*G250*H250</f>
        <v/>
      </c>
      <c r="J250" s="406" t="inlineStr">
        <is>
          <t>Direct ATT&amp;CK mitigation relationship</t>
        </is>
      </c>
      <c r="K250" s="426" t="inlineStr">
        <is>
          <t>https://attack.mitre.org/techniques/T1691/002</t>
        </is>
      </c>
      <c r="L250" s="426" t="inlineStr">
        <is>
          <t>https://attack.mitre.org/mitigations/M0807</t>
        </is>
      </c>
      <c r="M250" s="406" t="inlineStr">
        <is>
          <t>Current Power Generation working prior (80%) because ATT&amp;CK establishes mitigation applicability but does not quantify efficacy. Replace with test / incident / SME calibration when available.</t>
        </is>
      </c>
    </row>
    <row r="251" ht="41.25" customHeight="1" s="508">
      <c r="A251" s="406" t="inlineStr">
        <is>
          <t>T0848</t>
        </is>
      </c>
      <c r="B251" s="406" t="inlineStr">
        <is>
          <t>Rogue Master</t>
        </is>
      </c>
      <c r="C251" s="406" t="inlineStr">
        <is>
          <t>M0807</t>
        </is>
      </c>
      <c r="D251" s="406" t="inlineStr">
        <is>
          <t>Network Allowlists</t>
        </is>
      </c>
      <c r="E251" s="406" t="inlineStr">
        <is>
          <t>Prevent / Resist</t>
        </is>
      </c>
      <c r="F251" s="417" t="n">
        <v>0.8</v>
      </c>
      <c r="G251" s="444">
        <f>IFERROR(INDEX('OT 04 - Control Assessment'!$I$16:$I$67,MATCH(C251,'OT 04 - Control Assessment'!$A$16:$A$67,0)),0)</f>
        <v/>
      </c>
      <c r="H251" s="444">
        <f>IFERROR(INDEX('OT 04 - Control Assessment'!$J$16:$J$67,MATCH(C251,'OT 04 - Control Assessment'!$A$16:$A$67,0)),0)</f>
        <v/>
      </c>
      <c r="I251" s="444">
        <f>F251*G251*H251</f>
        <v/>
      </c>
      <c r="J251" s="406" t="inlineStr">
        <is>
          <t>Direct ATT&amp;CK mitigation relationship</t>
        </is>
      </c>
      <c r="K251" s="426" t="inlineStr">
        <is>
          <t>https://attack.mitre.org/techniques/T0848</t>
        </is>
      </c>
      <c r="L251" s="426" t="inlineStr">
        <is>
          <t>https://attack.mitre.org/mitigations/M0807</t>
        </is>
      </c>
      <c r="M251" s="406" t="inlineStr">
        <is>
          <t>Current Power Generation working prior (80%) because ATT&amp;CK establishes mitigation applicability but does not quantify efficacy. Replace with test / incident / SME calibration when available.</t>
        </is>
      </c>
    </row>
    <row r="252" ht="41.25" customHeight="1" s="508">
      <c r="A252" s="406" t="inlineStr">
        <is>
          <t>T1695.001</t>
        </is>
      </c>
      <c r="B252" s="406" t="inlineStr">
        <is>
          <t>Serial COM</t>
        </is>
      </c>
      <c r="C252" s="406" t="inlineStr">
        <is>
          <t>M0807</t>
        </is>
      </c>
      <c r="D252" s="406" t="inlineStr">
        <is>
          <t>Network Allowlists</t>
        </is>
      </c>
      <c r="E252" s="406" t="inlineStr">
        <is>
          <t>Prevent / Resist</t>
        </is>
      </c>
      <c r="F252" s="417" t="n">
        <v>0.8</v>
      </c>
      <c r="G252" s="444">
        <f>IFERROR(INDEX('OT 04 - Control Assessment'!$I$16:$I$67,MATCH(C252,'OT 04 - Control Assessment'!$A$16:$A$67,0)),0)</f>
        <v/>
      </c>
      <c r="H252" s="444">
        <f>IFERROR(INDEX('OT 04 - Control Assessment'!$J$16:$J$67,MATCH(C252,'OT 04 - Control Assessment'!$A$16:$A$67,0)),0)</f>
        <v/>
      </c>
      <c r="I252" s="444">
        <f>F252*G252*H252</f>
        <v/>
      </c>
      <c r="J252" s="406" t="inlineStr">
        <is>
          <t>Direct ATT&amp;CK mitigation relationship</t>
        </is>
      </c>
      <c r="K252" s="426" t="inlineStr">
        <is>
          <t>https://attack.mitre.org/techniques/T1695/001</t>
        </is>
      </c>
      <c r="L252" s="426" t="inlineStr">
        <is>
          <t>https://attack.mitre.org/mitigations/M0807</t>
        </is>
      </c>
      <c r="M252" s="406" t="inlineStr">
        <is>
          <t>Current Power Generation working prior (80%) because ATT&amp;CK establishes mitigation applicability but does not quantify efficacy. Replace with test / incident / SME calibration when available.</t>
        </is>
      </c>
    </row>
    <row r="253" ht="41.25" customHeight="1" s="508">
      <c r="A253" s="406" t="inlineStr">
        <is>
          <t>T0869</t>
        </is>
      </c>
      <c r="B253" s="406" t="inlineStr">
        <is>
          <t>Standard Application Layer Protocol</t>
        </is>
      </c>
      <c r="C253" s="406" t="inlineStr">
        <is>
          <t>M0807</t>
        </is>
      </c>
      <c r="D253" s="406" t="inlineStr">
        <is>
          <t>Network Allowlists</t>
        </is>
      </c>
      <c r="E253" s="406" t="inlineStr">
        <is>
          <t>Prevent / Resist</t>
        </is>
      </c>
      <c r="F253" s="417" t="n">
        <v>0.8</v>
      </c>
      <c r="G253" s="444">
        <f>IFERROR(INDEX('OT 04 - Control Assessment'!$I$16:$I$67,MATCH(C253,'OT 04 - Control Assessment'!$A$16:$A$67,0)),0)</f>
        <v/>
      </c>
      <c r="H253" s="444">
        <f>IFERROR(INDEX('OT 04 - Control Assessment'!$J$16:$J$67,MATCH(C253,'OT 04 - Control Assessment'!$A$16:$A$67,0)),0)</f>
        <v/>
      </c>
      <c r="I253" s="444">
        <f>F253*G253*H253</f>
        <v/>
      </c>
      <c r="J253" s="406" t="inlineStr">
        <is>
          <t>Direct ATT&amp;CK mitigation relationship</t>
        </is>
      </c>
      <c r="K253" s="426" t="inlineStr">
        <is>
          <t>https://attack.mitre.org/techniques/T0869</t>
        </is>
      </c>
      <c r="L253" s="426" t="inlineStr">
        <is>
          <t>https://attack.mitre.org/mitigations/M0807</t>
        </is>
      </c>
      <c r="M253" s="406" t="inlineStr">
        <is>
          <t>Current Power Generation working prior (80%) because ATT&amp;CK establishes mitigation applicability but does not quantify efficacy. Replace with test / incident / SME calibration when available.</t>
        </is>
      </c>
    </row>
    <row r="254" ht="41.25" customHeight="1" s="508">
      <c r="A254" s="406" t="inlineStr">
        <is>
          <t>T1693.001</t>
        </is>
      </c>
      <c r="B254" s="406" t="inlineStr">
        <is>
          <t>System Firmware</t>
        </is>
      </c>
      <c r="C254" s="406" t="inlineStr">
        <is>
          <t>M0807</t>
        </is>
      </c>
      <c r="D254" s="406" t="inlineStr">
        <is>
          <t>Network Allowlists</t>
        </is>
      </c>
      <c r="E254" s="406" t="inlineStr">
        <is>
          <t>Prevent / Resist</t>
        </is>
      </c>
      <c r="F254" s="417" t="n">
        <v>0.8</v>
      </c>
      <c r="G254" s="444">
        <f>IFERROR(INDEX('OT 04 - Control Assessment'!$I$16:$I$67,MATCH(C254,'OT 04 - Control Assessment'!$A$16:$A$67,0)),0)</f>
        <v/>
      </c>
      <c r="H254" s="444">
        <f>IFERROR(INDEX('OT 04 - Control Assessment'!$J$16:$J$67,MATCH(C254,'OT 04 - Control Assessment'!$A$16:$A$67,0)),0)</f>
        <v/>
      </c>
      <c r="I254" s="444">
        <f>F254*G254*H254</f>
        <v/>
      </c>
      <c r="J254" s="406" t="inlineStr">
        <is>
          <t>Direct ATT&amp;CK mitigation relationship</t>
        </is>
      </c>
      <c r="K254" s="426" t="inlineStr">
        <is>
          <t>https://attack.mitre.org/techniques/T1693/001</t>
        </is>
      </c>
      <c r="L254" s="426" t="inlineStr">
        <is>
          <t>https://attack.mitre.org/mitigations/M0807</t>
        </is>
      </c>
      <c r="M254" s="406" t="inlineStr">
        <is>
          <t>Current Power Generation working prior (80%) because ATT&amp;CK establishes mitigation applicability but does not quantify efficacy. Replace with test / incident / SME calibration when available.</t>
        </is>
      </c>
    </row>
    <row r="255" ht="41.25" customHeight="1" s="508">
      <c r="A255" s="406" t="inlineStr">
        <is>
          <t>T1692</t>
        </is>
      </c>
      <c r="B255" s="406" t="inlineStr">
        <is>
          <t>Unauthorized Message</t>
        </is>
      </c>
      <c r="C255" s="406" t="inlineStr">
        <is>
          <t>M0807</t>
        </is>
      </c>
      <c r="D255" s="406" t="inlineStr">
        <is>
          <t>Network Allowlists</t>
        </is>
      </c>
      <c r="E255" s="406" t="inlineStr">
        <is>
          <t>Prevent / Resist</t>
        </is>
      </c>
      <c r="F255" s="417" t="n">
        <v>0.8</v>
      </c>
      <c r="G255" s="444">
        <f>IFERROR(INDEX('OT 04 - Control Assessment'!$I$16:$I$67,MATCH(C255,'OT 04 - Control Assessment'!$A$16:$A$67,0)),0)</f>
        <v/>
      </c>
      <c r="H255" s="444">
        <f>IFERROR(INDEX('OT 04 - Control Assessment'!$J$16:$J$67,MATCH(C255,'OT 04 - Control Assessment'!$A$16:$A$67,0)),0)</f>
        <v/>
      </c>
      <c r="I255" s="444">
        <f>F255*G255*H255</f>
        <v/>
      </c>
      <c r="J255" s="406" t="inlineStr">
        <is>
          <t>Direct ATT&amp;CK mitigation relationship</t>
        </is>
      </c>
      <c r="K255" s="426" t="inlineStr">
        <is>
          <t>https://attack.mitre.org/techniques/T1692</t>
        </is>
      </c>
      <c r="L255" s="426" t="inlineStr">
        <is>
          <t>https://attack.mitre.org/mitigations/M0807</t>
        </is>
      </c>
      <c r="M255" s="406" t="inlineStr">
        <is>
          <t>Current Power Generation working prior (80%) because ATT&amp;CK establishes mitigation applicability but does not quantify efficacy. Replace with test / incident / SME calibration when available.</t>
        </is>
      </c>
    </row>
    <row r="256" ht="41.25" customHeight="1" s="508">
      <c r="A256" s="406" t="inlineStr">
        <is>
          <t>T1695.003</t>
        </is>
      </c>
      <c r="B256" s="406" t="inlineStr">
        <is>
          <t>Wi-Fi</t>
        </is>
      </c>
      <c r="C256" s="406" t="inlineStr">
        <is>
          <t>M0807</t>
        </is>
      </c>
      <c r="D256" s="406" t="inlineStr">
        <is>
          <t>Network Allowlists</t>
        </is>
      </c>
      <c r="E256" s="406" t="inlineStr">
        <is>
          <t>Prevent / Resist</t>
        </is>
      </c>
      <c r="F256" s="417" t="n">
        <v>0.8</v>
      </c>
      <c r="G256" s="444">
        <f>IFERROR(INDEX('OT 04 - Control Assessment'!$I$16:$I$67,MATCH(C256,'OT 04 - Control Assessment'!$A$16:$A$67,0)),0)</f>
        <v/>
      </c>
      <c r="H256" s="444">
        <f>IFERROR(INDEX('OT 04 - Control Assessment'!$J$16:$J$67,MATCH(C256,'OT 04 - Control Assessment'!$A$16:$A$67,0)),0)</f>
        <v/>
      </c>
      <c r="I256" s="444">
        <f>F256*G256*H256</f>
        <v/>
      </c>
      <c r="J256" s="406" t="inlineStr">
        <is>
          <t>Direct ATT&amp;CK mitigation relationship</t>
        </is>
      </c>
      <c r="K256" s="426" t="inlineStr">
        <is>
          <t>https://attack.mitre.org/techniques/T1695/003</t>
        </is>
      </c>
      <c r="L256" s="426" t="inlineStr">
        <is>
          <t>https://attack.mitre.org/mitigations/M0807</t>
        </is>
      </c>
      <c r="M256" s="406" t="inlineStr">
        <is>
          <t>Current Power Generation working prior (80%) because ATT&amp;CK establishes mitigation applicability but does not quantify efficacy. Replace with test / incident / SME calibration when available.</t>
        </is>
      </c>
    </row>
    <row r="257" ht="41.25" customHeight="1" s="508">
      <c r="A257" s="406" t="inlineStr">
        <is>
          <t>T0830</t>
        </is>
      </c>
      <c r="B257" s="406" t="inlineStr">
        <is>
          <t>Adversary-in-the-Middle</t>
        </is>
      </c>
      <c r="C257" s="406" t="inlineStr">
        <is>
          <t>M0931</t>
        </is>
      </c>
      <c r="D257" s="406" t="inlineStr">
        <is>
          <t>Network Intrusion Prevention</t>
        </is>
      </c>
      <c r="E257" s="406" t="inlineStr">
        <is>
          <t>Detect / Contain</t>
        </is>
      </c>
      <c r="F257" s="417" t="n">
        <v>0.8</v>
      </c>
      <c r="G257" s="444">
        <f>IFERROR(INDEX('OT 04 - Control Assessment'!$I$16:$I$67,MATCH(C257,'OT 04 - Control Assessment'!$A$16:$A$67,0)),0)</f>
        <v/>
      </c>
      <c r="H257" s="444">
        <f>IFERROR(INDEX('OT 04 - Control Assessment'!$J$16:$J$67,MATCH(C257,'OT 04 - Control Assessment'!$A$16:$A$67,0)),0)</f>
        <v/>
      </c>
      <c r="I257" s="444">
        <f>F257*G257*H257</f>
        <v/>
      </c>
      <c r="J257" s="406" t="inlineStr">
        <is>
          <t>Direct ATT&amp;CK mitigation relationship</t>
        </is>
      </c>
      <c r="K257" s="426" t="inlineStr">
        <is>
          <t>https://attack.mitre.org/techniques/T0830</t>
        </is>
      </c>
      <c r="L257" s="426" t="inlineStr">
        <is>
          <t>https://attack.mitre.org/mitigations/M0931</t>
        </is>
      </c>
      <c r="M257" s="406" t="inlineStr">
        <is>
          <t>Current Power Generation working prior (80%) because ATT&amp;CK establishes mitigation applicability but does not quantify efficacy. Replace with test / incident / SME calibration when available.</t>
        </is>
      </c>
    </row>
    <row r="258" ht="41.25" customHeight="1" s="508">
      <c r="A258" s="406" t="inlineStr">
        <is>
          <t>T0885</t>
        </is>
      </c>
      <c r="B258" s="406" t="inlineStr">
        <is>
          <t>Commonly Used Port</t>
        </is>
      </c>
      <c r="C258" s="406" t="inlineStr">
        <is>
          <t>M0931</t>
        </is>
      </c>
      <c r="D258" s="406" t="inlineStr">
        <is>
          <t>Network Intrusion Prevention</t>
        </is>
      </c>
      <c r="E258" s="406" t="inlineStr">
        <is>
          <t>Detect / Contain</t>
        </is>
      </c>
      <c r="F258" s="417" t="n">
        <v>0.8</v>
      </c>
      <c r="G258" s="444">
        <f>IFERROR(INDEX('OT 04 - Control Assessment'!$I$16:$I$67,MATCH(C258,'OT 04 - Control Assessment'!$A$16:$A$67,0)),0)</f>
        <v/>
      </c>
      <c r="H258" s="444">
        <f>IFERROR(INDEX('OT 04 - Control Assessment'!$J$16:$J$67,MATCH(C258,'OT 04 - Control Assessment'!$A$16:$A$67,0)),0)</f>
        <v/>
      </c>
      <c r="I258" s="444">
        <f>F258*G258*H258</f>
        <v/>
      </c>
      <c r="J258" s="406" t="inlineStr">
        <is>
          <t>Direct ATT&amp;CK mitigation relationship</t>
        </is>
      </c>
      <c r="K258" s="426" t="inlineStr">
        <is>
          <t>https://attack.mitre.org/techniques/T0885</t>
        </is>
      </c>
      <c r="L258" s="426" t="inlineStr">
        <is>
          <t>https://attack.mitre.org/mitigations/M0931</t>
        </is>
      </c>
      <c r="M258" s="406" t="inlineStr">
        <is>
          <t>Current Power Generation working prior (80%) because ATT&amp;CK establishes mitigation applicability but does not quantify efficacy. Replace with test / incident / SME calibration when available.</t>
        </is>
      </c>
    </row>
    <row r="259" ht="41.25" customHeight="1" s="508">
      <c r="A259" s="406" t="inlineStr">
        <is>
          <t>T0884</t>
        </is>
      </c>
      <c r="B259" s="406" t="inlineStr">
        <is>
          <t>Connection Proxy</t>
        </is>
      </c>
      <c r="C259" s="406" t="inlineStr">
        <is>
          <t>M0931</t>
        </is>
      </c>
      <c r="D259" s="406" t="inlineStr">
        <is>
          <t>Network Intrusion Prevention</t>
        </is>
      </c>
      <c r="E259" s="406" t="inlineStr">
        <is>
          <t>Detect / Contain</t>
        </is>
      </c>
      <c r="F259" s="417" t="n">
        <v>0.8</v>
      </c>
      <c r="G259" s="444">
        <f>IFERROR(INDEX('OT 04 - Control Assessment'!$I$16:$I$67,MATCH(C259,'OT 04 - Control Assessment'!$A$16:$A$67,0)),0)</f>
        <v/>
      </c>
      <c r="H259" s="444">
        <f>IFERROR(INDEX('OT 04 - Control Assessment'!$J$16:$J$67,MATCH(C259,'OT 04 - Control Assessment'!$A$16:$A$67,0)),0)</f>
        <v/>
      </c>
      <c r="I259" s="444">
        <f>F259*G259*H259</f>
        <v/>
      </c>
      <c r="J259" s="406" t="inlineStr">
        <is>
          <t>Direct ATT&amp;CK mitigation relationship</t>
        </is>
      </c>
      <c r="K259" s="426" t="inlineStr">
        <is>
          <t>https://attack.mitre.org/techniques/T0884</t>
        </is>
      </c>
      <c r="L259" s="426" t="inlineStr">
        <is>
          <t>https://attack.mitre.org/mitigations/M0931</t>
        </is>
      </c>
      <c r="M259" s="406" t="inlineStr">
        <is>
          <t>Current Power Generation working prior (80%) because ATT&amp;CK establishes mitigation applicability but does not quantify efficacy. Replace with test / incident / SME calibration when available.</t>
        </is>
      </c>
    </row>
    <row r="260" ht="41.25" customHeight="1" s="508">
      <c r="A260" s="406" t="inlineStr">
        <is>
          <t>T0867</t>
        </is>
      </c>
      <c r="B260" s="406" t="inlineStr">
        <is>
          <t>Lateral Tool Transfer</t>
        </is>
      </c>
      <c r="C260" s="406" t="inlineStr">
        <is>
          <t>M0931</t>
        </is>
      </c>
      <c r="D260" s="406" t="inlineStr">
        <is>
          <t>Network Intrusion Prevention</t>
        </is>
      </c>
      <c r="E260" s="406" t="inlineStr">
        <is>
          <t>Detect / Contain</t>
        </is>
      </c>
      <c r="F260" s="417" t="n">
        <v>0.8</v>
      </c>
      <c r="G260" s="444">
        <f>IFERROR(INDEX('OT 04 - Control Assessment'!$I$16:$I$67,MATCH(C260,'OT 04 - Control Assessment'!$A$16:$A$67,0)),0)</f>
        <v/>
      </c>
      <c r="H260" s="444">
        <f>IFERROR(INDEX('OT 04 - Control Assessment'!$J$16:$J$67,MATCH(C260,'OT 04 - Control Assessment'!$A$16:$A$67,0)),0)</f>
        <v/>
      </c>
      <c r="I260" s="444">
        <f>F260*G260*H260</f>
        <v/>
      </c>
      <c r="J260" s="406" t="inlineStr">
        <is>
          <t>Direct ATT&amp;CK mitigation relationship</t>
        </is>
      </c>
      <c r="K260" s="426" t="inlineStr">
        <is>
          <t>https://attack.mitre.org/techniques/T0867</t>
        </is>
      </c>
      <c r="L260" s="426" t="inlineStr">
        <is>
          <t>https://attack.mitre.org/mitigations/M0931</t>
        </is>
      </c>
      <c r="M260" s="406" t="inlineStr">
        <is>
          <t>Current Power Generation working prior (80%) because ATT&amp;CK establishes mitigation applicability but does not quantify efficacy. Replace with test / incident / SME calibration when available.</t>
        </is>
      </c>
    </row>
    <row r="261" ht="41.25" customHeight="1" s="508">
      <c r="A261" s="406" t="inlineStr">
        <is>
          <t>T0846.001</t>
        </is>
      </c>
      <c r="B261" s="406" t="inlineStr">
        <is>
          <t>Port Scan</t>
        </is>
      </c>
      <c r="C261" s="406" t="inlineStr">
        <is>
          <t>M0931</t>
        </is>
      </c>
      <c r="D261" s="406" t="inlineStr">
        <is>
          <t>Network Intrusion Prevention</t>
        </is>
      </c>
      <c r="E261" s="406" t="inlineStr">
        <is>
          <t>Detect / Contain</t>
        </is>
      </c>
      <c r="F261" s="417" t="n">
        <v>0.8</v>
      </c>
      <c r="G261" s="444">
        <f>IFERROR(INDEX('OT 04 - Control Assessment'!$I$16:$I$67,MATCH(C261,'OT 04 - Control Assessment'!$A$16:$A$67,0)),0)</f>
        <v/>
      </c>
      <c r="H261" s="444">
        <f>IFERROR(INDEX('OT 04 - Control Assessment'!$J$16:$J$67,MATCH(C261,'OT 04 - Control Assessment'!$A$16:$A$67,0)),0)</f>
        <v/>
      </c>
      <c r="I261" s="444">
        <f>F261*G261*H261</f>
        <v/>
      </c>
      <c r="J261" s="406" t="inlineStr">
        <is>
          <t>Direct ATT&amp;CK mitigation relationship</t>
        </is>
      </c>
      <c r="K261" s="426" t="inlineStr">
        <is>
          <t>https://attack.mitre.org/techniques/T0846/001</t>
        </is>
      </c>
      <c r="L261" s="426" t="inlineStr">
        <is>
          <t>https://attack.mitre.org/mitigations/M0931</t>
        </is>
      </c>
      <c r="M261" s="406" t="inlineStr">
        <is>
          <t>Current Power Generation working prior (80%) because ATT&amp;CK establishes mitigation applicability but does not quantify efficacy. Replace with test / incident / SME calibration when available.</t>
        </is>
      </c>
    </row>
    <row r="262" ht="41.25" customHeight="1" s="508">
      <c r="A262" s="406" t="inlineStr">
        <is>
          <t>T0865</t>
        </is>
      </c>
      <c r="B262" s="406" t="inlineStr">
        <is>
          <t>Spearphishing Attachment</t>
        </is>
      </c>
      <c r="C262" s="406" t="inlineStr">
        <is>
          <t>M0931</t>
        </is>
      </c>
      <c r="D262" s="406" t="inlineStr">
        <is>
          <t>Network Intrusion Prevention</t>
        </is>
      </c>
      <c r="E262" s="406" t="inlineStr">
        <is>
          <t>Detect / Contain</t>
        </is>
      </c>
      <c r="F262" s="417" t="n">
        <v>0.8</v>
      </c>
      <c r="G262" s="444">
        <f>IFERROR(INDEX('OT 04 - Control Assessment'!$I$16:$I$67,MATCH(C262,'OT 04 - Control Assessment'!$A$16:$A$67,0)),0)</f>
        <v/>
      </c>
      <c r="H262" s="444">
        <f>IFERROR(INDEX('OT 04 - Control Assessment'!$J$16:$J$67,MATCH(C262,'OT 04 - Control Assessment'!$A$16:$A$67,0)),0)</f>
        <v/>
      </c>
      <c r="I262" s="444">
        <f>F262*G262*H262</f>
        <v/>
      </c>
      <c r="J262" s="406" t="inlineStr">
        <is>
          <t>Direct ATT&amp;CK mitigation relationship</t>
        </is>
      </c>
      <c r="K262" s="426" t="inlineStr">
        <is>
          <t>https://attack.mitre.org/techniques/T0865</t>
        </is>
      </c>
      <c r="L262" s="426" t="inlineStr">
        <is>
          <t>https://attack.mitre.org/mitigations/M0931</t>
        </is>
      </c>
      <c r="M262" s="406" t="inlineStr">
        <is>
          <t>Current Power Generation working prior (80%) because ATT&amp;CK establishes mitigation applicability but does not quantify efficacy. Replace with test / incident / SME calibration when available.</t>
        </is>
      </c>
    </row>
    <row r="263" ht="41.25" customHeight="1" s="508">
      <c r="A263" s="406" t="inlineStr">
        <is>
          <t>T0869</t>
        </is>
      </c>
      <c r="B263" s="406" t="inlineStr">
        <is>
          <t>Standard Application Layer Protocol</t>
        </is>
      </c>
      <c r="C263" s="406" t="inlineStr">
        <is>
          <t>M0931</t>
        </is>
      </c>
      <c r="D263" s="406" t="inlineStr">
        <is>
          <t>Network Intrusion Prevention</t>
        </is>
      </c>
      <c r="E263" s="406" t="inlineStr">
        <is>
          <t>Detect / Contain</t>
        </is>
      </c>
      <c r="F263" s="417" t="n">
        <v>0.8</v>
      </c>
      <c r="G263" s="444">
        <f>IFERROR(INDEX('OT 04 - Control Assessment'!$I$16:$I$67,MATCH(C263,'OT 04 - Control Assessment'!$A$16:$A$67,0)),0)</f>
        <v/>
      </c>
      <c r="H263" s="444">
        <f>IFERROR(INDEX('OT 04 - Control Assessment'!$J$16:$J$67,MATCH(C263,'OT 04 - Control Assessment'!$A$16:$A$67,0)),0)</f>
        <v/>
      </c>
      <c r="I263" s="444">
        <f>F263*G263*H263</f>
        <v/>
      </c>
      <c r="J263" s="406" t="inlineStr">
        <is>
          <t>Direct ATT&amp;CK mitigation relationship</t>
        </is>
      </c>
      <c r="K263" s="426" t="inlineStr">
        <is>
          <t>https://attack.mitre.org/techniques/T0869</t>
        </is>
      </c>
      <c r="L263" s="426" t="inlineStr">
        <is>
          <t>https://attack.mitre.org/mitigations/M0931</t>
        </is>
      </c>
      <c r="M263" s="406" t="inlineStr">
        <is>
          <t>Current Power Generation working prior (80%) because ATT&amp;CK establishes mitigation applicability but does not quantify efficacy. Replace with test / incident / SME calibration when available.</t>
        </is>
      </c>
    </row>
    <row r="264" ht="41.25" customHeight="1" s="508">
      <c r="A264" s="406" t="inlineStr">
        <is>
          <t>T0863</t>
        </is>
      </c>
      <c r="B264" s="406" t="inlineStr">
        <is>
          <t>User Execution</t>
        </is>
      </c>
      <c r="C264" s="406" t="inlineStr">
        <is>
          <t>M0931</t>
        </is>
      </c>
      <c r="D264" s="406" t="inlineStr">
        <is>
          <t>Network Intrusion Prevention</t>
        </is>
      </c>
      <c r="E264" s="406" t="inlineStr">
        <is>
          <t>Detect / Contain</t>
        </is>
      </c>
      <c r="F264" s="417" t="n">
        <v>0.8</v>
      </c>
      <c r="G264" s="444">
        <f>IFERROR(INDEX('OT 04 - Control Assessment'!$I$16:$I$67,MATCH(C264,'OT 04 - Control Assessment'!$A$16:$A$67,0)),0)</f>
        <v/>
      </c>
      <c r="H264" s="444">
        <f>IFERROR(INDEX('OT 04 - Control Assessment'!$J$16:$J$67,MATCH(C264,'OT 04 - Control Assessment'!$A$16:$A$67,0)),0)</f>
        <v/>
      </c>
      <c r="I264" s="444">
        <f>F264*G264*H264</f>
        <v/>
      </c>
      <c r="J264" s="406" t="inlineStr">
        <is>
          <t>Direct ATT&amp;CK mitigation relationship</t>
        </is>
      </c>
      <c r="K264" s="426" t="inlineStr">
        <is>
          <t>https://attack.mitre.org/techniques/T0863</t>
        </is>
      </c>
      <c r="L264" s="426" t="inlineStr">
        <is>
          <t>https://attack.mitre.org/mitigations/M0931</t>
        </is>
      </c>
      <c r="M264" s="406" t="inlineStr">
        <is>
          <t>Current Power Generation working prior (80%) because ATT&amp;CK establishes mitigation applicability but does not quantify efficacy. Replace with test / incident / SME calibration when available.</t>
        </is>
      </c>
    </row>
    <row r="265" ht="41.25" customHeight="1" s="508">
      <c r="A265" s="406" t="inlineStr">
        <is>
          <t>T0800</t>
        </is>
      </c>
      <c r="B265" s="406" t="inlineStr">
        <is>
          <t>Activate Firmware Update Mode</t>
        </is>
      </c>
      <c r="C265" s="406" t="inlineStr">
        <is>
          <t>M0930</t>
        </is>
      </c>
      <c r="D265" s="406" t="inlineStr">
        <is>
          <t>Network Segmentation</t>
        </is>
      </c>
      <c r="E265" s="406" t="inlineStr">
        <is>
          <t>Prevent / Resist</t>
        </is>
      </c>
      <c r="F265" s="417" t="n">
        <v>0.8</v>
      </c>
      <c r="G265" s="444">
        <f>IFERROR(INDEX('OT 04 - Control Assessment'!$I$16:$I$67,MATCH(C265,'OT 04 - Control Assessment'!$A$16:$A$67,0)),0)</f>
        <v/>
      </c>
      <c r="H265" s="444">
        <f>IFERROR(INDEX('OT 04 - Control Assessment'!$J$16:$J$67,MATCH(C265,'OT 04 - Control Assessment'!$A$16:$A$67,0)),0)</f>
        <v/>
      </c>
      <c r="I265" s="444">
        <f>F265*G265*H265</f>
        <v/>
      </c>
      <c r="J265" s="406" t="inlineStr">
        <is>
          <t>Direct ATT&amp;CK mitigation relationship</t>
        </is>
      </c>
      <c r="K265" s="426" t="inlineStr">
        <is>
          <t>https://attack.mitre.org/techniques/T0800</t>
        </is>
      </c>
      <c r="L265" s="426" t="inlineStr">
        <is>
          <t>https://attack.mitre.org/mitigations/M0930</t>
        </is>
      </c>
      <c r="M265" s="406" t="inlineStr">
        <is>
          <t>Current Power Generation working prior (80%) because ATT&amp;CK establishes mitigation applicability but does not quantify efficacy. Replace with test / incident / SME calibration when available.</t>
        </is>
      </c>
    </row>
    <row r="266" ht="41.25" customHeight="1" s="508">
      <c r="A266" s="406" t="inlineStr">
        <is>
          <t>T0830</t>
        </is>
      </c>
      <c r="B266" s="406" t="inlineStr">
        <is>
          <t>Adversary-in-the-Middle</t>
        </is>
      </c>
      <c r="C266" s="406" t="inlineStr">
        <is>
          <t>M0930</t>
        </is>
      </c>
      <c r="D266" s="406" t="inlineStr">
        <is>
          <t>Network Segmentation</t>
        </is>
      </c>
      <c r="E266" s="406" t="inlineStr">
        <is>
          <t>Prevent / Resist</t>
        </is>
      </c>
      <c r="F266" s="417" t="n">
        <v>0.8</v>
      </c>
      <c r="G266" s="444">
        <f>IFERROR(INDEX('OT 04 - Control Assessment'!$I$16:$I$67,MATCH(C266,'OT 04 - Control Assessment'!$A$16:$A$67,0)),0)</f>
        <v/>
      </c>
      <c r="H266" s="444">
        <f>IFERROR(INDEX('OT 04 - Control Assessment'!$J$16:$J$67,MATCH(C266,'OT 04 - Control Assessment'!$A$16:$A$67,0)),0)</f>
        <v/>
      </c>
      <c r="I266" s="444">
        <f>F266*G266*H266</f>
        <v/>
      </c>
      <c r="J266" s="406" t="inlineStr">
        <is>
          <t>Direct ATT&amp;CK mitigation relationship</t>
        </is>
      </c>
      <c r="K266" s="426" t="inlineStr">
        <is>
          <t>https://attack.mitre.org/techniques/T0830</t>
        </is>
      </c>
      <c r="L266" s="426" t="inlineStr">
        <is>
          <t>https://attack.mitre.org/mitigations/M0930</t>
        </is>
      </c>
      <c r="M266" s="406" t="inlineStr">
        <is>
          <t>Current Power Generation working prior (80%) because ATT&amp;CK establishes mitigation applicability but does not quantify efficacy. Replace with test / incident / SME calibration when available.</t>
        </is>
      </c>
    </row>
    <row r="267" ht="41.25" customHeight="1" s="508">
      <c r="A267" s="406" t="inlineStr">
        <is>
          <t>T0878</t>
        </is>
      </c>
      <c r="B267" s="406" t="inlineStr">
        <is>
          <t>Alarm Suppression</t>
        </is>
      </c>
      <c r="C267" s="406" t="inlineStr">
        <is>
          <t>M0930</t>
        </is>
      </c>
      <c r="D267" s="406" t="inlineStr">
        <is>
          <t>Network Segmentation</t>
        </is>
      </c>
      <c r="E267" s="406" t="inlineStr">
        <is>
          <t>Prevent / Resist</t>
        </is>
      </c>
      <c r="F267" s="417" t="n">
        <v>0.8</v>
      </c>
      <c r="G267" s="444">
        <f>IFERROR(INDEX('OT 04 - Control Assessment'!$I$16:$I$67,MATCH(C267,'OT 04 - Control Assessment'!$A$16:$A$67,0)),0)</f>
        <v/>
      </c>
      <c r="H267" s="444">
        <f>IFERROR(INDEX('OT 04 - Control Assessment'!$J$16:$J$67,MATCH(C267,'OT 04 - Control Assessment'!$A$16:$A$67,0)),0)</f>
        <v/>
      </c>
      <c r="I267" s="444">
        <f>F267*G267*H267</f>
        <v/>
      </c>
      <c r="J267" s="406" t="inlineStr">
        <is>
          <t>Direct ATT&amp;CK mitigation relationship</t>
        </is>
      </c>
      <c r="K267" s="426" t="inlineStr">
        <is>
          <t>https://attack.mitre.org/techniques/T0878</t>
        </is>
      </c>
      <c r="L267" s="426" t="inlineStr">
        <is>
          <t>https://attack.mitre.org/mitigations/M0930</t>
        </is>
      </c>
      <c r="M267" s="406" t="inlineStr">
        <is>
          <t>Current Power Generation working prior (80%) because ATT&amp;CK establishes mitigation applicability but does not quantify efficacy. Replace with test / incident / SME calibration when available.</t>
        </is>
      </c>
    </row>
    <row r="268" ht="41.25" customHeight="1" s="508">
      <c r="A268" s="406" t="inlineStr">
        <is>
          <t>T0802</t>
        </is>
      </c>
      <c r="B268" s="406" t="inlineStr">
        <is>
          <t>Automated Collection</t>
        </is>
      </c>
      <c r="C268" s="406" t="inlineStr">
        <is>
          <t>M0930</t>
        </is>
      </c>
      <c r="D268" s="406" t="inlineStr">
        <is>
          <t>Network Segmentation</t>
        </is>
      </c>
      <c r="E268" s="406" t="inlineStr">
        <is>
          <t>Prevent / Resist</t>
        </is>
      </c>
      <c r="F268" s="417" t="n">
        <v>0.8</v>
      </c>
      <c r="G268" s="444">
        <f>IFERROR(INDEX('OT 04 - Control Assessment'!$I$16:$I$67,MATCH(C268,'OT 04 - Control Assessment'!$A$16:$A$67,0)),0)</f>
        <v/>
      </c>
      <c r="H268" s="444">
        <f>IFERROR(INDEX('OT 04 - Control Assessment'!$J$16:$J$67,MATCH(C268,'OT 04 - Control Assessment'!$A$16:$A$67,0)),0)</f>
        <v/>
      </c>
      <c r="I268" s="444">
        <f>F268*G268*H268</f>
        <v/>
      </c>
      <c r="J268" s="406" t="inlineStr">
        <is>
          <t>Direct ATT&amp;CK mitigation relationship</t>
        </is>
      </c>
      <c r="K268" s="426" t="inlineStr">
        <is>
          <t>https://attack.mitre.org/techniques/T0802</t>
        </is>
      </c>
      <c r="L268" s="426" t="inlineStr">
        <is>
          <t>https://attack.mitre.org/mitigations/M0930</t>
        </is>
      </c>
      <c r="M268" s="406" t="inlineStr">
        <is>
          <t>Current Power Generation working prior (80%) because ATT&amp;CK establishes mitigation applicability but does not quantify efficacy. Replace with test / incident / SME calibration when available.</t>
        </is>
      </c>
    </row>
    <row r="269" ht="41.25" customHeight="1" s="508">
      <c r="A269" s="406" t="inlineStr">
        <is>
          <t>T1695</t>
        </is>
      </c>
      <c r="B269" s="406" t="inlineStr">
        <is>
          <t>Block Communications</t>
        </is>
      </c>
      <c r="C269" s="406" t="inlineStr">
        <is>
          <t>M0930</t>
        </is>
      </c>
      <c r="D269" s="406" t="inlineStr">
        <is>
          <t>Network Segmentation</t>
        </is>
      </c>
      <c r="E269" s="406" t="inlineStr">
        <is>
          <t>Prevent / Resist</t>
        </is>
      </c>
      <c r="F269" s="417" t="n">
        <v>0.8</v>
      </c>
      <c r="G269" s="444">
        <f>IFERROR(INDEX('OT 04 - Control Assessment'!$I$16:$I$67,MATCH(C269,'OT 04 - Control Assessment'!$A$16:$A$67,0)),0)</f>
        <v/>
      </c>
      <c r="H269" s="444">
        <f>IFERROR(INDEX('OT 04 - Control Assessment'!$J$16:$J$67,MATCH(C269,'OT 04 - Control Assessment'!$A$16:$A$67,0)),0)</f>
        <v/>
      </c>
      <c r="I269" s="444">
        <f>F269*G269*H269</f>
        <v/>
      </c>
      <c r="J269" s="406" t="inlineStr">
        <is>
          <t>Direct ATT&amp;CK mitigation relationship</t>
        </is>
      </c>
      <c r="K269" s="426" t="inlineStr">
        <is>
          <t>https://attack.mitre.org/techniques/T1695</t>
        </is>
      </c>
      <c r="L269" s="426" t="inlineStr">
        <is>
          <t>https://attack.mitre.org/mitigations/M0930</t>
        </is>
      </c>
      <c r="M269" s="406" t="inlineStr">
        <is>
          <t>Current Power Generation working prior (80%) because ATT&amp;CK establishes mitigation applicability but does not quantify efficacy. Replace with test / incident / SME calibration when available.</t>
        </is>
      </c>
    </row>
    <row r="270" ht="41.25" customHeight="1" s="508">
      <c r="A270" s="406" t="inlineStr">
        <is>
          <t>T0846.002</t>
        </is>
      </c>
      <c r="B270" s="406" t="inlineStr">
        <is>
          <t>Broadcast Discovery</t>
        </is>
      </c>
      <c r="C270" s="406" t="inlineStr">
        <is>
          <t>M0930</t>
        </is>
      </c>
      <c r="D270" s="406" t="inlineStr">
        <is>
          <t>Network Segmentation</t>
        </is>
      </c>
      <c r="E270" s="406" t="inlineStr">
        <is>
          <t>Prevent / Resist</t>
        </is>
      </c>
      <c r="F270" s="417" t="n">
        <v>0.8</v>
      </c>
      <c r="G270" s="444">
        <f>IFERROR(INDEX('OT 04 - Control Assessment'!$I$16:$I$67,MATCH(C270,'OT 04 - Control Assessment'!$A$16:$A$67,0)),0)</f>
        <v/>
      </c>
      <c r="H270" s="444">
        <f>IFERROR(INDEX('OT 04 - Control Assessment'!$J$16:$J$67,MATCH(C270,'OT 04 - Control Assessment'!$A$16:$A$67,0)),0)</f>
        <v/>
      </c>
      <c r="I270" s="444">
        <f>F270*G270*H270</f>
        <v/>
      </c>
      <c r="J270" s="406" t="inlineStr">
        <is>
          <t>Direct ATT&amp;CK mitigation relationship</t>
        </is>
      </c>
      <c r="K270" s="426" t="inlineStr">
        <is>
          <t>https://attack.mitre.org/techniques/T0846/002</t>
        </is>
      </c>
      <c r="L270" s="426" t="inlineStr">
        <is>
          <t>https://attack.mitre.org/mitigations/M0930</t>
        </is>
      </c>
      <c r="M270" s="406" t="inlineStr">
        <is>
          <t>Current Power Generation working prior (80%) because ATT&amp;CK establishes mitigation applicability but does not quantify efficacy. Replace with test / incident / SME calibration when available.</t>
        </is>
      </c>
    </row>
    <row r="271" ht="41.25" customHeight="1" s="508">
      <c r="A271" s="406" t="inlineStr">
        <is>
          <t>T0806</t>
        </is>
      </c>
      <c r="B271" s="406" t="inlineStr">
        <is>
          <t>Brute Force I/O</t>
        </is>
      </c>
      <c r="C271" s="406" t="inlineStr">
        <is>
          <t>M0930</t>
        </is>
      </c>
      <c r="D271" s="406" t="inlineStr">
        <is>
          <t>Network Segmentation</t>
        </is>
      </c>
      <c r="E271" s="406" t="inlineStr">
        <is>
          <t>Prevent / Resist</t>
        </is>
      </c>
      <c r="F271" s="417" t="n">
        <v>0.8</v>
      </c>
      <c r="G271" s="444">
        <f>IFERROR(INDEX('OT 04 - Control Assessment'!$I$16:$I$67,MATCH(C271,'OT 04 - Control Assessment'!$A$16:$A$67,0)),0)</f>
        <v/>
      </c>
      <c r="H271" s="444">
        <f>IFERROR(INDEX('OT 04 - Control Assessment'!$J$16:$J$67,MATCH(C271,'OT 04 - Control Assessment'!$A$16:$A$67,0)),0)</f>
        <v/>
      </c>
      <c r="I271" s="444">
        <f>F271*G271*H271</f>
        <v/>
      </c>
      <c r="J271" s="406" t="inlineStr">
        <is>
          <t>Direct ATT&amp;CK mitigation relationship</t>
        </is>
      </c>
      <c r="K271" s="426" t="inlineStr">
        <is>
          <t>https://attack.mitre.org/techniques/T0806</t>
        </is>
      </c>
      <c r="L271" s="426" t="inlineStr">
        <is>
          <t>https://attack.mitre.org/mitigations/M0930</t>
        </is>
      </c>
      <c r="M271" s="406" t="inlineStr">
        <is>
          <t>Current Power Generation working prior (80%) because ATT&amp;CK establishes mitigation applicability but does not quantify efficacy. Replace with test / incident / SME calibration when available.</t>
        </is>
      </c>
    </row>
    <row r="272" ht="41.25" customHeight="1" s="508">
      <c r="A272" s="406" t="inlineStr">
        <is>
          <t>T0858</t>
        </is>
      </c>
      <c r="B272" s="406" t="inlineStr">
        <is>
          <t>Change Operating Mode</t>
        </is>
      </c>
      <c r="C272" s="406" t="inlineStr">
        <is>
          <t>M0930</t>
        </is>
      </c>
      <c r="D272" s="406" t="inlineStr">
        <is>
          <t>Network Segmentation</t>
        </is>
      </c>
      <c r="E272" s="406" t="inlineStr">
        <is>
          <t>Prevent / Resist</t>
        </is>
      </c>
      <c r="F272" s="417" t="n">
        <v>0.8</v>
      </c>
      <c r="G272" s="444">
        <f>IFERROR(INDEX('OT 04 - Control Assessment'!$I$16:$I$67,MATCH(C272,'OT 04 - Control Assessment'!$A$16:$A$67,0)),0)</f>
        <v/>
      </c>
      <c r="H272" s="444">
        <f>IFERROR(INDEX('OT 04 - Control Assessment'!$J$16:$J$67,MATCH(C272,'OT 04 - Control Assessment'!$A$16:$A$67,0)),0)</f>
        <v/>
      </c>
      <c r="I272" s="444">
        <f>F272*G272*H272</f>
        <v/>
      </c>
      <c r="J272" s="406" t="inlineStr">
        <is>
          <t>Direct ATT&amp;CK mitigation relationship</t>
        </is>
      </c>
      <c r="K272" s="426" t="inlineStr">
        <is>
          <t>https://attack.mitre.org/techniques/T0858</t>
        </is>
      </c>
      <c r="L272" s="426" t="inlineStr">
        <is>
          <t>https://attack.mitre.org/mitigations/M0930</t>
        </is>
      </c>
      <c r="M272" s="406" t="inlineStr">
        <is>
          <t>Current Power Generation working prior (80%) because ATT&amp;CK establishes mitigation applicability but does not quantify efficacy. Replace with test / incident / SME calibration when available.</t>
        </is>
      </c>
    </row>
    <row r="273" ht="41.25" customHeight="1" s="508">
      <c r="A273" s="406" t="inlineStr">
        <is>
          <t>T1692.001</t>
        </is>
      </c>
      <c r="B273" s="406" t="inlineStr">
        <is>
          <t>Command Message</t>
        </is>
      </c>
      <c r="C273" s="406" t="inlineStr">
        <is>
          <t>M0930</t>
        </is>
      </c>
      <c r="D273" s="406" t="inlineStr">
        <is>
          <t>Network Segmentation</t>
        </is>
      </c>
      <c r="E273" s="406" t="inlineStr">
        <is>
          <t>Prevent / Resist</t>
        </is>
      </c>
      <c r="F273" s="417" t="n">
        <v>0.8</v>
      </c>
      <c r="G273" s="444">
        <f>IFERROR(INDEX('OT 04 - Control Assessment'!$I$16:$I$67,MATCH(C273,'OT 04 - Control Assessment'!$A$16:$A$67,0)),0)</f>
        <v/>
      </c>
      <c r="H273" s="444">
        <f>IFERROR(INDEX('OT 04 - Control Assessment'!$J$16:$J$67,MATCH(C273,'OT 04 - Control Assessment'!$A$16:$A$67,0)),0)</f>
        <v/>
      </c>
      <c r="I273" s="444">
        <f>F273*G273*H273</f>
        <v/>
      </c>
      <c r="J273" s="406" t="inlineStr">
        <is>
          <t>Direct ATT&amp;CK mitigation relationship</t>
        </is>
      </c>
      <c r="K273" s="426" t="inlineStr">
        <is>
          <t>https://attack.mitre.org/techniques/T1692/001</t>
        </is>
      </c>
      <c r="L273" s="426" t="inlineStr">
        <is>
          <t>https://attack.mitre.org/mitigations/M0930</t>
        </is>
      </c>
      <c r="M273" s="406" t="inlineStr">
        <is>
          <t>Current Power Generation working prior (80%) because ATT&amp;CK establishes mitigation applicability but does not quantify efficacy. Replace with test / incident / SME calibration when available.</t>
        </is>
      </c>
    </row>
    <row r="274" ht="41.25" customHeight="1" s="508">
      <c r="A274" s="406" t="inlineStr">
        <is>
          <t>T0885</t>
        </is>
      </c>
      <c r="B274" s="406" t="inlineStr">
        <is>
          <t>Commonly Used Port</t>
        </is>
      </c>
      <c r="C274" s="406" t="inlineStr">
        <is>
          <t>M0930</t>
        </is>
      </c>
      <c r="D274" s="406" t="inlineStr">
        <is>
          <t>Network Segmentation</t>
        </is>
      </c>
      <c r="E274" s="406" t="inlineStr">
        <is>
          <t>Prevent / Resist</t>
        </is>
      </c>
      <c r="F274" s="417" t="n">
        <v>0.8</v>
      </c>
      <c r="G274" s="444">
        <f>IFERROR(INDEX('OT 04 - Control Assessment'!$I$16:$I$67,MATCH(C274,'OT 04 - Control Assessment'!$A$16:$A$67,0)),0)</f>
        <v/>
      </c>
      <c r="H274" s="444">
        <f>IFERROR(INDEX('OT 04 - Control Assessment'!$J$16:$J$67,MATCH(C274,'OT 04 - Control Assessment'!$A$16:$A$67,0)),0)</f>
        <v/>
      </c>
      <c r="I274" s="444">
        <f>F274*G274*H274</f>
        <v/>
      </c>
      <c r="J274" s="406" t="inlineStr">
        <is>
          <t>Direct ATT&amp;CK mitigation relationship</t>
        </is>
      </c>
      <c r="K274" s="426" t="inlineStr">
        <is>
          <t>https://attack.mitre.org/techniques/T0885</t>
        </is>
      </c>
      <c r="L274" s="426" t="inlineStr">
        <is>
          <t>https://attack.mitre.org/mitigations/M0930</t>
        </is>
      </c>
      <c r="M274" s="406" t="inlineStr">
        <is>
          <t>Current Power Generation working prior (80%) because ATT&amp;CK establishes mitigation applicability but does not quantify efficacy. Replace with test / incident / SME calibration when available.</t>
        </is>
      </c>
    </row>
    <row r="275" ht="41.25" customHeight="1" s="508">
      <c r="A275" s="406" t="inlineStr">
        <is>
          <t>T0868</t>
        </is>
      </c>
      <c r="B275" s="406" t="inlineStr">
        <is>
          <t>Detect Operating Mode</t>
        </is>
      </c>
      <c r="C275" s="406" t="inlineStr">
        <is>
          <t>M0930</t>
        </is>
      </c>
      <c r="D275" s="406" t="inlineStr">
        <is>
          <t>Network Segmentation</t>
        </is>
      </c>
      <c r="E275" s="406" t="inlineStr">
        <is>
          <t>Prevent / Resist</t>
        </is>
      </c>
      <c r="F275" s="417" t="n">
        <v>0.8</v>
      </c>
      <c r="G275" s="444">
        <f>IFERROR(INDEX('OT 04 - Control Assessment'!$I$16:$I$67,MATCH(C275,'OT 04 - Control Assessment'!$A$16:$A$67,0)),0)</f>
        <v/>
      </c>
      <c r="H275" s="444">
        <f>IFERROR(INDEX('OT 04 - Control Assessment'!$J$16:$J$67,MATCH(C275,'OT 04 - Control Assessment'!$A$16:$A$67,0)),0)</f>
        <v/>
      </c>
      <c r="I275" s="444">
        <f>F275*G275*H275</f>
        <v/>
      </c>
      <c r="J275" s="406" t="inlineStr">
        <is>
          <t>Direct ATT&amp;CK mitigation relationship</t>
        </is>
      </c>
      <c r="K275" s="426" t="inlineStr">
        <is>
          <t>https://attack.mitre.org/techniques/T0868</t>
        </is>
      </c>
      <c r="L275" s="426" t="inlineStr">
        <is>
          <t>https://attack.mitre.org/mitigations/M0930</t>
        </is>
      </c>
      <c r="M275" s="406" t="inlineStr">
        <is>
          <t>Current Power Generation working prior (80%) because ATT&amp;CK establishes mitigation applicability but does not quantify efficacy. Replace with test / incident / SME calibration when available.</t>
        </is>
      </c>
    </row>
    <row r="276" ht="41.25" customHeight="1" s="508">
      <c r="A276" s="406" t="inlineStr">
        <is>
          <t>T0816</t>
        </is>
      </c>
      <c r="B276" s="406" t="inlineStr">
        <is>
          <t>Device Restart/Shutdown</t>
        </is>
      </c>
      <c r="C276" s="406" t="inlineStr">
        <is>
          <t>M0930</t>
        </is>
      </c>
      <c r="D276" s="406" t="inlineStr">
        <is>
          <t>Network Segmentation</t>
        </is>
      </c>
      <c r="E276" s="406" t="inlineStr">
        <is>
          <t>Prevent / Resist</t>
        </is>
      </c>
      <c r="F276" s="417" t="n">
        <v>0.8</v>
      </c>
      <c r="G276" s="444">
        <f>IFERROR(INDEX('OT 04 - Control Assessment'!$I$16:$I$67,MATCH(C276,'OT 04 - Control Assessment'!$A$16:$A$67,0)),0)</f>
        <v/>
      </c>
      <c r="H276" s="444">
        <f>IFERROR(INDEX('OT 04 - Control Assessment'!$J$16:$J$67,MATCH(C276,'OT 04 - Control Assessment'!$A$16:$A$67,0)),0)</f>
        <v/>
      </c>
      <c r="I276" s="444">
        <f>F276*G276*H276</f>
        <v/>
      </c>
      <c r="J276" s="406" t="inlineStr">
        <is>
          <t>Direct ATT&amp;CK mitigation relationship</t>
        </is>
      </c>
      <c r="K276" s="426" t="inlineStr">
        <is>
          <t>https://attack.mitre.org/techniques/T0816</t>
        </is>
      </c>
      <c r="L276" s="426" t="inlineStr">
        <is>
          <t>https://attack.mitre.org/mitigations/M0930</t>
        </is>
      </c>
      <c r="M276" s="406" t="inlineStr">
        <is>
          <t>Current Power Generation working prior (80%) because ATT&amp;CK establishes mitigation applicability but does not quantify efficacy. Replace with test / incident / SME calibration when available.</t>
        </is>
      </c>
    </row>
    <row r="277" ht="41.25" customHeight="1" s="508">
      <c r="A277" s="406" t="inlineStr">
        <is>
          <t>T0843.001</t>
        </is>
      </c>
      <c r="B277" s="406" t="inlineStr">
        <is>
          <t>Download All</t>
        </is>
      </c>
      <c r="C277" s="406" t="inlineStr">
        <is>
          <t>M0930</t>
        </is>
      </c>
      <c r="D277" s="406" t="inlineStr">
        <is>
          <t>Network Segmentation</t>
        </is>
      </c>
      <c r="E277" s="406" t="inlineStr">
        <is>
          <t>Prevent / Resist</t>
        </is>
      </c>
      <c r="F277" s="417" t="n">
        <v>0.8</v>
      </c>
      <c r="G277" s="444">
        <f>IFERROR(INDEX('OT 04 - Control Assessment'!$I$16:$I$67,MATCH(C277,'OT 04 - Control Assessment'!$A$16:$A$67,0)),0)</f>
        <v/>
      </c>
      <c r="H277" s="444">
        <f>IFERROR(INDEX('OT 04 - Control Assessment'!$J$16:$J$67,MATCH(C277,'OT 04 - Control Assessment'!$A$16:$A$67,0)),0)</f>
        <v/>
      </c>
      <c r="I277" s="444">
        <f>F277*G277*H277</f>
        <v/>
      </c>
      <c r="J277" s="406" t="inlineStr">
        <is>
          <t>Direct ATT&amp;CK mitigation relationship</t>
        </is>
      </c>
      <c r="K277" s="426" t="inlineStr">
        <is>
          <t>https://attack.mitre.org/techniques/T0843/001</t>
        </is>
      </c>
      <c r="L277" s="426" t="inlineStr">
        <is>
          <t>https://attack.mitre.org/mitigations/M0930</t>
        </is>
      </c>
      <c r="M277" s="406" t="inlineStr">
        <is>
          <t>Current Power Generation working prior (80%) because ATT&amp;CK establishes mitigation applicability but does not quantify efficacy. Replace with test / incident / SME calibration when available.</t>
        </is>
      </c>
    </row>
    <row r="278" ht="41.25" customHeight="1" s="508">
      <c r="A278" s="406" t="inlineStr">
        <is>
          <t>T1695.002</t>
        </is>
      </c>
      <c r="B278" s="406" t="inlineStr">
        <is>
          <t>Ethernet</t>
        </is>
      </c>
      <c r="C278" s="406" t="inlineStr">
        <is>
          <t>M0930</t>
        </is>
      </c>
      <c r="D278" s="406" t="inlineStr">
        <is>
          <t>Network Segmentation</t>
        </is>
      </c>
      <c r="E278" s="406" t="inlineStr">
        <is>
          <t>Prevent / Resist</t>
        </is>
      </c>
      <c r="F278" s="417" t="n">
        <v>0.8</v>
      </c>
      <c r="G278" s="444">
        <f>IFERROR(INDEX('OT 04 - Control Assessment'!$I$16:$I$67,MATCH(C278,'OT 04 - Control Assessment'!$A$16:$A$67,0)),0)</f>
        <v/>
      </c>
      <c r="H278" s="444">
        <f>IFERROR(INDEX('OT 04 - Control Assessment'!$J$16:$J$67,MATCH(C278,'OT 04 - Control Assessment'!$A$16:$A$67,0)),0)</f>
        <v/>
      </c>
      <c r="I278" s="444">
        <f>F278*G278*H278</f>
        <v/>
      </c>
      <c r="J278" s="406" t="inlineStr">
        <is>
          <t>Direct ATT&amp;CK mitigation relationship</t>
        </is>
      </c>
      <c r="K278" s="426" t="inlineStr">
        <is>
          <t>https://attack.mitre.org/techniques/T1695/002</t>
        </is>
      </c>
      <c r="L278" s="426" t="inlineStr">
        <is>
          <t>https://attack.mitre.org/mitigations/M0930</t>
        </is>
      </c>
      <c r="M278" s="406" t="inlineStr">
        <is>
          <t>Current Power Generation working prior (80%) because ATT&amp;CK establishes mitigation applicability but does not quantify efficacy. Replace with test / incident / SME calibration when available.</t>
        </is>
      </c>
    </row>
    <row r="279" ht="41.25" customHeight="1" s="508">
      <c r="A279" s="406" t="inlineStr">
        <is>
          <t>T0819</t>
        </is>
      </c>
      <c r="B279" s="406" t="inlineStr">
        <is>
          <t>Exploit Public-Facing Application</t>
        </is>
      </c>
      <c r="C279" s="406" t="inlineStr">
        <is>
          <t>M0930</t>
        </is>
      </c>
      <c r="D279" s="406" t="inlineStr">
        <is>
          <t>Network Segmentation</t>
        </is>
      </c>
      <c r="E279" s="406" t="inlineStr">
        <is>
          <t>Prevent / Resist</t>
        </is>
      </c>
      <c r="F279" s="417" t="n">
        <v>0.8</v>
      </c>
      <c r="G279" s="444">
        <f>IFERROR(INDEX('OT 04 - Control Assessment'!$I$16:$I$67,MATCH(C279,'OT 04 - Control Assessment'!$A$16:$A$67,0)),0)</f>
        <v/>
      </c>
      <c r="H279" s="444">
        <f>IFERROR(INDEX('OT 04 - Control Assessment'!$J$16:$J$67,MATCH(C279,'OT 04 - Control Assessment'!$A$16:$A$67,0)),0)</f>
        <v/>
      </c>
      <c r="I279" s="444">
        <f>F279*G279*H279</f>
        <v/>
      </c>
      <c r="J279" s="406" t="inlineStr">
        <is>
          <t>Direct ATT&amp;CK mitigation relationship</t>
        </is>
      </c>
      <c r="K279" s="426" t="inlineStr">
        <is>
          <t>https://attack.mitre.org/techniques/T0819</t>
        </is>
      </c>
      <c r="L279" s="426" t="inlineStr">
        <is>
          <t>https://attack.mitre.org/mitigations/M0930</t>
        </is>
      </c>
      <c r="M279" s="406" t="inlineStr">
        <is>
          <t>Current Power Generation working prior (80%) because ATT&amp;CK establishes mitigation applicability but does not quantify efficacy. Replace with test / incident / SME calibration when available.</t>
        </is>
      </c>
    </row>
    <row r="280" ht="41.25" customHeight="1" s="508">
      <c r="A280" s="406" t="inlineStr">
        <is>
          <t>T0866</t>
        </is>
      </c>
      <c r="B280" s="406" t="inlineStr">
        <is>
          <t>Exploitation of Remote Services</t>
        </is>
      </c>
      <c r="C280" s="406" t="inlineStr">
        <is>
          <t>M0930</t>
        </is>
      </c>
      <c r="D280" s="406" t="inlineStr">
        <is>
          <t>Network Segmentation</t>
        </is>
      </c>
      <c r="E280" s="406" t="inlineStr">
        <is>
          <t>Prevent / Resist</t>
        </is>
      </c>
      <c r="F280" s="417" t="n">
        <v>0.8</v>
      </c>
      <c r="G280" s="444">
        <f>IFERROR(INDEX('OT 04 - Control Assessment'!$I$16:$I$67,MATCH(C280,'OT 04 - Control Assessment'!$A$16:$A$67,0)),0)</f>
        <v/>
      </c>
      <c r="H280" s="444">
        <f>IFERROR(INDEX('OT 04 - Control Assessment'!$J$16:$J$67,MATCH(C280,'OT 04 - Control Assessment'!$A$16:$A$67,0)),0)</f>
        <v/>
      </c>
      <c r="I280" s="444">
        <f>F280*G280*H280</f>
        <v/>
      </c>
      <c r="J280" s="406" t="inlineStr">
        <is>
          <t>Direct ATT&amp;CK mitigation relationship</t>
        </is>
      </c>
      <c r="K280" s="426" t="inlineStr">
        <is>
          <t>https://attack.mitre.org/techniques/T0866</t>
        </is>
      </c>
      <c r="L280" s="426" t="inlineStr">
        <is>
          <t>https://attack.mitre.org/mitigations/M0930</t>
        </is>
      </c>
      <c r="M280" s="406" t="inlineStr">
        <is>
          <t>Current Power Generation working prior (80%) because ATT&amp;CK establishes mitigation applicability but does not quantify efficacy. Replace with test / incident / SME calibration when available.</t>
        </is>
      </c>
    </row>
    <row r="281" ht="41.25" customHeight="1" s="508">
      <c r="A281" s="406" t="inlineStr">
        <is>
          <t>T0822</t>
        </is>
      </c>
      <c r="B281" s="406" t="inlineStr">
        <is>
          <t>External Remote Services</t>
        </is>
      </c>
      <c r="C281" s="406" t="inlineStr">
        <is>
          <t>M0930</t>
        </is>
      </c>
      <c r="D281" s="406" t="inlineStr">
        <is>
          <t>Network Segmentation</t>
        </is>
      </c>
      <c r="E281" s="406" t="inlineStr">
        <is>
          <t>Prevent / Resist</t>
        </is>
      </c>
      <c r="F281" s="417" t="n">
        <v>0.8</v>
      </c>
      <c r="G281" s="444">
        <f>IFERROR(INDEX('OT 04 - Control Assessment'!$I$16:$I$67,MATCH(C281,'OT 04 - Control Assessment'!$A$16:$A$67,0)),0)</f>
        <v/>
      </c>
      <c r="H281" s="444">
        <f>IFERROR(INDEX('OT 04 - Control Assessment'!$J$16:$J$67,MATCH(C281,'OT 04 - Control Assessment'!$A$16:$A$67,0)),0)</f>
        <v/>
      </c>
      <c r="I281" s="444">
        <f>F281*G281*H281</f>
        <v/>
      </c>
      <c r="J281" s="406" t="inlineStr">
        <is>
          <t>Direct ATT&amp;CK mitigation relationship</t>
        </is>
      </c>
      <c r="K281" s="426" t="inlineStr">
        <is>
          <t>https://attack.mitre.org/techniques/T0822</t>
        </is>
      </c>
      <c r="L281" s="426" t="inlineStr">
        <is>
          <t>https://attack.mitre.org/mitigations/M0930</t>
        </is>
      </c>
      <c r="M281" s="406" t="inlineStr">
        <is>
          <t>Current Power Generation working prior (80%) because ATT&amp;CK establishes mitigation applicability but does not quantify efficacy. Replace with test / incident / SME calibration when available.</t>
        </is>
      </c>
    </row>
    <row r="282" ht="41.25" customHeight="1" s="508">
      <c r="A282" s="406" t="inlineStr">
        <is>
          <t>T0883</t>
        </is>
      </c>
      <c r="B282" s="406" t="inlineStr">
        <is>
          <t>Internet Accessible Device</t>
        </is>
      </c>
      <c r="C282" s="406" t="inlineStr">
        <is>
          <t>M0930</t>
        </is>
      </c>
      <c r="D282" s="406" t="inlineStr">
        <is>
          <t>Network Segmentation</t>
        </is>
      </c>
      <c r="E282" s="406" t="inlineStr">
        <is>
          <t>Prevent / Resist</t>
        </is>
      </c>
      <c r="F282" s="417" t="n">
        <v>0.8</v>
      </c>
      <c r="G282" s="444">
        <f>IFERROR(INDEX('OT 04 - Control Assessment'!$I$16:$I$67,MATCH(C282,'OT 04 - Control Assessment'!$A$16:$A$67,0)),0)</f>
        <v/>
      </c>
      <c r="H282" s="444">
        <f>IFERROR(INDEX('OT 04 - Control Assessment'!$J$16:$J$67,MATCH(C282,'OT 04 - Control Assessment'!$A$16:$A$67,0)),0)</f>
        <v/>
      </c>
      <c r="I282" s="444">
        <f>F282*G282*H282</f>
        <v/>
      </c>
      <c r="J282" s="406" t="inlineStr">
        <is>
          <t>Direct ATT&amp;CK mitigation relationship</t>
        </is>
      </c>
      <c r="K282" s="426" t="inlineStr">
        <is>
          <t>https://attack.mitre.org/techniques/T0883</t>
        </is>
      </c>
      <c r="L282" s="426" t="inlineStr">
        <is>
          <t>https://attack.mitre.org/mitigations/M0930</t>
        </is>
      </c>
      <c r="M282" s="406" t="inlineStr">
        <is>
          <t>Current Power Generation working prior (80%) because ATT&amp;CK establishes mitigation applicability but does not quantify efficacy. Replace with test / incident / SME calibration when available.</t>
        </is>
      </c>
    </row>
    <row r="283" ht="41.25" customHeight="1" s="508">
      <c r="A283" s="406" t="inlineStr">
        <is>
          <t>T0838</t>
        </is>
      </c>
      <c r="B283" s="406" t="inlineStr">
        <is>
          <t>Modify Alarm Settings</t>
        </is>
      </c>
      <c r="C283" s="406" t="inlineStr">
        <is>
          <t>M0930</t>
        </is>
      </c>
      <c r="D283" s="406" t="inlineStr">
        <is>
          <t>Network Segmentation</t>
        </is>
      </c>
      <c r="E283" s="406" t="inlineStr">
        <is>
          <t>Prevent / Resist</t>
        </is>
      </c>
      <c r="F283" s="417" t="n">
        <v>0.8</v>
      </c>
      <c r="G283" s="444">
        <f>IFERROR(INDEX('OT 04 - Control Assessment'!$I$16:$I$67,MATCH(C283,'OT 04 - Control Assessment'!$A$16:$A$67,0)),0)</f>
        <v/>
      </c>
      <c r="H283" s="444">
        <f>IFERROR(INDEX('OT 04 - Control Assessment'!$J$16:$J$67,MATCH(C283,'OT 04 - Control Assessment'!$A$16:$A$67,0)),0)</f>
        <v/>
      </c>
      <c r="I283" s="444">
        <f>F283*G283*H283</f>
        <v/>
      </c>
      <c r="J283" s="406" t="inlineStr">
        <is>
          <t>Direct ATT&amp;CK mitigation relationship</t>
        </is>
      </c>
      <c r="K283" s="426" t="inlineStr">
        <is>
          <t>https://attack.mitre.org/techniques/T0838</t>
        </is>
      </c>
      <c r="L283" s="426" t="inlineStr">
        <is>
          <t>https://attack.mitre.org/mitigations/M0930</t>
        </is>
      </c>
      <c r="M283" s="406" t="inlineStr">
        <is>
          <t>Current Power Generation working prior (80%) because ATT&amp;CK establishes mitigation applicability but does not quantify efficacy. Replace with test / incident / SME calibration when available.</t>
        </is>
      </c>
    </row>
    <row r="284" ht="41.25" customHeight="1" s="508">
      <c r="A284" s="406" t="inlineStr">
        <is>
          <t>T1693</t>
        </is>
      </c>
      <c r="B284" s="406" t="inlineStr">
        <is>
          <t>Modify Firmware</t>
        </is>
      </c>
      <c r="C284" s="406" t="inlineStr">
        <is>
          <t>M0930</t>
        </is>
      </c>
      <c r="D284" s="406" t="inlineStr">
        <is>
          <t>Network Segmentation</t>
        </is>
      </c>
      <c r="E284" s="406" t="inlineStr">
        <is>
          <t>Prevent / Resist</t>
        </is>
      </c>
      <c r="F284" s="417" t="n">
        <v>0.8</v>
      </c>
      <c r="G284" s="444">
        <f>IFERROR(INDEX('OT 04 - Control Assessment'!$I$16:$I$67,MATCH(C284,'OT 04 - Control Assessment'!$A$16:$A$67,0)),0)</f>
        <v/>
      </c>
      <c r="H284" s="444">
        <f>IFERROR(INDEX('OT 04 - Control Assessment'!$J$16:$J$67,MATCH(C284,'OT 04 - Control Assessment'!$A$16:$A$67,0)),0)</f>
        <v/>
      </c>
      <c r="I284" s="444">
        <f>F284*G284*H284</f>
        <v/>
      </c>
      <c r="J284" s="406" t="inlineStr">
        <is>
          <t>Direct ATT&amp;CK mitigation relationship</t>
        </is>
      </c>
      <c r="K284" s="426" t="inlineStr">
        <is>
          <t>https://attack.mitre.org/techniques/T1693</t>
        </is>
      </c>
      <c r="L284" s="426" t="inlineStr">
        <is>
          <t>https://attack.mitre.org/mitigations/M0930</t>
        </is>
      </c>
      <c r="M284" s="406" t="inlineStr">
        <is>
          <t>Current Power Generation working prior (80%) because ATT&amp;CK establishes mitigation applicability but does not quantify efficacy. Replace with test / incident / SME calibration when available.</t>
        </is>
      </c>
    </row>
    <row r="285" ht="41.25" customHeight="1" s="508">
      <c r="A285" s="406" t="inlineStr">
        <is>
          <t>T1693.002</t>
        </is>
      </c>
      <c r="B285" s="406" t="inlineStr">
        <is>
          <t>Module Firmware</t>
        </is>
      </c>
      <c r="C285" s="406" t="inlineStr">
        <is>
          <t>M0930</t>
        </is>
      </c>
      <c r="D285" s="406" t="inlineStr">
        <is>
          <t>Network Segmentation</t>
        </is>
      </c>
      <c r="E285" s="406" t="inlineStr">
        <is>
          <t>Prevent / Resist</t>
        </is>
      </c>
      <c r="F285" s="417" t="n">
        <v>0.8</v>
      </c>
      <c r="G285" s="444">
        <f>IFERROR(INDEX('OT 04 - Control Assessment'!$I$16:$I$67,MATCH(C285,'OT 04 - Control Assessment'!$A$16:$A$67,0)),0)</f>
        <v/>
      </c>
      <c r="H285" s="444">
        <f>IFERROR(INDEX('OT 04 - Control Assessment'!$J$16:$J$67,MATCH(C285,'OT 04 - Control Assessment'!$A$16:$A$67,0)),0)</f>
        <v/>
      </c>
      <c r="I285" s="444">
        <f>F285*G285*H285</f>
        <v/>
      </c>
      <c r="J285" s="406" t="inlineStr">
        <is>
          <t>Direct ATT&amp;CK mitigation relationship</t>
        </is>
      </c>
      <c r="K285" s="426" t="inlineStr">
        <is>
          <t>https://attack.mitre.org/techniques/T1693/002</t>
        </is>
      </c>
      <c r="L285" s="426" t="inlineStr">
        <is>
          <t>https://attack.mitre.org/mitigations/M0930</t>
        </is>
      </c>
      <c r="M285" s="406" t="inlineStr">
        <is>
          <t>Current Power Generation working prior (80%) because ATT&amp;CK establishes mitigation applicability but does not quantify efficacy. Replace with test / incident / SME calibration when available.</t>
        </is>
      </c>
    </row>
    <row r="286" ht="41.25" customHeight="1" s="508">
      <c r="A286" s="406" t="inlineStr">
        <is>
          <t>T0846.003</t>
        </is>
      </c>
      <c r="B286" s="406" t="inlineStr">
        <is>
          <t>Multicast Discovery</t>
        </is>
      </c>
      <c r="C286" s="406" t="inlineStr">
        <is>
          <t>M0930</t>
        </is>
      </c>
      <c r="D286" s="406" t="inlineStr">
        <is>
          <t>Network Segmentation</t>
        </is>
      </c>
      <c r="E286" s="406" t="inlineStr">
        <is>
          <t>Prevent / Resist</t>
        </is>
      </c>
      <c r="F286" s="417" t="n">
        <v>0.8</v>
      </c>
      <c r="G286" s="444">
        <f>IFERROR(INDEX('OT 04 - Control Assessment'!$I$16:$I$67,MATCH(C286,'OT 04 - Control Assessment'!$A$16:$A$67,0)),0)</f>
        <v/>
      </c>
      <c r="H286" s="444">
        <f>IFERROR(INDEX('OT 04 - Control Assessment'!$J$16:$J$67,MATCH(C286,'OT 04 - Control Assessment'!$A$16:$A$67,0)),0)</f>
        <v/>
      </c>
      <c r="I286" s="444">
        <f>F286*G286*H286</f>
        <v/>
      </c>
      <c r="J286" s="406" t="inlineStr">
        <is>
          <t>Direct ATT&amp;CK mitigation relationship</t>
        </is>
      </c>
      <c r="K286" s="426" t="inlineStr">
        <is>
          <t>https://attack.mitre.org/techniques/T0846/003</t>
        </is>
      </c>
      <c r="L286" s="426" t="inlineStr">
        <is>
          <t>https://attack.mitre.org/mitigations/M0930</t>
        </is>
      </c>
      <c r="M286" s="406" t="inlineStr">
        <is>
          <t>Current Power Generation working prior (80%) because ATT&amp;CK establishes mitigation applicability but does not quantify efficacy. Replace with test / incident / SME calibration when available.</t>
        </is>
      </c>
    </row>
    <row r="287" ht="41.25" customHeight="1" s="508">
      <c r="A287" s="406" t="inlineStr">
        <is>
          <t>T0842</t>
        </is>
      </c>
      <c r="B287" s="406" t="inlineStr">
        <is>
          <t>Network Sniffing</t>
        </is>
      </c>
      <c r="C287" s="406" t="inlineStr">
        <is>
          <t>M0930</t>
        </is>
      </c>
      <c r="D287" s="406" t="inlineStr">
        <is>
          <t>Network Segmentation</t>
        </is>
      </c>
      <c r="E287" s="406" t="inlineStr">
        <is>
          <t>Prevent / Resist</t>
        </is>
      </c>
      <c r="F287" s="417" t="n">
        <v>0.8</v>
      </c>
      <c r="G287" s="444">
        <f>IFERROR(INDEX('OT 04 - Control Assessment'!$I$16:$I$67,MATCH(C287,'OT 04 - Control Assessment'!$A$16:$A$67,0)),0)</f>
        <v/>
      </c>
      <c r="H287" s="444">
        <f>IFERROR(INDEX('OT 04 - Control Assessment'!$J$16:$J$67,MATCH(C287,'OT 04 - Control Assessment'!$A$16:$A$67,0)),0)</f>
        <v/>
      </c>
      <c r="I287" s="444">
        <f>F287*G287*H287</f>
        <v/>
      </c>
      <c r="J287" s="406" t="inlineStr">
        <is>
          <t>Direct ATT&amp;CK mitigation relationship</t>
        </is>
      </c>
      <c r="K287" s="426" t="inlineStr">
        <is>
          <t>https://attack.mitre.org/techniques/T0842</t>
        </is>
      </c>
      <c r="L287" s="426" t="inlineStr">
        <is>
          <t>https://attack.mitre.org/mitigations/M0930</t>
        </is>
      </c>
      <c r="M287" s="406" t="inlineStr">
        <is>
          <t>Current Power Generation working prior (80%) because ATT&amp;CK establishes mitigation applicability but does not quantify efficacy. Replace with test / incident / SME calibration when available.</t>
        </is>
      </c>
    </row>
    <row r="288" ht="41.25" customHeight="1" s="508">
      <c r="A288" s="406" t="inlineStr">
        <is>
          <t>T0843.002</t>
        </is>
      </c>
      <c r="B288" s="406" t="inlineStr">
        <is>
          <t>Online Edit</t>
        </is>
      </c>
      <c r="C288" s="406" t="inlineStr">
        <is>
          <t>M0930</t>
        </is>
      </c>
      <c r="D288" s="406" t="inlineStr">
        <is>
          <t>Network Segmentation</t>
        </is>
      </c>
      <c r="E288" s="406" t="inlineStr">
        <is>
          <t>Prevent / Resist</t>
        </is>
      </c>
      <c r="F288" s="417" t="n">
        <v>0.8</v>
      </c>
      <c r="G288" s="444">
        <f>IFERROR(INDEX('OT 04 - Control Assessment'!$I$16:$I$67,MATCH(C288,'OT 04 - Control Assessment'!$A$16:$A$67,0)),0)</f>
        <v/>
      </c>
      <c r="H288" s="444">
        <f>IFERROR(INDEX('OT 04 - Control Assessment'!$J$16:$J$67,MATCH(C288,'OT 04 - Control Assessment'!$A$16:$A$67,0)),0)</f>
        <v/>
      </c>
      <c r="I288" s="444">
        <f>F288*G288*H288</f>
        <v/>
      </c>
      <c r="J288" s="406" t="inlineStr">
        <is>
          <t>Direct ATT&amp;CK mitigation relationship</t>
        </is>
      </c>
      <c r="K288" s="426" t="inlineStr">
        <is>
          <t>https://attack.mitre.org/techniques/T0843/002</t>
        </is>
      </c>
      <c r="L288" s="426" t="inlineStr">
        <is>
          <t>https://attack.mitre.org/mitigations/M0930</t>
        </is>
      </c>
      <c r="M288" s="406" t="inlineStr">
        <is>
          <t>Current Power Generation working prior (80%) because ATT&amp;CK establishes mitigation applicability but does not quantify efficacy. Replace with test / incident / SME calibration when available.</t>
        </is>
      </c>
    </row>
    <row r="289" ht="41.25" customHeight="1" s="508">
      <c r="A289" s="406" t="inlineStr">
        <is>
          <t>T0861</t>
        </is>
      </c>
      <c r="B289" s="406" t="inlineStr">
        <is>
          <t>Point &amp; Tag Identification</t>
        </is>
      </c>
      <c r="C289" s="406" t="inlineStr">
        <is>
          <t>M0930</t>
        </is>
      </c>
      <c r="D289" s="406" t="inlineStr">
        <is>
          <t>Network Segmentation</t>
        </is>
      </c>
      <c r="E289" s="406" t="inlineStr">
        <is>
          <t>Prevent / Resist</t>
        </is>
      </c>
      <c r="F289" s="417" t="n">
        <v>0.8</v>
      </c>
      <c r="G289" s="444">
        <f>IFERROR(INDEX('OT 04 - Control Assessment'!$I$16:$I$67,MATCH(C289,'OT 04 - Control Assessment'!$A$16:$A$67,0)),0)</f>
        <v/>
      </c>
      <c r="H289" s="444">
        <f>IFERROR(INDEX('OT 04 - Control Assessment'!$J$16:$J$67,MATCH(C289,'OT 04 - Control Assessment'!$A$16:$A$67,0)),0)</f>
        <v/>
      </c>
      <c r="I289" s="444">
        <f>F289*G289*H289</f>
        <v/>
      </c>
      <c r="J289" s="406" t="inlineStr">
        <is>
          <t>Direct ATT&amp;CK mitigation relationship</t>
        </is>
      </c>
      <c r="K289" s="426" t="inlineStr">
        <is>
          <t>https://attack.mitre.org/techniques/T0861</t>
        </is>
      </c>
      <c r="L289" s="426" t="inlineStr">
        <is>
          <t>https://attack.mitre.org/mitigations/M0930</t>
        </is>
      </c>
      <c r="M289" s="406" t="inlineStr">
        <is>
          <t>Current Power Generation working prior (80%) because ATT&amp;CK establishes mitigation applicability but does not quantify efficacy. Replace with test / incident / SME calibration when available.</t>
        </is>
      </c>
    </row>
    <row r="290" ht="41.25" customHeight="1" s="508">
      <c r="A290" s="406" t="inlineStr">
        <is>
          <t>T0846.001</t>
        </is>
      </c>
      <c r="B290" s="406" t="inlineStr">
        <is>
          <t>Port Scan</t>
        </is>
      </c>
      <c r="C290" s="406" t="inlineStr">
        <is>
          <t>M0930</t>
        </is>
      </c>
      <c r="D290" s="406" t="inlineStr">
        <is>
          <t>Network Segmentation</t>
        </is>
      </c>
      <c r="E290" s="406" t="inlineStr">
        <is>
          <t>Prevent / Resist</t>
        </is>
      </c>
      <c r="F290" s="417" t="n">
        <v>0.8</v>
      </c>
      <c r="G290" s="444">
        <f>IFERROR(INDEX('OT 04 - Control Assessment'!$I$16:$I$67,MATCH(C290,'OT 04 - Control Assessment'!$A$16:$A$67,0)),0)</f>
        <v/>
      </c>
      <c r="H290" s="444">
        <f>IFERROR(INDEX('OT 04 - Control Assessment'!$J$16:$J$67,MATCH(C290,'OT 04 - Control Assessment'!$A$16:$A$67,0)),0)</f>
        <v/>
      </c>
      <c r="I290" s="444">
        <f>F290*G290*H290</f>
        <v/>
      </c>
      <c r="J290" s="406" t="inlineStr">
        <is>
          <t>Direct ATT&amp;CK mitigation relationship</t>
        </is>
      </c>
      <c r="K290" s="426" t="inlineStr">
        <is>
          <t>https://attack.mitre.org/techniques/T0846/001</t>
        </is>
      </c>
      <c r="L290" s="426" t="inlineStr">
        <is>
          <t>https://attack.mitre.org/mitigations/M0930</t>
        </is>
      </c>
      <c r="M290" s="406" t="inlineStr">
        <is>
          <t>Current Power Generation working prior (80%) because ATT&amp;CK establishes mitigation applicability but does not quantify efficacy. Replace with test / incident / SME calibration when available.</t>
        </is>
      </c>
    </row>
    <row r="291" ht="41.25" customHeight="1" s="508">
      <c r="A291" s="406" t="inlineStr">
        <is>
          <t>T0843.003</t>
        </is>
      </c>
      <c r="B291" s="406" t="inlineStr">
        <is>
          <t>Program Append</t>
        </is>
      </c>
      <c r="C291" s="406" t="inlineStr">
        <is>
          <t>M0930</t>
        </is>
      </c>
      <c r="D291" s="406" t="inlineStr">
        <is>
          <t>Network Segmentation</t>
        </is>
      </c>
      <c r="E291" s="406" t="inlineStr">
        <is>
          <t>Prevent / Resist</t>
        </is>
      </c>
      <c r="F291" s="417" t="n">
        <v>0.8</v>
      </c>
      <c r="G291" s="444">
        <f>IFERROR(INDEX('OT 04 - Control Assessment'!$I$16:$I$67,MATCH(C291,'OT 04 - Control Assessment'!$A$16:$A$67,0)),0)</f>
        <v/>
      </c>
      <c r="H291" s="444">
        <f>IFERROR(INDEX('OT 04 - Control Assessment'!$J$16:$J$67,MATCH(C291,'OT 04 - Control Assessment'!$A$16:$A$67,0)),0)</f>
        <v/>
      </c>
      <c r="I291" s="444">
        <f>F291*G291*H291</f>
        <v/>
      </c>
      <c r="J291" s="406" t="inlineStr">
        <is>
          <t>Direct ATT&amp;CK mitigation relationship</t>
        </is>
      </c>
      <c r="K291" s="426" t="inlineStr">
        <is>
          <t>https://attack.mitre.org/techniques/T0843/003</t>
        </is>
      </c>
      <c r="L291" s="426" t="inlineStr">
        <is>
          <t>https://attack.mitre.org/mitigations/M0930</t>
        </is>
      </c>
      <c r="M291" s="406" t="inlineStr">
        <is>
          <t>Current Power Generation working prior (80%) because ATT&amp;CK establishes mitigation applicability but does not quantify efficacy. Replace with test / incident / SME calibration when available.</t>
        </is>
      </c>
    </row>
    <row r="292" ht="41.25" customHeight="1" s="508">
      <c r="A292" s="406" t="inlineStr">
        <is>
          <t>T0843</t>
        </is>
      </c>
      <c r="B292" s="406" t="inlineStr">
        <is>
          <t>Program Download</t>
        </is>
      </c>
      <c r="C292" s="406" t="inlineStr">
        <is>
          <t>M0930</t>
        </is>
      </c>
      <c r="D292" s="406" t="inlineStr">
        <is>
          <t>Network Segmentation</t>
        </is>
      </c>
      <c r="E292" s="406" t="inlineStr">
        <is>
          <t>Prevent / Resist</t>
        </is>
      </c>
      <c r="F292" s="417" t="n">
        <v>0.8</v>
      </c>
      <c r="G292" s="444">
        <f>IFERROR(INDEX('OT 04 - Control Assessment'!$I$16:$I$67,MATCH(C292,'OT 04 - Control Assessment'!$A$16:$A$67,0)),0)</f>
        <v/>
      </c>
      <c r="H292" s="444">
        <f>IFERROR(INDEX('OT 04 - Control Assessment'!$J$16:$J$67,MATCH(C292,'OT 04 - Control Assessment'!$A$16:$A$67,0)),0)</f>
        <v/>
      </c>
      <c r="I292" s="444">
        <f>F292*G292*H292</f>
        <v/>
      </c>
      <c r="J292" s="406" t="inlineStr">
        <is>
          <t>Direct ATT&amp;CK mitigation relationship</t>
        </is>
      </c>
      <c r="K292" s="426" t="inlineStr">
        <is>
          <t>https://attack.mitre.org/techniques/T0843</t>
        </is>
      </c>
      <c r="L292" s="426" t="inlineStr">
        <is>
          <t>https://attack.mitre.org/mitigations/M0930</t>
        </is>
      </c>
      <c r="M292" s="406" t="inlineStr">
        <is>
          <t>Current Power Generation working prior (80%) because ATT&amp;CK establishes mitigation applicability but does not quantify efficacy. Replace with test / incident / SME calibration when available.</t>
        </is>
      </c>
    </row>
    <row r="293" ht="41.25" customHeight="1" s="508">
      <c r="A293" s="406" t="inlineStr">
        <is>
          <t>T0845</t>
        </is>
      </c>
      <c r="B293" s="406" t="inlineStr">
        <is>
          <t>Program Upload</t>
        </is>
      </c>
      <c r="C293" s="406" t="inlineStr">
        <is>
          <t>M0930</t>
        </is>
      </c>
      <c r="D293" s="406" t="inlineStr">
        <is>
          <t>Network Segmentation</t>
        </is>
      </c>
      <c r="E293" s="406" t="inlineStr">
        <is>
          <t>Prevent / Resist</t>
        </is>
      </c>
      <c r="F293" s="417" t="n">
        <v>0.8</v>
      </c>
      <c r="G293" s="444">
        <f>IFERROR(INDEX('OT 04 - Control Assessment'!$I$16:$I$67,MATCH(C293,'OT 04 - Control Assessment'!$A$16:$A$67,0)),0)</f>
        <v/>
      </c>
      <c r="H293" s="444">
        <f>IFERROR(INDEX('OT 04 - Control Assessment'!$J$16:$J$67,MATCH(C293,'OT 04 - Control Assessment'!$A$16:$A$67,0)),0)</f>
        <v/>
      </c>
      <c r="I293" s="444">
        <f>F293*G293*H293</f>
        <v/>
      </c>
      <c r="J293" s="406" t="inlineStr">
        <is>
          <t>Direct ATT&amp;CK mitigation relationship</t>
        </is>
      </c>
      <c r="K293" s="426" t="inlineStr">
        <is>
          <t>https://attack.mitre.org/techniques/T0845</t>
        </is>
      </c>
      <c r="L293" s="426" t="inlineStr">
        <is>
          <t>https://attack.mitre.org/mitigations/M0930</t>
        </is>
      </c>
      <c r="M293" s="406" t="inlineStr">
        <is>
          <t>Current Power Generation working prior (80%) because ATT&amp;CK establishes mitigation applicability but does not quantify efficacy. Replace with test / incident / SME calibration when available.</t>
        </is>
      </c>
    </row>
    <row r="294" ht="41.25" customHeight="1" s="508">
      <c r="A294" s="406" t="inlineStr">
        <is>
          <t>T0886</t>
        </is>
      </c>
      <c r="B294" s="406" t="inlineStr">
        <is>
          <t>Remote Services</t>
        </is>
      </c>
      <c r="C294" s="406" t="inlineStr">
        <is>
          <t>M0930</t>
        </is>
      </c>
      <c r="D294" s="406" t="inlineStr">
        <is>
          <t>Network Segmentation</t>
        </is>
      </c>
      <c r="E294" s="406" t="inlineStr">
        <is>
          <t>Prevent / Resist</t>
        </is>
      </c>
      <c r="F294" s="417" t="n">
        <v>0.8</v>
      </c>
      <c r="G294" s="444">
        <f>IFERROR(INDEX('OT 04 - Control Assessment'!$I$16:$I$67,MATCH(C294,'OT 04 - Control Assessment'!$A$16:$A$67,0)),0)</f>
        <v/>
      </c>
      <c r="H294" s="444">
        <f>IFERROR(INDEX('OT 04 - Control Assessment'!$J$16:$J$67,MATCH(C294,'OT 04 - Control Assessment'!$A$16:$A$67,0)),0)</f>
        <v/>
      </c>
      <c r="I294" s="444">
        <f>F294*G294*H294</f>
        <v/>
      </c>
      <c r="J294" s="406" t="inlineStr">
        <is>
          <t>Direct ATT&amp;CK mitigation relationship</t>
        </is>
      </c>
      <c r="K294" s="426" t="inlineStr">
        <is>
          <t>https://attack.mitre.org/techniques/T0886</t>
        </is>
      </c>
      <c r="L294" s="426" t="inlineStr">
        <is>
          <t>https://attack.mitre.org/mitigations/M0930</t>
        </is>
      </c>
      <c r="M294" s="406" t="inlineStr">
        <is>
          <t>Current Power Generation working prior (80%) because ATT&amp;CK establishes mitigation applicability but does not quantify efficacy. Replace with test / incident / SME calibration when available.</t>
        </is>
      </c>
    </row>
    <row r="295" ht="41.25" customHeight="1" s="508">
      <c r="A295" s="406" t="inlineStr">
        <is>
          <t>T1692.002</t>
        </is>
      </c>
      <c r="B295" s="406" t="inlineStr">
        <is>
          <t>Reporting Message</t>
        </is>
      </c>
      <c r="C295" s="406" t="inlineStr">
        <is>
          <t>M0930</t>
        </is>
      </c>
      <c r="D295" s="406" t="inlineStr">
        <is>
          <t>Network Segmentation</t>
        </is>
      </c>
      <c r="E295" s="406" t="inlineStr">
        <is>
          <t>Prevent / Resist</t>
        </is>
      </c>
      <c r="F295" s="417" t="n">
        <v>0.8</v>
      </c>
      <c r="G295" s="444">
        <f>IFERROR(INDEX('OT 04 - Control Assessment'!$I$16:$I$67,MATCH(C295,'OT 04 - Control Assessment'!$A$16:$A$67,0)),0)</f>
        <v/>
      </c>
      <c r="H295" s="444">
        <f>IFERROR(INDEX('OT 04 - Control Assessment'!$J$16:$J$67,MATCH(C295,'OT 04 - Control Assessment'!$A$16:$A$67,0)),0)</f>
        <v/>
      </c>
      <c r="I295" s="444">
        <f>F295*G295*H295</f>
        <v/>
      </c>
      <c r="J295" s="406" t="inlineStr">
        <is>
          <t>Direct ATT&amp;CK mitigation relationship</t>
        </is>
      </c>
      <c r="K295" s="426" t="inlineStr">
        <is>
          <t>https://attack.mitre.org/techniques/T1692/002</t>
        </is>
      </c>
      <c r="L295" s="426" t="inlineStr">
        <is>
          <t>https://attack.mitre.org/mitigations/M0930</t>
        </is>
      </c>
      <c r="M295" s="406" t="inlineStr">
        <is>
          <t>Current Power Generation working prior (80%) because ATT&amp;CK establishes mitigation applicability but does not quantify efficacy. Replace with test / incident / SME calibration when available.</t>
        </is>
      </c>
    </row>
    <row r="296" ht="41.25" customHeight="1" s="508">
      <c r="A296" s="406" t="inlineStr">
        <is>
          <t>T0848</t>
        </is>
      </c>
      <c r="B296" s="406" t="inlineStr">
        <is>
          <t>Rogue Master</t>
        </is>
      </c>
      <c r="C296" s="406" t="inlineStr">
        <is>
          <t>M0930</t>
        </is>
      </c>
      <c r="D296" s="406" t="inlineStr">
        <is>
          <t>Network Segmentation</t>
        </is>
      </c>
      <c r="E296" s="406" t="inlineStr">
        <is>
          <t>Prevent / Resist</t>
        </is>
      </c>
      <c r="F296" s="417" t="n">
        <v>0.8</v>
      </c>
      <c r="G296" s="444">
        <f>IFERROR(INDEX('OT 04 - Control Assessment'!$I$16:$I$67,MATCH(C296,'OT 04 - Control Assessment'!$A$16:$A$67,0)),0)</f>
        <v/>
      </c>
      <c r="H296" s="444">
        <f>IFERROR(INDEX('OT 04 - Control Assessment'!$J$16:$J$67,MATCH(C296,'OT 04 - Control Assessment'!$A$16:$A$67,0)),0)</f>
        <v/>
      </c>
      <c r="I296" s="444">
        <f>F296*G296*H296</f>
        <v/>
      </c>
      <c r="J296" s="406" t="inlineStr">
        <is>
          <t>Direct ATT&amp;CK mitigation relationship</t>
        </is>
      </c>
      <c r="K296" s="426" t="inlineStr">
        <is>
          <t>https://attack.mitre.org/techniques/T0848</t>
        </is>
      </c>
      <c r="L296" s="426" t="inlineStr">
        <is>
          <t>https://attack.mitre.org/mitigations/M0930</t>
        </is>
      </c>
      <c r="M296" s="406" t="inlineStr">
        <is>
          <t>Current Power Generation working prior (80%) because ATT&amp;CK establishes mitigation applicability but does not quantify efficacy. Replace with test / incident / SME calibration when available.</t>
        </is>
      </c>
    </row>
    <row r="297" ht="41.25" customHeight="1" s="508">
      <c r="A297" s="406" t="inlineStr">
        <is>
          <t>T1695.001</t>
        </is>
      </c>
      <c r="B297" s="406" t="inlineStr">
        <is>
          <t>Serial COM</t>
        </is>
      </c>
      <c r="C297" s="406" t="inlineStr">
        <is>
          <t>M0930</t>
        </is>
      </c>
      <c r="D297" s="406" t="inlineStr">
        <is>
          <t>Network Segmentation</t>
        </is>
      </c>
      <c r="E297" s="406" t="inlineStr">
        <is>
          <t>Prevent / Resist</t>
        </is>
      </c>
      <c r="F297" s="417" t="n">
        <v>0.8</v>
      </c>
      <c r="G297" s="444">
        <f>IFERROR(INDEX('OT 04 - Control Assessment'!$I$16:$I$67,MATCH(C297,'OT 04 - Control Assessment'!$A$16:$A$67,0)),0)</f>
        <v/>
      </c>
      <c r="H297" s="444">
        <f>IFERROR(INDEX('OT 04 - Control Assessment'!$J$16:$J$67,MATCH(C297,'OT 04 - Control Assessment'!$A$16:$A$67,0)),0)</f>
        <v/>
      </c>
      <c r="I297" s="444">
        <f>F297*G297*H297</f>
        <v/>
      </c>
      <c r="J297" s="406" t="inlineStr">
        <is>
          <t>Direct ATT&amp;CK mitigation relationship</t>
        </is>
      </c>
      <c r="K297" s="426" t="inlineStr">
        <is>
          <t>https://attack.mitre.org/techniques/T1695/001</t>
        </is>
      </c>
      <c r="L297" s="426" t="inlineStr">
        <is>
          <t>https://attack.mitre.org/mitigations/M0930</t>
        </is>
      </c>
      <c r="M297" s="406" t="inlineStr">
        <is>
          <t>Current Power Generation working prior (80%) because ATT&amp;CK establishes mitigation applicability but does not quantify efficacy. Replace with test / incident / SME calibration when available.</t>
        </is>
      </c>
    </row>
    <row r="298" ht="41.25" customHeight="1" s="508">
      <c r="A298" s="406" t="inlineStr">
        <is>
          <t>T0881</t>
        </is>
      </c>
      <c r="B298" s="406" t="inlineStr">
        <is>
          <t>Service Stop</t>
        </is>
      </c>
      <c r="C298" s="406" t="inlineStr">
        <is>
          <t>M0930</t>
        </is>
      </c>
      <c r="D298" s="406" t="inlineStr">
        <is>
          <t>Network Segmentation</t>
        </is>
      </c>
      <c r="E298" s="406" t="inlineStr">
        <is>
          <t>Prevent / Resist</t>
        </is>
      </c>
      <c r="F298" s="417" t="n">
        <v>0.8</v>
      </c>
      <c r="G298" s="444">
        <f>IFERROR(INDEX('OT 04 - Control Assessment'!$I$16:$I$67,MATCH(C298,'OT 04 - Control Assessment'!$A$16:$A$67,0)),0)</f>
        <v/>
      </c>
      <c r="H298" s="444">
        <f>IFERROR(INDEX('OT 04 - Control Assessment'!$J$16:$J$67,MATCH(C298,'OT 04 - Control Assessment'!$A$16:$A$67,0)),0)</f>
        <v/>
      </c>
      <c r="I298" s="444">
        <f>F298*G298*H298</f>
        <v/>
      </c>
      <c r="J298" s="406" t="inlineStr">
        <is>
          <t>Direct ATT&amp;CK mitigation relationship</t>
        </is>
      </c>
      <c r="K298" s="426" t="inlineStr">
        <is>
          <t>https://attack.mitre.org/techniques/T0881</t>
        </is>
      </c>
      <c r="L298" s="426" t="inlineStr">
        <is>
          <t>https://attack.mitre.org/mitigations/M0930</t>
        </is>
      </c>
      <c r="M298" s="406" t="inlineStr">
        <is>
          <t>Current Power Generation working prior (80%) because ATT&amp;CK establishes mitigation applicability but does not quantify efficacy. Replace with test / incident / SME calibration when available.</t>
        </is>
      </c>
    </row>
    <row r="299" ht="41.25" customHeight="1" s="508">
      <c r="A299" s="406" t="inlineStr">
        <is>
          <t>T0869</t>
        </is>
      </c>
      <c r="B299" s="406" t="inlineStr">
        <is>
          <t>Standard Application Layer Protocol</t>
        </is>
      </c>
      <c r="C299" s="406" t="inlineStr">
        <is>
          <t>M0930</t>
        </is>
      </c>
      <c r="D299" s="406" t="inlineStr">
        <is>
          <t>Network Segmentation</t>
        </is>
      </c>
      <c r="E299" s="406" t="inlineStr">
        <is>
          <t>Prevent / Resist</t>
        </is>
      </c>
      <c r="F299" s="417" t="n">
        <v>0.8</v>
      </c>
      <c r="G299" s="444">
        <f>IFERROR(INDEX('OT 04 - Control Assessment'!$I$16:$I$67,MATCH(C299,'OT 04 - Control Assessment'!$A$16:$A$67,0)),0)</f>
        <v/>
      </c>
      <c r="H299" s="444">
        <f>IFERROR(INDEX('OT 04 - Control Assessment'!$J$16:$J$67,MATCH(C299,'OT 04 - Control Assessment'!$A$16:$A$67,0)),0)</f>
        <v/>
      </c>
      <c r="I299" s="444">
        <f>F299*G299*H299</f>
        <v/>
      </c>
      <c r="J299" s="406" t="inlineStr">
        <is>
          <t>Direct ATT&amp;CK mitigation relationship</t>
        </is>
      </c>
      <c r="K299" s="426" t="inlineStr">
        <is>
          <t>https://attack.mitre.org/techniques/T0869</t>
        </is>
      </c>
      <c r="L299" s="426" t="inlineStr">
        <is>
          <t>https://attack.mitre.org/mitigations/M0930</t>
        </is>
      </c>
      <c r="M299" s="406" t="inlineStr">
        <is>
          <t>Current Power Generation working prior (80%) because ATT&amp;CK establishes mitigation applicability but does not quantify efficacy. Replace with test / incident / SME calibration when available.</t>
        </is>
      </c>
    </row>
    <row r="300" ht="41.25" customHeight="1" s="508">
      <c r="A300" s="406" t="inlineStr">
        <is>
          <t>T1693.001</t>
        </is>
      </c>
      <c r="B300" s="406" t="inlineStr">
        <is>
          <t>System Firmware</t>
        </is>
      </c>
      <c r="C300" s="406" t="inlineStr">
        <is>
          <t>M0930</t>
        </is>
      </c>
      <c r="D300" s="406" t="inlineStr">
        <is>
          <t>Network Segmentation</t>
        </is>
      </c>
      <c r="E300" s="406" t="inlineStr">
        <is>
          <t>Prevent / Resist</t>
        </is>
      </c>
      <c r="F300" s="417" t="n">
        <v>0.8</v>
      </c>
      <c r="G300" s="444">
        <f>IFERROR(INDEX('OT 04 - Control Assessment'!$I$16:$I$67,MATCH(C300,'OT 04 - Control Assessment'!$A$16:$A$67,0)),0)</f>
        <v/>
      </c>
      <c r="H300" s="444">
        <f>IFERROR(INDEX('OT 04 - Control Assessment'!$J$16:$J$67,MATCH(C300,'OT 04 - Control Assessment'!$A$16:$A$67,0)),0)</f>
        <v/>
      </c>
      <c r="I300" s="444">
        <f>F300*G300*H300</f>
        <v/>
      </c>
      <c r="J300" s="406" t="inlineStr">
        <is>
          <t>Direct ATT&amp;CK mitigation relationship</t>
        </is>
      </c>
      <c r="K300" s="426" t="inlineStr">
        <is>
          <t>https://attack.mitre.org/techniques/T1693/001</t>
        </is>
      </c>
      <c r="L300" s="426" t="inlineStr">
        <is>
          <t>https://attack.mitre.org/mitigations/M0930</t>
        </is>
      </c>
      <c r="M300" s="406" t="inlineStr">
        <is>
          <t>Current Power Generation working prior (80%) because ATT&amp;CK establishes mitigation applicability but does not quantify efficacy. Replace with test / incident / SME calibration when available.</t>
        </is>
      </c>
    </row>
    <row r="301" ht="41.25" customHeight="1" s="508">
      <c r="A301" s="406" t="inlineStr">
        <is>
          <t>T0864</t>
        </is>
      </c>
      <c r="B301" s="406" t="inlineStr">
        <is>
          <t>Transient Cyber Asset</t>
        </is>
      </c>
      <c r="C301" s="406" t="inlineStr">
        <is>
          <t>M0930</t>
        </is>
      </c>
      <c r="D301" s="406" t="inlineStr">
        <is>
          <t>Network Segmentation</t>
        </is>
      </c>
      <c r="E301" s="406" t="inlineStr">
        <is>
          <t>Prevent / Resist</t>
        </is>
      </c>
      <c r="F301" s="417" t="n">
        <v>0.8</v>
      </c>
      <c r="G301" s="444">
        <f>IFERROR(INDEX('OT 04 - Control Assessment'!$I$16:$I$67,MATCH(C301,'OT 04 - Control Assessment'!$A$16:$A$67,0)),0)</f>
        <v/>
      </c>
      <c r="H301" s="444">
        <f>IFERROR(INDEX('OT 04 - Control Assessment'!$J$16:$J$67,MATCH(C301,'OT 04 - Control Assessment'!$A$16:$A$67,0)),0)</f>
        <v/>
      </c>
      <c r="I301" s="444">
        <f>F301*G301*H301</f>
        <v/>
      </c>
      <c r="J301" s="406" t="inlineStr">
        <is>
          <t>Direct ATT&amp;CK mitigation relationship</t>
        </is>
      </c>
      <c r="K301" s="426" t="inlineStr">
        <is>
          <t>https://attack.mitre.org/techniques/T0864</t>
        </is>
      </c>
      <c r="L301" s="426" t="inlineStr">
        <is>
          <t>https://attack.mitre.org/mitigations/M0930</t>
        </is>
      </c>
      <c r="M301" s="406" t="inlineStr">
        <is>
          <t>Current Power Generation working prior (80%) because ATT&amp;CK establishes mitigation applicability but does not quantify efficacy. Replace with test / incident / SME calibration when available.</t>
        </is>
      </c>
    </row>
    <row r="302" ht="41.25" customHeight="1" s="508">
      <c r="A302" s="406" t="inlineStr">
        <is>
          <t>T1692</t>
        </is>
      </c>
      <c r="B302" s="406" t="inlineStr">
        <is>
          <t>Unauthorized Message</t>
        </is>
      </c>
      <c r="C302" s="406" t="inlineStr">
        <is>
          <t>M0930</t>
        </is>
      </c>
      <c r="D302" s="406" t="inlineStr">
        <is>
          <t>Network Segmentation</t>
        </is>
      </c>
      <c r="E302" s="406" t="inlineStr">
        <is>
          <t>Prevent / Resist</t>
        </is>
      </c>
      <c r="F302" s="417" t="n">
        <v>0.8</v>
      </c>
      <c r="G302" s="444">
        <f>IFERROR(INDEX('OT 04 - Control Assessment'!$I$16:$I$67,MATCH(C302,'OT 04 - Control Assessment'!$A$16:$A$67,0)),0)</f>
        <v/>
      </c>
      <c r="H302" s="444">
        <f>IFERROR(INDEX('OT 04 - Control Assessment'!$J$16:$J$67,MATCH(C302,'OT 04 - Control Assessment'!$A$16:$A$67,0)),0)</f>
        <v/>
      </c>
      <c r="I302" s="444">
        <f>F302*G302*H302</f>
        <v/>
      </c>
      <c r="J302" s="406" t="inlineStr">
        <is>
          <t>Direct ATT&amp;CK mitigation relationship</t>
        </is>
      </c>
      <c r="K302" s="426" t="inlineStr">
        <is>
          <t>https://attack.mitre.org/techniques/T1692</t>
        </is>
      </c>
      <c r="L302" s="426" t="inlineStr">
        <is>
          <t>https://attack.mitre.org/mitigations/M0930</t>
        </is>
      </c>
      <c r="M302" s="406" t="inlineStr">
        <is>
          <t>Current Power Generation working prior (80%) because ATT&amp;CK establishes mitigation applicability but does not quantify efficacy. Replace with test / incident / SME calibration when available.</t>
        </is>
      </c>
    </row>
    <row r="303" ht="41.25" customHeight="1" s="508">
      <c r="A303" s="406" t="inlineStr">
        <is>
          <t>T1695.003</t>
        </is>
      </c>
      <c r="B303" s="406" t="inlineStr">
        <is>
          <t>Wi-Fi</t>
        </is>
      </c>
      <c r="C303" s="406" t="inlineStr">
        <is>
          <t>M0930</t>
        </is>
      </c>
      <c r="D303" s="406" t="inlineStr">
        <is>
          <t>Network Segmentation</t>
        </is>
      </c>
      <c r="E303" s="406" t="inlineStr">
        <is>
          <t>Prevent / Resist</t>
        </is>
      </c>
      <c r="F303" s="417" t="n">
        <v>0.8</v>
      </c>
      <c r="G303" s="444">
        <f>IFERROR(INDEX('OT 04 - Control Assessment'!$I$16:$I$67,MATCH(C303,'OT 04 - Control Assessment'!$A$16:$A$67,0)),0)</f>
        <v/>
      </c>
      <c r="H303" s="444">
        <f>IFERROR(INDEX('OT 04 - Control Assessment'!$J$16:$J$67,MATCH(C303,'OT 04 - Control Assessment'!$A$16:$A$67,0)),0)</f>
        <v/>
      </c>
      <c r="I303" s="444">
        <f>F303*G303*H303</f>
        <v/>
      </c>
      <c r="J303" s="406" t="inlineStr">
        <is>
          <t>Direct ATT&amp;CK mitigation relationship</t>
        </is>
      </c>
      <c r="K303" s="426" t="inlineStr">
        <is>
          <t>https://attack.mitre.org/techniques/T1695/003</t>
        </is>
      </c>
      <c r="L303" s="426" t="inlineStr">
        <is>
          <t>https://attack.mitre.org/mitigations/M0930</t>
        </is>
      </c>
      <c r="M303" s="406" t="inlineStr">
        <is>
          <t>Current Power Generation working prior (80%) because ATT&amp;CK establishes mitigation applicability but does not quantify efficacy. Replace with test / incident / SME calibration when available.</t>
        </is>
      </c>
    </row>
    <row r="304" ht="41.25" customHeight="1" s="508">
      <c r="A304" s="406" t="inlineStr">
        <is>
          <t>T0895</t>
        </is>
      </c>
      <c r="B304" s="406" t="inlineStr">
        <is>
          <t>Autorun Image</t>
        </is>
      </c>
      <c r="C304" s="406" t="inlineStr">
        <is>
          <t>M0928</t>
        </is>
      </c>
      <c r="D304" s="406" t="inlineStr">
        <is>
          <t>Operating System Configuration</t>
        </is>
      </c>
      <c r="E304" s="406" t="inlineStr">
        <is>
          <t>Prevent / Resist</t>
        </is>
      </c>
      <c r="F304" s="417" t="n">
        <v>0.8</v>
      </c>
      <c r="G304" s="444">
        <f>IFERROR(INDEX('OT 04 - Control Assessment'!$I$16:$I$67,MATCH(C304,'OT 04 - Control Assessment'!$A$16:$A$67,0)),0)</f>
        <v/>
      </c>
      <c r="H304" s="444">
        <f>IFERROR(INDEX('OT 04 - Control Assessment'!$J$16:$J$67,MATCH(C304,'OT 04 - Control Assessment'!$A$16:$A$67,0)),0)</f>
        <v/>
      </c>
      <c r="I304" s="444">
        <f>F304*G304*H304</f>
        <v/>
      </c>
      <c r="J304" s="406" t="inlineStr">
        <is>
          <t>Direct ATT&amp;CK mitigation relationship</t>
        </is>
      </c>
      <c r="K304" s="426" t="inlineStr">
        <is>
          <t>https://attack.mitre.org/techniques/T0895</t>
        </is>
      </c>
      <c r="L304" s="426" t="inlineStr">
        <is>
          <t>https://attack.mitre.org/mitigations/M0928</t>
        </is>
      </c>
      <c r="M304" s="406" t="inlineStr">
        <is>
          <t>Current Power Generation working prior (80%) because ATT&amp;CK establishes mitigation applicability but does not quantify efficacy. Replace with test / incident / SME calibration when available.</t>
        </is>
      </c>
    </row>
    <row r="305" ht="41.25" customHeight="1" s="508">
      <c r="A305" s="406" t="inlineStr">
        <is>
          <t>T0847</t>
        </is>
      </c>
      <c r="B305" s="406" t="inlineStr">
        <is>
          <t>Replication Through Removable Media</t>
        </is>
      </c>
      <c r="C305" s="406" t="inlineStr">
        <is>
          <t>M0928</t>
        </is>
      </c>
      <c r="D305" s="406" t="inlineStr">
        <is>
          <t>Operating System Configuration</t>
        </is>
      </c>
      <c r="E305" s="406" t="inlineStr">
        <is>
          <t>Prevent / Resist</t>
        </is>
      </c>
      <c r="F305" s="417" t="n">
        <v>0.8</v>
      </c>
      <c r="G305" s="444">
        <f>IFERROR(INDEX('OT 04 - Control Assessment'!$I$16:$I$67,MATCH(C305,'OT 04 - Control Assessment'!$A$16:$A$67,0)),0)</f>
        <v/>
      </c>
      <c r="H305" s="444">
        <f>IFERROR(INDEX('OT 04 - Control Assessment'!$J$16:$J$67,MATCH(C305,'OT 04 - Control Assessment'!$A$16:$A$67,0)),0)</f>
        <v/>
      </c>
      <c r="I305" s="444">
        <f>F305*G305*H305</f>
        <v/>
      </c>
      <c r="J305" s="406" t="inlineStr">
        <is>
          <t>Direct ATT&amp;CK mitigation relationship</t>
        </is>
      </c>
      <c r="K305" s="426" t="inlineStr">
        <is>
          <t>https://attack.mitre.org/techniques/T0847</t>
        </is>
      </c>
      <c r="L305" s="426" t="inlineStr">
        <is>
          <t>https://attack.mitre.org/mitigations/M0928</t>
        </is>
      </c>
      <c r="M305" s="406" t="inlineStr">
        <is>
          <t>Current Power Generation working prior (80%) because ATT&amp;CK establishes mitigation applicability but does not quantify efficacy. Replace with test / incident / SME calibration when available.</t>
        </is>
      </c>
    </row>
    <row r="306" ht="41.25" customHeight="1" s="508">
      <c r="A306" s="406" t="inlineStr">
        <is>
          <t>T0882</t>
        </is>
      </c>
      <c r="B306" s="406" t="inlineStr">
        <is>
          <t>Theft of Operational Information</t>
        </is>
      </c>
      <c r="C306" s="406" t="inlineStr">
        <is>
          <t>M0809</t>
        </is>
      </c>
      <c r="D306" s="406" t="inlineStr">
        <is>
          <t>Operational Information Confidentiality</t>
        </is>
      </c>
      <c r="E306" s="406" t="inlineStr">
        <is>
          <t>Prevent / Resist</t>
        </is>
      </c>
      <c r="F306" s="417" t="n">
        <v>0.8</v>
      </c>
      <c r="G306" s="444">
        <f>IFERROR(INDEX('OT 04 - Control Assessment'!$I$16:$I$67,MATCH(C306,'OT 04 - Control Assessment'!$A$16:$A$67,0)),0)</f>
        <v/>
      </c>
      <c r="H306" s="444">
        <f>IFERROR(INDEX('OT 04 - Control Assessment'!$J$16:$J$67,MATCH(C306,'OT 04 - Control Assessment'!$A$16:$A$67,0)),0)</f>
        <v/>
      </c>
      <c r="I306" s="444">
        <f>F306*G306*H306</f>
        <v/>
      </c>
      <c r="J306" s="406" t="inlineStr">
        <is>
          <t>Direct ATT&amp;CK mitigation relationship</t>
        </is>
      </c>
      <c r="K306" s="426" t="inlineStr">
        <is>
          <t>https://attack.mitre.org/techniques/T0882</t>
        </is>
      </c>
      <c r="L306" s="426" t="inlineStr">
        <is>
          <t>https://attack.mitre.org/mitigations/M0809</t>
        </is>
      </c>
      <c r="M306" s="406" t="inlineStr">
        <is>
          <t>Current Power Generation working prior (80%) because ATT&amp;CK establishes mitigation applicability but does not quantify efficacy. Replace with test / incident / SME calibration when available.</t>
        </is>
      </c>
    </row>
    <row r="307" ht="41.25" customHeight="1" s="508">
      <c r="A307" s="406" t="inlineStr">
        <is>
          <t>T0830</t>
        </is>
      </c>
      <c r="B307" s="406" t="inlineStr">
        <is>
          <t>Adversary-in-the-Middle</t>
        </is>
      </c>
      <c r="C307" s="406" t="inlineStr">
        <is>
          <t>M0810</t>
        </is>
      </c>
      <c r="D307" s="406" t="inlineStr">
        <is>
          <t>Out-of-Band Communications Channel</t>
        </is>
      </c>
      <c r="E307" s="406" t="inlineStr">
        <is>
          <t>Recover / Restore</t>
        </is>
      </c>
      <c r="F307" s="417" t="n">
        <v>0.8</v>
      </c>
      <c r="G307" s="444">
        <f>IFERROR(INDEX('OT 04 - Control Assessment'!$I$16:$I$67,MATCH(C307,'OT 04 - Control Assessment'!$A$16:$A$67,0)),0)</f>
        <v/>
      </c>
      <c r="H307" s="444">
        <f>IFERROR(INDEX('OT 04 - Control Assessment'!$J$16:$J$67,MATCH(C307,'OT 04 - Control Assessment'!$A$16:$A$67,0)),0)</f>
        <v/>
      </c>
      <c r="I307" s="444">
        <f>F307*G307*H307</f>
        <v/>
      </c>
      <c r="J307" s="406" t="inlineStr">
        <is>
          <t>Direct ATT&amp;CK mitigation relationship</t>
        </is>
      </c>
      <c r="K307" s="426" t="inlineStr">
        <is>
          <t>https://attack.mitre.org/techniques/T0830</t>
        </is>
      </c>
      <c r="L307" s="426" t="inlineStr">
        <is>
          <t>https://attack.mitre.org/mitigations/M0810</t>
        </is>
      </c>
      <c r="M307" s="406" t="inlineStr">
        <is>
          <t>Current Power Generation working prior (80%) because ATT&amp;CK establishes mitigation applicability but does not quantify efficacy. Replace with test / incident / SME calibration when available.</t>
        </is>
      </c>
    </row>
    <row r="308" ht="41.25" customHeight="1" s="508">
      <c r="A308" s="406" t="inlineStr">
        <is>
          <t>T0878</t>
        </is>
      </c>
      <c r="B308" s="406" t="inlineStr">
        <is>
          <t>Alarm Suppression</t>
        </is>
      </c>
      <c r="C308" s="406" t="inlineStr">
        <is>
          <t>M0810</t>
        </is>
      </c>
      <c r="D308" s="406" t="inlineStr">
        <is>
          <t>Out-of-Band Communications Channel</t>
        </is>
      </c>
      <c r="E308" s="406" t="inlineStr">
        <is>
          <t>Recover / Restore</t>
        </is>
      </c>
      <c r="F308" s="417" t="n">
        <v>0.8</v>
      </c>
      <c r="G308" s="444">
        <f>IFERROR(INDEX('OT 04 - Control Assessment'!$I$16:$I$67,MATCH(C308,'OT 04 - Control Assessment'!$A$16:$A$67,0)),0)</f>
        <v/>
      </c>
      <c r="H308" s="444">
        <f>IFERROR(INDEX('OT 04 - Control Assessment'!$J$16:$J$67,MATCH(C308,'OT 04 - Control Assessment'!$A$16:$A$67,0)),0)</f>
        <v/>
      </c>
      <c r="I308" s="444">
        <f>F308*G308*H308</f>
        <v/>
      </c>
      <c r="J308" s="406" t="inlineStr">
        <is>
          <t>Direct ATT&amp;CK mitigation relationship</t>
        </is>
      </c>
      <c r="K308" s="426" t="inlineStr">
        <is>
          <t>https://attack.mitre.org/techniques/T0878</t>
        </is>
      </c>
      <c r="L308" s="426" t="inlineStr">
        <is>
          <t>https://attack.mitre.org/mitigations/M0810</t>
        </is>
      </c>
      <c r="M308" s="406" t="inlineStr">
        <is>
          <t>Current Power Generation working prior (80%) because ATT&amp;CK establishes mitigation applicability but does not quantify efficacy. Replace with test / incident / SME calibration when available.</t>
        </is>
      </c>
    </row>
    <row r="309" ht="41.25" customHeight="1" s="508">
      <c r="A309" s="406" t="inlineStr">
        <is>
          <t>T1695</t>
        </is>
      </c>
      <c r="B309" s="406" t="inlineStr">
        <is>
          <t>Block Communications</t>
        </is>
      </c>
      <c r="C309" s="406" t="inlineStr">
        <is>
          <t>M0810</t>
        </is>
      </c>
      <c r="D309" s="406" t="inlineStr">
        <is>
          <t>Out-of-Band Communications Channel</t>
        </is>
      </c>
      <c r="E309" s="406" t="inlineStr">
        <is>
          <t>Recover / Restore</t>
        </is>
      </c>
      <c r="F309" s="417" t="n">
        <v>0.8</v>
      </c>
      <c r="G309" s="444">
        <f>IFERROR(INDEX('OT 04 - Control Assessment'!$I$16:$I$67,MATCH(C309,'OT 04 - Control Assessment'!$A$16:$A$67,0)),0)</f>
        <v/>
      </c>
      <c r="H309" s="444">
        <f>IFERROR(INDEX('OT 04 - Control Assessment'!$J$16:$J$67,MATCH(C309,'OT 04 - Control Assessment'!$A$16:$A$67,0)),0)</f>
        <v/>
      </c>
      <c r="I309" s="444">
        <f>F309*G309*H309</f>
        <v/>
      </c>
      <c r="J309" s="406" t="inlineStr">
        <is>
          <t>Direct ATT&amp;CK mitigation relationship</t>
        </is>
      </c>
      <c r="K309" s="426" t="inlineStr">
        <is>
          <t>https://attack.mitre.org/techniques/T1695</t>
        </is>
      </c>
      <c r="L309" s="426" t="inlineStr">
        <is>
          <t>https://attack.mitre.org/mitigations/M0810</t>
        </is>
      </c>
      <c r="M309" s="406" t="inlineStr">
        <is>
          <t>Current Power Generation working prior (80%) because ATT&amp;CK establishes mitigation applicability but does not quantify efficacy. Replace with test / incident / SME calibration when available.</t>
        </is>
      </c>
    </row>
    <row r="310" ht="41.25" customHeight="1" s="508">
      <c r="A310" s="406" t="inlineStr">
        <is>
          <t>T1691</t>
        </is>
      </c>
      <c r="B310" s="406" t="inlineStr">
        <is>
          <t>Block Operational Technology Message</t>
        </is>
      </c>
      <c r="C310" s="406" t="inlineStr">
        <is>
          <t>M0810</t>
        </is>
      </c>
      <c r="D310" s="406" t="inlineStr">
        <is>
          <t>Out-of-Band Communications Channel</t>
        </is>
      </c>
      <c r="E310" s="406" t="inlineStr">
        <is>
          <t>Recover / Restore</t>
        </is>
      </c>
      <c r="F310" s="417" t="n">
        <v>0.8</v>
      </c>
      <c r="G310" s="444">
        <f>IFERROR(INDEX('OT 04 - Control Assessment'!$I$16:$I$67,MATCH(C310,'OT 04 - Control Assessment'!$A$16:$A$67,0)),0)</f>
        <v/>
      </c>
      <c r="H310" s="444">
        <f>IFERROR(INDEX('OT 04 - Control Assessment'!$J$16:$J$67,MATCH(C310,'OT 04 - Control Assessment'!$A$16:$A$67,0)),0)</f>
        <v/>
      </c>
      <c r="I310" s="444">
        <f>F310*G310*H310</f>
        <v/>
      </c>
      <c r="J310" s="406" t="inlineStr">
        <is>
          <t>Direct ATT&amp;CK mitigation relationship</t>
        </is>
      </c>
      <c r="K310" s="426" t="inlineStr">
        <is>
          <t>https://attack.mitre.org/techniques/T1691</t>
        </is>
      </c>
      <c r="L310" s="426" t="inlineStr">
        <is>
          <t>https://attack.mitre.org/mitigations/M0810</t>
        </is>
      </c>
      <c r="M310" s="406" t="inlineStr">
        <is>
          <t>Current Power Generation working prior (80%) because ATT&amp;CK establishes mitigation applicability but does not quantify efficacy. Replace with test / incident / SME calibration when available.</t>
        </is>
      </c>
    </row>
    <row r="311" ht="41.25" customHeight="1" s="508">
      <c r="A311" s="406" t="inlineStr">
        <is>
          <t>T1691.001</t>
        </is>
      </c>
      <c r="B311" s="406" t="inlineStr">
        <is>
          <t>Command Message</t>
        </is>
      </c>
      <c r="C311" s="406" t="inlineStr">
        <is>
          <t>M0810</t>
        </is>
      </c>
      <c r="D311" s="406" t="inlineStr">
        <is>
          <t>Out-of-Band Communications Channel</t>
        </is>
      </c>
      <c r="E311" s="406" t="inlineStr">
        <is>
          <t>Recover / Restore</t>
        </is>
      </c>
      <c r="F311" s="417" t="n">
        <v>0.8</v>
      </c>
      <c r="G311" s="444">
        <f>IFERROR(INDEX('OT 04 - Control Assessment'!$I$16:$I$67,MATCH(C311,'OT 04 - Control Assessment'!$A$16:$A$67,0)),0)</f>
        <v/>
      </c>
      <c r="H311" s="444">
        <f>IFERROR(INDEX('OT 04 - Control Assessment'!$J$16:$J$67,MATCH(C311,'OT 04 - Control Assessment'!$A$16:$A$67,0)),0)</f>
        <v/>
      </c>
      <c r="I311" s="444">
        <f>F311*G311*H311</f>
        <v/>
      </c>
      <c r="J311" s="406" t="inlineStr">
        <is>
          <t>Direct ATT&amp;CK mitigation relationship</t>
        </is>
      </c>
      <c r="K311" s="426" t="inlineStr">
        <is>
          <t>https://attack.mitre.org/techniques/T1691/001</t>
        </is>
      </c>
      <c r="L311" s="426" t="inlineStr">
        <is>
          <t>https://attack.mitre.org/mitigations/M0810</t>
        </is>
      </c>
      <c r="M311" s="406" t="inlineStr">
        <is>
          <t>Current Power Generation working prior (80%) because ATT&amp;CK establishes mitigation applicability but does not quantify efficacy. Replace with test / incident / SME calibration when available.</t>
        </is>
      </c>
    </row>
    <row r="312" ht="41.25" customHeight="1" s="508">
      <c r="A312" s="406" t="inlineStr">
        <is>
          <t>T0813</t>
        </is>
      </c>
      <c r="B312" s="406" t="inlineStr">
        <is>
          <t>Denial of Control</t>
        </is>
      </c>
      <c r="C312" s="406" t="inlineStr">
        <is>
          <t>M0810</t>
        </is>
      </c>
      <c r="D312" s="406" t="inlineStr">
        <is>
          <t>Out-of-Band Communications Channel</t>
        </is>
      </c>
      <c r="E312" s="406" t="inlineStr">
        <is>
          <t>Recover / Restore</t>
        </is>
      </c>
      <c r="F312" s="417" t="n">
        <v>0.8</v>
      </c>
      <c r="G312" s="444">
        <f>IFERROR(INDEX('OT 04 - Control Assessment'!$I$16:$I$67,MATCH(C312,'OT 04 - Control Assessment'!$A$16:$A$67,0)),0)</f>
        <v/>
      </c>
      <c r="H312" s="444">
        <f>IFERROR(INDEX('OT 04 - Control Assessment'!$J$16:$J$67,MATCH(C312,'OT 04 - Control Assessment'!$A$16:$A$67,0)),0)</f>
        <v/>
      </c>
      <c r="I312" s="444">
        <f>F312*G312*H312</f>
        <v/>
      </c>
      <c r="J312" s="406" t="inlineStr">
        <is>
          <t>Direct ATT&amp;CK mitigation relationship</t>
        </is>
      </c>
      <c r="K312" s="426" t="inlineStr">
        <is>
          <t>https://attack.mitre.org/techniques/T0813</t>
        </is>
      </c>
      <c r="L312" s="426" t="inlineStr">
        <is>
          <t>https://attack.mitre.org/mitigations/M0810</t>
        </is>
      </c>
      <c r="M312" s="406" t="inlineStr">
        <is>
          <t>Current Power Generation working prior (80%) because ATT&amp;CK establishes mitigation applicability but does not quantify efficacy. Replace with test / incident / SME calibration when available.</t>
        </is>
      </c>
    </row>
    <row r="313" ht="41.25" customHeight="1" s="508">
      <c r="A313" s="406" t="inlineStr">
        <is>
          <t>T0815</t>
        </is>
      </c>
      <c r="B313" s="406" t="inlineStr">
        <is>
          <t>Denial of View</t>
        </is>
      </c>
      <c r="C313" s="406" t="inlineStr">
        <is>
          <t>M0810</t>
        </is>
      </c>
      <c r="D313" s="406" t="inlineStr">
        <is>
          <t>Out-of-Band Communications Channel</t>
        </is>
      </c>
      <c r="E313" s="406" t="inlineStr">
        <is>
          <t>Recover / Restore</t>
        </is>
      </c>
      <c r="F313" s="417" t="n">
        <v>0.8</v>
      </c>
      <c r="G313" s="444">
        <f>IFERROR(INDEX('OT 04 - Control Assessment'!$I$16:$I$67,MATCH(C313,'OT 04 - Control Assessment'!$A$16:$A$67,0)),0)</f>
        <v/>
      </c>
      <c r="H313" s="444">
        <f>IFERROR(INDEX('OT 04 - Control Assessment'!$J$16:$J$67,MATCH(C313,'OT 04 - Control Assessment'!$A$16:$A$67,0)),0)</f>
        <v/>
      </c>
      <c r="I313" s="444">
        <f>F313*G313*H313</f>
        <v/>
      </c>
      <c r="J313" s="406" t="inlineStr">
        <is>
          <t>Direct ATT&amp;CK mitigation relationship</t>
        </is>
      </c>
      <c r="K313" s="426" t="inlineStr">
        <is>
          <t>https://attack.mitre.org/techniques/T0815</t>
        </is>
      </c>
      <c r="L313" s="426" t="inlineStr">
        <is>
          <t>https://attack.mitre.org/mitigations/M0810</t>
        </is>
      </c>
      <c r="M313" s="406" t="inlineStr">
        <is>
          <t>Current Power Generation working prior (80%) because ATT&amp;CK establishes mitigation applicability but does not quantify efficacy. Replace with test / incident / SME calibration when available.</t>
        </is>
      </c>
    </row>
    <row r="314" ht="41.25" customHeight="1" s="508">
      <c r="A314" s="406" t="inlineStr">
        <is>
          <t>T1695.002</t>
        </is>
      </c>
      <c r="B314" s="406" t="inlineStr">
        <is>
          <t>Ethernet</t>
        </is>
      </c>
      <c r="C314" s="406" t="inlineStr">
        <is>
          <t>M0810</t>
        </is>
      </c>
      <c r="D314" s="406" t="inlineStr">
        <is>
          <t>Out-of-Band Communications Channel</t>
        </is>
      </c>
      <c r="E314" s="406" t="inlineStr">
        <is>
          <t>Recover / Restore</t>
        </is>
      </c>
      <c r="F314" s="417" t="n">
        <v>0.8</v>
      </c>
      <c r="G314" s="444">
        <f>IFERROR(INDEX('OT 04 - Control Assessment'!$I$16:$I$67,MATCH(C314,'OT 04 - Control Assessment'!$A$16:$A$67,0)),0)</f>
        <v/>
      </c>
      <c r="H314" s="444">
        <f>IFERROR(INDEX('OT 04 - Control Assessment'!$J$16:$J$67,MATCH(C314,'OT 04 - Control Assessment'!$A$16:$A$67,0)),0)</f>
        <v/>
      </c>
      <c r="I314" s="444">
        <f>F314*G314*H314</f>
        <v/>
      </c>
      <c r="J314" s="406" t="inlineStr">
        <is>
          <t>Direct ATT&amp;CK mitigation relationship</t>
        </is>
      </c>
      <c r="K314" s="426" t="inlineStr">
        <is>
          <t>https://attack.mitre.org/techniques/T1695/002</t>
        </is>
      </c>
      <c r="L314" s="426" t="inlineStr">
        <is>
          <t>https://attack.mitre.org/mitigations/M0810</t>
        </is>
      </c>
      <c r="M314" s="406" t="inlineStr">
        <is>
          <t>Current Power Generation working prior (80%) because ATT&amp;CK establishes mitigation applicability but does not quantify efficacy. Replace with test / incident / SME calibration when available.</t>
        </is>
      </c>
    </row>
    <row r="315" ht="41.25" customHeight="1" s="508">
      <c r="A315" s="406" t="inlineStr">
        <is>
          <t>T0826</t>
        </is>
      </c>
      <c r="B315" s="406" t="inlineStr">
        <is>
          <t>Loss of Availability</t>
        </is>
      </c>
      <c r="C315" s="406" t="inlineStr">
        <is>
          <t>M0810</t>
        </is>
      </c>
      <c r="D315" s="406" t="inlineStr">
        <is>
          <t>Out-of-Band Communications Channel</t>
        </is>
      </c>
      <c r="E315" s="406" t="inlineStr">
        <is>
          <t>Recover / Restore</t>
        </is>
      </c>
      <c r="F315" s="417" t="n">
        <v>0.8</v>
      </c>
      <c r="G315" s="444">
        <f>IFERROR(INDEX('OT 04 - Control Assessment'!$I$16:$I$67,MATCH(C315,'OT 04 - Control Assessment'!$A$16:$A$67,0)),0)</f>
        <v/>
      </c>
      <c r="H315" s="444">
        <f>IFERROR(INDEX('OT 04 - Control Assessment'!$J$16:$J$67,MATCH(C315,'OT 04 - Control Assessment'!$A$16:$A$67,0)),0)</f>
        <v/>
      </c>
      <c r="I315" s="444">
        <f>F315*G315*H315</f>
        <v/>
      </c>
      <c r="J315" s="406" t="inlineStr">
        <is>
          <t>Direct ATT&amp;CK mitigation relationship</t>
        </is>
      </c>
      <c r="K315" s="426" t="inlineStr">
        <is>
          <t>https://attack.mitre.org/techniques/T0826</t>
        </is>
      </c>
      <c r="L315" s="426" t="inlineStr">
        <is>
          <t>https://attack.mitre.org/mitigations/M0810</t>
        </is>
      </c>
      <c r="M315" s="406" t="inlineStr">
        <is>
          <t>Current Power Generation working prior (80%) because ATT&amp;CK establishes mitigation applicability but does not quantify efficacy. Replace with test / incident / SME calibration when available.</t>
        </is>
      </c>
    </row>
    <row r="316" ht="41.25" customHeight="1" s="508">
      <c r="A316" s="406" t="inlineStr">
        <is>
          <t>T0827</t>
        </is>
      </c>
      <c r="B316" s="406" t="inlineStr">
        <is>
          <t>Loss of Control</t>
        </is>
      </c>
      <c r="C316" s="406" t="inlineStr">
        <is>
          <t>M0810</t>
        </is>
      </c>
      <c r="D316" s="406" t="inlineStr">
        <is>
          <t>Out-of-Band Communications Channel</t>
        </is>
      </c>
      <c r="E316" s="406" t="inlineStr">
        <is>
          <t>Recover / Restore</t>
        </is>
      </c>
      <c r="F316" s="417" t="n">
        <v>0.8</v>
      </c>
      <c r="G316" s="444">
        <f>IFERROR(INDEX('OT 04 - Control Assessment'!$I$16:$I$67,MATCH(C316,'OT 04 - Control Assessment'!$A$16:$A$67,0)),0)</f>
        <v/>
      </c>
      <c r="H316" s="444">
        <f>IFERROR(INDEX('OT 04 - Control Assessment'!$J$16:$J$67,MATCH(C316,'OT 04 - Control Assessment'!$A$16:$A$67,0)),0)</f>
        <v/>
      </c>
      <c r="I316" s="444">
        <f>F316*G316*H316</f>
        <v/>
      </c>
      <c r="J316" s="406" t="inlineStr">
        <is>
          <t>Direct ATT&amp;CK mitigation relationship</t>
        </is>
      </c>
      <c r="K316" s="426" t="inlineStr">
        <is>
          <t>https://attack.mitre.org/techniques/T0827</t>
        </is>
      </c>
      <c r="L316" s="426" t="inlineStr">
        <is>
          <t>https://attack.mitre.org/mitigations/M0810</t>
        </is>
      </c>
      <c r="M316" s="406" t="inlineStr">
        <is>
          <t>Current Power Generation working prior (80%) because ATT&amp;CK establishes mitigation applicability but does not quantify efficacy. Replace with test / incident / SME calibration when available.</t>
        </is>
      </c>
    </row>
    <row r="317" ht="41.25" customHeight="1" s="508">
      <c r="A317" s="406" t="inlineStr">
        <is>
          <t>T0829</t>
        </is>
      </c>
      <c r="B317" s="406" t="inlineStr">
        <is>
          <t>Loss of View</t>
        </is>
      </c>
      <c r="C317" s="406" t="inlineStr">
        <is>
          <t>M0810</t>
        </is>
      </c>
      <c r="D317" s="406" t="inlineStr">
        <is>
          <t>Out-of-Band Communications Channel</t>
        </is>
      </c>
      <c r="E317" s="406" t="inlineStr">
        <is>
          <t>Recover / Restore</t>
        </is>
      </c>
      <c r="F317" s="417" t="n">
        <v>0.8</v>
      </c>
      <c r="G317" s="444">
        <f>IFERROR(INDEX('OT 04 - Control Assessment'!$I$16:$I$67,MATCH(C317,'OT 04 - Control Assessment'!$A$16:$A$67,0)),0)</f>
        <v/>
      </c>
      <c r="H317" s="444">
        <f>IFERROR(INDEX('OT 04 - Control Assessment'!$J$16:$J$67,MATCH(C317,'OT 04 - Control Assessment'!$A$16:$A$67,0)),0)</f>
        <v/>
      </c>
      <c r="I317" s="444">
        <f>F317*G317*H317</f>
        <v/>
      </c>
      <c r="J317" s="406" t="inlineStr">
        <is>
          <t>Direct ATT&amp;CK mitigation relationship</t>
        </is>
      </c>
      <c r="K317" s="426" t="inlineStr">
        <is>
          <t>https://attack.mitre.org/techniques/T0829</t>
        </is>
      </c>
      <c r="L317" s="426" t="inlineStr">
        <is>
          <t>https://attack.mitre.org/mitigations/M0810</t>
        </is>
      </c>
      <c r="M317" s="406" t="inlineStr">
        <is>
          <t>Current Power Generation working prior (80%) because ATT&amp;CK establishes mitigation applicability but does not quantify efficacy. Replace with test / incident / SME calibration when available.</t>
        </is>
      </c>
    </row>
    <row r="318" ht="41.25" customHeight="1" s="508">
      <c r="A318" s="406" t="inlineStr">
        <is>
          <t>T0831</t>
        </is>
      </c>
      <c r="B318" s="406" t="inlineStr">
        <is>
          <t>Manipulation of Control</t>
        </is>
      </c>
      <c r="C318" s="406" t="inlineStr">
        <is>
          <t>M0810</t>
        </is>
      </c>
      <c r="D318" s="406" t="inlineStr">
        <is>
          <t>Out-of-Band Communications Channel</t>
        </is>
      </c>
      <c r="E318" s="406" t="inlineStr">
        <is>
          <t>Recover / Restore</t>
        </is>
      </c>
      <c r="F318" s="417" t="n">
        <v>0.8</v>
      </c>
      <c r="G318" s="444">
        <f>IFERROR(INDEX('OT 04 - Control Assessment'!$I$16:$I$67,MATCH(C318,'OT 04 - Control Assessment'!$A$16:$A$67,0)),0)</f>
        <v/>
      </c>
      <c r="H318" s="444">
        <f>IFERROR(INDEX('OT 04 - Control Assessment'!$J$16:$J$67,MATCH(C318,'OT 04 - Control Assessment'!$A$16:$A$67,0)),0)</f>
        <v/>
      </c>
      <c r="I318" s="444">
        <f>F318*G318*H318</f>
        <v/>
      </c>
      <c r="J318" s="406" t="inlineStr">
        <is>
          <t>Direct ATT&amp;CK mitigation relationship</t>
        </is>
      </c>
      <c r="K318" s="426" t="inlineStr">
        <is>
          <t>https://attack.mitre.org/techniques/T0831</t>
        </is>
      </c>
      <c r="L318" s="426" t="inlineStr">
        <is>
          <t>https://attack.mitre.org/mitigations/M0810</t>
        </is>
      </c>
      <c r="M318" s="406" t="inlineStr">
        <is>
          <t>Current Power Generation working prior (80%) because ATT&amp;CK establishes mitigation applicability but does not quantify efficacy. Replace with test / incident / SME calibration when available.</t>
        </is>
      </c>
    </row>
    <row r="319" ht="41.25" customHeight="1" s="508">
      <c r="A319" s="406" t="inlineStr">
        <is>
          <t>T0832</t>
        </is>
      </c>
      <c r="B319" s="406" t="inlineStr">
        <is>
          <t>Manipulation of View</t>
        </is>
      </c>
      <c r="C319" s="406" t="inlineStr">
        <is>
          <t>M0810</t>
        </is>
      </c>
      <c r="D319" s="406" t="inlineStr">
        <is>
          <t>Out-of-Band Communications Channel</t>
        </is>
      </c>
      <c r="E319" s="406" t="inlineStr">
        <is>
          <t>Recover / Restore</t>
        </is>
      </c>
      <c r="F319" s="417" t="n">
        <v>0.8</v>
      </c>
      <c r="G319" s="444">
        <f>IFERROR(INDEX('OT 04 - Control Assessment'!$I$16:$I$67,MATCH(C319,'OT 04 - Control Assessment'!$A$16:$A$67,0)),0)</f>
        <v/>
      </c>
      <c r="H319" s="444">
        <f>IFERROR(INDEX('OT 04 - Control Assessment'!$J$16:$J$67,MATCH(C319,'OT 04 - Control Assessment'!$A$16:$A$67,0)),0)</f>
        <v/>
      </c>
      <c r="I319" s="444">
        <f>F319*G319*H319</f>
        <v/>
      </c>
      <c r="J319" s="406" t="inlineStr">
        <is>
          <t>Direct ATT&amp;CK mitigation relationship</t>
        </is>
      </c>
      <c r="K319" s="426" t="inlineStr">
        <is>
          <t>https://attack.mitre.org/techniques/T0832</t>
        </is>
      </c>
      <c r="L319" s="426" t="inlineStr">
        <is>
          <t>https://attack.mitre.org/mitigations/M0810</t>
        </is>
      </c>
      <c r="M319" s="406" t="inlineStr">
        <is>
          <t>Current Power Generation working prior (80%) because ATT&amp;CK establishes mitigation applicability but does not quantify efficacy. Replace with test / incident / SME calibration when available.</t>
        </is>
      </c>
    </row>
    <row r="320" ht="41.25" customHeight="1" s="508">
      <c r="A320" s="406" t="inlineStr">
        <is>
          <t>T1691.002</t>
        </is>
      </c>
      <c r="B320" s="406" t="inlineStr">
        <is>
          <t>Reporting Message</t>
        </is>
      </c>
      <c r="C320" s="406" t="inlineStr">
        <is>
          <t>M0810</t>
        </is>
      </c>
      <c r="D320" s="406" t="inlineStr">
        <is>
          <t>Out-of-Band Communications Channel</t>
        </is>
      </c>
      <c r="E320" s="406" t="inlineStr">
        <is>
          <t>Recover / Restore</t>
        </is>
      </c>
      <c r="F320" s="417" t="n">
        <v>0.8</v>
      </c>
      <c r="G320" s="444">
        <f>IFERROR(INDEX('OT 04 - Control Assessment'!$I$16:$I$67,MATCH(C320,'OT 04 - Control Assessment'!$A$16:$A$67,0)),0)</f>
        <v/>
      </c>
      <c r="H320" s="444">
        <f>IFERROR(INDEX('OT 04 - Control Assessment'!$J$16:$J$67,MATCH(C320,'OT 04 - Control Assessment'!$A$16:$A$67,0)),0)</f>
        <v/>
      </c>
      <c r="I320" s="444">
        <f>F320*G320*H320</f>
        <v/>
      </c>
      <c r="J320" s="406" t="inlineStr">
        <is>
          <t>Direct ATT&amp;CK mitigation relationship</t>
        </is>
      </c>
      <c r="K320" s="426" t="inlineStr">
        <is>
          <t>https://attack.mitre.org/techniques/T1691/002</t>
        </is>
      </c>
      <c r="L320" s="426" t="inlineStr">
        <is>
          <t>https://attack.mitre.org/mitigations/M0810</t>
        </is>
      </c>
      <c r="M320" s="406" t="inlineStr">
        <is>
          <t>Current Power Generation working prior (80%) because ATT&amp;CK establishes mitigation applicability but does not quantify efficacy. Replace with test / incident / SME calibration when available.</t>
        </is>
      </c>
    </row>
    <row r="321" ht="41.25" customHeight="1" s="508">
      <c r="A321" s="406" t="inlineStr">
        <is>
          <t>T1695.001</t>
        </is>
      </c>
      <c r="B321" s="406" t="inlineStr">
        <is>
          <t>Serial COM</t>
        </is>
      </c>
      <c r="C321" s="406" t="inlineStr">
        <is>
          <t>M0810</t>
        </is>
      </c>
      <c r="D321" s="406" t="inlineStr">
        <is>
          <t>Out-of-Band Communications Channel</t>
        </is>
      </c>
      <c r="E321" s="406" t="inlineStr">
        <is>
          <t>Recover / Restore</t>
        </is>
      </c>
      <c r="F321" s="417" t="n">
        <v>0.8</v>
      </c>
      <c r="G321" s="444">
        <f>IFERROR(INDEX('OT 04 - Control Assessment'!$I$16:$I$67,MATCH(C321,'OT 04 - Control Assessment'!$A$16:$A$67,0)),0)</f>
        <v/>
      </c>
      <c r="H321" s="444">
        <f>IFERROR(INDEX('OT 04 - Control Assessment'!$J$16:$J$67,MATCH(C321,'OT 04 - Control Assessment'!$A$16:$A$67,0)),0)</f>
        <v/>
      </c>
      <c r="I321" s="444">
        <f>F321*G321*H321</f>
        <v/>
      </c>
      <c r="J321" s="406" t="inlineStr">
        <is>
          <t>Direct ATT&amp;CK mitigation relationship</t>
        </is>
      </c>
      <c r="K321" s="426" t="inlineStr">
        <is>
          <t>https://attack.mitre.org/techniques/T1695/001</t>
        </is>
      </c>
      <c r="L321" s="426" t="inlineStr">
        <is>
          <t>https://attack.mitre.org/mitigations/M0810</t>
        </is>
      </c>
      <c r="M321" s="406" t="inlineStr">
        <is>
          <t>Current Power Generation working prior (80%) because ATT&amp;CK establishes mitigation applicability but does not quantify efficacy. Replace with test / incident / SME calibration when available.</t>
        </is>
      </c>
    </row>
    <row r="322" ht="41.25" customHeight="1" s="508">
      <c r="A322" s="406" t="inlineStr">
        <is>
          <t>T1695.003</t>
        </is>
      </c>
      <c r="B322" s="406" t="inlineStr">
        <is>
          <t>Wi-Fi</t>
        </is>
      </c>
      <c r="C322" s="406" t="inlineStr">
        <is>
          <t>M0810</t>
        </is>
      </c>
      <c r="D322" s="406" t="inlineStr">
        <is>
          <t>Out-of-Band Communications Channel</t>
        </is>
      </c>
      <c r="E322" s="406" t="inlineStr">
        <is>
          <t>Recover / Restore</t>
        </is>
      </c>
      <c r="F322" s="417" t="n">
        <v>0.8</v>
      </c>
      <c r="G322" s="444">
        <f>IFERROR(INDEX('OT 04 - Control Assessment'!$I$16:$I$67,MATCH(C322,'OT 04 - Control Assessment'!$A$16:$A$67,0)),0)</f>
        <v/>
      </c>
      <c r="H322" s="444">
        <f>IFERROR(INDEX('OT 04 - Control Assessment'!$J$16:$J$67,MATCH(C322,'OT 04 - Control Assessment'!$A$16:$A$67,0)),0)</f>
        <v/>
      </c>
      <c r="I322" s="444">
        <f>F322*G322*H322</f>
        <v/>
      </c>
      <c r="J322" s="406" t="inlineStr">
        <is>
          <t>Direct ATT&amp;CK mitigation relationship</t>
        </is>
      </c>
      <c r="K322" s="426" t="inlineStr">
        <is>
          <t>https://attack.mitre.org/techniques/T1695/003</t>
        </is>
      </c>
      <c r="L322" s="426" t="inlineStr">
        <is>
          <t>https://attack.mitre.org/mitigations/M0810</t>
        </is>
      </c>
      <c r="M322" s="406" t="inlineStr">
        <is>
          <t>Current Power Generation working prior (80%) because ATT&amp;CK establishes mitigation applicability but does not quantify efficacy. Replace with test / incident / SME calibration when available.</t>
        </is>
      </c>
    </row>
    <row r="323" ht="41.25" customHeight="1" s="508">
      <c r="A323" s="406" t="inlineStr">
        <is>
          <t>T0892</t>
        </is>
      </c>
      <c r="B323" s="406" t="inlineStr">
        <is>
          <t>Change Credential</t>
        </is>
      </c>
      <c r="C323" s="406" t="inlineStr">
        <is>
          <t>M0927</t>
        </is>
      </c>
      <c r="D323" s="406" t="inlineStr">
        <is>
          <t>Password Policies</t>
        </is>
      </c>
      <c r="E323" s="406" t="inlineStr">
        <is>
          <t>Prevent / Resist</t>
        </is>
      </c>
      <c r="F323" s="417" t="n">
        <v>0.8</v>
      </c>
      <c r="G323" s="444">
        <f>IFERROR(INDEX('OT 04 - Control Assessment'!$I$16:$I$67,MATCH(C323,'OT 04 - Control Assessment'!$A$16:$A$67,0)),0)</f>
        <v/>
      </c>
      <c r="H323" s="444">
        <f>IFERROR(INDEX('OT 04 - Control Assessment'!$J$16:$J$67,MATCH(C323,'OT 04 - Control Assessment'!$A$16:$A$67,0)),0)</f>
        <v/>
      </c>
      <c r="I323" s="444">
        <f>F323*G323*H323</f>
        <v/>
      </c>
      <c r="J323" s="406" t="inlineStr">
        <is>
          <t>Direct ATT&amp;CK mitigation relationship</t>
        </is>
      </c>
      <c r="K323" s="426" t="inlineStr">
        <is>
          <t>https://attack.mitre.org/techniques/T0892</t>
        </is>
      </c>
      <c r="L323" s="426" t="inlineStr">
        <is>
          <t>https://attack.mitre.org/mitigations/M0927</t>
        </is>
      </c>
      <c r="M323" s="406" t="inlineStr">
        <is>
          <t>Current Power Generation working prior (80%) because ATT&amp;CK establishes mitigation applicability but does not quantify efficacy. Replace with test / incident / SME calibration when available.</t>
        </is>
      </c>
    </row>
    <row r="324" ht="41.25" customHeight="1" s="508">
      <c r="A324" s="406" t="inlineStr">
        <is>
          <t>T1694.001</t>
        </is>
      </c>
      <c r="B324" s="406" t="inlineStr">
        <is>
          <t>Default Credentials</t>
        </is>
      </c>
      <c r="C324" s="406" t="inlineStr">
        <is>
          <t>M0927</t>
        </is>
      </c>
      <c r="D324" s="406" t="inlineStr">
        <is>
          <t>Password Policies</t>
        </is>
      </c>
      <c r="E324" s="406" t="inlineStr">
        <is>
          <t>Prevent / Resist</t>
        </is>
      </c>
      <c r="F324" s="417" t="n">
        <v>0.8</v>
      </c>
      <c r="G324" s="444">
        <f>IFERROR(INDEX('OT 04 - Control Assessment'!$I$16:$I$67,MATCH(C324,'OT 04 - Control Assessment'!$A$16:$A$67,0)),0)</f>
        <v/>
      </c>
      <c r="H324" s="444">
        <f>IFERROR(INDEX('OT 04 - Control Assessment'!$J$16:$J$67,MATCH(C324,'OT 04 - Control Assessment'!$A$16:$A$67,0)),0)</f>
        <v/>
      </c>
      <c r="I324" s="444">
        <f>F324*G324*H324</f>
        <v/>
      </c>
      <c r="J324" s="406" t="inlineStr">
        <is>
          <t>Direct ATT&amp;CK mitigation relationship</t>
        </is>
      </c>
      <c r="K324" s="426" t="inlineStr">
        <is>
          <t>https://attack.mitre.org/techniques/T1694/001</t>
        </is>
      </c>
      <c r="L324" s="426" t="inlineStr">
        <is>
          <t>https://attack.mitre.org/mitigations/M0927</t>
        </is>
      </c>
      <c r="M324" s="406" t="inlineStr">
        <is>
          <t>Current Power Generation working prior (80%) because ATT&amp;CK establishes mitigation applicability but does not quantify efficacy. Replace with test / incident / SME calibration when available.</t>
        </is>
      </c>
    </row>
    <row r="325" ht="41.25" customHeight="1" s="508">
      <c r="A325" s="406" t="inlineStr">
        <is>
          <t>T0822</t>
        </is>
      </c>
      <c r="B325" s="406" t="inlineStr">
        <is>
          <t>External Remote Services</t>
        </is>
      </c>
      <c r="C325" s="406" t="inlineStr">
        <is>
          <t>M0927</t>
        </is>
      </c>
      <c r="D325" s="406" t="inlineStr">
        <is>
          <t>Password Policies</t>
        </is>
      </c>
      <c r="E325" s="406" t="inlineStr">
        <is>
          <t>Prevent / Resist</t>
        </is>
      </c>
      <c r="F325" s="417" t="n">
        <v>0.8</v>
      </c>
      <c r="G325" s="444">
        <f>IFERROR(INDEX('OT 04 - Control Assessment'!$I$16:$I$67,MATCH(C325,'OT 04 - Control Assessment'!$A$16:$A$67,0)),0)</f>
        <v/>
      </c>
      <c r="H325" s="444">
        <f>IFERROR(INDEX('OT 04 - Control Assessment'!$J$16:$J$67,MATCH(C325,'OT 04 - Control Assessment'!$A$16:$A$67,0)),0)</f>
        <v/>
      </c>
      <c r="I325" s="444">
        <f>F325*G325*H325</f>
        <v/>
      </c>
      <c r="J325" s="406" t="inlineStr">
        <is>
          <t>Direct ATT&amp;CK mitigation relationship</t>
        </is>
      </c>
      <c r="K325" s="426" t="inlineStr">
        <is>
          <t>https://attack.mitre.org/techniques/T0822</t>
        </is>
      </c>
      <c r="L325" s="426" t="inlineStr">
        <is>
          <t>https://attack.mitre.org/mitigations/M0927</t>
        </is>
      </c>
      <c r="M325" s="406" t="inlineStr">
        <is>
          <t>Current Power Generation working prior (80%) because ATT&amp;CK establishes mitigation applicability but does not quantify efficacy. Replace with test / incident / SME calibration when available.</t>
        </is>
      </c>
    </row>
    <row r="326" ht="41.25" customHeight="1" s="508">
      <c r="A326" s="406" t="inlineStr">
        <is>
          <t>T0886</t>
        </is>
      </c>
      <c r="B326" s="406" t="inlineStr">
        <is>
          <t>Remote Services</t>
        </is>
      </c>
      <c r="C326" s="406" t="inlineStr">
        <is>
          <t>M0927</t>
        </is>
      </c>
      <c r="D326" s="406" t="inlineStr">
        <is>
          <t>Password Policies</t>
        </is>
      </c>
      <c r="E326" s="406" t="inlineStr">
        <is>
          <t>Prevent / Resist</t>
        </is>
      </c>
      <c r="F326" s="417" t="n">
        <v>0.8</v>
      </c>
      <c r="G326" s="444">
        <f>IFERROR(INDEX('OT 04 - Control Assessment'!$I$16:$I$67,MATCH(C326,'OT 04 - Control Assessment'!$A$16:$A$67,0)),0)</f>
        <v/>
      </c>
      <c r="H326" s="444">
        <f>IFERROR(INDEX('OT 04 - Control Assessment'!$J$16:$J$67,MATCH(C326,'OT 04 - Control Assessment'!$A$16:$A$67,0)),0)</f>
        <v/>
      </c>
      <c r="I326" s="444">
        <f>F326*G326*H326</f>
        <v/>
      </c>
      <c r="J326" s="406" t="inlineStr">
        <is>
          <t>Direct ATT&amp;CK mitigation relationship</t>
        </is>
      </c>
      <c r="K326" s="426" t="inlineStr">
        <is>
          <t>https://attack.mitre.org/techniques/T0886</t>
        </is>
      </c>
      <c r="L326" s="426" t="inlineStr">
        <is>
          <t>https://attack.mitre.org/mitigations/M0927</t>
        </is>
      </c>
      <c r="M326" s="406" t="inlineStr">
        <is>
          <t>Current Power Generation working prior (80%) because ATT&amp;CK establishes mitigation applicability but does not quantify efficacy. Replace with test / incident / SME calibration when available.</t>
        </is>
      </c>
    </row>
    <row r="327" ht="41.25" customHeight="1" s="508">
      <c r="A327" s="406" t="inlineStr">
        <is>
          <t>T0859</t>
        </is>
      </c>
      <c r="B327" s="406" t="inlineStr">
        <is>
          <t>Valid Accounts</t>
        </is>
      </c>
      <c r="C327" s="406" t="inlineStr">
        <is>
          <t>M0927</t>
        </is>
      </c>
      <c r="D327" s="406" t="inlineStr">
        <is>
          <t>Password Policies</t>
        </is>
      </c>
      <c r="E327" s="406" t="inlineStr">
        <is>
          <t>Prevent / Resist</t>
        </is>
      </c>
      <c r="F327" s="417" t="n">
        <v>0.8</v>
      </c>
      <c r="G327" s="444">
        <f>IFERROR(INDEX('OT 04 - Control Assessment'!$I$16:$I$67,MATCH(C327,'OT 04 - Control Assessment'!$A$16:$A$67,0)),0)</f>
        <v/>
      </c>
      <c r="H327" s="444">
        <f>IFERROR(INDEX('OT 04 - Control Assessment'!$J$16:$J$67,MATCH(C327,'OT 04 - Control Assessment'!$A$16:$A$67,0)),0)</f>
        <v/>
      </c>
      <c r="I327" s="444">
        <f>F327*G327*H327</f>
        <v/>
      </c>
      <c r="J327" s="406" t="inlineStr">
        <is>
          <t>Direct ATT&amp;CK mitigation relationship</t>
        </is>
      </c>
      <c r="K327" s="426" t="inlineStr">
        <is>
          <t>https://attack.mitre.org/techniques/T0859</t>
        </is>
      </c>
      <c r="L327" s="426" t="inlineStr">
        <is>
          <t>https://attack.mitre.org/mitigations/M0927</t>
        </is>
      </c>
      <c r="M327" s="406" t="inlineStr">
        <is>
          <t>Current Power Generation working prior (80%) because ATT&amp;CK establishes mitigation applicability but does not quantify efficacy. Replace with test / incident / SME calibration when available.</t>
        </is>
      </c>
    </row>
    <row r="328" ht="41.25" customHeight="1" s="508">
      <c r="A328" s="406" t="inlineStr">
        <is>
          <t>T0809</t>
        </is>
      </c>
      <c r="B328" s="406" t="inlineStr">
        <is>
          <t>Data Destruction</t>
        </is>
      </c>
      <c r="C328" s="406" t="inlineStr">
        <is>
          <t>M0926</t>
        </is>
      </c>
      <c r="D328" s="406" t="inlineStr">
        <is>
          <t>Privileged Account Management</t>
        </is>
      </c>
      <c r="E328" s="406" t="inlineStr">
        <is>
          <t>Prevent / Resist</t>
        </is>
      </c>
      <c r="F328" s="417" t="n">
        <v>0.8</v>
      </c>
      <c r="G328" s="444">
        <f>IFERROR(INDEX('OT 04 - Control Assessment'!$I$16:$I$67,MATCH(C328,'OT 04 - Control Assessment'!$A$16:$A$67,0)),0)</f>
        <v/>
      </c>
      <c r="H328" s="444">
        <f>IFERROR(INDEX('OT 04 - Control Assessment'!$J$16:$J$67,MATCH(C328,'OT 04 - Control Assessment'!$A$16:$A$67,0)),0)</f>
        <v/>
      </c>
      <c r="I328" s="444">
        <f>F328*G328*H328</f>
        <v/>
      </c>
      <c r="J328" s="406" t="inlineStr">
        <is>
          <t>Direct ATT&amp;CK mitigation relationship</t>
        </is>
      </c>
      <c r="K328" s="426" t="inlineStr">
        <is>
          <t>https://attack.mitre.org/techniques/T0809</t>
        </is>
      </c>
      <c r="L328" s="426" t="inlineStr">
        <is>
          <t>https://attack.mitre.org/mitigations/M0926</t>
        </is>
      </c>
      <c r="M328" s="406" t="inlineStr">
        <is>
          <t>Current Power Generation working prior (80%) because ATT&amp;CK establishes mitigation applicability but does not quantify efficacy. Replace with test / incident / SME calibration when available.</t>
        </is>
      </c>
    </row>
    <row r="329" ht="41.25" customHeight="1" s="508">
      <c r="A329" s="406" t="inlineStr">
        <is>
          <t>T0811</t>
        </is>
      </c>
      <c r="B329" s="406" t="inlineStr">
        <is>
          <t>Data from Information Repositories</t>
        </is>
      </c>
      <c r="C329" s="406" t="inlineStr">
        <is>
          <t>M0926</t>
        </is>
      </c>
      <c r="D329" s="406" t="inlineStr">
        <is>
          <t>Privileged Account Management</t>
        </is>
      </c>
      <c r="E329" s="406" t="inlineStr">
        <is>
          <t>Prevent / Resist</t>
        </is>
      </c>
      <c r="F329" s="417" t="n">
        <v>0.8</v>
      </c>
      <c r="G329" s="444">
        <f>IFERROR(INDEX('OT 04 - Control Assessment'!$I$16:$I$67,MATCH(C329,'OT 04 - Control Assessment'!$A$16:$A$67,0)),0)</f>
        <v/>
      </c>
      <c r="H329" s="444">
        <f>IFERROR(INDEX('OT 04 - Control Assessment'!$J$16:$J$67,MATCH(C329,'OT 04 - Control Assessment'!$A$16:$A$67,0)),0)</f>
        <v/>
      </c>
      <c r="I329" s="444">
        <f>F329*G329*H329</f>
        <v/>
      </c>
      <c r="J329" s="406" t="inlineStr">
        <is>
          <t>Direct ATT&amp;CK mitigation relationship</t>
        </is>
      </c>
      <c r="K329" s="426" t="inlineStr">
        <is>
          <t>https://attack.mitre.org/techniques/T0811</t>
        </is>
      </c>
      <c r="L329" s="426" t="inlineStr">
        <is>
          <t>https://attack.mitre.org/mitigations/M0926</t>
        </is>
      </c>
      <c r="M329" s="406" t="inlineStr">
        <is>
          <t>Current Power Generation working prior (80%) because ATT&amp;CK establishes mitigation applicability but does not quantify efficacy. Replace with test / incident / SME calibration when available.</t>
        </is>
      </c>
    </row>
    <row r="330" ht="41.25" customHeight="1" s="508">
      <c r="A330" s="406" t="inlineStr">
        <is>
          <t>T0819</t>
        </is>
      </c>
      <c r="B330" s="406" t="inlineStr">
        <is>
          <t>Exploit Public-Facing Application</t>
        </is>
      </c>
      <c r="C330" s="406" t="inlineStr">
        <is>
          <t>M0926</t>
        </is>
      </c>
      <c r="D330" s="406" t="inlineStr">
        <is>
          <t>Privileged Account Management</t>
        </is>
      </c>
      <c r="E330" s="406" t="inlineStr">
        <is>
          <t>Prevent / Resist</t>
        </is>
      </c>
      <c r="F330" s="417" t="n">
        <v>0.8</v>
      </c>
      <c r="G330" s="444">
        <f>IFERROR(INDEX('OT 04 - Control Assessment'!$I$16:$I$67,MATCH(C330,'OT 04 - Control Assessment'!$A$16:$A$67,0)),0)</f>
        <v/>
      </c>
      <c r="H330" s="444">
        <f>IFERROR(INDEX('OT 04 - Control Assessment'!$J$16:$J$67,MATCH(C330,'OT 04 - Control Assessment'!$A$16:$A$67,0)),0)</f>
        <v/>
      </c>
      <c r="I330" s="444">
        <f>F330*G330*H330</f>
        <v/>
      </c>
      <c r="J330" s="406" t="inlineStr">
        <is>
          <t>Direct ATT&amp;CK mitigation relationship</t>
        </is>
      </c>
      <c r="K330" s="426" t="inlineStr">
        <is>
          <t>https://attack.mitre.org/techniques/T0819</t>
        </is>
      </c>
      <c r="L330" s="426" t="inlineStr">
        <is>
          <t>https://attack.mitre.org/mitigations/M0926</t>
        </is>
      </c>
      <c r="M330" s="406" t="inlineStr">
        <is>
          <t>Current Power Generation working prior (80%) because ATT&amp;CK establishes mitigation applicability but does not quantify efficacy. Replace with test / incident / SME calibration when available.</t>
        </is>
      </c>
    </row>
    <row r="331" ht="41.25" customHeight="1" s="508">
      <c r="A331" s="406" t="inlineStr">
        <is>
          <t>T0866</t>
        </is>
      </c>
      <c r="B331" s="406" t="inlineStr">
        <is>
          <t>Exploitation of Remote Services</t>
        </is>
      </c>
      <c r="C331" s="406" t="inlineStr">
        <is>
          <t>M0926</t>
        </is>
      </c>
      <c r="D331" s="406" t="inlineStr">
        <is>
          <t>Privileged Account Management</t>
        </is>
      </c>
      <c r="E331" s="406" t="inlineStr">
        <is>
          <t>Prevent / Resist</t>
        </is>
      </c>
      <c r="F331" s="417" t="n">
        <v>0.8</v>
      </c>
      <c r="G331" s="444">
        <f>IFERROR(INDEX('OT 04 - Control Assessment'!$I$16:$I$67,MATCH(C331,'OT 04 - Control Assessment'!$A$16:$A$67,0)),0)</f>
        <v/>
      </c>
      <c r="H331" s="444">
        <f>IFERROR(INDEX('OT 04 - Control Assessment'!$J$16:$J$67,MATCH(C331,'OT 04 - Control Assessment'!$A$16:$A$67,0)),0)</f>
        <v/>
      </c>
      <c r="I331" s="444">
        <f>F331*G331*H331</f>
        <v/>
      </c>
      <c r="J331" s="406" t="inlineStr">
        <is>
          <t>Direct ATT&amp;CK mitigation relationship</t>
        </is>
      </c>
      <c r="K331" s="426" t="inlineStr">
        <is>
          <t>https://attack.mitre.org/techniques/T0866</t>
        </is>
      </c>
      <c r="L331" s="426" t="inlineStr">
        <is>
          <t>https://attack.mitre.org/mitigations/M0926</t>
        </is>
      </c>
      <c r="M331" s="406" t="inlineStr">
        <is>
          <t>Current Power Generation working prior (80%) because ATT&amp;CK establishes mitigation applicability but does not quantify efficacy. Replace with test / incident / SME calibration when available.</t>
        </is>
      </c>
    </row>
    <row r="332" ht="41.25" customHeight="1" s="508">
      <c r="A332" s="406" t="inlineStr">
        <is>
          <t>T0842</t>
        </is>
      </c>
      <c r="B332" s="406" t="inlineStr">
        <is>
          <t>Network Sniffing</t>
        </is>
      </c>
      <c r="C332" s="406" t="inlineStr">
        <is>
          <t>M0926</t>
        </is>
      </c>
      <c r="D332" s="406" t="inlineStr">
        <is>
          <t>Privileged Account Management</t>
        </is>
      </c>
      <c r="E332" s="406" t="inlineStr">
        <is>
          <t>Prevent / Resist</t>
        </is>
      </c>
      <c r="F332" s="417" t="n">
        <v>0.8</v>
      </c>
      <c r="G332" s="444">
        <f>IFERROR(INDEX('OT 04 - Control Assessment'!$I$16:$I$67,MATCH(C332,'OT 04 - Control Assessment'!$A$16:$A$67,0)),0)</f>
        <v/>
      </c>
      <c r="H332" s="444">
        <f>IFERROR(INDEX('OT 04 - Control Assessment'!$J$16:$J$67,MATCH(C332,'OT 04 - Control Assessment'!$A$16:$A$67,0)),0)</f>
        <v/>
      </c>
      <c r="I332" s="444">
        <f>F332*G332*H332</f>
        <v/>
      </c>
      <c r="J332" s="406" t="inlineStr">
        <is>
          <t>Direct ATT&amp;CK mitigation relationship</t>
        </is>
      </c>
      <c r="K332" s="426" t="inlineStr">
        <is>
          <t>https://attack.mitre.org/techniques/T0842</t>
        </is>
      </c>
      <c r="L332" s="426" t="inlineStr">
        <is>
          <t>https://attack.mitre.org/mitigations/M0926</t>
        </is>
      </c>
      <c r="M332" s="406" t="inlineStr">
        <is>
          <t>Current Power Generation working prior (80%) because ATT&amp;CK establishes mitigation applicability but does not quantify efficacy. Replace with test / incident / SME calibration when available.</t>
        </is>
      </c>
    </row>
    <row r="333" ht="41.25" customHeight="1" s="508">
      <c r="A333" s="406" t="inlineStr">
        <is>
          <t>T0859</t>
        </is>
      </c>
      <c r="B333" s="406" t="inlineStr">
        <is>
          <t>Valid Accounts</t>
        </is>
      </c>
      <c r="C333" s="406" t="inlineStr">
        <is>
          <t>M0926</t>
        </is>
      </c>
      <c r="D333" s="406" t="inlineStr">
        <is>
          <t>Privileged Account Management</t>
        </is>
      </c>
      <c r="E333" s="406" t="inlineStr">
        <is>
          <t>Prevent / Resist</t>
        </is>
      </c>
      <c r="F333" s="417" t="n">
        <v>0.8</v>
      </c>
      <c r="G333" s="444">
        <f>IFERROR(INDEX('OT 04 - Control Assessment'!$I$16:$I$67,MATCH(C333,'OT 04 - Control Assessment'!$A$16:$A$67,0)),0)</f>
        <v/>
      </c>
      <c r="H333" s="444">
        <f>IFERROR(INDEX('OT 04 - Control Assessment'!$J$16:$J$67,MATCH(C333,'OT 04 - Control Assessment'!$A$16:$A$67,0)),0)</f>
        <v/>
      </c>
      <c r="I333" s="444">
        <f>F333*G333*H333</f>
        <v/>
      </c>
      <c r="J333" s="406" t="inlineStr">
        <is>
          <t>Direct ATT&amp;CK mitigation relationship</t>
        </is>
      </c>
      <c r="K333" s="426" t="inlineStr">
        <is>
          <t>https://attack.mitre.org/techniques/T0859</t>
        </is>
      </c>
      <c r="L333" s="426" t="inlineStr">
        <is>
          <t>https://attack.mitre.org/mitigations/M0926</t>
        </is>
      </c>
      <c r="M333" s="406" t="inlineStr">
        <is>
          <t>Current Power Generation working prior (80%) because ATT&amp;CK establishes mitigation applicability but does not quantify efficacy. Replace with test / incident / SME calibration when available.</t>
        </is>
      </c>
    </row>
    <row r="334" ht="41.25" customHeight="1" s="508">
      <c r="A334" s="406" t="inlineStr">
        <is>
          <t>T0892</t>
        </is>
      </c>
      <c r="B334" s="406" t="inlineStr">
        <is>
          <t>Change Credential</t>
        </is>
      </c>
      <c r="C334" s="406" t="inlineStr">
        <is>
          <t>M0811</t>
        </is>
      </c>
      <c r="D334" s="406" t="inlineStr">
        <is>
          <t>Redundancy of Service</t>
        </is>
      </c>
      <c r="E334" s="406" t="inlineStr">
        <is>
          <t>Recover / Restore</t>
        </is>
      </c>
      <c r="F334" s="417" t="n">
        <v>0.8</v>
      </c>
      <c r="G334" s="444">
        <f>IFERROR(INDEX('OT 04 - Control Assessment'!$I$16:$I$67,MATCH(C334,'OT 04 - Control Assessment'!$A$16:$A$67,0)),0)</f>
        <v/>
      </c>
      <c r="H334" s="444">
        <f>IFERROR(INDEX('OT 04 - Control Assessment'!$J$16:$J$67,MATCH(C334,'OT 04 - Control Assessment'!$A$16:$A$67,0)),0)</f>
        <v/>
      </c>
      <c r="I334" s="444">
        <f>F334*G334*H334</f>
        <v/>
      </c>
      <c r="J334" s="406" t="inlineStr">
        <is>
          <t>Direct ATT&amp;CK mitigation relationship</t>
        </is>
      </c>
      <c r="K334" s="426" t="inlineStr">
        <is>
          <t>https://attack.mitre.org/techniques/T0892</t>
        </is>
      </c>
      <c r="L334" s="426" t="inlineStr">
        <is>
          <t>https://attack.mitre.org/mitigations/M0811</t>
        </is>
      </c>
      <c r="M334" s="406" t="inlineStr">
        <is>
          <t>Current Power Generation working prior (80%) because ATT&amp;CK establishes mitigation applicability but does not quantify efficacy. Replace with test / incident / SME calibration when available.</t>
        </is>
      </c>
    </row>
    <row r="335" ht="41.25" customHeight="1" s="508">
      <c r="A335" s="406" t="inlineStr">
        <is>
          <t>T0813</t>
        </is>
      </c>
      <c r="B335" s="406" t="inlineStr">
        <is>
          <t>Denial of Control</t>
        </is>
      </c>
      <c r="C335" s="406" t="inlineStr">
        <is>
          <t>M0811</t>
        </is>
      </c>
      <c r="D335" s="406" t="inlineStr">
        <is>
          <t>Redundancy of Service</t>
        </is>
      </c>
      <c r="E335" s="406" t="inlineStr">
        <is>
          <t>Recover / Restore</t>
        </is>
      </c>
      <c r="F335" s="417" t="n">
        <v>0.8</v>
      </c>
      <c r="G335" s="444">
        <f>IFERROR(INDEX('OT 04 - Control Assessment'!$I$16:$I$67,MATCH(C335,'OT 04 - Control Assessment'!$A$16:$A$67,0)),0)</f>
        <v/>
      </c>
      <c r="H335" s="444">
        <f>IFERROR(INDEX('OT 04 - Control Assessment'!$J$16:$J$67,MATCH(C335,'OT 04 - Control Assessment'!$A$16:$A$67,0)),0)</f>
        <v/>
      </c>
      <c r="I335" s="444">
        <f>F335*G335*H335</f>
        <v/>
      </c>
      <c r="J335" s="406" t="inlineStr">
        <is>
          <t>Direct ATT&amp;CK mitigation relationship</t>
        </is>
      </c>
      <c r="K335" s="426" t="inlineStr">
        <is>
          <t>https://attack.mitre.org/techniques/T0813</t>
        </is>
      </c>
      <c r="L335" s="426" t="inlineStr">
        <is>
          <t>https://attack.mitre.org/mitigations/M0811</t>
        </is>
      </c>
      <c r="M335" s="406" t="inlineStr">
        <is>
          <t>Current Power Generation working prior (80%) because ATT&amp;CK establishes mitigation applicability but does not quantify efficacy. Replace with test / incident / SME calibration when available.</t>
        </is>
      </c>
    </row>
    <row r="336" ht="41.25" customHeight="1" s="508">
      <c r="A336" s="406" t="inlineStr">
        <is>
          <t>T0815</t>
        </is>
      </c>
      <c r="B336" s="406" t="inlineStr">
        <is>
          <t>Denial of View</t>
        </is>
      </c>
      <c r="C336" s="406" t="inlineStr">
        <is>
          <t>M0811</t>
        </is>
      </c>
      <c r="D336" s="406" t="inlineStr">
        <is>
          <t>Redundancy of Service</t>
        </is>
      </c>
      <c r="E336" s="406" t="inlineStr">
        <is>
          <t>Recover / Restore</t>
        </is>
      </c>
      <c r="F336" s="417" t="n">
        <v>0.8</v>
      </c>
      <c r="G336" s="444">
        <f>IFERROR(INDEX('OT 04 - Control Assessment'!$I$16:$I$67,MATCH(C336,'OT 04 - Control Assessment'!$A$16:$A$67,0)),0)</f>
        <v/>
      </c>
      <c r="H336" s="444">
        <f>IFERROR(INDEX('OT 04 - Control Assessment'!$J$16:$J$67,MATCH(C336,'OT 04 - Control Assessment'!$A$16:$A$67,0)),0)</f>
        <v/>
      </c>
      <c r="I336" s="444">
        <f>F336*G336*H336</f>
        <v/>
      </c>
      <c r="J336" s="406" t="inlineStr">
        <is>
          <t>Direct ATT&amp;CK mitigation relationship</t>
        </is>
      </c>
      <c r="K336" s="426" t="inlineStr">
        <is>
          <t>https://attack.mitre.org/techniques/T0815</t>
        </is>
      </c>
      <c r="L336" s="426" t="inlineStr">
        <is>
          <t>https://attack.mitre.org/mitigations/M0811</t>
        </is>
      </c>
      <c r="M336" s="406" t="inlineStr">
        <is>
          <t>Current Power Generation working prior (80%) because ATT&amp;CK establishes mitigation applicability but does not quantify efficacy. Replace with test / incident / SME calibration when available.</t>
        </is>
      </c>
    </row>
    <row r="337" ht="41.25" customHeight="1" s="508">
      <c r="A337" s="406" t="inlineStr">
        <is>
          <t>T0826</t>
        </is>
      </c>
      <c r="B337" s="406" t="inlineStr">
        <is>
          <t>Loss of Availability</t>
        </is>
      </c>
      <c r="C337" s="406" t="inlineStr">
        <is>
          <t>M0811</t>
        </is>
      </c>
      <c r="D337" s="406" t="inlineStr">
        <is>
          <t>Redundancy of Service</t>
        </is>
      </c>
      <c r="E337" s="406" t="inlineStr">
        <is>
          <t>Recover / Restore</t>
        </is>
      </c>
      <c r="F337" s="417" t="n">
        <v>0.8</v>
      </c>
      <c r="G337" s="444">
        <f>IFERROR(INDEX('OT 04 - Control Assessment'!$I$16:$I$67,MATCH(C337,'OT 04 - Control Assessment'!$A$16:$A$67,0)),0)</f>
        <v/>
      </c>
      <c r="H337" s="444">
        <f>IFERROR(INDEX('OT 04 - Control Assessment'!$J$16:$J$67,MATCH(C337,'OT 04 - Control Assessment'!$A$16:$A$67,0)),0)</f>
        <v/>
      </c>
      <c r="I337" s="444">
        <f>F337*G337*H337</f>
        <v/>
      </c>
      <c r="J337" s="406" t="inlineStr">
        <is>
          <t>Direct ATT&amp;CK mitigation relationship</t>
        </is>
      </c>
      <c r="K337" s="426" t="inlineStr">
        <is>
          <t>https://attack.mitre.org/techniques/T0826</t>
        </is>
      </c>
      <c r="L337" s="426" t="inlineStr">
        <is>
          <t>https://attack.mitre.org/mitigations/M0811</t>
        </is>
      </c>
      <c r="M337" s="406" t="inlineStr">
        <is>
          <t>Current Power Generation working prior (80%) because ATT&amp;CK establishes mitigation applicability but does not quantify efficacy. Replace with test / incident / SME calibration when available.</t>
        </is>
      </c>
    </row>
    <row r="338" ht="41.25" customHeight="1" s="508">
      <c r="A338" s="406" t="inlineStr">
        <is>
          <t>T0827</t>
        </is>
      </c>
      <c r="B338" s="406" t="inlineStr">
        <is>
          <t>Loss of Control</t>
        </is>
      </c>
      <c r="C338" s="406" t="inlineStr">
        <is>
          <t>M0811</t>
        </is>
      </c>
      <c r="D338" s="406" t="inlineStr">
        <is>
          <t>Redundancy of Service</t>
        </is>
      </c>
      <c r="E338" s="406" t="inlineStr">
        <is>
          <t>Recover / Restore</t>
        </is>
      </c>
      <c r="F338" s="417" t="n">
        <v>0.8</v>
      </c>
      <c r="G338" s="444">
        <f>IFERROR(INDEX('OT 04 - Control Assessment'!$I$16:$I$67,MATCH(C338,'OT 04 - Control Assessment'!$A$16:$A$67,0)),0)</f>
        <v/>
      </c>
      <c r="H338" s="444">
        <f>IFERROR(INDEX('OT 04 - Control Assessment'!$J$16:$J$67,MATCH(C338,'OT 04 - Control Assessment'!$A$16:$A$67,0)),0)</f>
        <v/>
      </c>
      <c r="I338" s="444">
        <f>F338*G338*H338</f>
        <v/>
      </c>
      <c r="J338" s="406" t="inlineStr">
        <is>
          <t>Direct ATT&amp;CK mitigation relationship</t>
        </is>
      </c>
      <c r="K338" s="426" t="inlineStr">
        <is>
          <t>https://attack.mitre.org/techniques/T0827</t>
        </is>
      </c>
      <c r="L338" s="426" t="inlineStr">
        <is>
          <t>https://attack.mitre.org/mitigations/M0811</t>
        </is>
      </c>
      <c r="M338" s="406" t="inlineStr">
        <is>
          <t>Current Power Generation working prior (80%) because ATT&amp;CK establishes mitigation applicability but does not quantify efficacy. Replace with test / incident / SME calibration when available.</t>
        </is>
      </c>
    </row>
    <row r="339" ht="41.25" customHeight="1" s="508">
      <c r="A339" s="406" t="inlineStr">
        <is>
          <t>T0829</t>
        </is>
      </c>
      <c r="B339" s="406" t="inlineStr">
        <is>
          <t>Loss of View</t>
        </is>
      </c>
      <c r="C339" s="406" t="inlineStr">
        <is>
          <t>M0811</t>
        </is>
      </c>
      <c r="D339" s="406" t="inlineStr">
        <is>
          <t>Redundancy of Service</t>
        </is>
      </c>
      <c r="E339" s="406" t="inlineStr">
        <is>
          <t>Recover / Restore</t>
        </is>
      </c>
      <c r="F339" s="417" t="n">
        <v>0.8</v>
      </c>
      <c r="G339" s="444">
        <f>IFERROR(INDEX('OT 04 - Control Assessment'!$I$16:$I$67,MATCH(C339,'OT 04 - Control Assessment'!$A$16:$A$67,0)),0)</f>
        <v/>
      </c>
      <c r="H339" s="444">
        <f>IFERROR(INDEX('OT 04 - Control Assessment'!$J$16:$J$67,MATCH(C339,'OT 04 - Control Assessment'!$A$16:$A$67,0)),0)</f>
        <v/>
      </c>
      <c r="I339" s="444">
        <f>F339*G339*H339</f>
        <v/>
      </c>
      <c r="J339" s="406" t="inlineStr">
        <is>
          <t>Direct ATT&amp;CK mitigation relationship</t>
        </is>
      </c>
      <c r="K339" s="426" t="inlineStr">
        <is>
          <t>https://attack.mitre.org/techniques/T0829</t>
        </is>
      </c>
      <c r="L339" s="426" t="inlineStr">
        <is>
          <t>https://attack.mitre.org/mitigations/M0811</t>
        </is>
      </c>
      <c r="M339" s="406" t="inlineStr">
        <is>
          <t>Current Power Generation working prior (80%) because ATT&amp;CK establishes mitigation applicability but does not quantify efficacy. Replace with test / incident / SME calibration when available.</t>
        </is>
      </c>
    </row>
    <row r="340" ht="41.25" customHeight="1" s="508">
      <c r="A340" s="406" t="inlineStr">
        <is>
          <t>T0809</t>
        </is>
      </c>
      <c r="B340" s="406" t="inlineStr">
        <is>
          <t>Data Destruction</t>
        </is>
      </c>
      <c r="C340" s="406" t="inlineStr">
        <is>
          <t>M0922</t>
        </is>
      </c>
      <c r="D340" s="406" t="inlineStr">
        <is>
          <t>Restrict File and Directory Permissions</t>
        </is>
      </c>
      <c r="E340" s="406" t="inlineStr">
        <is>
          <t>Prevent / Resist</t>
        </is>
      </c>
      <c r="F340" s="417" t="n">
        <v>0.8</v>
      </c>
      <c r="G340" s="444">
        <f>IFERROR(INDEX('OT 04 - Control Assessment'!$I$16:$I$67,MATCH(C340,'OT 04 - Control Assessment'!$A$16:$A$67,0)),0)</f>
        <v/>
      </c>
      <c r="H340" s="444">
        <f>IFERROR(INDEX('OT 04 - Control Assessment'!$J$16:$J$67,MATCH(C340,'OT 04 - Control Assessment'!$A$16:$A$67,0)),0)</f>
        <v/>
      </c>
      <c r="I340" s="444">
        <f>F340*G340*H340</f>
        <v/>
      </c>
      <c r="J340" s="406" t="inlineStr">
        <is>
          <t>Direct ATT&amp;CK mitigation relationship</t>
        </is>
      </c>
      <c r="K340" s="426" t="inlineStr">
        <is>
          <t>https://attack.mitre.org/techniques/T0809</t>
        </is>
      </c>
      <c r="L340" s="426" t="inlineStr">
        <is>
          <t>https://attack.mitre.org/mitigations/M0922</t>
        </is>
      </c>
      <c r="M340" s="406" t="inlineStr">
        <is>
          <t>Current Power Generation working prior (80%) because ATT&amp;CK establishes mitigation applicability but does not quantify efficacy. Replace with test / incident / SME calibration when available.</t>
        </is>
      </c>
    </row>
    <row r="341" ht="41.25" customHeight="1" s="508">
      <c r="A341" s="406" t="inlineStr">
        <is>
          <t>T0811</t>
        </is>
      </c>
      <c r="B341" s="406" t="inlineStr">
        <is>
          <t>Data from Information Repositories</t>
        </is>
      </c>
      <c r="C341" s="406" t="inlineStr">
        <is>
          <t>M0922</t>
        </is>
      </c>
      <c r="D341" s="406" t="inlineStr">
        <is>
          <t>Restrict File and Directory Permissions</t>
        </is>
      </c>
      <c r="E341" s="406" t="inlineStr">
        <is>
          <t>Prevent / Resist</t>
        </is>
      </c>
      <c r="F341" s="417" t="n">
        <v>0.8</v>
      </c>
      <c r="G341" s="444">
        <f>IFERROR(INDEX('OT 04 - Control Assessment'!$I$16:$I$67,MATCH(C341,'OT 04 - Control Assessment'!$A$16:$A$67,0)),0)</f>
        <v/>
      </c>
      <c r="H341" s="444">
        <f>IFERROR(INDEX('OT 04 - Control Assessment'!$J$16:$J$67,MATCH(C341,'OT 04 - Control Assessment'!$A$16:$A$67,0)),0)</f>
        <v/>
      </c>
      <c r="I341" s="444">
        <f>F341*G341*H341</f>
        <v/>
      </c>
      <c r="J341" s="406" t="inlineStr">
        <is>
          <t>Direct ATT&amp;CK mitigation relationship</t>
        </is>
      </c>
      <c r="K341" s="426" t="inlineStr">
        <is>
          <t>https://attack.mitre.org/techniques/T0811</t>
        </is>
      </c>
      <c r="L341" s="426" t="inlineStr">
        <is>
          <t>https://attack.mitre.org/mitigations/M0922</t>
        </is>
      </c>
      <c r="M341" s="406" t="inlineStr">
        <is>
          <t>Current Power Generation working prior (80%) because ATT&amp;CK establishes mitigation applicability but does not quantify efficacy. Replace with test / incident / SME calibration when available.</t>
        </is>
      </c>
    </row>
    <row r="342" ht="41.25" customHeight="1" s="508">
      <c r="A342" s="406" t="inlineStr">
        <is>
          <t>T0893</t>
        </is>
      </c>
      <c r="B342" s="406" t="inlineStr">
        <is>
          <t>Data from Local System</t>
        </is>
      </c>
      <c r="C342" s="406" t="inlineStr">
        <is>
          <t>M0922</t>
        </is>
      </c>
      <c r="D342" s="406" t="inlineStr">
        <is>
          <t>Restrict File and Directory Permissions</t>
        </is>
      </c>
      <c r="E342" s="406" t="inlineStr">
        <is>
          <t>Prevent / Resist</t>
        </is>
      </c>
      <c r="F342" s="417" t="n">
        <v>0.8</v>
      </c>
      <c r="G342" s="444">
        <f>IFERROR(INDEX('OT 04 - Control Assessment'!$I$16:$I$67,MATCH(C342,'OT 04 - Control Assessment'!$A$16:$A$67,0)),0)</f>
        <v/>
      </c>
      <c r="H342" s="444">
        <f>IFERROR(INDEX('OT 04 - Control Assessment'!$J$16:$J$67,MATCH(C342,'OT 04 - Control Assessment'!$A$16:$A$67,0)),0)</f>
        <v/>
      </c>
      <c r="I342" s="444">
        <f>F342*G342*H342</f>
        <v/>
      </c>
      <c r="J342" s="406" t="inlineStr">
        <is>
          <t>Direct ATT&amp;CK mitigation relationship</t>
        </is>
      </c>
      <c r="K342" s="426" t="inlineStr">
        <is>
          <t>https://attack.mitre.org/techniques/T0893</t>
        </is>
      </c>
      <c r="L342" s="426" t="inlineStr">
        <is>
          <t>https://attack.mitre.org/mitigations/M0922</t>
        </is>
      </c>
      <c r="M342" s="406" t="inlineStr">
        <is>
          <t>Current Power Generation working prior (80%) because ATT&amp;CK establishes mitigation applicability but does not quantify efficacy. Replace with test / incident / SME calibration when available.</t>
        </is>
      </c>
    </row>
    <row r="343" ht="41.25" customHeight="1" s="508">
      <c r="A343" s="406" t="inlineStr">
        <is>
          <t>T0872</t>
        </is>
      </c>
      <c r="B343" s="406" t="inlineStr">
        <is>
          <t>Indicator Removal on Host</t>
        </is>
      </c>
      <c r="C343" s="406" t="inlineStr">
        <is>
          <t>M0922</t>
        </is>
      </c>
      <c r="D343" s="406" t="inlineStr">
        <is>
          <t>Restrict File and Directory Permissions</t>
        </is>
      </c>
      <c r="E343" s="406" t="inlineStr">
        <is>
          <t>Prevent / Resist</t>
        </is>
      </c>
      <c r="F343" s="417" t="n">
        <v>0.8</v>
      </c>
      <c r="G343" s="444">
        <f>IFERROR(INDEX('OT 04 - Control Assessment'!$I$16:$I$67,MATCH(C343,'OT 04 - Control Assessment'!$A$16:$A$67,0)),0)</f>
        <v/>
      </c>
      <c r="H343" s="444">
        <f>IFERROR(INDEX('OT 04 - Control Assessment'!$J$16:$J$67,MATCH(C343,'OT 04 - Control Assessment'!$A$16:$A$67,0)),0)</f>
        <v/>
      </c>
      <c r="I343" s="444">
        <f>F343*G343*H343</f>
        <v/>
      </c>
      <c r="J343" s="406" t="inlineStr">
        <is>
          <t>Direct ATT&amp;CK mitigation relationship</t>
        </is>
      </c>
      <c r="K343" s="426" t="inlineStr">
        <is>
          <t>https://attack.mitre.org/techniques/T0872</t>
        </is>
      </c>
      <c r="L343" s="426" t="inlineStr">
        <is>
          <t>https://attack.mitre.org/mitigations/M0922</t>
        </is>
      </c>
      <c r="M343" s="406" t="inlineStr">
        <is>
          <t>Current Power Generation working prior (80%) because ATT&amp;CK establishes mitigation applicability but does not quantify efficacy. Replace with test / incident / SME calibration when available.</t>
        </is>
      </c>
    </row>
    <row r="344" ht="41.25" customHeight="1" s="508">
      <c r="A344" s="406" t="inlineStr">
        <is>
          <t>T0849</t>
        </is>
      </c>
      <c r="B344" s="406" t="inlineStr">
        <is>
          <t>Masquerading</t>
        </is>
      </c>
      <c r="C344" s="406" t="inlineStr">
        <is>
          <t>M0922</t>
        </is>
      </c>
      <c r="D344" s="406" t="inlineStr">
        <is>
          <t>Restrict File and Directory Permissions</t>
        </is>
      </c>
      <c r="E344" s="406" t="inlineStr">
        <is>
          <t>Prevent / Resist</t>
        </is>
      </c>
      <c r="F344" s="417" t="n">
        <v>0.8</v>
      </c>
      <c r="G344" s="444">
        <f>IFERROR(INDEX('OT 04 - Control Assessment'!$I$16:$I$67,MATCH(C344,'OT 04 - Control Assessment'!$A$16:$A$67,0)),0)</f>
        <v/>
      </c>
      <c r="H344" s="444">
        <f>IFERROR(INDEX('OT 04 - Control Assessment'!$J$16:$J$67,MATCH(C344,'OT 04 - Control Assessment'!$A$16:$A$67,0)),0)</f>
        <v/>
      </c>
      <c r="I344" s="444">
        <f>F344*G344*H344</f>
        <v/>
      </c>
      <c r="J344" s="406" t="inlineStr">
        <is>
          <t>Direct ATT&amp;CK mitigation relationship</t>
        </is>
      </c>
      <c r="K344" s="426" t="inlineStr">
        <is>
          <t>https://attack.mitre.org/techniques/T0849</t>
        </is>
      </c>
      <c r="L344" s="426" t="inlineStr">
        <is>
          <t>https://attack.mitre.org/mitigations/M0922</t>
        </is>
      </c>
      <c r="M344" s="406" t="inlineStr">
        <is>
          <t>Current Power Generation working prior (80%) because ATT&amp;CK establishes mitigation applicability but does not quantify efficacy. Replace with test / incident / SME calibration when available.</t>
        </is>
      </c>
    </row>
    <row r="345" ht="41.25" customHeight="1" s="508">
      <c r="A345" s="406" t="inlineStr">
        <is>
          <t>T0873</t>
        </is>
      </c>
      <c r="B345" s="406" t="inlineStr">
        <is>
          <t>Project File Infection</t>
        </is>
      </c>
      <c r="C345" s="406" t="inlineStr">
        <is>
          <t>M0922</t>
        </is>
      </c>
      <c r="D345" s="406" t="inlineStr">
        <is>
          <t>Restrict File and Directory Permissions</t>
        </is>
      </c>
      <c r="E345" s="406" t="inlineStr">
        <is>
          <t>Prevent / Resist</t>
        </is>
      </c>
      <c r="F345" s="417" t="n">
        <v>0.8</v>
      </c>
      <c r="G345" s="444">
        <f>IFERROR(INDEX('OT 04 - Control Assessment'!$I$16:$I$67,MATCH(C345,'OT 04 - Control Assessment'!$A$16:$A$67,0)),0)</f>
        <v/>
      </c>
      <c r="H345" s="444">
        <f>IFERROR(INDEX('OT 04 - Control Assessment'!$J$16:$J$67,MATCH(C345,'OT 04 - Control Assessment'!$A$16:$A$67,0)),0)</f>
        <v/>
      </c>
      <c r="I345" s="444">
        <f>F345*G345*H345</f>
        <v/>
      </c>
      <c r="J345" s="406" t="inlineStr">
        <is>
          <t>Direct ATT&amp;CK mitigation relationship</t>
        </is>
      </c>
      <c r="K345" s="426" t="inlineStr">
        <is>
          <t>https://attack.mitre.org/techniques/T0873</t>
        </is>
      </c>
      <c r="L345" s="426" t="inlineStr">
        <is>
          <t>https://attack.mitre.org/mitigations/M0922</t>
        </is>
      </c>
      <c r="M345" s="406" t="inlineStr">
        <is>
          <t>Current Power Generation working prior (80%) because ATT&amp;CK establishes mitigation applicability but does not quantify efficacy. Replace with test / incident / SME calibration when available.</t>
        </is>
      </c>
    </row>
    <row r="346" ht="41.25" customHeight="1" s="508">
      <c r="A346" s="406" t="inlineStr">
        <is>
          <t>T0881</t>
        </is>
      </c>
      <c r="B346" s="406" t="inlineStr">
        <is>
          <t>Service Stop</t>
        </is>
      </c>
      <c r="C346" s="406" t="inlineStr">
        <is>
          <t>M0922</t>
        </is>
      </c>
      <c r="D346" s="406" t="inlineStr">
        <is>
          <t>Restrict File and Directory Permissions</t>
        </is>
      </c>
      <c r="E346" s="406" t="inlineStr">
        <is>
          <t>Prevent / Resist</t>
        </is>
      </c>
      <c r="F346" s="417" t="n">
        <v>0.8</v>
      </c>
      <c r="G346" s="444">
        <f>IFERROR(INDEX('OT 04 - Control Assessment'!$I$16:$I$67,MATCH(C346,'OT 04 - Control Assessment'!$A$16:$A$67,0)),0)</f>
        <v/>
      </c>
      <c r="H346" s="444">
        <f>IFERROR(INDEX('OT 04 - Control Assessment'!$J$16:$J$67,MATCH(C346,'OT 04 - Control Assessment'!$A$16:$A$67,0)),0)</f>
        <v/>
      </c>
      <c r="I346" s="444">
        <f>F346*G346*H346</f>
        <v/>
      </c>
      <c r="J346" s="406" t="inlineStr">
        <is>
          <t>Direct ATT&amp;CK mitigation relationship</t>
        </is>
      </c>
      <c r="K346" s="426" t="inlineStr">
        <is>
          <t>https://attack.mitre.org/techniques/T0881</t>
        </is>
      </c>
      <c r="L346" s="426" t="inlineStr">
        <is>
          <t>https://attack.mitre.org/mitigations/M0922</t>
        </is>
      </c>
      <c r="M346" s="406" t="inlineStr">
        <is>
          <t>Current Power Generation working prior (80%) because ATT&amp;CK establishes mitigation applicability but does not quantify efficacy. Replace with test / incident / SME calibration when available.</t>
        </is>
      </c>
    </row>
    <row r="347" ht="41.25" customHeight="1" s="508">
      <c r="A347" s="406" t="inlineStr">
        <is>
          <t>T0873.001</t>
        </is>
      </c>
      <c r="B347" s="406" t="inlineStr">
        <is>
          <t>Siemens Project File Format</t>
        </is>
      </c>
      <c r="C347" s="406" t="inlineStr">
        <is>
          <t>M0922</t>
        </is>
      </c>
      <c r="D347" s="406" t="inlineStr">
        <is>
          <t>Restrict File and Directory Permissions</t>
        </is>
      </c>
      <c r="E347" s="406" t="inlineStr">
        <is>
          <t>Prevent / Resist</t>
        </is>
      </c>
      <c r="F347" s="417" t="n">
        <v>0.8</v>
      </c>
      <c r="G347" s="444">
        <f>IFERROR(INDEX('OT 04 - Control Assessment'!$I$16:$I$67,MATCH(C347,'OT 04 - Control Assessment'!$A$16:$A$67,0)),0)</f>
        <v/>
      </c>
      <c r="H347" s="444">
        <f>IFERROR(INDEX('OT 04 - Control Assessment'!$J$16:$J$67,MATCH(C347,'OT 04 - Control Assessment'!$A$16:$A$67,0)),0)</f>
        <v/>
      </c>
      <c r="I347" s="444">
        <f>F347*G347*H347</f>
        <v/>
      </c>
      <c r="J347" s="406" t="inlineStr">
        <is>
          <t>Direct ATT&amp;CK mitigation relationship</t>
        </is>
      </c>
      <c r="K347" s="426" t="inlineStr">
        <is>
          <t>https://attack.mitre.org/techniques/T0873/001</t>
        </is>
      </c>
      <c r="L347" s="426" t="inlineStr">
        <is>
          <t>https://attack.mitre.org/mitigations/M0922</t>
        </is>
      </c>
      <c r="M347" s="406" t="inlineStr">
        <is>
          <t>Current Power Generation working prior (80%) because ATT&amp;CK establishes mitigation applicability but does not quantify efficacy. Replace with test / incident / SME calibration when available.</t>
        </is>
      </c>
    </row>
    <row r="348" ht="41.25" customHeight="1" s="508">
      <c r="A348" s="406" t="inlineStr">
        <is>
          <t>T0882</t>
        </is>
      </c>
      <c r="B348" s="406" t="inlineStr">
        <is>
          <t>Theft of Operational Information</t>
        </is>
      </c>
      <c r="C348" s="406" t="inlineStr">
        <is>
          <t>M0922</t>
        </is>
      </c>
      <c r="D348" s="406" t="inlineStr">
        <is>
          <t>Restrict File and Directory Permissions</t>
        </is>
      </c>
      <c r="E348" s="406" t="inlineStr">
        <is>
          <t>Prevent / Resist</t>
        </is>
      </c>
      <c r="F348" s="417" t="n">
        <v>0.8</v>
      </c>
      <c r="G348" s="444">
        <f>IFERROR(INDEX('OT 04 - Control Assessment'!$I$16:$I$67,MATCH(C348,'OT 04 - Control Assessment'!$A$16:$A$67,0)),0)</f>
        <v/>
      </c>
      <c r="H348" s="444">
        <f>IFERROR(INDEX('OT 04 - Control Assessment'!$J$16:$J$67,MATCH(C348,'OT 04 - Control Assessment'!$A$16:$A$67,0)),0)</f>
        <v/>
      </c>
      <c r="I348" s="444">
        <f>F348*G348*H348</f>
        <v/>
      </c>
      <c r="J348" s="406" t="inlineStr">
        <is>
          <t>Direct ATT&amp;CK mitigation relationship</t>
        </is>
      </c>
      <c r="K348" s="426" t="inlineStr">
        <is>
          <t>https://attack.mitre.org/techniques/T0882</t>
        </is>
      </c>
      <c r="L348" s="426" t="inlineStr">
        <is>
          <t>https://attack.mitre.org/mitigations/M0922</t>
        </is>
      </c>
      <c r="M348" s="406" t="inlineStr">
        <is>
          <t>Current Power Generation working prior (80%) because ATT&amp;CK establishes mitigation applicability but does not quantify efficacy. Replace with test / incident / SME calibration when available.</t>
        </is>
      </c>
    </row>
    <row r="349" ht="41.25" customHeight="1" s="508">
      <c r="A349" s="406" t="inlineStr">
        <is>
          <t>T0874</t>
        </is>
      </c>
      <c r="B349" s="406" t="inlineStr">
        <is>
          <t>Hooking</t>
        </is>
      </c>
      <c r="C349" s="406" t="inlineStr">
        <is>
          <t>M0944</t>
        </is>
      </c>
      <c r="D349" s="406" t="inlineStr">
        <is>
          <t>Restrict Library Loading</t>
        </is>
      </c>
      <c r="E349" s="406" t="inlineStr">
        <is>
          <t>Prevent / Resist</t>
        </is>
      </c>
      <c r="F349" s="417" t="n">
        <v>0.8</v>
      </c>
      <c r="G349" s="444">
        <f>IFERROR(INDEX('OT 04 - Control Assessment'!$I$16:$I$67,MATCH(C349,'OT 04 - Control Assessment'!$A$16:$A$67,0)),0)</f>
        <v/>
      </c>
      <c r="H349" s="444">
        <f>IFERROR(INDEX('OT 04 - Control Assessment'!$J$16:$J$67,MATCH(C349,'OT 04 - Control Assessment'!$A$16:$A$67,0)),0)</f>
        <v/>
      </c>
      <c r="I349" s="444">
        <f>F349*G349*H349</f>
        <v/>
      </c>
      <c r="J349" s="406" t="inlineStr">
        <is>
          <t>Direct ATT&amp;CK mitigation relationship</t>
        </is>
      </c>
      <c r="K349" s="426" t="inlineStr">
        <is>
          <t>https://attack.mitre.org/techniques/T0874</t>
        </is>
      </c>
      <c r="L349" s="426" t="inlineStr">
        <is>
          <t>https://attack.mitre.org/mitigations/M0944</t>
        </is>
      </c>
      <c r="M349" s="406" t="inlineStr">
        <is>
          <t>Current Power Generation working prior (80%) because ATT&amp;CK establishes mitigation applicability but does not quantify efficacy. Replace with test / incident / SME calibration when available.</t>
        </is>
      </c>
    </row>
    <row r="350" ht="41.25" customHeight="1" s="508">
      <c r="A350" s="406" t="inlineStr">
        <is>
          <t>T0881</t>
        </is>
      </c>
      <c r="B350" s="406" t="inlineStr">
        <is>
          <t>Service Stop</t>
        </is>
      </c>
      <c r="C350" s="406" t="inlineStr">
        <is>
          <t>M0924</t>
        </is>
      </c>
      <c r="D350" s="406" t="inlineStr">
        <is>
          <t>Restrict Registry Permissions</t>
        </is>
      </c>
      <c r="E350" s="406" t="inlineStr">
        <is>
          <t>Prevent / Resist</t>
        </is>
      </c>
      <c r="F350" s="417" t="n">
        <v>0.8</v>
      </c>
      <c r="G350" s="444">
        <f>IFERROR(INDEX('OT 04 - Control Assessment'!$I$16:$I$67,MATCH(C350,'OT 04 - Control Assessment'!$A$16:$A$67,0)),0)</f>
        <v/>
      </c>
      <c r="H350" s="444">
        <f>IFERROR(INDEX('OT 04 - Control Assessment'!$J$16:$J$67,MATCH(C350,'OT 04 - Control Assessment'!$A$16:$A$67,0)),0)</f>
        <v/>
      </c>
      <c r="I350" s="444">
        <f>F350*G350*H350</f>
        <v/>
      </c>
      <c r="J350" s="406" t="inlineStr">
        <is>
          <t>Direct ATT&amp;CK mitigation relationship</t>
        </is>
      </c>
      <c r="K350" s="426" t="inlineStr">
        <is>
          <t>https://attack.mitre.org/techniques/T0881</t>
        </is>
      </c>
      <c r="L350" s="426" t="inlineStr">
        <is>
          <t>https://attack.mitre.org/mitigations/M0924</t>
        </is>
      </c>
      <c r="M350" s="406" t="inlineStr">
        <is>
          <t>Current Power Generation working prior (80%) because ATT&amp;CK establishes mitigation applicability but does not quantify efficacy. Replace with test / incident / SME calibration when available.</t>
        </is>
      </c>
    </row>
    <row r="351" ht="41.25" customHeight="1" s="508">
      <c r="A351" s="406" t="inlineStr">
        <is>
          <t>T0817</t>
        </is>
      </c>
      <c r="B351" s="406" t="inlineStr">
        <is>
          <t>Drive-by Compromise</t>
        </is>
      </c>
      <c r="C351" s="406" t="inlineStr">
        <is>
          <t>M0921</t>
        </is>
      </c>
      <c r="D351" s="406" t="inlineStr">
        <is>
          <t>Restrict Web-Based Content</t>
        </is>
      </c>
      <c r="E351" s="406" t="inlineStr">
        <is>
          <t>Prevent / Resist</t>
        </is>
      </c>
      <c r="F351" s="417" t="n">
        <v>0.8</v>
      </c>
      <c r="G351" s="444">
        <f>IFERROR(INDEX('OT 04 - Control Assessment'!$I$16:$I$67,MATCH(C351,'OT 04 - Control Assessment'!$A$16:$A$67,0)),0)</f>
        <v/>
      </c>
      <c r="H351" s="444">
        <f>IFERROR(INDEX('OT 04 - Control Assessment'!$J$16:$J$67,MATCH(C351,'OT 04 - Control Assessment'!$A$16:$A$67,0)),0)</f>
        <v/>
      </c>
      <c r="I351" s="444">
        <f>F351*G351*H351</f>
        <v/>
      </c>
      <c r="J351" s="406" t="inlineStr">
        <is>
          <t>Direct ATT&amp;CK mitigation relationship</t>
        </is>
      </c>
      <c r="K351" s="426" t="inlineStr">
        <is>
          <t>https://attack.mitre.org/techniques/T0817</t>
        </is>
      </c>
      <c r="L351" s="426" t="inlineStr">
        <is>
          <t>https://attack.mitre.org/mitigations/M0921</t>
        </is>
      </c>
      <c r="M351" s="406" t="inlineStr">
        <is>
          <t>Current Power Generation working prior (80%) because ATT&amp;CK establishes mitigation applicability but does not quantify efficacy. Replace with test / incident / SME calibration when available.</t>
        </is>
      </c>
    </row>
    <row r="352" ht="41.25" customHeight="1" s="508">
      <c r="A352" s="406" t="inlineStr">
        <is>
          <t>T0865</t>
        </is>
      </c>
      <c r="B352" s="406" t="inlineStr">
        <is>
          <t>Spearphishing Attachment</t>
        </is>
      </c>
      <c r="C352" s="406" t="inlineStr">
        <is>
          <t>M0921</t>
        </is>
      </c>
      <c r="D352" s="406" t="inlineStr">
        <is>
          <t>Restrict Web-Based Content</t>
        </is>
      </c>
      <c r="E352" s="406" t="inlineStr">
        <is>
          <t>Prevent / Resist</t>
        </is>
      </c>
      <c r="F352" s="417" t="n">
        <v>0.8</v>
      </c>
      <c r="G352" s="444">
        <f>IFERROR(INDEX('OT 04 - Control Assessment'!$I$16:$I$67,MATCH(C352,'OT 04 - Control Assessment'!$A$16:$A$67,0)),0)</f>
        <v/>
      </c>
      <c r="H352" s="444">
        <f>IFERROR(INDEX('OT 04 - Control Assessment'!$J$16:$J$67,MATCH(C352,'OT 04 - Control Assessment'!$A$16:$A$67,0)),0)</f>
        <v/>
      </c>
      <c r="I352" s="444">
        <f>F352*G352*H352</f>
        <v/>
      </c>
      <c r="J352" s="406" t="inlineStr">
        <is>
          <t>Direct ATT&amp;CK mitigation relationship</t>
        </is>
      </c>
      <c r="K352" s="426" t="inlineStr">
        <is>
          <t>https://attack.mitre.org/techniques/T0865</t>
        </is>
      </c>
      <c r="L352" s="426" t="inlineStr">
        <is>
          <t>https://attack.mitre.org/mitigations/M0921</t>
        </is>
      </c>
      <c r="M352" s="406" t="inlineStr">
        <is>
          <t>Current Power Generation working prior (80%) because ATT&amp;CK establishes mitigation applicability but does not quantify efficacy. Replace with test / incident / SME calibration when available.</t>
        </is>
      </c>
    </row>
    <row r="353" ht="41.25" customHeight="1" s="508">
      <c r="A353" s="406" t="inlineStr">
        <is>
          <t>T0863</t>
        </is>
      </c>
      <c r="B353" s="406" t="inlineStr">
        <is>
          <t>User Execution</t>
        </is>
      </c>
      <c r="C353" s="406" t="inlineStr">
        <is>
          <t>M0921</t>
        </is>
      </c>
      <c r="D353" s="406" t="inlineStr">
        <is>
          <t>Restrict Web-Based Content</t>
        </is>
      </c>
      <c r="E353" s="406" t="inlineStr">
        <is>
          <t>Prevent / Resist</t>
        </is>
      </c>
      <c r="F353" s="417" t="n">
        <v>0.8</v>
      </c>
      <c r="G353" s="444">
        <f>IFERROR(INDEX('OT 04 - Control Assessment'!$I$16:$I$67,MATCH(C353,'OT 04 - Control Assessment'!$A$16:$A$67,0)),0)</f>
        <v/>
      </c>
      <c r="H353" s="444">
        <f>IFERROR(INDEX('OT 04 - Control Assessment'!$J$16:$J$67,MATCH(C353,'OT 04 - Control Assessment'!$A$16:$A$67,0)),0)</f>
        <v/>
      </c>
      <c r="I353" s="444">
        <f>F353*G353*H353</f>
        <v/>
      </c>
      <c r="J353" s="406" t="inlineStr">
        <is>
          <t>Direct ATT&amp;CK mitigation relationship</t>
        </is>
      </c>
      <c r="K353" s="426" t="inlineStr">
        <is>
          <t>https://attack.mitre.org/techniques/T0863</t>
        </is>
      </c>
      <c r="L353" s="426" t="inlineStr">
        <is>
          <t>https://attack.mitre.org/mitigations/M0921</t>
        </is>
      </c>
      <c r="M353" s="406" t="inlineStr">
        <is>
          <t>Current Power Generation working prior (80%) because ATT&amp;CK establishes mitigation applicability but does not quantify efficacy. Replace with test / incident / SME calibration when available.</t>
        </is>
      </c>
    </row>
    <row r="354" ht="41.25" customHeight="1" s="508">
      <c r="A354" s="406" t="inlineStr">
        <is>
          <t>T0884</t>
        </is>
      </c>
      <c r="B354" s="406" t="inlineStr">
        <is>
          <t>Connection Proxy</t>
        </is>
      </c>
      <c r="C354" s="406" t="inlineStr">
        <is>
          <t>M0920</t>
        </is>
      </c>
      <c r="D354" s="406" t="inlineStr">
        <is>
          <t>SSL/TLS Inspection</t>
        </is>
      </c>
      <c r="E354" s="406" t="inlineStr">
        <is>
          <t>Detect / Contain</t>
        </is>
      </c>
      <c r="F354" s="417" t="n">
        <v>0.8</v>
      </c>
      <c r="G354" s="444">
        <f>IFERROR(INDEX('OT 04 - Control Assessment'!$I$16:$I$67,MATCH(C354,'OT 04 - Control Assessment'!$A$16:$A$67,0)),0)</f>
        <v/>
      </c>
      <c r="H354" s="444">
        <f>IFERROR(INDEX('OT 04 - Control Assessment'!$J$16:$J$67,MATCH(C354,'OT 04 - Control Assessment'!$A$16:$A$67,0)),0)</f>
        <v/>
      </c>
      <c r="I354" s="444">
        <f>F354*G354*H354</f>
        <v/>
      </c>
      <c r="J354" s="406" t="inlineStr">
        <is>
          <t>Direct ATT&amp;CK mitigation relationship</t>
        </is>
      </c>
      <c r="K354" s="426" t="inlineStr">
        <is>
          <t>https://attack.mitre.org/techniques/T0884</t>
        </is>
      </c>
      <c r="L354" s="426" t="inlineStr">
        <is>
          <t>https://attack.mitre.org/mitigations/M0920</t>
        </is>
      </c>
      <c r="M354" s="406" t="inlineStr">
        <is>
          <t>Current Power Generation working prior (80%) because ATT&amp;CK establishes mitigation applicability but does not quantify efficacy. Replace with test / incident / SME calibration when available.</t>
        </is>
      </c>
    </row>
    <row r="355" ht="41.25" customHeight="1" s="508">
      <c r="A355" s="406" t="inlineStr">
        <is>
          <t>T0879</t>
        </is>
      </c>
      <c r="B355" s="406" t="inlineStr">
        <is>
          <t>Damage to Property</t>
        </is>
      </c>
      <c r="C355" s="406" t="inlineStr">
        <is>
          <t>M0812</t>
        </is>
      </c>
      <c r="D355" s="406" t="inlineStr">
        <is>
          <t>Safety Instrumented Systems</t>
        </is>
      </c>
      <c r="E355" s="406" t="inlineStr">
        <is>
          <t>Safety / Resilience</t>
        </is>
      </c>
      <c r="F355" s="417" t="n">
        <v>0.8</v>
      </c>
      <c r="G355" s="444">
        <f>IFERROR(INDEX('OT 04 - Control Assessment'!$I$16:$I$67,MATCH(C355,'OT 04 - Control Assessment'!$A$16:$A$67,0)),0)</f>
        <v/>
      </c>
      <c r="H355" s="444">
        <f>IFERROR(INDEX('OT 04 - Control Assessment'!$J$16:$J$67,MATCH(C355,'OT 04 - Control Assessment'!$A$16:$A$67,0)),0)</f>
        <v/>
      </c>
      <c r="I355" s="444">
        <f>F355*G355*H355</f>
        <v/>
      </c>
      <c r="J355" s="406" t="inlineStr">
        <is>
          <t>Direct ATT&amp;CK mitigation relationship</t>
        </is>
      </c>
      <c r="K355" s="426" t="inlineStr">
        <is>
          <t>https://attack.mitre.org/techniques/T0879</t>
        </is>
      </c>
      <c r="L355" s="426" t="inlineStr">
        <is>
          <t>https://attack.mitre.org/mitigations/M0812</t>
        </is>
      </c>
      <c r="M355" s="406" t="inlineStr">
        <is>
          <t>Current Power Generation working prior (80%) because ATT&amp;CK establishes mitigation applicability but does not quantify efficacy. Replace with test / incident / SME calibration when available.</t>
        </is>
      </c>
    </row>
    <row r="356" ht="41.25" customHeight="1" s="508">
      <c r="A356" s="406" t="inlineStr">
        <is>
          <t>T0880</t>
        </is>
      </c>
      <c r="B356" s="406" t="inlineStr">
        <is>
          <t>Loss of Safety</t>
        </is>
      </c>
      <c r="C356" s="406" t="inlineStr">
        <is>
          <t>M0812</t>
        </is>
      </c>
      <c r="D356" s="406" t="inlineStr">
        <is>
          <t>Safety Instrumented Systems</t>
        </is>
      </c>
      <c r="E356" s="406" t="inlineStr">
        <is>
          <t>Safety / Resilience</t>
        </is>
      </c>
      <c r="F356" s="417" t="n">
        <v>0.8</v>
      </c>
      <c r="G356" s="444">
        <f>IFERROR(INDEX('OT 04 - Control Assessment'!$I$16:$I$67,MATCH(C356,'OT 04 - Control Assessment'!$A$16:$A$67,0)),0)</f>
        <v/>
      </c>
      <c r="H356" s="444">
        <f>IFERROR(INDEX('OT 04 - Control Assessment'!$J$16:$J$67,MATCH(C356,'OT 04 - Control Assessment'!$A$16:$A$67,0)),0)</f>
        <v/>
      </c>
      <c r="I356" s="444">
        <f>F356*G356*H356</f>
        <v/>
      </c>
      <c r="J356" s="406" t="inlineStr">
        <is>
          <t>Direct ATT&amp;CK mitigation relationship</t>
        </is>
      </c>
      <c r="K356" s="426" t="inlineStr">
        <is>
          <t>https://attack.mitre.org/techniques/T0880</t>
        </is>
      </c>
      <c r="L356" s="426" t="inlineStr">
        <is>
          <t>https://attack.mitre.org/mitigations/M0812</t>
        </is>
      </c>
      <c r="M356" s="406" t="inlineStr">
        <is>
          <t>Current Power Generation working prior (80%) because ATT&amp;CK establishes mitigation applicability but does not quantify efficacy. Replace with test / incident / SME calibration when available.</t>
        </is>
      </c>
    </row>
    <row r="357" ht="41.25" customHeight="1" s="508">
      <c r="A357" s="406" t="inlineStr">
        <is>
          <t>T0800</t>
        </is>
      </c>
      <c r="B357" s="406" t="inlineStr">
        <is>
          <t>Activate Firmware Update Mode</t>
        </is>
      </c>
      <c r="C357" s="406" t="inlineStr">
        <is>
          <t>M0813</t>
        </is>
      </c>
      <c r="D357" s="406" t="inlineStr">
        <is>
          <t>Software Process and Device Authentication</t>
        </is>
      </c>
      <c r="E357" s="406" t="inlineStr">
        <is>
          <t>Prevent / Resist</t>
        </is>
      </c>
      <c r="F357" s="417" t="n">
        <v>0.8</v>
      </c>
      <c r="G357" s="444">
        <f>IFERROR(INDEX('OT 04 - Control Assessment'!$I$16:$I$67,MATCH(C357,'OT 04 - Control Assessment'!$A$16:$A$67,0)),0)</f>
        <v/>
      </c>
      <c r="H357" s="444">
        <f>IFERROR(INDEX('OT 04 - Control Assessment'!$J$16:$J$67,MATCH(C357,'OT 04 - Control Assessment'!$A$16:$A$67,0)),0)</f>
        <v/>
      </c>
      <c r="I357" s="444">
        <f>F357*G357*H357</f>
        <v/>
      </c>
      <c r="J357" s="406" t="inlineStr">
        <is>
          <t>Direct ATT&amp;CK mitigation relationship</t>
        </is>
      </c>
      <c r="K357" s="426" t="inlineStr">
        <is>
          <t>https://attack.mitre.org/techniques/T0800</t>
        </is>
      </c>
      <c r="L357" s="426" t="inlineStr">
        <is>
          <t>https://attack.mitre.org/mitigations/M0813</t>
        </is>
      </c>
      <c r="M357" s="406" t="inlineStr">
        <is>
          <t>Current Power Generation working prior (80%) because ATT&amp;CK establishes mitigation applicability but does not quantify efficacy. Replace with test / incident / SME calibration when available.</t>
        </is>
      </c>
    </row>
    <row r="358" ht="41.25" customHeight="1" s="508">
      <c r="A358" s="406" t="inlineStr">
        <is>
          <t>T0830</t>
        </is>
      </c>
      <c r="B358" s="406" t="inlineStr">
        <is>
          <t>Adversary-in-the-Middle</t>
        </is>
      </c>
      <c r="C358" s="406" t="inlineStr">
        <is>
          <t>M0813</t>
        </is>
      </c>
      <c r="D358" s="406" t="inlineStr">
        <is>
          <t>Software Process and Device Authentication</t>
        </is>
      </c>
      <c r="E358" s="406" t="inlineStr">
        <is>
          <t>Prevent / Resist</t>
        </is>
      </c>
      <c r="F358" s="417" t="n">
        <v>0.8</v>
      </c>
      <c r="G358" s="444">
        <f>IFERROR(INDEX('OT 04 - Control Assessment'!$I$16:$I$67,MATCH(C358,'OT 04 - Control Assessment'!$A$16:$A$67,0)),0)</f>
        <v/>
      </c>
      <c r="H358" s="444">
        <f>IFERROR(INDEX('OT 04 - Control Assessment'!$J$16:$J$67,MATCH(C358,'OT 04 - Control Assessment'!$A$16:$A$67,0)),0)</f>
        <v/>
      </c>
      <c r="I358" s="444">
        <f>F358*G358*H358</f>
        <v/>
      </c>
      <c r="J358" s="406" t="inlineStr">
        <is>
          <t>Direct ATT&amp;CK mitigation relationship</t>
        </is>
      </c>
      <c r="K358" s="426" t="inlineStr">
        <is>
          <t>https://attack.mitre.org/techniques/T0830</t>
        </is>
      </c>
      <c r="L358" s="426" t="inlineStr">
        <is>
          <t>https://attack.mitre.org/mitigations/M0813</t>
        </is>
      </c>
      <c r="M358" s="406" t="inlineStr">
        <is>
          <t>Current Power Generation working prior (80%) because ATT&amp;CK establishes mitigation applicability but does not quantify efficacy. Replace with test / incident / SME calibration when available.</t>
        </is>
      </c>
    </row>
    <row r="359" ht="41.25" customHeight="1" s="508">
      <c r="A359" s="406" t="inlineStr">
        <is>
          <t>T0806</t>
        </is>
      </c>
      <c r="B359" s="406" t="inlineStr">
        <is>
          <t>Brute Force I/O</t>
        </is>
      </c>
      <c r="C359" s="406" t="inlineStr">
        <is>
          <t>M0813</t>
        </is>
      </c>
      <c r="D359" s="406" t="inlineStr">
        <is>
          <t>Software Process and Device Authentication</t>
        </is>
      </c>
      <c r="E359" s="406" t="inlineStr">
        <is>
          <t>Prevent / Resist</t>
        </is>
      </c>
      <c r="F359" s="417" t="n">
        <v>0.8</v>
      </c>
      <c r="G359" s="444">
        <f>IFERROR(INDEX('OT 04 - Control Assessment'!$I$16:$I$67,MATCH(C359,'OT 04 - Control Assessment'!$A$16:$A$67,0)),0)</f>
        <v/>
      </c>
      <c r="H359" s="444">
        <f>IFERROR(INDEX('OT 04 - Control Assessment'!$J$16:$J$67,MATCH(C359,'OT 04 - Control Assessment'!$A$16:$A$67,0)),0)</f>
        <v/>
      </c>
      <c r="I359" s="444">
        <f>F359*G359*H359</f>
        <v/>
      </c>
      <c r="J359" s="406" t="inlineStr">
        <is>
          <t>Direct ATT&amp;CK mitigation relationship</t>
        </is>
      </c>
      <c r="K359" s="426" t="inlineStr">
        <is>
          <t>https://attack.mitre.org/techniques/T0806</t>
        </is>
      </c>
      <c r="L359" s="426" t="inlineStr">
        <is>
          <t>https://attack.mitre.org/mitigations/M0813</t>
        </is>
      </c>
      <c r="M359" s="406" t="inlineStr">
        <is>
          <t>Current Power Generation working prior (80%) because ATT&amp;CK establishes mitigation applicability but does not quantify efficacy. Replace with test / incident / SME calibration when available.</t>
        </is>
      </c>
    </row>
    <row r="360" ht="41.25" customHeight="1" s="508">
      <c r="A360" s="406" t="inlineStr">
        <is>
          <t>T0858</t>
        </is>
      </c>
      <c r="B360" s="406" t="inlineStr">
        <is>
          <t>Change Operating Mode</t>
        </is>
      </c>
      <c r="C360" s="406" t="inlineStr">
        <is>
          <t>M0813</t>
        </is>
      </c>
      <c r="D360" s="406" t="inlineStr">
        <is>
          <t>Software Process and Device Authentication</t>
        </is>
      </c>
      <c r="E360" s="406" t="inlineStr">
        <is>
          <t>Prevent / Resist</t>
        </is>
      </c>
      <c r="F360" s="417" t="n">
        <v>0.8</v>
      </c>
      <c r="G360" s="444">
        <f>IFERROR(INDEX('OT 04 - Control Assessment'!$I$16:$I$67,MATCH(C360,'OT 04 - Control Assessment'!$A$16:$A$67,0)),0)</f>
        <v/>
      </c>
      <c r="H360" s="444">
        <f>IFERROR(INDEX('OT 04 - Control Assessment'!$J$16:$J$67,MATCH(C360,'OT 04 - Control Assessment'!$A$16:$A$67,0)),0)</f>
        <v/>
      </c>
      <c r="I360" s="444">
        <f>F360*G360*H360</f>
        <v/>
      </c>
      <c r="J360" s="406" t="inlineStr">
        <is>
          <t>Direct ATT&amp;CK mitigation relationship</t>
        </is>
      </c>
      <c r="K360" s="426" t="inlineStr">
        <is>
          <t>https://attack.mitre.org/techniques/T0858</t>
        </is>
      </c>
      <c r="L360" s="426" t="inlineStr">
        <is>
          <t>https://attack.mitre.org/mitigations/M0813</t>
        </is>
      </c>
      <c r="M360" s="406" t="inlineStr">
        <is>
          <t>Current Power Generation working prior (80%) because ATT&amp;CK establishes mitigation applicability but does not quantify efficacy. Replace with test / incident / SME calibration when available.</t>
        </is>
      </c>
    </row>
    <row r="361" ht="41.25" customHeight="1" s="508">
      <c r="A361" s="406" t="inlineStr">
        <is>
          <t>T1692.001</t>
        </is>
      </c>
      <c r="B361" s="406" t="inlineStr">
        <is>
          <t>Command Message</t>
        </is>
      </c>
      <c r="C361" s="406" t="inlineStr">
        <is>
          <t>M0813</t>
        </is>
      </c>
      <c r="D361" s="406" t="inlineStr">
        <is>
          <t>Software Process and Device Authentication</t>
        </is>
      </c>
      <c r="E361" s="406" t="inlineStr">
        <is>
          <t>Prevent / Resist</t>
        </is>
      </c>
      <c r="F361" s="417" t="n">
        <v>0.8</v>
      </c>
      <c r="G361" s="444">
        <f>IFERROR(INDEX('OT 04 - Control Assessment'!$I$16:$I$67,MATCH(C361,'OT 04 - Control Assessment'!$A$16:$A$67,0)),0)</f>
        <v/>
      </c>
      <c r="H361" s="444">
        <f>IFERROR(INDEX('OT 04 - Control Assessment'!$J$16:$J$67,MATCH(C361,'OT 04 - Control Assessment'!$A$16:$A$67,0)),0)</f>
        <v/>
      </c>
      <c r="I361" s="444">
        <f>F361*G361*H361</f>
        <v/>
      </c>
      <c r="J361" s="406" t="inlineStr">
        <is>
          <t>Direct ATT&amp;CK mitigation relationship</t>
        </is>
      </c>
      <c r="K361" s="426" t="inlineStr">
        <is>
          <t>https://attack.mitre.org/techniques/T1692/001</t>
        </is>
      </c>
      <c r="L361" s="426" t="inlineStr">
        <is>
          <t>https://attack.mitre.org/mitigations/M0813</t>
        </is>
      </c>
      <c r="M361" s="406" t="inlineStr">
        <is>
          <t>Current Power Generation working prior (80%) because ATT&amp;CK establishes mitigation applicability but does not quantify efficacy. Replace with test / incident / SME calibration when available.</t>
        </is>
      </c>
    </row>
    <row r="362" ht="41.25" customHeight="1" s="508">
      <c r="A362" s="406" t="inlineStr">
        <is>
          <t>T0868</t>
        </is>
      </c>
      <c r="B362" s="406" t="inlineStr">
        <is>
          <t>Detect Operating Mode</t>
        </is>
      </c>
      <c r="C362" s="406" t="inlineStr">
        <is>
          <t>M0813</t>
        </is>
      </c>
      <c r="D362" s="406" t="inlineStr">
        <is>
          <t>Software Process and Device Authentication</t>
        </is>
      </c>
      <c r="E362" s="406" t="inlineStr">
        <is>
          <t>Prevent / Resist</t>
        </is>
      </c>
      <c r="F362" s="417" t="n">
        <v>0.8</v>
      </c>
      <c r="G362" s="444">
        <f>IFERROR(INDEX('OT 04 - Control Assessment'!$I$16:$I$67,MATCH(C362,'OT 04 - Control Assessment'!$A$16:$A$67,0)),0)</f>
        <v/>
      </c>
      <c r="H362" s="444">
        <f>IFERROR(INDEX('OT 04 - Control Assessment'!$J$16:$J$67,MATCH(C362,'OT 04 - Control Assessment'!$A$16:$A$67,0)),0)</f>
        <v/>
      </c>
      <c r="I362" s="444">
        <f>F362*G362*H362</f>
        <v/>
      </c>
      <c r="J362" s="406" t="inlineStr">
        <is>
          <t>Direct ATT&amp;CK mitigation relationship</t>
        </is>
      </c>
      <c r="K362" s="426" t="inlineStr">
        <is>
          <t>https://attack.mitre.org/techniques/T0868</t>
        </is>
      </c>
      <c r="L362" s="426" t="inlineStr">
        <is>
          <t>https://attack.mitre.org/mitigations/M0813</t>
        </is>
      </c>
      <c r="M362" s="406" t="inlineStr">
        <is>
          <t>Current Power Generation working prior (80%) because ATT&amp;CK establishes mitigation applicability but does not quantify efficacy. Replace with test / incident / SME calibration when available.</t>
        </is>
      </c>
    </row>
    <row r="363" ht="41.25" customHeight="1" s="508">
      <c r="A363" s="406" t="inlineStr">
        <is>
          <t>T0816</t>
        </is>
      </c>
      <c r="B363" s="406" t="inlineStr">
        <is>
          <t>Device Restart/Shutdown</t>
        </is>
      </c>
      <c r="C363" s="406" t="inlineStr">
        <is>
          <t>M0813</t>
        </is>
      </c>
      <c r="D363" s="406" t="inlineStr">
        <is>
          <t>Software Process and Device Authentication</t>
        </is>
      </c>
      <c r="E363" s="406" t="inlineStr">
        <is>
          <t>Prevent / Resist</t>
        </is>
      </c>
      <c r="F363" s="417" t="n">
        <v>0.8</v>
      </c>
      <c r="G363" s="444">
        <f>IFERROR(INDEX('OT 04 - Control Assessment'!$I$16:$I$67,MATCH(C363,'OT 04 - Control Assessment'!$A$16:$A$67,0)),0)</f>
        <v/>
      </c>
      <c r="H363" s="444">
        <f>IFERROR(INDEX('OT 04 - Control Assessment'!$J$16:$J$67,MATCH(C363,'OT 04 - Control Assessment'!$A$16:$A$67,0)),0)</f>
        <v/>
      </c>
      <c r="I363" s="444">
        <f>F363*G363*H363</f>
        <v/>
      </c>
      <c r="J363" s="406" t="inlineStr">
        <is>
          <t>Direct ATT&amp;CK mitigation relationship</t>
        </is>
      </c>
      <c r="K363" s="426" t="inlineStr">
        <is>
          <t>https://attack.mitre.org/techniques/T0816</t>
        </is>
      </c>
      <c r="L363" s="426" t="inlineStr">
        <is>
          <t>https://attack.mitre.org/mitigations/M0813</t>
        </is>
      </c>
      <c r="M363" s="406" t="inlineStr">
        <is>
          <t>Current Power Generation working prior (80%) because ATT&amp;CK establishes mitigation applicability but does not quantify efficacy. Replace with test / incident / SME calibration when available.</t>
        </is>
      </c>
    </row>
    <row r="364" ht="41.25" customHeight="1" s="508">
      <c r="A364" s="406" t="inlineStr">
        <is>
          <t>T0843.001</t>
        </is>
      </c>
      <c r="B364" s="406" t="inlineStr">
        <is>
          <t>Download All</t>
        </is>
      </c>
      <c r="C364" s="406" t="inlineStr">
        <is>
          <t>M0813</t>
        </is>
      </c>
      <c r="D364" s="406" t="inlineStr">
        <is>
          <t>Software Process and Device Authentication</t>
        </is>
      </c>
      <c r="E364" s="406" t="inlineStr">
        <is>
          <t>Prevent / Resist</t>
        </is>
      </c>
      <c r="F364" s="417" t="n">
        <v>0.8</v>
      </c>
      <c r="G364" s="444">
        <f>IFERROR(INDEX('OT 04 - Control Assessment'!$I$16:$I$67,MATCH(C364,'OT 04 - Control Assessment'!$A$16:$A$67,0)),0)</f>
        <v/>
      </c>
      <c r="H364" s="444">
        <f>IFERROR(INDEX('OT 04 - Control Assessment'!$J$16:$J$67,MATCH(C364,'OT 04 - Control Assessment'!$A$16:$A$67,0)),0)</f>
        <v/>
      </c>
      <c r="I364" s="444">
        <f>F364*G364*H364</f>
        <v/>
      </c>
      <c r="J364" s="406" t="inlineStr">
        <is>
          <t>Direct ATT&amp;CK mitigation relationship</t>
        </is>
      </c>
      <c r="K364" s="426" t="inlineStr">
        <is>
          <t>https://attack.mitre.org/techniques/T0843/001</t>
        </is>
      </c>
      <c r="L364" s="426" t="inlineStr">
        <is>
          <t>https://attack.mitre.org/mitigations/M0813</t>
        </is>
      </c>
      <c r="M364" s="406" t="inlineStr">
        <is>
          <t>Current Power Generation working prior (80%) because ATT&amp;CK establishes mitigation applicability but does not quantify efficacy. Replace with test / incident / SME calibration when available.</t>
        </is>
      </c>
    </row>
    <row r="365" ht="41.25" customHeight="1" s="508">
      <c r="A365" s="406" t="inlineStr">
        <is>
          <t>T0838</t>
        </is>
      </c>
      <c r="B365" s="406" t="inlineStr">
        <is>
          <t>Modify Alarm Settings</t>
        </is>
      </c>
      <c r="C365" s="406" t="inlineStr">
        <is>
          <t>M0813</t>
        </is>
      </c>
      <c r="D365" s="406" t="inlineStr">
        <is>
          <t>Software Process and Device Authentication</t>
        </is>
      </c>
      <c r="E365" s="406" t="inlineStr">
        <is>
          <t>Prevent / Resist</t>
        </is>
      </c>
      <c r="F365" s="417" t="n">
        <v>0.8</v>
      </c>
      <c r="G365" s="444">
        <f>IFERROR(INDEX('OT 04 - Control Assessment'!$I$16:$I$67,MATCH(C365,'OT 04 - Control Assessment'!$A$16:$A$67,0)),0)</f>
        <v/>
      </c>
      <c r="H365" s="444">
        <f>IFERROR(INDEX('OT 04 - Control Assessment'!$J$16:$J$67,MATCH(C365,'OT 04 - Control Assessment'!$A$16:$A$67,0)),0)</f>
        <v/>
      </c>
      <c r="I365" s="444">
        <f>F365*G365*H365</f>
        <v/>
      </c>
      <c r="J365" s="406" t="inlineStr">
        <is>
          <t>Direct ATT&amp;CK mitigation relationship</t>
        </is>
      </c>
      <c r="K365" s="426" t="inlineStr">
        <is>
          <t>https://attack.mitre.org/techniques/T0838</t>
        </is>
      </c>
      <c r="L365" s="426" t="inlineStr">
        <is>
          <t>https://attack.mitre.org/mitigations/M0813</t>
        </is>
      </c>
      <c r="M365" s="406" t="inlineStr">
        <is>
          <t>Current Power Generation working prior (80%) because ATT&amp;CK establishes mitigation applicability but does not quantify efficacy. Replace with test / incident / SME calibration when available.</t>
        </is>
      </c>
    </row>
    <row r="366" ht="41.25" customHeight="1" s="508">
      <c r="A366" s="406" t="inlineStr">
        <is>
          <t>T1693</t>
        </is>
      </c>
      <c r="B366" s="406" t="inlineStr">
        <is>
          <t>Modify Firmware</t>
        </is>
      </c>
      <c r="C366" s="406" t="inlineStr">
        <is>
          <t>M0813</t>
        </is>
      </c>
      <c r="D366" s="406" t="inlineStr">
        <is>
          <t>Software Process and Device Authentication</t>
        </is>
      </c>
      <c r="E366" s="406" t="inlineStr">
        <is>
          <t>Prevent / Resist</t>
        </is>
      </c>
      <c r="F366" s="417" t="n">
        <v>0.8</v>
      </c>
      <c r="G366" s="444">
        <f>IFERROR(INDEX('OT 04 - Control Assessment'!$I$16:$I$67,MATCH(C366,'OT 04 - Control Assessment'!$A$16:$A$67,0)),0)</f>
        <v/>
      </c>
      <c r="H366" s="444">
        <f>IFERROR(INDEX('OT 04 - Control Assessment'!$J$16:$J$67,MATCH(C366,'OT 04 - Control Assessment'!$A$16:$A$67,0)),0)</f>
        <v/>
      </c>
      <c r="I366" s="444">
        <f>F366*G366*H366</f>
        <v/>
      </c>
      <c r="J366" s="406" t="inlineStr">
        <is>
          <t>Direct ATT&amp;CK mitigation relationship</t>
        </is>
      </c>
      <c r="K366" s="426" t="inlineStr">
        <is>
          <t>https://attack.mitre.org/techniques/T1693</t>
        </is>
      </c>
      <c r="L366" s="426" t="inlineStr">
        <is>
          <t>https://attack.mitre.org/mitigations/M0813</t>
        </is>
      </c>
      <c r="M366" s="406" t="inlineStr">
        <is>
          <t>Current Power Generation working prior (80%) because ATT&amp;CK establishes mitigation applicability but does not quantify efficacy. Replace with test / incident / SME calibration when available.</t>
        </is>
      </c>
    </row>
    <row r="367" ht="41.25" customHeight="1" s="508">
      <c r="A367" s="406" t="inlineStr">
        <is>
          <t>T1693.002</t>
        </is>
      </c>
      <c r="B367" s="406" t="inlineStr">
        <is>
          <t>Module Firmware</t>
        </is>
      </c>
      <c r="C367" s="406" t="inlineStr">
        <is>
          <t>M0813</t>
        </is>
      </c>
      <c r="D367" s="406" t="inlineStr">
        <is>
          <t>Software Process and Device Authentication</t>
        </is>
      </c>
      <c r="E367" s="406" t="inlineStr">
        <is>
          <t>Prevent / Resist</t>
        </is>
      </c>
      <c r="F367" s="417" t="n">
        <v>0.8</v>
      </c>
      <c r="G367" s="444">
        <f>IFERROR(INDEX('OT 04 - Control Assessment'!$I$16:$I$67,MATCH(C367,'OT 04 - Control Assessment'!$A$16:$A$67,0)),0)</f>
        <v/>
      </c>
      <c r="H367" s="444">
        <f>IFERROR(INDEX('OT 04 - Control Assessment'!$J$16:$J$67,MATCH(C367,'OT 04 - Control Assessment'!$A$16:$A$67,0)),0)</f>
        <v/>
      </c>
      <c r="I367" s="444">
        <f>F367*G367*H367</f>
        <v/>
      </c>
      <c r="J367" s="406" t="inlineStr">
        <is>
          <t>Direct ATT&amp;CK mitigation relationship</t>
        </is>
      </c>
      <c r="K367" s="426" t="inlineStr">
        <is>
          <t>https://attack.mitre.org/techniques/T1693/002</t>
        </is>
      </c>
      <c r="L367" s="426" t="inlineStr">
        <is>
          <t>https://attack.mitre.org/mitigations/M0813</t>
        </is>
      </c>
      <c r="M367" s="406" t="inlineStr">
        <is>
          <t>Current Power Generation working prior (80%) because ATT&amp;CK establishes mitigation applicability but does not quantify efficacy. Replace with test / incident / SME calibration when available.</t>
        </is>
      </c>
    </row>
    <row r="368" ht="41.25" customHeight="1" s="508">
      <c r="A368" s="406" t="inlineStr">
        <is>
          <t>T0843.002</t>
        </is>
      </c>
      <c r="B368" s="406" t="inlineStr">
        <is>
          <t>Online Edit</t>
        </is>
      </c>
      <c r="C368" s="406" t="inlineStr">
        <is>
          <t>M0813</t>
        </is>
      </c>
      <c r="D368" s="406" t="inlineStr">
        <is>
          <t>Software Process and Device Authentication</t>
        </is>
      </c>
      <c r="E368" s="406" t="inlineStr">
        <is>
          <t>Prevent / Resist</t>
        </is>
      </c>
      <c r="F368" s="417" t="n">
        <v>0.8</v>
      </c>
      <c r="G368" s="444">
        <f>IFERROR(INDEX('OT 04 - Control Assessment'!$I$16:$I$67,MATCH(C368,'OT 04 - Control Assessment'!$A$16:$A$67,0)),0)</f>
        <v/>
      </c>
      <c r="H368" s="444">
        <f>IFERROR(INDEX('OT 04 - Control Assessment'!$J$16:$J$67,MATCH(C368,'OT 04 - Control Assessment'!$A$16:$A$67,0)),0)</f>
        <v/>
      </c>
      <c r="I368" s="444">
        <f>F368*G368*H368</f>
        <v/>
      </c>
      <c r="J368" s="406" t="inlineStr">
        <is>
          <t>Direct ATT&amp;CK mitigation relationship</t>
        </is>
      </c>
      <c r="K368" s="426" t="inlineStr">
        <is>
          <t>https://attack.mitre.org/techniques/T0843/002</t>
        </is>
      </c>
      <c r="L368" s="426" t="inlineStr">
        <is>
          <t>https://attack.mitre.org/mitigations/M0813</t>
        </is>
      </c>
      <c r="M368" s="406" t="inlineStr">
        <is>
          <t>Current Power Generation working prior (80%) because ATT&amp;CK establishes mitigation applicability but does not quantify efficacy. Replace with test / incident / SME calibration when available.</t>
        </is>
      </c>
    </row>
    <row r="369" ht="41.25" customHeight="1" s="508">
      <c r="A369" s="406" t="inlineStr">
        <is>
          <t>T0861</t>
        </is>
      </c>
      <c r="B369" s="406" t="inlineStr">
        <is>
          <t>Point &amp; Tag Identification</t>
        </is>
      </c>
      <c r="C369" s="406" t="inlineStr">
        <is>
          <t>M0813</t>
        </is>
      </c>
      <c r="D369" s="406" t="inlineStr">
        <is>
          <t>Software Process and Device Authentication</t>
        </is>
      </c>
      <c r="E369" s="406" t="inlineStr">
        <is>
          <t>Prevent / Resist</t>
        </is>
      </c>
      <c r="F369" s="417" t="n">
        <v>0.8</v>
      </c>
      <c r="G369" s="444">
        <f>IFERROR(INDEX('OT 04 - Control Assessment'!$I$16:$I$67,MATCH(C369,'OT 04 - Control Assessment'!$A$16:$A$67,0)),0)</f>
        <v/>
      </c>
      <c r="H369" s="444">
        <f>IFERROR(INDEX('OT 04 - Control Assessment'!$J$16:$J$67,MATCH(C369,'OT 04 - Control Assessment'!$A$16:$A$67,0)),0)</f>
        <v/>
      </c>
      <c r="I369" s="444">
        <f>F369*G369*H369</f>
        <v/>
      </c>
      <c r="J369" s="406" t="inlineStr">
        <is>
          <t>Direct ATT&amp;CK mitigation relationship</t>
        </is>
      </c>
      <c r="K369" s="426" t="inlineStr">
        <is>
          <t>https://attack.mitre.org/techniques/T0861</t>
        </is>
      </c>
      <c r="L369" s="426" t="inlineStr">
        <is>
          <t>https://attack.mitre.org/mitigations/M0813</t>
        </is>
      </c>
      <c r="M369" s="406" t="inlineStr">
        <is>
          <t>Current Power Generation working prior (80%) because ATT&amp;CK establishes mitigation applicability but does not quantify efficacy. Replace with test / incident / SME calibration when available.</t>
        </is>
      </c>
    </row>
    <row r="370" ht="41.25" customHeight="1" s="508">
      <c r="A370" s="406" t="inlineStr">
        <is>
          <t>T0843.003</t>
        </is>
      </c>
      <c r="B370" s="406" t="inlineStr">
        <is>
          <t>Program Append</t>
        </is>
      </c>
      <c r="C370" s="406" t="inlineStr">
        <is>
          <t>M0813</t>
        </is>
      </c>
      <c r="D370" s="406" t="inlineStr">
        <is>
          <t>Software Process and Device Authentication</t>
        </is>
      </c>
      <c r="E370" s="406" t="inlineStr">
        <is>
          <t>Prevent / Resist</t>
        </is>
      </c>
      <c r="F370" s="417" t="n">
        <v>0.8</v>
      </c>
      <c r="G370" s="444">
        <f>IFERROR(INDEX('OT 04 - Control Assessment'!$I$16:$I$67,MATCH(C370,'OT 04 - Control Assessment'!$A$16:$A$67,0)),0)</f>
        <v/>
      </c>
      <c r="H370" s="444">
        <f>IFERROR(INDEX('OT 04 - Control Assessment'!$J$16:$J$67,MATCH(C370,'OT 04 - Control Assessment'!$A$16:$A$67,0)),0)</f>
        <v/>
      </c>
      <c r="I370" s="444">
        <f>F370*G370*H370</f>
        <v/>
      </c>
      <c r="J370" s="406" t="inlineStr">
        <is>
          <t>Direct ATT&amp;CK mitigation relationship</t>
        </is>
      </c>
      <c r="K370" s="426" t="inlineStr">
        <is>
          <t>https://attack.mitre.org/techniques/T0843/003</t>
        </is>
      </c>
      <c r="L370" s="426" t="inlineStr">
        <is>
          <t>https://attack.mitre.org/mitigations/M0813</t>
        </is>
      </c>
      <c r="M370" s="406" t="inlineStr">
        <is>
          <t>Current Power Generation working prior (80%) because ATT&amp;CK establishes mitigation applicability but does not quantify efficacy. Replace with test / incident / SME calibration when available.</t>
        </is>
      </c>
    </row>
    <row r="371" ht="41.25" customHeight="1" s="508">
      <c r="A371" s="406" t="inlineStr">
        <is>
          <t>T0843</t>
        </is>
      </c>
      <c r="B371" s="406" t="inlineStr">
        <is>
          <t>Program Download</t>
        </is>
      </c>
      <c r="C371" s="406" t="inlineStr">
        <is>
          <t>M0813</t>
        </is>
      </c>
      <c r="D371" s="406" t="inlineStr">
        <is>
          <t>Software Process and Device Authentication</t>
        </is>
      </c>
      <c r="E371" s="406" t="inlineStr">
        <is>
          <t>Prevent / Resist</t>
        </is>
      </c>
      <c r="F371" s="417" t="n">
        <v>0.8</v>
      </c>
      <c r="G371" s="444">
        <f>IFERROR(INDEX('OT 04 - Control Assessment'!$I$16:$I$67,MATCH(C371,'OT 04 - Control Assessment'!$A$16:$A$67,0)),0)</f>
        <v/>
      </c>
      <c r="H371" s="444">
        <f>IFERROR(INDEX('OT 04 - Control Assessment'!$J$16:$J$67,MATCH(C371,'OT 04 - Control Assessment'!$A$16:$A$67,0)),0)</f>
        <v/>
      </c>
      <c r="I371" s="444">
        <f>F371*G371*H371</f>
        <v/>
      </c>
      <c r="J371" s="406" t="inlineStr">
        <is>
          <t>Direct ATT&amp;CK mitigation relationship</t>
        </is>
      </c>
      <c r="K371" s="426" t="inlineStr">
        <is>
          <t>https://attack.mitre.org/techniques/T0843</t>
        </is>
      </c>
      <c r="L371" s="426" t="inlineStr">
        <is>
          <t>https://attack.mitre.org/mitigations/M0813</t>
        </is>
      </c>
      <c r="M371" s="406" t="inlineStr">
        <is>
          <t>Current Power Generation working prior (80%) because ATT&amp;CK establishes mitigation applicability but does not quantify efficacy. Replace with test / incident / SME calibration when available.</t>
        </is>
      </c>
    </row>
    <row r="372" ht="41.25" customHeight="1" s="508">
      <c r="A372" s="406" t="inlineStr">
        <is>
          <t>T0845</t>
        </is>
      </c>
      <c r="B372" s="406" t="inlineStr">
        <is>
          <t>Program Upload</t>
        </is>
      </c>
      <c r="C372" s="406" t="inlineStr">
        <is>
          <t>M0813</t>
        </is>
      </c>
      <c r="D372" s="406" t="inlineStr">
        <is>
          <t>Software Process and Device Authentication</t>
        </is>
      </c>
      <c r="E372" s="406" t="inlineStr">
        <is>
          <t>Prevent / Resist</t>
        </is>
      </c>
      <c r="F372" s="417" t="n">
        <v>0.8</v>
      </c>
      <c r="G372" s="444">
        <f>IFERROR(INDEX('OT 04 - Control Assessment'!$I$16:$I$67,MATCH(C372,'OT 04 - Control Assessment'!$A$16:$A$67,0)),0)</f>
        <v/>
      </c>
      <c r="H372" s="444">
        <f>IFERROR(INDEX('OT 04 - Control Assessment'!$J$16:$J$67,MATCH(C372,'OT 04 - Control Assessment'!$A$16:$A$67,0)),0)</f>
        <v/>
      </c>
      <c r="I372" s="444">
        <f>F372*G372*H372</f>
        <v/>
      </c>
      <c r="J372" s="406" t="inlineStr">
        <is>
          <t>Direct ATT&amp;CK mitigation relationship</t>
        </is>
      </c>
      <c r="K372" s="426" t="inlineStr">
        <is>
          <t>https://attack.mitre.org/techniques/T0845</t>
        </is>
      </c>
      <c r="L372" s="426" t="inlineStr">
        <is>
          <t>https://attack.mitre.org/mitigations/M0813</t>
        </is>
      </c>
      <c r="M372" s="406" t="inlineStr">
        <is>
          <t>Current Power Generation working prior (80%) because ATT&amp;CK establishes mitigation applicability but does not quantify efficacy. Replace with test / incident / SME calibration when available.</t>
        </is>
      </c>
    </row>
    <row r="373" ht="41.25" customHeight="1" s="508">
      <c r="A373" s="406" t="inlineStr">
        <is>
          <t>T0886</t>
        </is>
      </c>
      <c r="B373" s="406" t="inlineStr">
        <is>
          <t>Remote Services</t>
        </is>
      </c>
      <c r="C373" s="406" t="inlineStr">
        <is>
          <t>M0813</t>
        </is>
      </c>
      <c r="D373" s="406" t="inlineStr">
        <is>
          <t>Software Process and Device Authentication</t>
        </is>
      </c>
      <c r="E373" s="406" t="inlineStr">
        <is>
          <t>Prevent / Resist</t>
        </is>
      </c>
      <c r="F373" s="417" t="n">
        <v>0.8</v>
      </c>
      <c r="G373" s="444">
        <f>IFERROR(INDEX('OT 04 - Control Assessment'!$I$16:$I$67,MATCH(C373,'OT 04 - Control Assessment'!$A$16:$A$67,0)),0)</f>
        <v/>
      </c>
      <c r="H373" s="444">
        <f>IFERROR(INDEX('OT 04 - Control Assessment'!$J$16:$J$67,MATCH(C373,'OT 04 - Control Assessment'!$A$16:$A$67,0)),0)</f>
        <v/>
      </c>
      <c r="I373" s="444">
        <f>F373*G373*H373</f>
        <v/>
      </c>
      <c r="J373" s="406" t="inlineStr">
        <is>
          <t>Direct ATT&amp;CK mitigation relationship</t>
        </is>
      </c>
      <c r="K373" s="426" t="inlineStr">
        <is>
          <t>https://attack.mitre.org/techniques/T0886</t>
        </is>
      </c>
      <c r="L373" s="426" t="inlineStr">
        <is>
          <t>https://attack.mitre.org/mitigations/M0813</t>
        </is>
      </c>
      <c r="M373" s="406" t="inlineStr">
        <is>
          <t>Current Power Generation working prior (80%) because ATT&amp;CK establishes mitigation applicability but does not quantify efficacy. Replace with test / incident / SME calibration when available.</t>
        </is>
      </c>
    </row>
    <row r="374" ht="41.25" customHeight="1" s="508">
      <c r="A374" s="406" t="inlineStr">
        <is>
          <t>T1692.002</t>
        </is>
      </c>
      <c r="B374" s="406" t="inlineStr">
        <is>
          <t>Reporting Message</t>
        </is>
      </c>
      <c r="C374" s="406" t="inlineStr">
        <is>
          <t>M0813</t>
        </is>
      </c>
      <c r="D374" s="406" t="inlineStr">
        <is>
          <t>Software Process and Device Authentication</t>
        </is>
      </c>
      <c r="E374" s="406" t="inlineStr">
        <is>
          <t>Prevent / Resist</t>
        </is>
      </c>
      <c r="F374" s="417" t="n">
        <v>0.8</v>
      </c>
      <c r="G374" s="444">
        <f>IFERROR(INDEX('OT 04 - Control Assessment'!$I$16:$I$67,MATCH(C374,'OT 04 - Control Assessment'!$A$16:$A$67,0)),0)</f>
        <v/>
      </c>
      <c r="H374" s="444">
        <f>IFERROR(INDEX('OT 04 - Control Assessment'!$J$16:$J$67,MATCH(C374,'OT 04 - Control Assessment'!$A$16:$A$67,0)),0)</f>
        <v/>
      </c>
      <c r="I374" s="444">
        <f>F374*G374*H374</f>
        <v/>
      </c>
      <c r="J374" s="406" t="inlineStr">
        <is>
          <t>Direct ATT&amp;CK mitigation relationship</t>
        </is>
      </c>
      <c r="K374" s="426" t="inlineStr">
        <is>
          <t>https://attack.mitre.org/techniques/T1692/002</t>
        </is>
      </c>
      <c r="L374" s="426" t="inlineStr">
        <is>
          <t>https://attack.mitre.org/mitigations/M0813</t>
        </is>
      </c>
      <c r="M374" s="406" t="inlineStr">
        <is>
          <t>Current Power Generation working prior (80%) because ATT&amp;CK establishes mitigation applicability but does not quantify efficacy. Replace with test / incident / SME calibration when available.</t>
        </is>
      </c>
    </row>
    <row r="375" ht="41.25" customHeight="1" s="508">
      <c r="A375" s="406" t="inlineStr">
        <is>
          <t>T0848</t>
        </is>
      </c>
      <c r="B375" s="406" t="inlineStr">
        <is>
          <t>Rogue Master</t>
        </is>
      </c>
      <c r="C375" s="406" t="inlineStr">
        <is>
          <t>M0813</t>
        </is>
      </c>
      <c r="D375" s="406" t="inlineStr">
        <is>
          <t>Software Process and Device Authentication</t>
        </is>
      </c>
      <c r="E375" s="406" t="inlineStr">
        <is>
          <t>Prevent / Resist</t>
        </is>
      </c>
      <c r="F375" s="417" t="n">
        <v>0.8</v>
      </c>
      <c r="G375" s="444">
        <f>IFERROR(INDEX('OT 04 - Control Assessment'!$I$16:$I$67,MATCH(C375,'OT 04 - Control Assessment'!$A$16:$A$67,0)),0)</f>
        <v/>
      </c>
      <c r="H375" s="444">
        <f>IFERROR(INDEX('OT 04 - Control Assessment'!$J$16:$J$67,MATCH(C375,'OT 04 - Control Assessment'!$A$16:$A$67,0)),0)</f>
        <v/>
      </c>
      <c r="I375" s="444">
        <f>F375*G375*H375</f>
        <v/>
      </c>
      <c r="J375" s="406" t="inlineStr">
        <is>
          <t>Direct ATT&amp;CK mitigation relationship</t>
        </is>
      </c>
      <c r="K375" s="426" t="inlineStr">
        <is>
          <t>https://attack.mitre.org/techniques/T0848</t>
        </is>
      </c>
      <c r="L375" s="426" t="inlineStr">
        <is>
          <t>https://attack.mitre.org/mitigations/M0813</t>
        </is>
      </c>
      <c r="M375" s="406" t="inlineStr">
        <is>
          <t>Current Power Generation working prior (80%) because ATT&amp;CK establishes mitigation applicability but does not quantify efficacy. Replace with test / incident / SME calibration when available.</t>
        </is>
      </c>
    </row>
    <row r="376" ht="41.25" customHeight="1" s="508">
      <c r="A376" s="406" t="inlineStr">
        <is>
          <t>T1693.001</t>
        </is>
      </c>
      <c r="B376" s="406" t="inlineStr">
        <is>
          <t>System Firmware</t>
        </is>
      </c>
      <c r="C376" s="406" t="inlineStr">
        <is>
          <t>M0813</t>
        </is>
      </c>
      <c r="D376" s="406" t="inlineStr">
        <is>
          <t>Software Process and Device Authentication</t>
        </is>
      </c>
      <c r="E376" s="406" t="inlineStr">
        <is>
          <t>Prevent / Resist</t>
        </is>
      </c>
      <c r="F376" s="417" t="n">
        <v>0.8</v>
      </c>
      <c r="G376" s="444">
        <f>IFERROR(INDEX('OT 04 - Control Assessment'!$I$16:$I$67,MATCH(C376,'OT 04 - Control Assessment'!$A$16:$A$67,0)),0)</f>
        <v/>
      </c>
      <c r="H376" s="444">
        <f>IFERROR(INDEX('OT 04 - Control Assessment'!$J$16:$J$67,MATCH(C376,'OT 04 - Control Assessment'!$A$16:$A$67,0)),0)</f>
        <v/>
      </c>
      <c r="I376" s="444">
        <f>F376*G376*H376</f>
        <v/>
      </c>
      <c r="J376" s="406" t="inlineStr">
        <is>
          <t>Direct ATT&amp;CK mitigation relationship</t>
        </is>
      </c>
      <c r="K376" s="426" t="inlineStr">
        <is>
          <t>https://attack.mitre.org/techniques/T1693/001</t>
        </is>
      </c>
      <c r="L376" s="426" t="inlineStr">
        <is>
          <t>https://attack.mitre.org/mitigations/M0813</t>
        </is>
      </c>
      <c r="M376" s="406" t="inlineStr">
        <is>
          <t>Current Power Generation working prior (80%) because ATT&amp;CK establishes mitigation applicability but does not quantify efficacy. Replace with test / incident / SME calibration when available.</t>
        </is>
      </c>
    </row>
    <row r="377" ht="41.25" customHeight="1" s="508">
      <c r="A377" s="406" t="inlineStr">
        <is>
          <t>T1692</t>
        </is>
      </c>
      <c r="B377" s="406" t="inlineStr">
        <is>
          <t>Unauthorized Message</t>
        </is>
      </c>
      <c r="C377" s="406" t="inlineStr">
        <is>
          <t>M0813</t>
        </is>
      </c>
      <c r="D377" s="406" t="inlineStr">
        <is>
          <t>Software Process and Device Authentication</t>
        </is>
      </c>
      <c r="E377" s="406" t="inlineStr">
        <is>
          <t>Prevent / Resist</t>
        </is>
      </c>
      <c r="F377" s="417" t="n">
        <v>0.8</v>
      </c>
      <c r="G377" s="444">
        <f>IFERROR(INDEX('OT 04 - Control Assessment'!$I$16:$I$67,MATCH(C377,'OT 04 - Control Assessment'!$A$16:$A$67,0)),0)</f>
        <v/>
      </c>
      <c r="H377" s="444">
        <f>IFERROR(INDEX('OT 04 - Control Assessment'!$J$16:$J$67,MATCH(C377,'OT 04 - Control Assessment'!$A$16:$A$67,0)),0)</f>
        <v/>
      </c>
      <c r="I377" s="444">
        <f>F377*G377*H377</f>
        <v/>
      </c>
      <c r="J377" s="406" t="inlineStr">
        <is>
          <t>Direct ATT&amp;CK mitigation relationship</t>
        </is>
      </c>
      <c r="K377" s="426" t="inlineStr">
        <is>
          <t>https://attack.mitre.org/techniques/T1692</t>
        </is>
      </c>
      <c r="L377" s="426" t="inlineStr">
        <is>
          <t>https://attack.mitre.org/mitigations/M0813</t>
        </is>
      </c>
      <c r="M377" s="406" t="inlineStr">
        <is>
          <t>Current Power Generation working prior (80%) because ATT&amp;CK establishes mitigation applicability but does not quantify efficacy. Replace with test / incident / SME calibration when available.</t>
        </is>
      </c>
    </row>
    <row r="378" ht="41.25" customHeight="1" s="508">
      <c r="A378" s="406" t="inlineStr">
        <is>
          <t>T0860</t>
        </is>
      </c>
      <c r="B378" s="406" t="inlineStr">
        <is>
          <t>Wireless Compromise</t>
        </is>
      </c>
      <c r="C378" s="406" t="inlineStr">
        <is>
          <t>M0813</t>
        </is>
      </c>
      <c r="D378" s="406" t="inlineStr">
        <is>
          <t>Software Process and Device Authentication</t>
        </is>
      </c>
      <c r="E378" s="406" t="inlineStr">
        <is>
          <t>Prevent / Resist</t>
        </is>
      </c>
      <c r="F378" s="417" t="n">
        <v>0.8</v>
      </c>
      <c r="G378" s="444">
        <f>IFERROR(INDEX('OT 04 - Control Assessment'!$I$16:$I$67,MATCH(C378,'OT 04 - Control Assessment'!$A$16:$A$67,0)),0)</f>
        <v/>
      </c>
      <c r="H378" s="444">
        <f>IFERROR(INDEX('OT 04 - Control Assessment'!$J$16:$J$67,MATCH(C378,'OT 04 - Control Assessment'!$A$16:$A$67,0)),0)</f>
        <v/>
      </c>
      <c r="I378" s="444">
        <f>F378*G378*H378</f>
        <v/>
      </c>
      <c r="J378" s="406" t="inlineStr">
        <is>
          <t>Direct ATT&amp;CK mitigation relationship</t>
        </is>
      </c>
      <c r="K378" s="426" t="inlineStr">
        <is>
          <t>https://attack.mitre.org/techniques/T0860</t>
        </is>
      </c>
      <c r="L378" s="426" t="inlineStr">
        <is>
          <t>https://attack.mitre.org/mitigations/M0813</t>
        </is>
      </c>
      <c r="M378" s="406" t="inlineStr">
        <is>
          <t>Current Power Generation working prior (80%) because ATT&amp;CK establishes mitigation applicability but does not quantify efficacy. Replace with test / incident / SME calibration when available.</t>
        </is>
      </c>
    </row>
    <row r="379" ht="41.25" customHeight="1" s="508">
      <c r="A379" s="406" t="inlineStr">
        <is>
          <t>T0830</t>
        </is>
      </c>
      <c r="B379" s="406" t="inlineStr">
        <is>
          <t>Adversary-in-the-Middle</t>
        </is>
      </c>
      <c r="C379" s="406" t="inlineStr">
        <is>
          <t>M0814</t>
        </is>
      </c>
      <c r="D379" s="406" t="inlineStr">
        <is>
          <t>Static Network Configuration</t>
        </is>
      </c>
      <c r="E379" s="406" t="inlineStr">
        <is>
          <t>Prevent / Resist</t>
        </is>
      </c>
      <c r="F379" s="417" t="n">
        <v>0.8</v>
      </c>
      <c r="G379" s="444">
        <f>IFERROR(INDEX('OT 04 - Control Assessment'!$I$16:$I$67,MATCH(C379,'OT 04 - Control Assessment'!$A$16:$A$67,0)),0)</f>
        <v/>
      </c>
      <c r="H379" s="444">
        <f>IFERROR(INDEX('OT 04 - Control Assessment'!$J$16:$J$67,MATCH(C379,'OT 04 - Control Assessment'!$A$16:$A$67,0)),0)</f>
        <v/>
      </c>
      <c r="I379" s="444">
        <f>F379*G379*H379</f>
        <v/>
      </c>
      <c r="J379" s="406" t="inlineStr">
        <is>
          <t>Direct ATT&amp;CK mitigation relationship</t>
        </is>
      </c>
      <c r="K379" s="426" t="inlineStr">
        <is>
          <t>https://attack.mitre.org/techniques/T0830</t>
        </is>
      </c>
      <c r="L379" s="426" t="inlineStr">
        <is>
          <t>https://attack.mitre.org/mitigations/M0814</t>
        </is>
      </c>
      <c r="M379" s="406" t="inlineStr">
        <is>
          <t>Current Power Generation working prior (80%) because ATT&amp;CK establishes mitigation applicability but does not quantify efficacy. Replace with test / incident / SME calibration when available.</t>
        </is>
      </c>
    </row>
    <row r="380" ht="41.25" customHeight="1" s="508">
      <c r="A380" s="406" t="inlineStr">
        <is>
          <t>T0878</t>
        </is>
      </c>
      <c r="B380" s="406" t="inlineStr">
        <is>
          <t>Alarm Suppression</t>
        </is>
      </c>
      <c r="C380" s="406" t="inlineStr">
        <is>
          <t>M0814</t>
        </is>
      </c>
      <c r="D380" s="406" t="inlineStr">
        <is>
          <t>Static Network Configuration</t>
        </is>
      </c>
      <c r="E380" s="406" t="inlineStr">
        <is>
          <t>Prevent / Resist</t>
        </is>
      </c>
      <c r="F380" s="417" t="n">
        <v>0.8</v>
      </c>
      <c r="G380" s="444">
        <f>IFERROR(INDEX('OT 04 - Control Assessment'!$I$16:$I$67,MATCH(C380,'OT 04 - Control Assessment'!$A$16:$A$67,0)),0)</f>
        <v/>
      </c>
      <c r="H380" s="444">
        <f>IFERROR(INDEX('OT 04 - Control Assessment'!$J$16:$J$67,MATCH(C380,'OT 04 - Control Assessment'!$A$16:$A$67,0)),0)</f>
        <v/>
      </c>
      <c r="I380" s="444">
        <f>F380*G380*H380</f>
        <v/>
      </c>
      <c r="J380" s="406" t="inlineStr">
        <is>
          <t>Direct ATT&amp;CK mitigation relationship</t>
        </is>
      </c>
      <c r="K380" s="426" t="inlineStr">
        <is>
          <t>https://attack.mitre.org/techniques/T0878</t>
        </is>
      </c>
      <c r="L380" s="426" t="inlineStr">
        <is>
          <t>https://attack.mitre.org/mitigations/M0814</t>
        </is>
      </c>
      <c r="M380" s="406" t="inlineStr">
        <is>
          <t>Current Power Generation working prior (80%) because ATT&amp;CK establishes mitigation applicability but does not quantify efficacy. Replace with test / incident / SME calibration when available.</t>
        </is>
      </c>
    </row>
    <row r="381" ht="41.25" customHeight="1" s="508">
      <c r="A381" s="406" t="inlineStr">
        <is>
          <t>T1691</t>
        </is>
      </c>
      <c r="B381" s="406" t="inlineStr">
        <is>
          <t>Block Operational Technology Message</t>
        </is>
      </c>
      <c r="C381" s="406" t="inlineStr">
        <is>
          <t>M0814</t>
        </is>
      </c>
      <c r="D381" s="406" t="inlineStr">
        <is>
          <t>Static Network Configuration</t>
        </is>
      </c>
      <c r="E381" s="406" t="inlineStr">
        <is>
          <t>Prevent / Resist</t>
        </is>
      </c>
      <c r="F381" s="417" t="n">
        <v>0.8</v>
      </c>
      <c r="G381" s="444">
        <f>IFERROR(INDEX('OT 04 - Control Assessment'!$I$16:$I$67,MATCH(C381,'OT 04 - Control Assessment'!$A$16:$A$67,0)),0)</f>
        <v/>
      </c>
      <c r="H381" s="444">
        <f>IFERROR(INDEX('OT 04 - Control Assessment'!$J$16:$J$67,MATCH(C381,'OT 04 - Control Assessment'!$A$16:$A$67,0)),0)</f>
        <v/>
      </c>
      <c r="I381" s="444">
        <f>F381*G381*H381</f>
        <v/>
      </c>
      <c r="J381" s="406" t="inlineStr">
        <is>
          <t>Direct ATT&amp;CK mitigation relationship</t>
        </is>
      </c>
      <c r="K381" s="426" t="inlineStr">
        <is>
          <t>https://attack.mitre.org/techniques/T1691</t>
        </is>
      </c>
      <c r="L381" s="426" t="inlineStr">
        <is>
          <t>https://attack.mitre.org/mitigations/M0814</t>
        </is>
      </c>
      <c r="M381" s="406" t="inlineStr">
        <is>
          <t>Current Power Generation working prior (80%) because ATT&amp;CK establishes mitigation applicability but does not quantify efficacy. Replace with test / incident / SME calibration when available.</t>
        </is>
      </c>
    </row>
    <row r="382" ht="41.25" customHeight="1" s="508">
      <c r="A382" s="406" t="inlineStr">
        <is>
          <t>T0846.002</t>
        </is>
      </c>
      <c r="B382" s="406" t="inlineStr">
        <is>
          <t>Broadcast Discovery</t>
        </is>
      </c>
      <c r="C382" s="406" t="inlineStr">
        <is>
          <t>M0814</t>
        </is>
      </c>
      <c r="D382" s="406" t="inlineStr">
        <is>
          <t>Static Network Configuration</t>
        </is>
      </c>
      <c r="E382" s="406" t="inlineStr">
        <is>
          <t>Prevent / Resist</t>
        </is>
      </c>
      <c r="F382" s="417" t="n">
        <v>0.8</v>
      </c>
      <c r="G382" s="444">
        <f>IFERROR(INDEX('OT 04 - Control Assessment'!$I$16:$I$67,MATCH(C382,'OT 04 - Control Assessment'!$A$16:$A$67,0)),0)</f>
        <v/>
      </c>
      <c r="H382" s="444">
        <f>IFERROR(INDEX('OT 04 - Control Assessment'!$J$16:$J$67,MATCH(C382,'OT 04 - Control Assessment'!$A$16:$A$67,0)),0)</f>
        <v/>
      </c>
      <c r="I382" s="444">
        <f>F382*G382*H382</f>
        <v/>
      </c>
      <c r="J382" s="406" t="inlineStr">
        <is>
          <t>Direct ATT&amp;CK mitigation relationship</t>
        </is>
      </c>
      <c r="K382" s="426" t="inlineStr">
        <is>
          <t>https://attack.mitre.org/techniques/T0846/002</t>
        </is>
      </c>
      <c r="L382" s="426" t="inlineStr">
        <is>
          <t>https://attack.mitre.org/mitigations/M0814</t>
        </is>
      </c>
      <c r="M382" s="406" t="inlineStr">
        <is>
          <t>Current Power Generation working prior (80%) because ATT&amp;CK establishes mitigation applicability but does not quantify efficacy. Replace with test / incident / SME calibration when available.</t>
        </is>
      </c>
    </row>
    <row r="383" ht="41.25" customHeight="1" s="508">
      <c r="A383" s="406" t="inlineStr">
        <is>
          <t>T1691.001</t>
        </is>
      </c>
      <c r="B383" s="406" t="inlineStr">
        <is>
          <t>Command Message</t>
        </is>
      </c>
      <c r="C383" s="406" t="inlineStr">
        <is>
          <t>M0814</t>
        </is>
      </c>
      <c r="D383" s="406" t="inlineStr">
        <is>
          <t>Static Network Configuration</t>
        </is>
      </c>
      <c r="E383" s="406" t="inlineStr">
        <is>
          <t>Prevent / Resist</t>
        </is>
      </c>
      <c r="F383" s="417" t="n">
        <v>0.8</v>
      </c>
      <c r="G383" s="444">
        <f>IFERROR(INDEX('OT 04 - Control Assessment'!$I$16:$I$67,MATCH(C383,'OT 04 - Control Assessment'!$A$16:$A$67,0)),0)</f>
        <v/>
      </c>
      <c r="H383" s="444">
        <f>IFERROR(INDEX('OT 04 - Control Assessment'!$J$16:$J$67,MATCH(C383,'OT 04 - Control Assessment'!$A$16:$A$67,0)),0)</f>
        <v/>
      </c>
      <c r="I383" s="444">
        <f>F383*G383*H383</f>
        <v/>
      </c>
      <c r="J383" s="406" t="inlineStr">
        <is>
          <t>Direct ATT&amp;CK mitigation relationship</t>
        </is>
      </c>
      <c r="K383" s="426" t="inlineStr">
        <is>
          <t>https://attack.mitre.org/techniques/T1691/001</t>
        </is>
      </c>
      <c r="L383" s="426" t="inlineStr">
        <is>
          <t>https://attack.mitre.org/mitigations/M0814</t>
        </is>
      </c>
      <c r="M383" s="406" t="inlineStr">
        <is>
          <t>Current Power Generation working prior (80%) because ATT&amp;CK establishes mitigation applicability but does not quantify efficacy. Replace with test / incident / SME calibration when available.</t>
        </is>
      </c>
    </row>
    <row r="384" ht="41.25" customHeight="1" s="508">
      <c r="A384" s="406" t="inlineStr">
        <is>
          <t>T0846.003</t>
        </is>
      </c>
      <c r="B384" s="406" t="inlineStr">
        <is>
          <t>Multicast Discovery</t>
        </is>
      </c>
      <c r="C384" s="406" t="inlineStr">
        <is>
          <t>M0814</t>
        </is>
      </c>
      <c r="D384" s="406" t="inlineStr">
        <is>
          <t>Static Network Configuration</t>
        </is>
      </c>
      <c r="E384" s="406" t="inlineStr">
        <is>
          <t>Prevent / Resist</t>
        </is>
      </c>
      <c r="F384" s="417" t="n">
        <v>0.8</v>
      </c>
      <c r="G384" s="444">
        <f>IFERROR(INDEX('OT 04 - Control Assessment'!$I$16:$I$67,MATCH(C384,'OT 04 - Control Assessment'!$A$16:$A$67,0)),0)</f>
        <v/>
      </c>
      <c r="H384" s="444">
        <f>IFERROR(INDEX('OT 04 - Control Assessment'!$J$16:$J$67,MATCH(C384,'OT 04 - Control Assessment'!$A$16:$A$67,0)),0)</f>
        <v/>
      </c>
      <c r="I384" s="444">
        <f>F384*G384*H384</f>
        <v/>
      </c>
      <c r="J384" s="406" t="inlineStr">
        <is>
          <t>Direct ATT&amp;CK mitigation relationship</t>
        </is>
      </c>
      <c r="K384" s="426" t="inlineStr">
        <is>
          <t>https://attack.mitre.org/techniques/T0846/003</t>
        </is>
      </c>
      <c r="L384" s="426" t="inlineStr">
        <is>
          <t>https://attack.mitre.org/mitigations/M0814</t>
        </is>
      </c>
      <c r="M384" s="406" t="inlineStr">
        <is>
          <t>Current Power Generation working prior (80%) because ATT&amp;CK establishes mitigation applicability but does not quantify efficacy. Replace with test / incident / SME calibration when available.</t>
        </is>
      </c>
    </row>
    <row r="385" ht="41.25" customHeight="1" s="508">
      <c r="A385" s="406" t="inlineStr">
        <is>
          <t>T0842</t>
        </is>
      </c>
      <c r="B385" s="406" t="inlineStr">
        <is>
          <t>Network Sniffing</t>
        </is>
      </c>
      <c r="C385" s="406" t="inlineStr">
        <is>
          <t>M0814</t>
        </is>
      </c>
      <c r="D385" s="406" t="inlineStr">
        <is>
          <t>Static Network Configuration</t>
        </is>
      </c>
      <c r="E385" s="406" t="inlineStr">
        <is>
          <t>Prevent / Resist</t>
        </is>
      </c>
      <c r="F385" s="417" t="n">
        <v>0.8</v>
      </c>
      <c r="G385" s="444">
        <f>IFERROR(INDEX('OT 04 - Control Assessment'!$I$16:$I$67,MATCH(C385,'OT 04 - Control Assessment'!$A$16:$A$67,0)),0)</f>
        <v/>
      </c>
      <c r="H385" s="444">
        <f>IFERROR(INDEX('OT 04 - Control Assessment'!$J$16:$J$67,MATCH(C385,'OT 04 - Control Assessment'!$A$16:$A$67,0)),0)</f>
        <v/>
      </c>
      <c r="I385" s="444">
        <f>F385*G385*H385</f>
        <v/>
      </c>
      <c r="J385" s="406" t="inlineStr">
        <is>
          <t>Direct ATT&amp;CK mitigation relationship</t>
        </is>
      </c>
      <c r="K385" s="426" t="inlineStr">
        <is>
          <t>https://attack.mitre.org/techniques/T0842</t>
        </is>
      </c>
      <c r="L385" s="426" t="inlineStr">
        <is>
          <t>https://attack.mitre.org/mitigations/M0814</t>
        </is>
      </c>
      <c r="M385" s="406" t="inlineStr">
        <is>
          <t>Current Power Generation working prior (80%) because ATT&amp;CK establishes mitigation applicability but does not quantify efficacy. Replace with test / incident / SME calibration when available.</t>
        </is>
      </c>
    </row>
    <row r="386" ht="41.25" customHeight="1" s="508">
      <c r="A386" s="406" t="inlineStr">
        <is>
          <t>T0846.001</t>
        </is>
      </c>
      <c r="B386" s="406" t="inlineStr">
        <is>
          <t>Port Scan</t>
        </is>
      </c>
      <c r="C386" s="406" t="inlineStr">
        <is>
          <t>M0814</t>
        </is>
      </c>
      <c r="D386" s="406" t="inlineStr">
        <is>
          <t>Static Network Configuration</t>
        </is>
      </c>
      <c r="E386" s="406" t="inlineStr">
        <is>
          <t>Prevent / Resist</t>
        </is>
      </c>
      <c r="F386" s="417" t="n">
        <v>0.8</v>
      </c>
      <c r="G386" s="444">
        <f>IFERROR(INDEX('OT 04 - Control Assessment'!$I$16:$I$67,MATCH(C386,'OT 04 - Control Assessment'!$A$16:$A$67,0)),0)</f>
        <v/>
      </c>
      <c r="H386" s="444">
        <f>IFERROR(INDEX('OT 04 - Control Assessment'!$J$16:$J$67,MATCH(C386,'OT 04 - Control Assessment'!$A$16:$A$67,0)),0)</f>
        <v/>
      </c>
      <c r="I386" s="444">
        <f>F386*G386*H386</f>
        <v/>
      </c>
      <c r="J386" s="406" t="inlineStr">
        <is>
          <t>Direct ATT&amp;CK mitigation relationship</t>
        </is>
      </c>
      <c r="K386" s="426" t="inlineStr">
        <is>
          <t>https://attack.mitre.org/techniques/T0846/001</t>
        </is>
      </c>
      <c r="L386" s="426" t="inlineStr">
        <is>
          <t>https://attack.mitre.org/mitigations/M0814</t>
        </is>
      </c>
      <c r="M386" s="406" t="inlineStr">
        <is>
          <t>Current Power Generation working prior (80%) because ATT&amp;CK establishes mitigation applicability but does not quantify efficacy. Replace with test / incident / SME calibration when available.</t>
        </is>
      </c>
    </row>
    <row r="387" ht="41.25" customHeight="1" s="508">
      <c r="A387" s="406" t="inlineStr">
        <is>
          <t>T0846</t>
        </is>
      </c>
      <c r="B387" s="406" t="inlineStr">
        <is>
          <t>Remote System Discovery</t>
        </is>
      </c>
      <c r="C387" s="406" t="inlineStr">
        <is>
          <t>M0814</t>
        </is>
      </c>
      <c r="D387" s="406" t="inlineStr">
        <is>
          <t>Static Network Configuration</t>
        </is>
      </c>
      <c r="E387" s="406" t="inlineStr">
        <is>
          <t>Prevent / Resist</t>
        </is>
      </c>
      <c r="F387" s="417" t="n">
        <v>0.8</v>
      </c>
      <c r="G387" s="444">
        <f>IFERROR(INDEX('OT 04 - Control Assessment'!$I$16:$I$67,MATCH(C387,'OT 04 - Control Assessment'!$A$16:$A$67,0)),0)</f>
        <v/>
      </c>
      <c r="H387" s="444">
        <f>IFERROR(INDEX('OT 04 - Control Assessment'!$J$16:$J$67,MATCH(C387,'OT 04 - Control Assessment'!$A$16:$A$67,0)),0)</f>
        <v/>
      </c>
      <c r="I387" s="444">
        <f>F387*G387*H387</f>
        <v/>
      </c>
      <c r="J387" s="406" t="inlineStr">
        <is>
          <t>Direct ATT&amp;CK mitigation relationship</t>
        </is>
      </c>
      <c r="K387" s="426" t="inlineStr">
        <is>
          <t>https://attack.mitre.org/techniques/T0846</t>
        </is>
      </c>
      <c r="L387" s="426" t="inlineStr">
        <is>
          <t>https://attack.mitre.org/mitigations/M0814</t>
        </is>
      </c>
      <c r="M387" s="406" t="inlineStr">
        <is>
          <t>Current Power Generation working prior (80%) because ATT&amp;CK establishes mitigation applicability but does not quantify efficacy. Replace with test / incident / SME calibration when available.</t>
        </is>
      </c>
    </row>
    <row r="388" ht="41.25" customHeight="1" s="508">
      <c r="A388" s="406" t="inlineStr">
        <is>
          <t>T0888</t>
        </is>
      </c>
      <c r="B388" s="406" t="inlineStr">
        <is>
          <t>Remote System Information Discovery</t>
        </is>
      </c>
      <c r="C388" s="406" t="inlineStr">
        <is>
          <t>M0814</t>
        </is>
      </c>
      <c r="D388" s="406" t="inlineStr">
        <is>
          <t>Static Network Configuration</t>
        </is>
      </c>
      <c r="E388" s="406" t="inlineStr">
        <is>
          <t>Prevent / Resist</t>
        </is>
      </c>
      <c r="F388" s="417" t="n">
        <v>0.8</v>
      </c>
      <c r="G388" s="444">
        <f>IFERROR(INDEX('OT 04 - Control Assessment'!$I$16:$I$67,MATCH(C388,'OT 04 - Control Assessment'!$A$16:$A$67,0)),0)</f>
        <v/>
      </c>
      <c r="H388" s="444">
        <f>IFERROR(INDEX('OT 04 - Control Assessment'!$J$16:$J$67,MATCH(C388,'OT 04 - Control Assessment'!$A$16:$A$67,0)),0)</f>
        <v/>
      </c>
      <c r="I388" s="444">
        <f>F388*G388*H388</f>
        <v/>
      </c>
      <c r="J388" s="406" t="inlineStr">
        <is>
          <t>Direct ATT&amp;CK mitigation relationship</t>
        </is>
      </c>
      <c r="K388" s="426" t="inlineStr">
        <is>
          <t>https://attack.mitre.org/techniques/T0888</t>
        </is>
      </c>
      <c r="L388" s="426" t="inlineStr">
        <is>
          <t>https://attack.mitre.org/mitigations/M0814</t>
        </is>
      </c>
      <c r="M388" s="406" t="inlineStr">
        <is>
          <t>Current Power Generation working prior (80%) because ATT&amp;CK establishes mitigation applicability but does not quantify efficacy. Replace with test / incident / SME calibration when available.</t>
        </is>
      </c>
    </row>
    <row r="389" ht="41.25" customHeight="1" s="508">
      <c r="A389" s="406" t="inlineStr">
        <is>
          <t>T1691.002</t>
        </is>
      </c>
      <c r="B389" s="406" t="inlineStr">
        <is>
          <t>Reporting Message</t>
        </is>
      </c>
      <c r="C389" s="406" t="inlineStr">
        <is>
          <t>M0814</t>
        </is>
      </c>
      <c r="D389" s="406" t="inlineStr">
        <is>
          <t>Static Network Configuration</t>
        </is>
      </c>
      <c r="E389" s="406" t="inlineStr">
        <is>
          <t>Prevent / Resist</t>
        </is>
      </c>
      <c r="F389" s="417" t="n">
        <v>0.8</v>
      </c>
      <c r="G389" s="444">
        <f>IFERROR(INDEX('OT 04 - Control Assessment'!$I$16:$I$67,MATCH(C389,'OT 04 - Control Assessment'!$A$16:$A$67,0)),0)</f>
        <v/>
      </c>
      <c r="H389" s="444">
        <f>IFERROR(INDEX('OT 04 - Control Assessment'!$J$16:$J$67,MATCH(C389,'OT 04 - Control Assessment'!$A$16:$A$67,0)),0)</f>
        <v/>
      </c>
      <c r="I389" s="444">
        <f>F389*G389*H389</f>
        <v/>
      </c>
      <c r="J389" s="406" t="inlineStr">
        <is>
          <t>Direct ATT&amp;CK mitigation relationship</t>
        </is>
      </c>
      <c r="K389" s="426" t="inlineStr">
        <is>
          <t>https://attack.mitre.org/techniques/T1691/002</t>
        </is>
      </c>
      <c r="L389" s="426" t="inlineStr">
        <is>
          <t>https://attack.mitre.org/mitigations/M0814</t>
        </is>
      </c>
      <c r="M389" s="406" t="inlineStr">
        <is>
          <t>Current Power Generation working prior (80%) because ATT&amp;CK establishes mitigation applicability but does not quantify efficacy. Replace with test / incident / SME calibration when available.</t>
        </is>
      </c>
    </row>
    <row r="390" ht="41.25" customHeight="1" s="508">
      <c r="A390" s="406" t="inlineStr">
        <is>
          <t>T0862</t>
        </is>
      </c>
      <c r="B390" s="406" t="inlineStr">
        <is>
          <t>Supply Chain Compromise</t>
        </is>
      </c>
      <c r="C390" s="406" t="inlineStr">
        <is>
          <t>M0817</t>
        </is>
      </c>
      <c r="D390" s="406" t="inlineStr">
        <is>
          <t>Supply Chain Management</t>
        </is>
      </c>
      <c r="E390" s="406" t="inlineStr">
        <is>
          <t>Prevent / Resist</t>
        </is>
      </c>
      <c r="F390" s="417" t="n">
        <v>0.8</v>
      </c>
      <c r="G390" s="444">
        <f>IFERROR(INDEX('OT 04 - Control Assessment'!$I$16:$I$67,MATCH(C390,'OT 04 - Control Assessment'!$A$16:$A$67,0)),0)</f>
        <v/>
      </c>
      <c r="H390" s="444">
        <f>IFERROR(INDEX('OT 04 - Control Assessment'!$J$16:$J$67,MATCH(C390,'OT 04 - Control Assessment'!$A$16:$A$67,0)),0)</f>
        <v/>
      </c>
      <c r="I390" s="444">
        <f>F390*G390*H390</f>
        <v/>
      </c>
      <c r="J390" s="406" t="inlineStr">
        <is>
          <t>Direct ATT&amp;CK mitigation relationship</t>
        </is>
      </c>
      <c r="K390" s="426" t="inlineStr">
        <is>
          <t>https://attack.mitre.org/techniques/T0862</t>
        </is>
      </c>
      <c r="L390" s="426" t="inlineStr">
        <is>
          <t>https://attack.mitre.org/mitigations/M0817</t>
        </is>
      </c>
      <c r="M390" s="406" t="inlineStr">
        <is>
          <t>Current Power Generation working prior (80%) because ATT&amp;CK establishes mitigation applicability but does not quantify efficacy. Replace with test / incident / SME calibration when available.</t>
        </is>
      </c>
    </row>
    <row r="391" ht="41.25" customHeight="1" s="508">
      <c r="A391" s="406" t="inlineStr">
        <is>
          <t>T0820</t>
        </is>
      </c>
      <c r="B391" s="406" t="inlineStr">
        <is>
          <t>Exploitation for Evasion</t>
        </is>
      </c>
      <c r="C391" s="406" t="inlineStr">
        <is>
          <t>M0919</t>
        </is>
      </c>
      <c r="D391" s="406" t="inlineStr">
        <is>
          <t>Threat Intelligence Program</t>
        </is>
      </c>
      <c r="E391" s="406" t="inlineStr">
        <is>
          <t>Detect / Contain</t>
        </is>
      </c>
      <c r="F391" s="417" t="n">
        <v>0.8</v>
      </c>
      <c r="G391" s="444">
        <f>IFERROR(INDEX('OT 04 - Control Assessment'!$I$16:$I$67,MATCH(C391,'OT 04 - Control Assessment'!$A$16:$A$67,0)),0)</f>
        <v/>
      </c>
      <c r="H391" s="444">
        <f>IFERROR(INDEX('OT 04 - Control Assessment'!$J$16:$J$67,MATCH(C391,'OT 04 - Control Assessment'!$A$16:$A$67,0)),0)</f>
        <v/>
      </c>
      <c r="I391" s="444">
        <f>F391*G391*H391</f>
        <v/>
      </c>
      <c r="J391" s="406" t="inlineStr">
        <is>
          <t>Direct ATT&amp;CK mitigation relationship</t>
        </is>
      </c>
      <c r="K391" s="426" t="inlineStr">
        <is>
          <t>https://attack.mitre.org/techniques/T0820</t>
        </is>
      </c>
      <c r="L391" s="426" t="inlineStr">
        <is>
          <t>https://attack.mitre.org/mitigations/M0919</t>
        </is>
      </c>
      <c r="M391" s="406" t="inlineStr">
        <is>
          <t>Current Power Generation working prior (80%) because ATT&amp;CK establishes mitigation applicability but does not quantify efficacy. Replace with test / incident / SME calibration when available.</t>
        </is>
      </c>
    </row>
    <row r="392" ht="41.25" customHeight="1" s="508">
      <c r="A392" s="406" t="inlineStr">
        <is>
          <t>T0890</t>
        </is>
      </c>
      <c r="B392" s="406" t="inlineStr">
        <is>
          <t>Exploitation for Privilege Escalation</t>
        </is>
      </c>
      <c r="C392" s="406" t="inlineStr">
        <is>
          <t>M0919</t>
        </is>
      </c>
      <c r="D392" s="406" t="inlineStr">
        <is>
          <t>Threat Intelligence Program</t>
        </is>
      </c>
      <c r="E392" s="406" t="inlineStr">
        <is>
          <t>Detect / Contain</t>
        </is>
      </c>
      <c r="F392" s="417" t="n">
        <v>0.8</v>
      </c>
      <c r="G392" s="444">
        <f>IFERROR(INDEX('OT 04 - Control Assessment'!$I$16:$I$67,MATCH(C392,'OT 04 - Control Assessment'!$A$16:$A$67,0)),0)</f>
        <v/>
      </c>
      <c r="H392" s="444">
        <f>IFERROR(INDEX('OT 04 - Control Assessment'!$J$16:$J$67,MATCH(C392,'OT 04 - Control Assessment'!$A$16:$A$67,0)),0)</f>
        <v/>
      </c>
      <c r="I392" s="444">
        <f>F392*G392*H392</f>
        <v/>
      </c>
      <c r="J392" s="406" t="inlineStr">
        <is>
          <t>Direct ATT&amp;CK mitigation relationship</t>
        </is>
      </c>
      <c r="K392" s="426" t="inlineStr">
        <is>
          <t>https://attack.mitre.org/techniques/T0890</t>
        </is>
      </c>
      <c r="L392" s="426" t="inlineStr">
        <is>
          <t>https://attack.mitre.org/mitigations/M0919</t>
        </is>
      </c>
      <c r="M392" s="406" t="inlineStr">
        <is>
          <t>Current Power Generation working prior (80%) because ATT&amp;CK establishes mitigation applicability but does not quantify efficacy. Replace with test / incident / SME calibration when available.</t>
        </is>
      </c>
    </row>
    <row r="393" ht="41.25" customHeight="1" s="508">
      <c r="A393" s="406" t="inlineStr">
        <is>
          <t>T0866</t>
        </is>
      </c>
      <c r="B393" s="406" t="inlineStr">
        <is>
          <t>Exploitation of Remote Services</t>
        </is>
      </c>
      <c r="C393" s="406" t="inlineStr">
        <is>
          <t>M0919</t>
        </is>
      </c>
      <c r="D393" s="406" t="inlineStr">
        <is>
          <t>Threat Intelligence Program</t>
        </is>
      </c>
      <c r="E393" s="406" t="inlineStr">
        <is>
          <t>Detect / Contain</t>
        </is>
      </c>
      <c r="F393" s="417" t="n">
        <v>0.8</v>
      </c>
      <c r="G393" s="444">
        <f>IFERROR(INDEX('OT 04 - Control Assessment'!$I$16:$I$67,MATCH(C393,'OT 04 - Control Assessment'!$A$16:$A$67,0)),0)</f>
        <v/>
      </c>
      <c r="H393" s="444">
        <f>IFERROR(INDEX('OT 04 - Control Assessment'!$J$16:$J$67,MATCH(C393,'OT 04 - Control Assessment'!$A$16:$A$67,0)),0)</f>
        <v/>
      </c>
      <c r="I393" s="444">
        <f>F393*G393*H393</f>
        <v/>
      </c>
      <c r="J393" s="406" t="inlineStr">
        <is>
          <t>Direct ATT&amp;CK mitigation relationship</t>
        </is>
      </c>
      <c r="K393" s="426" t="inlineStr">
        <is>
          <t>https://attack.mitre.org/techniques/T0866</t>
        </is>
      </c>
      <c r="L393" s="426" t="inlineStr">
        <is>
          <t>https://attack.mitre.org/mitigations/M0919</t>
        </is>
      </c>
      <c r="M393" s="406" t="inlineStr">
        <is>
          <t>Current Power Generation working prior (80%) because ATT&amp;CK establishes mitigation applicability but does not quantify efficacy. Replace with test / incident / SME calibration when available.</t>
        </is>
      </c>
    </row>
    <row r="394" ht="41.25" customHeight="1" s="508">
      <c r="A394" s="406" t="inlineStr">
        <is>
          <t>T0817</t>
        </is>
      </c>
      <c r="B394" s="406" t="inlineStr">
        <is>
          <t>Drive-by Compromise</t>
        </is>
      </c>
      <c r="C394" s="406" t="inlineStr">
        <is>
          <t>M0951</t>
        </is>
      </c>
      <c r="D394" s="406" t="inlineStr">
        <is>
          <t>Update Software</t>
        </is>
      </c>
      <c r="E394" s="406" t="inlineStr">
        <is>
          <t>Prevent / Resist</t>
        </is>
      </c>
      <c r="F394" s="417" t="n">
        <v>0.8</v>
      </c>
      <c r="G394" s="444">
        <f>IFERROR(INDEX('OT 04 - Control Assessment'!$I$16:$I$67,MATCH(C394,'OT 04 - Control Assessment'!$A$16:$A$67,0)),0)</f>
        <v/>
      </c>
      <c r="H394" s="444">
        <f>IFERROR(INDEX('OT 04 - Control Assessment'!$J$16:$J$67,MATCH(C394,'OT 04 - Control Assessment'!$A$16:$A$67,0)),0)</f>
        <v/>
      </c>
      <c r="I394" s="444">
        <f>F394*G394*H394</f>
        <v/>
      </c>
      <c r="J394" s="406" t="inlineStr">
        <is>
          <t>Direct ATT&amp;CK mitigation relationship</t>
        </is>
      </c>
      <c r="K394" s="426" t="inlineStr">
        <is>
          <t>https://attack.mitre.org/techniques/T0817</t>
        </is>
      </c>
      <c r="L394" s="426" t="inlineStr">
        <is>
          <t>https://attack.mitre.org/mitigations/M0951</t>
        </is>
      </c>
      <c r="M394" s="406" t="inlineStr">
        <is>
          <t>Current Power Generation working prior (80%) because ATT&amp;CK establishes mitigation applicability but does not quantify efficacy. Replace with test / incident / SME calibration when available.</t>
        </is>
      </c>
    </row>
    <row r="395" ht="41.25" customHeight="1" s="508">
      <c r="A395" s="406" t="inlineStr">
        <is>
          <t>T0819</t>
        </is>
      </c>
      <c r="B395" s="406" t="inlineStr">
        <is>
          <t>Exploit Public-Facing Application</t>
        </is>
      </c>
      <c r="C395" s="406" t="inlineStr">
        <is>
          <t>M0951</t>
        </is>
      </c>
      <c r="D395" s="406" t="inlineStr">
        <is>
          <t>Update Software</t>
        </is>
      </c>
      <c r="E395" s="406" t="inlineStr">
        <is>
          <t>Prevent / Resist</t>
        </is>
      </c>
      <c r="F395" s="417" t="n">
        <v>0.8</v>
      </c>
      <c r="G395" s="444">
        <f>IFERROR(INDEX('OT 04 - Control Assessment'!$I$16:$I$67,MATCH(C395,'OT 04 - Control Assessment'!$A$16:$A$67,0)),0)</f>
        <v/>
      </c>
      <c r="H395" s="444">
        <f>IFERROR(INDEX('OT 04 - Control Assessment'!$J$16:$J$67,MATCH(C395,'OT 04 - Control Assessment'!$A$16:$A$67,0)),0)</f>
        <v/>
      </c>
      <c r="I395" s="444">
        <f>F395*G395*H395</f>
        <v/>
      </c>
      <c r="J395" s="406" t="inlineStr">
        <is>
          <t>Direct ATT&amp;CK mitigation relationship</t>
        </is>
      </c>
      <c r="K395" s="426" t="inlineStr">
        <is>
          <t>https://attack.mitre.org/techniques/T0819</t>
        </is>
      </c>
      <c r="L395" s="426" t="inlineStr">
        <is>
          <t>https://attack.mitre.org/mitigations/M0951</t>
        </is>
      </c>
      <c r="M395" s="406" t="inlineStr">
        <is>
          <t>Current Power Generation working prior (80%) because ATT&amp;CK establishes mitigation applicability but does not quantify efficacy. Replace with test / incident / SME calibration when available.</t>
        </is>
      </c>
    </row>
    <row r="396" ht="41.25" customHeight="1" s="508">
      <c r="A396" s="406" t="inlineStr">
        <is>
          <t>T0820</t>
        </is>
      </c>
      <c r="B396" s="406" t="inlineStr">
        <is>
          <t>Exploitation for Evasion</t>
        </is>
      </c>
      <c r="C396" s="406" t="inlineStr">
        <is>
          <t>M0951</t>
        </is>
      </c>
      <c r="D396" s="406" t="inlineStr">
        <is>
          <t>Update Software</t>
        </is>
      </c>
      <c r="E396" s="406" t="inlineStr">
        <is>
          <t>Prevent / Resist</t>
        </is>
      </c>
      <c r="F396" s="417" t="n">
        <v>0.8</v>
      </c>
      <c r="G396" s="444">
        <f>IFERROR(INDEX('OT 04 - Control Assessment'!$I$16:$I$67,MATCH(C396,'OT 04 - Control Assessment'!$A$16:$A$67,0)),0)</f>
        <v/>
      </c>
      <c r="H396" s="444">
        <f>IFERROR(INDEX('OT 04 - Control Assessment'!$J$16:$J$67,MATCH(C396,'OT 04 - Control Assessment'!$A$16:$A$67,0)),0)</f>
        <v/>
      </c>
      <c r="I396" s="444">
        <f>F396*G396*H396</f>
        <v/>
      </c>
      <c r="J396" s="406" t="inlineStr">
        <is>
          <t>Direct ATT&amp;CK mitigation relationship</t>
        </is>
      </c>
      <c r="K396" s="426" t="inlineStr">
        <is>
          <t>https://attack.mitre.org/techniques/T0820</t>
        </is>
      </c>
      <c r="L396" s="426" t="inlineStr">
        <is>
          <t>https://attack.mitre.org/mitigations/M0951</t>
        </is>
      </c>
      <c r="M396" s="406" t="inlineStr">
        <is>
          <t>Current Power Generation working prior (80%) because ATT&amp;CK establishes mitigation applicability but does not quantify efficacy. Replace with test / incident / SME calibration when available.</t>
        </is>
      </c>
    </row>
    <row r="397" ht="41.25" customHeight="1" s="508">
      <c r="A397" s="406" t="inlineStr">
        <is>
          <t>T0890</t>
        </is>
      </c>
      <c r="B397" s="406" t="inlineStr">
        <is>
          <t>Exploitation for Privilege Escalation</t>
        </is>
      </c>
      <c r="C397" s="406" t="inlineStr">
        <is>
          <t>M0951</t>
        </is>
      </c>
      <c r="D397" s="406" t="inlineStr">
        <is>
          <t>Update Software</t>
        </is>
      </c>
      <c r="E397" s="406" t="inlineStr">
        <is>
          <t>Prevent / Resist</t>
        </is>
      </c>
      <c r="F397" s="417" t="n">
        <v>0.8</v>
      </c>
      <c r="G397" s="444">
        <f>IFERROR(INDEX('OT 04 - Control Assessment'!$I$16:$I$67,MATCH(C397,'OT 04 - Control Assessment'!$A$16:$A$67,0)),0)</f>
        <v/>
      </c>
      <c r="H397" s="444">
        <f>IFERROR(INDEX('OT 04 - Control Assessment'!$J$16:$J$67,MATCH(C397,'OT 04 - Control Assessment'!$A$16:$A$67,0)),0)</f>
        <v/>
      </c>
      <c r="I397" s="444">
        <f>F397*G397*H397</f>
        <v/>
      </c>
      <c r="J397" s="406" t="inlineStr">
        <is>
          <t>Direct ATT&amp;CK mitigation relationship</t>
        </is>
      </c>
      <c r="K397" s="426" t="inlineStr">
        <is>
          <t>https://attack.mitre.org/techniques/T0890</t>
        </is>
      </c>
      <c r="L397" s="426" t="inlineStr">
        <is>
          <t>https://attack.mitre.org/mitigations/M0951</t>
        </is>
      </c>
      <c r="M397" s="406" t="inlineStr">
        <is>
          <t>Current Power Generation working prior (80%) because ATT&amp;CK establishes mitigation applicability but does not quantify efficacy. Replace with test / incident / SME calibration when available.</t>
        </is>
      </c>
    </row>
    <row r="398" ht="41.25" customHeight="1" s="508">
      <c r="A398" s="406" t="inlineStr">
        <is>
          <t>T0866</t>
        </is>
      </c>
      <c r="B398" s="406" t="inlineStr">
        <is>
          <t>Exploitation of Remote Services</t>
        </is>
      </c>
      <c r="C398" s="406" t="inlineStr">
        <is>
          <t>M0951</t>
        </is>
      </c>
      <c r="D398" s="406" t="inlineStr">
        <is>
          <t>Update Software</t>
        </is>
      </c>
      <c r="E398" s="406" t="inlineStr">
        <is>
          <t>Prevent / Resist</t>
        </is>
      </c>
      <c r="F398" s="417" t="n">
        <v>0.8</v>
      </c>
      <c r="G398" s="444">
        <f>IFERROR(INDEX('OT 04 - Control Assessment'!$I$16:$I$67,MATCH(C398,'OT 04 - Control Assessment'!$A$16:$A$67,0)),0)</f>
        <v/>
      </c>
      <c r="H398" s="444">
        <f>IFERROR(INDEX('OT 04 - Control Assessment'!$J$16:$J$67,MATCH(C398,'OT 04 - Control Assessment'!$A$16:$A$67,0)),0)</f>
        <v/>
      </c>
      <c r="I398" s="444">
        <f>F398*G398*H398</f>
        <v/>
      </c>
      <c r="J398" s="406" t="inlineStr">
        <is>
          <t>Direct ATT&amp;CK mitigation relationship</t>
        </is>
      </c>
      <c r="K398" s="426" t="inlineStr">
        <is>
          <t>https://attack.mitre.org/techniques/T0866</t>
        </is>
      </c>
      <c r="L398" s="426" t="inlineStr">
        <is>
          <t>https://attack.mitre.org/mitigations/M0951</t>
        </is>
      </c>
      <c r="M398" s="406" t="inlineStr">
        <is>
          <t>Current Power Generation working prior (80%) because ATT&amp;CK establishes mitigation applicability but does not quantify efficacy. Replace with test / incident / SME calibration when available.</t>
        </is>
      </c>
    </row>
    <row r="399" ht="41.25" customHeight="1" s="508">
      <c r="A399" s="406" t="inlineStr">
        <is>
          <t>T0862</t>
        </is>
      </c>
      <c r="B399" s="406" t="inlineStr">
        <is>
          <t>Supply Chain Compromise</t>
        </is>
      </c>
      <c r="C399" s="406" t="inlineStr">
        <is>
          <t>M0951</t>
        </is>
      </c>
      <c r="D399" s="406" t="inlineStr">
        <is>
          <t>Update Software</t>
        </is>
      </c>
      <c r="E399" s="406" t="inlineStr">
        <is>
          <t>Prevent / Resist</t>
        </is>
      </c>
      <c r="F399" s="417" t="n">
        <v>0.8</v>
      </c>
      <c r="G399" s="444">
        <f>IFERROR(INDEX('OT 04 - Control Assessment'!$I$16:$I$67,MATCH(C399,'OT 04 - Control Assessment'!$A$16:$A$67,0)),0)</f>
        <v/>
      </c>
      <c r="H399" s="444">
        <f>IFERROR(INDEX('OT 04 - Control Assessment'!$J$16:$J$67,MATCH(C399,'OT 04 - Control Assessment'!$A$16:$A$67,0)),0)</f>
        <v/>
      </c>
      <c r="I399" s="444">
        <f>F399*G399*H399</f>
        <v/>
      </c>
      <c r="J399" s="406" t="inlineStr">
        <is>
          <t>Direct ATT&amp;CK mitigation relationship</t>
        </is>
      </c>
      <c r="K399" s="426" t="inlineStr">
        <is>
          <t>https://attack.mitre.org/techniques/T0862</t>
        </is>
      </c>
      <c r="L399" s="426" t="inlineStr">
        <is>
          <t>https://attack.mitre.org/mitigations/M0951</t>
        </is>
      </c>
      <c r="M399" s="406" t="inlineStr">
        <is>
          <t>Current Power Generation working prior (80%) because ATT&amp;CK establishes mitigation applicability but does not quantify efficacy. Replace with test / incident / SME calibration when available.</t>
        </is>
      </c>
    </row>
    <row r="400" ht="41.25" customHeight="1" s="508">
      <c r="A400" s="406" t="inlineStr">
        <is>
          <t>T1693.001</t>
        </is>
      </c>
      <c r="B400" s="406" t="inlineStr">
        <is>
          <t>System Firmware</t>
        </is>
      </c>
      <c r="C400" s="406" t="inlineStr">
        <is>
          <t>M0951</t>
        </is>
      </c>
      <c r="D400" s="406" t="inlineStr">
        <is>
          <t>Update Software</t>
        </is>
      </c>
      <c r="E400" s="406" t="inlineStr">
        <is>
          <t>Prevent / Resist</t>
        </is>
      </c>
      <c r="F400" s="417" t="n">
        <v>0.8</v>
      </c>
      <c r="G400" s="444">
        <f>IFERROR(INDEX('OT 04 - Control Assessment'!$I$16:$I$67,MATCH(C400,'OT 04 - Control Assessment'!$A$16:$A$67,0)),0)</f>
        <v/>
      </c>
      <c r="H400" s="444">
        <f>IFERROR(INDEX('OT 04 - Control Assessment'!$J$16:$J$67,MATCH(C400,'OT 04 - Control Assessment'!$A$16:$A$67,0)),0)</f>
        <v/>
      </c>
      <c r="I400" s="444">
        <f>F400*G400*H400</f>
        <v/>
      </c>
      <c r="J400" s="406" t="inlineStr">
        <is>
          <t>Direct ATT&amp;CK mitigation relationship</t>
        </is>
      </c>
      <c r="K400" s="426" t="inlineStr">
        <is>
          <t>https://attack.mitre.org/techniques/T1693/001</t>
        </is>
      </c>
      <c r="L400" s="426" t="inlineStr">
        <is>
          <t>https://attack.mitre.org/mitigations/M0951</t>
        </is>
      </c>
      <c r="M400" s="406" t="inlineStr">
        <is>
          <t>Current Power Generation working prior (80%) because ATT&amp;CK establishes mitigation applicability but does not quantify efficacy. Replace with test / incident / SME calibration when available.</t>
        </is>
      </c>
    </row>
    <row r="401" ht="41.25" customHeight="1" s="508">
      <c r="A401" s="406" t="inlineStr">
        <is>
          <t>T0864</t>
        </is>
      </c>
      <c r="B401" s="406" t="inlineStr">
        <is>
          <t>Transient Cyber Asset</t>
        </is>
      </c>
      <c r="C401" s="406" t="inlineStr">
        <is>
          <t>M0951</t>
        </is>
      </c>
      <c r="D401" s="406" t="inlineStr">
        <is>
          <t>Update Software</t>
        </is>
      </c>
      <c r="E401" s="406" t="inlineStr">
        <is>
          <t>Prevent / Resist</t>
        </is>
      </c>
      <c r="F401" s="417" t="n">
        <v>0.8</v>
      </c>
      <c r="G401" s="444">
        <f>IFERROR(INDEX('OT 04 - Control Assessment'!$I$16:$I$67,MATCH(C401,'OT 04 - Control Assessment'!$A$16:$A$67,0)),0)</f>
        <v/>
      </c>
      <c r="H401" s="444">
        <f>IFERROR(INDEX('OT 04 - Control Assessment'!$J$16:$J$67,MATCH(C401,'OT 04 - Control Assessment'!$A$16:$A$67,0)),0)</f>
        <v/>
      </c>
      <c r="I401" s="444">
        <f>F401*G401*H401</f>
        <v/>
      </c>
      <c r="J401" s="406" t="inlineStr">
        <is>
          <t>Direct ATT&amp;CK mitigation relationship</t>
        </is>
      </c>
      <c r="K401" s="426" t="inlineStr">
        <is>
          <t>https://attack.mitre.org/techniques/T0864</t>
        </is>
      </c>
      <c r="L401" s="426" t="inlineStr">
        <is>
          <t>https://attack.mitre.org/mitigations/M0951</t>
        </is>
      </c>
      <c r="M401" s="406" t="inlineStr">
        <is>
          <t>Current Power Generation working prior (80%) because ATT&amp;CK establishes mitigation applicability but does not quantify efficacy. Replace with test / incident / SME calibration when available.</t>
        </is>
      </c>
    </row>
    <row r="402" ht="41.25" customHeight="1" s="508">
      <c r="A402" s="406" t="inlineStr">
        <is>
          <t>T0811</t>
        </is>
      </c>
      <c r="B402" s="406" t="inlineStr">
        <is>
          <t>Data from Information Repositories</t>
        </is>
      </c>
      <c r="C402" s="406" t="inlineStr">
        <is>
          <t>M0918</t>
        </is>
      </c>
      <c r="D402" s="406" t="inlineStr">
        <is>
          <t>User Account Management</t>
        </is>
      </c>
      <c r="E402" s="406" t="inlineStr">
        <is>
          <t>Prevent / Resist</t>
        </is>
      </c>
      <c r="F402" s="417" t="n">
        <v>0.8</v>
      </c>
      <c r="G402" s="444">
        <f>IFERROR(INDEX('OT 04 - Control Assessment'!$I$16:$I$67,MATCH(C402,'OT 04 - Control Assessment'!$A$16:$A$67,0)),0)</f>
        <v/>
      </c>
      <c r="H402" s="444">
        <f>IFERROR(INDEX('OT 04 - Control Assessment'!$J$16:$J$67,MATCH(C402,'OT 04 - Control Assessment'!$A$16:$A$67,0)),0)</f>
        <v/>
      </c>
      <c r="I402" s="444">
        <f>F402*G402*H402</f>
        <v/>
      </c>
      <c r="J402" s="406" t="inlineStr">
        <is>
          <t>Direct ATT&amp;CK mitigation relationship</t>
        </is>
      </c>
      <c r="K402" s="426" t="inlineStr">
        <is>
          <t>https://attack.mitre.org/techniques/T0811</t>
        </is>
      </c>
      <c r="L402" s="426" t="inlineStr">
        <is>
          <t>https://attack.mitre.org/mitigations/M0918</t>
        </is>
      </c>
      <c r="M402" s="406" t="inlineStr">
        <is>
          <t>Current Power Generation working prior (80%) because ATT&amp;CK establishes mitigation applicability but does not quantify efficacy. Replace with test / incident / SME calibration when available.</t>
        </is>
      </c>
    </row>
    <row r="403" ht="41.25" customHeight="1" s="508">
      <c r="A403" s="406" t="inlineStr">
        <is>
          <t>T0822</t>
        </is>
      </c>
      <c r="B403" s="406" t="inlineStr">
        <is>
          <t>External Remote Services</t>
        </is>
      </c>
      <c r="C403" s="406" t="inlineStr">
        <is>
          <t>M0918</t>
        </is>
      </c>
      <c r="D403" s="406" t="inlineStr">
        <is>
          <t>User Account Management</t>
        </is>
      </c>
      <c r="E403" s="406" t="inlineStr">
        <is>
          <t>Prevent / Resist</t>
        </is>
      </c>
      <c r="F403" s="417" t="n">
        <v>0.8</v>
      </c>
      <c r="G403" s="444">
        <f>IFERROR(INDEX('OT 04 - Control Assessment'!$I$16:$I$67,MATCH(C403,'OT 04 - Control Assessment'!$A$16:$A$67,0)),0)</f>
        <v/>
      </c>
      <c r="H403" s="444">
        <f>IFERROR(INDEX('OT 04 - Control Assessment'!$J$16:$J$67,MATCH(C403,'OT 04 - Control Assessment'!$A$16:$A$67,0)),0)</f>
        <v/>
      </c>
      <c r="I403" s="444">
        <f>F403*G403*H403</f>
        <v/>
      </c>
      <c r="J403" s="406" t="inlineStr">
        <is>
          <t>Direct ATT&amp;CK mitigation relationship</t>
        </is>
      </c>
      <c r="K403" s="426" t="inlineStr">
        <is>
          <t>https://attack.mitre.org/techniques/T0822</t>
        </is>
      </c>
      <c r="L403" s="426" t="inlineStr">
        <is>
          <t>https://attack.mitre.org/mitigations/M0918</t>
        </is>
      </c>
      <c r="M403" s="406" t="inlineStr">
        <is>
          <t>Current Power Generation working prior (80%) because ATT&amp;CK establishes mitigation applicability but does not quantify efficacy. Replace with test / incident / SME calibration when available.</t>
        </is>
      </c>
    </row>
    <row r="404" ht="41.25" customHeight="1" s="508">
      <c r="A404" s="406" t="inlineStr">
        <is>
          <t>T0838</t>
        </is>
      </c>
      <c r="B404" s="406" t="inlineStr">
        <is>
          <t>Modify Alarm Settings</t>
        </is>
      </c>
      <c r="C404" s="406" t="inlineStr">
        <is>
          <t>M0918</t>
        </is>
      </c>
      <c r="D404" s="406" t="inlineStr">
        <is>
          <t>User Account Management</t>
        </is>
      </c>
      <c r="E404" s="406" t="inlineStr">
        <is>
          <t>Prevent / Resist</t>
        </is>
      </c>
      <c r="F404" s="417" t="n">
        <v>0.8</v>
      </c>
      <c r="G404" s="444">
        <f>IFERROR(INDEX('OT 04 - Control Assessment'!$I$16:$I$67,MATCH(C404,'OT 04 - Control Assessment'!$A$16:$A$67,0)),0)</f>
        <v/>
      </c>
      <c r="H404" s="444">
        <f>IFERROR(INDEX('OT 04 - Control Assessment'!$J$16:$J$67,MATCH(C404,'OT 04 - Control Assessment'!$A$16:$A$67,0)),0)</f>
        <v/>
      </c>
      <c r="I404" s="444">
        <f>F404*G404*H404</f>
        <v/>
      </c>
      <c r="J404" s="406" t="inlineStr">
        <is>
          <t>Direct ATT&amp;CK mitigation relationship</t>
        </is>
      </c>
      <c r="K404" s="426" t="inlineStr">
        <is>
          <t>https://attack.mitre.org/techniques/T0838</t>
        </is>
      </c>
      <c r="L404" s="426" t="inlineStr">
        <is>
          <t>https://attack.mitre.org/mitigations/M0918</t>
        </is>
      </c>
      <c r="M404" s="406" t="inlineStr">
        <is>
          <t>Current Power Generation working prior (80%) because ATT&amp;CK establishes mitigation applicability but does not quantify efficacy. Replace with test / incident / SME calibration when available.</t>
        </is>
      </c>
    </row>
    <row r="405" ht="41.25" customHeight="1" s="508">
      <c r="A405" s="406" t="inlineStr">
        <is>
          <t>T0886</t>
        </is>
      </c>
      <c r="B405" s="406" t="inlineStr">
        <is>
          <t>Remote Services</t>
        </is>
      </c>
      <c r="C405" s="406" t="inlineStr">
        <is>
          <t>M0918</t>
        </is>
      </c>
      <c r="D405" s="406" t="inlineStr">
        <is>
          <t>User Account Management</t>
        </is>
      </c>
      <c r="E405" s="406" t="inlineStr">
        <is>
          <t>Prevent / Resist</t>
        </is>
      </c>
      <c r="F405" s="417" t="n">
        <v>0.8</v>
      </c>
      <c r="G405" s="444">
        <f>IFERROR(INDEX('OT 04 - Control Assessment'!$I$16:$I$67,MATCH(C405,'OT 04 - Control Assessment'!$A$16:$A$67,0)),0)</f>
        <v/>
      </c>
      <c r="H405" s="444">
        <f>IFERROR(INDEX('OT 04 - Control Assessment'!$J$16:$J$67,MATCH(C405,'OT 04 - Control Assessment'!$A$16:$A$67,0)),0)</f>
        <v/>
      </c>
      <c r="I405" s="444">
        <f>F405*G405*H405</f>
        <v/>
      </c>
      <c r="J405" s="406" t="inlineStr">
        <is>
          <t>Direct ATT&amp;CK mitigation relationship</t>
        </is>
      </c>
      <c r="K405" s="426" t="inlineStr">
        <is>
          <t>https://attack.mitre.org/techniques/T0886</t>
        </is>
      </c>
      <c r="L405" s="426" t="inlineStr">
        <is>
          <t>https://attack.mitre.org/mitigations/M0918</t>
        </is>
      </c>
      <c r="M405" s="406" t="inlineStr">
        <is>
          <t>Current Power Generation working prior (80%) because ATT&amp;CK establishes mitigation applicability but does not quantify efficacy. Replace with test / incident / SME calibration when available.</t>
        </is>
      </c>
    </row>
    <row r="406" ht="41.25" customHeight="1" s="508">
      <c r="A406" s="406" t="inlineStr">
        <is>
          <t>T0881</t>
        </is>
      </c>
      <c r="B406" s="406" t="inlineStr">
        <is>
          <t>Service Stop</t>
        </is>
      </c>
      <c r="C406" s="406" t="inlineStr">
        <is>
          <t>M0918</t>
        </is>
      </c>
      <c r="D406" s="406" t="inlineStr">
        <is>
          <t>User Account Management</t>
        </is>
      </c>
      <c r="E406" s="406" t="inlineStr">
        <is>
          <t>Prevent / Resist</t>
        </is>
      </c>
      <c r="F406" s="417" t="n">
        <v>0.8</v>
      </c>
      <c r="G406" s="444">
        <f>IFERROR(INDEX('OT 04 - Control Assessment'!$I$16:$I$67,MATCH(C406,'OT 04 - Control Assessment'!$A$16:$A$67,0)),0)</f>
        <v/>
      </c>
      <c r="H406" s="444">
        <f>IFERROR(INDEX('OT 04 - Control Assessment'!$J$16:$J$67,MATCH(C406,'OT 04 - Control Assessment'!$A$16:$A$67,0)),0)</f>
        <v/>
      </c>
      <c r="I406" s="444">
        <f>F406*G406*H406</f>
        <v/>
      </c>
      <c r="J406" s="406" t="inlineStr">
        <is>
          <t>Direct ATT&amp;CK mitigation relationship</t>
        </is>
      </c>
      <c r="K406" s="426" t="inlineStr">
        <is>
          <t>https://attack.mitre.org/techniques/T0881</t>
        </is>
      </c>
      <c r="L406" s="426" t="inlineStr">
        <is>
          <t>https://attack.mitre.org/mitigations/M0918</t>
        </is>
      </c>
      <c r="M406" s="406" t="inlineStr">
        <is>
          <t>Current Power Generation working prior (80%) because ATT&amp;CK establishes mitigation applicability but does not quantify efficacy. Replace with test / incident / SME calibration when available.</t>
        </is>
      </c>
    </row>
    <row r="407" ht="41.25" customHeight="1" s="508">
      <c r="A407" s="406" t="inlineStr">
        <is>
          <t>T0859</t>
        </is>
      </c>
      <c r="B407" s="406" t="inlineStr">
        <is>
          <t>Valid Accounts</t>
        </is>
      </c>
      <c r="C407" s="406" t="inlineStr">
        <is>
          <t>M0918</t>
        </is>
      </c>
      <c r="D407" s="406" t="inlineStr">
        <is>
          <t>User Account Management</t>
        </is>
      </c>
      <c r="E407" s="406" t="inlineStr">
        <is>
          <t>Prevent / Resist</t>
        </is>
      </c>
      <c r="F407" s="417" t="n">
        <v>0.8</v>
      </c>
      <c r="G407" s="444">
        <f>IFERROR(INDEX('OT 04 - Control Assessment'!$I$16:$I$67,MATCH(C407,'OT 04 - Control Assessment'!$A$16:$A$67,0)),0)</f>
        <v/>
      </c>
      <c r="H407" s="444">
        <f>IFERROR(INDEX('OT 04 - Control Assessment'!$J$16:$J$67,MATCH(C407,'OT 04 - Control Assessment'!$A$16:$A$67,0)),0)</f>
        <v/>
      </c>
      <c r="I407" s="444">
        <f>F407*G407*H407</f>
        <v/>
      </c>
      <c r="J407" s="406" t="inlineStr">
        <is>
          <t>Direct ATT&amp;CK mitigation relationship</t>
        </is>
      </c>
      <c r="K407" s="426" t="inlineStr">
        <is>
          <t>https://attack.mitre.org/techniques/T0859</t>
        </is>
      </c>
      <c r="L407" s="426" t="inlineStr">
        <is>
          <t>https://attack.mitre.org/mitigations/M0918</t>
        </is>
      </c>
      <c r="M407" s="406" t="inlineStr">
        <is>
          <t>Current Power Generation working prior (80%) because ATT&amp;CK establishes mitigation applicability but does not quantify efficacy. Replace with test / incident / SME calibration when available.</t>
        </is>
      </c>
    </row>
    <row r="408" ht="41.25" customHeight="1" s="508">
      <c r="A408" s="406" t="inlineStr">
        <is>
          <t>T0811</t>
        </is>
      </c>
      <c r="B408" s="406" t="inlineStr">
        <is>
          <t>Data from Information Repositories</t>
        </is>
      </c>
      <c r="C408" s="406" t="inlineStr">
        <is>
          <t>M0917</t>
        </is>
      </c>
      <c r="D408" s="406" t="inlineStr">
        <is>
          <t>User Training</t>
        </is>
      </c>
      <c r="E408" s="406" t="inlineStr">
        <is>
          <t>Prevent / Resist</t>
        </is>
      </c>
      <c r="F408" s="417" t="n">
        <v>0.8</v>
      </c>
      <c r="G408" s="444">
        <f>IFERROR(INDEX('OT 04 - Control Assessment'!$I$16:$I$67,MATCH(C408,'OT 04 - Control Assessment'!$A$16:$A$67,0)),0)</f>
        <v/>
      </c>
      <c r="H408" s="444">
        <f>IFERROR(INDEX('OT 04 - Control Assessment'!$J$16:$J$67,MATCH(C408,'OT 04 - Control Assessment'!$A$16:$A$67,0)),0)</f>
        <v/>
      </c>
      <c r="I408" s="444">
        <f>F408*G408*H408</f>
        <v/>
      </c>
      <c r="J408" s="406" t="inlineStr">
        <is>
          <t>Direct ATT&amp;CK mitigation relationship</t>
        </is>
      </c>
      <c r="K408" s="426" t="inlineStr">
        <is>
          <t>https://attack.mitre.org/techniques/T0811</t>
        </is>
      </c>
      <c r="L408" s="426" t="inlineStr">
        <is>
          <t>https://attack.mitre.org/mitigations/M0917</t>
        </is>
      </c>
      <c r="M408" s="406" t="inlineStr">
        <is>
          <t>Current Power Generation working prior (80%) because ATT&amp;CK establishes mitigation applicability but does not quantify efficacy. Replace with test / incident / SME calibration when available.</t>
        </is>
      </c>
    </row>
    <row r="409" ht="41.25" customHeight="1" s="508">
      <c r="A409" s="406" t="inlineStr">
        <is>
          <t>T0893</t>
        </is>
      </c>
      <c r="B409" s="406" t="inlineStr">
        <is>
          <t>Data from Local System</t>
        </is>
      </c>
      <c r="C409" s="406" t="inlineStr">
        <is>
          <t>M0917</t>
        </is>
      </c>
      <c r="D409" s="406" t="inlineStr">
        <is>
          <t>User Training</t>
        </is>
      </c>
      <c r="E409" s="406" t="inlineStr">
        <is>
          <t>Prevent / Resist</t>
        </is>
      </c>
      <c r="F409" s="417" t="n">
        <v>0.8</v>
      </c>
      <c r="G409" s="444">
        <f>IFERROR(INDEX('OT 04 - Control Assessment'!$I$16:$I$67,MATCH(C409,'OT 04 - Control Assessment'!$A$16:$A$67,0)),0)</f>
        <v/>
      </c>
      <c r="H409" s="444">
        <f>IFERROR(INDEX('OT 04 - Control Assessment'!$J$16:$J$67,MATCH(C409,'OT 04 - Control Assessment'!$A$16:$A$67,0)),0)</f>
        <v/>
      </c>
      <c r="I409" s="444">
        <f>F409*G409*H409</f>
        <v/>
      </c>
      <c r="J409" s="406" t="inlineStr">
        <is>
          <t>Direct ATT&amp;CK mitigation relationship</t>
        </is>
      </c>
      <c r="K409" s="426" t="inlineStr">
        <is>
          <t>https://attack.mitre.org/techniques/T0893</t>
        </is>
      </c>
      <c r="L409" s="426" t="inlineStr">
        <is>
          <t>https://attack.mitre.org/mitigations/M0917</t>
        </is>
      </c>
      <c r="M409" s="406" t="inlineStr">
        <is>
          <t>Current Power Generation working prior (80%) because ATT&amp;CK establishes mitigation applicability but does not quantify efficacy. Replace with test / incident / SME calibration when available.</t>
        </is>
      </c>
    </row>
    <row r="410" ht="41.25" customHeight="1" s="508">
      <c r="A410" s="406" t="inlineStr">
        <is>
          <t>T0865</t>
        </is>
      </c>
      <c r="B410" s="406" t="inlineStr">
        <is>
          <t>Spearphishing Attachment</t>
        </is>
      </c>
      <c r="C410" s="406" t="inlineStr">
        <is>
          <t>M0917</t>
        </is>
      </c>
      <c r="D410" s="406" t="inlineStr">
        <is>
          <t>User Training</t>
        </is>
      </c>
      <c r="E410" s="406" t="inlineStr">
        <is>
          <t>Prevent / Resist</t>
        </is>
      </c>
      <c r="F410" s="417" t="n">
        <v>0.8</v>
      </c>
      <c r="G410" s="444">
        <f>IFERROR(INDEX('OT 04 - Control Assessment'!$I$16:$I$67,MATCH(C410,'OT 04 - Control Assessment'!$A$16:$A$67,0)),0)</f>
        <v/>
      </c>
      <c r="H410" s="444">
        <f>IFERROR(INDEX('OT 04 - Control Assessment'!$J$16:$J$67,MATCH(C410,'OT 04 - Control Assessment'!$A$16:$A$67,0)),0)</f>
        <v/>
      </c>
      <c r="I410" s="444">
        <f>F410*G410*H410</f>
        <v/>
      </c>
      <c r="J410" s="406" t="inlineStr">
        <is>
          <t>Direct ATT&amp;CK mitigation relationship</t>
        </is>
      </c>
      <c r="K410" s="426" t="inlineStr">
        <is>
          <t>https://attack.mitre.org/techniques/T0865</t>
        </is>
      </c>
      <c r="L410" s="426" t="inlineStr">
        <is>
          <t>https://attack.mitre.org/mitigations/M0917</t>
        </is>
      </c>
      <c r="M410" s="406" t="inlineStr">
        <is>
          <t>Current Power Generation working prior (80%) because ATT&amp;CK establishes mitigation applicability but does not quantify efficacy. Replace with test / incident / SME calibration when available.</t>
        </is>
      </c>
    </row>
    <row r="411" ht="41.25" customHeight="1" s="508">
      <c r="A411" s="406" t="inlineStr">
        <is>
          <t>T0863</t>
        </is>
      </c>
      <c r="B411" s="406" t="inlineStr">
        <is>
          <t>User Execution</t>
        </is>
      </c>
      <c r="C411" s="406" t="inlineStr">
        <is>
          <t>M0917</t>
        </is>
      </c>
      <c r="D411" s="406" t="inlineStr">
        <is>
          <t>User Training</t>
        </is>
      </c>
      <c r="E411" s="406" t="inlineStr">
        <is>
          <t>Prevent / Resist</t>
        </is>
      </c>
      <c r="F411" s="417" t="n">
        <v>0.8</v>
      </c>
      <c r="G411" s="444">
        <f>IFERROR(INDEX('OT 04 - Control Assessment'!$I$16:$I$67,MATCH(C411,'OT 04 - Control Assessment'!$A$16:$A$67,0)),0)</f>
        <v/>
      </c>
      <c r="H411" s="444">
        <f>IFERROR(INDEX('OT 04 - Control Assessment'!$J$16:$J$67,MATCH(C411,'OT 04 - Control Assessment'!$A$16:$A$67,0)),0)</f>
        <v/>
      </c>
      <c r="I411" s="444">
        <f>F411*G411*H411</f>
        <v/>
      </c>
      <c r="J411" s="406" t="inlineStr">
        <is>
          <t>Direct ATT&amp;CK mitigation relationship</t>
        </is>
      </c>
      <c r="K411" s="426" t="inlineStr">
        <is>
          <t>https://attack.mitre.org/techniques/T0863</t>
        </is>
      </c>
      <c r="L411" s="426" t="inlineStr">
        <is>
          <t>https://attack.mitre.org/mitigations/M0917</t>
        </is>
      </c>
      <c r="M411" s="406" t="inlineStr">
        <is>
          <t>Current Power Generation working prior (80%) because ATT&amp;CK establishes mitigation applicability but does not quantify efficacy. Replace with test / incident / SME calibration when available.</t>
        </is>
      </c>
    </row>
    <row r="412" ht="41.25" customHeight="1" s="508">
      <c r="A412" s="406" t="inlineStr">
        <is>
          <t>T1692.001</t>
        </is>
      </c>
      <c r="B412" s="406" t="inlineStr">
        <is>
          <t>Command Message</t>
        </is>
      </c>
      <c r="C412" s="406" t="inlineStr">
        <is>
          <t>M0818</t>
        </is>
      </c>
      <c r="D412" s="406" t="inlineStr">
        <is>
          <t>Validate Program Inputs</t>
        </is>
      </c>
      <c r="E412" s="406" t="inlineStr">
        <is>
          <t>Prevent / Resist</t>
        </is>
      </c>
      <c r="F412" s="417" t="n">
        <v>0.8</v>
      </c>
      <c r="G412" s="444">
        <f>IFERROR(INDEX('OT 04 - Control Assessment'!$I$16:$I$67,MATCH(C412,'OT 04 - Control Assessment'!$A$16:$A$67,0)),0)</f>
        <v/>
      </c>
      <c r="H412" s="444">
        <f>IFERROR(INDEX('OT 04 - Control Assessment'!$J$16:$J$67,MATCH(C412,'OT 04 - Control Assessment'!$A$16:$A$67,0)),0)</f>
        <v/>
      </c>
      <c r="I412" s="444">
        <f>F412*G412*H412</f>
        <v/>
      </c>
      <c r="J412" s="406" t="inlineStr">
        <is>
          <t>Direct ATT&amp;CK mitigation relationship</t>
        </is>
      </c>
      <c r="K412" s="426" t="inlineStr">
        <is>
          <t>https://attack.mitre.org/techniques/T1692/001</t>
        </is>
      </c>
      <c r="L412" s="426" t="inlineStr">
        <is>
          <t>https://attack.mitre.org/mitigations/M0818</t>
        </is>
      </c>
      <c r="M412" s="406" t="inlineStr">
        <is>
          <t>Current Power Generation working prior (80%) because ATT&amp;CK establishes mitigation applicability but does not quantify efficacy. Replace with test / incident / SME calibration when available.</t>
        </is>
      </c>
    </row>
    <row r="413" ht="41.25" customHeight="1" s="508">
      <c r="A413" s="406" t="inlineStr">
        <is>
          <t>T0836</t>
        </is>
      </c>
      <c r="B413" s="406" t="inlineStr">
        <is>
          <t>Modify Parameter</t>
        </is>
      </c>
      <c r="C413" s="406" t="inlineStr">
        <is>
          <t>M0818</t>
        </is>
      </c>
      <c r="D413" s="406" t="inlineStr">
        <is>
          <t>Validate Program Inputs</t>
        </is>
      </c>
      <c r="E413" s="406" t="inlineStr">
        <is>
          <t>Prevent / Resist</t>
        </is>
      </c>
      <c r="F413" s="417" t="n">
        <v>0.8</v>
      </c>
      <c r="G413" s="444">
        <f>IFERROR(INDEX('OT 04 - Control Assessment'!$I$16:$I$67,MATCH(C413,'OT 04 - Control Assessment'!$A$16:$A$67,0)),0)</f>
        <v/>
      </c>
      <c r="H413" s="444">
        <f>IFERROR(INDEX('OT 04 - Control Assessment'!$J$16:$J$67,MATCH(C413,'OT 04 - Control Assessment'!$A$16:$A$67,0)),0)</f>
        <v/>
      </c>
      <c r="I413" s="444">
        <f>F413*G413*H413</f>
        <v/>
      </c>
      <c r="J413" s="406" t="inlineStr">
        <is>
          <t>Direct ATT&amp;CK mitigation relationship</t>
        </is>
      </c>
      <c r="K413" s="426" t="inlineStr">
        <is>
          <t>https://attack.mitre.org/techniques/T0836</t>
        </is>
      </c>
      <c r="L413" s="426" t="inlineStr">
        <is>
          <t>https://attack.mitre.org/mitigations/M0818</t>
        </is>
      </c>
      <c r="M413" s="406" t="inlineStr">
        <is>
          <t>Current Power Generation working prior (80%) because ATT&amp;CK establishes mitigation applicability but does not quantify efficacy. Replace with test / incident / SME calibration when available.</t>
        </is>
      </c>
    </row>
    <row r="414" ht="41.25" customHeight="1" s="508">
      <c r="A414" s="406" t="inlineStr">
        <is>
          <t>T0819</t>
        </is>
      </c>
      <c r="B414" s="406" t="inlineStr">
        <is>
          <t>Exploit Public-Facing Application</t>
        </is>
      </c>
      <c r="C414" s="406" t="inlineStr">
        <is>
          <t>M0916</t>
        </is>
      </c>
      <c r="D414" s="406" t="inlineStr">
        <is>
          <t>Vulnerability Scanning</t>
        </is>
      </c>
      <c r="E414" s="406" t="inlineStr">
        <is>
          <t>Detect / Contain</t>
        </is>
      </c>
      <c r="F414" s="417" t="n">
        <v>0.8</v>
      </c>
      <c r="G414" s="444">
        <f>IFERROR(INDEX('OT 04 - Control Assessment'!$I$16:$I$67,MATCH(C414,'OT 04 - Control Assessment'!$A$16:$A$67,0)),0)</f>
        <v/>
      </c>
      <c r="H414" s="444">
        <f>IFERROR(INDEX('OT 04 - Control Assessment'!$J$16:$J$67,MATCH(C414,'OT 04 - Control Assessment'!$A$16:$A$67,0)),0)</f>
        <v/>
      </c>
      <c r="I414" s="444">
        <f>F414*G414*H414</f>
        <v/>
      </c>
      <c r="J414" s="406" t="inlineStr">
        <is>
          <t>Direct ATT&amp;CK mitigation relationship</t>
        </is>
      </c>
      <c r="K414" s="426" t="inlineStr">
        <is>
          <t>https://attack.mitre.org/techniques/T0819</t>
        </is>
      </c>
      <c r="L414" s="426" t="inlineStr">
        <is>
          <t>https://attack.mitre.org/mitigations/M0916</t>
        </is>
      </c>
      <c r="M414" s="406" t="inlineStr">
        <is>
          <t>Current Power Generation working prior (80%) because ATT&amp;CK establishes mitigation applicability but does not quantify efficacy. Replace with test / incident / SME calibration when available.</t>
        </is>
      </c>
    </row>
    <row r="415" ht="41.25" customHeight="1" s="508">
      <c r="A415" s="406" t="inlineStr">
        <is>
          <t>T0866</t>
        </is>
      </c>
      <c r="B415" s="406" t="inlineStr">
        <is>
          <t>Exploitation of Remote Services</t>
        </is>
      </c>
      <c r="C415" s="406" t="inlineStr">
        <is>
          <t>M0916</t>
        </is>
      </c>
      <c r="D415" s="406" t="inlineStr">
        <is>
          <t>Vulnerability Scanning</t>
        </is>
      </c>
      <c r="E415" s="406" t="inlineStr">
        <is>
          <t>Detect / Contain</t>
        </is>
      </c>
      <c r="F415" s="417" t="n">
        <v>0.8</v>
      </c>
      <c r="G415" s="444">
        <f>IFERROR(INDEX('OT 04 - Control Assessment'!$I$16:$I$67,MATCH(C415,'OT 04 - Control Assessment'!$A$16:$A$67,0)),0)</f>
        <v/>
      </c>
      <c r="H415" s="444">
        <f>IFERROR(INDEX('OT 04 - Control Assessment'!$J$16:$J$67,MATCH(C415,'OT 04 - Control Assessment'!$A$16:$A$67,0)),0)</f>
        <v/>
      </c>
      <c r="I415" s="444">
        <f>F415*G415*H415</f>
        <v/>
      </c>
      <c r="J415" s="406" t="inlineStr">
        <is>
          <t>Direct ATT&amp;CK mitigation relationship</t>
        </is>
      </c>
      <c r="K415" s="426" t="inlineStr">
        <is>
          <t>https://attack.mitre.org/techniques/T0866</t>
        </is>
      </c>
      <c r="L415" s="426" t="inlineStr">
        <is>
          <t>https://attack.mitre.org/mitigations/M0916</t>
        </is>
      </c>
      <c r="M415" s="406" t="inlineStr">
        <is>
          <t>Current Power Generation working prior (80%) because ATT&amp;CK establishes mitigation applicability but does not quantify efficacy. Replace with test / incident / SME calibration when available.</t>
        </is>
      </c>
    </row>
    <row r="416" ht="41.25" customHeight="1" s="508">
      <c r="A416" s="406" t="inlineStr">
        <is>
          <t>T0862</t>
        </is>
      </c>
      <c r="B416" s="406" t="inlineStr">
        <is>
          <t>Supply Chain Compromise</t>
        </is>
      </c>
      <c r="C416" s="406" t="inlineStr">
        <is>
          <t>M0916</t>
        </is>
      </c>
      <c r="D416" s="406" t="inlineStr">
        <is>
          <t>Vulnerability Scanning</t>
        </is>
      </c>
      <c r="E416" s="406" t="inlineStr">
        <is>
          <t>Detect / Contain</t>
        </is>
      </c>
      <c r="F416" s="417" t="n">
        <v>0.8</v>
      </c>
      <c r="G416" s="444">
        <f>IFERROR(INDEX('OT 04 - Control Assessment'!$I$16:$I$67,MATCH(C416,'OT 04 - Control Assessment'!$A$16:$A$67,0)),0)</f>
        <v/>
      </c>
      <c r="H416" s="444">
        <f>IFERROR(INDEX('OT 04 - Control Assessment'!$J$16:$J$67,MATCH(C416,'OT 04 - Control Assessment'!$A$16:$A$67,0)),0)</f>
        <v/>
      </c>
      <c r="I416" s="444">
        <f>F416*G416*H416</f>
        <v/>
      </c>
      <c r="J416" s="406" t="inlineStr">
        <is>
          <t>Direct ATT&amp;CK mitigation relationship</t>
        </is>
      </c>
      <c r="K416" s="426" t="inlineStr">
        <is>
          <t>https://attack.mitre.org/techniques/T0862</t>
        </is>
      </c>
      <c r="L416" s="426" t="inlineStr">
        <is>
          <t>https://attack.mitre.org/mitigations/M0916</t>
        </is>
      </c>
      <c r="M416" s="406" t="inlineStr">
        <is>
          <t>Current Power Generation working prior (80%) because ATT&amp;CK establishes mitigation applicability but does not quantify efficacy. Replace with test / incident / SME calibration when available.</t>
        </is>
      </c>
    </row>
    <row r="417" ht="41.25" customHeight="1" s="508">
      <c r="A417" s="406" t="inlineStr">
        <is>
          <t>T0814</t>
        </is>
      </c>
      <c r="B417" s="406" t="inlineStr">
        <is>
          <t>Denial of Service</t>
        </is>
      </c>
      <c r="C417" s="406" t="inlineStr">
        <is>
          <t>M0815</t>
        </is>
      </c>
      <c r="D417" s="406" t="inlineStr">
        <is>
          <t>Watchdog Timers</t>
        </is>
      </c>
      <c r="E417" s="406" t="inlineStr">
        <is>
          <t>Safety / Resilience</t>
        </is>
      </c>
      <c r="F417" s="417" t="n">
        <v>0.8</v>
      </c>
      <c r="G417" s="444">
        <f>IFERROR(INDEX('OT 04 - Control Assessment'!$I$16:$I$67,MATCH(C417,'OT 04 - Control Assessment'!$A$16:$A$67,0)),0)</f>
        <v/>
      </c>
      <c r="H417" s="444">
        <f>IFERROR(INDEX('OT 04 - Control Assessment'!$J$16:$J$67,MATCH(C417,'OT 04 - Control Assessment'!$A$16:$A$67,0)),0)</f>
        <v/>
      </c>
      <c r="I417" s="444">
        <f>F417*G417*H417</f>
        <v/>
      </c>
      <c r="J417" s="406" t="inlineStr">
        <is>
          <t>Direct ATT&amp;CK mitigation relationship</t>
        </is>
      </c>
      <c r="K417" s="426" t="inlineStr">
        <is>
          <t>https://attack.mitre.org/techniques/T0814</t>
        </is>
      </c>
      <c r="L417" s="426" t="inlineStr">
        <is>
          <t>https://attack.mitre.org/mitigations/M0815</t>
        </is>
      </c>
      <c r="M417" s="406" t="inlineStr">
        <is>
          <t>Current Power Generation working prior (80%) because ATT&amp;CK establishes mitigation applicability but does not quantify efficacy. Replace with test / incident / SME calibration when available.</t>
        </is>
      </c>
    </row>
  </sheetData>
  <mergeCells count="13">
    <mergeCell ref="A13:M13"/>
    <mergeCell ref="A1:M1"/>
    <mergeCell ref="A5:M5"/>
    <mergeCell ref="A8:M8"/>
    <mergeCell ref="A6:M6"/>
    <mergeCell ref="A9:M9"/>
    <mergeCell ref="A4:M4"/>
    <mergeCell ref="A12:M12"/>
    <mergeCell ref="A3:M3"/>
    <mergeCell ref="A7:M7"/>
    <mergeCell ref="A2:M2"/>
    <mergeCell ref="A11:M11"/>
    <mergeCell ref="A10:M10"/>
  </mergeCells>
  <pageMargins left="0.7" right="0.7" top="0.75" bottom="0.75" header="0.3" footer="0.3"/>
</worksheet>
</file>

<file path=xl/worksheets/sheet43.xml><?xml version="1.0" encoding="utf-8"?>
<worksheet xmlns="http://schemas.openxmlformats.org/spreadsheetml/2006/main">
  <sheetPr>
    <tabColor rgb="00ED7D31"/>
    <outlinePr summaryBelow="1" summaryRight="1"/>
    <pageSetUpPr/>
  </sheetPr>
  <dimension ref="A1:F61"/>
  <sheetViews>
    <sheetView showGridLines="1" workbookViewId="0">
      <selection activeCell="A1" sqref="A1"/>
    </sheetView>
  </sheetViews>
  <sheetFormatPr baseColWidth="8" defaultColWidth="8.6796875" defaultRowHeight="15"/>
  <cols>
    <col width="18" customWidth="1" style="972" min="1" max="1"/>
    <col width="30" customWidth="1" style="972" min="2" max="2"/>
    <col width="14" customWidth="1" style="972" min="3" max="3"/>
    <col width="34" customWidth="1" style="972" min="4" max="4"/>
    <col width="42" customWidth="1" style="972" min="5" max="5"/>
    <col width="96" customWidth="1" style="972" min="6" max="6"/>
  </cols>
  <sheetData>
    <row r="1" ht="25.5" customHeight="1" s="508">
      <c r="A1" s="427" t="inlineStr">
        <is>
          <t>10 — Scenario-TTP Mapping Change Log (v1.1 to v1.2)</t>
        </is>
      </c>
    </row>
    <row r="2" ht="39.75" customHeight="1" s="508">
      <c r="A2" s="428" t="inlineStr">
        <is>
          <t>Every change made to the Power Generation scenario pack, with the reason. Rows removed or suppressed are retained on 09 Scenario-TTP Map with their reason recorded in Mapping basis rather than deleted, so the v1.1 position remains auditable.</t>
        </is>
      </c>
    </row>
    <row r="3" ht="21.75" customHeight="1" s="508">
      <c r="A3" s="438" t="inlineStr">
        <is>
          <t>In plain English: what changed in the technique mappings, and why.</t>
        </is>
      </c>
    </row>
    <row r="5" ht="15" customHeight="1" s="508">
      <c r="A5" s="439" t="inlineStr">
        <is>
          <t>Change</t>
        </is>
      </c>
      <c r="B5" s="439" t="inlineStr">
        <is>
          <t>Scenario</t>
        </is>
      </c>
      <c r="C5" s="439" t="inlineStr">
        <is>
          <t>TTP ID</t>
        </is>
      </c>
      <c r="D5" s="439" t="inlineStr">
        <is>
          <t>Technique</t>
        </is>
      </c>
      <c r="E5" s="439" t="inlineStr">
        <is>
          <t>From -&gt; To</t>
        </is>
      </c>
      <c r="F5" s="439" t="inlineStr">
        <is>
          <t>Reason</t>
        </is>
      </c>
    </row>
    <row r="6" ht="25.5" customHeight="1" s="508">
      <c r="A6" s="440" t="inlineStr">
        <is>
          <t>DROP</t>
        </is>
      </c>
      <c r="B6" s="441" t="inlineStr">
        <is>
          <t>Operational Disruption</t>
        </is>
      </c>
      <c r="C6" s="441" t="inlineStr">
        <is>
          <t>T0882</t>
        </is>
      </c>
      <c r="D6" s="441" t="inlineStr">
        <is>
          <t>Theft of Operational Information</t>
        </is>
      </c>
      <c r="E6" s="441" t="n"/>
      <c r="F6" s="441" t="inlineStr">
        <is>
          <t>Theft of Operational Information is an exfiltration outcome, not a disruption mechanism.</t>
        </is>
      </c>
    </row>
    <row r="7" ht="25.5" customHeight="1" s="508">
      <c r="A7" s="442" t="inlineStr">
        <is>
          <t>DROP</t>
        </is>
      </c>
      <c r="B7" s="443" t="inlineStr">
        <is>
          <t>Operational Disruption</t>
        </is>
      </c>
      <c r="C7" s="443" t="inlineStr">
        <is>
          <t>T0828</t>
        </is>
      </c>
      <c r="D7" s="443" t="inlineStr">
        <is>
          <t>Loss of Productivity and Revenue</t>
        </is>
      </c>
      <c r="E7" s="443" t="n"/>
      <c r="F7" s="443" t="inlineStr">
        <is>
          <t>Loss of Productivity and Revenue is a consequence; the CRQ engine quantifies financial consequence separately (sheets 05/17).</t>
        </is>
      </c>
    </row>
    <row r="8" ht="25.5" customHeight="1" s="508">
      <c r="A8" s="440" t="inlineStr">
        <is>
          <t>MOVE-OUT</t>
        </is>
      </c>
      <c r="B8" s="441" t="inlineStr">
        <is>
          <t>Operational Disruption</t>
        </is>
      </c>
      <c r="C8" s="441" t="inlineStr">
        <is>
          <t>T0832</t>
        </is>
      </c>
      <c r="D8" s="441" t="inlineStr">
        <is>
          <t>Manipulation of View</t>
        </is>
      </c>
      <c r="E8" s="441" t="n"/>
      <c r="F8" s="441" t="inlineStr">
        <is>
          <t>Manipulation of View is deceptive visibility; belongs under Loss of Control or Visibility.</t>
        </is>
      </c>
    </row>
    <row r="9" ht="25.5" customHeight="1" s="508">
      <c r="A9" s="442" t="inlineStr">
        <is>
          <t>MOVE-IN</t>
        </is>
      </c>
      <c r="B9" s="443" t="inlineStr">
        <is>
          <t>Loss of Control or Visibility</t>
        </is>
      </c>
      <c r="C9" s="443" t="inlineStr">
        <is>
          <t>T0832</t>
        </is>
      </c>
      <c r="D9" s="443" t="inlineStr">
        <is>
          <t>Manipulation of View</t>
        </is>
      </c>
      <c r="E9" s="443" t="inlineStr">
        <is>
          <t>Supporting / impact / S5</t>
        </is>
      </c>
      <c r="F9" s="443" t="inlineStr">
        <is>
          <t>Manipulation of View is deceptive visibility; belongs under Loss of Control or Visibility.</t>
        </is>
      </c>
    </row>
    <row r="10" ht="25.5" customHeight="1" s="508">
      <c r="A10" s="440" t="inlineStr">
        <is>
          <t>MOVE-OUT</t>
        </is>
      </c>
      <c r="B10" s="441" t="inlineStr">
        <is>
          <t>Operational Disruption</t>
        </is>
      </c>
      <c r="C10" s="441" t="inlineStr">
        <is>
          <t>T0837</t>
        </is>
      </c>
      <c r="D10" s="441" t="inlineStr">
        <is>
          <t>Loss of Protection</t>
        </is>
      </c>
      <c r="E10" s="441" t="n"/>
      <c r="F10" s="441" t="inlineStr">
        <is>
          <t>Loss of Protection compromises protective functions preventing faults and abnormal conditions.</t>
        </is>
      </c>
    </row>
    <row r="11" ht="25.5" customHeight="1" s="508">
      <c r="A11" s="442" t="inlineStr">
        <is>
          <t>MOVE-IN</t>
        </is>
      </c>
      <c r="B11" s="443" t="inlineStr">
        <is>
          <t>Safety System Compromise</t>
        </is>
      </c>
      <c r="C11" s="443" t="inlineStr">
        <is>
          <t>T0837</t>
        </is>
      </c>
      <c r="D11" s="443" t="inlineStr">
        <is>
          <t>Loss of Protection</t>
        </is>
      </c>
      <c r="E11" s="443" t="inlineStr">
        <is>
          <t>Scenario-defining / S5</t>
        </is>
      </c>
      <c r="F11" s="443" t="inlineStr">
        <is>
          <t>Loss of Protection compromises protective functions preventing faults and abnormal conditions.</t>
        </is>
      </c>
    </row>
    <row r="12" ht="25.5" customHeight="1" s="508">
      <c r="A12" s="440" t="inlineStr">
        <is>
          <t>MOVE-OUT</t>
        </is>
      </c>
      <c r="B12" s="441" t="inlineStr">
        <is>
          <t>Operational Disruption</t>
        </is>
      </c>
      <c r="C12" s="441" t="inlineStr">
        <is>
          <t>T0879</t>
        </is>
      </c>
      <c r="D12" s="441" t="inlineStr">
        <is>
          <t>Damage to Property</t>
        </is>
      </c>
      <c r="E12" s="441" t="n"/>
      <c r="F12" s="441" t="inlineStr">
        <is>
          <t>Damage to Property is damage/destruction of equipment and environment; belongs under Destructive or Integrity.</t>
        </is>
      </c>
    </row>
    <row r="13" ht="25.5" customHeight="1" s="508">
      <c r="A13" s="442" t="inlineStr">
        <is>
          <t>MOVE-IN</t>
        </is>
      </c>
      <c r="B13" s="443" t="inlineStr">
        <is>
          <t>Destructive or Integrity Attack</t>
        </is>
      </c>
      <c r="C13" s="443" t="inlineStr">
        <is>
          <t>T0879</t>
        </is>
      </c>
      <c r="D13" s="443" t="inlineStr">
        <is>
          <t>Damage to Property</t>
        </is>
      </c>
      <c r="E13" s="443" t="inlineStr">
        <is>
          <t>Supporting / impact / S5</t>
        </is>
      </c>
      <c r="F13" s="443" t="inlineStr">
        <is>
          <t>Damage to Property is damage/destruction of equipment and environment; belongs under Destructive or Integrity.</t>
        </is>
      </c>
    </row>
    <row r="14" ht="25.5" customHeight="1" s="508">
      <c r="A14" s="440" t="inlineStr">
        <is>
          <t>RECLASSIFY</t>
        </is>
      </c>
      <c r="B14" s="441" t="inlineStr">
        <is>
          <t>Process Manipulation</t>
        </is>
      </c>
      <c r="C14" s="441" t="inlineStr">
        <is>
          <t>T1691.001</t>
        </is>
      </c>
      <c r="D14" s="441" t="inlineStr">
        <is>
          <t>Command Message</t>
        </is>
      </c>
      <c r="E14" s="441" t="inlineStr">
        <is>
          <t>Scenario-defining / S5 -&gt; Supporting / impact / S5</t>
        </is>
      </c>
      <c r="F14" s="441" t="inlineStr">
        <is>
          <t>Block Command Message prevents a command reaching its target (inhibit response); it does not issue a malicious command, so it cannot define Process Manipulation.</t>
        </is>
      </c>
    </row>
    <row r="15" ht="25.5" customHeight="1" s="508">
      <c r="A15" s="442" t="inlineStr">
        <is>
          <t>RECLASSIFY</t>
        </is>
      </c>
      <c r="B15" s="443" t="inlineStr">
        <is>
          <t>Safety System Compromise</t>
        </is>
      </c>
      <c r="C15" s="443" t="inlineStr">
        <is>
          <t>T0851</t>
        </is>
      </c>
      <c r="D15" s="443" t="inlineStr">
        <is>
          <t>Rootkit</t>
        </is>
      </c>
      <c r="E15" s="443" t="inlineStr">
        <is>
          <t>Scenario-defining / S5 -&gt; Enabling / prerequisite / S2</t>
        </is>
      </c>
      <c r="F15" s="443" t="inlineStr">
        <is>
          <t>Rootkit hides malware and connections through OS manipulation — an evasion technique, not a safety-system outcome.</t>
        </is>
      </c>
    </row>
    <row r="16" ht="25.5" customHeight="1" s="508">
      <c r="A16" s="440" t="inlineStr">
        <is>
          <t>RECLASSIFY</t>
        </is>
      </c>
      <c r="B16" s="441" t="inlineStr">
        <is>
          <t>Destructive or Integrity Attack</t>
        </is>
      </c>
      <c r="C16" s="441" t="inlineStr">
        <is>
          <t>T0851</t>
        </is>
      </c>
      <c r="D16" s="441" t="inlineStr">
        <is>
          <t>Rootkit</t>
        </is>
      </c>
      <c r="E16" s="441" t="inlineStr">
        <is>
          <t>Scenario-defining / S5 -&gt; Enabling / prerequisite / S2</t>
        </is>
      </c>
      <c r="F16" s="441" t="inlineStr">
        <is>
          <t>As above: evasion, not a destructive or integrity outcome.</t>
        </is>
      </c>
    </row>
    <row r="17" ht="25.5" customHeight="1" s="508">
      <c r="A17" s="442" t="inlineStr">
        <is>
          <t>RECLASSIFY</t>
        </is>
      </c>
      <c r="B17" s="443" t="inlineStr">
        <is>
          <t>Destructive or Integrity Attack</t>
        </is>
      </c>
      <c r="C17" s="443" t="inlineStr">
        <is>
          <t>T0800</t>
        </is>
      </c>
      <c r="D17" s="443" t="inlineStr">
        <is>
          <t>Activate Firmware Update Mode</t>
        </is>
      </c>
      <c r="E17" s="443" t="inlineStr">
        <is>
          <t>Scenario-defining / S5 -&gt; Supporting / impact / S5</t>
        </is>
      </c>
      <c r="F17" s="443" t="inlineStr">
        <is>
          <t>Activate Firmware Update Mode denies normal functionality but does not itself imply destructive or integrity compromise.</t>
        </is>
      </c>
    </row>
    <row r="18" ht="25.5" customHeight="1" s="508">
      <c r="A18" s="440" t="inlineStr">
        <is>
          <t>RESTAGE</t>
        </is>
      </c>
      <c r="B18" s="441" t="inlineStr">
        <is>
          <t>Process Manipulation</t>
        </is>
      </c>
      <c r="C18" s="441" t="inlineStr">
        <is>
          <t>T0821</t>
        </is>
      </c>
      <c r="D18" s="441" t="inlineStr">
        <is>
          <t>Modify Controller Tasking</t>
        </is>
      </c>
      <c r="E18" s="441" t="inlineStr">
        <is>
          <t>Enabling / prerequisite / S2 -&gt; Supporting / impact / S5</t>
        </is>
      </c>
      <c r="F18" s="441" t="inlineStr">
        <is>
          <t>In the Process Manipulation scenario this technique directly implements the adverse outcome, so it is staged S5 rather than inheriting its ATT&amp;CK tactic. CRQ stage is scenario-specific.</t>
        </is>
      </c>
    </row>
    <row r="19" ht="25.5" customHeight="1" s="508">
      <c r="A19" s="442" t="inlineStr">
        <is>
          <t>RESTAGE</t>
        </is>
      </c>
      <c r="B19" s="443" t="inlineStr">
        <is>
          <t>Process Manipulation</t>
        </is>
      </c>
      <c r="C19" s="443" t="inlineStr">
        <is>
          <t>T0889</t>
        </is>
      </c>
      <c r="D19" s="443" t="inlineStr">
        <is>
          <t>Modify Program</t>
        </is>
      </c>
      <c r="E19" s="443" t="inlineStr">
        <is>
          <t>Enabling / prerequisite / S2 -&gt; Supporting / impact / S5</t>
        </is>
      </c>
      <c r="F19" s="443" t="inlineStr">
        <is>
          <t>In the Process Manipulation scenario this technique directly implements the adverse outcome, so it is staged S5 rather than inheriting its ATT&amp;CK tactic. CRQ stage is scenario-specific.</t>
        </is>
      </c>
    </row>
    <row r="20" ht="25.5" customHeight="1" s="508">
      <c r="A20" s="440" t="inlineStr">
        <is>
          <t>RESTAGE</t>
        </is>
      </c>
      <c r="B20" s="441" t="inlineStr">
        <is>
          <t>Process Manipulation</t>
        </is>
      </c>
      <c r="C20" s="441" t="inlineStr">
        <is>
          <t>T0843.002</t>
        </is>
      </c>
      <c r="D20" s="441" t="inlineStr">
        <is>
          <t>Online Edit</t>
        </is>
      </c>
      <c r="E20" s="441" t="inlineStr">
        <is>
          <t>Enabling / prerequisite / S3 -&gt; Supporting / impact / S5</t>
        </is>
      </c>
      <c r="F20" s="441" t="inlineStr">
        <is>
          <t>In the Process Manipulation scenario this technique directly implements the adverse outcome, so it is staged S5 rather than inheriting its ATT&amp;CK tactic. CRQ stage is scenario-specific.</t>
        </is>
      </c>
    </row>
    <row r="21" ht="25.5" customHeight="1" s="508">
      <c r="A21" s="442" t="inlineStr">
        <is>
          <t>RESTAGE</t>
        </is>
      </c>
      <c r="B21" s="443" t="inlineStr">
        <is>
          <t>Process Manipulation</t>
        </is>
      </c>
      <c r="C21" s="443" t="inlineStr">
        <is>
          <t>T0848</t>
        </is>
      </c>
      <c r="D21" s="443" t="inlineStr">
        <is>
          <t>Rogue Master</t>
        </is>
      </c>
      <c r="E21" s="443" t="inlineStr">
        <is>
          <t>Enabling / prerequisite / S1 -&gt; Supporting / impact / S5</t>
        </is>
      </c>
      <c r="F21" s="443" t="inlineStr">
        <is>
          <t>In the Process Manipulation scenario this technique directly implements the adverse outcome, so it is staged S5 rather than inheriting its ATT&amp;CK tactic. CRQ stage is scenario-specific.</t>
        </is>
      </c>
    </row>
    <row r="22" ht="25.5" customHeight="1" s="508">
      <c r="A22" s="440" t="inlineStr">
        <is>
          <t>ADD</t>
        </is>
      </c>
      <c r="B22" s="441" t="inlineStr">
        <is>
          <t>Loss of Control or Visibility</t>
        </is>
      </c>
      <c r="C22" s="441" t="inlineStr">
        <is>
          <t>T1691.001</t>
        </is>
      </c>
      <c r="D22" s="441" t="inlineStr">
        <is>
          <t>Command Message</t>
        </is>
      </c>
      <c r="E22" s="441" t="inlineStr">
        <is>
          <t>Supporting / impact / S5</t>
        </is>
      </c>
      <c r="F22" s="441" t="inlineStr">
        <is>
          <t>Block Command Message can cause loss or denial of operator control.</t>
        </is>
      </c>
    </row>
    <row r="23" ht="25.5" customHeight="1" s="508">
      <c r="A23" s="442" t="inlineStr">
        <is>
          <t>ADD</t>
        </is>
      </c>
      <c r="B23" s="443" t="inlineStr">
        <is>
          <t>Loss of Control or Visibility</t>
        </is>
      </c>
      <c r="C23" s="443" t="inlineStr">
        <is>
          <t>T1691.002</t>
        </is>
      </c>
      <c r="D23" s="443" t="inlineStr">
        <is>
          <t>Reporting Message</t>
        </is>
      </c>
      <c r="E23" s="443" t="inlineStr">
        <is>
          <t>Supporting / impact / S5</t>
        </is>
      </c>
      <c r="F23" s="443" t="inlineStr">
        <is>
          <t>Block Reporting Message can cause loss of process visibility.</t>
        </is>
      </c>
    </row>
    <row r="24" ht="25.5" customHeight="1" s="508">
      <c r="A24" s="440" t="inlineStr">
        <is>
          <t>ADD</t>
        </is>
      </c>
      <c r="B24" s="441" t="inlineStr">
        <is>
          <t>Loss of Control or Visibility</t>
        </is>
      </c>
      <c r="C24" s="441" t="inlineStr">
        <is>
          <t>T1692.002</t>
        </is>
      </c>
      <c r="D24" s="441" t="inlineStr">
        <is>
          <t>Reporting Message</t>
        </is>
      </c>
      <c r="E24" s="441" t="inlineStr">
        <is>
          <t>Supporting / impact / S5</t>
        </is>
      </c>
      <c r="F24" s="441" t="inlineStr">
        <is>
          <t>Unauthorized Reporting Message falsifies process telemetry presented to operators.</t>
        </is>
      </c>
    </row>
    <row r="25" ht="25.5" customHeight="1" s="508">
      <c r="A25" s="442" t="inlineStr">
        <is>
          <t>ADD</t>
        </is>
      </c>
      <c r="B25" s="443" t="inlineStr">
        <is>
          <t>Loss of Control or Visibility</t>
        </is>
      </c>
      <c r="C25" s="443" t="inlineStr">
        <is>
          <t>T0892</t>
        </is>
      </c>
      <c r="D25" s="443" t="inlineStr">
        <is>
          <t>Change Credential</t>
        </is>
      </c>
      <c r="E25" s="443" t="inlineStr">
        <is>
          <t>Supporting / impact / S5</t>
        </is>
      </c>
      <c r="F25" s="443" t="inlineStr">
        <is>
          <t>Change Credential can prevent legitimate operator access to control systems.</t>
        </is>
      </c>
    </row>
    <row r="26" ht="25.5" customHeight="1" s="508">
      <c r="A26" s="440" t="inlineStr">
        <is>
          <t>ADD</t>
        </is>
      </c>
      <c r="B26" s="441" t="inlineStr">
        <is>
          <t>Loss of Control or Visibility</t>
        </is>
      </c>
      <c r="C26" s="441" t="inlineStr">
        <is>
          <t>T0832</t>
        </is>
      </c>
      <c r="D26" s="441" t="inlineStr">
        <is>
          <t>Manipulation of View</t>
        </is>
      </c>
      <c r="E26" s="441" t="inlineStr">
        <is>
          <t>Supporting / impact / S5</t>
        </is>
      </c>
      <c r="F26" s="441" t="inlineStr">
        <is>
          <t>Manipulation of View — deceptive or compromised process visibility.</t>
        </is>
      </c>
    </row>
    <row r="27" ht="25.5" customHeight="1" s="508">
      <c r="A27" s="442" t="inlineStr">
        <is>
          <t>ADD</t>
        </is>
      </c>
      <c r="B27" s="443" t="inlineStr">
        <is>
          <t>Operational Disruption</t>
        </is>
      </c>
      <c r="C27" s="443" t="inlineStr">
        <is>
          <t>T1691</t>
        </is>
      </c>
      <c r="D27" s="443" t="inlineStr">
        <is>
          <t>Block Operational Technology Message</t>
        </is>
      </c>
      <c r="E27" s="443" t="inlineStr">
        <is>
          <t>Supporting / impact / S5</t>
        </is>
      </c>
      <c r="F27" s="443" t="inlineStr">
        <is>
          <t>Blocking OT messages disrupts process and operations.</t>
        </is>
      </c>
    </row>
    <row r="28" ht="25.5" customHeight="1" s="508">
      <c r="A28" s="440" t="inlineStr">
        <is>
          <t>ADD</t>
        </is>
      </c>
      <c r="B28" s="441" t="inlineStr">
        <is>
          <t>Operational Disruption</t>
        </is>
      </c>
      <c r="C28" s="441" t="inlineStr">
        <is>
          <t>T1695</t>
        </is>
      </c>
      <c r="D28" s="441" t="inlineStr">
        <is>
          <t>Block Communications</t>
        </is>
      </c>
      <c r="E28" s="441" t="inlineStr">
        <is>
          <t>Supporting / impact / S5</t>
        </is>
      </c>
      <c r="F28" s="441" t="inlineStr">
        <is>
          <t>Blocking OT communications disrupts process and operations.</t>
        </is>
      </c>
    </row>
    <row r="29" ht="25.5" customHeight="1" s="508">
      <c r="A29" s="442" t="inlineStr">
        <is>
          <t>ADD</t>
        </is>
      </c>
      <c r="B29" s="443" t="inlineStr">
        <is>
          <t>Operational Disruption</t>
        </is>
      </c>
      <c r="C29" s="443" t="inlineStr">
        <is>
          <t>T1691.001</t>
        </is>
      </c>
      <c r="D29" s="443" t="inlineStr">
        <is>
          <t>Command Message</t>
        </is>
      </c>
      <c r="E29" s="443" t="inlineStr">
        <is>
          <t>Supporting / impact / S5</t>
        </is>
      </c>
      <c r="F29" s="443" t="inlineStr">
        <is>
          <t>Blocked command messages interrupt normal operation.</t>
        </is>
      </c>
    </row>
    <row r="30" ht="25.5" customHeight="1" s="508">
      <c r="A30" s="440" t="inlineStr">
        <is>
          <t>ADD</t>
        </is>
      </c>
      <c r="B30" s="441" t="inlineStr">
        <is>
          <t>Operational Disruption</t>
        </is>
      </c>
      <c r="C30" s="441" t="inlineStr">
        <is>
          <t>T0800</t>
        </is>
      </c>
      <c r="D30" s="441" t="inlineStr">
        <is>
          <t>Activate Firmware Update Mode</t>
        </is>
      </c>
      <c r="E30" s="441" t="inlineStr">
        <is>
          <t>Supporting / impact / S5</t>
        </is>
      </c>
      <c r="F30" s="441" t="inlineStr">
        <is>
          <t>Firmware update mode denies expected device functionality.</t>
        </is>
      </c>
    </row>
    <row r="31" ht="25.5" customHeight="1" s="508">
      <c r="A31" s="442" t="inlineStr">
        <is>
          <t>ADD</t>
        </is>
      </c>
      <c r="B31" s="443" t="inlineStr">
        <is>
          <t>Safety System Compromise</t>
        </is>
      </c>
      <c r="C31" s="443" t="inlineStr">
        <is>
          <t>T0837</t>
        </is>
      </c>
      <c r="D31" s="443" t="inlineStr">
        <is>
          <t>Loss of Protection</t>
        </is>
      </c>
      <c r="E31" s="443" t="inlineStr">
        <is>
          <t>Scenario-defining / S5</t>
        </is>
      </c>
      <c r="F31" s="443" t="inlineStr">
        <is>
          <t>Loss of Protection compromises protective functions designed to prevent faults, abnormal conditions and equipment damage.</t>
        </is>
      </c>
    </row>
    <row r="32" ht="25.5" customHeight="1" s="508">
      <c r="A32" s="440" t="inlineStr">
        <is>
          <t>ADD</t>
        </is>
      </c>
      <c r="B32" s="441" t="inlineStr">
        <is>
          <t>Destructive or Integrity Attack</t>
        </is>
      </c>
      <c r="C32" s="441" t="inlineStr">
        <is>
          <t>T0879</t>
        </is>
      </c>
      <c r="D32" s="441" t="inlineStr">
        <is>
          <t>Damage to Property</t>
        </is>
      </c>
      <c r="E32" s="441" t="inlineStr">
        <is>
          <t>Supporting / impact / S5</t>
        </is>
      </c>
      <c r="F32" s="441" t="inlineStr">
        <is>
          <t>Damage to Property — destruction of infrastructure, operational equipment and surrounding environment.</t>
        </is>
      </c>
    </row>
    <row r="33" ht="25.5" customHeight="1" s="508">
      <c r="A33" s="442" t="inlineStr">
        <is>
          <t>STRENGTHEN</t>
        </is>
      </c>
      <c r="B33" s="443" t="inlineStr">
        <is>
          <t>Destructive or Integrity Attack</t>
        </is>
      </c>
      <c r="C33" s="443" t="inlineStr">
        <is>
          <t>T0889</t>
        </is>
      </c>
      <c r="D33" s="443" t="inlineStr">
        <is>
          <t>Modify Program</t>
        </is>
      </c>
      <c r="E33" s="443" t="inlineStr">
        <is>
          <t>Enabling / prerequisite / S2 -&gt; Supporting / impact / S5</t>
        </is>
      </c>
      <c r="F33" s="443" t="inlineStr">
        <is>
          <t>Modify Program where the modification is destructive or a persistent integrity compromise.</t>
        </is>
      </c>
    </row>
    <row r="34" ht="25.5" customHeight="1" s="508">
      <c r="A34" s="440" t="inlineStr">
        <is>
          <t>STRENGTHEN</t>
        </is>
      </c>
      <c r="B34" s="441" t="inlineStr">
        <is>
          <t>Destructive or Integrity Attack</t>
        </is>
      </c>
      <c r="C34" s="441" t="inlineStr">
        <is>
          <t>T0873</t>
        </is>
      </c>
      <c r="D34" s="441" t="inlineStr">
        <is>
          <t>Project File Infection</t>
        </is>
      </c>
      <c r="E34" s="441" t="inlineStr">
        <is>
          <t>Enabling / prerequisite / S2 -&gt; Supporting / impact / S5</t>
        </is>
      </c>
      <c r="F34" s="441" t="inlineStr">
        <is>
          <t>Project File Infection as a persistent integrity compromise.</t>
        </is>
      </c>
    </row>
    <row r="35" ht="25.5" customHeight="1" s="508">
      <c r="A35" s="442" t="inlineStr">
        <is>
          <t>STRENGTHEN</t>
        </is>
      </c>
      <c r="B35" s="443" t="inlineStr">
        <is>
          <t>Destructive or Integrity Attack</t>
        </is>
      </c>
      <c r="C35" s="443" t="inlineStr">
        <is>
          <t>T0821</t>
        </is>
      </c>
      <c r="D35" s="443" t="inlineStr">
        <is>
          <t>Modify Controller Tasking</t>
        </is>
      </c>
      <c r="E35" s="443" t="inlineStr">
        <is>
          <t>Enabling / prerequisite / S2 -&gt; Supporting / impact / S5</t>
        </is>
      </c>
      <c r="F35" s="443" t="inlineStr">
        <is>
          <t>Modify Controller Tasking as a persistent integrity compromise.</t>
        </is>
      </c>
    </row>
    <row r="36" ht="25.5" customHeight="1" s="508">
      <c r="A36" s="440" t="inlineStr">
        <is>
          <t>ADD</t>
        </is>
      </c>
      <c r="B36" s="441" t="inlineStr">
        <is>
          <t>Destructive or Integrity Attack</t>
        </is>
      </c>
      <c r="C36" s="441" t="inlineStr">
        <is>
          <t>T0836</t>
        </is>
      </c>
      <c r="D36" s="441" t="inlineStr">
        <is>
          <t>Modify Parameter</t>
        </is>
      </c>
      <c r="E36" s="441" t="inlineStr">
        <is>
          <t>Supporting / impact / S5</t>
        </is>
      </c>
      <c r="F36" s="441" t="inlineStr">
        <is>
          <t>Modify Parameter where the purpose is destructive.</t>
        </is>
      </c>
    </row>
    <row r="37" ht="25.5" customHeight="1" s="508">
      <c r="A37" s="442" t="inlineStr">
        <is>
          <t>SUPPRESS-PARENT</t>
        </is>
      </c>
      <c r="B37" s="443" t="inlineStr">
        <is>
          <t>Safety System Compromise</t>
        </is>
      </c>
      <c r="C37" s="443" t="inlineStr">
        <is>
          <t>T0843</t>
        </is>
      </c>
      <c r="D37" s="443" t="inlineStr">
        <is>
          <t>Program Download</t>
        </is>
      </c>
      <c r="E37" s="443" t="inlineStr">
        <is>
          <t>Enabling / prerequisite -&gt; Excluded — parent/sub duplicate</t>
        </is>
      </c>
      <c r="F37" s="443" t="inlineStr">
        <is>
          <t>sub-techniques mapped in this scenario</t>
        </is>
      </c>
    </row>
    <row r="38" ht="25.5" customHeight="1" s="508">
      <c r="A38" s="440" t="inlineStr">
        <is>
          <t>SUPPRESS-PARENT</t>
        </is>
      </c>
      <c r="B38" s="441" t="inlineStr">
        <is>
          <t>Safety System Compromise</t>
        </is>
      </c>
      <c r="C38" s="441" t="inlineStr">
        <is>
          <t>T0846</t>
        </is>
      </c>
      <c r="D38" s="441" t="inlineStr">
        <is>
          <t>Remote System Discovery</t>
        </is>
      </c>
      <c r="E38" s="441" t="inlineStr">
        <is>
          <t>Enabling / prerequisite -&gt; Excluded — parent/sub duplicate</t>
        </is>
      </c>
      <c r="F38" s="441" t="inlineStr">
        <is>
          <t>sub-techniques mapped in this scenario</t>
        </is>
      </c>
    </row>
    <row r="39" ht="25.5" customHeight="1" s="508">
      <c r="A39" s="442" t="inlineStr">
        <is>
          <t>SUPPRESS-PARENT</t>
        </is>
      </c>
      <c r="B39" s="443" t="inlineStr">
        <is>
          <t>Safety System Compromise</t>
        </is>
      </c>
      <c r="C39" s="443" t="inlineStr">
        <is>
          <t>T0873</t>
        </is>
      </c>
      <c r="D39" s="443" t="inlineStr">
        <is>
          <t>Project File Infection</t>
        </is>
      </c>
      <c r="E39" s="443" t="inlineStr">
        <is>
          <t>Enabling / prerequisite -&gt; Excluded — parent/sub duplicate</t>
        </is>
      </c>
      <c r="F39" s="443" t="inlineStr">
        <is>
          <t>sub-techniques mapped in this scenario</t>
        </is>
      </c>
    </row>
    <row r="40" ht="25.5" customHeight="1" s="508">
      <c r="A40" s="440" t="inlineStr">
        <is>
          <t>SUPPRESS-PARENT</t>
        </is>
      </c>
      <c r="B40" s="441" t="inlineStr">
        <is>
          <t>Safety System Compromise</t>
        </is>
      </c>
      <c r="C40" s="441" t="inlineStr">
        <is>
          <t>T1691</t>
        </is>
      </c>
      <c r="D40" s="441" t="inlineStr">
        <is>
          <t>Block Operational Technology Message</t>
        </is>
      </c>
      <c r="E40" s="441" t="inlineStr">
        <is>
          <t>Supporting / impact -&gt; Excluded — parent/sub duplicate</t>
        </is>
      </c>
      <c r="F40" s="441" t="inlineStr">
        <is>
          <t>sub-techniques mapped in this scenario</t>
        </is>
      </c>
    </row>
    <row r="41" ht="25.5" customHeight="1" s="508">
      <c r="A41" s="442" t="inlineStr">
        <is>
          <t>SUPPRESS-PARENT</t>
        </is>
      </c>
      <c r="B41" s="443" t="inlineStr">
        <is>
          <t>Safety System Compromise</t>
        </is>
      </c>
      <c r="C41" s="443" t="inlineStr">
        <is>
          <t>T1694</t>
        </is>
      </c>
      <c r="D41" s="443" t="inlineStr">
        <is>
          <t>Insecure Credentials</t>
        </is>
      </c>
      <c r="E41" s="443" t="inlineStr">
        <is>
          <t>Enabling / prerequisite -&gt; Excluded — parent/sub duplicate</t>
        </is>
      </c>
      <c r="F41" s="443" t="inlineStr">
        <is>
          <t>sub-techniques mapped in this scenario</t>
        </is>
      </c>
    </row>
    <row r="42" ht="25.5" customHeight="1" s="508">
      <c r="A42" s="440" t="inlineStr">
        <is>
          <t>SUPPRESS-PARENT</t>
        </is>
      </c>
      <c r="B42" s="441" t="inlineStr">
        <is>
          <t>Safety System Compromise</t>
        </is>
      </c>
      <c r="C42" s="441" t="inlineStr">
        <is>
          <t>T1695</t>
        </is>
      </c>
      <c r="D42" s="441" t="inlineStr">
        <is>
          <t>Block Communications</t>
        </is>
      </c>
      <c r="E42" s="441" t="inlineStr">
        <is>
          <t>Supporting / impact -&gt; Excluded — parent/sub duplicate</t>
        </is>
      </c>
      <c r="F42" s="441" t="inlineStr">
        <is>
          <t>sub-techniques mapped in this scenario</t>
        </is>
      </c>
    </row>
    <row r="43" ht="25.5" customHeight="1" s="508">
      <c r="A43" s="442" t="inlineStr">
        <is>
          <t>SUPPRESS-PARENT</t>
        </is>
      </c>
      <c r="B43" s="443" t="inlineStr">
        <is>
          <t>Destructive or Integrity Attack</t>
        </is>
      </c>
      <c r="C43" s="443" t="inlineStr">
        <is>
          <t>T0843</t>
        </is>
      </c>
      <c r="D43" s="443" t="inlineStr">
        <is>
          <t>Program Download</t>
        </is>
      </c>
      <c r="E43" s="443" t="inlineStr">
        <is>
          <t>Enabling / prerequisite -&gt; Excluded — parent/sub duplicate</t>
        </is>
      </c>
      <c r="F43" s="443" t="inlineStr">
        <is>
          <t>sub-techniques mapped in this scenario</t>
        </is>
      </c>
    </row>
    <row r="44" ht="25.5" customHeight="1" s="508">
      <c r="A44" s="440" t="inlineStr">
        <is>
          <t>SUPPRESS-PARENT</t>
        </is>
      </c>
      <c r="B44" s="441" t="inlineStr">
        <is>
          <t>Destructive or Integrity Attack</t>
        </is>
      </c>
      <c r="C44" s="441" t="inlineStr">
        <is>
          <t>T0846</t>
        </is>
      </c>
      <c r="D44" s="441" t="inlineStr">
        <is>
          <t>Remote System Discovery</t>
        </is>
      </c>
      <c r="E44" s="441" t="inlineStr">
        <is>
          <t>Enabling / prerequisite -&gt; Excluded — parent/sub duplicate</t>
        </is>
      </c>
      <c r="F44" s="441" t="inlineStr">
        <is>
          <t>sub-techniques mapped in this scenario</t>
        </is>
      </c>
    </row>
    <row r="45" ht="25.5" customHeight="1" s="508">
      <c r="A45" s="442" t="inlineStr">
        <is>
          <t>SUPPRESS-PARENT</t>
        </is>
      </c>
      <c r="B45" s="443" t="inlineStr">
        <is>
          <t>Destructive or Integrity Attack</t>
        </is>
      </c>
      <c r="C45" s="443" t="inlineStr">
        <is>
          <t>T0873</t>
        </is>
      </c>
      <c r="D45" s="443" t="inlineStr">
        <is>
          <t>Project File Infection</t>
        </is>
      </c>
      <c r="E45" s="443" t="inlineStr">
        <is>
          <t>Supporting / impact -&gt; Excluded — parent/sub duplicate</t>
        </is>
      </c>
      <c r="F45" s="443" t="inlineStr">
        <is>
          <t>sub-techniques mapped in this scenario</t>
        </is>
      </c>
    </row>
    <row r="46" ht="25.5" customHeight="1" s="508">
      <c r="A46" s="440" t="inlineStr">
        <is>
          <t>SUPPRESS-PARENT</t>
        </is>
      </c>
      <c r="B46" s="441" t="inlineStr">
        <is>
          <t>Destructive or Integrity Attack</t>
        </is>
      </c>
      <c r="C46" s="441" t="inlineStr">
        <is>
          <t>T1693</t>
        </is>
      </c>
      <c r="D46" s="441" t="inlineStr">
        <is>
          <t>Modify Firmware</t>
        </is>
      </c>
      <c r="E46" s="441" t="inlineStr">
        <is>
          <t>Scenario-defining -&gt; Excluded — parent/sub duplicate</t>
        </is>
      </c>
      <c r="F46" s="441" t="inlineStr">
        <is>
          <t>sub-techniques mapped in this scenario</t>
        </is>
      </c>
    </row>
    <row r="47" ht="25.5" customHeight="1" s="508">
      <c r="A47" s="442" t="inlineStr">
        <is>
          <t>SUPPRESS-PARENT</t>
        </is>
      </c>
      <c r="B47" s="443" t="inlineStr">
        <is>
          <t>Destructive or Integrity Attack</t>
        </is>
      </c>
      <c r="C47" s="443" t="inlineStr">
        <is>
          <t>T1694</t>
        </is>
      </c>
      <c r="D47" s="443" t="inlineStr">
        <is>
          <t>Insecure Credentials</t>
        </is>
      </c>
      <c r="E47" s="443" t="inlineStr">
        <is>
          <t>Enabling / prerequisite -&gt; Excluded — parent/sub duplicate</t>
        </is>
      </c>
      <c r="F47" s="443" t="inlineStr">
        <is>
          <t>sub-techniques mapped in this scenario</t>
        </is>
      </c>
    </row>
    <row r="48" ht="25.5" customHeight="1" s="508">
      <c r="A48" s="440" t="inlineStr">
        <is>
          <t>SUPPRESS-PARENT</t>
        </is>
      </c>
      <c r="B48" s="441" t="inlineStr">
        <is>
          <t>Operational Disruption</t>
        </is>
      </c>
      <c r="C48" s="441" t="inlineStr">
        <is>
          <t>T0843</t>
        </is>
      </c>
      <c r="D48" s="441" t="inlineStr">
        <is>
          <t>Program Download</t>
        </is>
      </c>
      <c r="E48" s="441" t="inlineStr">
        <is>
          <t>Enabling / prerequisite -&gt; Excluded — parent/sub duplicate</t>
        </is>
      </c>
      <c r="F48" s="441" t="inlineStr">
        <is>
          <t>sub-techniques mapped in this scenario</t>
        </is>
      </c>
    </row>
    <row r="49" ht="25.5" customHeight="1" s="508">
      <c r="A49" s="442" t="inlineStr">
        <is>
          <t>SUPPRESS-PARENT</t>
        </is>
      </c>
      <c r="B49" s="443" t="inlineStr">
        <is>
          <t>Operational Disruption</t>
        </is>
      </c>
      <c r="C49" s="443" t="inlineStr">
        <is>
          <t>T0846</t>
        </is>
      </c>
      <c r="D49" s="443" t="inlineStr">
        <is>
          <t>Remote System Discovery</t>
        </is>
      </c>
      <c r="E49" s="443" t="inlineStr">
        <is>
          <t>Enabling / prerequisite -&gt; Excluded — parent/sub duplicate</t>
        </is>
      </c>
      <c r="F49" s="443" t="inlineStr">
        <is>
          <t>sub-techniques mapped in this scenario</t>
        </is>
      </c>
    </row>
    <row r="50" ht="25.5" customHeight="1" s="508">
      <c r="A50" s="440" t="inlineStr">
        <is>
          <t>SUPPRESS-PARENT</t>
        </is>
      </c>
      <c r="B50" s="441" t="inlineStr">
        <is>
          <t>Operational Disruption</t>
        </is>
      </c>
      <c r="C50" s="441" t="inlineStr">
        <is>
          <t>T0873</t>
        </is>
      </c>
      <c r="D50" s="441" t="inlineStr">
        <is>
          <t>Project File Infection</t>
        </is>
      </c>
      <c r="E50" s="441" t="inlineStr">
        <is>
          <t>Enabling / prerequisite -&gt; Excluded — parent/sub duplicate</t>
        </is>
      </c>
      <c r="F50" s="441" t="inlineStr">
        <is>
          <t>sub-techniques mapped in this scenario</t>
        </is>
      </c>
    </row>
    <row r="51" ht="25.5" customHeight="1" s="508">
      <c r="A51" s="442" t="inlineStr">
        <is>
          <t>SUPPRESS-PARENT</t>
        </is>
      </c>
      <c r="B51" s="443" t="inlineStr">
        <is>
          <t>Operational Disruption</t>
        </is>
      </c>
      <c r="C51" s="443" t="inlineStr">
        <is>
          <t>T1691</t>
        </is>
      </c>
      <c r="D51" s="443" t="inlineStr">
        <is>
          <t>Block Operational Technology Message</t>
        </is>
      </c>
      <c r="E51" s="443" t="inlineStr">
        <is>
          <t>Supporting / impact -&gt; Excluded — parent/sub duplicate</t>
        </is>
      </c>
      <c r="F51" s="443" t="inlineStr">
        <is>
          <t>sub-techniques mapped in this scenario</t>
        </is>
      </c>
    </row>
    <row r="52" ht="25.5" customHeight="1" s="508">
      <c r="A52" s="440" t="inlineStr">
        <is>
          <t>SUPPRESS-PARENT</t>
        </is>
      </c>
      <c r="B52" s="441" t="inlineStr">
        <is>
          <t>Operational Disruption</t>
        </is>
      </c>
      <c r="C52" s="441" t="inlineStr">
        <is>
          <t>T1694</t>
        </is>
      </c>
      <c r="D52" s="441" t="inlineStr">
        <is>
          <t>Insecure Credentials</t>
        </is>
      </c>
      <c r="E52" s="441" t="inlineStr">
        <is>
          <t>Enabling / prerequisite -&gt; Excluded — parent/sub duplicate</t>
        </is>
      </c>
      <c r="F52" s="441" t="inlineStr">
        <is>
          <t>sub-techniques mapped in this scenario</t>
        </is>
      </c>
    </row>
    <row r="53" ht="25.5" customHeight="1" s="508">
      <c r="A53" s="442" t="inlineStr">
        <is>
          <t>SUPPRESS-PARENT</t>
        </is>
      </c>
      <c r="B53" s="443" t="inlineStr">
        <is>
          <t>Loss of Control or Visibility</t>
        </is>
      </c>
      <c r="C53" s="443" t="inlineStr">
        <is>
          <t>T0843</t>
        </is>
      </c>
      <c r="D53" s="443" t="inlineStr">
        <is>
          <t>Program Download</t>
        </is>
      </c>
      <c r="E53" s="443" t="inlineStr">
        <is>
          <t>Enabling / prerequisite -&gt; Excluded — parent/sub duplicate</t>
        </is>
      </c>
      <c r="F53" s="443" t="inlineStr">
        <is>
          <t>sub-techniques mapped in this scenario</t>
        </is>
      </c>
    </row>
    <row r="54" ht="25.5" customHeight="1" s="508">
      <c r="A54" s="440" t="inlineStr">
        <is>
          <t>SUPPRESS-PARENT</t>
        </is>
      </c>
      <c r="B54" s="441" t="inlineStr">
        <is>
          <t>Loss of Control or Visibility</t>
        </is>
      </c>
      <c r="C54" s="441" t="inlineStr">
        <is>
          <t>T0846</t>
        </is>
      </c>
      <c r="D54" s="441" t="inlineStr">
        <is>
          <t>Remote System Discovery</t>
        </is>
      </c>
      <c r="E54" s="441" t="inlineStr">
        <is>
          <t>Enabling / prerequisite -&gt; Excluded — parent/sub duplicate</t>
        </is>
      </c>
      <c r="F54" s="441" t="inlineStr">
        <is>
          <t>sub-techniques mapped in this scenario</t>
        </is>
      </c>
    </row>
    <row r="55" ht="25.5" customHeight="1" s="508">
      <c r="A55" s="442" t="inlineStr">
        <is>
          <t>SUPPRESS-PARENT</t>
        </is>
      </c>
      <c r="B55" s="443" t="inlineStr">
        <is>
          <t>Loss of Control or Visibility</t>
        </is>
      </c>
      <c r="C55" s="443" t="inlineStr">
        <is>
          <t>T0873</t>
        </is>
      </c>
      <c r="D55" s="443" t="inlineStr">
        <is>
          <t>Project File Infection</t>
        </is>
      </c>
      <c r="E55" s="443" t="inlineStr">
        <is>
          <t>Enabling / prerequisite -&gt; Excluded — parent/sub duplicate</t>
        </is>
      </c>
      <c r="F55" s="443" t="inlineStr">
        <is>
          <t>sub-techniques mapped in this scenario</t>
        </is>
      </c>
    </row>
    <row r="56" ht="25.5" customHeight="1" s="508">
      <c r="A56" s="440" t="inlineStr">
        <is>
          <t>SUPPRESS-PARENT</t>
        </is>
      </c>
      <c r="B56" s="441" t="inlineStr">
        <is>
          <t>Loss of Control or Visibility</t>
        </is>
      </c>
      <c r="C56" s="441" t="inlineStr">
        <is>
          <t>T1694</t>
        </is>
      </c>
      <c r="D56" s="441" t="inlineStr">
        <is>
          <t>Insecure Credentials</t>
        </is>
      </c>
      <c r="E56" s="441" t="inlineStr">
        <is>
          <t>Enabling / prerequisite -&gt; Excluded — parent/sub duplicate</t>
        </is>
      </c>
      <c r="F56" s="441" t="inlineStr">
        <is>
          <t>sub-techniques mapped in this scenario</t>
        </is>
      </c>
    </row>
    <row r="57" ht="25.5" customHeight="1" s="508">
      <c r="A57" s="442" t="inlineStr">
        <is>
          <t>SUPPRESS-PARENT</t>
        </is>
      </c>
      <c r="B57" s="443" t="inlineStr">
        <is>
          <t>Process Manipulation</t>
        </is>
      </c>
      <c r="C57" s="443" t="inlineStr">
        <is>
          <t>T0843</t>
        </is>
      </c>
      <c r="D57" s="443" t="inlineStr">
        <is>
          <t>Program Download</t>
        </is>
      </c>
      <c r="E57" s="443" t="inlineStr">
        <is>
          <t>Enabling / prerequisite -&gt; Excluded — parent/sub duplicate</t>
        </is>
      </c>
      <c r="F57" s="443" t="inlineStr">
        <is>
          <t>sub-techniques mapped in this scenario</t>
        </is>
      </c>
    </row>
    <row r="58" ht="25.5" customHeight="1" s="508">
      <c r="A58" s="440" t="inlineStr">
        <is>
          <t>SUPPRESS-PARENT</t>
        </is>
      </c>
      <c r="B58" s="441" t="inlineStr">
        <is>
          <t>Process Manipulation</t>
        </is>
      </c>
      <c r="C58" s="441" t="inlineStr">
        <is>
          <t>T0846</t>
        </is>
      </c>
      <c r="D58" s="441" t="inlineStr">
        <is>
          <t>Remote System Discovery</t>
        </is>
      </c>
      <c r="E58" s="441" t="inlineStr">
        <is>
          <t>Enabling / prerequisite -&gt; Excluded — parent/sub duplicate</t>
        </is>
      </c>
      <c r="F58" s="441" t="inlineStr">
        <is>
          <t>sub-techniques mapped in this scenario</t>
        </is>
      </c>
    </row>
    <row r="59" ht="25.5" customHeight="1" s="508">
      <c r="A59" s="442" t="inlineStr">
        <is>
          <t>SUPPRESS-PARENT</t>
        </is>
      </c>
      <c r="B59" s="443" t="inlineStr">
        <is>
          <t>Process Manipulation</t>
        </is>
      </c>
      <c r="C59" s="443" t="inlineStr">
        <is>
          <t>T0873</t>
        </is>
      </c>
      <c r="D59" s="443" t="inlineStr">
        <is>
          <t>Project File Infection</t>
        </is>
      </c>
      <c r="E59" s="443" t="inlineStr">
        <is>
          <t>Enabling / prerequisite -&gt; Excluded — parent/sub duplicate</t>
        </is>
      </c>
      <c r="F59" s="443" t="inlineStr">
        <is>
          <t>sub-techniques mapped in this scenario</t>
        </is>
      </c>
    </row>
    <row r="60" ht="25.5" customHeight="1" s="508">
      <c r="A60" s="440" t="inlineStr">
        <is>
          <t>SUPPRESS-PARENT</t>
        </is>
      </c>
      <c r="B60" s="441" t="inlineStr">
        <is>
          <t>Process Manipulation</t>
        </is>
      </c>
      <c r="C60" s="441" t="inlineStr">
        <is>
          <t>T1692</t>
        </is>
      </c>
      <c r="D60" s="441" t="inlineStr">
        <is>
          <t>Unauthorized Message</t>
        </is>
      </c>
      <c r="E60" s="441" t="inlineStr">
        <is>
          <t>Supporting / impact -&gt; Excluded — parent/sub duplicate</t>
        </is>
      </c>
      <c r="F60" s="441" t="inlineStr">
        <is>
          <t>sub-techniques mapped in this scenario</t>
        </is>
      </c>
    </row>
    <row r="61" ht="25.5" customHeight="1" s="508">
      <c r="A61" s="442" t="inlineStr">
        <is>
          <t>SUPPRESS-PARENT</t>
        </is>
      </c>
      <c r="B61" s="443" t="inlineStr">
        <is>
          <t>Process Manipulation</t>
        </is>
      </c>
      <c r="C61" s="443" t="inlineStr">
        <is>
          <t>T1694</t>
        </is>
      </c>
      <c r="D61" s="443" t="inlineStr">
        <is>
          <t>Insecure Credentials</t>
        </is>
      </c>
      <c r="E61" s="443" t="inlineStr">
        <is>
          <t>Enabling / prerequisite -&gt; Excluded — parent/sub duplicate</t>
        </is>
      </c>
      <c r="F61" s="443" t="inlineStr">
        <is>
          <t>sub-techniques mapped in this scenario</t>
        </is>
      </c>
    </row>
  </sheetData>
  <mergeCells count="3">
    <mergeCell ref="A3:F3"/>
    <mergeCell ref="A2:F2"/>
    <mergeCell ref="A1:F1"/>
  </mergeCells>
  <pageMargins left="0.7" right="0.7" top="0.75" bottom="0.75" header="0.3" footer="0.3"/>
</worksheet>
</file>

<file path=xl/worksheets/sheet44.xml><?xml version="1.0" encoding="utf-8"?>
<worksheet xmlns="http://schemas.openxmlformats.org/spreadsheetml/2006/main">
  <sheetPr>
    <tabColor rgb="00C00080"/>
    <outlinePr summaryBelow="1" summaryRight="1"/>
    <pageSetUpPr/>
  </sheetPr>
  <dimension ref="A1:I59"/>
  <sheetViews>
    <sheetView showGridLines="0" workbookViewId="0">
      <selection activeCell="A1" sqref="A1"/>
    </sheetView>
  </sheetViews>
  <sheetFormatPr baseColWidth="8" defaultRowHeight="15"/>
  <cols>
    <col width="23" customWidth="1" style="508" min="1" max="1"/>
    <col width="30" customWidth="1" style="508" min="2" max="2"/>
    <col width="18" customWidth="1" style="508" min="3" max="3"/>
    <col width="18" customWidth="1" style="508" min="4" max="4"/>
    <col width="18" customWidth="1" style="508" min="5" max="5"/>
    <col width="24" customWidth="1" style="508" min="6" max="6"/>
    <col width="24" customWidth="1" style="508" min="7" max="7"/>
    <col width="44" customWidth="1" style="508" min="8" max="8"/>
    <col width="44" customWidth="1" style="508" min="9" max="9"/>
  </cols>
  <sheetData>
    <row r="1" ht="25" customHeight="1" s="508">
      <c r="A1" s="607" t="inlineStr">
        <is>
          <t>28 — Sector &amp; Asset Pack Registry</t>
        </is>
      </c>
    </row>
    <row r="2" ht="38" customHeight="1" s="508">
      <c r="A2" s="347" t="inlineStr">
        <is>
          <t>Purpose: Govern the facility-level sector and asset-type packs used by the common OT-CRQ model without duplicating the engine or BIA.</t>
        </is>
      </c>
    </row>
    <row r="3" ht="38" customHeight="1" s="508">
      <c r="A3" s="349" t="inlineStr">
        <is>
          <t>In plain English: select Sector and Plant / Asset Type on 03. This registry resolves the pack, records calibration status, and supplies the asset-type frequency overlay for the companion engine.</t>
        </is>
      </c>
    </row>
    <row r="4" ht="25" customHeight="1" s="508">
      <c r="A4" s="611" t="inlineStr">
        <is>
          <t>SHEET TYPE: MODEL ASSUMPTIONS / SECTOR PACK GOVERNANCE</t>
        </is>
      </c>
    </row>
    <row r="5" ht="25" customHeight="1" s="508">
      <c r="A5" s="352" t="inlineStr">
        <is>
          <t>Inputs / upstream sources</t>
        </is>
      </c>
    </row>
    <row r="6" ht="25" customHeight="1" s="508">
      <c r="A6" s="973" t="inlineStr">
        <is>
          <t>03 Facility Inputs, 06 Frequency Assumptions, NIST/DOE/API sector guidance, internal incident evidence and structured expert elicitation.</t>
        </is>
      </c>
    </row>
    <row r="7" ht="25" customHeight="1" s="508">
      <c r="A7" s="352" t="inlineStr">
        <is>
          <t>Calculation / decision logic</t>
        </is>
      </c>
    </row>
    <row r="8" ht="25" customHeight="1" s="508">
      <c r="A8" s="973" t="inlineStr">
        <is>
          <t>Common engine and 18-driver BIA are retained. Intended actor intensity = reference λ × facility exposure × Σ(actor share × threat activity × sector × asset type × geography). Apply the asset-type multiplier exactly once.</t>
        </is>
      </c>
    </row>
    <row r="9" ht="25" customHeight="1" s="508">
      <c r="A9" s="352" t="inlineStr">
        <is>
          <t>Key assumptions / defaults</t>
        </is>
      </c>
    </row>
    <row r="10" ht="25" customHeight="1" s="508">
      <c r="A10" s="973" t="inlineStr">
        <is>
          <t>Power Generation remains the V1.6 reference pack. Energy Assets and Manufacturing are now working v1.0 packs with explicit threat/frequency overlays, BIA starting points and sector evidence. EA/MF remain controlled working calibrations and must not be described as externally validated.</t>
        </is>
      </c>
    </row>
    <row r="11" ht="25" customHeight="1" s="508">
      <c r="A11" s="352" t="inlineStr">
        <is>
          <t>Outputs / downstream use</t>
        </is>
      </c>
    </row>
    <row r="12" ht="25" customHeight="1" s="508">
      <c r="A12" s="973" t="inlineStr">
        <is>
          <t>Resolves the selected pack on 03, provides governed asset-type values, and documents the calibration status required by the Python engine.</t>
        </is>
      </c>
    </row>
    <row r="13" ht="25" customHeight="1" s="508">
      <c r="A13" s="356" t="inlineStr">
        <is>
          <t>Workbook convention: yellow cells / blue font are editable calibration assumptions. Development-pack outputs require a compatible engine rerun and pack-level approval.</t>
        </is>
      </c>
    </row>
    <row r="14">
      <c r="A14" s="972" t="n"/>
      <c r="B14" s="972" t="n"/>
      <c r="C14" s="972" t="n"/>
      <c r="D14" s="972" t="n"/>
      <c r="E14" s="972" t="n"/>
      <c r="F14" s="972" t="n"/>
      <c r="G14" s="972" t="n"/>
      <c r="H14" s="972" t="n"/>
      <c r="I14" s="972" t="n"/>
    </row>
    <row r="15">
      <c r="A15" s="617" t="inlineStr">
        <is>
          <t>Sector</t>
        </is>
      </c>
      <c r="B15" s="617" t="inlineStr">
        <is>
          <t>Pack ID</t>
        </is>
      </c>
      <c r="C15" s="617" t="inlineStr">
        <is>
          <t>Version</t>
        </is>
      </c>
      <c r="D15" s="617" t="inlineStr">
        <is>
          <t>Pack status</t>
        </is>
      </c>
      <c r="E15" s="617" t="inlineStr">
        <is>
          <t>Frequency treatment</t>
        </is>
      </c>
      <c r="F15" s="617" t="inlineStr">
        <is>
          <t>BIA treatment</t>
        </is>
      </c>
      <c r="G15" s="617" t="inlineStr">
        <is>
          <t>TTP treatment</t>
        </is>
      </c>
      <c r="H15" s="617" t="inlineStr">
        <is>
          <t>Primary evidence</t>
        </is>
      </c>
      <c r="I15" s="972" t="n"/>
    </row>
    <row r="16">
      <c r="A16" s="619" t="inlineStr">
        <is>
          <t>Power Generation</t>
        </is>
      </c>
      <c r="B16" s="619" t="inlineStr">
        <is>
          <t>PG-v1.6</t>
        </is>
      </c>
      <c r="C16" s="619" t="inlineStr">
        <is>
          <t>1.6</t>
        </is>
      </c>
      <c r="D16" s="619" t="inlineStr">
        <is>
          <t>Reference pack / working calibration</t>
        </is>
      </c>
      <c r="E16" s="619" t="inlineStr">
        <is>
          <t>V1.6 0.55 reference λ; sector actor multipliers 1.00 / 1.00 / 1.00</t>
        </is>
      </c>
      <c r="F16" s="619" t="inlineStr">
        <is>
          <t>Common 18-driver V1.6 BIA + formalised PG guidance on sheet 30</t>
        </is>
      </c>
      <c r="G16" s="619" t="inlineStr">
        <is>
          <t>Common ATT&amp;CK for ICS mapping + facility gates + PG emphasis</t>
        </is>
      </c>
      <c r="H16" s="619" t="inlineStr">
        <is>
          <t>NIST SP 800-82; DOE C2M2; MITRE ATT&amp;CK for ICS</t>
        </is>
      </c>
      <c r="I16" s="972" t="n"/>
    </row>
    <row r="17">
      <c r="A17" s="619" t="inlineStr">
        <is>
          <t>Energy Assets</t>
        </is>
      </c>
      <c r="B17" s="619" t="inlineStr">
        <is>
          <t>EA-v1.0</t>
        </is>
      </c>
      <c r="C17" s="619" t="inlineStr">
        <is>
          <t>1.0</t>
        </is>
      </c>
      <c r="D17" s="619" t="inlineStr">
        <is>
          <t>Working pack — controlled calibration</t>
        </is>
      </c>
      <c r="E17" s="619" t="inlineStr">
        <is>
          <t>0.55 reference λ + sector actor overlay 1.15 NS / 1.00 CC / 1.00 Insider</t>
        </is>
      </c>
      <c r="F17" s="619" t="inlineStr">
        <is>
          <t>Common 18-driver BIA + energy scenario/BIA guidance on sheet 31</t>
        </is>
      </c>
      <c r="G17" s="619" t="inlineStr">
        <is>
          <t>Common ATT&amp;CK for ICS + facility gates + energy rationale/emphasis</t>
        </is>
      </c>
      <c r="H17" s="619" t="inlineStr">
        <is>
          <t>DOE C2M2; API 1164; NIST SP 800-82; MITRE ATT&amp;CK for ICS</t>
        </is>
      </c>
      <c r="I17" s="972" t="n"/>
    </row>
    <row r="18">
      <c r="A18" s="619" t="inlineStr">
        <is>
          <t>Manufacturing</t>
        </is>
      </c>
      <c r="B18" s="619" t="inlineStr">
        <is>
          <t>MF-v1.0</t>
        </is>
      </c>
      <c r="C18" s="619" t="inlineStr">
        <is>
          <t>1.0</t>
        </is>
      </c>
      <c r="D18" s="619" t="inlineStr">
        <is>
          <t>Working pack — controlled calibration</t>
        </is>
      </c>
      <c r="E18" s="619" t="inlineStr">
        <is>
          <t>0.55 reference λ + sector actor overlay 0.85 NS / 1.25 CC / 1.00 Insider</t>
        </is>
      </c>
      <c r="F18" s="619" t="inlineStr">
        <is>
          <t>Common 18-driver BIA + manufacturing scenario guidance; quality/WIP extension flagged</t>
        </is>
      </c>
      <c r="G18" s="619" t="inlineStr">
        <is>
          <t>Common ATT&amp;CK for ICS + facility gates + manufacturing rationale/emphasis</t>
        </is>
      </c>
      <c r="H18" s="619" t="inlineStr">
        <is>
          <t>NIST IR 8183; NIST SP 1800-10; NIST SP 800-82; MITRE ATT&amp;CK for ICS</t>
        </is>
      </c>
      <c r="I18" s="972" t="n"/>
    </row>
    <row r="19">
      <c r="A19" s="972" t="n"/>
      <c r="B19" s="972" t="n"/>
      <c r="C19" s="972" t="n"/>
      <c r="D19" s="972" t="n"/>
      <c r="E19" s="972" t="n"/>
      <c r="F19" s="972" t="n"/>
      <c r="G19" s="972" t="n"/>
      <c r="H19" s="972" t="n"/>
      <c r="I19" s="972" t="n"/>
    </row>
    <row r="20">
      <c r="A20" s="972" t="n"/>
      <c r="B20" s="972" t="n"/>
      <c r="C20" s="972" t="n"/>
      <c r="D20" s="972" t="n"/>
      <c r="E20" s="972" t="n"/>
      <c r="F20" s="972" t="n"/>
      <c r="G20" s="972" t="n"/>
      <c r="H20" s="972" t="n"/>
      <c r="I20" s="972" t="n"/>
    </row>
    <row r="21">
      <c r="A21" s="972" t="n"/>
      <c r="B21" s="972" t="n"/>
      <c r="C21" s="972" t="n"/>
      <c r="D21" s="972" t="n"/>
      <c r="E21" s="972" t="n"/>
      <c r="F21" s="972" t="n"/>
      <c r="G21" s="972" t="n"/>
      <c r="H21" s="972" t="n"/>
      <c r="I21" s="972" t="n"/>
    </row>
    <row r="22">
      <c r="A22" s="611" t="inlineStr">
        <is>
          <t>REGISTERED ASSET TYPES</t>
        </is>
      </c>
      <c r="H22" s="972" t="n"/>
      <c r="I22" s="972" t="n"/>
    </row>
    <row r="23">
      <c r="A23" s="972" t="n"/>
      <c r="B23" s="972" t="n"/>
      <c r="C23" s="972" t="n"/>
      <c r="D23" s="972" t="n"/>
      <c r="E23" s="972" t="n"/>
      <c r="F23" s="972" t="n"/>
      <c r="G23" s="972" t="n"/>
      <c r="H23" s="972" t="n"/>
      <c r="I23" s="972" t="n"/>
    </row>
    <row r="24">
      <c r="A24" s="623" t="inlineStr">
        <is>
          <t>Sector</t>
        </is>
      </c>
      <c r="B24" s="623" t="inlineStr">
        <is>
          <t>Plant / asset type</t>
        </is>
      </c>
      <c r="C24" s="623" t="inlineStr">
        <is>
          <t>Pack ID</t>
        </is>
      </c>
      <c r="D24" s="623" t="inlineStr">
        <is>
          <t>Operating profile</t>
        </is>
      </c>
      <c r="E24" s="623" t="inlineStr">
        <is>
          <t>Safety / protection context</t>
        </is>
      </c>
      <c r="F24" s="623" t="inlineStr">
        <is>
          <t>BIA treatment</t>
        </is>
      </c>
      <c r="G24" s="623" t="inlineStr">
        <is>
          <t>Calibration status</t>
        </is>
      </c>
      <c r="H24" s="972" t="n"/>
      <c r="I24" s="972" t="n"/>
    </row>
    <row r="25">
      <c r="A25" s="619" t="inlineStr">
        <is>
          <t>Power Generation</t>
        </is>
      </c>
      <c r="B25" s="619" t="inlineStr">
        <is>
          <t>CCGT</t>
        </is>
      </c>
      <c r="C25" s="619" t="inlineStr">
        <is>
          <t>PG-v1.6</t>
        </is>
      </c>
      <c r="D25" s="619" t="inlineStr">
        <is>
          <t>Continuous generation</t>
        </is>
      </c>
      <c r="E25" s="619" t="inlineStr">
        <is>
          <t>Protection / trip systems</t>
        </is>
      </c>
      <c r="F25" s="619" t="inlineStr">
        <is>
          <t>Existing V1.6 reference asset type</t>
        </is>
      </c>
      <c r="G25" s="619" t="inlineStr">
        <is>
          <t>Reference model working prior</t>
        </is>
      </c>
      <c r="H25" s="972" t="n"/>
      <c r="I25" s="972" t="n"/>
    </row>
    <row r="26">
      <c r="A26" s="619" t="inlineStr">
        <is>
          <t>Power Generation</t>
        </is>
      </c>
      <c r="B26" s="619" t="inlineStr">
        <is>
          <t>OCGT</t>
        </is>
      </c>
      <c r="C26" s="619" t="inlineStr">
        <is>
          <t>PG-v1.6</t>
        </is>
      </c>
      <c r="D26" s="619" t="inlineStr">
        <is>
          <t>Peaking generation</t>
        </is>
      </c>
      <c r="E26" s="619" t="inlineStr">
        <is>
          <t>Protection / trip systems</t>
        </is>
      </c>
      <c r="F26" s="619" t="inlineStr">
        <is>
          <t>Use facility downtime and capacity inputs</t>
        </is>
      </c>
      <c r="G26" s="619" t="inlineStr">
        <is>
          <t>Development archetype</t>
        </is>
      </c>
      <c r="H26" s="972" t="n"/>
      <c r="I26" s="972" t="n"/>
    </row>
    <row r="27">
      <c r="A27" s="619" t="inlineStr">
        <is>
          <t>Power Generation</t>
        </is>
      </c>
      <c r="B27" s="619" t="inlineStr">
        <is>
          <t>Coal/Oil Thermal</t>
        </is>
      </c>
      <c r="C27" s="619" t="inlineStr">
        <is>
          <t>PG-v1.6</t>
        </is>
      </c>
      <c r="D27" s="619" t="inlineStr">
        <is>
          <t>Continuous generation</t>
        </is>
      </c>
      <c r="E27" s="619" t="inlineStr">
        <is>
          <t>Protection / trip systems</t>
        </is>
      </c>
      <c r="F27" s="619" t="inlineStr">
        <is>
          <t>Use facility downtime and capacity inputs</t>
        </is>
      </c>
      <c r="G27" s="619" t="inlineStr">
        <is>
          <t>Development archetype</t>
        </is>
      </c>
      <c r="H27" s="972" t="n"/>
      <c r="I27" s="972" t="n"/>
    </row>
    <row r="28">
      <c r="A28" s="619" t="inlineStr">
        <is>
          <t>Power Generation</t>
        </is>
      </c>
      <c r="B28" s="619" t="inlineStr">
        <is>
          <t>Nuclear</t>
        </is>
      </c>
      <c r="C28" s="619" t="inlineStr">
        <is>
          <t>PG-v1.6</t>
        </is>
      </c>
      <c r="D28" s="619" t="inlineStr">
        <is>
          <t>Continuous generation</t>
        </is>
      </c>
      <c r="E28" s="619" t="inlineStr">
        <is>
          <t>Safety and protection systems</t>
        </is>
      </c>
      <c r="F28" s="619" t="inlineStr">
        <is>
          <t>Requires separate nuclear-sector validation before production use</t>
        </is>
      </c>
      <c r="G28" s="619" t="inlineStr">
        <is>
          <t>Restricted development archetype</t>
        </is>
      </c>
      <c r="H28" s="972" t="n"/>
      <c r="I28" s="972" t="n"/>
    </row>
    <row r="29">
      <c r="A29" s="619" t="inlineStr">
        <is>
          <t>Power Generation</t>
        </is>
      </c>
      <c r="B29" s="619" t="inlineStr">
        <is>
          <t>Hydro</t>
        </is>
      </c>
      <c r="C29" s="619" t="inlineStr">
        <is>
          <t>PG-v1.6</t>
        </is>
      </c>
      <c r="D29" s="619" t="inlineStr">
        <is>
          <t>Generation and water-control operation</t>
        </is>
      </c>
      <c r="E29" s="619" t="inlineStr">
        <is>
          <t>Protection / trip systems</t>
        </is>
      </c>
      <c r="F29" s="619" t="inlineStr">
        <is>
          <t>Use facility downtime and capacity inputs</t>
        </is>
      </c>
      <c r="G29" s="619" t="inlineStr">
        <is>
          <t>Development archetype</t>
        </is>
      </c>
      <c r="H29" s="972" t="n"/>
      <c r="I29" s="972" t="n"/>
    </row>
    <row r="30">
      <c r="A30" s="619" t="inlineStr">
        <is>
          <t>Power Generation</t>
        </is>
      </c>
      <c r="B30" s="619" t="inlineStr">
        <is>
          <t>Renewables</t>
        </is>
      </c>
      <c r="C30" s="619" t="inlineStr">
        <is>
          <t>PG-v1.6</t>
        </is>
      </c>
      <c r="D30" s="619" t="inlineStr">
        <is>
          <t>Distributed or central generation</t>
        </is>
      </c>
      <c r="E30" s="619" t="inlineStr">
        <is>
          <t>Protection / trip systems</t>
        </is>
      </c>
      <c r="F30" s="619" t="inlineStr">
        <is>
          <t>Use facility downtime and capacity inputs</t>
        </is>
      </c>
      <c r="G30" s="619" t="inlineStr">
        <is>
          <t>Development archetype</t>
        </is>
      </c>
      <c r="H30" s="972" t="n"/>
      <c r="I30" s="972" t="n"/>
    </row>
    <row r="31">
      <c r="A31" s="619" t="inlineStr">
        <is>
          <t>Energy Assets</t>
        </is>
      </c>
      <c r="B31" s="619" t="inlineStr">
        <is>
          <t>Upstream Onshore</t>
        </is>
      </c>
      <c r="C31" s="619" t="inlineStr">
        <is>
          <t>EA-v1.0</t>
        </is>
      </c>
      <c r="D31" s="619" t="inlineStr">
        <is>
          <t>Production and gathering</t>
        </is>
      </c>
      <c r="E31" s="619" t="inlineStr">
        <is>
          <t>Process safety / ESD where present</t>
        </is>
      </c>
      <c r="F31" s="619" t="inlineStr">
        <is>
          <t>Current 18-driver BIA retained</t>
        </is>
      </c>
      <c r="G31" s="619" t="inlineStr">
        <is>
          <t>Working pack v1.0 — facility calibration required</t>
        </is>
      </c>
      <c r="H31" s="972" t="n"/>
      <c r="I31" s="972" t="n"/>
    </row>
    <row r="32">
      <c r="A32" s="619" t="inlineStr">
        <is>
          <t>Energy Assets</t>
        </is>
      </c>
      <c r="B32" s="619" t="inlineStr">
        <is>
          <t>Upstream Offshore</t>
        </is>
      </c>
      <c r="C32" s="619" t="inlineStr">
        <is>
          <t>EA-v1.0</t>
        </is>
      </c>
      <c r="D32" s="619" t="inlineStr">
        <is>
          <t>Offshore production</t>
        </is>
      </c>
      <c r="E32" s="619" t="inlineStr">
        <is>
          <t>Process safety / ESD where present</t>
        </is>
      </c>
      <c r="F32" s="619" t="inlineStr">
        <is>
          <t>Current 18-driver BIA retained</t>
        </is>
      </c>
      <c r="G32" s="619" t="inlineStr">
        <is>
          <t>Working pack v1.0 — facility calibration required</t>
        </is>
      </c>
      <c r="H32" s="972" t="n"/>
      <c r="I32" s="972" t="n"/>
    </row>
    <row r="33">
      <c r="A33" s="619" t="inlineStr">
        <is>
          <t>Energy Assets</t>
        </is>
      </c>
      <c r="B33" s="619" t="inlineStr">
        <is>
          <t>Pipeline/Storage/Terminal</t>
        </is>
      </c>
      <c r="C33" s="619" t="inlineStr">
        <is>
          <t>EA-v1.0</t>
        </is>
      </c>
      <c r="D33" s="619" t="inlineStr">
        <is>
          <t>Distributed transport and storage</t>
        </is>
      </c>
      <c r="E33" s="619" t="inlineStr">
        <is>
          <t>SCADA protection / ESD where present</t>
        </is>
      </c>
      <c r="F33" s="619" t="inlineStr">
        <is>
          <t>Current 18-driver BIA retained</t>
        </is>
      </c>
      <c r="G33" s="619" t="inlineStr">
        <is>
          <t>Working pack v1.0 — facility calibration required</t>
        </is>
      </c>
      <c r="H33" s="972" t="n"/>
      <c r="I33" s="972" t="n"/>
    </row>
    <row r="34">
      <c r="A34" s="619" t="inlineStr">
        <is>
          <t>Energy Assets</t>
        </is>
      </c>
      <c r="B34" s="619" t="inlineStr">
        <is>
          <t>Refinery/Petrochemical</t>
        </is>
      </c>
      <c r="C34" s="619" t="inlineStr">
        <is>
          <t>EA-v1.0</t>
        </is>
      </c>
      <c r="D34" s="619" t="inlineStr">
        <is>
          <t>Continuous process operation</t>
        </is>
      </c>
      <c r="E34" s="619" t="inlineStr">
        <is>
          <t>SIS / ESD / fire-and-gas where present</t>
        </is>
      </c>
      <c r="F34" s="619" t="inlineStr">
        <is>
          <t>Current 18-driver BIA retained</t>
        </is>
      </c>
      <c r="G34" s="619" t="inlineStr">
        <is>
          <t>Working pack v1.0 — facility calibration required</t>
        </is>
      </c>
      <c r="H34" s="972" t="n"/>
      <c r="I34" s="972" t="n"/>
    </row>
    <row r="35">
      <c r="A35" s="619" t="inlineStr">
        <is>
          <t>Energy Assets</t>
        </is>
      </c>
      <c r="B35" s="619" t="inlineStr">
        <is>
          <t>LNG</t>
        </is>
      </c>
      <c r="C35" s="619" t="inlineStr">
        <is>
          <t>EA-v1.0</t>
        </is>
      </c>
      <c r="D35" s="619" t="inlineStr">
        <is>
          <t>Liquefaction, storage or regasification</t>
        </is>
      </c>
      <c r="E35" s="619" t="inlineStr">
        <is>
          <t>SIS / ESD / fire-and-gas where present</t>
        </is>
      </c>
      <c r="F35" s="619" t="inlineStr">
        <is>
          <t>Current 18-driver BIA retained</t>
        </is>
      </c>
      <c r="G35" s="619" t="inlineStr">
        <is>
          <t>Working pack v1.0 — facility calibration required</t>
        </is>
      </c>
      <c r="H35" s="972" t="n"/>
      <c r="I35" s="972" t="n"/>
    </row>
    <row r="36">
      <c r="A36" s="619" t="inlineStr">
        <is>
          <t>Manufacturing</t>
        </is>
      </c>
      <c r="B36" s="619" t="inlineStr">
        <is>
          <t>Process Manufacturing</t>
        </is>
      </c>
      <c r="C36" s="619" t="inlineStr">
        <is>
          <t>MF-v1.0</t>
        </is>
      </c>
      <c r="D36" s="619" t="inlineStr">
        <is>
          <t>Continuous process manufacturing</t>
        </is>
      </c>
      <c r="E36" s="619" t="inlineStr">
        <is>
          <t>SIS / interlocks where present</t>
        </is>
      </c>
      <c r="F36" s="619" t="inlineStr">
        <is>
          <t>Current 18-driver BIA retained</t>
        </is>
      </c>
      <c r="G36" s="619" t="inlineStr">
        <is>
          <t>Working pack v1.0 — facility calibration required</t>
        </is>
      </c>
      <c r="H36" s="972" t="n"/>
      <c r="I36" s="972" t="n"/>
    </row>
    <row r="37">
      <c r="A37" s="619" t="inlineStr">
        <is>
          <t>Manufacturing</t>
        </is>
      </c>
      <c r="B37" s="619" t="inlineStr">
        <is>
          <t>Batch Manufacturing</t>
        </is>
      </c>
      <c r="C37" s="619" t="inlineStr">
        <is>
          <t>MF-v1.0</t>
        </is>
      </c>
      <c r="D37" s="619" t="inlineStr">
        <is>
          <t>Batch or regulated production</t>
        </is>
      </c>
      <c r="E37" s="619" t="inlineStr">
        <is>
          <t>Interlocks / batch safeguards where present</t>
        </is>
      </c>
      <c r="F37" s="619" t="inlineStr">
        <is>
          <t>Current 18-driver BIA retained</t>
        </is>
      </c>
      <c r="G37" s="619" t="inlineStr">
        <is>
          <t>Working pack v1.0 — facility calibration required</t>
        </is>
      </c>
      <c r="H37" s="972" t="n"/>
      <c r="I37" s="972" t="n"/>
    </row>
    <row r="38">
      <c r="A38" s="619" t="inlineStr">
        <is>
          <t>Manufacturing</t>
        </is>
      </c>
      <c r="B38" s="619" t="inlineStr">
        <is>
          <t>Discrete Manufacturing</t>
        </is>
      </c>
      <c r="C38" s="619" t="inlineStr">
        <is>
          <t>MF-v1.0</t>
        </is>
      </c>
      <c r="D38" s="619" t="inlineStr">
        <is>
          <t>Lines, cells, robots and CNC</t>
        </is>
      </c>
      <c r="E38" s="619" t="inlineStr">
        <is>
          <t>Machine safety / interlocks where present</t>
        </is>
      </c>
      <c r="F38" s="619" t="inlineStr">
        <is>
          <t>Current 18-driver BIA retained</t>
        </is>
      </c>
      <c r="G38" s="619" t="inlineStr">
        <is>
          <t>Working pack v1.0 — facility calibration required</t>
        </is>
      </c>
      <c r="H38" s="972" t="n"/>
      <c r="I38" s="972" t="n"/>
    </row>
    <row r="39">
      <c r="A39" s="619" t="inlineStr">
        <is>
          <t>Manufacturing</t>
        </is>
      </c>
      <c r="B39" s="619" t="inlineStr">
        <is>
          <t>Hybrid Manufacturing</t>
        </is>
      </c>
      <c r="C39" s="619" t="inlineStr">
        <is>
          <t>MF-v1.0</t>
        </is>
      </c>
      <c r="D39" s="619" t="inlineStr">
        <is>
          <t>Mixed process and discrete production</t>
        </is>
      </c>
      <c r="E39" s="619" t="inlineStr">
        <is>
          <t>Process and machine safeguards where present</t>
        </is>
      </c>
      <c r="F39" s="619" t="inlineStr">
        <is>
          <t>Current 18-driver BIA retained</t>
        </is>
      </c>
      <c r="G39" s="619" t="inlineStr">
        <is>
          <t>Working pack v1.0 — facility calibration required</t>
        </is>
      </c>
      <c r="H39" s="972" t="n"/>
      <c r="I39" s="972" t="n"/>
    </row>
    <row r="40">
      <c r="A40" s="972" t="n"/>
      <c r="B40" s="972" t="n"/>
      <c r="C40" s="972" t="n"/>
      <c r="D40" s="972" t="n"/>
      <c r="E40" s="972" t="n"/>
      <c r="F40" s="972" t="n"/>
      <c r="G40" s="972" t="n"/>
      <c r="H40" s="972" t="n"/>
      <c r="I40" s="972" t="n"/>
    </row>
    <row r="41">
      <c r="A41" s="972" t="n"/>
      <c r="B41" s="972" t="n"/>
      <c r="C41" s="972" t="n"/>
      <c r="D41" s="972" t="n"/>
      <c r="E41" s="972" t="n"/>
      <c r="F41" s="972" t="n"/>
      <c r="G41" s="972" t="n"/>
      <c r="H41" s="972" t="n"/>
      <c r="I41" s="972" t="n"/>
    </row>
    <row r="42">
      <c r="A42" s="611" t="inlineStr">
        <is>
          <t>ASSET-TYPE FREQUENCY OVERLAY — EXPLICIT WORKING PRIORS</t>
        </is>
      </c>
    </row>
    <row r="43">
      <c r="A43" s="972" t="n"/>
      <c r="B43" s="972" t="n"/>
      <c r="C43" s="972" t="n"/>
      <c r="D43" s="972" t="n"/>
      <c r="E43" s="972" t="n"/>
      <c r="F43" s="972" t="n"/>
      <c r="G43" s="972" t="n"/>
      <c r="H43" s="972" t="n"/>
      <c r="I43" s="972" t="n"/>
    </row>
    <row r="44">
      <c r="A44" s="623" t="inlineStr">
        <is>
          <t>Sector</t>
        </is>
      </c>
      <c r="B44" s="623" t="inlineStr">
        <is>
          <t>Plant / asset type</t>
        </is>
      </c>
      <c r="C44" s="623" t="inlineStr">
        <is>
          <t>Nation State</t>
        </is>
      </c>
      <c r="D44" s="623" t="inlineStr">
        <is>
          <t>Cybercriminal</t>
        </is>
      </c>
      <c r="E44" s="623" t="inlineStr">
        <is>
          <t>Malicious Insider</t>
        </is>
      </c>
      <c r="F44" s="623" t="inlineStr">
        <is>
          <t>Parameter type</t>
        </is>
      </c>
      <c r="G44" s="623" t="inlineStr">
        <is>
          <t>Status</t>
        </is>
      </c>
      <c r="H44" s="623" t="inlineStr">
        <is>
          <t>Rationale / how used</t>
        </is>
      </c>
      <c r="I44" s="623" t="inlineStr">
        <is>
          <t>Evidence requirement</t>
        </is>
      </c>
    </row>
    <row r="45">
      <c r="A45" s="619" t="inlineStr">
        <is>
          <t>Power Generation</t>
        </is>
      </c>
      <c r="B45" s="619" t="inlineStr">
        <is>
          <t>CCGT</t>
        </is>
      </c>
      <c r="C45" s="386" t="n">
        <v>1</v>
      </c>
      <c r="D45" s="386" t="n">
        <v>1</v>
      </c>
      <c r="E45" s="386" t="n">
        <v>1</v>
      </c>
      <c r="F45" s="619" t="inlineStr">
        <is>
          <t>Calibration parameter</t>
        </is>
      </c>
      <c r="G45" s="619" t="inlineStr">
        <is>
          <t>Reference</t>
        </is>
      </c>
      <c r="H45" s="619" t="inlineStr">
        <is>
          <t>Multiplies the actor-specific sector intensity after the selected sector row. Neutral 1.00 avoids unsupported differentiation.</t>
        </is>
      </c>
      <c r="I45" s="619" t="inlineStr">
        <is>
          <t>Replace only with a compatible facility-year denominator or approved structured elicitation.</t>
        </is>
      </c>
    </row>
    <row r="46">
      <c r="A46" s="619" t="inlineStr">
        <is>
          <t>Power Generation</t>
        </is>
      </c>
      <c r="B46" s="619" t="inlineStr">
        <is>
          <t>OCGT</t>
        </is>
      </c>
      <c r="C46" s="386" t="n">
        <v>1</v>
      </c>
      <c r="D46" s="386" t="n">
        <v>1</v>
      </c>
      <c r="E46" s="386" t="n">
        <v>1</v>
      </c>
      <c r="F46" s="619" t="inlineStr">
        <is>
          <t>Calibration parameter</t>
        </is>
      </c>
      <c r="G46" s="619" t="inlineStr">
        <is>
          <t>Working prior</t>
        </is>
      </c>
      <c r="H46" s="619" t="inlineStr">
        <is>
          <t>Multiplies the actor-specific sector intensity after the selected sector row. Neutral 1.00 avoids unsupported differentiation.</t>
        </is>
      </c>
      <c r="I46" s="619" t="inlineStr">
        <is>
          <t>Replace only with a compatible facility-year denominator or approved structured elicitation.</t>
        </is>
      </c>
    </row>
    <row r="47">
      <c r="A47" s="619" t="inlineStr">
        <is>
          <t>Power Generation</t>
        </is>
      </c>
      <c r="B47" s="619" t="inlineStr">
        <is>
          <t>Coal/Oil Thermal</t>
        </is>
      </c>
      <c r="C47" s="386" t="n">
        <v>1</v>
      </c>
      <c r="D47" s="386" t="n">
        <v>1</v>
      </c>
      <c r="E47" s="386" t="n">
        <v>1</v>
      </c>
      <c r="F47" s="619" t="inlineStr">
        <is>
          <t>Calibration parameter</t>
        </is>
      </c>
      <c r="G47" s="619" t="inlineStr">
        <is>
          <t>Working prior</t>
        </is>
      </c>
      <c r="H47" s="619" t="inlineStr">
        <is>
          <t>Multiplies the actor-specific sector intensity after the selected sector row. Neutral 1.00 avoids unsupported differentiation.</t>
        </is>
      </c>
      <c r="I47" s="619" t="inlineStr">
        <is>
          <t>Replace only with a compatible facility-year denominator or approved structured elicitation.</t>
        </is>
      </c>
    </row>
    <row r="48">
      <c r="A48" s="619" t="inlineStr">
        <is>
          <t>Power Generation</t>
        </is>
      </c>
      <c r="B48" s="619" t="inlineStr">
        <is>
          <t>Nuclear</t>
        </is>
      </c>
      <c r="C48" s="386" t="n">
        <v>1</v>
      </c>
      <c r="D48" s="386" t="n">
        <v>1</v>
      </c>
      <c r="E48" s="386" t="n">
        <v>1</v>
      </c>
      <c r="F48" s="619" t="inlineStr">
        <is>
          <t>Calibration parameter</t>
        </is>
      </c>
      <c r="G48" s="619" t="inlineStr">
        <is>
          <t>Working prior</t>
        </is>
      </c>
      <c r="H48" s="619" t="inlineStr">
        <is>
          <t>Multiplies the actor-specific sector intensity after the selected sector row. Neutral 1.00 avoids unsupported differentiation.</t>
        </is>
      </c>
      <c r="I48" s="619" t="inlineStr">
        <is>
          <t>Replace only with a compatible facility-year denominator or approved structured elicitation.</t>
        </is>
      </c>
    </row>
    <row r="49">
      <c r="A49" s="619" t="inlineStr">
        <is>
          <t>Power Generation</t>
        </is>
      </c>
      <c r="B49" s="619" t="inlineStr">
        <is>
          <t>Hydro</t>
        </is>
      </c>
      <c r="C49" s="386" t="n">
        <v>1</v>
      </c>
      <c r="D49" s="386" t="n">
        <v>1</v>
      </c>
      <c r="E49" s="386" t="n">
        <v>1</v>
      </c>
      <c r="F49" s="619" t="inlineStr">
        <is>
          <t>Calibration parameter</t>
        </is>
      </c>
      <c r="G49" s="619" t="inlineStr">
        <is>
          <t>Working prior</t>
        </is>
      </c>
      <c r="H49" s="619" t="inlineStr">
        <is>
          <t>Multiplies the actor-specific sector intensity after the selected sector row. Neutral 1.00 avoids unsupported differentiation.</t>
        </is>
      </c>
      <c r="I49" s="619" t="inlineStr">
        <is>
          <t>Replace only with a compatible facility-year denominator or approved structured elicitation.</t>
        </is>
      </c>
    </row>
    <row r="50">
      <c r="A50" s="619" t="inlineStr">
        <is>
          <t>Power Generation</t>
        </is>
      </c>
      <c r="B50" s="619" t="inlineStr">
        <is>
          <t>Renewables</t>
        </is>
      </c>
      <c r="C50" s="386" t="n">
        <v>1</v>
      </c>
      <c r="D50" s="386" t="n">
        <v>1</v>
      </c>
      <c r="E50" s="386" t="n">
        <v>1</v>
      </c>
      <c r="F50" s="619" t="inlineStr">
        <is>
          <t>Calibration parameter</t>
        </is>
      </c>
      <c r="G50" s="619" t="inlineStr">
        <is>
          <t>Working prior</t>
        </is>
      </c>
      <c r="H50" s="619" t="inlineStr">
        <is>
          <t>Multiplies the actor-specific sector intensity after the selected sector row. Neutral 1.00 avoids unsupported differentiation.</t>
        </is>
      </c>
      <c r="I50" s="619" t="inlineStr">
        <is>
          <t>Replace only with a compatible facility-year denominator or approved structured elicitation.</t>
        </is>
      </c>
    </row>
    <row r="51">
      <c r="A51" s="619" t="inlineStr">
        <is>
          <t>Energy Assets</t>
        </is>
      </c>
      <c r="B51" s="619" t="inlineStr">
        <is>
          <t>Upstream Onshore</t>
        </is>
      </c>
      <c r="C51" s="386" t="n">
        <v>1</v>
      </c>
      <c r="D51" s="386" t="n">
        <v>1</v>
      </c>
      <c r="E51" s="386" t="n">
        <v>1</v>
      </c>
      <c r="F51" s="619" t="inlineStr">
        <is>
          <t>Calibration parameter</t>
        </is>
      </c>
      <c r="G51" s="619" t="inlineStr">
        <is>
          <t>Working pack v1.0</t>
        </is>
      </c>
      <c r="H51" s="619" t="inlineStr">
        <is>
          <t>Asset-type multiplier remains neutral 1.00. Sector differentiation is applied at actor level; do not infer unsupported within-sector differences without a compatible denominator.</t>
        </is>
      </c>
      <c r="I51" s="619" t="inlineStr">
        <is>
          <t>Replace the neutral asset-type multiplier only with a compatible facility-year denominator or approved structured elicitation. Sector threat differences are handled separately at actor level.</t>
        </is>
      </c>
    </row>
    <row r="52">
      <c r="A52" s="619" t="inlineStr">
        <is>
          <t>Energy Assets</t>
        </is>
      </c>
      <c r="B52" s="619" t="inlineStr">
        <is>
          <t>Upstream Offshore</t>
        </is>
      </c>
      <c r="C52" s="386" t="n">
        <v>1</v>
      </c>
      <c r="D52" s="386" t="n">
        <v>1</v>
      </c>
      <c r="E52" s="386" t="n">
        <v>1</v>
      </c>
      <c r="F52" s="619" t="inlineStr">
        <is>
          <t>Calibration parameter</t>
        </is>
      </c>
      <c r="G52" s="619" t="inlineStr">
        <is>
          <t>Working pack v1.0</t>
        </is>
      </c>
      <c r="H52" s="619" t="inlineStr">
        <is>
          <t>Asset-type multiplier remains neutral 1.00. Sector differentiation is applied at actor level; do not infer unsupported within-sector differences without a compatible denominator.</t>
        </is>
      </c>
      <c r="I52" s="619" t="inlineStr">
        <is>
          <t>Replace the neutral asset-type multiplier only with a compatible facility-year denominator or approved structured elicitation. Sector threat differences are handled separately at actor level.</t>
        </is>
      </c>
    </row>
    <row r="53">
      <c r="A53" s="619" t="inlineStr">
        <is>
          <t>Energy Assets</t>
        </is>
      </c>
      <c r="B53" s="619" t="inlineStr">
        <is>
          <t>Pipeline/Storage/Terminal</t>
        </is>
      </c>
      <c r="C53" s="386" t="n">
        <v>1</v>
      </c>
      <c r="D53" s="386" t="n">
        <v>1</v>
      </c>
      <c r="E53" s="386" t="n">
        <v>1</v>
      </c>
      <c r="F53" s="619" t="inlineStr">
        <is>
          <t>Calibration parameter</t>
        </is>
      </c>
      <c r="G53" s="619" t="inlineStr">
        <is>
          <t>Working pack v1.0</t>
        </is>
      </c>
      <c r="H53" s="619" t="inlineStr">
        <is>
          <t>Asset-type multiplier remains neutral 1.00. Sector differentiation is applied at actor level; do not infer unsupported within-sector differences without a compatible denominator.</t>
        </is>
      </c>
      <c r="I53" s="619" t="inlineStr">
        <is>
          <t>Replace the neutral asset-type multiplier only with a compatible facility-year denominator or approved structured elicitation. Sector threat differences are handled separately at actor level.</t>
        </is>
      </c>
    </row>
    <row r="54">
      <c r="A54" s="619" t="inlineStr">
        <is>
          <t>Energy Assets</t>
        </is>
      </c>
      <c r="B54" s="619" t="inlineStr">
        <is>
          <t>Refinery/Petrochemical</t>
        </is>
      </c>
      <c r="C54" s="386" t="n">
        <v>1</v>
      </c>
      <c r="D54" s="386" t="n">
        <v>1</v>
      </c>
      <c r="E54" s="386" t="n">
        <v>1</v>
      </c>
      <c r="F54" s="619" t="inlineStr">
        <is>
          <t>Calibration parameter</t>
        </is>
      </c>
      <c r="G54" s="619" t="inlineStr">
        <is>
          <t>Working pack v1.0</t>
        </is>
      </c>
      <c r="H54" s="619" t="inlineStr">
        <is>
          <t>Asset-type multiplier remains neutral 1.00. Sector differentiation is applied at actor level; do not infer unsupported within-sector differences without a compatible denominator.</t>
        </is>
      </c>
      <c r="I54" s="619" t="inlineStr">
        <is>
          <t>Replace the neutral asset-type multiplier only with a compatible facility-year denominator or approved structured elicitation. Sector threat differences are handled separately at actor level.</t>
        </is>
      </c>
    </row>
    <row r="55">
      <c r="A55" s="619" t="inlineStr">
        <is>
          <t>Energy Assets</t>
        </is>
      </c>
      <c r="B55" s="619" t="inlineStr">
        <is>
          <t>LNG</t>
        </is>
      </c>
      <c r="C55" s="386" t="n">
        <v>1</v>
      </c>
      <c r="D55" s="386" t="n">
        <v>1</v>
      </c>
      <c r="E55" s="386" t="n">
        <v>1</v>
      </c>
      <c r="F55" s="619" t="inlineStr">
        <is>
          <t>Calibration parameter</t>
        </is>
      </c>
      <c r="G55" s="619" t="inlineStr">
        <is>
          <t>Working pack v1.0</t>
        </is>
      </c>
      <c r="H55" s="619" t="inlineStr">
        <is>
          <t>Asset-type multiplier remains neutral 1.00. Sector differentiation is applied at actor level; do not infer unsupported within-sector differences without a compatible denominator.</t>
        </is>
      </c>
      <c r="I55" s="619" t="inlineStr">
        <is>
          <t>Replace the neutral asset-type multiplier only with a compatible facility-year denominator or approved structured elicitation. Sector threat differences are handled separately at actor level.</t>
        </is>
      </c>
    </row>
    <row r="56">
      <c r="A56" s="619" t="inlineStr">
        <is>
          <t>Manufacturing</t>
        </is>
      </c>
      <c r="B56" s="619" t="inlineStr">
        <is>
          <t>Process Manufacturing</t>
        </is>
      </c>
      <c r="C56" s="386" t="n">
        <v>1</v>
      </c>
      <c r="D56" s="386" t="n">
        <v>1</v>
      </c>
      <c r="E56" s="386" t="n">
        <v>1</v>
      </c>
      <c r="F56" s="619" t="inlineStr">
        <is>
          <t>Calibration parameter</t>
        </is>
      </c>
      <c r="G56" s="619" t="inlineStr">
        <is>
          <t>Working pack v1.0</t>
        </is>
      </c>
      <c r="H56" s="619" t="inlineStr">
        <is>
          <t>Asset-type multiplier remains neutral 1.00. Sector differentiation is applied at actor level; manufacturing ransomware pressure is captured by the sector Cybercriminal multiplier rather than arbitrary asset-type scaling.</t>
        </is>
      </c>
      <c r="I56" s="619" t="inlineStr">
        <is>
          <t>Replace the neutral asset-type multiplier only with a compatible facility-year denominator or approved structured elicitation. Sector threat differences are handled separately at actor level.</t>
        </is>
      </c>
    </row>
    <row r="57">
      <c r="A57" s="619" t="inlineStr">
        <is>
          <t>Manufacturing</t>
        </is>
      </c>
      <c r="B57" s="619" t="inlineStr">
        <is>
          <t>Batch Manufacturing</t>
        </is>
      </c>
      <c r="C57" s="386" t="n">
        <v>1</v>
      </c>
      <c r="D57" s="386" t="n">
        <v>1</v>
      </c>
      <c r="E57" s="386" t="n">
        <v>1</v>
      </c>
      <c r="F57" s="619" t="inlineStr">
        <is>
          <t>Calibration parameter</t>
        </is>
      </c>
      <c r="G57" s="619" t="inlineStr">
        <is>
          <t>Working pack v1.0</t>
        </is>
      </c>
      <c r="H57" s="619" t="inlineStr">
        <is>
          <t>Asset-type multiplier remains neutral 1.00. Sector differentiation is applied at actor level; manufacturing ransomware pressure is captured by the sector Cybercriminal multiplier rather than arbitrary asset-type scaling.</t>
        </is>
      </c>
      <c r="I57" s="619" t="inlineStr">
        <is>
          <t>Replace the neutral asset-type multiplier only with a compatible facility-year denominator or approved structured elicitation. Sector threat differences are handled separately at actor level.</t>
        </is>
      </c>
    </row>
    <row r="58">
      <c r="A58" s="619" t="inlineStr">
        <is>
          <t>Manufacturing</t>
        </is>
      </c>
      <c r="B58" s="619" t="inlineStr">
        <is>
          <t>Discrete Manufacturing</t>
        </is>
      </c>
      <c r="C58" s="386" t="n">
        <v>1</v>
      </c>
      <c r="D58" s="386" t="n">
        <v>1</v>
      </c>
      <c r="E58" s="386" t="n">
        <v>1</v>
      </c>
      <c r="F58" s="619" t="inlineStr">
        <is>
          <t>Calibration parameter</t>
        </is>
      </c>
      <c r="G58" s="619" t="inlineStr">
        <is>
          <t>Working pack v1.0</t>
        </is>
      </c>
      <c r="H58" s="619" t="inlineStr">
        <is>
          <t>Asset-type multiplier remains neutral 1.00. Sector differentiation is applied at actor level; manufacturing ransomware pressure is captured by the sector Cybercriminal multiplier rather than arbitrary asset-type scaling.</t>
        </is>
      </c>
      <c r="I58" s="619" t="inlineStr">
        <is>
          <t>Replace the neutral asset-type multiplier only with a compatible facility-year denominator or approved structured elicitation. Sector threat differences are handled separately at actor level.</t>
        </is>
      </c>
    </row>
    <row r="59">
      <c r="A59" s="619" t="inlineStr">
        <is>
          <t>Manufacturing</t>
        </is>
      </c>
      <c r="B59" s="619" t="inlineStr">
        <is>
          <t>Hybrid Manufacturing</t>
        </is>
      </c>
      <c r="C59" s="386" t="n">
        <v>1</v>
      </c>
      <c r="D59" s="386" t="n">
        <v>1</v>
      </c>
      <c r="E59" s="386" t="n">
        <v>1</v>
      </c>
      <c r="F59" s="619" t="inlineStr">
        <is>
          <t>Calibration parameter</t>
        </is>
      </c>
      <c r="G59" s="619" t="inlineStr">
        <is>
          <t>Working pack v1.0</t>
        </is>
      </c>
      <c r="H59" s="619" t="inlineStr">
        <is>
          <t>Asset-type multiplier remains neutral 1.00. Sector differentiation is applied at actor level; manufacturing ransomware pressure is captured by the sector Cybercriminal multiplier rather than arbitrary asset-type scaling.</t>
        </is>
      </c>
      <c r="I59" s="619" t="inlineStr">
        <is>
          <t>Replace the neutral asset-type multiplier only with a compatible facility-year denominator or approved structured elicitation. Sector threat differences are handled separately at actor level.</t>
        </is>
      </c>
    </row>
  </sheetData>
  <mergeCells count="15">
    <mergeCell ref="A7:I7"/>
    <mergeCell ref="A2:I2"/>
    <mergeCell ref="A11:I11"/>
    <mergeCell ref="A10:I10"/>
    <mergeCell ref="A5:I5"/>
    <mergeCell ref="A42:I42"/>
    <mergeCell ref="A13:I13"/>
    <mergeCell ref="A22:G22"/>
    <mergeCell ref="A1:I1"/>
    <mergeCell ref="A9:I9"/>
    <mergeCell ref="A8:I8"/>
    <mergeCell ref="A3:I3"/>
    <mergeCell ref="A6:I6"/>
    <mergeCell ref="A12:I12"/>
    <mergeCell ref="A4:I4"/>
  </mergeCells>
  <pageMargins left="0.7" right="0.7" top="0.75" bottom="0.75" header="0.3" footer="0.3"/>
</worksheet>
</file>

<file path=xl/worksheets/sheet45.xml><?xml version="1.0" encoding="utf-8"?>
<worksheet xmlns="http://schemas.openxmlformats.org/spreadsheetml/2006/main">
  <sheetPr>
    <tabColor rgb="00C00080"/>
    <outlinePr summaryBelow="1" summaryRight="1"/>
    <pageSetUpPr/>
  </sheetPr>
  <dimension ref="A1:L306"/>
  <sheetViews>
    <sheetView showGridLines="0" workbookViewId="0">
      <selection activeCell="A1" sqref="A1"/>
    </sheetView>
  </sheetViews>
  <sheetFormatPr baseColWidth="8" defaultRowHeight="15"/>
  <cols>
    <col width="30" customWidth="1" style="508" min="1" max="1"/>
    <col width="20" customWidth="1" style="508" min="2" max="2"/>
    <col width="38" customWidth="1" style="508" min="3" max="3"/>
    <col width="14" customWidth="1" style="508" min="4" max="4"/>
    <col width="32" customWidth="1" style="508" min="5" max="5"/>
    <col width="14" customWidth="1" style="508" min="6" max="6"/>
    <col width="14" customWidth="1" style="508" min="7" max="7"/>
    <col width="35" customWidth="1" style="508" min="8" max="8"/>
    <col width="62" customWidth="1" style="508" min="9" max="9"/>
    <col width="42" customWidth="1" style="508" min="10" max="10"/>
    <col width="42" customWidth="1" style="508" min="11" max="11"/>
    <col width="30" customWidth="1" style="508" min="12" max="12"/>
  </cols>
  <sheetData>
    <row r="1">
      <c r="A1" s="370" t="inlineStr">
        <is>
          <t>29 — Sector / Asset TTP Applicability &amp; Rationale</t>
        </is>
      </c>
    </row>
    <row r="2">
      <c r="A2" s="347" t="inlineStr">
        <is>
          <t>Purpose: Explain why each ATT&amp;CK for ICS technique is retained for each sector pack and show the facility condition that can remove it from the composite stage barrier.</t>
        </is>
      </c>
    </row>
    <row r="3">
      <c r="A3" s="349" t="inlineStr">
        <is>
          <t>In plain English: this is not a catalogue of discrete attack paths. The model pools all relevant techniques within S1–S5, averages their barriers by stage, and multiplies the five stage-through probabilities.</t>
        </is>
      </c>
    </row>
    <row r="4">
      <c r="A4" s="371" t="inlineStr">
        <is>
          <t>SHEET TYPE: MAPPING / SECTOR PACK GOVERNANCE</t>
        </is>
      </c>
    </row>
    <row r="5">
      <c r="A5" s="352" t="inlineStr">
        <is>
          <t>Inputs / upstream sources</t>
        </is>
      </c>
    </row>
    <row r="6">
      <c r="A6" s="973" t="inlineStr">
        <is>
          <t>09 Scenario-TTP Map, 11 Actor-TTP Applicability, 12 Facility Feasibility, MITRE ATT&amp;CK for ICS, NIST SP 800-82, DOE/API energy guidance and NIST manufacturing guidance.</t>
        </is>
      </c>
    </row>
    <row r="7">
      <c r="A7" s="352" t="inlineStr">
        <is>
          <t>Calculation / decision logic</t>
        </is>
      </c>
    </row>
    <row r="8">
      <c r="A8" s="973" t="inlineStr">
        <is>
          <t>Sector applicability is an additional governed filter. V1.7 retains the common OT candidate set for all three sectors and lets explicit facility architecture gates remove infeasible techniques; asset type alone does not prove a technique impossible.</t>
        </is>
      </c>
    </row>
    <row r="9">
      <c r="A9" s="352" t="inlineStr">
        <is>
          <t>Key assumptions / defaults</t>
        </is>
      </c>
    </row>
    <row r="10">
      <c r="A10" s="973" t="inlineStr">
        <is>
          <t>A Yes means applicable by default, not observed at every facility. V1.8 retains the common OT candidate set; Energy Assets and Manufacturing now have formal working sector packs, but all facility feasibility still comes from architecture evidence and relevant facility gates.</t>
        </is>
      </c>
    </row>
    <row r="11">
      <c r="A11" s="352" t="inlineStr">
        <is>
          <t>Outputs / downstream use</t>
        </is>
      </c>
    </row>
    <row r="12">
      <c r="A12" s="973" t="inlineStr">
        <is>
          <t>Feeds the sector overlay displayed on 14 TTP Relevance Calc. The composite attack-path calculation remains unchanged.</t>
        </is>
      </c>
    </row>
    <row r="13">
      <c r="A13" s="356" t="inlineStr">
        <is>
          <t>Workbook convention: technique and guidance URLs are plain-text audit references. No probability or control-efficacy value is inferred from source presence.</t>
        </is>
      </c>
    </row>
    <row r="15">
      <c r="A15" s="623" t="inlineStr">
        <is>
          <t>Lookup key</t>
        </is>
      </c>
      <c r="B15" s="623" t="inlineStr">
        <is>
          <t>Sector</t>
        </is>
      </c>
      <c r="C15" s="623" t="inlineStr">
        <is>
          <t>Asset type scope</t>
        </is>
      </c>
      <c r="D15" s="623" t="inlineStr">
        <is>
          <t>TTP ID</t>
        </is>
      </c>
      <c r="E15" s="623" t="inlineStr">
        <is>
          <t>Technique</t>
        </is>
      </c>
      <c r="F15" s="623" t="inlineStr">
        <is>
          <t>Stage</t>
        </is>
      </c>
      <c r="G15" s="623" t="inlineStr">
        <is>
          <t>Default applicable?</t>
        </is>
      </c>
      <c r="H15" s="623" t="inlineStr">
        <is>
          <t>Existing facility gate</t>
        </is>
      </c>
      <c r="I15" s="623" t="inlineStr">
        <is>
          <t>Sector / asset rationale</t>
        </is>
      </c>
      <c r="J15" s="623" t="inlineStr">
        <is>
          <t>Technique URL</t>
        </is>
      </c>
      <c r="K15" s="623" t="inlineStr">
        <is>
          <t>Sector guidance URL</t>
        </is>
      </c>
      <c r="L15" s="623" t="inlineStr">
        <is>
          <t>Calibration status</t>
        </is>
      </c>
    </row>
    <row r="16">
      <c r="A16" s="632" t="inlineStr">
        <is>
          <t>Power Generation|T0800</t>
        </is>
      </c>
      <c r="B16" s="632" t="inlineStr">
        <is>
          <t>Power Generation</t>
        </is>
      </c>
      <c r="C16" s="632" t="inlineStr">
        <is>
          <t>All registered asset types; actual architecture/platform evidence overrides</t>
        </is>
      </c>
      <c r="D16" s="632" t="inlineStr">
        <is>
          <t>T0800</t>
        </is>
      </c>
      <c r="E16" s="632" t="inlineStr">
        <is>
          <t>Activate Firmware Update Mode</t>
        </is>
      </c>
      <c r="F16" s="632" t="inlineStr">
        <is>
          <t>S5</t>
        </is>
      </c>
      <c r="G16" s="632" t="inlineStr">
        <is>
          <t>Yes</t>
        </is>
      </c>
      <c r="H16" s="632" t="inlineStr">
        <is>
          <t>No explicit facility gate — defaults feasible</t>
        </is>
      </c>
      <c r="I16" s="632" t="inlineStr">
        <is>
          <t>Activate Firmware Update Mode is an ATT&amp;CK for ICS impact or response-inhibition technique that can support one or more governed adverse scenarios; scenario role remains controlled on 09.</t>
        </is>
      </c>
      <c r="J16" s="632" t="inlineStr">
        <is>
          <t>https://attack.mitre.org/techniques/T0800</t>
        </is>
      </c>
      <c r="K16" s="632" t="inlineStr">
        <is>
          <t>https://csrc.nist.gov/pubs/sp/800/82/r3/final</t>
        </is>
      </c>
      <c r="L16" s="632" t="inlineStr">
        <is>
          <t>Reference mapping</t>
        </is>
      </c>
    </row>
    <row r="17">
      <c r="A17" s="632" t="inlineStr">
        <is>
          <t>Power Generation|T0801</t>
        </is>
      </c>
      <c r="B17" s="632" t="inlineStr">
        <is>
          <t>Power Generation</t>
        </is>
      </c>
      <c r="C17" s="632" t="inlineStr">
        <is>
          <t>All registered asset types; actual architecture/platform evidence overrides</t>
        </is>
      </c>
      <c r="D17" s="632" t="inlineStr">
        <is>
          <t>T0801</t>
        </is>
      </c>
      <c r="E17" s="632" t="inlineStr">
        <is>
          <t>Monitor Process State</t>
        </is>
      </c>
      <c r="F17" s="632" t="inlineStr">
        <is>
          <t>S4</t>
        </is>
      </c>
      <c r="G17" s="632" t="inlineStr">
        <is>
          <t>Yes</t>
        </is>
      </c>
      <c r="H17" s="632" t="inlineStr">
        <is>
          <t>No explicit facility gate — defaults feasible</t>
        </is>
      </c>
      <c r="I17" s="632" t="inlineStr">
        <is>
          <t>Monitor Process State can support discovery or interaction with process state, control assets and operational data in Power Generation environments.</t>
        </is>
      </c>
      <c r="J17" s="632" t="inlineStr">
        <is>
          <t>https://attack.mitre.org/techniques/T0801</t>
        </is>
      </c>
      <c r="K17" s="632" t="inlineStr">
        <is>
          <t>https://csrc.nist.gov/pubs/sp/800/82/r3/final</t>
        </is>
      </c>
      <c r="L17" s="632" t="inlineStr">
        <is>
          <t>Reference mapping</t>
        </is>
      </c>
    </row>
    <row r="18">
      <c r="A18" s="632" t="inlineStr">
        <is>
          <t>Power Generation|T0802</t>
        </is>
      </c>
      <c r="B18" s="632" t="inlineStr">
        <is>
          <t>Power Generation</t>
        </is>
      </c>
      <c r="C18" s="632" t="inlineStr">
        <is>
          <t>All registered asset types; actual architecture/platform evidence overrides</t>
        </is>
      </c>
      <c r="D18" s="632" t="inlineStr">
        <is>
          <t>T0802</t>
        </is>
      </c>
      <c r="E18" s="632" t="inlineStr">
        <is>
          <t>Automated Collection</t>
        </is>
      </c>
      <c r="F18" s="632" t="inlineStr">
        <is>
          <t>S4</t>
        </is>
      </c>
      <c r="G18" s="632" t="inlineStr">
        <is>
          <t>Yes</t>
        </is>
      </c>
      <c r="H18" s="632" t="inlineStr">
        <is>
          <t>No explicit facility gate — defaults feasible</t>
        </is>
      </c>
      <c r="I18" s="632" t="inlineStr">
        <is>
          <t>Automated Collection can support discovery or interaction with process state, control assets and operational data in Power Generation environments.</t>
        </is>
      </c>
      <c r="J18" s="632" t="inlineStr">
        <is>
          <t>https://attack.mitre.org/techniques/T0802</t>
        </is>
      </c>
      <c r="K18" s="632" t="inlineStr">
        <is>
          <t>https://csrc.nist.gov/pubs/sp/800/82/r3/final</t>
        </is>
      </c>
      <c r="L18" s="632" t="inlineStr">
        <is>
          <t>Reference mapping</t>
        </is>
      </c>
    </row>
    <row r="19">
      <c r="A19" s="632" t="inlineStr">
        <is>
          <t>Power Generation|T0806</t>
        </is>
      </c>
      <c r="B19" s="632" t="inlineStr">
        <is>
          <t>Power Generation</t>
        </is>
      </c>
      <c r="C19" s="632" t="inlineStr">
        <is>
          <t>All registered asset types; actual architecture/platform evidence overrides</t>
        </is>
      </c>
      <c r="D19" s="632" t="inlineStr">
        <is>
          <t>T0806</t>
        </is>
      </c>
      <c r="E19" s="632" t="inlineStr">
        <is>
          <t>Brute Force I/O</t>
        </is>
      </c>
      <c r="F19" s="632" t="inlineStr">
        <is>
          <t>S5</t>
        </is>
      </c>
      <c r="G19" s="632" t="inlineStr">
        <is>
          <t>Yes</t>
        </is>
      </c>
      <c r="H19" s="632" t="inlineStr">
        <is>
          <t>No explicit facility gate — defaults feasible</t>
        </is>
      </c>
      <c r="I19" s="632" t="inlineStr">
        <is>
          <t>Brute Force I/O is an ATT&amp;CK for ICS impact or response-inhibition technique that can support one or more governed adverse scenarios; scenario role remains controlled on 09.</t>
        </is>
      </c>
      <c r="J19" s="632" t="inlineStr">
        <is>
          <t>https://attack.mitre.org/techniques/T0806</t>
        </is>
      </c>
      <c r="K19" s="632" t="inlineStr">
        <is>
          <t>https://csrc.nist.gov/pubs/sp/800/82/r3/final</t>
        </is>
      </c>
      <c r="L19" s="632" t="inlineStr">
        <is>
          <t>Reference mapping</t>
        </is>
      </c>
    </row>
    <row r="20">
      <c r="A20" s="632" t="inlineStr">
        <is>
          <t>Power Generation|T0807</t>
        </is>
      </c>
      <c r="B20" s="632" t="inlineStr">
        <is>
          <t>Power Generation</t>
        </is>
      </c>
      <c r="C20" s="632" t="inlineStr">
        <is>
          <t>All registered asset types; actual architecture/platform evidence overrides</t>
        </is>
      </c>
      <c r="D20" s="632" t="inlineStr">
        <is>
          <t>T0807</t>
        </is>
      </c>
      <c r="E20" s="632" t="inlineStr">
        <is>
          <t>Command-Line Interface</t>
        </is>
      </c>
      <c r="F20" s="632" t="inlineStr">
        <is>
          <t>S2</t>
        </is>
      </c>
      <c r="G20" s="632" t="inlineStr">
        <is>
          <t>Yes</t>
        </is>
      </c>
      <c r="H20" s="632" t="inlineStr">
        <is>
          <t>No explicit facility gate — defaults feasible</t>
        </is>
      </c>
      <c r="I20" s="632" t="inlineStr">
        <is>
          <t>Command-Line Interface is applicable to execution or persistence on engineering workstations, HMIs, servers or controllers used in Power Generation facilities.</t>
        </is>
      </c>
      <c r="J20" s="632" t="inlineStr">
        <is>
          <t>https://attack.mitre.org/techniques/T0807</t>
        </is>
      </c>
      <c r="K20" s="632" t="inlineStr">
        <is>
          <t>https://csrc.nist.gov/pubs/sp/800/82/r3/final</t>
        </is>
      </c>
      <c r="L20" s="632" t="inlineStr">
        <is>
          <t>Reference mapping</t>
        </is>
      </c>
    </row>
    <row r="21">
      <c r="A21" s="632" t="inlineStr">
        <is>
          <t>Power Generation|T0809</t>
        </is>
      </c>
      <c r="B21" s="632" t="inlineStr">
        <is>
          <t>Power Generation</t>
        </is>
      </c>
      <c r="C21" s="632" t="inlineStr">
        <is>
          <t>All registered asset types; actual architecture/platform evidence overrides</t>
        </is>
      </c>
      <c r="D21" s="632" t="inlineStr">
        <is>
          <t>T0809</t>
        </is>
      </c>
      <c r="E21" s="632" t="inlineStr">
        <is>
          <t>Data Destruction</t>
        </is>
      </c>
      <c r="F21" s="632" t="inlineStr">
        <is>
          <t>S5</t>
        </is>
      </c>
      <c r="G21" s="632" t="inlineStr">
        <is>
          <t>Yes</t>
        </is>
      </c>
      <c r="H21" s="632" t="inlineStr">
        <is>
          <t>No explicit facility gate — defaults feasible</t>
        </is>
      </c>
      <c r="I21" s="632" t="inlineStr">
        <is>
          <t>Data Destruction is an ATT&amp;CK for ICS impact or response-inhibition technique that can support one or more governed adverse scenarios; scenario role remains controlled on 09.</t>
        </is>
      </c>
      <c r="J21" s="632" t="inlineStr">
        <is>
          <t>https://attack.mitre.org/techniques/T0809</t>
        </is>
      </c>
      <c r="K21" s="632" t="inlineStr">
        <is>
          <t>https://csrc.nist.gov/pubs/sp/800/82/r3/final</t>
        </is>
      </c>
      <c r="L21" s="632" t="inlineStr">
        <is>
          <t>Reference mapping</t>
        </is>
      </c>
    </row>
    <row r="22">
      <c r="A22" s="632" t="inlineStr">
        <is>
          <t>Power Generation|T0811</t>
        </is>
      </c>
      <c r="B22" s="632" t="inlineStr">
        <is>
          <t>Power Generation</t>
        </is>
      </c>
      <c r="C22" s="632" t="inlineStr">
        <is>
          <t>All registered asset types; actual architecture/platform evidence overrides</t>
        </is>
      </c>
      <c r="D22" s="632" t="inlineStr">
        <is>
          <t>T0811</t>
        </is>
      </c>
      <c r="E22" s="632" t="inlineStr">
        <is>
          <t>Data from Information Repositories</t>
        </is>
      </c>
      <c r="F22" s="632" t="inlineStr">
        <is>
          <t>S4</t>
        </is>
      </c>
      <c r="G22" s="632" t="inlineStr">
        <is>
          <t>Yes</t>
        </is>
      </c>
      <c r="H22" s="632" t="inlineStr">
        <is>
          <t>No explicit facility gate — defaults feasible</t>
        </is>
      </c>
      <c r="I22" s="632" t="inlineStr">
        <is>
          <t>Data from Information Repositories can support discovery or interaction with process state, control assets and operational data in Power Generation environments.</t>
        </is>
      </c>
      <c r="J22" s="632" t="inlineStr">
        <is>
          <t>https://attack.mitre.org/techniques/T0811</t>
        </is>
      </c>
      <c r="K22" s="632" t="inlineStr">
        <is>
          <t>https://csrc.nist.gov/pubs/sp/800/82/r3/final</t>
        </is>
      </c>
      <c r="L22" s="632" t="inlineStr">
        <is>
          <t>Reference mapping</t>
        </is>
      </c>
    </row>
    <row r="23">
      <c r="A23" s="632" t="inlineStr">
        <is>
          <t>Power Generation|T0813</t>
        </is>
      </c>
      <c r="B23" s="632" t="inlineStr">
        <is>
          <t>Power Generation</t>
        </is>
      </c>
      <c r="C23" s="632" t="inlineStr">
        <is>
          <t>All registered asset types; actual architecture/platform evidence overrides</t>
        </is>
      </c>
      <c r="D23" s="632" t="inlineStr">
        <is>
          <t>T0813</t>
        </is>
      </c>
      <c r="E23" s="632" t="inlineStr">
        <is>
          <t>Denial of Control</t>
        </is>
      </c>
      <c r="F23" s="632" t="inlineStr">
        <is>
          <t>S5</t>
        </is>
      </c>
      <c r="G23" s="632" t="inlineStr">
        <is>
          <t>Yes</t>
        </is>
      </c>
      <c r="H23" s="632" t="inlineStr">
        <is>
          <t>No explicit facility gate — defaults feasible</t>
        </is>
      </c>
      <c r="I23" s="632" t="inlineStr">
        <is>
          <t>Denial of Control is an ATT&amp;CK for ICS impact or response-inhibition technique that can support one or more governed adverse scenarios; scenario role remains controlled on 09.</t>
        </is>
      </c>
      <c r="J23" s="632" t="inlineStr">
        <is>
          <t>https://attack.mitre.org/techniques/T0813</t>
        </is>
      </c>
      <c r="K23" s="632" t="inlineStr">
        <is>
          <t>https://csrc.nist.gov/pubs/sp/800/82/r3/final</t>
        </is>
      </c>
      <c r="L23" s="632" t="inlineStr">
        <is>
          <t>Reference mapping</t>
        </is>
      </c>
    </row>
    <row r="24">
      <c r="A24" s="632" t="inlineStr">
        <is>
          <t>Power Generation|T0814</t>
        </is>
      </c>
      <c r="B24" s="632" t="inlineStr">
        <is>
          <t>Power Generation</t>
        </is>
      </c>
      <c r="C24" s="632" t="inlineStr">
        <is>
          <t>All registered asset types; actual architecture/platform evidence overrides</t>
        </is>
      </c>
      <c r="D24" s="632" t="inlineStr">
        <is>
          <t>T0814</t>
        </is>
      </c>
      <c r="E24" s="632" t="inlineStr">
        <is>
          <t>Denial of Service</t>
        </is>
      </c>
      <c r="F24" s="632" t="inlineStr">
        <is>
          <t>S5</t>
        </is>
      </c>
      <c r="G24" s="632" t="inlineStr">
        <is>
          <t>Yes</t>
        </is>
      </c>
      <c r="H24" s="632" t="inlineStr">
        <is>
          <t>No explicit facility gate — defaults feasible</t>
        </is>
      </c>
      <c r="I24" s="632" t="inlineStr">
        <is>
          <t>Denial of Service is an ATT&amp;CK for ICS impact or response-inhibition technique that can support one or more governed adverse scenarios; scenario role remains controlled on 09.</t>
        </is>
      </c>
      <c r="J24" s="632" t="inlineStr">
        <is>
          <t>https://attack.mitre.org/techniques/T0814</t>
        </is>
      </c>
      <c r="K24" s="632" t="inlineStr">
        <is>
          <t>https://csrc.nist.gov/pubs/sp/800/82/r3/final</t>
        </is>
      </c>
      <c r="L24" s="632" t="inlineStr">
        <is>
          <t>Reference mapping</t>
        </is>
      </c>
    </row>
    <row r="25">
      <c r="A25" s="632" t="inlineStr">
        <is>
          <t>Power Generation|T0815</t>
        </is>
      </c>
      <c r="B25" s="632" t="inlineStr">
        <is>
          <t>Power Generation</t>
        </is>
      </c>
      <c r="C25" s="632" t="inlineStr">
        <is>
          <t>All registered asset types; actual architecture/platform evidence overrides</t>
        </is>
      </c>
      <c r="D25" s="632" t="inlineStr">
        <is>
          <t>T0815</t>
        </is>
      </c>
      <c r="E25" s="632" t="inlineStr">
        <is>
          <t>Denial of View</t>
        </is>
      </c>
      <c r="F25" s="632" t="inlineStr">
        <is>
          <t>S5</t>
        </is>
      </c>
      <c r="G25" s="632" t="inlineStr">
        <is>
          <t>Yes</t>
        </is>
      </c>
      <c r="H25" s="632" t="inlineStr">
        <is>
          <t>No explicit facility gate — defaults feasible</t>
        </is>
      </c>
      <c r="I25" s="632" t="inlineStr">
        <is>
          <t>Denial of View is an ATT&amp;CK for ICS impact or response-inhibition technique that can support one or more governed adverse scenarios; scenario role remains controlled on 09.</t>
        </is>
      </c>
      <c r="J25" s="632" t="inlineStr">
        <is>
          <t>https://attack.mitre.org/techniques/T0815</t>
        </is>
      </c>
      <c r="K25" s="632" t="inlineStr">
        <is>
          <t>https://csrc.nist.gov/pubs/sp/800/82/r3/final</t>
        </is>
      </c>
      <c r="L25" s="632" t="inlineStr">
        <is>
          <t>Reference mapping</t>
        </is>
      </c>
    </row>
    <row r="26">
      <c r="A26" s="632" t="inlineStr">
        <is>
          <t>Power Generation|T0816</t>
        </is>
      </c>
      <c r="B26" s="632" t="inlineStr">
        <is>
          <t>Power Generation</t>
        </is>
      </c>
      <c r="C26" s="632" t="inlineStr">
        <is>
          <t>All registered asset types; actual architecture/platform evidence overrides</t>
        </is>
      </c>
      <c r="D26" s="632" t="inlineStr">
        <is>
          <t>T0816</t>
        </is>
      </c>
      <c r="E26" s="632" t="inlineStr">
        <is>
          <t>Device Restart/Shutdown</t>
        </is>
      </c>
      <c r="F26" s="632" t="inlineStr">
        <is>
          <t>S5</t>
        </is>
      </c>
      <c r="G26" s="632" t="inlineStr">
        <is>
          <t>Yes</t>
        </is>
      </c>
      <c r="H26" s="632" t="inlineStr">
        <is>
          <t>No explicit facility gate — defaults feasible</t>
        </is>
      </c>
      <c r="I26" s="632" t="inlineStr">
        <is>
          <t>Device Restart/Shutdown is an ATT&amp;CK for ICS impact or response-inhibition technique that can support one or more governed adverse scenarios; scenario role remains controlled on 09.</t>
        </is>
      </c>
      <c r="J26" s="632" t="inlineStr">
        <is>
          <t>https://attack.mitre.org/techniques/T0816</t>
        </is>
      </c>
      <c r="K26" s="632" t="inlineStr">
        <is>
          <t>https://csrc.nist.gov/pubs/sp/800/82/r3/final</t>
        </is>
      </c>
      <c r="L26" s="632" t="inlineStr">
        <is>
          <t>Reference mapping</t>
        </is>
      </c>
    </row>
    <row r="27">
      <c r="A27" s="632" t="inlineStr">
        <is>
          <t>Power Generation|T0817</t>
        </is>
      </c>
      <c r="B27" s="632" t="inlineStr">
        <is>
          <t>Power Generation</t>
        </is>
      </c>
      <c r="C27" s="632" t="inlineStr">
        <is>
          <t>All registered asset types; actual architecture/platform evidence overrides</t>
        </is>
      </c>
      <c r="D27" s="632" t="inlineStr">
        <is>
          <t>T0817</t>
        </is>
      </c>
      <c r="E27" s="632" t="inlineStr">
        <is>
          <t>Drive-by Compromise</t>
        </is>
      </c>
      <c r="F27" s="632" t="inlineStr">
        <is>
          <t>S1</t>
        </is>
      </c>
      <c r="G27" s="632" t="inlineStr">
        <is>
          <t>Yes</t>
        </is>
      </c>
      <c r="H27" s="632" t="inlineStr">
        <is>
          <t>No explicit facility gate — defaults feasible</t>
        </is>
      </c>
      <c r="I27" s="632" t="inlineStr">
        <is>
          <t>The Drive-by Compromise route is credible for Power Generation OT when the enabling access condition exists; existing facility gates determine remote, internet, transient, supply-chain or wireless feasibility.</t>
        </is>
      </c>
      <c r="J27" s="632" t="inlineStr">
        <is>
          <t>https://attack.mitre.org/techniques/T0817</t>
        </is>
      </c>
      <c r="K27" s="632" t="inlineStr">
        <is>
          <t>https://csrc.nist.gov/pubs/sp/800/82/r3/final</t>
        </is>
      </c>
      <c r="L27" s="632" t="inlineStr">
        <is>
          <t>Reference mapping</t>
        </is>
      </c>
    </row>
    <row r="28">
      <c r="A28" s="632" t="inlineStr">
        <is>
          <t>Power Generation|T0819</t>
        </is>
      </c>
      <c r="B28" s="632" t="inlineStr">
        <is>
          <t>Power Generation</t>
        </is>
      </c>
      <c r="C28" s="632" t="inlineStr">
        <is>
          <t>All registered asset types; actual architecture/platform evidence overrides</t>
        </is>
      </c>
      <c r="D28" s="632" t="inlineStr">
        <is>
          <t>T0819</t>
        </is>
      </c>
      <c r="E28" s="632" t="inlineStr">
        <is>
          <t>Exploit Public-Facing Application</t>
        </is>
      </c>
      <c r="F28" s="632" t="inlineStr">
        <is>
          <t>S1</t>
        </is>
      </c>
      <c r="G28" s="632" t="inlineStr">
        <is>
          <t>Yes</t>
        </is>
      </c>
      <c r="H28" s="632" t="inlineStr">
        <is>
          <t>No explicit facility gate — defaults feasible</t>
        </is>
      </c>
      <c r="I28" s="632" t="inlineStr">
        <is>
          <t>The Exploit Public-Facing Application route is credible for Power Generation OT when the enabling access condition exists; existing facility gates determine remote, internet, transient, supply-chain or wireless feasibility.</t>
        </is>
      </c>
      <c r="J28" s="632" t="inlineStr">
        <is>
          <t>https://attack.mitre.org/techniques/T0819</t>
        </is>
      </c>
      <c r="K28" s="632" t="inlineStr">
        <is>
          <t>https://csrc.nist.gov/pubs/sp/800/82/r3/final</t>
        </is>
      </c>
      <c r="L28" s="632" t="inlineStr">
        <is>
          <t>Reference mapping</t>
        </is>
      </c>
    </row>
    <row r="29">
      <c r="A29" s="632" t="inlineStr">
        <is>
          <t>Power Generation|T0820</t>
        </is>
      </c>
      <c r="B29" s="632" t="inlineStr">
        <is>
          <t>Power Generation</t>
        </is>
      </c>
      <c r="C29" s="632" t="inlineStr">
        <is>
          <t>All registered asset types; actual architecture/platform evidence overrides</t>
        </is>
      </c>
      <c r="D29" s="632" t="inlineStr">
        <is>
          <t>T0820</t>
        </is>
      </c>
      <c r="E29" s="632" t="inlineStr">
        <is>
          <t>Exploitation for Evasion</t>
        </is>
      </c>
      <c r="F29" s="632" t="inlineStr">
        <is>
          <t>S2</t>
        </is>
      </c>
      <c r="G29" s="632" t="inlineStr">
        <is>
          <t>Yes</t>
        </is>
      </c>
      <c r="H29" s="632" t="inlineStr">
        <is>
          <t>No explicit facility gate — defaults feasible</t>
        </is>
      </c>
      <c r="I29" s="632" t="inlineStr">
        <is>
          <t>Exploitation for Evasion is applicable to execution or persistence on engineering workstations, HMIs, servers or controllers used in Power Generation facilities.</t>
        </is>
      </c>
      <c r="J29" s="632" t="inlineStr">
        <is>
          <t>https://attack.mitre.org/techniques/T0820</t>
        </is>
      </c>
      <c r="K29" s="632" t="inlineStr">
        <is>
          <t>https://csrc.nist.gov/pubs/sp/800/82/r3/final</t>
        </is>
      </c>
      <c r="L29" s="632" t="inlineStr">
        <is>
          <t>Reference mapping</t>
        </is>
      </c>
    </row>
    <row r="30">
      <c r="A30" s="632" t="inlineStr">
        <is>
          <t>Power Generation|T0821</t>
        </is>
      </c>
      <c r="B30" s="632" t="inlineStr">
        <is>
          <t>Power Generation</t>
        </is>
      </c>
      <c r="C30" s="632" t="inlineStr">
        <is>
          <t>All registered asset types; actual architecture/platform evidence overrides</t>
        </is>
      </c>
      <c r="D30" s="632" t="inlineStr">
        <is>
          <t>T0821</t>
        </is>
      </c>
      <c r="E30" s="632" t="inlineStr">
        <is>
          <t>Modify Controller Tasking</t>
        </is>
      </c>
      <c r="F30" s="632" t="inlineStr">
        <is>
          <t>S2</t>
        </is>
      </c>
      <c r="G30" s="632" t="inlineStr">
        <is>
          <t>Yes</t>
        </is>
      </c>
      <c r="H30" s="632" t="inlineStr">
        <is>
          <t>No explicit facility gate — defaults feasible</t>
        </is>
      </c>
      <c r="I30" s="632" t="inlineStr">
        <is>
          <t>Modify Controller Tasking is applicable to execution or persistence on engineering workstations, HMIs, servers or controllers used in Power Generation facilities.</t>
        </is>
      </c>
      <c r="J30" s="632" t="inlineStr">
        <is>
          <t>https://attack.mitre.org/techniques/T0821</t>
        </is>
      </c>
      <c r="K30" s="632" t="inlineStr">
        <is>
          <t>https://csrc.nist.gov/pubs/sp/800/82/r3/final</t>
        </is>
      </c>
      <c r="L30" s="632" t="inlineStr">
        <is>
          <t>Reference mapping</t>
        </is>
      </c>
    </row>
    <row r="31">
      <c r="A31" s="632" t="inlineStr">
        <is>
          <t>Power Generation|T0822</t>
        </is>
      </c>
      <c r="B31" s="632" t="inlineStr">
        <is>
          <t>Power Generation</t>
        </is>
      </c>
      <c r="C31" s="632" t="inlineStr">
        <is>
          <t>All registered asset types; actual architecture/platform evidence overrides</t>
        </is>
      </c>
      <c r="D31" s="632" t="inlineStr">
        <is>
          <t>T0822</t>
        </is>
      </c>
      <c r="E31" s="632" t="inlineStr">
        <is>
          <t>External Remote Services</t>
        </is>
      </c>
      <c r="F31" s="632" t="inlineStr">
        <is>
          <t>S1</t>
        </is>
      </c>
      <c r="G31" s="632" t="inlineStr">
        <is>
          <t>Yes</t>
        </is>
      </c>
      <c r="H31" s="632" t="inlineStr">
        <is>
          <t>REMOTE_REQUIRED — Not None</t>
        </is>
      </c>
      <c r="I31" s="632" t="inlineStr">
        <is>
          <t>The External Remote Services route is credible for Power Generation OT when the enabling access condition exists; existing facility gates determine remote, internet, transient, supply-chain or wireless feasibility.</t>
        </is>
      </c>
      <c r="J31" s="632" t="inlineStr">
        <is>
          <t>https://attack.mitre.org/techniques/T0822</t>
        </is>
      </c>
      <c r="K31" s="632" t="inlineStr">
        <is>
          <t>https://csrc.nist.gov/pubs/sp/800/82/r3/final</t>
        </is>
      </c>
      <c r="L31" s="632" t="inlineStr">
        <is>
          <t>Reference mapping</t>
        </is>
      </c>
    </row>
    <row r="32">
      <c r="A32" s="632" t="inlineStr">
        <is>
          <t>Power Generation|T0823</t>
        </is>
      </c>
      <c r="B32" s="632" t="inlineStr">
        <is>
          <t>Power Generation</t>
        </is>
      </c>
      <c r="C32" s="632" t="inlineStr">
        <is>
          <t>All registered asset types; actual architecture/platform evidence overrides</t>
        </is>
      </c>
      <c r="D32" s="632" t="inlineStr">
        <is>
          <t>T0823</t>
        </is>
      </c>
      <c r="E32" s="632" t="inlineStr">
        <is>
          <t>Graphical User Interface</t>
        </is>
      </c>
      <c r="F32" s="632" t="inlineStr">
        <is>
          <t>S2</t>
        </is>
      </c>
      <c r="G32" s="632" t="inlineStr">
        <is>
          <t>Yes</t>
        </is>
      </c>
      <c r="H32" s="632" t="inlineStr">
        <is>
          <t>No explicit facility gate — defaults feasible</t>
        </is>
      </c>
      <c r="I32" s="632" t="inlineStr">
        <is>
          <t>Graphical User Interface is applicable to execution or persistence on engineering workstations, HMIs, servers or controllers used in Power Generation facilities.</t>
        </is>
      </c>
      <c r="J32" s="632" t="inlineStr">
        <is>
          <t>https://attack.mitre.org/techniques/T0823</t>
        </is>
      </c>
      <c r="K32" s="632" t="inlineStr">
        <is>
          <t>https://csrc.nist.gov/pubs/sp/800/82/r3/final</t>
        </is>
      </c>
      <c r="L32" s="632" t="inlineStr">
        <is>
          <t>Reference mapping</t>
        </is>
      </c>
    </row>
    <row r="33">
      <c r="A33" s="632" t="inlineStr">
        <is>
          <t>Power Generation|T0826</t>
        </is>
      </c>
      <c r="B33" s="632" t="inlineStr">
        <is>
          <t>Power Generation</t>
        </is>
      </c>
      <c r="C33" s="632" t="inlineStr">
        <is>
          <t>All registered asset types; actual architecture/platform evidence overrides</t>
        </is>
      </c>
      <c r="D33" s="632" t="inlineStr">
        <is>
          <t>T0826</t>
        </is>
      </c>
      <c r="E33" s="632" t="inlineStr">
        <is>
          <t>Loss of Availability</t>
        </is>
      </c>
      <c r="F33" s="632" t="inlineStr">
        <is>
          <t>S5</t>
        </is>
      </c>
      <c r="G33" s="632" t="inlineStr">
        <is>
          <t>Yes</t>
        </is>
      </c>
      <c r="H33" s="632" t="inlineStr">
        <is>
          <t>No explicit facility gate — defaults feasible</t>
        </is>
      </c>
      <c r="I33" s="632" t="inlineStr">
        <is>
          <t>Loss of Availability is an ATT&amp;CK for ICS impact or response-inhibition technique that can support one or more governed adverse scenarios; scenario role remains controlled on 09.</t>
        </is>
      </c>
      <c r="J33" s="632" t="inlineStr">
        <is>
          <t>https://attack.mitre.org/techniques/T0826</t>
        </is>
      </c>
      <c r="K33" s="632" t="inlineStr">
        <is>
          <t>https://csrc.nist.gov/pubs/sp/800/82/r3/final</t>
        </is>
      </c>
      <c r="L33" s="632" t="inlineStr">
        <is>
          <t>Reference mapping</t>
        </is>
      </c>
    </row>
    <row r="34">
      <c r="A34" s="632" t="inlineStr">
        <is>
          <t>Power Generation|T0827</t>
        </is>
      </c>
      <c r="B34" s="632" t="inlineStr">
        <is>
          <t>Power Generation</t>
        </is>
      </c>
      <c r="C34" s="632" t="inlineStr">
        <is>
          <t>All registered asset types; actual architecture/platform evidence overrides</t>
        </is>
      </c>
      <c r="D34" s="632" t="inlineStr">
        <is>
          <t>T0827</t>
        </is>
      </c>
      <c r="E34" s="632" t="inlineStr">
        <is>
          <t>Loss of Control</t>
        </is>
      </c>
      <c r="F34" s="632" t="inlineStr">
        <is>
          <t>S5</t>
        </is>
      </c>
      <c r="G34" s="632" t="inlineStr">
        <is>
          <t>Yes</t>
        </is>
      </c>
      <c r="H34" s="632" t="inlineStr">
        <is>
          <t>No explicit facility gate — defaults feasible</t>
        </is>
      </c>
      <c r="I34" s="632" t="inlineStr">
        <is>
          <t>Loss of Control is an ATT&amp;CK for ICS impact or response-inhibition technique that can support one or more governed adverse scenarios; scenario role remains controlled on 09.</t>
        </is>
      </c>
      <c r="J34" s="632" t="inlineStr">
        <is>
          <t>https://attack.mitre.org/techniques/T0827</t>
        </is>
      </c>
      <c r="K34" s="632" t="inlineStr">
        <is>
          <t>https://csrc.nist.gov/pubs/sp/800/82/r3/final</t>
        </is>
      </c>
      <c r="L34" s="632" t="inlineStr">
        <is>
          <t>Reference mapping</t>
        </is>
      </c>
    </row>
    <row r="35">
      <c r="A35" s="632" t="inlineStr">
        <is>
          <t>Power Generation|T0828</t>
        </is>
      </c>
      <c r="B35" s="632" t="inlineStr">
        <is>
          <t>Power Generation</t>
        </is>
      </c>
      <c r="C35" s="632" t="inlineStr">
        <is>
          <t>All registered asset types; actual architecture/platform evidence overrides</t>
        </is>
      </c>
      <c r="D35" s="632" t="inlineStr">
        <is>
          <t>T0828</t>
        </is>
      </c>
      <c r="E35" s="632" t="inlineStr">
        <is>
          <t>Loss of Productivity and Revenue</t>
        </is>
      </c>
      <c r="F35" s="632" t="inlineStr">
        <is>
          <t>S5</t>
        </is>
      </c>
      <c r="G35" s="632" t="inlineStr">
        <is>
          <t>Yes</t>
        </is>
      </c>
      <c r="H35" s="632" t="inlineStr">
        <is>
          <t>No explicit facility gate — defaults feasible</t>
        </is>
      </c>
      <c r="I35" s="632" t="inlineStr">
        <is>
          <t>Loss of Productivity and Revenue is an ATT&amp;CK for ICS impact or response-inhibition technique that can support one or more governed adverse scenarios; scenario role remains controlled on 09.</t>
        </is>
      </c>
      <c r="J35" s="632" t="inlineStr">
        <is>
          <t>https://attack.mitre.org/techniques/T0828</t>
        </is>
      </c>
      <c r="K35" s="632" t="inlineStr">
        <is>
          <t>https://csrc.nist.gov/pubs/sp/800/82/r3/final</t>
        </is>
      </c>
      <c r="L35" s="632" t="inlineStr">
        <is>
          <t>Reference mapping</t>
        </is>
      </c>
    </row>
    <row r="36">
      <c r="A36" s="632" t="inlineStr">
        <is>
          <t>Power Generation|T0829</t>
        </is>
      </c>
      <c r="B36" s="632" t="inlineStr">
        <is>
          <t>Power Generation</t>
        </is>
      </c>
      <c r="C36" s="632" t="inlineStr">
        <is>
          <t>All registered asset types; actual architecture/platform evidence overrides</t>
        </is>
      </c>
      <c r="D36" s="632" t="inlineStr">
        <is>
          <t>T0829</t>
        </is>
      </c>
      <c r="E36" s="632" t="inlineStr">
        <is>
          <t>Loss of View</t>
        </is>
      </c>
      <c r="F36" s="632" t="inlineStr">
        <is>
          <t>S5</t>
        </is>
      </c>
      <c r="G36" s="632" t="inlineStr">
        <is>
          <t>Yes</t>
        </is>
      </c>
      <c r="H36" s="632" t="inlineStr">
        <is>
          <t>No explicit facility gate — defaults feasible</t>
        </is>
      </c>
      <c r="I36" s="632" t="inlineStr">
        <is>
          <t>Loss of View is an ATT&amp;CK for ICS impact or response-inhibition technique that can support one or more governed adverse scenarios; scenario role remains controlled on 09.</t>
        </is>
      </c>
      <c r="J36" s="632" t="inlineStr">
        <is>
          <t>https://attack.mitre.org/techniques/T0829</t>
        </is>
      </c>
      <c r="K36" s="632" t="inlineStr">
        <is>
          <t>https://csrc.nist.gov/pubs/sp/800/82/r3/final</t>
        </is>
      </c>
      <c r="L36" s="632" t="inlineStr">
        <is>
          <t>Reference mapping</t>
        </is>
      </c>
    </row>
    <row r="37">
      <c r="A37" s="632" t="inlineStr">
        <is>
          <t>Power Generation|T0830</t>
        </is>
      </c>
      <c r="B37" s="632" t="inlineStr">
        <is>
          <t>Power Generation</t>
        </is>
      </c>
      <c r="C37" s="632" t="inlineStr">
        <is>
          <t>All registered asset types; actual architecture/platform evidence overrides</t>
        </is>
      </c>
      <c r="D37" s="632" t="inlineStr">
        <is>
          <t>T0830</t>
        </is>
      </c>
      <c r="E37" s="632" t="inlineStr">
        <is>
          <t>Adversary-in-the-Middle</t>
        </is>
      </c>
      <c r="F37" s="632" t="inlineStr">
        <is>
          <t>S4</t>
        </is>
      </c>
      <c r="G37" s="632" t="inlineStr">
        <is>
          <t>Yes</t>
        </is>
      </c>
      <c r="H37" s="632" t="inlineStr">
        <is>
          <t>No explicit facility gate — defaults feasible</t>
        </is>
      </c>
      <c r="I37" s="632" t="inlineStr">
        <is>
          <t>Adversary-in-the-Middle can support discovery or interaction with process state, control assets and operational data in Power Generation environments.</t>
        </is>
      </c>
      <c r="J37" s="632" t="inlineStr">
        <is>
          <t>https://attack.mitre.org/techniques/T0830</t>
        </is>
      </c>
      <c r="K37" s="632" t="inlineStr">
        <is>
          <t>https://csrc.nist.gov/pubs/sp/800/82/r3/final</t>
        </is>
      </c>
      <c r="L37" s="632" t="inlineStr">
        <is>
          <t>Reference mapping</t>
        </is>
      </c>
    </row>
    <row r="38">
      <c r="A38" s="632" t="inlineStr">
        <is>
          <t>Power Generation|T0831</t>
        </is>
      </c>
      <c r="B38" s="632" t="inlineStr">
        <is>
          <t>Power Generation</t>
        </is>
      </c>
      <c r="C38" s="632" t="inlineStr">
        <is>
          <t>All registered asset types; actual architecture/platform evidence overrides</t>
        </is>
      </c>
      <c r="D38" s="632" t="inlineStr">
        <is>
          <t>T0831</t>
        </is>
      </c>
      <c r="E38" s="632" t="inlineStr">
        <is>
          <t>Manipulation of Control</t>
        </is>
      </c>
      <c r="F38" s="632" t="inlineStr">
        <is>
          <t>S5</t>
        </is>
      </c>
      <c r="G38" s="632" t="inlineStr">
        <is>
          <t>Yes</t>
        </is>
      </c>
      <c r="H38" s="632" t="inlineStr">
        <is>
          <t>No explicit facility gate — defaults feasible</t>
        </is>
      </c>
      <c r="I38" s="632" t="inlineStr">
        <is>
          <t>Manipulation of Control is an ATT&amp;CK for ICS impact or response-inhibition technique that can support one or more governed adverse scenarios; scenario role remains controlled on 09.</t>
        </is>
      </c>
      <c r="J38" s="632" t="inlineStr">
        <is>
          <t>https://attack.mitre.org/techniques/T0831</t>
        </is>
      </c>
      <c r="K38" s="632" t="inlineStr">
        <is>
          <t>https://csrc.nist.gov/pubs/sp/800/82/r3/final</t>
        </is>
      </c>
      <c r="L38" s="632" t="inlineStr">
        <is>
          <t>Reference mapping</t>
        </is>
      </c>
    </row>
    <row r="39">
      <c r="A39" s="632" t="inlineStr">
        <is>
          <t>Power Generation|T0832</t>
        </is>
      </c>
      <c r="B39" s="632" t="inlineStr">
        <is>
          <t>Power Generation</t>
        </is>
      </c>
      <c r="C39" s="632" t="inlineStr">
        <is>
          <t>All registered asset types; actual architecture/platform evidence overrides</t>
        </is>
      </c>
      <c r="D39" s="632" t="inlineStr">
        <is>
          <t>T0832</t>
        </is>
      </c>
      <c r="E39" s="632" t="inlineStr">
        <is>
          <t>Manipulation of View</t>
        </is>
      </c>
      <c r="F39" s="632" t="inlineStr">
        <is>
          <t>S5</t>
        </is>
      </c>
      <c r="G39" s="632" t="inlineStr">
        <is>
          <t>Yes</t>
        </is>
      </c>
      <c r="H39" s="632" t="inlineStr">
        <is>
          <t>No explicit facility gate — defaults feasible</t>
        </is>
      </c>
      <c r="I39" s="632" t="inlineStr">
        <is>
          <t>Manipulation of View is an ATT&amp;CK for ICS impact or response-inhibition technique that can support one or more governed adverse scenarios; scenario role remains controlled on 09.</t>
        </is>
      </c>
      <c r="J39" s="632" t="inlineStr">
        <is>
          <t>https://attack.mitre.org/techniques/T0832</t>
        </is>
      </c>
      <c r="K39" s="632" t="inlineStr">
        <is>
          <t>https://csrc.nist.gov/pubs/sp/800/82/r3/final</t>
        </is>
      </c>
      <c r="L39" s="632" t="inlineStr">
        <is>
          <t>Reference mapping</t>
        </is>
      </c>
    </row>
    <row r="40">
      <c r="A40" s="632" t="inlineStr">
        <is>
          <t>Power Generation|T0834</t>
        </is>
      </c>
      <c r="B40" s="632" t="inlineStr">
        <is>
          <t>Power Generation</t>
        </is>
      </c>
      <c r="C40" s="632" t="inlineStr">
        <is>
          <t>All registered asset types; actual architecture/platform evidence overrides</t>
        </is>
      </c>
      <c r="D40" s="632" t="inlineStr">
        <is>
          <t>T0834</t>
        </is>
      </c>
      <c r="E40" s="632" t="inlineStr">
        <is>
          <t>Native API</t>
        </is>
      </c>
      <c r="F40" s="632" t="inlineStr">
        <is>
          <t>S2</t>
        </is>
      </c>
      <c r="G40" s="632" t="inlineStr">
        <is>
          <t>Yes</t>
        </is>
      </c>
      <c r="H40" s="632" t="inlineStr">
        <is>
          <t>No explicit facility gate — defaults feasible</t>
        </is>
      </c>
      <c r="I40" s="632" t="inlineStr">
        <is>
          <t>Native API is applicable to execution or persistence on engineering workstations, HMIs, servers or controllers used in Power Generation facilities.</t>
        </is>
      </c>
      <c r="J40" s="632" t="inlineStr">
        <is>
          <t>https://attack.mitre.org/techniques/T0834</t>
        </is>
      </c>
      <c r="K40" s="632" t="inlineStr">
        <is>
          <t>https://csrc.nist.gov/pubs/sp/800/82/r3/final</t>
        </is>
      </c>
      <c r="L40" s="632" t="inlineStr">
        <is>
          <t>Reference mapping</t>
        </is>
      </c>
    </row>
    <row r="41">
      <c r="A41" s="632" t="inlineStr">
        <is>
          <t>Power Generation|T0835</t>
        </is>
      </c>
      <c r="B41" s="632" t="inlineStr">
        <is>
          <t>Power Generation</t>
        </is>
      </c>
      <c r="C41" s="632" t="inlineStr">
        <is>
          <t>All registered asset types; actual architecture/platform evidence overrides</t>
        </is>
      </c>
      <c r="D41" s="632" t="inlineStr">
        <is>
          <t>T0835</t>
        </is>
      </c>
      <c r="E41" s="632" t="inlineStr">
        <is>
          <t>Manipulate I/O Image</t>
        </is>
      </c>
      <c r="F41" s="632" t="inlineStr">
        <is>
          <t>S5</t>
        </is>
      </c>
      <c r="G41" s="632" t="inlineStr">
        <is>
          <t>Yes</t>
        </is>
      </c>
      <c r="H41" s="632" t="inlineStr">
        <is>
          <t>No explicit facility gate — defaults feasible</t>
        </is>
      </c>
      <c r="I41" s="632" t="inlineStr">
        <is>
          <t>Manipulate I/O Image is an ATT&amp;CK for ICS impact or response-inhibition technique that can support one or more governed adverse scenarios; scenario role remains controlled on 09.</t>
        </is>
      </c>
      <c r="J41" s="632" t="inlineStr">
        <is>
          <t>https://attack.mitre.org/techniques/T0835</t>
        </is>
      </c>
      <c r="K41" s="632" t="inlineStr">
        <is>
          <t>https://csrc.nist.gov/pubs/sp/800/82/r3/final</t>
        </is>
      </c>
      <c r="L41" s="632" t="inlineStr">
        <is>
          <t>Reference mapping</t>
        </is>
      </c>
    </row>
    <row r="42">
      <c r="A42" s="632" t="inlineStr">
        <is>
          <t>Power Generation|T0836</t>
        </is>
      </c>
      <c r="B42" s="632" t="inlineStr">
        <is>
          <t>Power Generation</t>
        </is>
      </c>
      <c r="C42" s="632" t="inlineStr">
        <is>
          <t>All registered asset types; actual architecture/platform evidence overrides</t>
        </is>
      </c>
      <c r="D42" s="632" t="inlineStr">
        <is>
          <t>T0836</t>
        </is>
      </c>
      <c r="E42" s="632" t="inlineStr">
        <is>
          <t>Modify Parameter</t>
        </is>
      </c>
      <c r="F42" s="632" t="inlineStr">
        <is>
          <t>S5</t>
        </is>
      </c>
      <c r="G42" s="632" t="inlineStr">
        <is>
          <t>Yes</t>
        </is>
      </c>
      <c r="H42" s="632" t="inlineStr">
        <is>
          <t>No explicit facility gate — defaults feasible</t>
        </is>
      </c>
      <c r="I42" s="632" t="inlineStr">
        <is>
          <t>Modify Parameter is an ATT&amp;CK for ICS impact or response-inhibition technique that can support one or more governed adverse scenarios; scenario role remains controlled on 09.</t>
        </is>
      </c>
      <c r="J42" s="632" t="inlineStr">
        <is>
          <t>https://attack.mitre.org/techniques/T0836</t>
        </is>
      </c>
      <c r="K42" s="632" t="inlineStr">
        <is>
          <t>https://csrc.nist.gov/pubs/sp/800/82/r3/final</t>
        </is>
      </c>
      <c r="L42" s="632" t="inlineStr">
        <is>
          <t>Reference mapping</t>
        </is>
      </c>
    </row>
    <row r="43">
      <c r="A43" s="632" t="inlineStr">
        <is>
          <t>Power Generation|T0837</t>
        </is>
      </c>
      <c r="B43" s="632" t="inlineStr">
        <is>
          <t>Power Generation</t>
        </is>
      </c>
      <c r="C43" s="632" t="inlineStr">
        <is>
          <t>All registered asset types; actual architecture/platform evidence overrides</t>
        </is>
      </c>
      <c r="D43" s="632" t="inlineStr">
        <is>
          <t>T0837</t>
        </is>
      </c>
      <c r="E43" s="632" t="inlineStr">
        <is>
          <t>Loss of Protection</t>
        </is>
      </c>
      <c r="F43" s="632" t="inlineStr">
        <is>
          <t>S5</t>
        </is>
      </c>
      <c r="G43" s="632" t="inlineStr">
        <is>
          <t>Yes</t>
        </is>
      </c>
      <c r="H43" s="632" t="inlineStr">
        <is>
          <t>No explicit facility gate — defaults feasible</t>
        </is>
      </c>
      <c r="I43" s="632" t="inlineStr">
        <is>
          <t>Loss of Protection is an ATT&amp;CK for ICS impact or response-inhibition technique that can support one or more governed adverse scenarios; scenario role remains controlled on 09.</t>
        </is>
      </c>
      <c r="J43" s="632" t="inlineStr">
        <is>
          <t>https://attack.mitre.org/techniques/T0837</t>
        </is>
      </c>
      <c r="K43" s="632" t="inlineStr">
        <is>
          <t>https://csrc.nist.gov/pubs/sp/800/82/r3/final</t>
        </is>
      </c>
      <c r="L43" s="632" t="inlineStr">
        <is>
          <t>Reference mapping</t>
        </is>
      </c>
    </row>
    <row r="44">
      <c r="A44" s="632" t="inlineStr">
        <is>
          <t>Power Generation|T0838</t>
        </is>
      </c>
      <c r="B44" s="632" t="inlineStr">
        <is>
          <t>Power Generation</t>
        </is>
      </c>
      <c r="C44" s="632" t="inlineStr">
        <is>
          <t>All registered asset types; actual architecture/platform evidence overrides</t>
        </is>
      </c>
      <c r="D44" s="632" t="inlineStr">
        <is>
          <t>T0838</t>
        </is>
      </c>
      <c r="E44" s="632" t="inlineStr">
        <is>
          <t>Modify Alarm Settings</t>
        </is>
      </c>
      <c r="F44" s="632" t="inlineStr">
        <is>
          <t>S5</t>
        </is>
      </c>
      <c r="G44" s="632" t="inlineStr">
        <is>
          <t>Yes</t>
        </is>
      </c>
      <c r="H44" s="632" t="inlineStr">
        <is>
          <t>No explicit facility gate — defaults feasible</t>
        </is>
      </c>
      <c r="I44" s="632" t="inlineStr">
        <is>
          <t>Modify Alarm Settings is an ATT&amp;CK for ICS impact or response-inhibition technique that can support one or more governed adverse scenarios; scenario role remains controlled on 09.</t>
        </is>
      </c>
      <c r="J44" s="632" t="inlineStr">
        <is>
          <t>https://attack.mitre.org/techniques/T0838</t>
        </is>
      </c>
      <c r="K44" s="632" t="inlineStr">
        <is>
          <t>https://csrc.nist.gov/pubs/sp/800/82/r3/final</t>
        </is>
      </c>
      <c r="L44" s="632" t="inlineStr">
        <is>
          <t>Reference mapping</t>
        </is>
      </c>
    </row>
    <row r="45">
      <c r="A45" s="632" t="inlineStr">
        <is>
          <t>Power Generation|T0840</t>
        </is>
      </c>
      <c r="B45" s="632" t="inlineStr">
        <is>
          <t>Power Generation</t>
        </is>
      </c>
      <c r="C45" s="632" t="inlineStr">
        <is>
          <t>All registered asset types; actual architecture/platform evidence overrides</t>
        </is>
      </c>
      <c r="D45" s="632" t="inlineStr">
        <is>
          <t>T0840</t>
        </is>
      </c>
      <c r="E45" s="632" t="inlineStr">
        <is>
          <t>Network Connection Enumeration</t>
        </is>
      </c>
      <c r="F45" s="632" t="inlineStr">
        <is>
          <t>S4</t>
        </is>
      </c>
      <c r="G45" s="632" t="inlineStr">
        <is>
          <t>Yes</t>
        </is>
      </c>
      <c r="H45" s="632" t="inlineStr">
        <is>
          <t>No explicit facility gate — defaults feasible</t>
        </is>
      </c>
      <c r="I45" s="632" t="inlineStr">
        <is>
          <t>Network Connection Enumeration can support discovery or interaction with process state, control assets and operational data in Power Generation environments.</t>
        </is>
      </c>
      <c r="J45" s="632" t="inlineStr">
        <is>
          <t>https://attack.mitre.org/techniques/T0840</t>
        </is>
      </c>
      <c r="K45" s="632" t="inlineStr">
        <is>
          <t>https://csrc.nist.gov/pubs/sp/800/82/r3/final</t>
        </is>
      </c>
      <c r="L45" s="632" t="inlineStr">
        <is>
          <t>Reference mapping</t>
        </is>
      </c>
    </row>
    <row r="46">
      <c r="A46" s="632" t="inlineStr">
        <is>
          <t>Power Generation|T0842</t>
        </is>
      </c>
      <c r="B46" s="632" t="inlineStr">
        <is>
          <t>Power Generation</t>
        </is>
      </c>
      <c r="C46" s="632" t="inlineStr">
        <is>
          <t>All registered asset types; actual architecture/platform evidence overrides</t>
        </is>
      </c>
      <c r="D46" s="632" t="inlineStr">
        <is>
          <t>T0842</t>
        </is>
      </c>
      <c r="E46" s="632" t="inlineStr">
        <is>
          <t>Network Sniffing</t>
        </is>
      </c>
      <c r="F46" s="632" t="inlineStr">
        <is>
          <t>S4</t>
        </is>
      </c>
      <c r="G46" s="632" t="inlineStr">
        <is>
          <t>Yes</t>
        </is>
      </c>
      <c r="H46" s="632" t="inlineStr">
        <is>
          <t>No explicit facility gate — defaults feasible</t>
        </is>
      </c>
      <c r="I46" s="632" t="inlineStr">
        <is>
          <t>Network Sniffing can support discovery or interaction with process state, control assets and operational data in Power Generation environments.</t>
        </is>
      </c>
      <c r="J46" s="632" t="inlineStr">
        <is>
          <t>https://attack.mitre.org/techniques/T0842</t>
        </is>
      </c>
      <c r="K46" s="632" t="inlineStr">
        <is>
          <t>https://csrc.nist.gov/pubs/sp/800/82/r3/final</t>
        </is>
      </c>
      <c r="L46" s="632" t="inlineStr">
        <is>
          <t>Reference mapping</t>
        </is>
      </c>
    </row>
    <row r="47">
      <c r="A47" s="632" t="inlineStr">
        <is>
          <t>Power Generation|T0843</t>
        </is>
      </c>
      <c r="B47" s="632" t="inlineStr">
        <is>
          <t>Power Generation</t>
        </is>
      </c>
      <c r="C47" s="632" t="inlineStr">
        <is>
          <t>All registered asset types; actual architecture/platform evidence overrides</t>
        </is>
      </c>
      <c r="D47" s="632" t="inlineStr">
        <is>
          <t>T0843</t>
        </is>
      </c>
      <c r="E47" s="632" t="inlineStr">
        <is>
          <t>Program Download</t>
        </is>
      </c>
      <c r="F47" s="632" t="inlineStr">
        <is>
          <t>S3</t>
        </is>
      </c>
      <c r="G47" s="632" t="inlineStr">
        <is>
          <t>Yes</t>
        </is>
      </c>
      <c r="H47" s="632" t="inlineStr">
        <is>
          <t>No explicit facility gate — defaults feasible</t>
        </is>
      </c>
      <c r="I47" s="632" t="inlineStr">
        <is>
          <t>Program Download can support movement toward or within plant/control zones; actual reachability is governed by the assessed facility architecture.</t>
        </is>
      </c>
      <c r="J47" s="632" t="inlineStr">
        <is>
          <t>https://attack.mitre.org/techniques/T0843</t>
        </is>
      </c>
      <c r="K47" s="632" t="inlineStr">
        <is>
          <t>https://csrc.nist.gov/pubs/sp/800/82/r3/final</t>
        </is>
      </c>
      <c r="L47" s="632" t="inlineStr">
        <is>
          <t>Reference mapping</t>
        </is>
      </c>
    </row>
    <row r="48">
      <c r="A48" s="632" t="inlineStr">
        <is>
          <t>Power Generation|T0843.001</t>
        </is>
      </c>
      <c r="B48" s="632" t="inlineStr">
        <is>
          <t>Power Generation</t>
        </is>
      </c>
      <c r="C48" s="632" t="inlineStr">
        <is>
          <t>All registered asset types; actual architecture/platform evidence overrides</t>
        </is>
      </c>
      <c r="D48" s="632" t="inlineStr">
        <is>
          <t>T0843.001</t>
        </is>
      </c>
      <c r="E48" s="632" t="inlineStr">
        <is>
          <t>Download All</t>
        </is>
      </c>
      <c r="F48" s="632" t="inlineStr">
        <is>
          <t>S3</t>
        </is>
      </c>
      <c r="G48" s="632" t="inlineStr">
        <is>
          <t>Yes</t>
        </is>
      </c>
      <c r="H48" s="632" t="inlineStr">
        <is>
          <t>No explicit facility gate — defaults feasible</t>
        </is>
      </c>
      <c r="I48" s="632" t="inlineStr">
        <is>
          <t>Download All can support movement toward or within plant/control zones; actual reachability is governed by the assessed facility architecture.</t>
        </is>
      </c>
      <c r="J48" s="632" t="inlineStr">
        <is>
          <t>https://attack.mitre.org/techniques/T0843/001</t>
        </is>
      </c>
      <c r="K48" s="632" t="inlineStr">
        <is>
          <t>https://csrc.nist.gov/pubs/sp/800/82/r3/final</t>
        </is>
      </c>
      <c r="L48" s="632" t="inlineStr">
        <is>
          <t>Reference mapping</t>
        </is>
      </c>
    </row>
    <row r="49">
      <c r="A49" s="632" t="inlineStr">
        <is>
          <t>Power Generation|T0843.002</t>
        </is>
      </c>
      <c r="B49" s="632" t="inlineStr">
        <is>
          <t>Power Generation</t>
        </is>
      </c>
      <c r="C49" s="632" t="inlineStr">
        <is>
          <t>All registered asset types; actual architecture/platform evidence overrides</t>
        </is>
      </c>
      <c r="D49" s="632" t="inlineStr">
        <is>
          <t>T0843.002</t>
        </is>
      </c>
      <c r="E49" s="632" t="inlineStr">
        <is>
          <t>Online Edit</t>
        </is>
      </c>
      <c r="F49" s="632" t="inlineStr">
        <is>
          <t>S3</t>
        </is>
      </c>
      <c r="G49" s="632" t="inlineStr">
        <is>
          <t>Yes</t>
        </is>
      </c>
      <c r="H49" s="632" t="inlineStr">
        <is>
          <t>No explicit facility gate — defaults feasible</t>
        </is>
      </c>
      <c r="I49" s="632" t="inlineStr">
        <is>
          <t>Online Edit can support movement toward or within plant/control zones; actual reachability is governed by the assessed facility architecture.</t>
        </is>
      </c>
      <c r="J49" s="632" t="inlineStr">
        <is>
          <t>https://attack.mitre.org/techniques/T0843/002</t>
        </is>
      </c>
      <c r="K49" s="632" t="inlineStr">
        <is>
          <t>https://csrc.nist.gov/pubs/sp/800/82/r3/final</t>
        </is>
      </c>
      <c r="L49" s="632" t="inlineStr">
        <is>
          <t>Reference mapping</t>
        </is>
      </c>
    </row>
    <row r="50">
      <c r="A50" s="632" t="inlineStr">
        <is>
          <t>Power Generation|T0843.003</t>
        </is>
      </c>
      <c r="B50" s="632" t="inlineStr">
        <is>
          <t>Power Generation</t>
        </is>
      </c>
      <c r="C50" s="632" t="inlineStr">
        <is>
          <t>All registered asset types; actual architecture/platform evidence overrides</t>
        </is>
      </c>
      <c r="D50" s="632" t="inlineStr">
        <is>
          <t>T0843.003</t>
        </is>
      </c>
      <c r="E50" s="632" t="inlineStr">
        <is>
          <t>Program Append</t>
        </is>
      </c>
      <c r="F50" s="632" t="inlineStr">
        <is>
          <t>S3</t>
        </is>
      </c>
      <c r="G50" s="632" t="inlineStr">
        <is>
          <t>Yes</t>
        </is>
      </c>
      <c r="H50" s="632" t="inlineStr">
        <is>
          <t>No explicit facility gate — defaults feasible</t>
        </is>
      </c>
      <c r="I50" s="632" t="inlineStr">
        <is>
          <t>Program Append can support movement toward or within plant/control zones; actual reachability is governed by the assessed facility architecture.</t>
        </is>
      </c>
      <c r="J50" s="632" t="inlineStr">
        <is>
          <t>https://attack.mitre.org/techniques/T0843/003</t>
        </is>
      </c>
      <c r="K50" s="632" t="inlineStr">
        <is>
          <t>https://csrc.nist.gov/pubs/sp/800/82/r3/final</t>
        </is>
      </c>
      <c r="L50" s="632" t="inlineStr">
        <is>
          <t>Reference mapping</t>
        </is>
      </c>
    </row>
    <row r="51">
      <c r="A51" s="632" t="inlineStr">
        <is>
          <t>Power Generation|T0845</t>
        </is>
      </c>
      <c r="B51" s="632" t="inlineStr">
        <is>
          <t>Power Generation</t>
        </is>
      </c>
      <c r="C51" s="632" t="inlineStr">
        <is>
          <t>All registered asset types; actual architecture/platform evidence overrides</t>
        </is>
      </c>
      <c r="D51" s="632" t="inlineStr">
        <is>
          <t>T0845</t>
        </is>
      </c>
      <c r="E51" s="632" t="inlineStr">
        <is>
          <t>Program Upload</t>
        </is>
      </c>
      <c r="F51" s="632" t="inlineStr">
        <is>
          <t>S4</t>
        </is>
      </c>
      <c r="G51" s="632" t="inlineStr">
        <is>
          <t>Yes</t>
        </is>
      </c>
      <c r="H51" s="632" t="inlineStr">
        <is>
          <t>No explicit facility gate — defaults feasible</t>
        </is>
      </c>
      <c r="I51" s="632" t="inlineStr">
        <is>
          <t>Program Upload can support discovery or interaction with process state, control assets and operational data in Power Generation environments.</t>
        </is>
      </c>
      <c r="J51" s="632" t="inlineStr">
        <is>
          <t>https://attack.mitre.org/techniques/T0845</t>
        </is>
      </c>
      <c r="K51" s="632" t="inlineStr">
        <is>
          <t>https://csrc.nist.gov/pubs/sp/800/82/r3/final</t>
        </is>
      </c>
      <c r="L51" s="632" t="inlineStr">
        <is>
          <t>Reference mapping</t>
        </is>
      </c>
    </row>
    <row r="52">
      <c r="A52" s="632" t="inlineStr">
        <is>
          <t>Power Generation|T0846</t>
        </is>
      </c>
      <c r="B52" s="632" t="inlineStr">
        <is>
          <t>Power Generation</t>
        </is>
      </c>
      <c r="C52" s="632" t="inlineStr">
        <is>
          <t>All registered asset types; actual architecture/platform evidence overrides</t>
        </is>
      </c>
      <c r="D52" s="632" t="inlineStr">
        <is>
          <t>T0846</t>
        </is>
      </c>
      <c r="E52" s="632" t="inlineStr">
        <is>
          <t>Remote System Discovery</t>
        </is>
      </c>
      <c r="F52" s="632" t="inlineStr">
        <is>
          <t>S4</t>
        </is>
      </c>
      <c r="G52" s="632" t="inlineStr">
        <is>
          <t>Yes</t>
        </is>
      </c>
      <c r="H52" s="632" t="inlineStr">
        <is>
          <t>No explicit facility gate — defaults feasible</t>
        </is>
      </c>
      <c r="I52" s="632" t="inlineStr">
        <is>
          <t>Remote System Discovery can support discovery or interaction with process state, control assets and operational data in Power Generation environments.</t>
        </is>
      </c>
      <c r="J52" s="632" t="inlineStr">
        <is>
          <t>https://attack.mitre.org/techniques/T0846</t>
        </is>
      </c>
      <c r="K52" s="632" t="inlineStr">
        <is>
          <t>https://csrc.nist.gov/pubs/sp/800/82/r3/final</t>
        </is>
      </c>
      <c r="L52" s="632" t="inlineStr">
        <is>
          <t>Reference mapping</t>
        </is>
      </c>
    </row>
    <row r="53">
      <c r="A53" s="632" t="inlineStr">
        <is>
          <t>Power Generation|T0846.001</t>
        </is>
      </c>
      <c r="B53" s="632" t="inlineStr">
        <is>
          <t>Power Generation</t>
        </is>
      </c>
      <c r="C53" s="632" t="inlineStr">
        <is>
          <t>All registered asset types; actual architecture/platform evidence overrides</t>
        </is>
      </c>
      <c r="D53" s="632" t="inlineStr">
        <is>
          <t>T0846.001</t>
        </is>
      </c>
      <c r="E53" s="632" t="inlineStr">
        <is>
          <t>Port Scan</t>
        </is>
      </c>
      <c r="F53" s="632" t="inlineStr">
        <is>
          <t>S4</t>
        </is>
      </c>
      <c r="G53" s="632" t="inlineStr">
        <is>
          <t>Yes</t>
        </is>
      </c>
      <c r="H53" s="632" t="inlineStr">
        <is>
          <t>No explicit facility gate — defaults feasible</t>
        </is>
      </c>
      <c r="I53" s="632" t="inlineStr">
        <is>
          <t>Port Scan can support discovery or interaction with process state, control assets and operational data in Power Generation environments.</t>
        </is>
      </c>
      <c r="J53" s="632" t="inlineStr">
        <is>
          <t>https://attack.mitre.org/techniques/T0846/001</t>
        </is>
      </c>
      <c r="K53" s="632" t="inlineStr">
        <is>
          <t>https://csrc.nist.gov/pubs/sp/800/82/r3/final</t>
        </is>
      </c>
      <c r="L53" s="632" t="inlineStr">
        <is>
          <t>Reference mapping</t>
        </is>
      </c>
    </row>
    <row r="54">
      <c r="A54" s="632" t="inlineStr">
        <is>
          <t>Power Generation|T0846.002</t>
        </is>
      </c>
      <c r="B54" s="632" t="inlineStr">
        <is>
          <t>Power Generation</t>
        </is>
      </c>
      <c r="C54" s="632" t="inlineStr">
        <is>
          <t>All registered asset types; actual architecture/platform evidence overrides</t>
        </is>
      </c>
      <c r="D54" s="632" t="inlineStr">
        <is>
          <t>T0846.002</t>
        </is>
      </c>
      <c r="E54" s="632" t="inlineStr">
        <is>
          <t>Broadcast Discovery</t>
        </is>
      </c>
      <c r="F54" s="632" t="inlineStr">
        <is>
          <t>S4</t>
        </is>
      </c>
      <c r="G54" s="632" t="inlineStr">
        <is>
          <t>Yes</t>
        </is>
      </c>
      <c r="H54" s="632" t="inlineStr">
        <is>
          <t>No explicit facility gate — defaults feasible</t>
        </is>
      </c>
      <c r="I54" s="632" t="inlineStr">
        <is>
          <t>Broadcast Discovery can support discovery or interaction with process state, control assets and operational data in Power Generation environments.</t>
        </is>
      </c>
      <c r="J54" s="632" t="inlineStr">
        <is>
          <t>https://attack.mitre.org/techniques/T0846/002</t>
        </is>
      </c>
      <c r="K54" s="632" t="inlineStr">
        <is>
          <t>https://csrc.nist.gov/pubs/sp/800/82/r3/final</t>
        </is>
      </c>
      <c r="L54" s="632" t="inlineStr">
        <is>
          <t>Reference mapping</t>
        </is>
      </c>
    </row>
    <row r="55">
      <c r="A55" s="632" t="inlineStr">
        <is>
          <t>Power Generation|T0846.003</t>
        </is>
      </c>
      <c r="B55" s="632" t="inlineStr">
        <is>
          <t>Power Generation</t>
        </is>
      </c>
      <c r="C55" s="632" t="inlineStr">
        <is>
          <t>All registered asset types; actual architecture/platform evidence overrides</t>
        </is>
      </c>
      <c r="D55" s="632" t="inlineStr">
        <is>
          <t>T0846.003</t>
        </is>
      </c>
      <c r="E55" s="632" t="inlineStr">
        <is>
          <t>Multicast Discovery</t>
        </is>
      </c>
      <c r="F55" s="632" t="inlineStr">
        <is>
          <t>S4</t>
        </is>
      </c>
      <c r="G55" s="632" t="inlineStr">
        <is>
          <t>Yes</t>
        </is>
      </c>
      <c r="H55" s="632" t="inlineStr">
        <is>
          <t>No explicit facility gate — defaults feasible</t>
        </is>
      </c>
      <c r="I55" s="632" t="inlineStr">
        <is>
          <t>Multicast Discovery can support discovery or interaction with process state, control assets and operational data in Power Generation environments.</t>
        </is>
      </c>
      <c r="J55" s="632" t="inlineStr">
        <is>
          <t>https://attack.mitre.org/techniques/T0846/003</t>
        </is>
      </c>
      <c r="K55" s="632" t="inlineStr">
        <is>
          <t>https://csrc.nist.gov/pubs/sp/800/82/r3/final</t>
        </is>
      </c>
      <c r="L55" s="632" t="inlineStr">
        <is>
          <t>Reference mapping</t>
        </is>
      </c>
    </row>
    <row r="56">
      <c r="A56" s="632" t="inlineStr">
        <is>
          <t>Power Generation|T0847</t>
        </is>
      </c>
      <c r="B56" s="632" t="inlineStr">
        <is>
          <t>Power Generation</t>
        </is>
      </c>
      <c r="C56" s="632" t="inlineStr">
        <is>
          <t>All registered asset types; actual architecture/platform evidence overrides</t>
        </is>
      </c>
      <c r="D56" s="632" t="inlineStr">
        <is>
          <t>T0847</t>
        </is>
      </c>
      <c r="E56" s="632" t="inlineStr">
        <is>
          <t>Replication Through Removable Media</t>
        </is>
      </c>
      <c r="F56" s="632" t="inlineStr">
        <is>
          <t>S1</t>
        </is>
      </c>
      <c r="G56" s="632" t="inlineStr">
        <is>
          <t>Yes</t>
        </is>
      </c>
      <c r="H56" s="632" t="inlineStr">
        <is>
          <t>TRANSIENT_REQUIRED — Not None</t>
        </is>
      </c>
      <c r="I56" s="632" t="inlineStr">
        <is>
          <t>The Replication Through Removable Media route is credible for Power Generation OT when the enabling access condition exists; existing facility gates determine remote, internet, transient, supply-chain or wireless feasibility.</t>
        </is>
      </c>
      <c r="J56" s="632" t="inlineStr">
        <is>
          <t>https://attack.mitre.org/techniques/T0847</t>
        </is>
      </c>
      <c r="K56" s="632" t="inlineStr">
        <is>
          <t>https://csrc.nist.gov/pubs/sp/800/82/r3/final</t>
        </is>
      </c>
      <c r="L56" s="632" t="inlineStr">
        <is>
          <t>Reference mapping</t>
        </is>
      </c>
    </row>
    <row r="57">
      <c r="A57" s="632" t="inlineStr">
        <is>
          <t>Power Generation|T0848</t>
        </is>
      </c>
      <c r="B57" s="632" t="inlineStr">
        <is>
          <t>Power Generation</t>
        </is>
      </c>
      <c r="C57" s="632" t="inlineStr">
        <is>
          <t>All registered asset types; actual architecture/platform evidence overrides</t>
        </is>
      </c>
      <c r="D57" s="632" t="inlineStr">
        <is>
          <t>T0848</t>
        </is>
      </c>
      <c r="E57" s="632" t="inlineStr">
        <is>
          <t>Rogue Master</t>
        </is>
      </c>
      <c r="F57" s="632" t="inlineStr">
        <is>
          <t>S1</t>
        </is>
      </c>
      <c r="G57" s="632" t="inlineStr">
        <is>
          <t>Yes</t>
        </is>
      </c>
      <c r="H57" s="632" t="inlineStr">
        <is>
          <t>No explicit facility gate — defaults feasible</t>
        </is>
      </c>
      <c r="I57" s="632" t="inlineStr">
        <is>
          <t>The Rogue Master route is credible for Power Generation OT when the enabling access condition exists; existing facility gates determine remote, internet, transient, supply-chain or wireless feasibility.</t>
        </is>
      </c>
      <c r="J57" s="632" t="inlineStr">
        <is>
          <t>https://attack.mitre.org/techniques/T0848</t>
        </is>
      </c>
      <c r="K57" s="632" t="inlineStr">
        <is>
          <t>https://csrc.nist.gov/pubs/sp/800/82/r3/final</t>
        </is>
      </c>
      <c r="L57" s="632" t="inlineStr">
        <is>
          <t>Reference mapping</t>
        </is>
      </c>
    </row>
    <row r="58">
      <c r="A58" s="632" t="inlineStr">
        <is>
          <t>Power Generation|T0849</t>
        </is>
      </c>
      <c r="B58" s="632" t="inlineStr">
        <is>
          <t>Power Generation</t>
        </is>
      </c>
      <c r="C58" s="632" t="inlineStr">
        <is>
          <t>All registered asset types; actual architecture/platform evidence overrides</t>
        </is>
      </c>
      <c r="D58" s="632" t="inlineStr">
        <is>
          <t>T0849</t>
        </is>
      </c>
      <c r="E58" s="632" t="inlineStr">
        <is>
          <t>Masquerading</t>
        </is>
      </c>
      <c r="F58" s="632" t="inlineStr">
        <is>
          <t>S2</t>
        </is>
      </c>
      <c r="G58" s="632" t="inlineStr">
        <is>
          <t>Yes</t>
        </is>
      </c>
      <c r="H58" s="632" t="inlineStr">
        <is>
          <t>No explicit facility gate — defaults feasible</t>
        </is>
      </c>
      <c r="I58" s="632" t="inlineStr">
        <is>
          <t>Masquerading is applicable to execution or persistence on engineering workstations, HMIs, servers or controllers used in Power Generation facilities.</t>
        </is>
      </c>
      <c r="J58" s="632" t="inlineStr">
        <is>
          <t>https://attack.mitre.org/techniques/T0849</t>
        </is>
      </c>
      <c r="K58" s="632" t="inlineStr">
        <is>
          <t>https://csrc.nist.gov/pubs/sp/800/82/r3/final</t>
        </is>
      </c>
      <c r="L58" s="632" t="inlineStr">
        <is>
          <t>Reference mapping</t>
        </is>
      </c>
    </row>
    <row r="59">
      <c r="A59" s="632" t="inlineStr">
        <is>
          <t>Power Generation|T0851</t>
        </is>
      </c>
      <c r="B59" s="632" t="inlineStr">
        <is>
          <t>Power Generation</t>
        </is>
      </c>
      <c r="C59" s="632" t="inlineStr">
        <is>
          <t>All registered asset types; actual architecture/platform evidence overrides</t>
        </is>
      </c>
      <c r="D59" s="632" t="inlineStr">
        <is>
          <t>T0851</t>
        </is>
      </c>
      <c r="E59" s="632" t="inlineStr">
        <is>
          <t>Rootkit</t>
        </is>
      </c>
      <c r="F59" s="632" t="inlineStr">
        <is>
          <t>S5</t>
        </is>
      </c>
      <c r="G59" s="632" t="inlineStr">
        <is>
          <t>Yes</t>
        </is>
      </c>
      <c r="H59" s="632" t="inlineStr">
        <is>
          <t>No explicit facility gate — defaults feasible</t>
        </is>
      </c>
      <c r="I59" s="632" t="inlineStr">
        <is>
          <t>Rootkit is an ATT&amp;CK for ICS impact or response-inhibition technique that can support one or more governed adverse scenarios; scenario role remains controlled on 09.</t>
        </is>
      </c>
      <c r="J59" s="632" t="inlineStr">
        <is>
          <t>https://attack.mitre.org/techniques/T0851</t>
        </is>
      </c>
      <c r="K59" s="632" t="inlineStr">
        <is>
          <t>https://csrc.nist.gov/pubs/sp/800/82/r3/final</t>
        </is>
      </c>
      <c r="L59" s="632" t="inlineStr">
        <is>
          <t>Reference mapping</t>
        </is>
      </c>
    </row>
    <row r="60">
      <c r="A60" s="632" t="inlineStr">
        <is>
          <t>Power Generation|T0852</t>
        </is>
      </c>
      <c r="B60" s="632" t="inlineStr">
        <is>
          <t>Power Generation</t>
        </is>
      </c>
      <c r="C60" s="632" t="inlineStr">
        <is>
          <t>All registered asset types; actual architecture/platform evidence overrides</t>
        </is>
      </c>
      <c r="D60" s="632" t="inlineStr">
        <is>
          <t>T0852</t>
        </is>
      </c>
      <c r="E60" s="632" t="inlineStr">
        <is>
          <t>Screen Capture</t>
        </is>
      </c>
      <c r="F60" s="632" t="inlineStr">
        <is>
          <t>S4</t>
        </is>
      </c>
      <c r="G60" s="632" t="inlineStr">
        <is>
          <t>Yes</t>
        </is>
      </c>
      <c r="H60" s="632" t="inlineStr">
        <is>
          <t>No explicit facility gate — defaults feasible</t>
        </is>
      </c>
      <c r="I60" s="632" t="inlineStr">
        <is>
          <t>Screen Capture can support discovery or interaction with process state, control assets and operational data in Power Generation environments.</t>
        </is>
      </c>
      <c r="J60" s="632" t="inlineStr">
        <is>
          <t>https://attack.mitre.org/techniques/T0852</t>
        </is>
      </c>
      <c r="K60" s="632" t="inlineStr">
        <is>
          <t>https://csrc.nist.gov/pubs/sp/800/82/r3/final</t>
        </is>
      </c>
      <c r="L60" s="632" t="inlineStr">
        <is>
          <t>Reference mapping</t>
        </is>
      </c>
    </row>
    <row r="61">
      <c r="A61" s="632" t="inlineStr">
        <is>
          <t>Power Generation|T0853</t>
        </is>
      </c>
      <c r="B61" s="632" t="inlineStr">
        <is>
          <t>Power Generation</t>
        </is>
      </c>
      <c r="C61" s="632" t="inlineStr">
        <is>
          <t>All registered asset types; actual architecture/platform evidence overrides</t>
        </is>
      </c>
      <c r="D61" s="632" t="inlineStr">
        <is>
          <t>T0853</t>
        </is>
      </c>
      <c r="E61" s="632" t="inlineStr">
        <is>
          <t>Scripting</t>
        </is>
      </c>
      <c r="F61" s="632" t="inlineStr">
        <is>
          <t>S2</t>
        </is>
      </c>
      <c r="G61" s="632" t="inlineStr">
        <is>
          <t>Yes</t>
        </is>
      </c>
      <c r="H61" s="632" t="inlineStr">
        <is>
          <t>No explicit facility gate — defaults feasible</t>
        </is>
      </c>
      <c r="I61" s="632" t="inlineStr">
        <is>
          <t>Scripting is applicable to execution or persistence on engineering workstations, HMIs, servers or controllers used in Power Generation facilities.</t>
        </is>
      </c>
      <c r="J61" s="632" t="inlineStr">
        <is>
          <t>https://attack.mitre.org/techniques/T0853</t>
        </is>
      </c>
      <c r="K61" s="632" t="inlineStr">
        <is>
          <t>https://csrc.nist.gov/pubs/sp/800/82/r3/final</t>
        </is>
      </c>
      <c r="L61" s="632" t="inlineStr">
        <is>
          <t>Reference mapping</t>
        </is>
      </c>
    </row>
    <row r="62">
      <c r="A62" s="632" t="inlineStr">
        <is>
          <t>Power Generation|T0858</t>
        </is>
      </c>
      <c r="B62" s="632" t="inlineStr">
        <is>
          <t>Power Generation</t>
        </is>
      </c>
      <c r="C62" s="632" t="inlineStr">
        <is>
          <t>All registered asset types; actual architecture/platform evidence overrides</t>
        </is>
      </c>
      <c r="D62" s="632" t="inlineStr">
        <is>
          <t>T0858</t>
        </is>
      </c>
      <c r="E62" s="632" t="inlineStr">
        <is>
          <t>Change Operating Mode</t>
        </is>
      </c>
      <c r="F62" s="632" t="inlineStr">
        <is>
          <t>S2</t>
        </is>
      </c>
      <c r="G62" s="632" t="inlineStr">
        <is>
          <t>Yes</t>
        </is>
      </c>
      <c r="H62" s="632" t="inlineStr">
        <is>
          <t>No explicit facility gate — defaults feasible</t>
        </is>
      </c>
      <c r="I62" s="632" t="inlineStr">
        <is>
          <t>Change Operating Mode is applicable to execution or persistence on engineering workstations, HMIs, servers or controllers used in Power Generation facilities.</t>
        </is>
      </c>
      <c r="J62" s="632" t="inlineStr">
        <is>
          <t>https://attack.mitre.org/techniques/T0858</t>
        </is>
      </c>
      <c r="K62" s="632" t="inlineStr">
        <is>
          <t>https://csrc.nist.gov/pubs/sp/800/82/r3/final</t>
        </is>
      </c>
      <c r="L62" s="632" t="inlineStr">
        <is>
          <t>Reference mapping</t>
        </is>
      </c>
    </row>
    <row r="63">
      <c r="A63" s="632" t="inlineStr">
        <is>
          <t>Power Generation|T0859</t>
        </is>
      </c>
      <c r="B63" s="632" t="inlineStr">
        <is>
          <t>Power Generation</t>
        </is>
      </c>
      <c r="C63" s="632" t="inlineStr">
        <is>
          <t>All registered asset types; actual architecture/platform evidence overrides</t>
        </is>
      </c>
      <c r="D63" s="632" t="inlineStr">
        <is>
          <t>T0859</t>
        </is>
      </c>
      <c r="E63" s="632" t="inlineStr">
        <is>
          <t>Valid Accounts</t>
        </is>
      </c>
      <c r="F63" s="632" t="inlineStr">
        <is>
          <t>S3</t>
        </is>
      </c>
      <c r="G63" s="632" t="inlineStr">
        <is>
          <t>Yes</t>
        </is>
      </c>
      <c r="H63" s="632" t="inlineStr">
        <is>
          <t>No explicit facility gate — defaults feasible</t>
        </is>
      </c>
      <c r="I63" s="632" t="inlineStr">
        <is>
          <t>Valid Accounts can support movement toward or within plant/control zones; actual reachability is governed by the assessed facility architecture.</t>
        </is>
      </c>
      <c r="J63" s="632" t="inlineStr">
        <is>
          <t>https://attack.mitre.org/techniques/T0859</t>
        </is>
      </c>
      <c r="K63" s="632" t="inlineStr">
        <is>
          <t>https://csrc.nist.gov/pubs/sp/800/82/r3/final</t>
        </is>
      </c>
      <c r="L63" s="632" t="inlineStr">
        <is>
          <t>Reference mapping</t>
        </is>
      </c>
    </row>
    <row r="64">
      <c r="A64" s="632" t="inlineStr">
        <is>
          <t>Power Generation|T0860</t>
        </is>
      </c>
      <c r="B64" s="632" t="inlineStr">
        <is>
          <t>Power Generation</t>
        </is>
      </c>
      <c r="C64" s="632" t="inlineStr">
        <is>
          <t>All registered asset types; actual architecture/platform evidence overrides</t>
        </is>
      </c>
      <c r="D64" s="632" t="inlineStr">
        <is>
          <t>T0860</t>
        </is>
      </c>
      <c r="E64" s="632" t="inlineStr">
        <is>
          <t>Wireless Compromise</t>
        </is>
      </c>
      <c r="F64" s="632" t="inlineStr">
        <is>
          <t>S1</t>
        </is>
      </c>
      <c r="G64" s="632" t="inlineStr">
        <is>
          <t>Yes</t>
        </is>
      </c>
      <c r="H64" s="632" t="inlineStr">
        <is>
          <t>WIRELESS — Yes</t>
        </is>
      </c>
      <c r="I64" s="632" t="inlineStr">
        <is>
          <t>The Wireless Compromise route is credible for Power Generation OT when the enabling access condition exists; existing facility gates determine remote, internet, transient, supply-chain or wireless feasibility.</t>
        </is>
      </c>
      <c r="J64" s="632" t="inlineStr">
        <is>
          <t>https://attack.mitre.org/techniques/T0860</t>
        </is>
      </c>
      <c r="K64" s="632" t="inlineStr">
        <is>
          <t>https://csrc.nist.gov/pubs/sp/800/82/r3/final</t>
        </is>
      </c>
      <c r="L64" s="632" t="inlineStr">
        <is>
          <t>Reference mapping</t>
        </is>
      </c>
    </row>
    <row r="65">
      <c r="A65" s="632" t="inlineStr">
        <is>
          <t>Power Generation|T0861</t>
        </is>
      </c>
      <c r="B65" s="632" t="inlineStr">
        <is>
          <t>Power Generation</t>
        </is>
      </c>
      <c r="C65" s="632" t="inlineStr">
        <is>
          <t>All registered asset types; actual architecture/platform evidence overrides</t>
        </is>
      </c>
      <c r="D65" s="632" t="inlineStr">
        <is>
          <t>T0861</t>
        </is>
      </c>
      <c r="E65" s="632" t="inlineStr">
        <is>
          <t>Point &amp; Tag Identification</t>
        </is>
      </c>
      <c r="F65" s="632" t="inlineStr">
        <is>
          <t>S4</t>
        </is>
      </c>
      <c r="G65" s="632" t="inlineStr">
        <is>
          <t>Yes</t>
        </is>
      </c>
      <c r="H65" s="632" t="inlineStr">
        <is>
          <t>No explicit facility gate — defaults feasible</t>
        </is>
      </c>
      <c r="I65" s="632" t="inlineStr">
        <is>
          <t>Point &amp; Tag Identification can support discovery or interaction with process state, control assets and operational data in Power Generation environments.</t>
        </is>
      </c>
      <c r="J65" s="632" t="inlineStr">
        <is>
          <t>https://attack.mitre.org/techniques/T0861</t>
        </is>
      </c>
      <c r="K65" s="632" t="inlineStr">
        <is>
          <t>https://csrc.nist.gov/pubs/sp/800/82/r3/final</t>
        </is>
      </c>
      <c r="L65" s="632" t="inlineStr">
        <is>
          <t>Reference mapping</t>
        </is>
      </c>
    </row>
    <row r="66">
      <c r="A66" s="632" t="inlineStr">
        <is>
          <t>Power Generation|T0862</t>
        </is>
      </c>
      <c r="B66" s="632" t="inlineStr">
        <is>
          <t>Power Generation</t>
        </is>
      </c>
      <c r="C66" s="632" t="inlineStr">
        <is>
          <t>All registered asset types; actual architecture/platform evidence overrides</t>
        </is>
      </c>
      <c r="D66" s="632" t="inlineStr">
        <is>
          <t>T0862</t>
        </is>
      </c>
      <c r="E66" s="632" t="inlineStr">
        <is>
          <t>Supply Chain Compromise</t>
        </is>
      </c>
      <c r="F66" s="632" t="inlineStr">
        <is>
          <t>S1</t>
        </is>
      </c>
      <c r="G66" s="632" t="inlineStr">
        <is>
          <t>Yes</t>
        </is>
      </c>
      <c r="H66" s="632" t="inlineStr">
        <is>
          <t>SUPPLY_CHAIN — Yes</t>
        </is>
      </c>
      <c r="I66" s="632" t="inlineStr">
        <is>
          <t>The Supply Chain Compromise route is credible for Power Generation OT when the enabling access condition exists; existing facility gates determine remote, internet, transient, supply-chain or wireless feasibility.</t>
        </is>
      </c>
      <c r="J66" s="632" t="inlineStr">
        <is>
          <t>https://attack.mitre.org/techniques/T0862</t>
        </is>
      </c>
      <c r="K66" s="632" t="inlineStr">
        <is>
          <t>https://csrc.nist.gov/pubs/sp/800/82/r3/final</t>
        </is>
      </c>
      <c r="L66" s="632" t="inlineStr">
        <is>
          <t>Reference mapping</t>
        </is>
      </c>
    </row>
    <row r="67">
      <c r="A67" s="632" t="inlineStr">
        <is>
          <t>Power Generation|T0863</t>
        </is>
      </c>
      <c r="B67" s="632" t="inlineStr">
        <is>
          <t>Power Generation</t>
        </is>
      </c>
      <c r="C67" s="632" t="inlineStr">
        <is>
          <t>All registered asset types; actual architecture/platform evidence overrides</t>
        </is>
      </c>
      <c r="D67" s="632" t="inlineStr">
        <is>
          <t>T0863</t>
        </is>
      </c>
      <c r="E67" s="632" t="inlineStr">
        <is>
          <t>User Execution</t>
        </is>
      </c>
      <c r="F67" s="632" t="inlineStr">
        <is>
          <t>S2</t>
        </is>
      </c>
      <c r="G67" s="632" t="inlineStr">
        <is>
          <t>Yes</t>
        </is>
      </c>
      <c r="H67" s="632" t="inlineStr">
        <is>
          <t>No explicit facility gate — defaults feasible</t>
        </is>
      </c>
      <c r="I67" s="632" t="inlineStr">
        <is>
          <t>User Execution is applicable to execution or persistence on engineering workstations, HMIs, servers or controllers used in Power Generation facilities.</t>
        </is>
      </c>
      <c r="J67" s="632" t="inlineStr">
        <is>
          <t>https://attack.mitre.org/techniques/T0863</t>
        </is>
      </c>
      <c r="K67" s="632" t="inlineStr">
        <is>
          <t>https://csrc.nist.gov/pubs/sp/800/82/r3/final</t>
        </is>
      </c>
      <c r="L67" s="632" t="inlineStr">
        <is>
          <t>Reference mapping</t>
        </is>
      </c>
    </row>
    <row r="68">
      <c r="A68" s="632" t="inlineStr">
        <is>
          <t>Power Generation|T0864</t>
        </is>
      </c>
      <c r="B68" s="632" t="inlineStr">
        <is>
          <t>Power Generation</t>
        </is>
      </c>
      <c r="C68" s="632" t="inlineStr">
        <is>
          <t>All registered asset types; actual architecture/platform evidence overrides</t>
        </is>
      </c>
      <c r="D68" s="632" t="inlineStr">
        <is>
          <t>T0864</t>
        </is>
      </c>
      <c r="E68" s="632" t="inlineStr">
        <is>
          <t>Transient Cyber Asset</t>
        </is>
      </c>
      <c r="F68" s="632" t="inlineStr">
        <is>
          <t>S1</t>
        </is>
      </c>
      <c r="G68" s="632" t="inlineStr">
        <is>
          <t>Yes</t>
        </is>
      </c>
      <c r="H68" s="632" t="inlineStr">
        <is>
          <t>TRANSIENT_REQUIRED — Not None</t>
        </is>
      </c>
      <c r="I68" s="632" t="inlineStr">
        <is>
          <t>The Transient Cyber Asset route is credible for Power Generation OT when the enabling access condition exists; existing facility gates determine remote, internet, transient, supply-chain or wireless feasibility.</t>
        </is>
      </c>
      <c r="J68" s="632" t="inlineStr">
        <is>
          <t>https://attack.mitre.org/techniques/T0864</t>
        </is>
      </c>
      <c r="K68" s="632" t="inlineStr">
        <is>
          <t>https://csrc.nist.gov/pubs/sp/800/82/r3/final</t>
        </is>
      </c>
      <c r="L68" s="632" t="inlineStr">
        <is>
          <t>Reference mapping</t>
        </is>
      </c>
    </row>
    <row r="69">
      <c r="A69" s="632" t="inlineStr">
        <is>
          <t>Power Generation|T0865</t>
        </is>
      </c>
      <c r="B69" s="632" t="inlineStr">
        <is>
          <t>Power Generation</t>
        </is>
      </c>
      <c r="C69" s="632" t="inlineStr">
        <is>
          <t>All registered asset types; actual architecture/platform evidence overrides</t>
        </is>
      </c>
      <c r="D69" s="632" t="inlineStr">
        <is>
          <t>T0865</t>
        </is>
      </c>
      <c r="E69" s="632" t="inlineStr">
        <is>
          <t>Spearphishing Attachment</t>
        </is>
      </c>
      <c r="F69" s="632" t="inlineStr">
        <is>
          <t>S1</t>
        </is>
      </c>
      <c r="G69" s="632" t="inlineStr">
        <is>
          <t>Yes</t>
        </is>
      </c>
      <c r="H69" s="632" t="inlineStr">
        <is>
          <t>No explicit facility gate — defaults feasible</t>
        </is>
      </c>
      <c r="I69" s="632" t="inlineStr">
        <is>
          <t>The Spearphishing Attachment route is credible for Power Generation OT when the enabling access condition exists; existing facility gates determine remote, internet, transient, supply-chain or wireless feasibility.</t>
        </is>
      </c>
      <c r="J69" s="632" t="inlineStr">
        <is>
          <t>https://attack.mitre.org/techniques/T0865</t>
        </is>
      </c>
      <c r="K69" s="632" t="inlineStr">
        <is>
          <t>https://csrc.nist.gov/pubs/sp/800/82/r3/final</t>
        </is>
      </c>
      <c r="L69" s="632" t="inlineStr">
        <is>
          <t>Reference mapping</t>
        </is>
      </c>
    </row>
    <row r="70">
      <c r="A70" s="632" t="inlineStr">
        <is>
          <t>Power Generation|T0866</t>
        </is>
      </c>
      <c r="B70" s="632" t="inlineStr">
        <is>
          <t>Power Generation</t>
        </is>
      </c>
      <c r="C70" s="632" t="inlineStr">
        <is>
          <t>All registered asset types; actual architecture/platform evidence overrides</t>
        </is>
      </c>
      <c r="D70" s="632" t="inlineStr">
        <is>
          <t>T0866</t>
        </is>
      </c>
      <c r="E70" s="632" t="inlineStr">
        <is>
          <t>Exploitation of Remote Services</t>
        </is>
      </c>
      <c r="F70" s="632" t="inlineStr">
        <is>
          <t>S1</t>
        </is>
      </c>
      <c r="G70" s="632" t="inlineStr">
        <is>
          <t>Yes</t>
        </is>
      </c>
      <c r="H70" s="632" t="inlineStr">
        <is>
          <t>REMOTE_OR_ITOT — Remote path or IT-OT connection</t>
        </is>
      </c>
      <c r="I70" s="632" t="inlineStr">
        <is>
          <t>The Exploitation of Remote Services route is credible for Power Generation OT when the enabling access condition exists; existing facility gates determine remote, internet, transient, supply-chain or wireless feasibility.</t>
        </is>
      </c>
      <c r="J70" s="632" t="inlineStr">
        <is>
          <t>https://attack.mitre.org/techniques/T0866</t>
        </is>
      </c>
      <c r="K70" s="632" t="inlineStr">
        <is>
          <t>https://csrc.nist.gov/pubs/sp/800/82/r3/final</t>
        </is>
      </c>
      <c r="L70" s="632" t="inlineStr">
        <is>
          <t>Reference mapping</t>
        </is>
      </c>
    </row>
    <row r="71">
      <c r="A71" s="632" t="inlineStr">
        <is>
          <t>Power Generation|T0867</t>
        </is>
      </c>
      <c r="B71" s="632" t="inlineStr">
        <is>
          <t>Power Generation</t>
        </is>
      </c>
      <c r="C71" s="632" t="inlineStr">
        <is>
          <t>All registered asset types; actual architecture/platform evidence overrides</t>
        </is>
      </c>
      <c r="D71" s="632" t="inlineStr">
        <is>
          <t>T0867</t>
        </is>
      </c>
      <c r="E71" s="632" t="inlineStr">
        <is>
          <t>Lateral Tool Transfer</t>
        </is>
      </c>
      <c r="F71" s="632" t="inlineStr">
        <is>
          <t>S3</t>
        </is>
      </c>
      <c r="G71" s="632" t="inlineStr">
        <is>
          <t>Yes</t>
        </is>
      </c>
      <c r="H71" s="632" t="inlineStr">
        <is>
          <t>No explicit facility gate — defaults feasible</t>
        </is>
      </c>
      <c r="I71" s="632" t="inlineStr">
        <is>
          <t>Lateral Tool Transfer can support movement toward or within plant/control zones; actual reachability is governed by the assessed facility architecture.</t>
        </is>
      </c>
      <c r="J71" s="632" t="inlineStr">
        <is>
          <t>https://attack.mitre.org/techniques/T0867</t>
        </is>
      </c>
      <c r="K71" s="632" t="inlineStr">
        <is>
          <t>https://csrc.nist.gov/pubs/sp/800/82/r3/final</t>
        </is>
      </c>
      <c r="L71" s="632" t="inlineStr">
        <is>
          <t>Reference mapping</t>
        </is>
      </c>
    </row>
    <row r="72">
      <c r="A72" s="632" t="inlineStr">
        <is>
          <t>Power Generation|T0868</t>
        </is>
      </c>
      <c r="B72" s="632" t="inlineStr">
        <is>
          <t>Power Generation</t>
        </is>
      </c>
      <c r="C72" s="632" t="inlineStr">
        <is>
          <t>All registered asset types; actual architecture/platform evidence overrides</t>
        </is>
      </c>
      <c r="D72" s="632" t="inlineStr">
        <is>
          <t>T0868</t>
        </is>
      </c>
      <c r="E72" s="632" t="inlineStr">
        <is>
          <t>Detect Operating Mode</t>
        </is>
      </c>
      <c r="F72" s="632" t="inlineStr">
        <is>
          <t>S4</t>
        </is>
      </c>
      <c r="G72" s="632" t="inlineStr">
        <is>
          <t>Yes</t>
        </is>
      </c>
      <c r="H72" s="632" t="inlineStr">
        <is>
          <t>No explicit facility gate — defaults feasible</t>
        </is>
      </c>
      <c r="I72" s="632" t="inlineStr">
        <is>
          <t>Detect Operating Mode can support discovery or interaction with process state, control assets and operational data in Power Generation environments.</t>
        </is>
      </c>
      <c r="J72" s="632" t="inlineStr">
        <is>
          <t>https://attack.mitre.org/techniques/T0868</t>
        </is>
      </c>
      <c r="K72" s="632" t="inlineStr">
        <is>
          <t>https://csrc.nist.gov/pubs/sp/800/82/r3/final</t>
        </is>
      </c>
      <c r="L72" s="632" t="inlineStr">
        <is>
          <t>Reference mapping</t>
        </is>
      </c>
    </row>
    <row r="73">
      <c r="A73" s="632" t="inlineStr">
        <is>
          <t>Power Generation|T0869</t>
        </is>
      </c>
      <c r="B73" s="632" t="inlineStr">
        <is>
          <t>Power Generation</t>
        </is>
      </c>
      <c r="C73" s="632" t="inlineStr">
        <is>
          <t>All registered asset types; actual architecture/platform evidence overrides</t>
        </is>
      </c>
      <c r="D73" s="632" t="inlineStr">
        <is>
          <t>T0869</t>
        </is>
      </c>
      <c r="E73" s="632" t="inlineStr">
        <is>
          <t>Standard Application Layer Protocol</t>
        </is>
      </c>
      <c r="F73" s="632" t="inlineStr">
        <is>
          <t>S3</t>
        </is>
      </c>
      <c r="G73" s="632" t="inlineStr">
        <is>
          <t>Yes</t>
        </is>
      </c>
      <c r="H73" s="632" t="inlineStr">
        <is>
          <t>No explicit facility gate — defaults feasible</t>
        </is>
      </c>
      <c r="I73" s="632" t="inlineStr">
        <is>
          <t>Standard Application Layer Protocol can support movement toward or within plant/control zones; actual reachability is governed by the assessed facility architecture.</t>
        </is>
      </c>
      <c r="J73" s="632" t="inlineStr">
        <is>
          <t>https://attack.mitre.org/techniques/T0869</t>
        </is>
      </c>
      <c r="K73" s="632" t="inlineStr">
        <is>
          <t>https://csrc.nist.gov/pubs/sp/800/82/r3/final</t>
        </is>
      </c>
      <c r="L73" s="632" t="inlineStr">
        <is>
          <t>Reference mapping</t>
        </is>
      </c>
    </row>
    <row r="74">
      <c r="A74" s="632" t="inlineStr">
        <is>
          <t>Power Generation|T0871</t>
        </is>
      </c>
      <c r="B74" s="632" t="inlineStr">
        <is>
          <t>Power Generation</t>
        </is>
      </c>
      <c r="C74" s="632" t="inlineStr">
        <is>
          <t>All registered asset types; actual architecture/platform evidence overrides</t>
        </is>
      </c>
      <c r="D74" s="632" t="inlineStr">
        <is>
          <t>T0871</t>
        </is>
      </c>
      <c r="E74" s="632" t="inlineStr">
        <is>
          <t>Execution through API</t>
        </is>
      </c>
      <c r="F74" s="632" t="inlineStr">
        <is>
          <t>S2</t>
        </is>
      </c>
      <c r="G74" s="632" t="inlineStr">
        <is>
          <t>Yes</t>
        </is>
      </c>
      <c r="H74" s="632" t="inlineStr">
        <is>
          <t>No explicit facility gate — defaults feasible</t>
        </is>
      </c>
      <c r="I74" s="632" t="inlineStr">
        <is>
          <t>Execution through API is applicable to execution or persistence on engineering workstations, HMIs, servers or controllers used in Power Generation facilities.</t>
        </is>
      </c>
      <c r="J74" s="632" t="inlineStr">
        <is>
          <t>https://attack.mitre.org/techniques/T0871</t>
        </is>
      </c>
      <c r="K74" s="632" t="inlineStr">
        <is>
          <t>https://csrc.nist.gov/pubs/sp/800/82/r3/final</t>
        </is>
      </c>
      <c r="L74" s="632" t="inlineStr">
        <is>
          <t>Reference mapping</t>
        </is>
      </c>
    </row>
    <row r="75">
      <c r="A75" s="632" t="inlineStr">
        <is>
          <t>Power Generation|T0872</t>
        </is>
      </c>
      <c r="B75" s="632" t="inlineStr">
        <is>
          <t>Power Generation</t>
        </is>
      </c>
      <c r="C75" s="632" t="inlineStr">
        <is>
          <t>All registered asset types; actual architecture/platform evidence overrides</t>
        </is>
      </c>
      <c r="D75" s="632" t="inlineStr">
        <is>
          <t>T0872</t>
        </is>
      </c>
      <c r="E75" s="632" t="inlineStr">
        <is>
          <t>Indicator Removal on Host</t>
        </is>
      </c>
      <c r="F75" s="632" t="inlineStr">
        <is>
          <t>S2</t>
        </is>
      </c>
      <c r="G75" s="632" t="inlineStr">
        <is>
          <t>Yes</t>
        </is>
      </c>
      <c r="H75" s="632" t="inlineStr">
        <is>
          <t>No explicit facility gate — defaults feasible</t>
        </is>
      </c>
      <c r="I75" s="632" t="inlineStr">
        <is>
          <t>Indicator Removal on Host is applicable to execution or persistence on engineering workstations, HMIs, servers or controllers used in Power Generation facilities.</t>
        </is>
      </c>
      <c r="J75" s="632" t="inlineStr">
        <is>
          <t>https://attack.mitre.org/techniques/T0872</t>
        </is>
      </c>
      <c r="K75" s="632" t="inlineStr">
        <is>
          <t>https://csrc.nist.gov/pubs/sp/800/82/r3/final</t>
        </is>
      </c>
      <c r="L75" s="632" t="inlineStr">
        <is>
          <t>Reference mapping</t>
        </is>
      </c>
    </row>
    <row r="76">
      <c r="A76" s="632" t="inlineStr">
        <is>
          <t>Power Generation|T0873</t>
        </is>
      </c>
      <c r="B76" s="632" t="inlineStr">
        <is>
          <t>Power Generation</t>
        </is>
      </c>
      <c r="C76" s="632" t="inlineStr">
        <is>
          <t>All registered asset types; actual architecture/platform evidence overrides</t>
        </is>
      </c>
      <c r="D76" s="632" t="inlineStr">
        <is>
          <t>T0873</t>
        </is>
      </c>
      <c r="E76" s="632" t="inlineStr">
        <is>
          <t>Project File Infection</t>
        </is>
      </c>
      <c r="F76" s="632" t="inlineStr">
        <is>
          <t>S2</t>
        </is>
      </c>
      <c r="G76" s="632" t="inlineStr">
        <is>
          <t>Yes</t>
        </is>
      </c>
      <c r="H76" s="632" t="inlineStr">
        <is>
          <t>No explicit facility gate — defaults feasible</t>
        </is>
      </c>
      <c r="I76" s="632" t="inlineStr">
        <is>
          <t>Project File Infection is applicable to execution or persistence on engineering workstations, HMIs, servers or controllers used in Power Generation facilities.</t>
        </is>
      </c>
      <c r="J76" s="632" t="inlineStr">
        <is>
          <t>https://attack.mitre.org/techniques/T0873</t>
        </is>
      </c>
      <c r="K76" s="632" t="inlineStr">
        <is>
          <t>https://csrc.nist.gov/pubs/sp/800/82/r3/final</t>
        </is>
      </c>
      <c r="L76" s="632" t="inlineStr">
        <is>
          <t>Reference mapping</t>
        </is>
      </c>
    </row>
    <row r="77">
      <c r="A77" s="632" t="inlineStr">
        <is>
          <t>Power Generation|T0873.001</t>
        </is>
      </c>
      <c r="B77" s="632" t="inlineStr">
        <is>
          <t>Power Generation</t>
        </is>
      </c>
      <c r="C77" s="632" t="inlineStr">
        <is>
          <t>All registered asset types; actual architecture/platform evidence overrides</t>
        </is>
      </c>
      <c r="D77" s="632" t="inlineStr">
        <is>
          <t>T0873.001</t>
        </is>
      </c>
      <c r="E77" s="632" t="inlineStr">
        <is>
          <t>Siemens Project File Format</t>
        </is>
      </c>
      <c r="F77" s="632" t="inlineStr">
        <is>
          <t>S2</t>
        </is>
      </c>
      <c r="G77" s="632" t="inlineStr">
        <is>
          <t>Yes</t>
        </is>
      </c>
      <c r="H77" s="632" t="inlineStr">
        <is>
          <t>No explicit facility gate — defaults feasible</t>
        </is>
      </c>
      <c r="I77" s="632" t="inlineStr">
        <is>
          <t>Siemens Project File Format is applicable to execution or persistence on engineering workstations, HMIs, servers or controllers used in Power Generation facilities.</t>
        </is>
      </c>
      <c r="J77" s="632" t="inlineStr">
        <is>
          <t>https://attack.mitre.org/techniques/T0873/001</t>
        </is>
      </c>
      <c r="K77" s="632" t="inlineStr">
        <is>
          <t>https://csrc.nist.gov/pubs/sp/800/82/r3/final</t>
        </is>
      </c>
      <c r="L77" s="632" t="inlineStr">
        <is>
          <t>Reference mapping</t>
        </is>
      </c>
    </row>
    <row r="78">
      <c r="A78" s="632" t="inlineStr">
        <is>
          <t>Power Generation|T0874</t>
        </is>
      </c>
      <c r="B78" s="632" t="inlineStr">
        <is>
          <t>Power Generation</t>
        </is>
      </c>
      <c r="C78" s="632" t="inlineStr">
        <is>
          <t>All registered asset types; actual architecture/platform evidence overrides</t>
        </is>
      </c>
      <c r="D78" s="632" t="inlineStr">
        <is>
          <t>T0874</t>
        </is>
      </c>
      <c r="E78" s="632" t="inlineStr">
        <is>
          <t>Hooking</t>
        </is>
      </c>
      <c r="F78" s="632" t="inlineStr">
        <is>
          <t>S2</t>
        </is>
      </c>
      <c r="G78" s="632" t="inlineStr">
        <is>
          <t>Yes</t>
        </is>
      </c>
      <c r="H78" s="632" t="inlineStr">
        <is>
          <t>No explicit facility gate — defaults feasible</t>
        </is>
      </c>
      <c r="I78" s="632" t="inlineStr">
        <is>
          <t>Hooking is applicable to execution or persistence on engineering workstations, HMIs, servers or controllers used in Power Generation facilities.</t>
        </is>
      </c>
      <c r="J78" s="632" t="inlineStr">
        <is>
          <t>https://attack.mitre.org/techniques/T0874</t>
        </is>
      </c>
      <c r="K78" s="632" t="inlineStr">
        <is>
          <t>https://csrc.nist.gov/pubs/sp/800/82/r3/final</t>
        </is>
      </c>
      <c r="L78" s="632" t="inlineStr">
        <is>
          <t>Reference mapping</t>
        </is>
      </c>
    </row>
    <row r="79">
      <c r="A79" s="632" t="inlineStr">
        <is>
          <t>Power Generation|T0877</t>
        </is>
      </c>
      <c r="B79" s="632" t="inlineStr">
        <is>
          <t>Power Generation</t>
        </is>
      </c>
      <c r="C79" s="632" t="inlineStr">
        <is>
          <t>All registered asset types; actual architecture/platform evidence overrides</t>
        </is>
      </c>
      <c r="D79" s="632" t="inlineStr">
        <is>
          <t>T0877</t>
        </is>
      </c>
      <c r="E79" s="632" t="inlineStr">
        <is>
          <t>I/O Image</t>
        </is>
      </c>
      <c r="F79" s="632" t="inlineStr">
        <is>
          <t>S4</t>
        </is>
      </c>
      <c r="G79" s="632" t="inlineStr">
        <is>
          <t>Yes</t>
        </is>
      </c>
      <c r="H79" s="632" t="inlineStr">
        <is>
          <t>No explicit facility gate — defaults feasible</t>
        </is>
      </c>
      <c r="I79" s="632" t="inlineStr">
        <is>
          <t>I/O Image can support discovery or interaction with process state, control assets and operational data in Power Generation environments.</t>
        </is>
      </c>
      <c r="J79" s="632" t="inlineStr">
        <is>
          <t>https://attack.mitre.org/techniques/T0877</t>
        </is>
      </c>
      <c r="K79" s="632" t="inlineStr">
        <is>
          <t>https://csrc.nist.gov/pubs/sp/800/82/r3/final</t>
        </is>
      </c>
      <c r="L79" s="632" t="inlineStr">
        <is>
          <t>Reference mapping</t>
        </is>
      </c>
    </row>
    <row r="80">
      <c r="A80" s="632" t="inlineStr">
        <is>
          <t>Power Generation|T0878</t>
        </is>
      </c>
      <c r="B80" s="632" t="inlineStr">
        <is>
          <t>Power Generation</t>
        </is>
      </c>
      <c r="C80" s="632" t="inlineStr">
        <is>
          <t>All registered asset types; actual architecture/platform evidence overrides</t>
        </is>
      </c>
      <c r="D80" s="632" t="inlineStr">
        <is>
          <t>T0878</t>
        </is>
      </c>
      <c r="E80" s="632" t="inlineStr">
        <is>
          <t>Alarm Suppression</t>
        </is>
      </c>
      <c r="F80" s="632" t="inlineStr">
        <is>
          <t>S5</t>
        </is>
      </c>
      <c r="G80" s="632" t="inlineStr">
        <is>
          <t>Yes</t>
        </is>
      </c>
      <c r="H80" s="632" t="inlineStr">
        <is>
          <t>No explicit facility gate — defaults feasible</t>
        </is>
      </c>
      <c r="I80" s="632" t="inlineStr">
        <is>
          <t>Alarm Suppression is an ATT&amp;CK for ICS impact or response-inhibition technique that can support one or more governed adverse scenarios; scenario role remains controlled on 09.</t>
        </is>
      </c>
      <c r="J80" s="632" t="inlineStr">
        <is>
          <t>https://attack.mitre.org/techniques/T0878</t>
        </is>
      </c>
      <c r="K80" s="632" t="inlineStr">
        <is>
          <t>https://csrc.nist.gov/pubs/sp/800/82/r3/final</t>
        </is>
      </c>
      <c r="L80" s="632" t="inlineStr">
        <is>
          <t>Reference mapping</t>
        </is>
      </c>
    </row>
    <row r="81">
      <c r="A81" s="632" t="inlineStr">
        <is>
          <t>Power Generation|T0879</t>
        </is>
      </c>
      <c r="B81" s="632" t="inlineStr">
        <is>
          <t>Power Generation</t>
        </is>
      </c>
      <c r="C81" s="632" t="inlineStr">
        <is>
          <t>All registered asset types; actual architecture/platform evidence overrides</t>
        </is>
      </c>
      <c r="D81" s="632" t="inlineStr">
        <is>
          <t>T0879</t>
        </is>
      </c>
      <c r="E81" s="632" t="inlineStr">
        <is>
          <t>Damage to Property</t>
        </is>
      </c>
      <c r="F81" s="632" t="inlineStr">
        <is>
          <t>S5</t>
        </is>
      </c>
      <c r="G81" s="632" t="inlineStr">
        <is>
          <t>Yes</t>
        </is>
      </c>
      <c r="H81" s="632" t="inlineStr">
        <is>
          <t>No explicit facility gate — defaults feasible</t>
        </is>
      </c>
      <c r="I81" s="632" t="inlineStr">
        <is>
          <t>Damage to Property is an ATT&amp;CK for ICS impact or response-inhibition technique that can support one or more governed adverse scenarios; scenario role remains controlled on 09.</t>
        </is>
      </c>
      <c r="J81" s="632" t="inlineStr">
        <is>
          <t>https://attack.mitre.org/techniques/T0879</t>
        </is>
      </c>
      <c r="K81" s="632" t="inlineStr">
        <is>
          <t>https://csrc.nist.gov/pubs/sp/800/82/r3/final</t>
        </is>
      </c>
      <c r="L81" s="632" t="inlineStr">
        <is>
          <t>Reference mapping</t>
        </is>
      </c>
    </row>
    <row r="82">
      <c r="A82" s="632" t="inlineStr">
        <is>
          <t>Power Generation|T0880</t>
        </is>
      </c>
      <c r="B82" s="632" t="inlineStr">
        <is>
          <t>Power Generation</t>
        </is>
      </c>
      <c r="C82" s="632" t="inlineStr">
        <is>
          <t>All registered asset types; actual architecture/platform evidence overrides</t>
        </is>
      </c>
      <c r="D82" s="632" t="inlineStr">
        <is>
          <t>T0880</t>
        </is>
      </c>
      <c r="E82" s="632" t="inlineStr">
        <is>
          <t>Loss of Safety</t>
        </is>
      </c>
      <c r="F82" s="632" t="inlineStr">
        <is>
          <t>S5</t>
        </is>
      </c>
      <c r="G82" s="632" t="inlineStr">
        <is>
          <t>Yes</t>
        </is>
      </c>
      <c r="H82" s="632" t="inlineStr">
        <is>
          <t>No explicit facility gate — defaults feasible</t>
        </is>
      </c>
      <c r="I82" s="632" t="inlineStr">
        <is>
          <t>Loss of Safety is an ATT&amp;CK for ICS impact or response-inhibition technique that can support one or more governed adverse scenarios; scenario role remains controlled on 09.</t>
        </is>
      </c>
      <c r="J82" s="632" t="inlineStr">
        <is>
          <t>https://attack.mitre.org/techniques/T0880</t>
        </is>
      </c>
      <c r="K82" s="632" t="inlineStr">
        <is>
          <t>https://csrc.nist.gov/pubs/sp/800/82/r3/final</t>
        </is>
      </c>
      <c r="L82" s="632" t="inlineStr">
        <is>
          <t>Reference mapping</t>
        </is>
      </c>
    </row>
    <row r="83">
      <c r="A83" s="632" t="inlineStr">
        <is>
          <t>Power Generation|T0881</t>
        </is>
      </c>
      <c r="B83" s="632" t="inlineStr">
        <is>
          <t>Power Generation</t>
        </is>
      </c>
      <c r="C83" s="632" t="inlineStr">
        <is>
          <t>All registered asset types; actual architecture/platform evidence overrides</t>
        </is>
      </c>
      <c r="D83" s="632" t="inlineStr">
        <is>
          <t>T0881</t>
        </is>
      </c>
      <c r="E83" s="632" t="inlineStr">
        <is>
          <t>Service Stop</t>
        </is>
      </c>
      <c r="F83" s="632" t="inlineStr">
        <is>
          <t>S5</t>
        </is>
      </c>
      <c r="G83" s="632" t="inlineStr">
        <is>
          <t>Yes</t>
        </is>
      </c>
      <c r="H83" s="632" t="inlineStr">
        <is>
          <t>No explicit facility gate — defaults feasible</t>
        </is>
      </c>
      <c r="I83" s="632" t="inlineStr">
        <is>
          <t>Service Stop is an ATT&amp;CK for ICS impact or response-inhibition technique that can support one or more governed adverse scenarios; scenario role remains controlled on 09.</t>
        </is>
      </c>
      <c r="J83" s="632" t="inlineStr">
        <is>
          <t>https://attack.mitre.org/techniques/T0881</t>
        </is>
      </c>
      <c r="K83" s="632" t="inlineStr">
        <is>
          <t>https://csrc.nist.gov/pubs/sp/800/82/r3/final</t>
        </is>
      </c>
      <c r="L83" s="632" t="inlineStr">
        <is>
          <t>Reference mapping</t>
        </is>
      </c>
    </row>
    <row r="84">
      <c r="A84" s="632" t="inlineStr">
        <is>
          <t>Power Generation|T0882</t>
        </is>
      </c>
      <c r="B84" s="632" t="inlineStr">
        <is>
          <t>Power Generation</t>
        </is>
      </c>
      <c r="C84" s="632" t="inlineStr">
        <is>
          <t>All registered asset types; actual architecture/platform evidence overrides</t>
        </is>
      </c>
      <c r="D84" s="632" t="inlineStr">
        <is>
          <t>T0882</t>
        </is>
      </c>
      <c r="E84" s="632" t="inlineStr">
        <is>
          <t>Theft of Operational Information</t>
        </is>
      </c>
      <c r="F84" s="632" t="inlineStr">
        <is>
          <t>S5</t>
        </is>
      </c>
      <c r="G84" s="632" t="inlineStr">
        <is>
          <t>Yes</t>
        </is>
      </c>
      <c r="H84" s="632" t="inlineStr">
        <is>
          <t>No explicit facility gate — defaults feasible</t>
        </is>
      </c>
      <c r="I84" s="632" t="inlineStr">
        <is>
          <t>Theft of Operational Information is an ATT&amp;CK for ICS impact or response-inhibition technique that can support one or more governed adverse scenarios; scenario role remains controlled on 09.</t>
        </is>
      </c>
      <c r="J84" s="632" t="inlineStr">
        <is>
          <t>https://attack.mitre.org/techniques/T0882</t>
        </is>
      </c>
      <c r="K84" s="632" t="inlineStr">
        <is>
          <t>https://csrc.nist.gov/pubs/sp/800/82/r3/final</t>
        </is>
      </c>
      <c r="L84" s="632" t="inlineStr">
        <is>
          <t>Reference mapping</t>
        </is>
      </c>
    </row>
    <row r="85">
      <c r="A85" s="632" t="inlineStr">
        <is>
          <t>Power Generation|T0883</t>
        </is>
      </c>
      <c r="B85" s="632" t="inlineStr">
        <is>
          <t>Power Generation</t>
        </is>
      </c>
      <c r="C85" s="632" t="inlineStr">
        <is>
          <t>All registered asset types; actual architecture/platform evidence overrides</t>
        </is>
      </c>
      <c r="D85" s="632" t="inlineStr">
        <is>
          <t>T0883</t>
        </is>
      </c>
      <c r="E85" s="632" t="inlineStr">
        <is>
          <t>Internet Accessible Device</t>
        </is>
      </c>
      <c r="F85" s="632" t="inlineStr">
        <is>
          <t>S1</t>
        </is>
      </c>
      <c r="G85" s="632" t="inlineStr">
        <is>
          <t>Yes</t>
        </is>
      </c>
      <c r="H85" s="632" t="inlineStr">
        <is>
          <t>INTERNET_OT — Yes</t>
        </is>
      </c>
      <c r="I85" s="632" t="inlineStr">
        <is>
          <t>The Internet Accessible Device route is credible for Power Generation OT when the enabling access condition exists; existing facility gates determine remote, internet, transient, supply-chain or wireless feasibility.</t>
        </is>
      </c>
      <c r="J85" s="632" t="inlineStr">
        <is>
          <t>https://attack.mitre.org/techniques/T0883</t>
        </is>
      </c>
      <c r="K85" s="632" t="inlineStr">
        <is>
          <t>https://csrc.nist.gov/pubs/sp/800/82/r3/final</t>
        </is>
      </c>
      <c r="L85" s="632" t="inlineStr">
        <is>
          <t>Reference mapping</t>
        </is>
      </c>
    </row>
    <row r="86">
      <c r="A86" s="632" t="inlineStr">
        <is>
          <t>Power Generation|T0884</t>
        </is>
      </c>
      <c r="B86" s="632" t="inlineStr">
        <is>
          <t>Power Generation</t>
        </is>
      </c>
      <c r="C86" s="632" t="inlineStr">
        <is>
          <t>All registered asset types; actual architecture/platform evidence overrides</t>
        </is>
      </c>
      <c r="D86" s="632" t="inlineStr">
        <is>
          <t>T0884</t>
        </is>
      </c>
      <c r="E86" s="632" t="inlineStr">
        <is>
          <t>Connection Proxy</t>
        </is>
      </c>
      <c r="F86" s="632" t="inlineStr">
        <is>
          <t>S3</t>
        </is>
      </c>
      <c r="G86" s="632" t="inlineStr">
        <is>
          <t>Yes</t>
        </is>
      </c>
      <c r="H86" s="632" t="inlineStr">
        <is>
          <t>No explicit facility gate — defaults feasible</t>
        </is>
      </c>
      <c r="I86" s="632" t="inlineStr">
        <is>
          <t>Connection Proxy can support movement toward or within plant/control zones; actual reachability is governed by the assessed facility architecture.</t>
        </is>
      </c>
      <c r="J86" s="632" t="inlineStr">
        <is>
          <t>https://attack.mitre.org/techniques/T0884</t>
        </is>
      </c>
      <c r="K86" s="632" t="inlineStr">
        <is>
          <t>https://csrc.nist.gov/pubs/sp/800/82/r3/final</t>
        </is>
      </c>
      <c r="L86" s="632" t="inlineStr">
        <is>
          <t>Reference mapping</t>
        </is>
      </c>
    </row>
    <row r="87">
      <c r="A87" s="632" t="inlineStr">
        <is>
          <t>Power Generation|T0885</t>
        </is>
      </c>
      <c r="B87" s="632" t="inlineStr">
        <is>
          <t>Power Generation</t>
        </is>
      </c>
      <c r="C87" s="632" t="inlineStr">
        <is>
          <t>All registered asset types; actual architecture/platform evidence overrides</t>
        </is>
      </c>
      <c r="D87" s="632" t="inlineStr">
        <is>
          <t>T0885</t>
        </is>
      </c>
      <c r="E87" s="632" t="inlineStr">
        <is>
          <t>Commonly Used Port</t>
        </is>
      </c>
      <c r="F87" s="632" t="inlineStr">
        <is>
          <t>S3</t>
        </is>
      </c>
      <c r="G87" s="632" t="inlineStr">
        <is>
          <t>Yes</t>
        </is>
      </c>
      <c r="H87" s="632" t="inlineStr">
        <is>
          <t>No explicit facility gate — defaults feasible</t>
        </is>
      </c>
      <c r="I87" s="632" t="inlineStr">
        <is>
          <t>Commonly Used Port can support movement toward or within plant/control zones; actual reachability is governed by the assessed facility architecture.</t>
        </is>
      </c>
      <c r="J87" s="632" t="inlineStr">
        <is>
          <t>https://attack.mitre.org/techniques/T0885</t>
        </is>
      </c>
      <c r="K87" s="632" t="inlineStr">
        <is>
          <t>https://csrc.nist.gov/pubs/sp/800/82/r3/final</t>
        </is>
      </c>
      <c r="L87" s="632" t="inlineStr">
        <is>
          <t>Reference mapping</t>
        </is>
      </c>
    </row>
    <row r="88">
      <c r="A88" s="632" t="inlineStr">
        <is>
          <t>Power Generation|T0886</t>
        </is>
      </c>
      <c r="B88" s="632" t="inlineStr">
        <is>
          <t>Power Generation</t>
        </is>
      </c>
      <c r="C88" s="632" t="inlineStr">
        <is>
          <t>All registered asset types; actual architecture/platform evidence overrides</t>
        </is>
      </c>
      <c r="D88" s="632" t="inlineStr">
        <is>
          <t>T0886</t>
        </is>
      </c>
      <c r="E88" s="632" t="inlineStr">
        <is>
          <t>Remote Services</t>
        </is>
      </c>
      <c r="F88" s="632" t="inlineStr">
        <is>
          <t>S1</t>
        </is>
      </c>
      <c r="G88" s="632" t="inlineStr">
        <is>
          <t>Yes</t>
        </is>
      </c>
      <c r="H88" s="632" t="inlineStr">
        <is>
          <t>REMOTE_OR_ITOT — Remote path or IT-OT connection</t>
        </is>
      </c>
      <c r="I88" s="632" t="inlineStr">
        <is>
          <t>The Remote Services route is credible for Power Generation OT when the enabling access condition exists; existing facility gates determine remote, internet, transient, supply-chain or wireless feasibility.</t>
        </is>
      </c>
      <c r="J88" s="632" t="inlineStr">
        <is>
          <t>https://attack.mitre.org/techniques/T0886</t>
        </is>
      </c>
      <c r="K88" s="632" t="inlineStr">
        <is>
          <t>https://csrc.nist.gov/pubs/sp/800/82/r3/final</t>
        </is>
      </c>
      <c r="L88" s="632" t="inlineStr">
        <is>
          <t>Reference mapping</t>
        </is>
      </c>
    </row>
    <row r="89">
      <c r="A89" s="632" t="inlineStr">
        <is>
          <t>Power Generation|T0887</t>
        </is>
      </c>
      <c r="B89" s="632" t="inlineStr">
        <is>
          <t>Power Generation</t>
        </is>
      </c>
      <c r="C89" s="632" t="inlineStr">
        <is>
          <t>All registered asset types; actual architecture/platform evidence overrides</t>
        </is>
      </c>
      <c r="D89" s="632" t="inlineStr">
        <is>
          <t>T0887</t>
        </is>
      </c>
      <c r="E89" s="632" t="inlineStr">
        <is>
          <t>Wireless Sniffing</t>
        </is>
      </c>
      <c r="F89" s="632" t="inlineStr">
        <is>
          <t>S4</t>
        </is>
      </c>
      <c r="G89" s="632" t="inlineStr">
        <is>
          <t>Yes</t>
        </is>
      </c>
      <c r="H89" s="632" t="inlineStr">
        <is>
          <t>WIRELESS — Yes</t>
        </is>
      </c>
      <c r="I89" s="632" t="inlineStr">
        <is>
          <t>Wireless Sniffing can support discovery or interaction with process state, control assets and operational data in Power Generation environments.</t>
        </is>
      </c>
      <c r="J89" s="632" t="inlineStr">
        <is>
          <t>https://attack.mitre.org/techniques/T0887</t>
        </is>
      </c>
      <c r="K89" s="632" t="inlineStr">
        <is>
          <t>https://csrc.nist.gov/pubs/sp/800/82/r3/final</t>
        </is>
      </c>
      <c r="L89" s="632" t="inlineStr">
        <is>
          <t>Reference mapping</t>
        </is>
      </c>
    </row>
    <row r="90">
      <c r="A90" s="632" t="inlineStr">
        <is>
          <t>Power Generation|T0888</t>
        </is>
      </c>
      <c r="B90" s="632" t="inlineStr">
        <is>
          <t>Power Generation</t>
        </is>
      </c>
      <c r="C90" s="632" t="inlineStr">
        <is>
          <t>All registered asset types; actual architecture/platform evidence overrides</t>
        </is>
      </c>
      <c r="D90" s="632" t="inlineStr">
        <is>
          <t>T0888</t>
        </is>
      </c>
      <c r="E90" s="632" t="inlineStr">
        <is>
          <t>Remote System Information Discovery</t>
        </is>
      </c>
      <c r="F90" s="632" t="inlineStr">
        <is>
          <t>S4</t>
        </is>
      </c>
      <c r="G90" s="632" t="inlineStr">
        <is>
          <t>Yes</t>
        </is>
      </c>
      <c r="H90" s="632" t="inlineStr">
        <is>
          <t>No explicit facility gate — defaults feasible</t>
        </is>
      </c>
      <c r="I90" s="632" t="inlineStr">
        <is>
          <t>Remote System Information Discovery can support discovery or interaction with process state, control assets and operational data in Power Generation environments.</t>
        </is>
      </c>
      <c r="J90" s="632" t="inlineStr">
        <is>
          <t>https://attack.mitre.org/techniques/T0888</t>
        </is>
      </c>
      <c r="K90" s="632" t="inlineStr">
        <is>
          <t>https://csrc.nist.gov/pubs/sp/800/82/r3/final</t>
        </is>
      </c>
      <c r="L90" s="632" t="inlineStr">
        <is>
          <t>Reference mapping</t>
        </is>
      </c>
    </row>
    <row r="91">
      <c r="A91" s="632" t="inlineStr">
        <is>
          <t>Power Generation|T0889</t>
        </is>
      </c>
      <c r="B91" s="632" t="inlineStr">
        <is>
          <t>Power Generation</t>
        </is>
      </c>
      <c r="C91" s="632" t="inlineStr">
        <is>
          <t>All registered asset types; actual architecture/platform evidence overrides</t>
        </is>
      </c>
      <c r="D91" s="632" t="inlineStr">
        <is>
          <t>T0889</t>
        </is>
      </c>
      <c r="E91" s="632" t="inlineStr">
        <is>
          <t>Modify Program</t>
        </is>
      </c>
      <c r="F91" s="632" t="inlineStr">
        <is>
          <t>S2</t>
        </is>
      </c>
      <c r="G91" s="632" t="inlineStr">
        <is>
          <t>Yes</t>
        </is>
      </c>
      <c r="H91" s="632" t="inlineStr">
        <is>
          <t>No explicit facility gate — defaults feasible</t>
        </is>
      </c>
      <c r="I91" s="632" t="inlineStr">
        <is>
          <t>Modify Program is applicable to execution or persistence on engineering workstations, HMIs, servers or controllers used in Power Generation facilities.</t>
        </is>
      </c>
      <c r="J91" s="632" t="inlineStr">
        <is>
          <t>https://attack.mitre.org/techniques/T0889</t>
        </is>
      </c>
      <c r="K91" s="632" t="inlineStr">
        <is>
          <t>https://csrc.nist.gov/pubs/sp/800/82/r3/final</t>
        </is>
      </c>
      <c r="L91" s="632" t="inlineStr">
        <is>
          <t>Reference mapping</t>
        </is>
      </c>
    </row>
    <row r="92">
      <c r="A92" s="632" t="inlineStr">
        <is>
          <t>Power Generation|T0890</t>
        </is>
      </c>
      <c r="B92" s="632" t="inlineStr">
        <is>
          <t>Power Generation</t>
        </is>
      </c>
      <c r="C92" s="632" t="inlineStr">
        <is>
          <t>All registered asset types; actual architecture/platform evidence overrides</t>
        </is>
      </c>
      <c r="D92" s="632" t="inlineStr">
        <is>
          <t>T0890</t>
        </is>
      </c>
      <c r="E92" s="632" t="inlineStr">
        <is>
          <t>Exploitation for Privilege Escalation</t>
        </is>
      </c>
      <c r="F92" s="632" t="inlineStr">
        <is>
          <t>S2</t>
        </is>
      </c>
      <c r="G92" s="632" t="inlineStr">
        <is>
          <t>Yes</t>
        </is>
      </c>
      <c r="H92" s="632" t="inlineStr">
        <is>
          <t>No explicit facility gate — defaults feasible</t>
        </is>
      </c>
      <c r="I92" s="632" t="inlineStr">
        <is>
          <t>Exploitation for Privilege Escalation is applicable to execution or persistence on engineering workstations, HMIs, servers or controllers used in Power Generation facilities.</t>
        </is>
      </c>
      <c r="J92" s="632" t="inlineStr">
        <is>
          <t>https://attack.mitre.org/techniques/T0890</t>
        </is>
      </c>
      <c r="K92" s="632" t="inlineStr">
        <is>
          <t>https://csrc.nist.gov/pubs/sp/800/82/r3/final</t>
        </is>
      </c>
      <c r="L92" s="632" t="inlineStr">
        <is>
          <t>Reference mapping</t>
        </is>
      </c>
    </row>
    <row r="93">
      <c r="A93" s="632" t="inlineStr">
        <is>
          <t>Power Generation|T0892</t>
        </is>
      </c>
      <c r="B93" s="632" t="inlineStr">
        <is>
          <t>Power Generation</t>
        </is>
      </c>
      <c r="C93" s="632" t="inlineStr">
        <is>
          <t>All registered asset types; actual architecture/platform evidence overrides</t>
        </is>
      </c>
      <c r="D93" s="632" t="inlineStr">
        <is>
          <t>T0892</t>
        </is>
      </c>
      <c r="E93" s="632" t="inlineStr">
        <is>
          <t>Change Credential</t>
        </is>
      </c>
      <c r="F93" s="632" t="inlineStr">
        <is>
          <t>S5</t>
        </is>
      </c>
      <c r="G93" s="632" t="inlineStr">
        <is>
          <t>Yes</t>
        </is>
      </c>
      <c r="H93" s="632" t="inlineStr">
        <is>
          <t>No explicit facility gate — defaults feasible</t>
        </is>
      </c>
      <c r="I93" s="632" t="inlineStr">
        <is>
          <t>Change Credential is an ATT&amp;CK for ICS impact or response-inhibition technique that can support one or more governed adverse scenarios; scenario role remains controlled on 09.</t>
        </is>
      </c>
      <c r="J93" s="632" t="inlineStr">
        <is>
          <t>https://attack.mitre.org/techniques/T0892</t>
        </is>
      </c>
      <c r="K93" s="632" t="inlineStr">
        <is>
          <t>https://csrc.nist.gov/pubs/sp/800/82/r3/final</t>
        </is>
      </c>
      <c r="L93" s="632" t="inlineStr">
        <is>
          <t>Reference mapping</t>
        </is>
      </c>
    </row>
    <row r="94">
      <c r="A94" s="632" t="inlineStr">
        <is>
          <t>Power Generation|T0893</t>
        </is>
      </c>
      <c r="B94" s="632" t="inlineStr">
        <is>
          <t>Power Generation</t>
        </is>
      </c>
      <c r="C94" s="632" t="inlineStr">
        <is>
          <t>All registered asset types; actual architecture/platform evidence overrides</t>
        </is>
      </c>
      <c r="D94" s="632" t="inlineStr">
        <is>
          <t>T0893</t>
        </is>
      </c>
      <c r="E94" s="632" t="inlineStr">
        <is>
          <t>Data from Local System</t>
        </is>
      </c>
      <c r="F94" s="632" t="inlineStr">
        <is>
          <t>S4</t>
        </is>
      </c>
      <c r="G94" s="632" t="inlineStr">
        <is>
          <t>Yes</t>
        </is>
      </c>
      <c r="H94" s="632" t="inlineStr">
        <is>
          <t>No explicit facility gate — defaults feasible</t>
        </is>
      </c>
      <c r="I94" s="632" t="inlineStr">
        <is>
          <t>Data from Local System can support discovery or interaction with process state, control assets and operational data in Power Generation environments.</t>
        </is>
      </c>
      <c r="J94" s="632" t="inlineStr">
        <is>
          <t>https://attack.mitre.org/techniques/T0893</t>
        </is>
      </c>
      <c r="K94" s="632" t="inlineStr">
        <is>
          <t>https://csrc.nist.gov/pubs/sp/800/82/r3/final</t>
        </is>
      </c>
      <c r="L94" s="632" t="inlineStr">
        <is>
          <t>Reference mapping</t>
        </is>
      </c>
    </row>
    <row r="95">
      <c r="A95" s="632" t="inlineStr">
        <is>
          <t>Power Generation|T0894</t>
        </is>
      </c>
      <c r="B95" s="632" t="inlineStr">
        <is>
          <t>Power Generation</t>
        </is>
      </c>
      <c r="C95" s="632" t="inlineStr">
        <is>
          <t>All registered asset types; actual architecture/platform evidence overrides</t>
        </is>
      </c>
      <c r="D95" s="632" t="inlineStr">
        <is>
          <t>T0894</t>
        </is>
      </c>
      <c r="E95" s="632" t="inlineStr">
        <is>
          <t>System Binary Proxy Execution</t>
        </is>
      </c>
      <c r="F95" s="632" t="inlineStr">
        <is>
          <t>S2</t>
        </is>
      </c>
      <c r="G95" s="632" t="inlineStr">
        <is>
          <t>Yes</t>
        </is>
      </c>
      <c r="H95" s="632" t="inlineStr">
        <is>
          <t>No explicit facility gate — defaults feasible</t>
        </is>
      </c>
      <c r="I95" s="632" t="inlineStr">
        <is>
          <t>System Binary Proxy Execution is applicable to execution or persistence on engineering workstations, HMIs, servers or controllers used in Power Generation facilities.</t>
        </is>
      </c>
      <c r="J95" s="632" t="inlineStr">
        <is>
          <t>https://attack.mitre.org/techniques/T0894</t>
        </is>
      </c>
      <c r="K95" s="632" t="inlineStr">
        <is>
          <t>https://csrc.nist.gov/pubs/sp/800/82/r3/final</t>
        </is>
      </c>
      <c r="L95" s="632" t="inlineStr">
        <is>
          <t>Reference mapping</t>
        </is>
      </c>
    </row>
    <row r="96">
      <c r="A96" s="632" t="inlineStr">
        <is>
          <t>Power Generation|T0895</t>
        </is>
      </c>
      <c r="B96" s="632" t="inlineStr">
        <is>
          <t>Power Generation</t>
        </is>
      </c>
      <c r="C96" s="632" t="inlineStr">
        <is>
          <t>All registered asset types; actual architecture/platform evidence overrides</t>
        </is>
      </c>
      <c r="D96" s="632" t="inlineStr">
        <is>
          <t>T0895</t>
        </is>
      </c>
      <c r="E96" s="632" t="inlineStr">
        <is>
          <t>Autorun Image</t>
        </is>
      </c>
      <c r="F96" s="632" t="inlineStr">
        <is>
          <t>S2</t>
        </is>
      </c>
      <c r="G96" s="632" t="inlineStr">
        <is>
          <t>Yes</t>
        </is>
      </c>
      <c r="H96" s="632" t="inlineStr">
        <is>
          <t>No explicit facility gate — defaults feasible</t>
        </is>
      </c>
      <c r="I96" s="632" t="inlineStr">
        <is>
          <t>Autorun Image is applicable to execution or persistence on engineering workstations, HMIs, servers or controllers used in Power Generation facilities.</t>
        </is>
      </c>
      <c r="J96" s="632" t="inlineStr">
        <is>
          <t>https://attack.mitre.org/techniques/T0895</t>
        </is>
      </c>
      <c r="K96" s="632" t="inlineStr">
        <is>
          <t>https://csrc.nist.gov/pubs/sp/800/82/r3/final</t>
        </is>
      </c>
      <c r="L96" s="632" t="inlineStr">
        <is>
          <t>Reference mapping</t>
        </is>
      </c>
    </row>
    <row r="97">
      <c r="A97" s="632" t="inlineStr">
        <is>
          <t>Power Generation|T1691</t>
        </is>
      </c>
      <c r="B97" s="632" t="inlineStr">
        <is>
          <t>Power Generation</t>
        </is>
      </c>
      <c r="C97" s="632" t="inlineStr">
        <is>
          <t>All registered asset types; actual architecture/platform evidence overrides</t>
        </is>
      </c>
      <c r="D97" s="632" t="inlineStr">
        <is>
          <t>T1691</t>
        </is>
      </c>
      <c r="E97" s="632" t="inlineStr">
        <is>
          <t>Block Operational Technology Message</t>
        </is>
      </c>
      <c r="F97" s="632" t="inlineStr">
        <is>
          <t>S5</t>
        </is>
      </c>
      <c r="G97" s="632" t="inlineStr">
        <is>
          <t>Yes</t>
        </is>
      </c>
      <c r="H97" s="632" t="inlineStr">
        <is>
          <t>No explicit facility gate — defaults feasible</t>
        </is>
      </c>
      <c r="I97" s="632" t="inlineStr">
        <is>
          <t>Block Operational Technology Message is an ATT&amp;CK for ICS impact or response-inhibition technique that can support one or more governed adverse scenarios; scenario role remains controlled on 09.</t>
        </is>
      </c>
      <c r="J97" s="632" t="inlineStr">
        <is>
          <t>https://attack.mitre.org/techniques/T1691</t>
        </is>
      </c>
      <c r="K97" s="632" t="inlineStr">
        <is>
          <t>https://csrc.nist.gov/pubs/sp/800/82/r3/final</t>
        </is>
      </c>
      <c r="L97" s="632" t="inlineStr">
        <is>
          <t>Reference mapping</t>
        </is>
      </c>
    </row>
    <row r="98">
      <c r="A98" s="632" t="inlineStr">
        <is>
          <t>Power Generation|T1691.001</t>
        </is>
      </c>
      <c r="B98" s="632" t="inlineStr">
        <is>
          <t>Power Generation</t>
        </is>
      </c>
      <c r="C98" s="632" t="inlineStr">
        <is>
          <t>All registered asset types; actual architecture/platform evidence overrides</t>
        </is>
      </c>
      <c r="D98" s="632" t="inlineStr">
        <is>
          <t>T1691.001</t>
        </is>
      </c>
      <c r="E98" s="632" t="inlineStr">
        <is>
          <t>Command Message</t>
        </is>
      </c>
      <c r="F98" s="632" t="inlineStr">
        <is>
          <t>S5</t>
        </is>
      </c>
      <c r="G98" s="632" t="inlineStr">
        <is>
          <t>Yes</t>
        </is>
      </c>
      <c r="H98" s="632" t="inlineStr">
        <is>
          <t>No explicit facility gate — defaults feasible</t>
        </is>
      </c>
      <c r="I98" s="632" t="inlineStr">
        <is>
          <t>Command Message is an ATT&amp;CK for ICS impact or response-inhibition technique that can support one or more governed adverse scenarios; scenario role remains controlled on 09.</t>
        </is>
      </c>
      <c r="J98" s="632" t="inlineStr">
        <is>
          <t>https://attack.mitre.org/techniques/T1691/001</t>
        </is>
      </c>
      <c r="K98" s="632" t="inlineStr">
        <is>
          <t>https://csrc.nist.gov/pubs/sp/800/82/r3/final</t>
        </is>
      </c>
      <c r="L98" s="632" t="inlineStr">
        <is>
          <t>Reference mapping</t>
        </is>
      </c>
    </row>
    <row r="99">
      <c r="A99" s="632" t="inlineStr">
        <is>
          <t>Power Generation|T1691.002</t>
        </is>
      </c>
      <c r="B99" s="632" t="inlineStr">
        <is>
          <t>Power Generation</t>
        </is>
      </c>
      <c r="C99" s="632" t="inlineStr">
        <is>
          <t>All registered asset types; actual architecture/platform evidence overrides</t>
        </is>
      </c>
      <c r="D99" s="632" t="inlineStr">
        <is>
          <t>T1691.002</t>
        </is>
      </c>
      <c r="E99" s="632" t="inlineStr">
        <is>
          <t>Reporting Message</t>
        </is>
      </c>
      <c r="F99" s="632" t="inlineStr">
        <is>
          <t>S5</t>
        </is>
      </c>
      <c r="G99" s="632" t="inlineStr">
        <is>
          <t>Yes</t>
        </is>
      </c>
      <c r="H99" s="632" t="inlineStr">
        <is>
          <t>No explicit facility gate — defaults feasible</t>
        </is>
      </c>
      <c r="I99" s="632" t="inlineStr">
        <is>
          <t>Reporting Message is an ATT&amp;CK for ICS impact or response-inhibition technique that can support one or more governed adverse scenarios; scenario role remains controlled on 09.</t>
        </is>
      </c>
      <c r="J99" s="632" t="inlineStr">
        <is>
          <t>https://attack.mitre.org/techniques/T1691/002</t>
        </is>
      </c>
      <c r="K99" s="632" t="inlineStr">
        <is>
          <t>https://csrc.nist.gov/pubs/sp/800/82/r3/final</t>
        </is>
      </c>
      <c r="L99" s="632" t="inlineStr">
        <is>
          <t>Reference mapping</t>
        </is>
      </c>
    </row>
    <row r="100">
      <c r="A100" s="632" t="inlineStr">
        <is>
          <t>Power Generation|T1692</t>
        </is>
      </c>
      <c r="B100" s="632" t="inlineStr">
        <is>
          <t>Power Generation</t>
        </is>
      </c>
      <c r="C100" s="632" t="inlineStr">
        <is>
          <t>All registered asset types; actual architecture/platform evidence overrides</t>
        </is>
      </c>
      <c r="D100" s="632" t="inlineStr">
        <is>
          <t>T1692</t>
        </is>
      </c>
      <c r="E100" s="632" t="inlineStr">
        <is>
          <t>Unauthorized Message</t>
        </is>
      </c>
      <c r="F100" s="632" t="inlineStr">
        <is>
          <t>S5</t>
        </is>
      </c>
      <c r="G100" s="632" t="inlineStr">
        <is>
          <t>Yes</t>
        </is>
      </c>
      <c r="H100" s="632" t="inlineStr">
        <is>
          <t>No explicit facility gate — defaults feasible</t>
        </is>
      </c>
      <c r="I100" s="632" t="inlineStr">
        <is>
          <t>Unauthorized Message is an ATT&amp;CK for ICS impact or response-inhibition technique that can support one or more governed adverse scenarios; scenario role remains controlled on 09.</t>
        </is>
      </c>
      <c r="J100" s="632" t="inlineStr">
        <is>
          <t>https://attack.mitre.org/techniques/T1692</t>
        </is>
      </c>
      <c r="K100" s="632" t="inlineStr">
        <is>
          <t>https://csrc.nist.gov/pubs/sp/800/82/r3/final</t>
        </is>
      </c>
      <c r="L100" s="632" t="inlineStr">
        <is>
          <t>Reference mapping</t>
        </is>
      </c>
    </row>
    <row r="101">
      <c r="A101" s="632" t="inlineStr">
        <is>
          <t>Power Generation|T1692.001</t>
        </is>
      </c>
      <c r="B101" s="632" t="inlineStr">
        <is>
          <t>Power Generation</t>
        </is>
      </c>
      <c r="C101" s="632" t="inlineStr">
        <is>
          <t>All registered asset types; actual architecture/platform evidence overrides</t>
        </is>
      </c>
      <c r="D101" s="632" t="inlineStr">
        <is>
          <t>T1692.001</t>
        </is>
      </c>
      <c r="E101" s="632" t="inlineStr">
        <is>
          <t>Command Message</t>
        </is>
      </c>
      <c r="F101" s="632" t="inlineStr">
        <is>
          <t>S5</t>
        </is>
      </c>
      <c r="G101" s="632" t="inlineStr">
        <is>
          <t>Yes</t>
        </is>
      </c>
      <c r="H101" s="632" t="inlineStr">
        <is>
          <t>No explicit facility gate — defaults feasible</t>
        </is>
      </c>
      <c r="I101" s="632" t="inlineStr">
        <is>
          <t>Command Message is an ATT&amp;CK for ICS impact or response-inhibition technique that can support one or more governed adverse scenarios; scenario role remains controlled on 09.</t>
        </is>
      </c>
      <c r="J101" s="632" t="inlineStr">
        <is>
          <t>https://attack.mitre.org/techniques/T1692/001</t>
        </is>
      </c>
      <c r="K101" s="632" t="inlineStr">
        <is>
          <t>https://csrc.nist.gov/pubs/sp/800/82/r3/final</t>
        </is>
      </c>
      <c r="L101" s="632" t="inlineStr">
        <is>
          <t>Reference mapping</t>
        </is>
      </c>
    </row>
    <row r="102">
      <c r="A102" s="632" t="inlineStr">
        <is>
          <t>Power Generation|T1692.002</t>
        </is>
      </c>
      <c r="B102" s="632" t="inlineStr">
        <is>
          <t>Power Generation</t>
        </is>
      </c>
      <c r="C102" s="632" t="inlineStr">
        <is>
          <t>All registered asset types; actual architecture/platform evidence overrides</t>
        </is>
      </c>
      <c r="D102" s="632" t="inlineStr">
        <is>
          <t>T1692.002</t>
        </is>
      </c>
      <c r="E102" s="632" t="inlineStr">
        <is>
          <t>Reporting Message</t>
        </is>
      </c>
      <c r="F102" s="632" t="inlineStr">
        <is>
          <t>S5</t>
        </is>
      </c>
      <c r="G102" s="632" t="inlineStr">
        <is>
          <t>Yes</t>
        </is>
      </c>
      <c r="H102" s="632" t="inlineStr">
        <is>
          <t>No explicit facility gate — defaults feasible</t>
        </is>
      </c>
      <c r="I102" s="632" t="inlineStr">
        <is>
          <t>Reporting Message is an ATT&amp;CK for ICS impact or response-inhibition technique that can support one or more governed adverse scenarios; scenario role remains controlled on 09.</t>
        </is>
      </c>
      <c r="J102" s="632" t="inlineStr">
        <is>
          <t>https://attack.mitre.org/techniques/T1692/002</t>
        </is>
      </c>
      <c r="K102" s="632" t="inlineStr">
        <is>
          <t>https://csrc.nist.gov/pubs/sp/800/82/r3/final</t>
        </is>
      </c>
      <c r="L102" s="632" t="inlineStr">
        <is>
          <t>Reference mapping</t>
        </is>
      </c>
    </row>
    <row r="103">
      <c r="A103" s="632" t="inlineStr">
        <is>
          <t>Power Generation|T1693</t>
        </is>
      </c>
      <c r="B103" s="632" t="inlineStr">
        <is>
          <t>Power Generation</t>
        </is>
      </c>
      <c r="C103" s="632" t="inlineStr">
        <is>
          <t>All registered asset types; actual architecture/platform evidence overrides</t>
        </is>
      </c>
      <c r="D103" s="632" t="inlineStr">
        <is>
          <t>T1693</t>
        </is>
      </c>
      <c r="E103" s="632" t="inlineStr">
        <is>
          <t>Modify Firmware</t>
        </is>
      </c>
      <c r="F103" s="632" t="inlineStr">
        <is>
          <t>S5</t>
        </is>
      </c>
      <c r="G103" s="632" t="inlineStr">
        <is>
          <t>Yes</t>
        </is>
      </c>
      <c r="H103" s="632" t="inlineStr">
        <is>
          <t>No explicit facility gate — defaults feasible</t>
        </is>
      </c>
      <c r="I103" s="632" t="inlineStr">
        <is>
          <t>Modify Firmware is an ATT&amp;CK for ICS impact or response-inhibition technique that can support one or more governed adverse scenarios; scenario role remains controlled on 09.</t>
        </is>
      </c>
      <c r="J103" s="632" t="inlineStr">
        <is>
          <t>https://attack.mitre.org/techniques/T1693</t>
        </is>
      </c>
      <c r="K103" s="632" t="inlineStr">
        <is>
          <t>https://csrc.nist.gov/pubs/sp/800/82/r3/final</t>
        </is>
      </c>
      <c r="L103" s="632" t="inlineStr">
        <is>
          <t>Reference mapping</t>
        </is>
      </c>
    </row>
    <row r="104">
      <c r="A104" s="632" t="inlineStr">
        <is>
          <t>Power Generation|T1693.001</t>
        </is>
      </c>
      <c r="B104" s="632" t="inlineStr">
        <is>
          <t>Power Generation</t>
        </is>
      </c>
      <c r="C104" s="632" t="inlineStr">
        <is>
          <t>All registered asset types; actual architecture/platform evidence overrides</t>
        </is>
      </c>
      <c r="D104" s="632" t="inlineStr">
        <is>
          <t>T1693.001</t>
        </is>
      </c>
      <c r="E104" s="632" t="inlineStr">
        <is>
          <t>System Firmware</t>
        </is>
      </c>
      <c r="F104" s="632" t="inlineStr">
        <is>
          <t>S5</t>
        </is>
      </c>
      <c r="G104" s="632" t="inlineStr">
        <is>
          <t>Yes</t>
        </is>
      </c>
      <c r="H104" s="632" t="inlineStr">
        <is>
          <t>No explicit facility gate — defaults feasible</t>
        </is>
      </c>
      <c r="I104" s="632" t="inlineStr">
        <is>
          <t>System Firmware is an ATT&amp;CK for ICS impact or response-inhibition technique that can support one or more governed adverse scenarios; scenario role remains controlled on 09.</t>
        </is>
      </c>
      <c r="J104" s="632" t="inlineStr">
        <is>
          <t>https://attack.mitre.org/techniques/T1693/001</t>
        </is>
      </c>
      <c r="K104" s="632" t="inlineStr">
        <is>
          <t>https://csrc.nist.gov/pubs/sp/800/82/r3/final</t>
        </is>
      </c>
      <c r="L104" s="632" t="inlineStr">
        <is>
          <t>Reference mapping</t>
        </is>
      </c>
    </row>
    <row r="105">
      <c r="A105" s="632" t="inlineStr">
        <is>
          <t>Power Generation|T1693.002</t>
        </is>
      </c>
      <c r="B105" s="632" t="inlineStr">
        <is>
          <t>Power Generation</t>
        </is>
      </c>
      <c r="C105" s="632" t="inlineStr">
        <is>
          <t>All registered asset types; actual architecture/platform evidence overrides</t>
        </is>
      </c>
      <c r="D105" s="632" t="inlineStr">
        <is>
          <t>T1693.002</t>
        </is>
      </c>
      <c r="E105" s="632" t="inlineStr">
        <is>
          <t>Module Firmware</t>
        </is>
      </c>
      <c r="F105" s="632" t="inlineStr">
        <is>
          <t>S5</t>
        </is>
      </c>
      <c r="G105" s="632" t="inlineStr">
        <is>
          <t>Yes</t>
        </is>
      </c>
      <c r="H105" s="632" t="inlineStr">
        <is>
          <t>No explicit facility gate — defaults feasible</t>
        </is>
      </c>
      <c r="I105" s="632" t="inlineStr">
        <is>
          <t>Module Firmware is an ATT&amp;CK for ICS impact or response-inhibition technique that can support one or more governed adverse scenarios; scenario role remains controlled on 09.</t>
        </is>
      </c>
      <c r="J105" s="632" t="inlineStr">
        <is>
          <t>https://attack.mitre.org/techniques/T1693/002</t>
        </is>
      </c>
      <c r="K105" s="632" t="inlineStr">
        <is>
          <t>https://csrc.nist.gov/pubs/sp/800/82/r3/final</t>
        </is>
      </c>
      <c r="L105" s="632" t="inlineStr">
        <is>
          <t>Reference mapping</t>
        </is>
      </c>
    </row>
    <row r="106">
      <c r="A106" s="632" t="inlineStr">
        <is>
          <t>Power Generation|T1694</t>
        </is>
      </c>
      <c r="B106" s="632" t="inlineStr">
        <is>
          <t>Power Generation</t>
        </is>
      </c>
      <c r="C106" s="632" t="inlineStr">
        <is>
          <t>All registered asset types; actual architecture/platform evidence overrides</t>
        </is>
      </c>
      <c r="D106" s="632" t="inlineStr">
        <is>
          <t>T1694</t>
        </is>
      </c>
      <c r="E106" s="632" t="inlineStr">
        <is>
          <t>Insecure Credentials</t>
        </is>
      </c>
      <c r="F106" s="632" t="inlineStr">
        <is>
          <t>S3</t>
        </is>
      </c>
      <c r="G106" s="632" t="inlineStr">
        <is>
          <t>Yes</t>
        </is>
      </c>
      <c r="H106" s="632" t="inlineStr">
        <is>
          <t>No explicit facility gate — defaults feasible</t>
        </is>
      </c>
      <c r="I106" s="632" t="inlineStr">
        <is>
          <t>Insecure Credentials can support movement toward or within plant/control zones; actual reachability is governed by the assessed facility architecture.</t>
        </is>
      </c>
      <c r="J106" s="632" t="inlineStr">
        <is>
          <t>https://attack.mitre.org/techniques/T1694</t>
        </is>
      </c>
      <c r="K106" s="632" t="inlineStr">
        <is>
          <t>https://csrc.nist.gov/pubs/sp/800/82/r3/final</t>
        </is>
      </c>
      <c r="L106" s="632" t="inlineStr">
        <is>
          <t>Reference mapping</t>
        </is>
      </c>
    </row>
    <row r="107">
      <c r="A107" s="632" t="inlineStr">
        <is>
          <t>Power Generation|T1694.001</t>
        </is>
      </c>
      <c r="B107" s="632" t="inlineStr">
        <is>
          <t>Power Generation</t>
        </is>
      </c>
      <c r="C107" s="632" t="inlineStr">
        <is>
          <t>All registered asset types; actual architecture/platform evidence overrides</t>
        </is>
      </c>
      <c r="D107" s="632" t="inlineStr">
        <is>
          <t>T1694.001</t>
        </is>
      </c>
      <c r="E107" s="632" t="inlineStr">
        <is>
          <t>Default Credentials</t>
        </is>
      </c>
      <c r="F107" s="632" t="inlineStr">
        <is>
          <t>S3</t>
        </is>
      </c>
      <c r="G107" s="632" t="inlineStr">
        <is>
          <t>Yes</t>
        </is>
      </c>
      <c r="H107" s="632" t="inlineStr">
        <is>
          <t>No explicit facility gate — defaults feasible</t>
        </is>
      </c>
      <c r="I107" s="632" t="inlineStr">
        <is>
          <t>Default Credentials can support movement toward or within plant/control zones; actual reachability is governed by the assessed facility architecture.</t>
        </is>
      </c>
      <c r="J107" s="632" t="inlineStr">
        <is>
          <t>https://attack.mitre.org/techniques/T1694/001</t>
        </is>
      </c>
      <c r="K107" s="632" t="inlineStr">
        <is>
          <t>https://csrc.nist.gov/pubs/sp/800/82/r3/final</t>
        </is>
      </c>
      <c r="L107" s="632" t="inlineStr">
        <is>
          <t>Reference mapping</t>
        </is>
      </c>
    </row>
    <row r="108">
      <c r="A108" s="632" t="inlineStr">
        <is>
          <t>Power Generation|T1694.002</t>
        </is>
      </c>
      <c r="B108" s="632" t="inlineStr">
        <is>
          <t>Power Generation</t>
        </is>
      </c>
      <c r="C108" s="632" t="inlineStr">
        <is>
          <t>All registered asset types; actual architecture/platform evidence overrides</t>
        </is>
      </c>
      <c r="D108" s="632" t="inlineStr">
        <is>
          <t>T1694.002</t>
        </is>
      </c>
      <c r="E108" s="632" t="inlineStr">
        <is>
          <t>Hardcoded Credentials</t>
        </is>
      </c>
      <c r="F108" s="632" t="inlineStr">
        <is>
          <t>S3</t>
        </is>
      </c>
      <c r="G108" s="632" t="inlineStr">
        <is>
          <t>Yes</t>
        </is>
      </c>
      <c r="H108" s="632" t="inlineStr">
        <is>
          <t>No explicit facility gate — defaults feasible</t>
        </is>
      </c>
      <c r="I108" s="632" t="inlineStr">
        <is>
          <t>Hardcoded Credentials can support movement toward or within plant/control zones; actual reachability is governed by the assessed facility architecture.</t>
        </is>
      </c>
      <c r="J108" s="632" t="inlineStr">
        <is>
          <t>https://attack.mitre.org/techniques/T1694/002</t>
        </is>
      </c>
      <c r="K108" s="632" t="inlineStr">
        <is>
          <t>https://csrc.nist.gov/pubs/sp/800/82/r3/final</t>
        </is>
      </c>
      <c r="L108" s="632" t="inlineStr">
        <is>
          <t>Reference mapping</t>
        </is>
      </c>
    </row>
    <row r="109">
      <c r="A109" s="632" t="inlineStr">
        <is>
          <t>Power Generation|T1695</t>
        </is>
      </c>
      <c r="B109" s="632" t="inlineStr">
        <is>
          <t>Power Generation</t>
        </is>
      </c>
      <c r="C109" s="632" t="inlineStr">
        <is>
          <t>All registered asset types; actual architecture/platform evidence overrides</t>
        </is>
      </c>
      <c r="D109" s="632" t="inlineStr">
        <is>
          <t>T1695</t>
        </is>
      </c>
      <c r="E109" s="632" t="inlineStr">
        <is>
          <t>Block Communications</t>
        </is>
      </c>
      <c r="F109" s="632" t="inlineStr">
        <is>
          <t>S5</t>
        </is>
      </c>
      <c r="G109" s="632" t="inlineStr">
        <is>
          <t>Yes</t>
        </is>
      </c>
      <c r="H109" s="632" t="inlineStr">
        <is>
          <t>No explicit facility gate — defaults feasible</t>
        </is>
      </c>
      <c r="I109" s="632" t="inlineStr">
        <is>
          <t>Block Communications is an ATT&amp;CK for ICS impact or response-inhibition technique that can support one or more governed adverse scenarios; scenario role remains controlled on 09.</t>
        </is>
      </c>
      <c r="J109" s="632" t="inlineStr">
        <is>
          <t>https://attack.mitre.org/techniques/T1695</t>
        </is>
      </c>
      <c r="K109" s="632" t="inlineStr">
        <is>
          <t>https://csrc.nist.gov/pubs/sp/800/82/r3/final</t>
        </is>
      </c>
      <c r="L109" s="632" t="inlineStr">
        <is>
          <t>Reference mapping</t>
        </is>
      </c>
    </row>
    <row r="110">
      <c r="A110" s="632" t="inlineStr">
        <is>
          <t>Power Generation|T1695.001</t>
        </is>
      </c>
      <c r="B110" s="632" t="inlineStr">
        <is>
          <t>Power Generation</t>
        </is>
      </c>
      <c r="C110" s="632" t="inlineStr">
        <is>
          <t>All registered asset types; actual architecture/platform evidence overrides</t>
        </is>
      </c>
      <c r="D110" s="632" t="inlineStr">
        <is>
          <t>T1695.001</t>
        </is>
      </c>
      <c r="E110" s="632" t="inlineStr">
        <is>
          <t>Serial COM</t>
        </is>
      </c>
      <c r="F110" s="632" t="inlineStr">
        <is>
          <t>S5</t>
        </is>
      </c>
      <c r="G110" s="632" t="inlineStr">
        <is>
          <t>Yes</t>
        </is>
      </c>
      <c r="H110" s="632" t="inlineStr">
        <is>
          <t>No explicit facility gate — defaults feasible</t>
        </is>
      </c>
      <c r="I110" s="632" t="inlineStr">
        <is>
          <t>Serial COM is an ATT&amp;CK for ICS impact or response-inhibition technique that can support one or more governed adverse scenarios; scenario role remains controlled on 09.</t>
        </is>
      </c>
      <c r="J110" s="632" t="inlineStr">
        <is>
          <t>https://attack.mitre.org/techniques/T1695/001</t>
        </is>
      </c>
      <c r="K110" s="632" t="inlineStr">
        <is>
          <t>https://csrc.nist.gov/pubs/sp/800/82/r3/final</t>
        </is>
      </c>
      <c r="L110" s="632" t="inlineStr">
        <is>
          <t>Reference mapping</t>
        </is>
      </c>
    </row>
    <row r="111">
      <c r="A111" s="632" t="inlineStr">
        <is>
          <t>Power Generation|T1695.002</t>
        </is>
      </c>
      <c r="B111" s="632" t="inlineStr">
        <is>
          <t>Power Generation</t>
        </is>
      </c>
      <c r="C111" s="632" t="inlineStr">
        <is>
          <t>All registered asset types; actual architecture/platform evidence overrides</t>
        </is>
      </c>
      <c r="D111" s="632" t="inlineStr">
        <is>
          <t>T1695.002</t>
        </is>
      </c>
      <c r="E111" s="632" t="inlineStr">
        <is>
          <t>Ethernet</t>
        </is>
      </c>
      <c r="F111" s="632" t="inlineStr">
        <is>
          <t>S5</t>
        </is>
      </c>
      <c r="G111" s="632" t="inlineStr">
        <is>
          <t>Yes</t>
        </is>
      </c>
      <c r="H111" s="632" t="inlineStr">
        <is>
          <t>No explicit facility gate — defaults feasible</t>
        </is>
      </c>
      <c r="I111" s="632" t="inlineStr">
        <is>
          <t>Ethernet is an ATT&amp;CK for ICS impact or response-inhibition technique that can support one or more governed adverse scenarios; scenario role remains controlled on 09.</t>
        </is>
      </c>
      <c r="J111" s="632" t="inlineStr">
        <is>
          <t>https://attack.mitre.org/techniques/T1695/002</t>
        </is>
      </c>
      <c r="K111" s="632" t="inlineStr">
        <is>
          <t>https://csrc.nist.gov/pubs/sp/800/82/r3/final</t>
        </is>
      </c>
      <c r="L111" s="632" t="inlineStr">
        <is>
          <t>Reference mapping</t>
        </is>
      </c>
    </row>
    <row r="112">
      <c r="A112" s="632" t="inlineStr">
        <is>
          <t>Power Generation|T1695.003</t>
        </is>
      </c>
      <c r="B112" s="632" t="inlineStr">
        <is>
          <t>Power Generation</t>
        </is>
      </c>
      <c r="C112" s="632" t="inlineStr">
        <is>
          <t>All registered asset types; actual architecture/platform evidence overrides</t>
        </is>
      </c>
      <c r="D112" s="632" t="inlineStr">
        <is>
          <t>T1695.003</t>
        </is>
      </c>
      <c r="E112" s="632" t="inlineStr">
        <is>
          <t>Wi-Fi</t>
        </is>
      </c>
      <c r="F112" s="632" t="inlineStr">
        <is>
          <t>S5</t>
        </is>
      </c>
      <c r="G112" s="632" t="inlineStr">
        <is>
          <t>Yes</t>
        </is>
      </c>
      <c r="H112" s="632" t="inlineStr">
        <is>
          <t>WIRELESS — Yes</t>
        </is>
      </c>
      <c r="I112" s="632" t="inlineStr">
        <is>
          <t>Wi-Fi is an ATT&amp;CK for ICS impact or response-inhibition technique that can support one or more governed adverse scenarios; scenario role remains controlled on 09.</t>
        </is>
      </c>
      <c r="J112" s="632" t="inlineStr">
        <is>
          <t>https://attack.mitre.org/techniques/T1695/003</t>
        </is>
      </c>
      <c r="K112" s="632" t="inlineStr">
        <is>
          <t>https://csrc.nist.gov/pubs/sp/800/82/r3/final</t>
        </is>
      </c>
      <c r="L112" s="632" t="inlineStr">
        <is>
          <t>Reference mapping</t>
        </is>
      </c>
    </row>
    <row r="113">
      <c r="A113" s="632" t="inlineStr">
        <is>
          <t>Energy Assets|T0800</t>
        </is>
      </c>
      <c r="B113" s="632" t="inlineStr">
        <is>
          <t>Energy Assets</t>
        </is>
      </c>
      <c r="C113" s="632" t="inlineStr">
        <is>
          <t>All registered asset types; actual architecture/platform evidence overrides</t>
        </is>
      </c>
      <c r="D113" s="632" t="inlineStr">
        <is>
          <t>T0800</t>
        </is>
      </c>
      <c r="E113" s="632" t="inlineStr">
        <is>
          <t>Activate Firmware Update Mode</t>
        </is>
      </c>
      <c r="F113" s="632" t="inlineStr">
        <is>
          <t>S5</t>
        </is>
      </c>
      <c r="G113" s="632" t="inlineStr">
        <is>
          <t>Yes</t>
        </is>
      </c>
      <c r="H113" s="632" t="inlineStr">
        <is>
          <t>No explicit facility gate — defaults feasible</t>
        </is>
      </c>
      <c r="I113" s="632" t="inlineStr">
        <is>
          <t>Activate Firmware Update Mode is an ATT&amp;CK for ICS impact or response-inhibition technique that can support one or more governed adverse scenarios; scenario role remains controlled on 09.</t>
        </is>
      </c>
      <c r="J113" s="632" t="inlineStr">
        <is>
          <t>https://attack.mitre.org/techniques/T0800</t>
        </is>
      </c>
      <c r="K113" s="632" t="inlineStr">
        <is>
          <t>https://www.energy.gov/ceser/cybersecurity-capability-maturity-model-c2m2</t>
        </is>
      </c>
      <c r="L113" s="632" t="inlineStr">
        <is>
          <t>Working sector pack v1.0 — SME review recommended</t>
        </is>
      </c>
    </row>
    <row r="114">
      <c r="A114" s="632" t="inlineStr">
        <is>
          <t>Energy Assets|T0801</t>
        </is>
      </c>
      <c r="B114" s="632" t="inlineStr">
        <is>
          <t>Energy Assets</t>
        </is>
      </c>
      <c r="C114" s="632" t="inlineStr">
        <is>
          <t>All registered asset types; actual architecture/platform evidence overrides</t>
        </is>
      </c>
      <c r="D114" s="632" t="inlineStr">
        <is>
          <t>T0801</t>
        </is>
      </c>
      <c r="E114" s="632" t="inlineStr">
        <is>
          <t>Monitor Process State</t>
        </is>
      </c>
      <c r="F114" s="632" t="inlineStr">
        <is>
          <t>S4</t>
        </is>
      </c>
      <c r="G114" s="632" t="inlineStr">
        <is>
          <t>Yes</t>
        </is>
      </c>
      <c r="H114" s="632" t="inlineStr">
        <is>
          <t>No explicit facility gate — defaults feasible</t>
        </is>
      </c>
      <c r="I114" s="632" t="inlineStr">
        <is>
          <t>Monitor Process State can support discovery or interaction with process state, control assets and operational data in Energy Assets environments.</t>
        </is>
      </c>
      <c r="J114" s="632" t="inlineStr">
        <is>
          <t>https://attack.mitre.org/techniques/T0801</t>
        </is>
      </c>
      <c r="K114" s="632" t="inlineStr">
        <is>
          <t>https://www.energy.gov/ceser/cybersecurity-capability-maturity-model-c2m2</t>
        </is>
      </c>
      <c r="L114" s="632" t="inlineStr">
        <is>
          <t>Working sector pack v1.0 — SME review recommended</t>
        </is>
      </c>
    </row>
    <row r="115">
      <c r="A115" s="632" t="inlineStr">
        <is>
          <t>Energy Assets|T0802</t>
        </is>
      </c>
      <c r="B115" s="632" t="inlineStr">
        <is>
          <t>Energy Assets</t>
        </is>
      </c>
      <c r="C115" s="632" t="inlineStr">
        <is>
          <t>All registered asset types; actual architecture/platform evidence overrides</t>
        </is>
      </c>
      <c r="D115" s="632" t="inlineStr">
        <is>
          <t>T0802</t>
        </is>
      </c>
      <c r="E115" s="632" t="inlineStr">
        <is>
          <t>Automated Collection</t>
        </is>
      </c>
      <c r="F115" s="632" t="inlineStr">
        <is>
          <t>S4</t>
        </is>
      </c>
      <c r="G115" s="632" t="inlineStr">
        <is>
          <t>Yes</t>
        </is>
      </c>
      <c r="H115" s="632" t="inlineStr">
        <is>
          <t>No explicit facility gate — defaults feasible</t>
        </is>
      </c>
      <c r="I115" s="632" t="inlineStr">
        <is>
          <t>Automated Collection can support discovery or interaction with process state, control assets and operational data in Energy Assets environments.</t>
        </is>
      </c>
      <c r="J115" s="632" t="inlineStr">
        <is>
          <t>https://attack.mitre.org/techniques/T0802</t>
        </is>
      </c>
      <c r="K115" s="632" t="inlineStr">
        <is>
          <t>https://www.energy.gov/ceser/cybersecurity-capability-maturity-model-c2m2</t>
        </is>
      </c>
      <c r="L115" s="632" t="inlineStr">
        <is>
          <t>Working sector pack v1.0 — SME review recommended</t>
        </is>
      </c>
    </row>
    <row r="116">
      <c r="A116" s="632" t="inlineStr">
        <is>
          <t>Energy Assets|T0806</t>
        </is>
      </c>
      <c r="B116" s="632" t="inlineStr">
        <is>
          <t>Energy Assets</t>
        </is>
      </c>
      <c r="C116" s="632" t="inlineStr">
        <is>
          <t>All registered asset types; actual architecture/platform evidence overrides</t>
        </is>
      </c>
      <c r="D116" s="632" t="inlineStr">
        <is>
          <t>T0806</t>
        </is>
      </c>
      <c r="E116" s="632" t="inlineStr">
        <is>
          <t>Brute Force I/O</t>
        </is>
      </c>
      <c r="F116" s="632" t="inlineStr">
        <is>
          <t>S5</t>
        </is>
      </c>
      <c r="G116" s="632" t="inlineStr">
        <is>
          <t>Yes</t>
        </is>
      </c>
      <c r="H116" s="632" t="inlineStr">
        <is>
          <t>No explicit facility gate — defaults feasible</t>
        </is>
      </c>
      <c r="I116" s="632" t="inlineStr">
        <is>
          <t>Brute Force I/O is an ATT&amp;CK for ICS impact or response-inhibition technique that can support one or more governed adverse scenarios; scenario role remains controlled on 09.</t>
        </is>
      </c>
      <c r="J116" s="632" t="inlineStr">
        <is>
          <t>https://attack.mitre.org/techniques/T0806</t>
        </is>
      </c>
      <c r="K116" s="632" t="inlineStr">
        <is>
          <t>https://www.energy.gov/ceser/cybersecurity-capability-maturity-model-c2m2</t>
        </is>
      </c>
      <c r="L116" s="632" t="inlineStr">
        <is>
          <t>Working sector pack v1.0 — SME review recommended</t>
        </is>
      </c>
    </row>
    <row r="117">
      <c r="A117" s="632" t="inlineStr">
        <is>
          <t>Energy Assets|T0807</t>
        </is>
      </c>
      <c r="B117" s="632" t="inlineStr">
        <is>
          <t>Energy Assets</t>
        </is>
      </c>
      <c r="C117" s="632" t="inlineStr">
        <is>
          <t>All registered asset types; actual architecture/platform evidence overrides</t>
        </is>
      </c>
      <c r="D117" s="632" t="inlineStr">
        <is>
          <t>T0807</t>
        </is>
      </c>
      <c r="E117" s="632" t="inlineStr">
        <is>
          <t>Command-Line Interface</t>
        </is>
      </c>
      <c r="F117" s="632" t="inlineStr">
        <is>
          <t>S2</t>
        </is>
      </c>
      <c r="G117" s="632" t="inlineStr">
        <is>
          <t>Yes</t>
        </is>
      </c>
      <c r="H117" s="632" t="inlineStr">
        <is>
          <t>No explicit facility gate — defaults feasible</t>
        </is>
      </c>
      <c r="I117" s="632" t="inlineStr">
        <is>
          <t>Command-Line Interface is applicable to execution or persistence on engineering workstations, HMIs, servers or controllers used in Energy Assets facilities.</t>
        </is>
      </c>
      <c r="J117" s="632" t="inlineStr">
        <is>
          <t>https://attack.mitre.org/techniques/T0807</t>
        </is>
      </c>
      <c r="K117" s="632" t="inlineStr">
        <is>
          <t>https://www.energy.gov/ceser/cybersecurity-capability-maturity-model-c2m2</t>
        </is>
      </c>
      <c r="L117" s="632" t="inlineStr">
        <is>
          <t>Working sector pack v1.0 — SME review recommended</t>
        </is>
      </c>
    </row>
    <row r="118">
      <c r="A118" s="632" t="inlineStr">
        <is>
          <t>Energy Assets|T0809</t>
        </is>
      </c>
      <c r="B118" s="632" t="inlineStr">
        <is>
          <t>Energy Assets</t>
        </is>
      </c>
      <c r="C118" s="632" t="inlineStr">
        <is>
          <t>All registered asset types; actual architecture/platform evidence overrides</t>
        </is>
      </c>
      <c r="D118" s="632" t="inlineStr">
        <is>
          <t>T0809</t>
        </is>
      </c>
      <c r="E118" s="632" t="inlineStr">
        <is>
          <t>Data Destruction</t>
        </is>
      </c>
      <c r="F118" s="632" t="inlineStr">
        <is>
          <t>S5</t>
        </is>
      </c>
      <c r="G118" s="632" t="inlineStr">
        <is>
          <t>Yes</t>
        </is>
      </c>
      <c r="H118" s="632" t="inlineStr">
        <is>
          <t>No explicit facility gate — defaults feasible</t>
        </is>
      </c>
      <c r="I118" s="632" t="inlineStr">
        <is>
          <t>Data Destruction is an ATT&amp;CK for ICS impact or response-inhibition technique that can support one or more governed adverse scenarios; scenario role remains controlled on 09.</t>
        </is>
      </c>
      <c r="J118" s="632" t="inlineStr">
        <is>
          <t>https://attack.mitre.org/techniques/T0809</t>
        </is>
      </c>
      <c r="K118" s="632" t="inlineStr">
        <is>
          <t>https://www.energy.gov/ceser/cybersecurity-capability-maturity-model-c2m2</t>
        </is>
      </c>
      <c r="L118" s="632" t="inlineStr">
        <is>
          <t>Working sector pack v1.0 — SME review recommended</t>
        </is>
      </c>
    </row>
    <row r="119">
      <c r="A119" s="632" t="inlineStr">
        <is>
          <t>Energy Assets|T0811</t>
        </is>
      </c>
      <c r="B119" s="632" t="inlineStr">
        <is>
          <t>Energy Assets</t>
        </is>
      </c>
      <c r="C119" s="632" t="inlineStr">
        <is>
          <t>All registered asset types; actual architecture/platform evidence overrides</t>
        </is>
      </c>
      <c r="D119" s="632" t="inlineStr">
        <is>
          <t>T0811</t>
        </is>
      </c>
      <c r="E119" s="632" t="inlineStr">
        <is>
          <t>Data from Information Repositories</t>
        </is>
      </c>
      <c r="F119" s="632" t="inlineStr">
        <is>
          <t>S4</t>
        </is>
      </c>
      <c r="G119" s="632" t="inlineStr">
        <is>
          <t>Yes</t>
        </is>
      </c>
      <c r="H119" s="632" t="inlineStr">
        <is>
          <t>No explicit facility gate — defaults feasible</t>
        </is>
      </c>
      <c r="I119" s="632" t="inlineStr">
        <is>
          <t>Data from Information Repositories can support discovery or interaction with process state, control assets and operational data in Energy Assets environments.</t>
        </is>
      </c>
      <c r="J119" s="632" t="inlineStr">
        <is>
          <t>https://attack.mitre.org/techniques/T0811</t>
        </is>
      </c>
      <c r="K119" s="632" t="inlineStr">
        <is>
          <t>https://www.energy.gov/ceser/cybersecurity-capability-maturity-model-c2m2</t>
        </is>
      </c>
      <c r="L119" s="632" t="inlineStr">
        <is>
          <t>Working sector pack v1.0 — SME review recommended</t>
        </is>
      </c>
    </row>
    <row r="120">
      <c r="A120" s="632" t="inlineStr">
        <is>
          <t>Energy Assets|T0813</t>
        </is>
      </c>
      <c r="B120" s="632" t="inlineStr">
        <is>
          <t>Energy Assets</t>
        </is>
      </c>
      <c r="C120" s="632" t="inlineStr">
        <is>
          <t>All registered asset types; actual architecture/platform evidence overrides</t>
        </is>
      </c>
      <c r="D120" s="632" t="inlineStr">
        <is>
          <t>T0813</t>
        </is>
      </c>
      <c r="E120" s="632" t="inlineStr">
        <is>
          <t>Denial of Control</t>
        </is>
      </c>
      <c r="F120" s="632" t="inlineStr">
        <is>
          <t>S5</t>
        </is>
      </c>
      <c r="G120" s="632" t="inlineStr">
        <is>
          <t>Yes</t>
        </is>
      </c>
      <c r="H120" s="632" t="inlineStr">
        <is>
          <t>No explicit facility gate — defaults feasible</t>
        </is>
      </c>
      <c r="I120" s="632" t="inlineStr">
        <is>
          <t>Denial of Control is an ATT&amp;CK for ICS impact or response-inhibition technique that can support one or more governed adverse scenarios; scenario role remains controlled on 09.</t>
        </is>
      </c>
      <c r="J120" s="632" t="inlineStr">
        <is>
          <t>https://attack.mitre.org/techniques/T0813</t>
        </is>
      </c>
      <c r="K120" s="632" t="inlineStr">
        <is>
          <t>https://www.energy.gov/ceser/cybersecurity-capability-maturity-model-c2m2</t>
        </is>
      </c>
      <c r="L120" s="632" t="inlineStr">
        <is>
          <t>Working sector pack v1.0 — SME review recommended</t>
        </is>
      </c>
    </row>
    <row r="121">
      <c r="A121" s="632" t="inlineStr">
        <is>
          <t>Energy Assets|T0814</t>
        </is>
      </c>
      <c r="B121" s="632" t="inlineStr">
        <is>
          <t>Energy Assets</t>
        </is>
      </c>
      <c r="C121" s="632" t="inlineStr">
        <is>
          <t>All registered asset types; actual architecture/platform evidence overrides</t>
        </is>
      </c>
      <c r="D121" s="632" t="inlineStr">
        <is>
          <t>T0814</t>
        </is>
      </c>
      <c r="E121" s="632" t="inlineStr">
        <is>
          <t>Denial of Service</t>
        </is>
      </c>
      <c r="F121" s="632" t="inlineStr">
        <is>
          <t>S5</t>
        </is>
      </c>
      <c r="G121" s="632" t="inlineStr">
        <is>
          <t>Yes</t>
        </is>
      </c>
      <c r="H121" s="632" t="inlineStr">
        <is>
          <t>No explicit facility gate — defaults feasible</t>
        </is>
      </c>
      <c r="I121" s="632" t="inlineStr">
        <is>
          <t>Denial of Service is an ATT&amp;CK for ICS impact or response-inhibition technique that can support one or more governed adverse scenarios; scenario role remains controlled on 09.</t>
        </is>
      </c>
      <c r="J121" s="632" t="inlineStr">
        <is>
          <t>https://attack.mitre.org/techniques/T0814</t>
        </is>
      </c>
      <c r="K121" s="632" t="inlineStr">
        <is>
          <t>https://www.energy.gov/ceser/cybersecurity-capability-maturity-model-c2m2</t>
        </is>
      </c>
      <c r="L121" s="632" t="inlineStr">
        <is>
          <t>Working sector pack v1.0 — SME review recommended</t>
        </is>
      </c>
    </row>
    <row r="122">
      <c r="A122" s="632" t="inlineStr">
        <is>
          <t>Energy Assets|T0815</t>
        </is>
      </c>
      <c r="B122" s="632" t="inlineStr">
        <is>
          <t>Energy Assets</t>
        </is>
      </c>
      <c r="C122" s="632" t="inlineStr">
        <is>
          <t>All registered asset types; actual architecture/platform evidence overrides</t>
        </is>
      </c>
      <c r="D122" s="632" t="inlineStr">
        <is>
          <t>T0815</t>
        </is>
      </c>
      <c r="E122" s="632" t="inlineStr">
        <is>
          <t>Denial of View</t>
        </is>
      </c>
      <c r="F122" s="632" t="inlineStr">
        <is>
          <t>S5</t>
        </is>
      </c>
      <c r="G122" s="632" t="inlineStr">
        <is>
          <t>Yes</t>
        </is>
      </c>
      <c r="H122" s="632" t="inlineStr">
        <is>
          <t>No explicit facility gate — defaults feasible</t>
        </is>
      </c>
      <c r="I122" s="632" t="inlineStr">
        <is>
          <t>Denial of View is an ATT&amp;CK for ICS impact or response-inhibition technique that can support one or more governed adverse scenarios; scenario role remains controlled on 09.</t>
        </is>
      </c>
      <c r="J122" s="632" t="inlineStr">
        <is>
          <t>https://attack.mitre.org/techniques/T0815</t>
        </is>
      </c>
      <c r="K122" s="632" t="inlineStr">
        <is>
          <t>https://www.energy.gov/ceser/cybersecurity-capability-maturity-model-c2m2</t>
        </is>
      </c>
      <c r="L122" s="632" t="inlineStr">
        <is>
          <t>Working sector pack v1.0 — SME review recommended</t>
        </is>
      </c>
    </row>
    <row r="123">
      <c r="A123" s="632" t="inlineStr">
        <is>
          <t>Energy Assets|T0816</t>
        </is>
      </c>
      <c r="B123" s="632" t="inlineStr">
        <is>
          <t>Energy Assets</t>
        </is>
      </c>
      <c r="C123" s="632" t="inlineStr">
        <is>
          <t>All registered asset types; actual architecture/platform evidence overrides</t>
        </is>
      </c>
      <c r="D123" s="632" t="inlineStr">
        <is>
          <t>T0816</t>
        </is>
      </c>
      <c r="E123" s="632" t="inlineStr">
        <is>
          <t>Device Restart/Shutdown</t>
        </is>
      </c>
      <c r="F123" s="632" t="inlineStr">
        <is>
          <t>S5</t>
        </is>
      </c>
      <c r="G123" s="632" t="inlineStr">
        <is>
          <t>Yes</t>
        </is>
      </c>
      <c r="H123" s="632" t="inlineStr">
        <is>
          <t>No explicit facility gate — defaults feasible</t>
        </is>
      </c>
      <c r="I123" s="632" t="inlineStr">
        <is>
          <t>Device Restart/Shutdown is an ATT&amp;CK for ICS impact or response-inhibition technique that can support one or more governed adverse scenarios; scenario role remains controlled on 09.</t>
        </is>
      </c>
      <c r="J123" s="632" t="inlineStr">
        <is>
          <t>https://attack.mitre.org/techniques/T0816</t>
        </is>
      </c>
      <c r="K123" s="632" t="inlineStr">
        <is>
          <t>https://www.energy.gov/ceser/cybersecurity-capability-maturity-model-c2m2</t>
        </is>
      </c>
      <c r="L123" s="632" t="inlineStr">
        <is>
          <t>Working sector pack v1.0 — SME review recommended</t>
        </is>
      </c>
    </row>
    <row r="124">
      <c r="A124" s="632" t="inlineStr">
        <is>
          <t>Energy Assets|T0817</t>
        </is>
      </c>
      <c r="B124" s="632" t="inlineStr">
        <is>
          <t>Energy Assets</t>
        </is>
      </c>
      <c r="C124" s="632" t="inlineStr">
        <is>
          <t>All registered asset types; actual architecture/platform evidence overrides</t>
        </is>
      </c>
      <c r="D124" s="632" t="inlineStr">
        <is>
          <t>T0817</t>
        </is>
      </c>
      <c r="E124" s="632" t="inlineStr">
        <is>
          <t>Drive-by Compromise</t>
        </is>
      </c>
      <c r="F124" s="632" t="inlineStr">
        <is>
          <t>S1</t>
        </is>
      </c>
      <c r="G124" s="632" t="inlineStr">
        <is>
          <t>Yes</t>
        </is>
      </c>
      <c r="H124" s="632" t="inlineStr">
        <is>
          <t>No explicit facility gate — defaults feasible</t>
        </is>
      </c>
      <c r="I124" s="632" t="inlineStr">
        <is>
          <t>The Drive-by Compromise route is credible for Energy Assets OT when the enabling access condition exists; existing facility gates determine remote, internet, transient, supply-chain or wireless feasibility.</t>
        </is>
      </c>
      <c r="J124" s="632" t="inlineStr">
        <is>
          <t>https://attack.mitre.org/techniques/T0817</t>
        </is>
      </c>
      <c r="K124" s="632" t="inlineStr">
        <is>
          <t>https://www.energy.gov/ceser/cybersecurity-capability-maturity-model-c2m2</t>
        </is>
      </c>
      <c r="L124" s="632" t="inlineStr">
        <is>
          <t>Working sector pack v1.0 — SME review recommended</t>
        </is>
      </c>
    </row>
    <row r="125">
      <c r="A125" s="632" t="inlineStr">
        <is>
          <t>Energy Assets|T0819</t>
        </is>
      </c>
      <c r="B125" s="632" t="inlineStr">
        <is>
          <t>Energy Assets</t>
        </is>
      </c>
      <c r="C125" s="632" t="inlineStr">
        <is>
          <t>All registered asset types; actual architecture/platform evidence overrides</t>
        </is>
      </c>
      <c r="D125" s="632" t="inlineStr">
        <is>
          <t>T0819</t>
        </is>
      </c>
      <c r="E125" s="632" t="inlineStr">
        <is>
          <t>Exploit Public-Facing Application</t>
        </is>
      </c>
      <c r="F125" s="632" t="inlineStr">
        <is>
          <t>S1</t>
        </is>
      </c>
      <c r="G125" s="632" t="inlineStr">
        <is>
          <t>Yes</t>
        </is>
      </c>
      <c r="H125" s="632" t="inlineStr">
        <is>
          <t>No explicit facility gate — defaults feasible</t>
        </is>
      </c>
      <c r="I125" s="632" t="inlineStr">
        <is>
          <t>The Exploit Public-Facing Application route is credible for Energy Assets OT when the enabling access condition exists; existing facility gates determine remote, internet, transient, supply-chain or wireless feasibility.</t>
        </is>
      </c>
      <c r="J125" s="632" t="inlineStr">
        <is>
          <t>https://attack.mitre.org/techniques/T0819</t>
        </is>
      </c>
      <c r="K125" s="632" t="inlineStr">
        <is>
          <t>https://www.energy.gov/ceser/cybersecurity-capability-maturity-model-c2m2</t>
        </is>
      </c>
      <c r="L125" s="632" t="inlineStr">
        <is>
          <t>Working sector pack v1.0 — SME review recommended</t>
        </is>
      </c>
    </row>
    <row r="126">
      <c r="A126" s="632" t="inlineStr">
        <is>
          <t>Energy Assets|T0820</t>
        </is>
      </c>
      <c r="B126" s="632" t="inlineStr">
        <is>
          <t>Energy Assets</t>
        </is>
      </c>
      <c r="C126" s="632" t="inlineStr">
        <is>
          <t>All registered asset types; actual architecture/platform evidence overrides</t>
        </is>
      </c>
      <c r="D126" s="632" t="inlineStr">
        <is>
          <t>T0820</t>
        </is>
      </c>
      <c r="E126" s="632" t="inlineStr">
        <is>
          <t>Exploitation for Evasion</t>
        </is>
      </c>
      <c r="F126" s="632" t="inlineStr">
        <is>
          <t>S2</t>
        </is>
      </c>
      <c r="G126" s="632" t="inlineStr">
        <is>
          <t>Yes</t>
        </is>
      </c>
      <c r="H126" s="632" t="inlineStr">
        <is>
          <t>No explicit facility gate — defaults feasible</t>
        </is>
      </c>
      <c r="I126" s="632" t="inlineStr">
        <is>
          <t>Exploitation for Evasion is applicable to execution or persistence on engineering workstations, HMIs, servers or controllers used in Energy Assets facilities.</t>
        </is>
      </c>
      <c r="J126" s="632" t="inlineStr">
        <is>
          <t>https://attack.mitre.org/techniques/T0820</t>
        </is>
      </c>
      <c r="K126" s="632" t="inlineStr">
        <is>
          <t>https://www.energy.gov/ceser/cybersecurity-capability-maturity-model-c2m2</t>
        </is>
      </c>
      <c r="L126" s="632" t="inlineStr">
        <is>
          <t>Working sector pack v1.0 — SME review recommended</t>
        </is>
      </c>
    </row>
    <row r="127">
      <c r="A127" s="632" t="inlineStr">
        <is>
          <t>Energy Assets|T0821</t>
        </is>
      </c>
      <c r="B127" s="632" t="inlineStr">
        <is>
          <t>Energy Assets</t>
        </is>
      </c>
      <c r="C127" s="632" t="inlineStr">
        <is>
          <t>All registered asset types; actual architecture/platform evidence overrides</t>
        </is>
      </c>
      <c r="D127" s="632" t="inlineStr">
        <is>
          <t>T0821</t>
        </is>
      </c>
      <c r="E127" s="632" t="inlineStr">
        <is>
          <t>Modify Controller Tasking</t>
        </is>
      </c>
      <c r="F127" s="632" t="inlineStr">
        <is>
          <t>S2</t>
        </is>
      </c>
      <c r="G127" s="632" t="inlineStr">
        <is>
          <t>Yes</t>
        </is>
      </c>
      <c r="H127" s="632" t="inlineStr">
        <is>
          <t>No explicit facility gate — defaults feasible</t>
        </is>
      </c>
      <c r="I127" s="632" t="inlineStr">
        <is>
          <t>Modify Controller Tasking is applicable to execution or persistence on engineering workstations, HMIs, servers or controllers used in Energy Assets facilities.</t>
        </is>
      </c>
      <c r="J127" s="632" t="inlineStr">
        <is>
          <t>https://attack.mitre.org/techniques/T0821</t>
        </is>
      </c>
      <c r="K127" s="632" t="inlineStr">
        <is>
          <t>https://www.energy.gov/ceser/cybersecurity-capability-maturity-model-c2m2</t>
        </is>
      </c>
      <c r="L127" s="632" t="inlineStr">
        <is>
          <t>Working sector pack v1.0 — SME review recommended</t>
        </is>
      </c>
    </row>
    <row r="128">
      <c r="A128" s="632" t="inlineStr">
        <is>
          <t>Energy Assets|T0822</t>
        </is>
      </c>
      <c r="B128" s="632" t="inlineStr">
        <is>
          <t>Energy Assets</t>
        </is>
      </c>
      <c r="C128" s="632" t="inlineStr">
        <is>
          <t>All registered asset types; actual architecture/platform evidence overrides</t>
        </is>
      </c>
      <c r="D128" s="632" t="inlineStr">
        <is>
          <t>T0822</t>
        </is>
      </c>
      <c r="E128" s="632" t="inlineStr">
        <is>
          <t>External Remote Services</t>
        </is>
      </c>
      <c r="F128" s="632" t="inlineStr">
        <is>
          <t>S1</t>
        </is>
      </c>
      <c r="G128" s="632" t="inlineStr">
        <is>
          <t>Yes</t>
        </is>
      </c>
      <c r="H128" s="632" t="inlineStr">
        <is>
          <t>REMOTE_REQUIRED — Not None</t>
        </is>
      </c>
      <c r="I128" s="632" t="inlineStr">
        <is>
          <t>The External Remote Services route is credible for Energy Assets OT when the enabling access condition exists; existing facility gates determine remote, internet, transient, supply-chain or wireless feasibility.</t>
        </is>
      </c>
      <c r="J128" s="632" t="inlineStr">
        <is>
          <t>https://attack.mitre.org/techniques/T0822</t>
        </is>
      </c>
      <c r="K128" s="632" t="inlineStr">
        <is>
          <t>https://www.energy.gov/ceser/cybersecurity-capability-maturity-model-c2m2</t>
        </is>
      </c>
      <c r="L128" s="632" t="inlineStr">
        <is>
          <t>Working sector pack v1.0 — SME review recommended</t>
        </is>
      </c>
    </row>
    <row r="129">
      <c r="A129" s="632" t="inlineStr">
        <is>
          <t>Energy Assets|T0823</t>
        </is>
      </c>
      <c r="B129" s="632" t="inlineStr">
        <is>
          <t>Energy Assets</t>
        </is>
      </c>
      <c r="C129" s="632" t="inlineStr">
        <is>
          <t>All registered asset types; actual architecture/platform evidence overrides</t>
        </is>
      </c>
      <c r="D129" s="632" t="inlineStr">
        <is>
          <t>T0823</t>
        </is>
      </c>
      <c r="E129" s="632" t="inlineStr">
        <is>
          <t>Graphical User Interface</t>
        </is>
      </c>
      <c r="F129" s="632" t="inlineStr">
        <is>
          <t>S2</t>
        </is>
      </c>
      <c r="G129" s="632" t="inlineStr">
        <is>
          <t>Yes</t>
        </is>
      </c>
      <c r="H129" s="632" t="inlineStr">
        <is>
          <t>No explicit facility gate — defaults feasible</t>
        </is>
      </c>
      <c r="I129" s="632" t="inlineStr">
        <is>
          <t>Graphical User Interface is applicable to execution or persistence on engineering workstations, HMIs, servers or controllers used in Energy Assets facilities.</t>
        </is>
      </c>
      <c r="J129" s="632" t="inlineStr">
        <is>
          <t>https://attack.mitre.org/techniques/T0823</t>
        </is>
      </c>
      <c r="K129" s="632" t="inlineStr">
        <is>
          <t>https://www.energy.gov/ceser/cybersecurity-capability-maturity-model-c2m2</t>
        </is>
      </c>
      <c r="L129" s="632" t="inlineStr">
        <is>
          <t>Working sector pack v1.0 — SME review recommended</t>
        </is>
      </c>
    </row>
    <row r="130">
      <c r="A130" s="632" t="inlineStr">
        <is>
          <t>Energy Assets|T0826</t>
        </is>
      </c>
      <c r="B130" s="632" t="inlineStr">
        <is>
          <t>Energy Assets</t>
        </is>
      </c>
      <c r="C130" s="632" t="inlineStr">
        <is>
          <t>All registered asset types; actual architecture/platform evidence overrides</t>
        </is>
      </c>
      <c r="D130" s="632" t="inlineStr">
        <is>
          <t>T0826</t>
        </is>
      </c>
      <c r="E130" s="632" t="inlineStr">
        <is>
          <t>Loss of Availability</t>
        </is>
      </c>
      <c r="F130" s="632" t="inlineStr">
        <is>
          <t>S5</t>
        </is>
      </c>
      <c r="G130" s="632" t="inlineStr">
        <is>
          <t>Yes</t>
        </is>
      </c>
      <c r="H130" s="632" t="inlineStr">
        <is>
          <t>No explicit facility gate — defaults feasible</t>
        </is>
      </c>
      <c r="I130" s="632" t="inlineStr">
        <is>
          <t>Loss of Availability is an ATT&amp;CK for ICS impact or response-inhibition technique that can support one or more governed adverse scenarios; scenario role remains controlled on 09.</t>
        </is>
      </c>
      <c r="J130" s="632" t="inlineStr">
        <is>
          <t>https://attack.mitre.org/techniques/T0826</t>
        </is>
      </c>
      <c r="K130" s="632" t="inlineStr">
        <is>
          <t>https://www.energy.gov/ceser/cybersecurity-capability-maturity-model-c2m2</t>
        </is>
      </c>
      <c r="L130" s="632" t="inlineStr">
        <is>
          <t>Working sector pack v1.0 — SME review recommended</t>
        </is>
      </c>
    </row>
    <row r="131">
      <c r="A131" s="632" t="inlineStr">
        <is>
          <t>Energy Assets|T0827</t>
        </is>
      </c>
      <c r="B131" s="632" t="inlineStr">
        <is>
          <t>Energy Assets</t>
        </is>
      </c>
      <c r="C131" s="632" t="inlineStr">
        <is>
          <t>All registered asset types; actual architecture/platform evidence overrides</t>
        </is>
      </c>
      <c r="D131" s="632" t="inlineStr">
        <is>
          <t>T0827</t>
        </is>
      </c>
      <c r="E131" s="632" t="inlineStr">
        <is>
          <t>Loss of Control</t>
        </is>
      </c>
      <c r="F131" s="632" t="inlineStr">
        <is>
          <t>S5</t>
        </is>
      </c>
      <c r="G131" s="632" t="inlineStr">
        <is>
          <t>Yes</t>
        </is>
      </c>
      <c r="H131" s="632" t="inlineStr">
        <is>
          <t>No explicit facility gate — defaults feasible</t>
        </is>
      </c>
      <c r="I131" s="632" t="inlineStr">
        <is>
          <t>Loss of Control is an ATT&amp;CK for ICS impact or response-inhibition technique that can support one or more governed adverse scenarios; scenario role remains controlled on 09.</t>
        </is>
      </c>
      <c r="J131" s="632" t="inlineStr">
        <is>
          <t>https://attack.mitre.org/techniques/T0827</t>
        </is>
      </c>
      <c r="K131" s="632" t="inlineStr">
        <is>
          <t>https://www.energy.gov/ceser/cybersecurity-capability-maturity-model-c2m2</t>
        </is>
      </c>
      <c r="L131" s="632" t="inlineStr">
        <is>
          <t>Working sector pack v1.0 — SME review recommended</t>
        </is>
      </c>
    </row>
    <row r="132">
      <c r="A132" s="632" t="inlineStr">
        <is>
          <t>Energy Assets|T0828</t>
        </is>
      </c>
      <c r="B132" s="632" t="inlineStr">
        <is>
          <t>Energy Assets</t>
        </is>
      </c>
      <c r="C132" s="632" t="inlineStr">
        <is>
          <t>All registered asset types; actual architecture/platform evidence overrides</t>
        </is>
      </c>
      <c r="D132" s="632" t="inlineStr">
        <is>
          <t>T0828</t>
        </is>
      </c>
      <c r="E132" s="632" t="inlineStr">
        <is>
          <t>Loss of Productivity and Revenue</t>
        </is>
      </c>
      <c r="F132" s="632" t="inlineStr">
        <is>
          <t>S5</t>
        </is>
      </c>
      <c r="G132" s="632" t="inlineStr">
        <is>
          <t>Yes</t>
        </is>
      </c>
      <c r="H132" s="632" t="inlineStr">
        <is>
          <t>No explicit facility gate — defaults feasible</t>
        </is>
      </c>
      <c r="I132" s="632" t="inlineStr">
        <is>
          <t>Loss of Productivity and Revenue is an ATT&amp;CK for ICS impact or response-inhibition technique that can support one or more governed adverse scenarios; scenario role remains controlled on 09.</t>
        </is>
      </c>
      <c r="J132" s="632" t="inlineStr">
        <is>
          <t>https://attack.mitre.org/techniques/T0828</t>
        </is>
      </c>
      <c r="K132" s="632" t="inlineStr">
        <is>
          <t>https://www.energy.gov/ceser/cybersecurity-capability-maturity-model-c2m2</t>
        </is>
      </c>
      <c r="L132" s="632" t="inlineStr">
        <is>
          <t>Working sector pack v1.0 — SME review recommended</t>
        </is>
      </c>
    </row>
    <row r="133">
      <c r="A133" s="632" t="inlineStr">
        <is>
          <t>Energy Assets|T0829</t>
        </is>
      </c>
      <c r="B133" s="632" t="inlineStr">
        <is>
          <t>Energy Assets</t>
        </is>
      </c>
      <c r="C133" s="632" t="inlineStr">
        <is>
          <t>All registered asset types; actual architecture/platform evidence overrides</t>
        </is>
      </c>
      <c r="D133" s="632" t="inlineStr">
        <is>
          <t>T0829</t>
        </is>
      </c>
      <c r="E133" s="632" t="inlineStr">
        <is>
          <t>Loss of View</t>
        </is>
      </c>
      <c r="F133" s="632" t="inlineStr">
        <is>
          <t>S5</t>
        </is>
      </c>
      <c r="G133" s="632" t="inlineStr">
        <is>
          <t>Yes</t>
        </is>
      </c>
      <c r="H133" s="632" t="inlineStr">
        <is>
          <t>No explicit facility gate — defaults feasible</t>
        </is>
      </c>
      <c r="I133" s="632" t="inlineStr">
        <is>
          <t>Loss of View is an ATT&amp;CK for ICS impact or response-inhibition technique that can support one or more governed adverse scenarios; scenario role remains controlled on 09.</t>
        </is>
      </c>
      <c r="J133" s="632" t="inlineStr">
        <is>
          <t>https://attack.mitre.org/techniques/T0829</t>
        </is>
      </c>
      <c r="K133" s="632" t="inlineStr">
        <is>
          <t>https://www.energy.gov/ceser/cybersecurity-capability-maturity-model-c2m2</t>
        </is>
      </c>
      <c r="L133" s="632" t="inlineStr">
        <is>
          <t>Working sector pack v1.0 — SME review recommended</t>
        </is>
      </c>
    </row>
    <row r="134">
      <c r="A134" s="632" t="inlineStr">
        <is>
          <t>Energy Assets|T0830</t>
        </is>
      </c>
      <c r="B134" s="632" t="inlineStr">
        <is>
          <t>Energy Assets</t>
        </is>
      </c>
      <c r="C134" s="632" t="inlineStr">
        <is>
          <t>All registered asset types; actual architecture/platform evidence overrides</t>
        </is>
      </c>
      <c r="D134" s="632" t="inlineStr">
        <is>
          <t>T0830</t>
        </is>
      </c>
      <c r="E134" s="632" t="inlineStr">
        <is>
          <t>Adversary-in-the-Middle</t>
        </is>
      </c>
      <c r="F134" s="632" t="inlineStr">
        <is>
          <t>S4</t>
        </is>
      </c>
      <c r="G134" s="632" t="inlineStr">
        <is>
          <t>Yes</t>
        </is>
      </c>
      <c r="H134" s="632" t="inlineStr">
        <is>
          <t>No explicit facility gate — defaults feasible</t>
        </is>
      </c>
      <c r="I134" s="632" t="inlineStr">
        <is>
          <t>Adversary-in-the-Middle can support discovery or interaction with process state, control assets and operational data in Energy Assets environments.</t>
        </is>
      </c>
      <c r="J134" s="632" t="inlineStr">
        <is>
          <t>https://attack.mitre.org/techniques/T0830</t>
        </is>
      </c>
      <c r="K134" s="632" t="inlineStr">
        <is>
          <t>https://www.energy.gov/ceser/cybersecurity-capability-maturity-model-c2m2</t>
        </is>
      </c>
      <c r="L134" s="632" t="inlineStr">
        <is>
          <t>Working sector pack v1.0 — SME review recommended</t>
        </is>
      </c>
    </row>
    <row r="135">
      <c r="A135" s="632" t="inlineStr">
        <is>
          <t>Energy Assets|T0831</t>
        </is>
      </c>
      <c r="B135" s="632" t="inlineStr">
        <is>
          <t>Energy Assets</t>
        </is>
      </c>
      <c r="C135" s="632" t="inlineStr">
        <is>
          <t>All registered asset types; actual architecture/platform evidence overrides</t>
        </is>
      </c>
      <c r="D135" s="632" t="inlineStr">
        <is>
          <t>T0831</t>
        </is>
      </c>
      <c r="E135" s="632" t="inlineStr">
        <is>
          <t>Manipulation of Control</t>
        </is>
      </c>
      <c r="F135" s="632" t="inlineStr">
        <is>
          <t>S5</t>
        </is>
      </c>
      <c r="G135" s="632" t="inlineStr">
        <is>
          <t>Yes</t>
        </is>
      </c>
      <c r="H135" s="632" t="inlineStr">
        <is>
          <t>No explicit facility gate — defaults feasible</t>
        </is>
      </c>
      <c r="I135" s="632" t="inlineStr">
        <is>
          <t>Manipulation of Control is an ATT&amp;CK for ICS impact or response-inhibition technique that can support one or more governed adverse scenarios; scenario role remains controlled on 09.</t>
        </is>
      </c>
      <c r="J135" s="632" t="inlineStr">
        <is>
          <t>https://attack.mitre.org/techniques/T0831</t>
        </is>
      </c>
      <c r="K135" s="632" t="inlineStr">
        <is>
          <t>https://www.energy.gov/ceser/cybersecurity-capability-maturity-model-c2m2</t>
        </is>
      </c>
      <c r="L135" s="632" t="inlineStr">
        <is>
          <t>Working sector pack v1.0 — SME review recommended</t>
        </is>
      </c>
    </row>
    <row r="136">
      <c r="A136" s="632" t="inlineStr">
        <is>
          <t>Energy Assets|T0832</t>
        </is>
      </c>
      <c r="B136" s="632" t="inlineStr">
        <is>
          <t>Energy Assets</t>
        </is>
      </c>
      <c r="C136" s="632" t="inlineStr">
        <is>
          <t>All registered asset types; actual architecture/platform evidence overrides</t>
        </is>
      </c>
      <c r="D136" s="632" t="inlineStr">
        <is>
          <t>T0832</t>
        </is>
      </c>
      <c r="E136" s="632" t="inlineStr">
        <is>
          <t>Manipulation of View</t>
        </is>
      </c>
      <c r="F136" s="632" t="inlineStr">
        <is>
          <t>S5</t>
        </is>
      </c>
      <c r="G136" s="632" t="inlineStr">
        <is>
          <t>Yes</t>
        </is>
      </c>
      <c r="H136" s="632" t="inlineStr">
        <is>
          <t>No explicit facility gate — defaults feasible</t>
        </is>
      </c>
      <c r="I136" s="632" t="inlineStr">
        <is>
          <t>Manipulation of View is an ATT&amp;CK for ICS impact or response-inhibition technique that can support one or more governed adverse scenarios; scenario role remains controlled on 09.</t>
        </is>
      </c>
      <c r="J136" s="632" t="inlineStr">
        <is>
          <t>https://attack.mitre.org/techniques/T0832</t>
        </is>
      </c>
      <c r="K136" s="632" t="inlineStr">
        <is>
          <t>https://www.energy.gov/ceser/cybersecurity-capability-maturity-model-c2m2</t>
        </is>
      </c>
      <c r="L136" s="632" t="inlineStr">
        <is>
          <t>Working sector pack v1.0 — SME review recommended</t>
        </is>
      </c>
    </row>
    <row r="137">
      <c r="A137" s="632" t="inlineStr">
        <is>
          <t>Energy Assets|T0834</t>
        </is>
      </c>
      <c r="B137" s="632" t="inlineStr">
        <is>
          <t>Energy Assets</t>
        </is>
      </c>
      <c r="C137" s="632" t="inlineStr">
        <is>
          <t>All registered asset types; actual architecture/platform evidence overrides</t>
        </is>
      </c>
      <c r="D137" s="632" t="inlineStr">
        <is>
          <t>T0834</t>
        </is>
      </c>
      <c r="E137" s="632" t="inlineStr">
        <is>
          <t>Native API</t>
        </is>
      </c>
      <c r="F137" s="632" t="inlineStr">
        <is>
          <t>S2</t>
        </is>
      </c>
      <c r="G137" s="632" t="inlineStr">
        <is>
          <t>Yes</t>
        </is>
      </c>
      <c r="H137" s="632" t="inlineStr">
        <is>
          <t>No explicit facility gate — defaults feasible</t>
        </is>
      </c>
      <c r="I137" s="632" t="inlineStr">
        <is>
          <t>Native API is applicable to execution or persistence on engineering workstations, HMIs, servers or controllers used in Energy Assets facilities.</t>
        </is>
      </c>
      <c r="J137" s="632" t="inlineStr">
        <is>
          <t>https://attack.mitre.org/techniques/T0834</t>
        </is>
      </c>
      <c r="K137" s="632" t="inlineStr">
        <is>
          <t>https://www.energy.gov/ceser/cybersecurity-capability-maturity-model-c2m2</t>
        </is>
      </c>
      <c r="L137" s="632" t="inlineStr">
        <is>
          <t>Working sector pack v1.0 — SME review recommended</t>
        </is>
      </c>
    </row>
    <row r="138">
      <c r="A138" s="632" t="inlineStr">
        <is>
          <t>Energy Assets|T0835</t>
        </is>
      </c>
      <c r="B138" s="632" t="inlineStr">
        <is>
          <t>Energy Assets</t>
        </is>
      </c>
      <c r="C138" s="632" t="inlineStr">
        <is>
          <t>All registered asset types; actual architecture/platform evidence overrides</t>
        </is>
      </c>
      <c r="D138" s="632" t="inlineStr">
        <is>
          <t>T0835</t>
        </is>
      </c>
      <c r="E138" s="632" t="inlineStr">
        <is>
          <t>Manipulate I/O Image</t>
        </is>
      </c>
      <c r="F138" s="632" t="inlineStr">
        <is>
          <t>S5</t>
        </is>
      </c>
      <c r="G138" s="632" t="inlineStr">
        <is>
          <t>Yes</t>
        </is>
      </c>
      <c r="H138" s="632" t="inlineStr">
        <is>
          <t>No explicit facility gate — defaults feasible</t>
        </is>
      </c>
      <c r="I138" s="632" t="inlineStr">
        <is>
          <t>Manipulate I/O Image is an ATT&amp;CK for ICS impact or response-inhibition technique that can support one or more governed adverse scenarios; scenario role remains controlled on 09.</t>
        </is>
      </c>
      <c r="J138" s="632" t="inlineStr">
        <is>
          <t>https://attack.mitre.org/techniques/T0835</t>
        </is>
      </c>
      <c r="K138" s="632" t="inlineStr">
        <is>
          <t>https://www.energy.gov/ceser/cybersecurity-capability-maturity-model-c2m2</t>
        </is>
      </c>
      <c r="L138" s="632" t="inlineStr">
        <is>
          <t>Working sector pack v1.0 — SME review recommended</t>
        </is>
      </c>
    </row>
    <row r="139">
      <c r="A139" s="632" t="inlineStr">
        <is>
          <t>Energy Assets|T0836</t>
        </is>
      </c>
      <c r="B139" s="632" t="inlineStr">
        <is>
          <t>Energy Assets</t>
        </is>
      </c>
      <c r="C139" s="632" t="inlineStr">
        <is>
          <t>All registered asset types; actual architecture/platform evidence overrides</t>
        </is>
      </c>
      <c r="D139" s="632" t="inlineStr">
        <is>
          <t>T0836</t>
        </is>
      </c>
      <c r="E139" s="632" t="inlineStr">
        <is>
          <t>Modify Parameter</t>
        </is>
      </c>
      <c r="F139" s="632" t="inlineStr">
        <is>
          <t>S5</t>
        </is>
      </c>
      <c r="G139" s="632" t="inlineStr">
        <is>
          <t>Yes</t>
        </is>
      </c>
      <c r="H139" s="632" t="inlineStr">
        <is>
          <t>No explicit facility gate — defaults feasible</t>
        </is>
      </c>
      <c r="I139" s="632" t="inlineStr">
        <is>
          <t>Modify Parameter is an ATT&amp;CK for ICS impact or response-inhibition technique that can support one or more governed adverse scenarios; scenario role remains controlled on 09.</t>
        </is>
      </c>
      <c r="J139" s="632" t="inlineStr">
        <is>
          <t>https://attack.mitre.org/techniques/T0836</t>
        </is>
      </c>
      <c r="K139" s="632" t="inlineStr">
        <is>
          <t>https://www.energy.gov/ceser/cybersecurity-capability-maturity-model-c2m2</t>
        </is>
      </c>
      <c r="L139" s="632" t="inlineStr">
        <is>
          <t>Working sector pack v1.0 — SME review recommended</t>
        </is>
      </c>
    </row>
    <row r="140">
      <c r="A140" s="632" t="inlineStr">
        <is>
          <t>Energy Assets|T0837</t>
        </is>
      </c>
      <c r="B140" s="632" t="inlineStr">
        <is>
          <t>Energy Assets</t>
        </is>
      </c>
      <c r="C140" s="632" t="inlineStr">
        <is>
          <t>All registered asset types; actual architecture/platform evidence overrides</t>
        </is>
      </c>
      <c r="D140" s="632" t="inlineStr">
        <is>
          <t>T0837</t>
        </is>
      </c>
      <c r="E140" s="632" t="inlineStr">
        <is>
          <t>Loss of Protection</t>
        </is>
      </c>
      <c r="F140" s="632" t="inlineStr">
        <is>
          <t>S5</t>
        </is>
      </c>
      <c r="G140" s="632" t="inlineStr">
        <is>
          <t>Yes</t>
        </is>
      </c>
      <c r="H140" s="632" t="inlineStr">
        <is>
          <t>No explicit facility gate — defaults feasible</t>
        </is>
      </c>
      <c r="I140" s="632" t="inlineStr">
        <is>
          <t>Loss of Protection is an ATT&amp;CK for ICS impact or response-inhibition technique that can support one or more governed adverse scenarios; scenario role remains controlled on 09.</t>
        </is>
      </c>
      <c r="J140" s="632" t="inlineStr">
        <is>
          <t>https://attack.mitre.org/techniques/T0837</t>
        </is>
      </c>
      <c r="K140" s="632" t="inlineStr">
        <is>
          <t>https://www.energy.gov/ceser/cybersecurity-capability-maturity-model-c2m2</t>
        </is>
      </c>
      <c r="L140" s="632" t="inlineStr">
        <is>
          <t>Working sector pack v1.0 — SME review recommended</t>
        </is>
      </c>
    </row>
    <row r="141">
      <c r="A141" s="632" t="inlineStr">
        <is>
          <t>Energy Assets|T0838</t>
        </is>
      </c>
      <c r="B141" s="632" t="inlineStr">
        <is>
          <t>Energy Assets</t>
        </is>
      </c>
      <c r="C141" s="632" t="inlineStr">
        <is>
          <t>All registered asset types; actual architecture/platform evidence overrides</t>
        </is>
      </c>
      <c r="D141" s="632" t="inlineStr">
        <is>
          <t>T0838</t>
        </is>
      </c>
      <c r="E141" s="632" t="inlineStr">
        <is>
          <t>Modify Alarm Settings</t>
        </is>
      </c>
      <c r="F141" s="632" t="inlineStr">
        <is>
          <t>S5</t>
        </is>
      </c>
      <c r="G141" s="632" t="inlineStr">
        <is>
          <t>Yes</t>
        </is>
      </c>
      <c r="H141" s="632" t="inlineStr">
        <is>
          <t>No explicit facility gate — defaults feasible</t>
        </is>
      </c>
      <c r="I141" s="632" t="inlineStr">
        <is>
          <t>Modify Alarm Settings is an ATT&amp;CK for ICS impact or response-inhibition technique that can support one or more governed adverse scenarios; scenario role remains controlled on 09.</t>
        </is>
      </c>
      <c r="J141" s="632" t="inlineStr">
        <is>
          <t>https://attack.mitre.org/techniques/T0838</t>
        </is>
      </c>
      <c r="K141" s="632" t="inlineStr">
        <is>
          <t>https://www.energy.gov/ceser/cybersecurity-capability-maturity-model-c2m2</t>
        </is>
      </c>
      <c r="L141" s="632" t="inlineStr">
        <is>
          <t>Working sector pack v1.0 — SME review recommended</t>
        </is>
      </c>
    </row>
    <row r="142">
      <c r="A142" s="632" t="inlineStr">
        <is>
          <t>Energy Assets|T0840</t>
        </is>
      </c>
      <c r="B142" s="632" t="inlineStr">
        <is>
          <t>Energy Assets</t>
        </is>
      </c>
      <c r="C142" s="632" t="inlineStr">
        <is>
          <t>All registered asset types; actual architecture/platform evidence overrides</t>
        </is>
      </c>
      <c r="D142" s="632" t="inlineStr">
        <is>
          <t>T0840</t>
        </is>
      </c>
      <c r="E142" s="632" t="inlineStr">
        <is>
          <t>Network Connection Enumeration</t>
        </is>
      </c>
      <c r="F142" s="632" t="inlineStr">
        <is>
          <t>S4</t>
        </is>
      </c>
      <c r="G142" s="632" t="inlineStr">
        <is>
          <t>Yes</t>
        </is>
      </c>
      <c r="H142" s="632" t="inlineStr">
        <is>
          <t>No explicit facility gate — defaults feasible</t>
        </is>
      </c>
      <c r="I142" s="632" t="inlineStr">
        <is>
          <t>Network Connection Enumeration can support discovery or interaction with process state, control assets and operational data in Energy Assets environments.</t>
        </is>
      </c>
      <c r="J142" s="632" t="inlineStr">
        <is>
          <t>https://attack.mitre.org/techniques/T0840</t>
        </is>
      </c>
      <c r="K142" s="632" t="inlineStr">
        <is>
          <t>https://www.energy.gov/ceser/cybersecurity-capability-maturity-model-c2m2</t>
        </is>
      </c>
      <c r="L142" s="632" t="inlineStr">
        <is>
          <t>Working sector pack v1.0 — SME review recommended</t>
        </is>
      </c>
    </row>
    <row r="143">
      <c r="A143" s="632" t="inlineStr">
        <is>
          <t>Energy Assets|T0842</t>
        </is>
      </c>
      <c r="B143" s="632" t="inlineStr">
        <is>
          <t>Energy Assets</t>
        </is>
      </c>
      <c r="C143" s="632" t="inlineStr">
        <is>
          <t>All registered asset types; actual architecture/platform evidence overrides</t>
        </is>
      </c>
      <c r="D143" s="632" t="inlineStr">
        <is>
          <t>T0842</t>
        </is>
      </c>
      <c r="E143" s="632" t="inlineStr">
        <is>
          <t>Network Sniffing</t>
        </is>
      </c>
      <c r="F143" s="632" t="inlineStr">
        <is>
          <t>S4</t>
        </is>
      </c>
      <c r="G143" s="632" t="inlineStr">
        <is>
          <t>Yes</t>
        </is>
      </c>
      <c r="H143" s="632" t="inlineStr">
        <is>
          <t>No explicit facility gate — defaults feasible</t>
        </is>
      </c>
      <c r="I143" s="632" t="inlineStr">
        <is>
          <t>Network Sniffing can support discovery or interaction with process state, control assets and operational data in Energy Assets environments.</t>
        </is>
      </c>
      <c r="J143" s="632" t="inlineStr">
        <is>
          <t>https://attack.mitre.org/techniques/T0842</t>
        </is>
      </c>
      <c r="K143" s="632" t="inlineStr">
        <is>
          <t>https://www.energy.gov/ceser/cybersecurity-capability-maturity-model-c2m2</t>
        </is>
      </c>
      <c r="L143" s="632" t="inlineStr">
        <is>
          <t>Working sector pack v1.0 — SME review recommended</t>
        </is>
      </c>
    </row>
    <row r="144">
      <c r="A144" s="632" t="inlineStr">
        <is>
          <t>Energy Assets|T0843</t>
        </is>
      </c>
      <c r="B144" s="632" t="inlineStr">
        <is>
          <t>Energy Assets</t>
        </is>
      </c>
      <c r="C144" s="632" t="inlineStr">
        <is>
          <t>All registered asset types; actual architecture/platform evidence overrides</t>
        </is>
      </c>
      <c r="D144" s="632" t="inlineStr">
        <is>
          <t>T0843</t>
        </is>
      </c>
      <c r="E144" s="632" t="inlineStr">
        <is>
          <t>Program Download</t>
        </is>
      </c>
      <c r="F144" s="632" t="inlineStr">
        <is>
          <t>S3</t>
        </is>
      </c>
      <c r="G144" s="632" t="inlineStr">
        <is>
          <t>Yes</t>
        </is>
      </c>
      <c r="H144" s="632" t="inlineStr">
        <is>
          <t>No explicit facility gate — defaults feasible</t>
        </is>
      </c>
      <c r="I144" s="632" t="inlineStr">
        <is>
          <t>Program Download can support movement toward or within plant/control zones; actual reachability is governed by the assessed facility architecture.</t>
        </is>
      </c>
      <c r="J144" s="632" t="inlineStr">
        <is>
          <t>https://attack.mitre.org/techniques/T0843</t>
        </is>
      </c>
      <c r="K144" s="632" t="inlineStr">
        <is>
          <t>https://www.energy.gov/ceser/cybersecurity-capability-maturity-model-c2m2</t>
        </is>
      </c>
      <c r="L144" s="632" t="inlineStr">
        <is>
          <t>Working sector pack v1.0 — SME review recommended</t>
        </is>
      </c>
    </row>
    <row r="145">
      <c r="A145" s="632" t="inlineStr">
        <is>
          <t>Energy Assets|T0843.001</t>
        </is>
      </c>
      <c r="B145" s="632" t="inlineStr">
        <is>
          <t>Energy Assets</t>
        </is>
      </c>
      <c r="C145" s="632" t="inlineStr">
        <is>
          <t>All registered asset types; actual architecture/platform evidence overrides</t>
        </is>
      </c>
      <c r="D145" s="632" t="inlineStr">
        <is>
          <t>T0843.001</t>
        </is>
      </c>
      <c r="E145" s="632" t="inlineStr">
        <is>
          <t>Download All</t>
        </is>
      </c>
      <c r="F145" s="632" t="inlineStr">
        <is>
          <t>S3</t>
        </is>
      </c>
      <c r="G145" s="632" t="inlineStr">
        <is>
          <t>Yes</t>
        </is>
      </c>
      <c r="H145" s="632" t="inlineStr">
        <is>
          <t>No explicit facility gate — defaults feasible</t>
        </is>
      </c>
      <c r="I145" s="632" t="inlineStr">
        <is>
          <t>Download All can support movement toward or within plant/control zones; actual reachability is governed by the assessed facility architecture.</t>
        </is>
      </c>
      <c r="J145" s="632" t="inlineStr">
        <is>
          <t>https://attack.mitre.org/techniques/T0843/001</t>
        </is>
      </c>
      <c r="K145" s="632" t="inlineStr">
        <is>
          <t>https://www.energy.gov/ceser/cybersecurity-capability-maturity-model-c2m2</t>
        </is>
      </c>
      <c r="L145" s="632" t="inlineStr">
        <is>
          <t>Working sector pack v1.0 — SME review recommended</t>
        </is>
      </c>
    </row>
    <row r="146">
      <c r="A146" s="632" t="inlineStr">
        <is>
          <t>Energy Assets|T0843.002</t>
        </is>
      </c>
      <c r="B146" s="632" t="inlineStr">
        <is>
          <t>Energy Assets</t>
        </is>
      </c>
      <c r="C146" s="632" t="inlineStr">
        <is>
          <t>All registered asset types; actual architecture/platform evidence overrides</t>
        </is>
      </c>
      <c r="D146" s="632" t="inlineStr">
        <is>
          <t>T0843.002</t>
        </is>
      </c>
      <c r="E146" s="632" t="inlineStr">
        <is>
          <t>Online Edit</t>
        </is>
      </c>
      <c r="F146" s="632" t="inlineStr">
        <is>
          <t>S3</t>
        </is>
      </c>
      <c r="G146" s="632" t="inlineStr">
        <is>
          <t>Yes</t>
        </is>
      </c>
      <c r="H146" s="632" t="inlineStr">
        <is>
          <t>No explicit facility gate — defaults feasible</t>
        </is>
      </c>
      <c r="I146" s="632" t="inlineStr">
        <is>
          <t>Online Edit can support movement toward or within plant/control zones; actual reachability is governed by the assessed facility architecture.</t>
        </is>
      </c>
      <c r="J146" s="632" t="inlineStr">
        <is>
          <t>https://attack.mitre.org/techniques/T0843/002</t>
        </is>
      </c>
      <c r="K146" s="632" t="inlineStr">
        <is>
          <t>https://www.energy.gov/ceser/cybersecurity-capability-maturity-model-c2m2</t>
        </is>
      </c>
      <c r="L146" s="632" t="inlineStr">
        <is>
          <t>Working sector pack v1.0 — SME review recommended</t>
        </is>
      </c>
    </row>
    <row r="147">
      <c r="A147" s="632" t="inlineStr">
        <is>
          <t>Energy Assets|T0843.003</t>
        </is>
      </c>
      <c r="B147" s="632" t="inlineStr">
        <is>
          <t>Energy Assets</t>
        </is>
      </c>
      <c r="C147" s="632" t="inlineStr">
        <is>
          <t>All registered asset types; actual architecture/platform evidence overrides</t>
        </is>
      </c>
      <c r="D147" s="632" t="inlineStr">
        <is>
          <t>T0843.003</t>
        </is>
      </c>
      <c r="E147" s="632" t="inlineStr">
        <is>
          <t>Program Append</t>
        </is>
      </c>
      <c r="F147" s="632" t="inlineStr">
        <is>
          <t>S3</t>
        </is>
      </c>
      <c r="G147" s="632" t="inlineStr">
        <is>
          <t>Yes</t>
        </is>
      </c>
      <c r="H147" s="632" t="inlineStr">
        <is>
          <t>No explicit facility gate — defaults feasible</t>
        </is>
      </c>
      <c r="I147" s="632" t="inlineStr">
        <is>
          <t>Program Append can support movement toward or within plant/control zones; actual reachability is governed by the assessed facility architecture.</t>
        </is>
      </c>
      <c r="J147" s="632" t="inlineStr">
        <is>
          <t>https://attack.mitre.org/techniques/T0843/003</t>
        </is>
      </c>
      <c r="K147" s="632" t="inlineStr">
        <is>
          <t>https://www.energy.gov/ceser/cybersecurity-capability-maturity-model-c2m2</t>
        </is>
      </c>
      <c r="L147" s="632" t="inlineStr">
        <is>
          <t>Working sector pack v1.0 — SME review recommended</t>
        </is>
      </c>
    </row>
    <row r="148">
      <c r="A148" s="632" t="inlineStr">
        <is>
          <t>Energy Assets|T0845</t>
        </is>
      </c>
      <c r="B148" s="632" t="inlineStr">
        <is>
          <t>Energy Assets</t>
        </is>
      </c>
      <c r="C148" s="632" t="inlineStr">
        <is>
          <t>All registered asset types; actual architecture/platform evidence overrides</t>
        </is>
      </c>
      <c r="D148" s="632" t="inlineStr">
        <is>
          <t>T0845</t>
        </is>
      </c>
      <c r="E148" s="632" t="inlineStr">
        <is>
          <t>Program Upload</t>
        </is>
      </c>
      <c r="F148" s="632" t="inlineStr">
        <is>
          <t>S4</t>
        </is>
      </c>
      <c r="G148" s="632" t="inlineStr">
        <is>
          <t>Yes</t>
        </is>
      </c>
      <c r="H148" s="632" t="inlineStr">
        <is>
          <t>No explicit facility gate — defaults feasible</t>
        </is>
      </c>
      <c r="I148" s="632" t="inlineStr">
        <is>
          <t>Program Upload can support discovery or interaction with process state, control assets and operational data in Energy Assets environments.</t>
        </is>
      </c>
      <c r="J148" s="632" t="inlineStr">
        <is>
          <t>https://attack.mitre.org/techniques/T0845</t>
        </is>
      </c>
      <c r="K148" s="632" t="inlineStr">
        <is>
          <t>https://www.energy.gov/ceser/cybersecurity-capability-maturity-model-c2m2</t>
        </is>
      </c>
      <c r="L148" s="632" t="inlineStr">
        <is>
          <t>Working sector pack v1.0 — SME review recommended</t>
        </is>
      </c>
    </row>
    <row r="149">
      <c r="A149" s="632" t="inlineStr">
        <is>
          <t>Energy Assets|T0846</t>
        </is>
      </c>
      <c r="B149" s="632" t="inlineStr">
        <is>
          <t>Energy Assets</t>
        </is>
      </c>
      <c r="C149" s="632" t="inlineStr">
        <is>
          <t>All registered asset types; actual architecture/platform evidence overrides</t>
        </is>
      </c>
      <c r="D149" s="632" t="inlineStr">
        <is>
          <t>T0846</t>
        </is>
      </c>
      <c r="E149" s="632" t="inlineStr">
        <is>
          <t>Remote System Discovery</t>
        </is>
      </c>
      <c r="F149" s="632" t="inlineStr">
        <is>
          <t>S4</t>
        </is>
      </c>
      <c r="G149" s="632" t="inlineStr">
        <is>
          <t>Yes</t>
        </is>
      </c>
      <c r="H149" s="632" t="inlineStr">
        <is>
          <t>No explicit facility gate — defaults feasible</t>
        </is>
      </c>
      <c r="I149" s="632" t="inlineStr">
        <is>
          <t>Remote System Discovery can support discovery or interaction with process state, control assets and operational data in Energy Assets environments.</t>
        </is>
      </c>
      <c r="J149" s="632" t="inlineStr">
        <is>
          <t>https://attack.mitre.org/techniques/T0846</t>
        </is>
      </c>
      <c r="K149" s="632" t="inlineStr">
        <is>
          <t>https://www.energy.gov/ceser/cybersecurity-capability-maturity-model-c2m2</t>
        </is>
      </c>
      <c r="L149" s="632" t="inlineStr">
        <is>
          <t>Working sector pack v1.0 — SME review recommended</t>
        </is>
      </c>
    </row>
    <row r="150">
      <c r="A150" s="632" t="inlineStr">
        <is>
          <t>Energy Assets|T0846.001</t>
        </is>
      </c>
      <c r="B150" s="632" t="inlineStr">
        <is>
          <t>Energy Assets</t>
        </is>
      </c>
      <c r="C150" s="632" t="inlineStr">
        <is>
          <t>All registered asset types; actual architecture/platform evidence overrides</t>
        </is>
      </c>
      <c r="D150" s="632" t="inlineStr">
        <is>
          <t>T0846.001</t>
        </is>
      </c>
      <c r="E150" s="632" t="inlineStr">
        <is>
          <t>Port Scan</t>
        </is>
      </c>
      <c r="F150" s="632" t="inlineStr">
        <is>
          <t>S4</t>
        </is>
      </c>
      <c r="G150" s="632" t="inlineStr">
        <is>
          <t>Yes</t>
        </is>
      </c>
      <c r="H150" s="632" t="inlineStr">
        <is>
          <t>No explicit facility gate — defaults feasible</t>
        </is>
      </c>
      <c r="I150" s="632" t="inlineStr">
        <is>
          <t>Port Scan can support discovery or interaction with process state, control assets and operational data in Energy Assets environments.</t>
        </is>
      </c>
      <c r="J150" s="632" t="inlineStr">
        <is>
          <t>https://attack.mitre.org/techniques/T0846/001</t>
        </is>
      </c>
      <c r="K150" s="632" t="inlineStr">
        <is>
          <t>https://www.energy.gov/ceser/cybersecurity-capability-maturity-model-c2m2</t>
        </is>
      </c>
      <c r="L150" s="632" t="inlineStr">
        <is>
          <t>Working sector pack v1.0 — SME review recommended</t>
        </is>
      </c>
    </row>
    <row r="151">
      <c r="A151" s="632" t="inlineStr">
        <is>
          <t>Energy Assets|T0846.002</t>
        </is>
      </c>
      <c r="B151" s="632" t="inlineStr">
        <is>
          <t>Energy Assets</t>
        </is>
      </c>
      <c r="C151" s="632" t="inlineStr">
        <is>
          <t>All registered asset types; actual architecture/platform evidence overrides</t>
        </is>
      </c>
      <c r="D151" s="632" t="inlineStr">
        <is>
          <t>T0846.002</t>
        </is>
      </c>
      <c r="E151" s="632" t="inlineStr">
        <is>
          <t>Broadcast Discovery</t>
        </is>
      </c>
      <c r="F151" s="632" t="inlineStr">
        <is>
          <t>S4</t>
        </is>
      </c>
      <c r="G151" s="632" t="inlineStr">
        <is>
          <t>Yes</t>
        </is>
      </c>
      <c r="H151" s="632" t="inlineStr">
        <is>
          <t>No explicit facility gate — defaults feasible</t>
        </is>
      </c>
      <c r="I151" s="632" t="inlineStr">
        <is>
          <t>Broadcast Discovery can support discovery or interaction with process state, control assets and operational data in Energy Assets environments.</t>
        </is>
      </c>
      <c r="J151" s="632" t="inlineStr">
        <is>
          <t>https://attack.mitre.org/techniques/T0846/002</t>
        </is>
      </c>
      <c r="K151" s="632" t="inlineStr">
        <is>
          <t>https://www.energy.gov/ceser/cybersecurity-capability-maturity-model-c2m2</t>
        </is>
      </c>
      <c r="L151" s="632" t="inlineStr">
        <is>
          <t>Working sector pack v1.0 — SME review recommended</t>
        </is>
      </c>
    </row>
    <row r="152">
      <c r="A152" s="632" t="inlineStr">
        <is>
          <t>Energy Assets|T0846.003</t>
        </is>
      </c>
      <c r="B152" s="632" t="inlineStr">
        <is>
          <t>Energy Assets</t>
        </is>
      </c>
      <c r="C152" s="632" t="inlineStr">
        <is>
          <t>All registered asset types; actual architecture/platform evidence overrides</t>
        </is>
      </c>
      <c r="D152" s="632" t="inlineStr">
        <is>
          <t>T0846.003</t>
        </is>
      </c>
      <c r="E152" s="632" t="inlineStr">
        <is>
          <t>Multicast Discovery</t>
        </is>
      </c>
      <c r="F152" s="632" t="inlineStr">
        <is>
          <t>S4</t>
        </is>
      </c>
      <c r="G152" s="632" t="inlineStr">
        <is>
          <t>Yes</t>
        </is>
      </c>
      <c r="H152" s="632" t="inlineStr">
        <is>
          <t>No explicit facility gate — defaults feasible</t>
        </is>
      </c>
      <c r="I152" s="632" t="inlineStr">
        <is>
          <t>Multicast Discovery can support discovery or interaction with process state, control assets and operational data in Energy Assets environments.</t>
        </is>
      </c>
      <c r="J152" s="632" t="inlineStr">
        <is>
          <t>https://attack.mitre.org/techniques/T0846/003</t>
        </is>
      </c>
      <c r="K152" s="632" t="inlineStr">
        <is>
          <t>https://www.energy.gov/ceser/cybersecurity-capability-maturity-model-c2m2</t>
        </is>
      </c>
      <c r="L152" s="632" t="inlineStr">
        <is>
          <t>Working sector pack v1.0 — SME review recommended</t>
        </is>
      </c>
    </row>
    <row r="153">
      <c r="A153" s="632" t="inlineStr">
        <is>
          <t>Energy Assets|T0847</t>
        </is>
      </c>
      <c r="B153" s="632" t="inlineStr">
        <is>
          <t>Energy Assets</t>
        </is>
      </c>
      <c r="C153" s="632" t="inlineStr">
        <is>
          <t>All registered asset types; actual architecture/platform evidence overrides</t>
        </is>
      </c>
      <c r="D153" s="632" t="inlineStr">
        <is>
          <t>T0847</t>
        </is>
      </c>
      <c r="E153" s="632" t="inlineStr">
        <is>
          <t>Replication Through Removable Media</t>
        </is>
      </c>
      <c r="F153" s="632" t="inlineStr">
        <is>
          <t>S1</t>
        </is>
      </c>
      <c r="G153" s="632" t="inlineStr">
        <is>
          <t>Yes</t>
        </is>
      </c>
      <c r="H153" s="632" t="inlineStr">
        <is>
          <t>TRANSIENT_REQUIRED — Not None</t>
        </is>
      </c>
      <c r="I153" s="632" t="inlineStr">
        <is>
          <t>The Replication Through Removable Media route is credible for Energy Assets OT when the enabling access condition exists; existing facility gates determine remote, internet, transient, supply-chain or wireless feasibility.</t>
        </is>
      </c>
      <c r="J153" s="632" t="inlineStr">
        <is>
          <t>https://attack.mitre.org/techniques/T0847</t>
        </is>
      </c>
      <c r="K153" s="632" t="inlineStr">
        <is>
          <t>https://www.energy.gov/ceser/cybersecurity-capability-maturity-model-c2m2</t>
        </is>
      </c>
      <c r="L153" s="632" t="inlineStr">
        <is>
          <t>Working sector pack v1.0 — SME review recommended</t>
        </is>
      </c>
    </row>
    <row r="154">
      <c r="A154" s="632" t="inlineStr">
        <is>
          <t>Energy Assets|T0848</t>
        </is>
      </c>
      <c r="B154" s="632" t="inlineStr">
        <is>
          <t>Energy Assets</t>
        </is>
      </c>
      <c r="C154" s="632" t="inlineStr">
        <is>
          <t>All registered asset types; actual architecture/platform evidence overrides</t>
        </is>
      </c>
      <c r="D154" s="632" t="inlineStr">
        <is>
          <t>T0848</t>
        </is>
      </c>
      <c r="E154" s="632" t="inlineStr">
        <is>
          <t>Rogue Master</t>
        </is>
      </c>
      <c r="F154" s="632" t="inlineStr">
        <is>
          <t>S1</t>
        </is>
      </c>
      <c r="G154" s="632" t="inlineStr">
        <is>
          <t>Yes</t>
        </is>
      </c>
      <c r="H154" s="632" t="inlineStr">
        <is>
          <t>No explicit facility gate — defaults feasible</t>
        </is>
      </c>
      <c r="I154" s="632" t="inlineStr">
        <is>
          <t>The Rogue Master route is credible for Energy Assets OT when the enabling access condition exists; existing facility gates determine remote, internet, transient, supply-chain or wireless feasibility.</t>
        </is>
      </c>
      <c r="J154" s="632" t="inlineStr">
        <is>
          <t>https://attack.mitre.org/techniques/T0848</t>
        </is>
      </c>
      <c r="K154" s="632" t="inlineStr">
        <is>
          <t>https://www.energy.gov/ceser/cybersecurity-capability-maturity-model-c2m2</t>
        </is>
      </c>
      <c r="L154" s="632" t="inlineStr">
        <is>
          <t>Working sector pack v1.0 — SME review recommended</t>
        </is>
      </c>
    </row>
    <row r="155">
      <c r="A155" s="632" t="inlineStr">
        <is>
          <t>Energy Assets|T0849</t>
        </is>
      </c>
      <c r="B155" s="632" t="inlineStr">
        <is>
          <t>Energy Assets</t>
        </is>
      </c>
      <c r="C155" s="632" t="inlineStr">
        <is>
          <t>All registered asset types; actual architecture/platform evidence overrides</t>
        </is>
      </c>
      <c r="D155" s="632" t="inlineStr">
        <is>
          <t>T0849</t>
        </is>
      </c>
      <c r="E155" s="632" t="inlineStr">
        <is>
          <t>Masquerading</t>
        </is>
      </c>
      <c r="F155" s="632" t="inlineStr">
        <is>
          <t>S2</t>
        </is>
      </c>
      <c r="G155" s="632" t="inlineStr">
        <is>
          <t>Yes</t>
        </is>
      </c>
      <c r="H155" s="632" t="inlineStr">
        <is>
          <t>No explicit facility gate — defaults feasible</t>
        </is>
      </c>
      <c r="I155" s="632" t="inlineStr">
        <is>
          <t>Masquerading is applicable to execution or persistence on engineering workstations, HMIs, servers or controllers used in Energy Assets facilities.</t>
        </is>
      </c>
      <c r="J155" s="632" t="inlineStr">
        <is>
          <t>https://attack.mitre.org/techniques/T0849</t>
        </is>
      </c>
      <c r="K155" s="632" t="inlineStr">
        <is>
          <t>https://www.energy.gov/ceser/cybersecurity-capability-maturity-model-c2m2</t>
        </is>
      </c>
      <c r="L155" s="632" t="inlineStr">
        <is>
          <t>Working sector pack v1.0 — SME review recommended</t>
        </is>
      </c>
    </row>
    <row r="156">
      <c r="A156" s="632" t="inlineStr">
        <is>
          <t>Energy Assets|T0851</t>
        </is>
      </c>
      <c r="B156" s="632" t="inlineStr">
        <is>
          <t>Energy Assets</t>
        </is>
      </c>
      <c r="C156" s="632" t="inlineStr">
        <is>
          <t>All registered asset types; actual architecture/platform evidence overrides</t>
        </is>
      </c>
      <c r="D156" s="632" t="inlineStr">
        <is>
          <t>T0851</t>
        </is>
      </c>
      <c r="E156" s="632" t="inlineStr">
        <is>
          <t>Rootkit</t>
        </is>
      </c>
      <c r="F156" s="632" t="inlineStr">
        <is>
          <t>S5</t>
        </is>
      </c>
      <c r="G156" s="632" t="inlineStr">
        <is>
          <t>Yes</t>
        </is>
      </c>
      <c r="H156" s="632" t="inlineStr">
        <is>
          <t>No explicit facility gate — defaults feasible</t>
        </is>
      </c>
      <c r="I156" s="632" t="inlineStr">
        <is>
          <t>Rootkit is an ATT&amp;CK for ICS impact or response-inhibition technique that can support one or more governed adverse scenarios; scenario role remains controlled on 09.</t>
        </is>
      </c>
      <c r="J156" s="632" t="inlineStr">
        <is>
          <t>https://attack.mitre.org/techniques/T0851</t>
        </is>
      </c>
      <c r="K156" s="632" t="inlineStr">
        <is>
          <t>https://www.energy.gov/ceser/cybersecurity-capability-maturity-model-c2m2</t>
        </is>
      </c>
      <c r="L156" s="632" t="inlineStr">
        <is>
          <t>Working sector pack v1.0 — SME review recommended</t>
        </is>
      </c>
    </row>
    <row r="157">
      <c r="A157" s="632" t="inlineStr">
        <is>
          <t>Energy Assets|T0852</t>
        </is>
      </c>
      <c r="B157" s="632" t="inlineStr">
        <is>
          <t>Energy Assets</t>
        </is>
      </c>
      <c r="C157" s="632" t="inlineStr">
        <is>
          <t>All registered asset types; actual architecture/platform evidence overrides</t>
        </is>
      </c>
      <c r="D157" s="632" t="inlineStr">
        <is>
          <t>T0852</t>
        </is>
      </c>
      <c r="E157" s="632" t="inlineStr">
        <is>
          <t>Screen Capture</t>
        </is>
      </c>
      <c r="F157" s="632" t="inlineStr">
        <is>
          <t>S4</t>
        </is>
      </c>
      <c r="G157" s="632" t="inlineStr">
        <is>
          <t>Yes</t>
        </is>
      </c>
      <c r="H157" s="632" t="inlineStr">
        <is>
          <t>No explicit facility gate — defaults feasible</t>
        </is>
      </c>
      <c r="I157" s="632" t="inlineStr">
        <is>
          <t>Screen Capture can support discovery or interaction with process state, control assets and operational data in Energy Assets environments.</t>
        </is>
      </c>
      <c r="J157" s="632" t="inlineStr">
        <is>
          <t>https://attack.mitre.org/techniques/T0852</t>
        </is>
      </c>
      <c r="K157" s="632" t="inlineStr">
        <is>
          <t>https://www.energy.gov/ceser/cybersecurity-capability-maturity-model-c2m2</t>
        </is>
      </c>
      <c r="L157" s="632" t="inlineStr">
        <is>
          <t>Working sector pack v1.0 — SME review recommended</t>
        </is>
      </c>
    </row>
    <row r="158">
      <c r="A158" s="632" t="inlineStr">
        <is>
          <t>Energy Assets|T0853</t>
        </is>
      </c>
      <c r="B158" s="632" t="inlineStr">
        <is>
          <t>Energy Assets</t>
        </is>
      </c>
      <c r="C158" s="632" t="inlineStr">
        <is>
          <t>All registered asset types; actual architecture/platform evidence overrides</t>
        </is>
      </c>
      <c r="D158" s="632" t="inlineStr">
        <is>
          <t>T0853</t>
        </is>
      </c>
      <c r="E158" s="632" t="inlineStr">
        <is>
          <t>Scripting</t>
        </is>
      </c>
      <c r="F158" s="632" t="inlineStr">
        <is>
          <t>S2</t>
        </is>
      </c>
      <c r="G158" s="632" t="inlineStr">
        <is>
          <t>Yes</t>
        </is>
      </c>
      <c r="H158" s="632" t="inlineStr">
        <is>
          <t>No explicit facility gate — defaults feasible</t>
        </is>
      </c>
      <c r="I158" s="632" t="inlineStr">
        <is>
          <t>Scripting is applicable to execution or persistence on engineering workstations, HMIs, servers or controllers used in Energy Assets facilities.</t>
        </is>
      </c>
      <c r="J158" s="632" t="inlineStr">
        <is>
          <t>https://attack.mitre.org/techniques/T0853</t>
        </is>
      </c>
      <c r="K158" s="632" t="inlineStr">
        <is>
          <t>https://www.energy.gov/ceser/cybersecurity-capability-maturity-model-c2m2</t>
        </is>
      </c>
      <c r="L158" s="632" t="inlineStr">
        <is>
          <t>Working sector pack v1.0 — SME review recommended</t>
        </is>
      </c>
    </row>
    <row r="159">
      <c r="A159" s="632" t="inlineStr">
        <is>
          <t>Energy Assets|T0858</t>
        </is>
      </c>
      <c r="B159" s="632" t="inlineStr">
        <is>
          <t>Energy Assets</t>
        </is>
      </c>
      <c r="C159" s="632" t="inlineStr">
        <is>
          <t>All registered asset types; actual architecture/platform evidence overrides</t>
        </is>
      </c>
      <c r="D159" s="632" t="inlineStr">
        <is>
          <t>T0858</t>
        </is>
      </c>
      <c r="E159" s="632" t="inlineStr">
        <is>
          <t>Change Operating Mode</t>
        </is>
      </c>
      <c r="F159" s="632" t="inlineStr">
        <is>
          <t>S2</t>
        </is>
      </c>
      <c r="G159" s="632" t="inlineStr">
        <is>
          <t>Yes</t>
        </is>
      </c>
      <c r="H159" s="632" t="inlineStr">
        <is>
          <t>No explicit facility gate — defaults feasible</t>
        </is>
      </c>
      <c r="I159" s="632" t="inlineStr">
        <is>
          <t>Change Operating Mode is applicable to execution or persistence on engineering workstations, HMIs, servers or controllers used in Energy Assets facilities.</t>
        </is>
      </c>
      <c r="J159" s="632" t="inlineStr">
        <is>
          <t>https://attack.mitre.org/techniques/T0858</t>
        </is>
      </c>
      <c r="K159" s="632" t="inlineStr">
        <is>
          <t>https://www.energy.gov/ceser/cybersecurity-capability-maturity-model-c2m2</t>
        </is>
      </c>
      <c r="L159" s="632" t="inlineStr">
        <is>
          <t>Working sector pack v1.0 — SME review recommended</t>
        </is>
      </c>
    </row>
    <row r="160">
      <c r="A160" s="632" t="inlineStr">
        <is>
          <t>Energy Assets|T0859</t>
        </is>
      </c>
      <c r="B160" s="632" t="inlineStr">
        <is>
          <t>Energy Assets</t>
        </is>
      </c>
      <c r="C160" s="632" t="inlineStr">
        <is>
          <t>All registered asset types; actual architecture/platform evidence overrides</t>
        </is>
      </c>
      <c r="D160" s="632" t="inlineStr">
        <is>
          <t>T0859</t>
        </is>
      </c>
      <c r="E160" s="632" t="inlineStr">
        <is>
          <t>Valid Accounts</t>
        </is>
      </c>
      <c r="F160" s="632" t="inlineStr">
        <is>
          <t>S3</t>
        </is>
      </c>
      <c r="G160" s="632" t="inlineStr">
        <is>
          <t>Yes</t>
        </is>
      </c>
      <c r="H160" s="632" t="inlineStr">
        <is>
          <t>No explicit facility gate — defaults feasible</t>
        </is>
      </c>
      <c r="I160" s="632" t="inlineStr">
        <is>
          <t>Valid Accounts can support movement toward or within plant/control zones; actual reachability is governed by the assessed facility architecture.</t>
        </is>
      </c>
      <c r="J160" s="632" t="inlineStr">
        <is>
          <t>https://attack.mitre.org/techniques/T0859</t>
        </is>
      </c>
      <c r="K160" s="632" t="inlineStr">
        <is>
          <t>https://www.energy.gov/ceser/cybersecurity-capability-maturity-model-c2m2</t>
        </is>
      </c>
      <c r="L160" s="632" t="inlineStr">
        <is>
          <t>Working sector pack v1.0 — SME review recommended</t>
        </is>
      </c>
    </row>
    <row r="161">
      <c r="A161" s="632" t="inlineStr">
        <is>
          <t>Energy Assets|T0860</t>
        </is>
      </c>
      <c r="B161" s="632" t="inlineStr">
        <is>
          <t>Energy Assets</t>
        </is>
      </c>
      <c r="C161" s="632" t="inlineStr">
        <is>
          <t>All registered asset types; actual architecture/platform evidence overrides</t>
        </is>
      </c>
      <c r="D161" s="632" t="inlineStr">
        <is>
          <t>T0860</t>
        </is>
      </c>
      <c r="E161" s="632" t="inlineStr">
        <is>
          <t>Wireless Compromise</t>
        </is>
      </c>
      <c r="F161" s="632" t="inlineStr">
        <is>
          <t>S1</t>
        </is>
      </c>
      <c r="G161" s="632" t="inlineStr">
        <is>
          <t>Yes</t>
        </is>
      </c>
      <c r="H161" s="632" t="inlineStr">
        <is>
          <t>WIRELESS — Yes</t>
        </is>
      </c>
      <c r="I161" s="632" t="inlineStr">
        <is>
          <t>The Wireless Compromise route is credible for Energy Assets OT when the enabling access condition exists; existing facility gates determine remote, internet, transient, supply-chain or wireless feasibility.</t>
        </is>
      </c>
      <c r="J161" s="632" t="inlineStr">
        <is>
          <t>https://attack.mitre.org/techniques/T0860</t>
        </is>
      </c>
      <c r="K161" s="632" t="inlineStr">
        <is>
          <t>https://www.energy.gov/ceser/cybersecurity-capability-maturity-model-c2m2</t>
        </is>
      </c>
      <c r="L161" s="632" t="inlineStr">
        <is>
          <t>Working sector pack v1.0 — SME review recommended</t>
        </is>
      </c>
    </row>
    <row r="162">
      <c r="A162" s="632" t="inlineStr">
        <is>
          <t>Energy Assets|T0861</t>
        </is>
      </c>
      <c r="B162" s="632" t="inlineStr">
        <is>
          <t>Energy Assets</t>
        </is>
      </c>
      <c r="C162" s="632" t="inlineStr">
        <is>
          <t>All registered asset types; actual architecture/platform evidence overrides</t>
        </is>
      </c>
      <c r="D162" s="632" t="inlineStr">
        <is>
          <t>T0861</t>
        </is>
      </c>
      <c r="E162" s="632" t="inlineStr">
        <is>
          <t>Point &amp; Tag Identification</t>
        </is>
      </c>
      <c r="F162" s="632" t="inlineStr">
        <is>
          <t>S4</t>
        </is>
      </c>
      <c r="G162" s="632" t="inlineStr">
        <is>
          <t>Yes</t>
        </is>
      </c>
      <c r="H162" s="632" t="inlineStr">
        <is>
          <t>No explicit facility gate — defaults feasible</t>
        </is>
      </c>
      <c r="I162" s="632" t="inlineStr">
        <is>
          <t>Point &amp; Tag Identification can support discovery or interaction with process state, control assets and operational data in Energy Assets environments.</t>
        </is>
      </c>
      <c r="J162" s="632" t="inlineStr">
        <is>
          <t>https://attack.mitre.org/techniques/T0861</t>
        </is>
      </c>
      <c r="K162" s="632" t="inlineStr">
        <is>
          <t>https://www.energy.gov/ceser/cybersecurity-capability-maturity-model-c2m2</t>
        </is>
      </c>
      <c r="L162" s="632" t="inlineStr">
        <is>
          <t>Working sector pack v1.0 — SME review recommended</t>
        </is>
      </c>
    </row>
    <row r="163">
      <c r="A163" s="632" t="inlineStr">
        <is>
          <t>Energy Assets|T0862</t>
        </is>
      </c>
      <c r="B163" s="632" t="inlineStr">
        <is>
          <t>Energy Assets</t>
        </is>
      </c>
      <c r="C163" s="632" t="inlineStr">
        <is>
          <t>All registered asset types; actual architecture/platform evidence overrides</t>
        </is>
      </c>
      <c r="D163" s="632" t="inlineStr">
        <is>
          <t>T0862</t>
        </is>
      </c>
      <c r="E163" s="632" t="inlineStr">
        <is>
          <t>Supply Chain Compromise</t>
        </is>
      </c>
      <c r="F163" s="632" t="inlineStr">
        <is>
          <t>S1</t>
        </is>
      </c>
      <c r="G163" s="632" t="inlineStr">
        <is>
          <t>Yes</t>
        </is>
      </c>
      <c r="H163" s="632" t="inlineStr">
        <is>
          <t>SUPPLY_CHAIN — Yes</t>
        </is>
      </c>
      <c r="I163" s="632" t="inlineStr">
        <is>
          <t>The Supply Chain Compromise route is credible for Energy Assets OT when the enabling access condition exists; existing facility gates determine remote, internet, transient, supply-chain or wireless feasibility.</t>
        </is>
      </c>
      <c r="J163" s="632" t="inlineStr">
        <is>
          <t>https://attack.mitre.org/techniques/T0862</t>
        </is>
      </c>
      <c r="K163" s="632" t="inlineStr">
        <is>
          <t>https://www.energy.gov/ceser/cybersecurity-capability-maturity-model-c2m2</t>
        </is>
      </c>
      <c r="L163" s="632" t="inlineStr">
        <is>
          <t>Working sector pack v1.0 — SME review recommended</t>
        </is>
      </c>
    </row>
    <row r="164">
      <c r="A164" s="632" t="inlineStr">
        <is>
          <t>Energy Assets|T0863</t>
        </is>
      </c>
      <c r="B164" s="632" t="inlineStr">
        <is>
          <t>Energy Assets</t>
        </is>
      </c>
      <c r="C164" s="632" t="inlineStr">
        <is>
          <t>All registered asset types; actual architecture/platform evidence overrides</t>
        </is>
      </c>
      <c r="D164" s="632" t="inlineStr">
        <is>
          <t>T0863</t>
        </is>
      </c>
      <c r="E164" s="632" t="inlineStr">
        <is>
          <t>User Execution</t>
        </is>
      </c>
      <c r="F164" s="632" t="inlineStr">
        <is>
          <t>S2</t>
        </is>
      </c>
      <c r="G164" s="632" t="inlineStr">
        <is>
          <t>Yes</t>
        </is>
      </c>
      <c r="H164" s="632" t="inlineStr">
        <is>
          <t>No explicit facility gate — defaults feasible</t>
        </is>
      </c>
      <c r="I164" s="632" t="inlineStr">
        <is>
          <t>User Execution is applicable to execution or persistence on engineering workstations, HMIs, servers or controllers used in Energy Assets facilities.</t>
        </is>
      </c>
      <c r="J164" s="632" t="inlineStr">
        <is>
          <t>https://attack.mitre.org/techniques/T0863</t>
        </is>
      </c>
      <c r="K164" s="632" t="inlineStr">
        <is>
          <t>https://www.energy.gov/ceser/cybersecurity-capability-maturity-model-c2m2</t>
        </is>
      </c>
      <c r="L164" s="632" t="inlineStr">
        <is>
          <t>Working sector pack v1.0 — SME review recommended</t>
        </is>
      </c>
    </row>
    <row r="165">
      <c r="A165" s="632" t="inlineStr">
        <is>
          <t>Energy Assets|T0864</t>
        </is>
      </c>
      <c r="B165" s="632" t="inlineStr">
        <is>
          <t>Energy Assets</t>
        </is>
      </c>
      <c r="C165" s="632" t="inlineStr">
        <is>
          <t>All registered asset types; actual architecture/platform evidence overrides</t>
        </is>
      </c>
      <c r="D165" s="632" t="inlineStr">
        <is>
          <t>T0864</t>
        </is>
      </c>
      <c r="E165" s="632" t="inlineStr">
        <is>
          <t>Transient Cyber Asset</t>
        </is>
      </c>
      <c r="F165" s="632" t="inlineStr">
        <is>
          <t>S1</t>
        </is>
      </c>
      <c r="G165" s="632" t="inlineStr">
        <is>
          <t>Yes</t>
        </is>
      </c>
      <c r="H165" s="632" t="inlineStr">
        <is>
          <t>TRANSIENT_REQUIRED — Not None</t>
        </is>
      </c>
      <c r="I165" s="632" t="inlineStr">
        <is>
          <t>The Transient Cyber Asset route is credible for Energy Assets OT when the enabling access condition exists; existing facility gates determine remote, internet, transient, supply-chain or wireless feasibility.</t>
        </is>
      </c>
      <c r="J165" s="632" t="inlineStr">
        <is>
          <t>https://attack.mitre.org/techniques/T0864</t>
        </is>
      </c>
      <c r="K165" s="632" t="inlineStr">
        <is>
          <t>https://www.energy.gov/ceser/cybersecurity-capability-maturity-model-c2m2</t>
        </is>
      </c>
      <c r="L165" s="632" t="inlineStr">
        <is>
          <t>Working sector pack v1.0 — SME review recommended</t>
        </is>
      </c>
    </row>
    <row r="166">
      <c r="A166" s="632" t="inlineStr">
        <is>
          <t>Energy Assets|T0865</t>
        </is>
      </c>
      <c r="B166" s="632" t="inlineStr">
        <is>
          <t>Energy Assets</t>
        </is>
      </c>
      <c r="C166" s="632" t="inlineStr">
        <is>
          <t>All registered asset types; actual architecture/platform evidence overrides</t>
        </is>
      </c>
      <c r="D166" s="632" t="inlineStr">
        <is>
          <t>T0865</t>
        </is>
      </c>
      <c r="E166" s="632" t="inlineStr">
        <is>
          <t>Spearphishing Attachment</t>
        </is>
      </c>
      <c r="F166" s="632" t="inlineStr">
        <is>
          <t>S1</t>
        </is>
      </c>
      <c r="G166" s="632" t="inlineStr">
        <is>
          <t>Yes</t>
        </is>
      </c>
      <c r="H166" s="632" t="inlineStr">
        <is>
          <t>No explicit facility gate — defaults feasible</t>
        </is>
      </c>
      <c r="I166" s="632" t="inlineStr">
        <is>
          <t>The Spearphishing Attachment route is credible for Energy Assets OT when the enabling access condition exists; existing facility gates determine remote, internet, transient, supply-chain or wireless feasibility.</t>
        </is>
      </c>
      <c r="J166" s="632" t="inlineStr">
        <is>
          <t>https://attack.mitre.org/techniques/T0865</t>
        </is>
      </c>
      <c r="K166" s="632" t="inlineStr">
        <is>
          <t>https://www.energy.gov/ceser/cybersecurity-capability-maturity-model-c2m2</t>
        </is>
      </c>
      <c r="L166" s="632" t="inlineStr">
        <is>
          <t>Working sector pack v1.0 — SME review recommended</t>
        </is>
      </c>
    </row>
    <row r="167">
      <c r="A167" s="632" t="inlineStr">
        <is>
          <t>Energy Assets|T0866</t>
        </is>
      </c>
      <c r="B167" s="632" t="inlineStr">
        <is>
          <t>Energy Assets</t>
        </is>
      </c>
      <c r="C167" s="632" t="inlineStr">
        <is>
          <t>All registered asset types; actual architecture/platform evidence overrides</t>
        </is>
      </c>
      <c r="D167" s="632" t="inlineStr">
        <is>
          <t>T0866</t>
        </is>
      </c>
      <c r="E167" s="632" t="inlineStr">
        <is>
          <t>Exploitation of Remote Services</t>
        </is>
      </c>
      <c r="F167" s="632" t="inlineStr">
        <is>
          <t>S1</t>
        </is>
      </c>
      <c r="G167" s="632" t="inlineStr">
        <is>
          <t>Yes</t>
        </is>
      </c>
      <c r="H167" s="632" t="inlineStr">
        <is>
          <t>REMOTE_OR_ITOT — Remote path or IT-OT connection</t>
        </is>
      </c>
      <c r="I167" s="632" t="inlineStr">
        <is>
          <t>The Exploitation of Remote Services route is credible for Energy Assets OT when the enabling access condition exists; existing facility gates determine remote, internet, transient, supply-chain or wireless feasibility.</t>
        </is>
      </c>
      <c r="J167" s="632" t="inlineStr">
        <is>
          <t>https://attack.mitre.org/techniques/T0866</t>
        </is>
      </c>
      <c r="K167" s="632" t="inlineStr">
        <is>
          <t>https://www.energy.gov/ceser/cybersecurity-capability-maturity-model-c2m2</t>
        </is>
      </c>
      <c r="L167" s="632" t="inlineStr">
        <is>
          <t>Working sector pack v1.0 — SME review recommended</t>
        </is>
      </c>
    </row>
    <row r="168">
      <c r="A168" s="632" t="inlineStr">
        <is>
          <t>Energy Assets|T0867</t>
        </is>
      </c>
      <c r="B168" s="632" t="inlineStr">
        <is>
          <t>Energy Assets</t>
        </is>
      </c>
      <c r="C168" s="632" t="inlineStr">
        <is>
          <t>All registered asset types; actual architecture/platform evidence overrides</t>
        </is>
      </c>
      <c r="D168" s="632" t="inlineStr">
        <is>
          <t>T0867</t>
        </is>
      </c>
      <c r="E168" s="632" t="inlineStr">
        <is>
          <t>Lateral Tool Transfer</t>
        </is>
      </c>
      <c r="F168" s="632" t="inlineStr">
        <is>
          <t>S3</t>
        </is>
      </c>
      <c r="G168" s="632" t="inlineStr">
        <is>
          <t>Yes</t>
        </is>
      </c>
      <c r="H168" s="632" t="inlineStr">
        <is>
          <t>No explicit facility gate — defaults feasible</t>
        </is>
      </c>
      <c r="I168" s="632" t="inlineStr">
        <is>
          <t>Lateral Tool Transfer can support movement toward or within plant/control zones; actual reachability is governed by the assessed facility architecture.</t>
        </is>
      </c>
      <c r="J168" s="632" t="inlineStr">
        <is>
          <t>https://attack.mitre.org/techniques/T0867</t>
        </is>
      </c>
      <c r="K168" s="632" t="inlineStr">
        <is>
          <t>https://www.energy.gov/ceser/cybersecurity-capability-maturity-model-c2m2</t>
        </is>
      </c>
      <c r="L168" s="632" t="inlineStr">
        <is>
          <t>Working sector pack v1.0 — SME review recommended</t>
        </is>
      </c>
    </row>
    <row r="169">
      <c r="A169" s="632" t="inlineStr">
        <is>
          <t>Energy Assets|T0868</t>
        </is>
      </c>
      <c r="B169" s="632" t="inlineStr">
        <is>
          <t>Energy Assets</t>
        </is>
      </c>
      <c r="C169" s="632" t="inlineStr">
        <is>
          <t>All registered asset types; actual architecture/platform evidence overrides</t>
        </is>
      </c>
      <c r="D169" s="632" t="inlineStr">
        <is>
          <t>T0868</t>
        </is>
      </c>
      <c r="E169" s="632" t="inlineStr">
        <is>
          <t>Detect Operating Mode</t>
        </is>
      </c>
      <c r="F169" s="632" t="inlineStr">
        <is>
          <t>S4</t>
        </is>
      </c>
      <c r="G169" s="632" t="inlineStr">
        <is>
          <t>Yes</t>
        </is>
      </c>
      <c r="H169" s="632" t="inlineStr">
        <is>
          <t>No explicit facility gate — defaults feasible</t>
        </is>
      </c>
      <c r="I169" s="632" t="inlineStr">
        <is>
          <t>Detect Operating Mode can support discovery or interaction with process state, control assets and operational data in Energy Assets environments.</t>
        </is>
      </c>
      <c r="J169" s="632" t="inlineStr">
        <is>
          <t>https://attack.mitre.org/techniques/T0868</t>
        </is>
      </c>
      <c r="K169" s="632" t="inlineStr">
        <is>
          <t>https://www.energy.gov/ceser/cybersecurity-capability-maturity-model-c2m2</t>
        </is>
      </c>
      <c r="L169" s="632" t="inlineStr">
        <is>
          <t>Working sector pack v1.0 — SME review recommended</t>
        </is>
      </c>
    </row>
    <row r="170">
      <c r="A170" s="632" t="inlineStr">
        <is>
          <t>Energy Assets|T0869</t>
        </is>
      </c>
      <c r="B170" s="632" t="inlineStr">
        <is>
          <t>Energy Assets</t>
        </is>
      </c>
      <c r="C170" s="632" t="inlineStr">
        <is>
          <t>All registered asset types; actual architecture/platform evidence overrides</t>
        </is>
      </c>
      <c r="D170" s="632" t="inlineStr">
        <is>
          <t>T0869</t>
        </is>
      </c>
      <c r="E170" s="632" t="inlineStr">
        <is>
          <t>Standard Application Layer Protocol</t>
        </is>
      </c>
      <c r="F170" s="632" t="inlineStr">
        <is>
          <t>S3</t>
        </is>
      </c>
      <c r="G170" s="632" t="inlineStr">
        <is>
          <t>Yes</t>
        </is>
      </c>
      <c r="H170" s="632" t="inlineStr">
        <is>
          <t>No explicit facility gate — defaults feasible</t>
        </is>
      </c>
      <c r="I170" s="632" t="inlineStr">
        <is>
          <t>Standard Application Layer Protocol can support movement toward or within plant/control zones; actual reachability is governed by the assessed facility architecture.</t>
        </is>
      </c>
      <c r="J170" s="632" t="inlineStr">
        <is>
          <t>https://attack.mitre.org/techniques/T0869</t>
        </is>
      </c>
      <c r="K170" s="632" t="inlineStr">
        <is>
          <t>https://www.energy.gov/ceser/cybersecurity-capability-maturity-model-c2m2</t>
        </is>
      </c>
      <c r="L170" s="632" t="inlineStr">
        <is>
          <t>Working sector pack v1.0 — SME review recommended</t>
        </is>
      </c>
    </row>
    <row r="171">
      <c r="A171" s="632" t="inlineStr">
        <is>
          <t>Energy Assets|T0871</t>
        </is>
      </c>
      <c r="B171" s="632" t="inlineStr">
        <is>
          <t>Energy Assets</t>
        </is>
      </c>
      <c r="C171" s="632" t="inlineStr">
        <is>
          <t>All registered asset types; actual architecture/platform evidence overrides</t>
        </is>
      </c>
      <c r="D171" s="632" t="inlineStr">
        <is>
          <t>T0871</t>
        </is>
      </c>
      <c r="E171" s="632" t="inlineStr">
        <is>
          <t>Execution through API</t>
        </is>
      </c>
      <c r="F171" s="632" t="inlineStr">
        <is>
          <t>S2</t>
        </is>
      </c>
      <c r="G171" s="632" t="inlineStr">
        <is>
          <t>Yes</t>
        </is>
      </c>
      <c r="H171" s="632" t="inlineStr">
        <is>
          <t>No explicit facility gate — defaults feasible</t>
        </is>
      </c>
      <c r="I171" s="632" t="inlineStr">
        <is>
          <t>Execution through API is applicable to execution or persistence on engineering workstations, HMIs, servers or controllers used in Energy Assets facilities.</t>
        </is>
      </c>
      <c r="J171" s="632" t="inlineStr">
        <is>
          <t>https://attack.mitre.org/techniques/T0871</t>
        </is>
      </c>
      <c r="K171" s="632" t="inlineStr">
        <is>
          <t>https://www.energy.gov/ceser/cybersecurity-capability-maturity-model-c2m2</t>
        </is>
      </c>
      <c r="L171" s="632" t="inlineStr">
        <is>
          <t>Working sector pack v1.0 — SME review recommended</t>
        </is>
      </c>
    </row>
    <row r="172">
      <c r="A172" s="632" t="inlineStr">
        <is>
          <t>Energy Assets|T0872</t>
        </is>
      </c>
      <c r="B172" s="632" t="inlineStr">
        <is>
          <t>Energy Assets</t>
        </is>
      </c>
      <c r="C172" s="632" t="inlineStr">
        <is>
          <t>All registered asset types; actual architecture/platform evidence overrides</t>
        </is>
      </c>
      <c r="D172" s="632" t="inlineStr">
        <is>
          <t>T0872</t>
        </is>
      </c>
      <c r="E172" s="632" t="inlineStr">
        <is>
          <t>Indicator Removal on Host</t>
        </is>
      </c>
      <c r="F172" s="632" t="inlineStr">
        <is>
          <t>S2</t>
        </is>
      </c>
      <c r="G172" s="632" t="inlineStr">
        <is>
          <t>Yes</t>
        </is>
      </c>
      <c r="H172" s="632" t="inlineStr">
        <is>
          <t>No explicit facility gate — defaults feasible</t>
        </is>
      </c>
      <c r="I172" s="632" t="inlineStr">
        <is>
          <t>Indicator Removal on Host is applicable to execution or persistence on engineering workstations, HMIs, servers or controllers used in Energy Assets facilities.</t>
        </is>
      </c>
      <c r="J172" s="632" t="inlineStr">
        <is>
          <t>https://attack.mitre.org/techniques/T0872</t>
        </is>
      </c>
      <c r="K172" s="632" t="inlineStr">
        <is>
          <t>https://www.energy.gov/ceser/cybersecurity-capability-maturity-model-c2m2</t>
        </is>
      </c>
      <c r="L172" s="632" t="inlineStr">
        <is>
          <t>Working sector pack v1.0 — SME review recommended</t>
        </is>
      </c>
    </row>
    <row r="173">
      <c r="A173" s="632" t="inlineStr">
        <is>
          <t>Energy Assets|T0873</t>
        </is>
      </c>
      <c r="B173" s="632" t="inlineStr">
        <is>
          <t>Energy Assets</t>
        </is>
      </c>
      <c r="C173" s="632" t="inlineStr">
        <is>
          <t>All registered asset types; actual architecture/platform evidence overrides</t>
        </is>
      </c>
      <c r="D173" s="632" t="inlineStr">
        <is>
          <t>T0873</t>
        </is>
      </c>
      <c r="E173" s="632" t="inlineStr">
        <is>
          <t>Project File Infection</t>
        </is>
      </c>
      <c r="F173" s="632" t="inlineStr">
        <is>
          <t>S2</t>
        </is>
      </c>
      <c r="G173" s="632" t="inlineStr">
        <is>
          <t>Yes</t>
        </is>
      </c>
      <c r="H173" s="632" t="inlineStr">
        <is>
          <t>No explicit facility gate — defaults feasible</t>
        </is>
      </c>
      <c r="I173" s="632" t="inlineStr">
        <is>
          <t>Project File Infection is applicable to execution or persistence on engineering workstations, HMIs, servers or controllers used in Energy Assets facilities.</t>
        </is>
      </c>
      <c r="J173" s="632" t="inlineStr">
        <is>
          <t>https://attack.mitre.org/techniques/T0873</t>
        </is>
      </c>
      <c r="K173" s="632" t="inlineStr">
        <is>
          <t>https://www.energy.gov/ceser/cybersecurity-capability-maturity-model-c2m2</t>
        </is>
      </c>
      <c r="L173" s="632" t="inlineStr">
        <is>
          <t>Working sector pack v1.0 — SME review recommended</t>
        </is>
      </c>
    </row>
    <row r="174">
      <c r="A174" s="632" t="inlineStr">
        <is>
          <t>Energy Assets|T0873.001</t>
        </is>
      </c>
      <c r="B174" s="632" t="inlineStr">
        <is>
          <t>Energy Assets</t>
        </is>
      </c>
      <c r="C174" s="632" t="inlineStr">
        <is>
          <t>All registered asset types; actual architecture/platform evidence overrides</t>
        </is>
      </c>
      <c r="D174" s="632" t="inlineStr">
        <is>
          <t>T0873.001</t>
        </is>
      </c>
      <c r="E174" s="632" t="inlineStr">
        <is>
          <t>Siemens Project File Format</t>
        </is>
      </c>
      <c r="F174" s="632" t="inlineStr">
        <is>
          <t>S2</t>
        </is>
      </c>
      <c r="G174" s="632" t="inlineStr">
        <is>
          <t>Yes</t>
        </is>
      </c>
      <c r="H174" s="632" t="inlineStr">
        <is>
          <t>No explicit facility gate — defaults feasible</t>
        </is>
      </c>
      <c r="I174" s="632" t="inlineStr">
        <is>
          <t>Siemens Project File Format is applicable to execution or persistence on engineering workstations, HMIs, servers or controllers used in Energy Assets facilities.</t>
        </is>
      </c>
      <c r="J174" s="632" t="inlineStr">
        <is>
          <t>https://attack.mitre.org/techniques/T0873/001</t>
        </is>
      </c>
      <c r="K174" s="632" t="inlineStr">
        <is>
          <t>https://www.energy.gov/ceser/cybersecurity-capability-maturity-model-c2m2</t>
        </is>
      </c>
      <c r="L174" s="632" t="inlineStr">
        <is>
          <t>Working sector pack v1.0 — SME review recommended</t>
        </is>
      </c>
    </row>
    <row r="175">
      <c r="A175" s="632" t="inlineStr">
        <is>
          <t>Energy Assets|T0874</t>
        </is>
      </c>
      <c r="B175" s="632" t="inlineStr">
        <is>
          <t>Energy Assets</t>
        </is>
      </c>
      <c r="C175" s="632" t="inlineStr">
        <is>
          <t>All registered asset types; actual architecture/platform evidence overrides</t>
        </is>
      </c>
      <c r="D175" s="632" t="inlineStr">
        <is>
          <t>T0874</t>
        </is>
      </c>
      <c r="E175" s="632" t="inlineStr">
        <is>
          <t>Hooking</t>
        </is>
      </c>
      <c r="F175" s="632" t="inlineStr">
        <is>
          <t>S2</t>
        </is>
      </c>
      <c r="G175" s="632" t="inlineStr">
        <is>
          <t>Yes</t>
        </is>
      </c>
      <c r="H175" s="632" t="inlineStr">
        <is>
          <t>No explicit facility gate — defaults feasible</t>
        </is>
      </c>
      <c r="I175" s="632" t="inlineStr">
        <is>
          <t>Hooking is applicable to execution or persistence on engineering workstations, HMIs, servers or controllers used in Energy Assets facilities.</t>
        </is>
      </c>
      <c r="J175" s="632" t="inlineStr">
        <is>
          <t>https://attack.mitre.org/techniques/T0874</t>
        </is>
      </c>
      <c r="K175" s="632" t="inlineStr">
        <is>
          <t>https://www.energy.gov/ceser/cybersecurity-capability-maturity-model-c2m2</t>
        </is>
      </c>
      <c r="L175" s="632" t="inlineStr">
        <is>
          <t>Working sector pack v1.0 — SME review recommended</t>
        </is>
      </c>
    </row>
    <row r="176">
      <c r="A176" s="632" t="inlineStr">
        <is>
          <t>Energy Assets|T0877</t>
        </is>
      </c>
      <c r="B176" s="632" t="inlineStr">
        <is>
          <t>Energy Assets</t>
        </is>
      </c>
      <c r="C176" s="632" t="inlineStr">
        <is>
          <t>All registered asset types; actual architecture/platform evidence overrides</t>
        </is>
      </c>
      <c r="D176" s="632" t="inlineStr">
        <is>
          <t>T0877</t>
        </is>
      </c>
      <c r="E176" s="632" t="inlineStr">
        <is>
          <t>I/O Image</t>
        </is>
      </c>
      <c r="F176" s="632" t="inlineStr">
        <is>
          <t>S4</t>
        </is>
      </c>
      <c r="G176" s="632" t="inlineStr">
        <is>
          <t>Yes</t>
        </is>
      </c>
      <c r="H176" s="632" t="inlineStr">
        <is>
          <t>No explicit facility gate — defaults feasible</t>
        </is>
      </c>
      <c r="I176" s="632" t="inlineStr">
        <is>
          <t>I/O Image can support discovery or interaction with process state, control assets and operational data in Energy Assets environments.</t>
        </is>
      </c>
      <c r="J176" s="632" t="inlineStr">
        <is>
          <t>https://attack.mitre.org/techniques/T0877</t>
        </is>
      </c>
      <c r="K176" s="632" t="inlineStr">
        <is>
          <t>https://www.energy.gov/ceser/cybersecurity-capability-maturity-model-c2m2</t>
        </is>
      </c>
      <c r="L176" s="632" t="inlineStr">
        <is>
          <t>Working sector pack v1.0 — SME review recommended</t>
        </is>
      </c>
    </row>
    <row r="177">
      <c r="A177" s="632" t="inlineStr">
        <is>
          <t>Energy Assets|T0878</t>
        </is>
      </c>
      <c r="B177" s="632" t="inlineStr">
        <is>
          <t>Energy Assets</t>
        </is>
      </c>
      <c r="C177" s="632" t="inlineStr">
        <is>
          <t>All registered asset types; actual architecture/platform evidence overrides</t>
        </is>
      </c>
      <c r="D177" s="632" t="inlineStr">
        <is>
          <t>T0878</t>
        </is>
      </c>
      <c r="E177" s="632" t="inlineStr">
        <is>
          <t>Alarm Suppression</t>
        </is>
      </c>
      <c r="F177" s="632" t="inlineStr">
        <is>
          <t>S5</t>
        </is>
      </c>
      <c r="G177" s="632" t="inlineStr">
        <is>
          <t>Yes</t>
        </is>
      </c>
      <c r="H177" s="632" t="inlineStr">
        <is>
          <t>No explicit facility gate — defaults feasible</t>
        </is>
      </c>
      <c r="I177" s="632" t="inlineStr">
        <is>
          <t>Alarm Suppression is an ATT&amp;CK for ICS impact or response-inhibition technique that can support one or more governed adverse scenarios; scenario role remains controlled on 09.</t>
        </is>
      </c>
      <c r="J177" s="632" t="inlineStr">
        <is>
          <t>https://attack.mitre.org/techniques/T0878</t>
        </is>
      </c>
      <c r="K177" s="632" t="inlineStr">
        <is>
          <t>https://www.energy.gov/ceser/cybersecurity-capability-maturity-model-c2m2</t>
        </is>
      </c>
      <c r="L177" s="632" t="inlineStr">
        <is>
          <t>Working sector pack v1.0 — SME review recommended</t>
        </is>
      </c>
    </row>
    <row r="178">
      <c r="A178" s="632" t="inlineStr">
        <is>
          <t>Energy Assets|T0879</t>
        </is>
      </c>
      <c r="B178" s="632" t="inlineStr">
        <is>
          <t>Energy Assets</t>
        </is>
      </c>
      <c r="C178" s="632" t="inlineStr">
        <is>
          <t>All registered asset types; actual architecture/platform evidence overrides</t>
        </is>
      </c>
      <c r="D178" s="632" t="inlineStr">
        <is>
          <t>T0879</t>
        </is>
      </c>
      <c r="E178" s="632" t="inlineStr">
        <is>
          <t>Damage to Property</t>
        </is>
      </c>
      <c r="F178" s="632" t="inlineStr">
        <is>
          <t>S5</t>
        </is>
      </c>
      <c r="G178" s="632" t="inlineStr">
        <is>
          <t>Yes</t>
        </is>
      </c>
      <c r="H178" s="632" t="inlineStr">
        <is>
          <t>No explicit facility gate — defaults feasible</t>
        </is>
      </c>
      <c r="I178" s="632" t="inlineStr">
        <is>
          <t>Damage to Property is an ATT&amp;CK for ICS impact or response-inhibition technique that can support one or more governed adverse scenarios; scenario role remains controlled on 09.</t>
        </is>
      </c>
      <c r="J178" s="632" t="inlineStr">
        <is>
          <t>https://attack.mitre.org/techniques/T0879</t>
        </is>
      </c>
      <c r="K178" s="632" t="inlineStr">
        <is>
          <t>https://www.energy.gov/ceser/cybersecurity-capability-maturity-model-c2m2</t>
        </is>
      </c>
      <c r="L178" s="632" t="inlineStr">
        <is>
          <t>Working sector pack v1.0 — SME review recommended</t>
        </is>
      </c>
    </row>
    <row r="179">
      <c r="A179" s="632" t="inlineStr">
        <is>
          <t>Energy Assets|T0880</t>
        </is>
      </c>
      <c r="B179" s="632" t="inlineStr">
        <is>
          <t>Energy Assets</t>
        </is>
      </c>
      <c r="C179" s="632" t="inlineStr">
        <is>
          <t>All registered asset types; actual architecture/platform evidence overrides</t>
        </is>
      </c>
      <c r="D179" s="632" t="inlineStr">
        <is>
          <t>T0880</t>
        </is>
      </c>
      <c r="E179" s="632" t="inlineStr">
        <is>
          <t>Loss of Safety</t>
        </is>
      </c>
      <c r="F179" s="632" t="inlineStr">
        <is>
          <t>S5</t>
        </is>
      </c>
      <c r="G179" s="632" t="inlineStr">
        <is>
          <t>Yes</t>
        </is>
      </c>
      <c r="H179" s="632" t="inlineStr">
        <is>
          <t>No explicit facility gate — defaults feasible</t>
        </is>
      </c>
      <c r="I179" s="632" t="inlineStr">
        <is>
          <t>Loss of Safety is an ATT&amp;CK for ICS impact or response-inhibition technique that can support one or more governed adverse scenarios; scenario role remains controlled on 09.</t>
        </is>
      </c>
      <c r="J179" s="632" t="inlineStr">
        <is>
          <t>https://attack.mitre.org/techniques/T0880</t>
        </is>
      </c>
      <c r="K179" s="632" t="inlineStr">
        <is>
          <t>https://www.energy.gov/ceser/cybersecurity-capability-maturity-model-c2m2</t>
        </is>
      </c>
      <c r="L179" s="632" t="inlineStr">
        <is>
          <t>Working sector pack v1.0 — SME review recommended</t>
        </is>
      </c>
    </row>
    <row r="180">
      <c r="A180" s="632" t="inlineStr">
        <is>
          <t>Energy Assets|T0881</t>
        </is>
      </c>
      <c r="B180" s="632" t="inlineStr">
        <is>
          <t>Energy Assets</t>
        </is>
      </c>
      <c r="C180" s="632" t="inlineStr">
        <is>
          <t>All registered asset types; actual architecture/platform evidence overrides</t>
        </is>
      </c>
      <c r="D180" s="632" t="inlineStr">
        <is>
          <t>T0881</t>
        </is>
      </c>
      <c r="E180" s="632" t="inlineStr">
        <is>
          <t>Service Stop</t>
        </is>
      </c>
      <c r="F180" s="632" t="inlineStr">
        <is>
          <t>S5</t>
        </is>
      </c>
      <c r="G180" s="632" t="inlineStr">
        <is>
          <t>Yes</t>
        </is>
      </c>
      <c r="H180" s="632" t="inlineStr">
        <is>
          <t>No explicit facility gate — defaults feasible</t>
        </is>
      </c>
      <c r="I180" s="632" t="inlineStr">
        <is>
          <t>Service Stop is an ATT&amp;CK for ICS impact or response-inhibition technique that can support one or more governed adverse scenarios; scenario role remains controlled on 09.</t>
        </is>
      </c>
      <c r="J180" s="632" t="inlineStr">
        <is>
          <t>https://attack.mitre.org/techniques/T0881</t>
        </is>
      </c>
      <c r="K180" s="632" t="inlineStr">
        <is>
          <t>https://www.energy.gov/ceser/cybersecurity-capability-maturity-model-c2m2</t>
        </is>
      </c>
      <c r="L180" s="632" t="inlineStr">
        <is>
          <t>Working sector pack v1.0 — SME review recommended</t>
        </is>
      </c>
    </row>
    <row r="181">
      <c r="A181" s="632" t="inlineStr">
        <is>
          <t>Energy Assets|T0882</t>
        </is>
      </c>
      <c r="B181" s="632" t="inlineStr">
        <is>
          <t>Energy Assets</t>
        </is>
      </c>
      <c r="C181" s="632" t="inlineStr">
        <is>
          <t>All registered asset types; actual architecture/platform evidence overrides</t>
        </is>
      </c>
      <c r="D181" s="632" t="inlineStr">
        <is>
          <t>T0882</t>
        </is>
      </c>
      <c r="E181" s="632" t="inlineStr">
        <is>
          <t>Theft of Operational Information</t>
        </is>
      </c>
      <c r="F181" s="632" t="inlineStr">
        <is>
          <t>S5</t>
        </is>
      </c>
      <c r="G181" s="632" t="inlineStr">
        <is>
          <t>Yes</t>
        </is>
      </c>
      <c r="H181" s="632" t="inlineStr">
        <is>
          <t>No explicit facility gate — defaults feasible</t>
        </is>
      </c>
      <c r="I181" s="632" t="inlineStr">
        <is>
          <t>Theft of Operational Information is an ATT&amp;CK for ICS impact or response-inhibition technique that can support one or more governed adverse scenarios; scenario role remains controlled on 09.</t>
        </is>
      </c>
      <c r="J181" s="632" t="inlineStr">
        <is>
          <t>https://attack.mitre.org/techniques/T0882</t>
        </is>
      </c>
      <c r="K181" s="632" t="inlineStr">
        <is>
          <t>https://www.energy.gov/ceser/cybersecurity-capability-maturity-model-c2m2</t>
        </is>
      </c>
      <c r="L181" s="632" t="inlineStr">
        <is>
          <t>Working sector pack v1.0 — SME review recommended</t>
        </is>
      </c>
    </row>
    <row r="182">
      <c r="A182" s="632" t="inlineStr">
        <is>
          <t>Energy Assets|T0883</t>
        </is>
      </c>
      <c r="B182" s="632" t="inlineStr">
        <is>
          <t>Energy Assets</t>
        </is>
      </c>
      <c r="C182" s="632" t="inlineStr">
        <is>
          <t>All registered asset types; actual architecture/platform evidence overrides</t>
        </is>
      </c>
      <c r="D182" s="632" t="inlineStr">
        <is>
          <t>T0883</t>
        </is>
      </c>
      <c r="E182" s="632" t="inlineStr">
        <is>
          <t>Internet Accessible Device</t>
        </is>
      </c>
      <c r="F182" s="632" t="inlineStr">
        <is>
          <t>S1</t>
        </is>
      </c>
      <c r="G182" s="632" t="inlineStr">
        <is>
          <t>Yes</t>
        </is>
      </c>
      <c r="H182" s="632" t="inlineStr">
        <is>
          <t>INTERNET_OT — Yes</t>
        </is>
      </c>
      <c r="I182" s="632" t="inlineStr">
        <is>
          <t>The Internet Accessible Device route is credible for Energy Assets OT when the enabling access condition exists; existing facility gates determine remote, internet, transient, supply-chain or wireless feasibility.</t>
        </is>
      </c>
      <c r="J182" s="632" t="inlineStr">
        <is>
          <t>https://attack.mitre.org/techniques/T0883</t>
        </is>
      </c>
      <c r="K182" s="632" t="inlineStr">
        <is>
          <t>https://www.energy.gov/ceser/cybersecurity-capability-maturity-model-c2m2</t>
        </is>
      </c>
      <c r="L182" s="632" t="inlineStr">
        <is>
          <t>Working sector pack v1.0 — SME review recommended</t>
        </is>
      </c>
    </row>
    <row r="183">
      <c r="A183" s="632" t="inlineStr">
        <is>
          <t>Energy Assets|T0884</t>
        </is>
      </c>
      <c r="B183" s="632" t="inlineStr">
        <is>
          <t>Energy Assets</t>
        </is>
      </c>
      <c r="C183" s="632" t="inlineStr">
        <is>
          <t>All registered asset types; actual architecture/platform evidence overrides</t>
        </is>
      </c>
      <c r="D183" s="632" t="inlineStr">
        <is>
          <t>T0884</t>
        </is>
      </c>
      <c r="E183" s="632" t="inlineStr">
        <is>
          <t>Connection Proxy</t>
        </is>
      </c>
      <c r="F183" s="632" t="inlineStr">
        <is>
          <t>S3</t>
        </is>
      </c>
      <c r="G183" s="632" t="inlineStr">
        <is>
          <t>Yes</t>
        </is>
      </c>
      <c r="H183" s="632" t="inlineStr">
        <is>
          <t>No explicit facility gate — defaults feasible</t>
        </is>
      </c>
      <c r="I183" s="632" t="inlineStr">
        <is>
          <t>Connection Proxy can support movement toward or within plant/control zones; actual reachability is governed by the assessed facility architecture.</t>
        </is>
      </c>
      <c r="J183" s="632" t="inlineStr">
        <is>
          <t>https://attack.mitre.org/techniques/T0884</t>
        </is>
      </c>
      <c r="K183" s="632" t="inlineStr">
        <is>
          <t>https://www.energy.gov/ceser/cybersecurity-capability-maturity-model-c2m2</t>
        </is>
      </c>
      <c r="L183" s="632" t="inlineStr">
        <is>
          <t>Working sector pack v1.0 — SME review recommended</t>
        </is>
      </c>
    </row>
    <row r="184">
      <c r="A184" s="632" t="inlineStr">
        <is>
          <t>Energy Assets|T0885</t>
        </is>
      </c>
      <c r="B184" s="632" t="inlineStr">
        <is>
          <t>Energy Assets</t>
        </is>
      </c>
      <c r="C184" s="632" t="inlineStr">
        <is>
          <t>All registered asset types; actual architecture/platform evidence overrides</t>
        </is>
      </c>
      <c r="D184" s="632" t="inlineStr">
        <is>
          <t>T0885</t>
        </is>
      </c>
      <c r="E184" s="632" t="inlineStr">
        <is>
          <t>Commonly Used Port</t>
        </is>
      </c>
      <c r="F184" s="632" t="inlineStr">
        <is>
          <t>S3</t>
        </is>
      </c>
      <c r="G184" s="632" t="inlineStr">
        <is>
          <t>Yes</t>
        </is>
      </c>
      <c r="H184" s="632" t="inlineStr">
        <is>
          <t>No explicit facility gate — defaults feasible</t>
        </is>
      </c>
      <c r="I184" s="632" t="inlineStr">
        <is>
          <t>Commonly Used Port can support movement toward or within plant/control zones; actual reachability is governed by the assessed facility architecture.</t>
        </is>
      </c>
      <c r="J184" s="632" t="inlineStr">
        <is>
          <t>https://attack.mitre.org/techniques/T0885</t>
        </is>
      </c>
      <c r="K184" s="632" t="inlineStr">
        <is>
          <t>https://www.energy.gov/ceser/cybersecurity-capability-maturity-model-c2m2</t>
        </is>
      </c>
      <c r="L184" s="632" t="inlineStr">
        <is>
          <t>Working sector pack v1.0 — SME review recommended</t>
        </is>
      </c>
    </row>
    <row r="185">
      <c r="A185" s="632" t="inlineStr">
        <is>
          <t>Energy Assets|T0886</t>
        </is>
      </c>
      <c r="B185" s="632" t="inlineStr">
        <is>
          <t>Energy Assets</t>
        </is>
      </c>
      <c r="C185" s="632" t="inlineStr">
        <is>
          <t>All registered asset types; actual architecture/platform evidence overrides</t>
        </is>
      </c>
      <c r="D185" s="632" t="inlineStr">
        <is>
          <t>T0886</t>
        </is>
      </c>
      <c r="E185" s="632" t="inlineStr">
        <is>
          <t>Remote Services</t>
        </is>
      </c>
      <c r="F185" s="632" t="inlineStr">
        <is>
          <t>S1</t>
        </is>
      </c>
      <c r="G185" s="632" t="inlineStr">
        <is>
          <t>Yes</t>
        </is>
      </c>
      <c r="H185" s="632" t="inlineStr">
        <is>
          <t>REMOTE_OR_ITOT — Remote path or IT-OT connection</t>
        </is>
      </c>
      <c r="I185" s="632" t="inlineStr">
        <is>
          <t>The Remote Services route is credible for Energy Assets OT when the enabling access condition exists; existing facility gates determine remote, internet, transient, supply-chain or wireless feasibility.</t>
        </is>
      </c>
      <c r="J185" s="632" t="inlineStr">
        <is>
          <t>https://attack.mitre.org/techniques/T0886</t>
        </is>
      </c>
      <c r="K185" s="632" t="inlineStr">
        <is>
          <t>https://www.energy.gov/ceser/cybersecurity-capability-maturity-model-c2m2</t>
        </is>
      </c>
      <c r="L185" s="632" t="inlineStr">
        <is>
          <t>Working sector pack v1.0 — SME review recommended</t>
        </is>
      </c>
    </row>
    <row r="186">
      <c r="A186" s="632" t="inlineStr">
        <is>
          <t>Energy Assets|T0887</t>
        </is>
      </c>
      <c r="B186" s="632" t="inlineStr">
        <is>
          <t>Energy Assets</t>
        </is>
      </c>
      <c r="C186" s="632" t="inlineStr">
        <is>
          <t>All registered asset types; actual architecture/platform evidence overrides</t>
        </is>
      </c>
      <c r="D186" s="632" t="inlineStr">
        <is>
          <t>T0887</t>
        </is>
      </c>
      <c r="E186" s="632" t="inlineStr">
        <is>
          <t>Wireless Sniffing</t>
        </is>
      </c>
      <c r="F186" s="632" t="inlineStr">
        <is>
          <t>S4</t>
        </is>
      </c>
      <c r="G186" s="632" t="inlineStr">
        <is>
          <t>Yes</t>
        </is>
      </c>
      <c r="H186" s="632" t="inlineStr">
        <is>
          <t>WIRELESS — Yes</t>
        </is>
      </c>
      <c r="I186" s="632" t="inlineStr">
        <is>
          <t>Wireless Sniffing can support discovery or interaction with process state, control assets and operational data in Energy Assets environments.</t>
        </is>
      </c>
      <c r="J186" s="632" t="inlineStr">
        <is>
          <t>https://attack.mitre.org/techniques/T0887</t>
        </is>
      </c>
      <c r="K186" s="632" t="inlineStr">
        <is>
          <t>https://www.energy.gov/ceser/cybersecurity-capability-maturity-model-c2m2</t>
        </is>
      </c>
      <c r="L186" s="632" t="inlineStr">
        <is>
          <t>Working sector pack v1.0 — SME review recommended</t>
        </is>
      </c>
    </row>
    <row r="187">
      <c r="A187" s="632" t="inlineStr">
        <is>
          <t>Energy Assets|T0888</t>
        </is>
      </c>
      <c r="B187" s="632" t="inlineStr">
        <is>
          <t>Energy Assets</t>
        </is>
      </c>
      <c r="C187" s="632" t="inlineStr">
        <is>
          <t>All registered asset types; actual architecture/platform evidence overrides</t>
        </is>
      </c>
      <c r="D187" s="632" t="inlineStr">
        <is>
          <t>T0888</t>
        </is>
      </c>
      <c r="E187" s="632" t="inlineStr">
        <is>
          <t>Remote System Information Discovery</t>
        </is>
      </c>
      <c r="F187" s="632" t="inlineStr">
        <is>
          <t>S4</t>
        </is>
      </c>
      <c r="G187" s="632" t="inlineStr">
        <is>
          <t>Yes</t>
        </is>
      </c>
      <c r="H187" s="632" t="inlineStr">
        <is>
          <t>No explicit facility gate — defaults feasible</t>
        </is>
      </c>
      <c r="I187" s="632" t="inlineStr">
        <is>
          <t>Remote System Information Discovery can support discovery or interaction with process state, control assets and operational data in Energy Assets environments.</t>
        </is>
      </c>
      <c r="J187" s="632" t="inlineStr">
        <is>
          <t>https://attack.mitre.org/techniques/T0888</t>
        </is>
      </c>
      <c r="K187" s="632" t="inlineStr">
        <is>
          <t>https://www.energy.gov/ceser/cybersecurity-capability-maturity-model-c2m2</t>
        </is>
      </c>
      <c r="L187" s="632" t="inlineStr">
        <is>
          <t>Working sector pack v1.0 — SME review recommended</t>
        </is>
      </c>
    </row>
    <row r="188">
      <c r="A188" s="632" t="inlineStr">
        <is>
          <t>Energy Assets|T0889</t>
        </is>
      </c>
      <c r="B188" s="632" t="inlineStr">
        <is>
          <t>Energy Assets</t>
        </is>
      </c>
      <c r="C188" s="632" t="inlineStr">
        <is>
          <t>All registered asset types; actual architecture/platform evidence overrides</t>
        </is>
      </c>
      <c r="D188" s="632" t="inlineStr">
        <is>
          <t>T0889</t>
        </is>
      </c>
      <c r="E188" s="632" t="inlineStr">
        <is>
          <t>Modify Program</t>
        </is>
      </c>
      <c r="F188" s="632" t="inlineStr">
        <is>
          <t>S2</t>
        </is>
      </c>
      <c r="G188" s="632" t="inlineStr">
        <is>
          <t>Yes</t>
        </is>
      </c>
      <c r="H188" s="632" t="inlineStr">
        <is>
          <t>No explicit facility gate — defaults feasible</t>
        </is>
      </c>
      <c r="I188" s="632" t="inlineStr">
        <is>
          <t>Modify Program is applicable to execution or persistence on engineering workstations, HMIs, servers or controllers used in Energy Assets facilities.</t>
        </is>
      </c>
      <c r="J188" s="632" t="inlineStr">
        <is>
          <t>https://attack.mitre.org/techniques/T0889</t>
        </is>
      </c>
      <c r="K188" s="632" t="inlineStr">
        <is>
          <t>https://www.energy.gov/ceser/cybersecurity-capability-maturity-model-c2m2</t>
        </is>
      </c>
      <c r="L188" s="632" t="inlineStr">
        <is>
          <t>Working sector pack v1.0 — SME review recommended</t>
        </is>
      </c>
    </row>
    <row r="189">
      <c r="A189" s="632" t="inlineStr">
        <is>
          <t>Energy Assets|T0890</t>
        </is>
      </c>
      <c r="B189" s="632" t="inlineStr">
        <is>
          <t>Energy Assets</t>
        </is>
      </c>
      <c r="C189" s="632" t="inlineStr">
        <is>
          <t>All registered asset types; actual architecture/platform evidence overrides</t>
        </is>
      </c>
      <c r="D189" s="632" t="inlineStr">
        <is>
          <t>T0890</t>
        </is>
      </c>
      <c r="E189" s="632" t="inlineStr">
        <is>
          <t>Exploitation for Privilege Escalation</t>
        </is>
      </c>
      <c r="F189" s="632" t="inlineStr">
        <is>
          <t>S2</t>
        </is>
      </c>
      <c r="G189" s="632" t="inlineStr">
        <is>
          <t>Yes</t>
        </is>
      </c>
      <c r="H189" s="632" t="inlineStr">
        <is>
          <t>No explicit facility gate — defaults feasible</t>
        </is>
      </c>
      <c r="I189" s="632" t="inlineStr">
        <is>
          <t>Exploitation for Privilege Escalation is applicable to execution or persistence on engineering workstations, HMIs, servers or controllers used in Energy Assets facilities.</t>
        </is>
      </c>
      <c r="J189" s="632" t="inlineStr">
        <is>
          <t>https://attack.mitre.org/techniques/T0890</t>
        </is>
      </c>
      <c r="K189" s="632" t="inlineStr">
        <is>
          <t>https://www.energy.gov/ceser/cybersecurity-capability-maturity-model-c2m2</t>
        </is>
      </c>
      <c r="L189" s="632" t="inlineStr">
        <is>
          <t>Working sector pack v1.0 — SME review recommended</t>
        </is>
      </c>
    </row>
    <row r="190">
      <c r="A190" s="632" t="inlineStr">
        <is>
          <t>Energy Assets|T0892</t>
        </is>
      </c>
      <c r="B190" s="632" t="inlineStr">
        <is>
          <t>Energy Assets</t>
        </is>
      </c>
      <c r="C190" s="632" t="inlineStr">
        <is>
          <t>All registered asset types; actual architecture/platform evidence overrides</t>
        </is>
      </c>
      <c r="D190" s="632" t="inlineStr">
        <is>
          <t>T0892</t>
        </is>
      </c>
      <c r="E190" s="632" t="inlineStr">
        <is>
          <t>Change Credential</t>
        </is>
      </c>
      <c r="F190" s="632" t="inlineStr">
        <is>
          <t>S5</t>
        </is>
      </c>
      <c r="G190" s="632" t="inlineStr">
        <is>
          <t>Yes</t>
        </is>
      </c>
      <c r="H190" s="632" t="inlineStr">
        <is>
          <t>No explicit facility gate — defaults feasible</t>
        </is>
      </c>
      <c r="I190" s="632" t="inlineStr">
        <is>
          <t>Change Credential is an ATT&amp;CK for ICS impact or response-inhibition technique that can support one or more governed adverse scenarios; scenario role remains controlled on 09.</t>
        </is>
      </c>
      <c r="J190" s="632" t="inlineStr">
        <is>
          <t>https://attack.mitre.org/techniques/T0892</t>
        </is>
      </c>
      <c r="K190" s="632" t="inlineStr">
        <is>
          <t>https://www.energy.gov/ceser/cybersecurity-capability-maturity-model-c2m2</t>
        </is>
      </c>
      <c r="L190" s="632" t="inlineStr">
        <is>
          <t>Working sector pack v1.0 — SME review recommended</t>
        </is>
      </c>
    </row>
    <row r="191">
      <c r="A191" s="632" t="inlineStr">
        <is>
          <t>Energy Assets|T0893</t>
        </is>
      </c>
      <c r="B191" s="632" t="inlineStr">
        <is>
          <t>Energy Assets</t>
        </is>
      </c>
      <c r="C191" s="632" t="inlineStr">
        <is>
          <t>All registered asset types; actual architecture/platform evidence overrides</t>
        </is>
      </c>
      <c r="D191" s="632" t="inlineStr">
        <is>
          <t>T0893</t>
        </is>
      </c>
      <c r="E191" s="632" t="inlineStr">
        <is>
          <t>Data from Local System</t>
        </is>
      </c>
      <c r="F191" s="632" t="inlineStr">
        <is>
          <t>S4</t>
        </is>
      </c>
      <c r="G191" s="632" t="inlineStr">
        <is>
          <t>Yes</t>
        </is>
      </c>
      <c r="H191" s="632" t="inlineStr">
        <is>
          <t>No explicit facility gate — defaults feasible</t>
        </is>
      </c>
      <c r="I191" s="632" t="inlineStr">
        <is>
          <t>Data from Local System can support discovery or interaction with process state, control assets and operational data in Energy Assets environments.</t>
        </is>
      </c>
      <c r="J191" s="632" t="inlineStr">
        <is>
          <t>https://attack.mitre.org/techniques/T0893</t>
        </is>
      </c>
      <c r="K191" s="632" t="inlineStr">
        <is>
          <t>https://www.energy.gov/ceser/cybersecurity-capability-maturity-model-c2m2</t>
        </is>
      </c>
      <c r="L191" s="632" t="inlineStr">
        <is>
          <t>Working sector pack v1.0 — SME review recommended</t>
        </is>
      </c>
    </row>
    <row r="192">
      <c r="A192" s="632" t="inlineStr">
        <is>
          <t>Energy Assets|T0894</t>
        </is>
      </c>
      <c r="B192" s="632" t="inlineStr">
        <is>
          <t>Energy Assets</t>
        </is>
      </c>
      <c r="C192" s="632" t="inlineStr">
        <is>
          <t>All registered asset types; actual architecture/platform evidence overrides</t>
        </is>
      </c>
      <c r="D192" s="632" t="inlineStr">
        <is>
          <t>T0894</t>
        </is>
      </c>
      <c r="E192" s="632" t="inlineStr">
        <is>
          <t>System Binary Proxy Execution</t>
        </is>
      </c>
      <c r="F192" s="632" t="inlineStr">
        <is>
          <t>S2</t>
        </is>
      </c>
      <c r="G192" s="632" t="inlineStr">
        <is>
          <t>Yes</t>
        </is>
      </c>
      <c r="H192" s="632" t="inlineStr">
        <is>
          <t>No explicit facility gate — defaults feasible</t>
        </is>
      </c>
      <c r="I192" s="632" t="inlineStr">
        <is>
          <t>System Binary Proxy Execution is applicable to execution or persistence on engineering workstations, HMIs, servers or controllers used in Energy Assets facilities.</t>
        </is>
      </c>
      <c r="J192" s="632" t="inlineStr">
        <is>
          <t>https://attack.mitre.org/techniques/T0894</t>
        </is>
      </c>
      <c r="K192" s="632" t="inlineStr">
        <is>
          <t>https://www.energy.gov/ceser/cybersecurity-capability-maturity-model-c2m2</t>
        </is>
      </c>
      <c r="L192" s="632" t="inlineStr">
        <is>
          <t>Working sector pack v1.0 — SME review recommended</t>
        </is>
      </c>
    </row>
    <row r="193">
      <c r="A193" s="632" t="inlineStr">
        <is>
          <t>Energy Assets|T0895</t>
        </is>
      </c>
      <c r="B193" s="632" t="inlineStr">
        <is>
          <t>Energy Assets</t>
        </is>
      </c>
      <c r="C193" s="632" t="inlineStr">
        <is>
          <t>All registered asset types; actual architecture/platform evidence overrides</t>
        </is>
      </c>
      <c r="D193" s="632" t="inlineStr">
        <is>
          <t>T0895</t>
        </is>
      </c>
      <c r="E193" s="632" t="inlineStr">
        <is>
          <t>Autorun Image</t>
        </is>
      </c>
      <c r="F193" s="632" t="inlineStr">
        <is>
          <t>S2</t>
        </is>
      </c>
      <c r="G193" s="632" t="inlineStr">
        <is>
          <t>Yes</t>
        </is>
      </c>
      <c r="H193" s="632" t="inlineStr">
        <is>
          <t>No explicit facility gate — defaults feasible</t>
        </is>
      </c>
      <c r="I193" s="632" t="inlineStr">
        <is>
          <t>Autorun Image is applicable to execution or persistence on engineering workstations, HMIs, servers or controllers used in Energy Assets facilities.</t>
        </is>
      </c>
      <c r="J193" s="632" t="inlineStr">
        <is>
          <t>https://attack.mitre.org/techniques/T0895</t>
        </is>
      </c>
      <c r="K193" s="632" t="inlineStr">
        <is>
          <t>https://www.energy.gov/ceser/cybersecurity-capability-maturity-model-c2m2</t>
        </is>
      </c>
      <c r="L193" s="632" t="inlineStr">
        <is>
          <t>Working sector pack v1.0 — SME review recommended</t>
        </is>
      </c>
    </row>
    <row r="194">
      <c r="A194" s="632" t="inlineStr">
        <is>
          <t>Energy Assets|T1691</t>
        </is>
      </c>
      <c r="B194" s="632" t="inlineStr">
        <is>
          <t>Energy Assets</t>
        </is>
      </c>
      <c r="C194" s="632" t="inlineStr">
        <is>
          <t>All registered asset types; actual architecture/platform evidence overrides</t>
        </is>
      </c>
      <c r="D194" s="632" t="inlineStr">
        <is>
          <t>T1691</t>
        </is>
      </c>
      <c r="E194" s="632" t="inlineStr">
        <is>
          <t>Block Operational Technology Message</t>
        </is>
      </c>
      <c r="F194" s="632" t="inlineStr">
        <is>
          <t>S5</t>
        </is>
      </c>
      <c r="G194" s="632" t="inlineStr">
        <is>
          <t>Yes</t>
        </is>
      </c>
      <c r="H194" s="632" t="inlineStr">
        <is>
          <t>No explicit facility gate — defaults feasible</t>
        </is>
      </c>
      <c r="I194" s="632" t="inlineStr">
        <is>
          <t>Block Operational Technology Message is an ATT&amp;CK for ICS impact or response-inhibition technique that can support one or more governed adverse scenarios; scenario role remains controlled on 09.</t>
        </is>
      </c>
      <c r="J194" s="632" t="inlineStr">
        <is>
          <t>https://attack.mitre.org/techniques/T1691</t>
        </is>
      </c>
      <c r="K194" s="632" t="inlineStr">
        <is>
          <t>https://www.energy.gov/ceser/cybersecurity-capability-maturity-model-c2m2</t>
        </is>
      </c>
      <c r="L194" s="632" t="inlineStr">
        <is>
          <t>Working sector pack v1.0 — SME review recommended</t>
        </is>
      </c>
    </row>
    <row r="195">
      <c r="A195" s="632" t="inlineStr">
        <is>
          <t>Energy Assets|T1691.001</t>
        </is>
      </c>
      <c r="B195" s="632" t="inlineStr">
        <is>
          <t>Energy Assets</t>
        </is>
      </c>
      <c r="C195" s="632" t="inlineStr">
        <is>
          <t>All registered asset types; actual architecture/platform evidence overrides</t>
        </is>
      </c>
      <c r="D195" s="632" t="inlineStr">
        <is>
          <t>T1691.001</t>
        </is>
      </c>
      <c r="E195" s="632" t="inlineStr">
        <is>
          <t>Command Message</t>
        </is>
      </c>
      <c r="F195" s="632" t="inlineStr">
        <is>
          <t>S5</t>
        </is>
      </c>
      <c r="G195" s="632" t="inlineStr">
        <is>
          <t>Yes</t>
        </is>
      </c>
      <c r="H195" s="632" t="inlineStr">
        <is>
          <t>No explicit facility gate — defaults feasible</t>
        </is>
      </c>
      <c r="I195" s="632" t="inlineStr">
        <is>
          <t>Command Message is an ATT&amp;CK for ICS impact or response-inhibition technique that can support one or more governed adverse scenarios; scenario role remains controlled on 09.</t>
        </is>
      </c>
      <c r="J195" s="632" t="inlineStr">
        <is>
          <t>https://attack.mitre.org/techniques/T1691/001</t>
        </is>
      </c>
      <c r="K195" s="632" t="inlineStr">
        <is>
          <t>https://www.energy.gov/ceser/cybersecurity-capability-maturity-model-c2m2</t>
        </is>
      </c>
      <c r="L195" s="632" t="inlineStr">
        <is>
          <t>Working sector pack v1.0 — SME review recommended</t>
        </is>
      </c>
    </row>
    <row r="196">
      <c r="A196" s="632" t="inlineStr">
        <is>
          <t>Energy Assets|T1691.002</t>
        </is>
      </c>
      <c r="B196" s="632" t="inlineStr">
        <is>
          <t>Energy Assets</t>
        </is>
      </c>
      <c r="C196" s="632" t="inlineStr">
        <is>
          <t>All registered asset types; actual architecture/platform evidence overrides</t>
        </is>
      </c>
      <c r="D196" s="632" t="inlineStr">
        <is>
          <t>T1691.002</t>
        </is>
      </c>
      <c r="E196" s="632" t="inlineStr">
        <is>
          <t>Reporting Message</t>
        </is>
      </c>
      <c r="F196" s="632" t="inlineStr">
        <is>
          <t>S5</t>
        </is>
      </c>
      <c r="G196" s="632" t="inlineStr">
        <is>
          <t>Yes</t>
        </is>
      </c>
      <c r="H196" s="632" t="inlineStr">
        <is>
          <t>No explicit facility gate — defaults feasible</t>
        </is>
      </c>
      <c r="I196" s="632" t="inlineStr">
        <is>
          <t>Reporting Message is an ATT&amp;CK for ICS impact or response-inhibition technique that can support one or more governed adverse scenarios; scenario role remains controlled on 09.</t>
        </is>
      </c>
      <c r="J196" s="632" t="inlineStr">
        <is>
          <t>https://attack.mitre.org/techniques/T1691/002</t>
        </is>
      </c>
      <c r="K196" s="632" t="inlineStr">
        <is>
          <t>https://www.energy.gov/ceser/cybersecurity-capability-maturity-model-c2m2</t>
        </is>
      </c>
      <c r="L196" s="632" t="inlineStr">
        <is>
          <t>Working sector pack v1.0 — SME review recommended</t>
        </is>
      </c>
    </row>
    <row r="197">
      <c r="A197" s="632" t="inlineStr">
        <is>
          <t>Energy Assets|T1692</t>
        </is>
      </c>
      <c r="B197" s="632" t="inlineStr">
        <is>
          <t>Energy Assets</t>
        </is>
      </c>
      <c r="C197" s="632" t="inlineStr">
        <is>
          <t>All registered asset types; actual architecture/platform evidence overrides</t>
        </is>
      </c>
      <c r="D197" s="632" t="inlineStr">
        <is>
          <t>T1692</t>
        </is>
      </c>
      <c r="E197" s="632" t="inlineStr">
        <is>
          <t>Unauthorized Message</t>
        </is>
      </c>
      <c r="F197" s="632" t="inlineStr">
        <is>
          <t>S5</t>
        </is>
      </c>
      <c r="G197" s="632" t="inlineStr">
        <is>
          <t>Yes</t>
        </is>
      </c>
      <c r="H197" s="632" t="inlineStr">
        <is>
          <t>No explicit facility gate — defaults feasible</t>
        </is>
      </c>
      <c r="I197" s="632" t="inlineStr">
        <is>
          <t>Unauthorized Message is an ATT&amp;CK for ICS impact or response-inhibition technique that can support one or more governed adverse scenarios; scenario role remains controlled on 09.</t>
        </is>
      </c>
      <c r="J197" s="632" t="inlineStr">
        <is>
          <t>https://attack.mitre.org/techniques/T1692</t>
        </is>
      </c>
      <c r="K197" s="632" t="inlineStr">
        <is>
          <t>https://www.energy.gov/ceser/cybersecurity-capability-maturity-model-c2m2</t>
        </is>
      </c>
      <c r="L197" s="632" t="inlineStr">
        <is>
          <t>Working sector pack v1.0 — SME review recommended</t>
        </is>
      </c>
    </row>
    <row r="198">
      <c r="A198" s="632" t="inlineStr">
        <is>
          <t>Energy Assets|T1692.001</t>
        </is>
      </c>
      <c r="B198" s="632" t="inlineStr">
        <is>
          <t>Energy Assets</t>
        </is>
      </c>
      <c r="C198" s="632" t="inlineStr">
        <is>
          <t>All registered asset types; actual architecture/platform evidence overrides</t>
        </is>
      </c>
      <c r="D198" s="632" t="inlineStr">
        <is>
          <t>T1692.001</t>
        </is>
      </c>
      <c r="E198" s="632" t="inlineStr">
        <is>
          <t>Command Message</t>
        </is>
      </c>
      <c r="F198" s="632" t="inlineStr">
        <is>
          <t>S5</t>
        </is>
      </c>
      <c r="G198" s="632" t="inlineStr">
        <is>
          <t>Yes</t>
        </is>
      </c>
      <c r="H198" s="632" t="inlineStr">
        <is>
          <t>No explicit facility gate — defaults feasible</t>
        </is>
      </c>
      <c r="I198" s="632" t="inlineStr">
        <is>
          <t>Command Message is an ATT&amp;CK for ICS impact or response-inhibition technique that can support one or more governed adverse scenarios; scenario role remains controlled on 09.</t>
        </is>
      </c>
      <c r="J198" s="632" t="inlineStr">
        <is>
          <t>https://attack.mitre.org/techniques/T1692/001</t>
        </is>
      </c>
      <c r="K198" s="632" t="inlineStr">
        <is>
          <t>https://www.energy.gov/ceser/cybersecurity-capability-maturity-model-c2m2</t>
        </is>
      </c>
      <c r="L198" s="632" t="inlineStr">
        <is>
          <t>Working sector pack v1.0 — SME review recommended</t>
        </is>
      </c>
    </row>
    <row r="199">
      <c r="A199" s="632" t="inlineStr">
        <is>
          <t>Energy Assets|T1692.002</t>
        </is>
      </c>
      <c r="B199" s="632" t="inlineStr">
        <is>
          <t>Energy Assets</t>
        </is>
      </c>
      <c r="C199" s="632" t="inlineStr">
        <is>
          <t>All registered asset types; actual architecture/platform evidence overrides</t>
        </is>
      </c>
      <c r="D199" s="632" t="inlineStr">
        <is>
          <t>T1692.002</t>
        </is>
      </c>
      <c r="E199" s="632" t="inlineStr">
        <is>
          <t>Reporting Message</t>
        </is>
      </c>
      <c r="F199" s="632" t="inlineStr">
        <is>
          <t>S5</t>
        </is>
      </c>
      <c r="G199" s="632" t="inlineStr">
        <is>
          <t>Yes</t>
        </is>
      </c>
      <c r="H199" s="632" t="inlineStr">
        <is>
          <t>No explicit facility gate — defaults feasible</t>
        </is>
      </c>
      <c r="I199" s="632" t="inlineStr">
        <is>
          <t>Reporting Message is an ATT&amp;CK for ICS impact or response-inhibition technique that can support one or more governed adverse scenarios; scenario role remains controlled on 09.</t>
        </is>
      </c>
      <c r="J199" s="632" t="inlineStr">
        <is>
          <t>https://attack.mitre.org/techniques/T1692/002</t>
        </is>
      </c>
      <c r="K199" s="632" t="inlineStr">
        <is>
          <t>https://www.energy.gov/ceser/cybersecurity-capability-maturity-model-c2m2</t>
        </is>
      </c>
      <c r="L199" s="632" t="inlineStr">
        <is>
          <t>Working sector pack v1.0 — SME review recommended</t>
        </is>
      </c>
    </row>
    <row r="200">
      <c r="A200" s="632" t="inlineStr">
        <is>
          <t>Energy Assets|T1693</t>
        </is>
      </c>
      <c r="B200" s="632" t="inlineStr">
        <is>
          <t>Energy Assets</t>
        </is>
      </c>
      <c r="C200" s="632" t="inlineStr">
        <is>
          <t>All registered asset types; actual architecture/platform evidence overrides</t>
        </is>
      </c>
      <c r="D200" s="632" t="inlineStr">
        <is>
          <t>T1693</t>
        </is>
      </c>
      <c r="E200" s="632" t="inlineStr">
        <is>
          <t>Modify Firmware</t>
        </is>
      </c>
      <c r="F200" s="632" t="inlineStr">
        <is>
          <t>S5</t>
        </is>
      </c>
      <c r="G200" s="632" t="inlineStr">
        <is>
          <t>Yes</t>
        </is>
      </c>
      <c r="H200" s="632" t="inlineStr">
        <is>
          <t>No explicit facility gate — defaults feasible</t>
        </is>
      </c>
      <c r="I200" s="632" t="inlineStr">
        <is>
          <t>Modify Firmware is an ATT&amp;CK for ICS impact or response-inhibition technique that can support one or more governed adverse scenarios; scenario role remains controlled on 09.</t>
        </is>
      </c>
      <c r="J200" s="632" t="inlineStr">
        <is>
          <t>https://attack.mitre.org/techniques/T1693</t>
        </is>
      </c>
      <c r="K200" s="632" t="inlineStr">
        <is>
          <t>https://www.energy.gov/ceser/cybersecurity-capability-maturity-model-c2m2</t>
        </is>
      </c>
      <c r="L200" s="632" t="inlineStr">
        <is>
          <t>Working sector pack v1.0 — SME review recommended</t>
        </is>
      </c>
    </row>
    <row r="201">
      <c r="A201" s="632" t="inlineStr">
        <is>
          <t>Energy Assets|T1693.001</t>
        </is>
      </c>
      <c r="B201" s="632" t="inlineStr">
        <is>
          <t>Energy Assets</t>
        </is>
      </c>
      <c r="C201" s="632" t="inlineStr">
        <is>
          <t>All registered asset types; actual architecture/platform evidence overrides</t>
        </is>
      </c>
      <c r="D201" s="632" t="inlineStr">
        <is>
          <t>T1693.001</t>
        </is>
      </c>
      <c r="E201" s="632" t="inlineStr">
        <is>
          <t>System Firmware</t>
        </is>
      </c>
      <c r="F201" s="632" t="inlineStr">
        <is>
          <t>S5</t>
        </is>
      </c>
      <c r="G201" s="632" t="inlineStr">
        <is>
          <t>Yes</t>
        </is>
      </c>
      <c r="H201" s="632" t="inlineStr">
        <is>
          <t>No explicit facility gate — defaults feasible</t>
        </is>
      </c>
      <c r="I201" s="632" t="inlineStr">
        <is>
          <t>System Firmware is an ATT&amp;CK for ICS impact or response-inhibition technique that can support one or more governed adverse scenarios; scenario role remains controlled on 09.</t>
        </is>
      </c>
      <c r="J201" s="632" t="inlineStr">
        <is>
          <t>https://attack.mitre.org/techniques/T1693/001</t>
        </is>
      </c>
      <c r="K201" s="632" t="inlineStr">
        <is>
          <t>https://www.energy.gov/ceser/cybersecurity-capability-maturity-model-c2m2</t>
        </is>
      </c>
      <c r="L201" s="632" t="inlineStr">
        <is>
          <t>Working sector pack v1.0 — SME review recommended</t>
        </is>
      </c>
    </row>
    <row r="202">
      <c r="A202" s="632" t="inlineStr">
        <is>
          <t>Energy Assets|T1693.002</t>
        </is>
      </c>
      <c r="B202" s="632" t="inlineStr">
        <is>
          <t>Energy Assets</t>
        </is>
      </c>
      <c r="C202" s="632" t="inlineStr">
        <is>
          <t>All registered asset types; actual architecture/platform evidence overrides</t>
        </is>
      </c>
      <c r="D202" s="632" t="inlineStr">
        <is>
          <t>T1693.002</t>
        </is>
      </c>
      <c r="E202" s="632" t="inlineStr">
        <is>
          <t>Module Firmware</t>
        </is>
      </c>
      <c r="F202" s="632" t="inlineStr">
        <is>
          <t>S5</t>
        </is>
      </c>
      <c r="G202" s="632" t="inlineStr">
        <is>
          <t>Yes</t>
        </is>
      </c>
      <c r="H202" s="632" t="inlineStr">
        <is>
          <t>No explicit facility gate — defaults feasible</t>
        </is>
      </c>
      <c r="I202" s="632" t="inlineStr">
        <is>
          <t>Module Firmware is an ATT&amp;CK for ICS impact or response-inhibition technique that can support one or more governed adverse scenarios; scenario role remains controlled on 09.</t>
        </is>
      </c>
      <c r="J202" s="632" t="inlineStr">
        <is>
          <t>https://attack.mitre.org/techniques/T1693/002</t>
        </is>
      </c>
      <c r="K202" s="632" t="inlineStr">
        <is>
          <t>https://www.energy.gov/ceser/cybersecurity-capability-maturity-model-c2m2</t>
        </is>
      </c>
      <c r="L202" s="632" t="inlineStr">
        <is>
          <t>Working sector pack v1.0 — SME review recommended</t>
        </is>
      </c>
    </row>
    <row r="203">
      <c r="A203" s="632" t="inlineStr">
        <is>
          <t>Energy Assets|T1694</t>
        </is>
      </c>
      <c r="B203" s="632" t="inlineStr">
        <is>
          <t>Energy Assets</t>
        </is>
      </c>
      <c r="C203" s="632" t="inlineStr">
        <is>
          <t>All registered asset types; actual architecture/platform evidence overrides</t>
        </is>
      </c>
      <c r="D203" s="632" t="inlineStr">
        <is>
          <t>T1694</t>
        </is>
      </c>
      <c r="E203" s="632" t="inlineStr">
        <is>
          <t>Insecure Credentials</t>
        </is>
      </c>
      <c r="F203" s="632" t="inlineStr">
        <is>
          <t>S3</t>
        </is>
      </c>
      <c r="G203" s="632" t="inlineStr">
        <is>
          <t>Yes</t>
        </is>
      </c>
      <c r="H203" s="632" t="inlineStr">
        <is>
          <t>No explicit facility gate — defaults feasible</t>
        </is>
      </c>
      <c r="I203" s="632" t="inlineStr">
        <is>
          <t>Insecure Credentials can support movement toward or within plant/control zones; actual reachability is governed by the assessed facility architecture.</t>
        </is>
      </c>
      <c r="J203" s="632" t="inlineStr">
        <is>
          <t>https://attack.mitre.org/techniques/T1694</t>
        </is>
      </c>
      <c r="K203" s="632" t="inlineStr">
        <is>
          <t>https://www.energy.gov/ceser/cybersecurity-capability-maturity-model-c2m2</t>
        </is>
      </c>
      <c r="L203" s="632" t="inlineStr">
        <is>
          <t>Working sector pack v1.0 — SME review recommended</t>
        </is>
      </c>
    </row>
    <row r="204">
      <c r="A204" s="632" t="inlineStr">
        <is>
          <t>Energy Assets|T1694.001</t>
        </is>
      </c>
      <c r="B204" s="632" t="inlineStr">
        <is>
          <t>Energy Assets</t>
        </is>
      </c>
      <c r="C204" s="632" t="inlineStr">
        <is>
          <t>All registered asset types; actual architecture/platform evidence overrides</t>
        </is>
      </c>
      <c r="D204" s="632" t="inlineStr">
        <is>
          <t>T1694.001</t>
        </is>
      </c>
      <c r="E204" s="632" t="inlineStr">
        <is>
          <t>Default Credentials</t>
        </is>
      </c>
      <c r="F204" s="632" t="inlineStr">
        <is>
          <t>S3</t>
        </is>
      </c>
      <c r="G204" s="632" t="inlineStr">
        <is>
          <t>Yes</t>
        </is>
      </c>
      <c r="H204" s="632" t="inlineStr">
        <is>
          <t>No explicit facility gate — defaults feasible</t>
        </is>
      </c>
      <c r="I204" s="632" t="inlineStr">
        <is>
          <t>Default Credentials can support movement toward or within plant/control zones; actual reachability is governed by the assessed facility architecture.</t>
        </is>
      </c>
      <c r="J204" s="632" t="inlineStr">
        <is>
          <t>https://attack.mitre.org/techniques/T1694/001</t>
        </is>
      </c>
      <c r="K204" s="632" t="inlineStr">
        <is>
          <t>https://www.energy.gov/ceser/cybersecurity-capability-maturity-model-c2m2</t>
        </is>
      </c>
      <c r="L204" s="632" t="inlineStr">
        <is>
          <t>Working sector pack v1.0 — SME review recommended</t>
        </is>
      </c>
    </row>
    <row r="205">
      <c r="A205" s="632" t="inlineStr">
        <is>
          <t>Energy Assets|T1694.002</t>
        </is>
      </c>
      <c r="B205" s="632" t="inlineStr">
        <is>
          <t>Energy Assets</t>
        </is>
      </c>
      <c r="C205" s="632" t="inlineStr">
        <is>
          <t>All registered asset types; actual architecture/platform evidence overrides</t>
        </is>
      </c>
      <c r="D205" s="632" t="inlineStr">
        <is>
          <t>T1694.002</t>
        </is>
      </c>
      <c r="E205" s="632" t="inlineStr">
        <is>
          <t>Hardcoded Credentials</t>
        </is>
      </c>
      <c r="F205" s="632" t="inlineStr">
        <is>
          <t>S3</t>
        </is>
      </c>
      <c r="G205" s="632" t="inlineStr">
        <is>
          <t>Yes</t>
        </is>
      </c>
      <c r="H205" s="632" t="inlineStr">
        <is>
          <t>No explicit facility gate — defaults feasible</t>
        </is>
      </c>
      <c r="I205" s="632" t="inlineStr">
        <is>
          <t>Hardcoded Credentials can support movement toward or within plant/control zones; actual reachability is governed by the assessed facility architecture.</t>
        </is>
      </c>
      <c r="J205" s="632" t="inlineStr">
        <is>
          <t>https://attack.mitre.org/techniques/T1694/002</t>
        </is>
      </c>
      <c r="K205" s="632" t="inlineStr">
        <is>
          <t>https://www.energy.gov/ceser/cybersecurity-capability-maturity-model-c2m2</t>
        </is>
      </c>
      <c r="L205" s="632" t="inlineStr">
        <is>
          <t>Working sector pack v1.0 — SME review recommended</t>
        </is>
      </c>
    </row>
    <row r="206">
      <c r="A206" s="632" t="inlineStr">
        <is>
          <t>Energy Assets|T1695</t>
        </is>
      </c>
      <c r="B206" s="632" t="inlineStr">
        <is>
          <t>Energy Assets</t>
        </is>
      </c>
      <c r="C206" s="632" t="inlineStr">
        <is>
          <t>All registered asset types; actual architecture/platform evidence overrides</t>
        </is>
      </c>
      <c r="D206" s="632" t="inlineStr">
        <is>
          <t>T1695</t>
        </is>
      </c>
      <c r="E206" s="632" t="inlineStr">
        <is>
          <t>Block Communications</t>
        </is>
      </c>
      <c r="F206" s="632" t="inlineStr">
        <is>
          <t>S5</t>
        </is>
      </c>
      <c r="G206" s="632" t="inlineStr">
        <is>
          <t>Yes</t>
        </is>
      </c>
      <c r="H206" s="632" t="inlineStr">
        <is>
          <t>No explicit facility gate — defaults feasible</t>
        </is>
      </c>
      <c r="I206" s="632" t="inlineStr">
        <is>
          <t>Block Communications is an ATT&amp;CK for ICS impact or response-inhibition technique that can support one or more governed adverse scenarios; scenario role remains controlled on 09.</t>
        </is>
      </c>
      <c r="J206" s="632" t="inlineStr">
        <is>
          <t>https://attack.mitre.org/techniques/T1695</t>
        </is>
      </c>
      <c r="K206" s="632" t="inlineStr">
        <is>
          <t>https://www.energy.gov/ceser/cybersecurity-capability-maturity-model-c2m2</t>
        </is>
      </c>
      <c r="L206" s="632" t="inlineStr">
        <is>
          <t>Working sector pack v1.0 — SME review recommended</t>
        </is>
      </c>
    </row>
    <row r="207">
      <c r="A207" s="632" t="inlineStr">
        <is>
          <t>Energy Assets|T1695.001</t>
        </is>
      </c>
      <c r="B207" s="632" t="inlineStr">
        <is>
          <t>Energy Assets</t>
        </is>
      </c>
      <c r="C207" s="632" t="inlineStr">
        <is>
          <t>All registered asset types; actual architecture/platform evidence overrides</t>
        </is>
      </c>
      <c r="D207" s="632" t="inlineStr">
        <is>
          <t>T1695.001</t>
        </is>
      </c>
      <c r="E207" s="632" t="inlineStr">
        <is>
          <t>Serial COM</t>
        </is>
      </c>
      <c r="F207" s="632" t="inlineStr">
        <is>
          <t>S5</t>
        </is>
      </c>
      <c r="G207" s="632" t="inlineStr">
        <is>
          <t>Yes</t>
        </is>
      </c>
      <c r="H207" s="632" t="inlineStr">
        <is>
          <t>No explicit facility gate — defaults feasible</t>
        </is>
      </c>
      <c r="I207" s="632" t="inlineStr">
        <is>
          <t>Serial COM is an ATT&amp;CK for ICS impact or response-inhibition technique that can support one or more governed adverse scenarios; scenario role remains controlled on 09.</t>
        </is>
      </c>
      <c r="J207" s="632" t="inlineStr">
        <is>
          <t>https://attack.mitre.org/techniques/T1695/001</t>
        </is>
      </c>
      <c r="K207" s="632" t="inlineStr">
        <is>
          <t>https://www.energy.gov/ceser/cybersecurity-capability-maturity-model-c2m2</t>
        </is>
      </c>
      <c r="L207" s="632" t="inlineStr">
        <is>
          <t>Working sector pack v1.0 — SME review recommended</t>
        </is>
      </c>
    </row>
    <row r="208">
      <c r="A208" s="632" t="inlineStr">
        <is>
          <t>Energy Assets|T1695.002</t>
        </is>
      </c>
      <c r="B208" s="632" t="inlineStr">
        <is>
          <t>Energy Assets</t>
        </is>
      </c>
      <c r="C208" s="632" t="inlineStr">
        <is>
          <t>All registered asset types; actual architecture/platform evidence overrides</t>
        </is>
      </c>
      <c r="D208" s="632" t="inlineStr">
        <is>
          <t>T1695.002</t>
        </is>
      </c>
      <c r="E208" s="632" t="inlineStr">
        <is>
          <t>Ethernet</t>
        </is>
      </c>
      <c r="F208" s="632" t="inlineStr">
        <is>
          <t>S5</t>
        </is>
      </c>
      <c r="G208" s="632" t="inlineStr">
        <is>
          <t>Yes</t>
        </is>
      </c>
      <c r="H208" s="632" t="inlineStr">
        <is>
          <t>No explicit facility gate — defaults feasible</t>
        </is>
      </c>
      <c r="I208" s="632" t="inlineStr">
        <is>
          <t>Ethernet is an ATT&amp;CK for ICS impact or response-inhibition technique that can support one or more governed adverse scenarios; scenario role remains controlled on 09.</t>
        </is>
      </c>
      <c r="J208" s="632" t="inlineStr">
        <is>
          <t>https://attack.mitre.org/techniques/T1695/002</t>
        </is>
      </c>
      <c r="K208" s="632" t="inlineStr">
        <is>
          <t>https://www.energy.gov/ceser/cybersecurity-capability-maturity-model-c2m2</t>
        </is>
      </c>
      <c r="L208" s="632" t="inlineStr">
        <is>
          <t>Working sector pack v1.0 — SME review recommended</t>
        </is>
      </c>
    </row>
    <row r="209">
      <c r="A209" s="632" t="inlineStr">
        <is>
          <t>Energy Assets|T1695.003</t>
        </is>
      </c>
      <c r="B209" s="632" t="inlineStr">
        <is>
          <t>Energy Assets</t>
        </is>
      </c>
      <c r="C209" s="632" t="inlineStr">
        <is>
          <t>All registered asset types; actual architecture/platform evidence overrides</t>
        </is>
      </c>
      <c r="D209" s="632" t="inlineStr">
        <is>
          <t>T1695.003</t>
        </is>
      </c>
      <c r="E209" s="632" t="inlineStr">
        <is>
          <t>Wi-Fi</t>
        </is>
      </c>
      <c r="F209" s="632" t="inlineStr">
        <is>
          <t>S5</t>
        </is>
      </c>
      <c r="G209" s="632" t="inlineStr">
        <is>
          <t>Yes</t>
        </is>
      </c>
      <c r="H209" s="632" t="inlineStr">
        <is>
          <t>WIRELESS — Yes</t>
        </is>
      </c>
      <c r="I209" s="632" t="inlineStr">
        <is>
          <t>Wi-Fi is an ATT&amp;CK for ICS impact or response-inhibition technique that can support one or more governed adverse scenarios; scenario role remains controlled on 09.</t>
        </is>
      </c>
      <c r="J209" s="632" t="inlineStr">
        <is>
          <t>https://attack.mitre.org/techniques/T1695/003</t>
        </is>
      </c>
      <c r="K209" s="632" t="inlineStr">
        <is>
          <t>https://www.energy.gov/ceser/cybersecurity-capability-maturity-model-c2m2</t>
        </is>
      </c>
      <c r="L209" s="632" t="inlineStr">
        <is>
          <t>Working sector pack v1.0 — SME review recommended</t>
        </is>
      </c>
    </row>
    <row r="210">
      <c r="A210" s="632" t="inlineStr">
        <is>
          <t>Manufacturing|T0800</t>
        </is>
      </c>
      <c r="B210" s="632" t="inlineStr">
        <is>
          <t>Manufacturing</t>
        </is>
      </c>
      <c r="C210" s="632" t="inlineStr">
        <is>
          <t>All registered asset types; actual architecture/platform evidence overrides</t>
        </is>
      </c>
      <c r="D210" s="632" t="inlineStr">
        <is>
          <t>T0800</t>
        </is>
      </c>
      <c r="E210" s="632" t="inlineStr">
        <is>
          <t>Activate Firmware Update Mode</t>
        </is>
      </c>
      <c r="F210" s="632" t="inlineStr">
        <is>
          <t>S5</t>
        </is>
      </c>
      <c r="G210" s="632" t="inlineStr">
        <is>
          <t>Yes</t>
        </is>
      </c>
      <c r="H210" s="632" t="inlineStr">
        <is>
          <t>No explicit facility gate — defaults feasible</t>
        </is>
      </c>
      <c r="I210" s="632" t="inlineStr">
        <is>
          <t>Activate Firmware Update Mode is an ATT&amp;CK for ICS impact or response-inhibition technique that can support one or more governed adverse scenarios; scenario role remains controlled on 09.</t>
        </is>
      </c>
      <c r="J210" s="632" t="inlineStr">
        <is>
          <t>https://attack.mitre.org/techniques/T0800</t>
        </is>
      </c>
      <c r="K210" s="632" t="inlineStr">
        <is>
          <t>https://csrc.nist.gov/pubs/ir/8183/r1/final</t>
        </is>
      </c>
      <c r="L210" s="632" t="inlineStr">
        <is>
          <t>Working sector pack v1.0 — SME review recommended</t>
        </is>
      </c>
    </row>
    <row r="211">
      <c r="A211" s="632" t="inlineStr">
        <is>
          <t>Manufacturing|T0801</t>
        </is>
      </c>
      <c r="B211" s="632" t="inlineStr">
        <is>
          <t>Manufacturing</t>
        </is>
      </c>
      <c r="C211" s="632" t="inlineStr">
        <is>
          <t>All registered asset types; actual architecture/platform evidence overrides</t>
        </is>
      </c>
      <c r="D211" s="632" t="inlineStr">
        <is>
          <t>T0801</t>
        </is>
      </c>
      <c r="E211" s="632" t="inlineStr">
        <is>
          <t>Monitor Process State</t>
        </is>
      </c>
      <c r="F211" s="632" t="inlineStr">
        <is>
          <t>S4</t>
        </is>
      </c>
      <c r="G211" s="632" t="inlineStr">
        <is>
          <t>Yes</t>
        </is>
      </c>
      <c r="H211" s="632" t="inlineStr">
        <is>
          <t>No explicit facility gate — defaults feasible</t>
        </is>
      </c>
      <c r="I211" s="632" t="inlineStr">
        <is>
          <t>Monitor Process State can support discovery or interaction with process state, control assets and operational data in Manufacturing environments.</t>
        </is>
      </c>
      <c r="J211" s="632" t="inlineStr">
        <is>
          <t>https://attack.mitre.org/techniques/T0801</t>
        </is>
      </c>
      <c r="K211" s="632" t="inlineStr">
        <is>
          <t>https://csrc.nist.gov/pubs/ir/8183/r1/final</t>
        </is>
      </c>
      <c r="L211" s="632" t="inlineStr">
        <is>
          <t>Working sector pack v1.0 — SME review recommended</t>
        </is>
      </c>
    </row>
    <row r="212">
      <c r="A212" s="632" t="inlineStr">
        <is>
          <t>Manufacturing|T0802</t>
        </is>
      </c>
      <c r="B212" s="632" t="inlineStr">
        <is>
          <t>Manufacturing</t>
        </is>
      </c>
      <c r="C212" s="632" t="inlineStr">
        <is>
          <t>All registered asset types; actual architecture/platform evidence overrides</t>
        </is>
      </c>
      <c r="D212" s="632" t="inlineStr">
        <is>
          <t>T0802</t>
        </is>
      </c>
      <c r="E212" s="632" t="inlineStr">
        <is>
          <t>Automated Collection</t>
        </is>
      </c>
      <c r="F212" s="632" t="inlineStr">
        <is>
          <t>S4</t>
        </is>
      </c>
      <c r="G212" s="632" t="inlineStr">
        <is>
          <t>Yes</t>
        </is>
      </c>
      <c r="H212" s="632" t="inlineStr">
        <is>
          <t>No explicit facility gate — defaults feasible</t>
        </is>
      </c>
      <c r="I212" s="632" t="inlineStr">
        <is>
          <t>Automated Collection can support discovery or interaction with process state, control assets and operational data in Manufacturing environments.</t>
        </is>
      </c>
      <c r="J212" s="632" t="inlineStr">
        <is>
          <t>https://attack.mitre.org/techniques/T0802</t>
        </is>
      </c>
      <c r="K212" s="632" t="inlineStr">
        <is>
          <t>https://csrc.nist.gov/pubs/ir/8183/r1/final</t>
        </is>
      </c>
      <c r="L212" s="632" t="inlineStr">
        <is>
          <t>Working sector pack v1.0 — SME review recommended</t>
        </is>
      </c>
    </row>
    <row r="213">
      <c r="A213" s="632" t="inlineStr">
        <is>
          <t>Manufacturing|T0806</t>
        </is>
      </c>
      <c r="B213" s="632" t="inlineStr">
        <is>
          <t>Manufacturing</t>
        </is>
      </c>
      <c r="C213" s="632" t="inlineStr">
        <is>
          <t>All registered asset types; actual architecture/platform evidence overrides</t>
        </is>
      </c>
      <c r="D213" s="632" t="inlineStr">
        <is>
          <t>T0806</t>
        </is>
      </c>
      <c r="E213" s="632" t="inlineStr">
        <is>
          <t>Brute Force I/O</t>
        </is>
      </c>
      <c r="F213" s="632" t="inlineStr">
        <is>
          <t>S5</t>
        </is>
      </c>
      <c r="G213" s="632" t="inlineStr">
        <is>
          <t>Yes</t>
        </is>
      </c>
      <c r="H213" s="632" t="inlineStr">
        <is>
          <t>No explicit facility gate — defaults feasible</t>
        </is>
      </c>
      <c r="I213" s="632" t="inlineStr">
        <is>
          <t>Brute Force I/O is an ATT&amp;CK for ICS impact or response-inhibition technique that can support one or more governed adverse scenarios; scenario role remains controlled on 09.</t>
        </is>
      </c>
      <c r="J213" s="632" t="inlineStr">
        <is>
          <t>https://attack.mitre.org/techniques/T0806</t>
        </is>
      </c>
      <c r="K213" s="632" t="inlineStr">
        <is>
          <t>https://csrc.nist.gov/pubs/ir/8183/r1/final</t>
        </is>
      </c>
      <c r="L213" s="632" t="inlineStr">
        <is>
          <t>Working sector pack v1.0 — SME review recommended</t>
        </is>
      </c>
    </row>
    <row r="214">
      <c r="A214" s="632" t="inlineStr">
        <is>
          <t>Manufacturing|T0807</t>
        </is>
      </c>
      <c r="B214" s="632" t="inlineStr">
        <is>
          <t>Manufacturing</t>
        </is>
      </c>
      <c r="C214" s="632" t="inlineStr">
        <is>
          <t>All registered asset types; actual architecture/platform evidence overrides</t>
        </is>
      </c>
      <c r="D214" s="632" t="inlineStr">
        <is>
          <t>T0807</t>
        </is>
      </c>
      <c r="E214" s="632" t="inlineStr">
        <is>
          <t>Command-Line Interface</t>
        </is>
      </c>
      <c r="F214" s="632" t="inlineStr">
        <is>
          <t>S2</t>
        </is>
      </c>
      <c r="G214" s="632" t="inlineStr">
        <is>
          <t>Yes</t>
        </is>
      </c>
      <c r="H214" s="632" t="inlineStr">
        <is>
          <t>No explicit facility gate — defaults feasible</t>
        </is>
      </c>
      <c r="I214" s="632" t="inlineStr">
        <is>
          <t>Command-Line Interface is applicable to execution or persistence on engineering workstations, HMIs, servers or controllers used in Manufacturing facilities.</t>
        </is>
      </c>
      <c r="J214" s="632" t="inlineStr">
        <is>
          <t>https://attack.mitre.org/techniques/T0807</t>
        </is>
      </c>
      <c r="K214" s="632" t="inlineStr">
        <is>
          <t>https://csrc.nist.gov/pubs/ir/8183/r1/final</t>
        </is>
      </c>
      <c r="L214" s="632" t="inlineStr">
        <is>
          <t>Working sector pack v1.0 — SME review recommended</t>
        </is>
      </c>
    </row>
    <row r="215">
      <c r="A215" s="632" t="inlineStr">
        <is>
          <t>Manufacturing|T0809</t>
        </is>
      </c>
      <c r="B215" s="632" t="inlineStr">
        <is>
          <t>Manufacturing</t>
        </is>
      </c>
      <c r="C215" s="632" t="inlineStr">
        <is>
          <t>All registered asset types; actual architecture/platform evidence overrides</t>
        </is>
      </c>
      <c r="D215" s="632" t="inlineStr">
        <is>
          <t>T0809</t>
        </is>
      </c>
      <c r="E215" s="632" t="inlineStr">
        <is>
          <t>Data Destruction</t>
        </is>
      </c>
      <c r="F215" s="632" t="inlineStr">
        <is>
          <t>S5</t>
        </is>
      </c>
      <c r="G215" s="632" t="inlineStr">
        <is>
          <t>Yes</t>
        </is>
      </c>
      <c r="H215" s="632" t="inlineStr">
        <is>
          <t>No explicit facility gate — defaults feasible</t>
        </is>
      </c>
      <c r="I215" s="632" t="inlineStr">
        <is>
          <t>Data Destruction is an ATT&amp;CK for ICS impact or response-inhibition technique that can support one or more governed adverse scenarios; scenario role remains controlled on 09.</t>
        </is>
      </c>
      <c r="J215" s="632" t="inlineStr">
        <is>
          <t>https://attack.mitre.org/techniques/T0809</t>
        </is>
      </c>
      <c r="K215" s="632" t="inlineStr">
        <is>
          <t>https://csrc.nist.gov/pubs/ir/8183/r1/final</t>
        </is>
      </c>
      <c r="L215" s="632" t="inlineStr">
        <is>
          <t>Working sector pack v1.0 — SME review recommended</t>
        </is>
      </c>
    </row>
    <row r="216">
      <c r="A216" s="632" t="inlineStr">
        <is>
          <t>Manufacturing|T0811</t>
        </is>
      </c>
      <c r="B216" s="632" t="inlineStr">
        <is>
          <t>Manufacturing</t>
        </is>
      </c>
      <c r="C216" s="632" t="inlineStr">
        <is>
          <t>All registered asset types; actual architecture/platform evidence overrides</t>
        </is>
      </c>
      <c r="D216" s="632" t="inlineStr">
        <is>
          <t>T0811</t>
        </is>
      </c>
      <c r="E216" s="632" t="inlineStr">
        <is>
          <t>Data from Information Repositories</t>
        </is>
      </c>
      <c r="F216" s="632" t="inlineStr">
        <is>
          <t>S4</t>
        </is>
      </c>
      <c r="G216" s="632" t="inlineStr">
        <is>
          <t>Yes</t>
        </is>
      </c>
      <c r="H216" s="632" t="inlineStr">
        <is>
          <t>No explicit facility gate — defaults feasible</t>
        </is>
      </c>
      <c r="I216" s="632" t="inlineStr">
        <is>
          <t>Data from Information Repositories can support discovery or interaction with process state, control assets and operational data in Manufacturing environments.</t>
        </is>
      </c>
      <c r="J216" s="632" t="inlineStr">
        <is>
          <t>https://attack.mitre.org/techniques/T0811</t>
        </is>
      </c>
      <c r="K216" s="632" t="inlineStr">
        <is>
          <t>https://csrc.nist.gov/pubs/ir/8183/r1/final</t>
        </is>
      </c>
      <c r="L216" s="632" t="inlineStr">
        <is>
          <t>Working sector pack v1.0 — SME review recommended</t>
        </is>
      </c>
    </row>
    <row r="217">
      <c r="A217" s="632" t="inlineStr">
        <is>
          <t>Manufacturing|T0813</t>
        </is>
      </c>
      <c r="B217" s="632" t="inlineStr">
        <is>
          <t>Manufacturing</t>
        </is>
      </c>
      <c r="C217" s="632" t="inlineStr">
        <is>
          <t>All registered asset types; actual architecture/platform evidence overrides</t>
        </is>
      </c>
      <c r="D217" s="632" t="inlineStr">
        <is>
          <t>T0813</t>
        </is>
      </c>
      <c r="E217" s="632" t="inlineStr">
        <is>
          <t>Denial of Control</t>
        </is>
      </c>
      <c r="F217" s="632" t="inlineStr">
        <is>
          <t>S5</t>
        </is>
      </c>
      <c r="G217" s="632" t="inlineStr">
        <is>
          <t>Yes</t>
        </is>
      </c>
      <c r="H217" s="632" t="inlineStr">
        <is>
          <t>No explicit facility gate — defaults feasible</t>
        </is>
      </c>
      <c r="I217" s="632" t="inlineStr">
        <is>
          <t>Denial of Control is an ATT&amp;CK for ICS impact or response-inhibition technique that can support one or more governed adverse scenarios; scenario role remains controlled on 09.</t>
        </is>
      </c>
      <c r="J217" s="632" t="inlineStr">
        <is>
          <t>https://attack.mitre.org/techniques/T0813</t>
        </is>
      </c>
      <c r="K217" s="632" t="inlineStr">
        <is>
          <t>https://csrc.nist.gov/pubs/ir/8183/r1/final</t>
        </is>
      </c>
      <c r="L217" s="632" t="inlineStr">
        <is>
          <t>Working sector pack v1.0 — SME review recommended</t>
        </is>
      </c>
    </row>
    <row r="218">
      <c r="A218" s="632" t="inlineStr">
        <is>
          <t>Manufacturing|T0814</t>
        </is>
      </c>
      <c r="B218" s="632" t="inlineStr">
        <is>
          <t>Manufacturing</t>
        </is>
      </c>
      <c r="C218" s="632" t="inlineStr">
        <is>
          <t>All registered asset types; actual architecture/platform evidence overrides</t>
        </is>
      </c>
      <c r="D218" s="632" t="inlineStr">
        <is>
          <t>T0814</t>
        </is>
      </c>
      <c r="E218" s="632" t="inlineStr">
        <is>
          <t>Denial of Service</t>
        </is>
      </c>
      <c r="F218" s="632" t="inlineStr">
        <is>
          <t>S5</t>
        </is>
      </c>
      <c r="G218" s="632" t="inlineStr">
        <is>
          <t>Yes</t>
        </is>
      </c>
      <c r="H218" s="632" t="inlineStr">
        <is>
          <t>No explicit facility gate — defaults feasible</t>
        </is>
      </c>
      <c r="I218" s="632" t="inlineStr">
        <is>
          <t>Denial of Service is an ATT&amp;CK for ICS impact or response-inhibition technique that can support one or more governed adverse scenarios; scenario role remains controlled on 09.</t>
        </is>
      </c>
      <c r="J218" s="632" t="inlineStr">
        <is>
          <t>https://attack.mitre.org/techniques/T0814</t>
        </is>
      </c>
      <c r="K218" s="632" t="inlineStr">
        <is>
          <t>https://csrc.nist.gov/pubs/ir/8183/r1/final</t>
        </is>
      </c>
      <c r="L218" s="632" t="inlineStr">
        <is>
          <t>Working sector pack v1.0 — SME review recommended</t>
        </is>
      </c>
    </row>
    <row r="219">
      <c r="A219" s="632" t="inlineStr">
        <is>
          <t>Manufacturing|T0815</t>
        </is>
      </c>
      <c r="B219" s="632" t="inlineStr">
        <is>
          <t>Manufacturing</t>
        </is>
      </c>
      <c r="C219" s="632" t="inlineStr">
        <is>
          <t>All registered asset types; actual architecture/platform evidence overrides</t>
        </is>
      </c>
      <c r="D219" s="632" t="inlineStr">
        <is>
          <t>T0815</t>
        </is>
      </c>
      <c r="E219" s="632" t="inlineStr">
        <is>
          <t>Denial of View</t>
        </is>
      </c>
      <c r="F219" s="632" t="inlineStr">
        <is>
          <t>S5</t>
        </is>
      </c>
      <c r="G219" s="632" t="inlineStr">
        <is>
          <t>Yes</t>
        </is>
      </c>
      <c r="H219" s="632" t="inlineStr">
        <is>
          <t>No explicit facility gate — defaults feasible</t>
        </is>
      </c>
      <c r="I219" s="632" t="inlineStr">
        <is>
          <t>Denial of View is an ATT&amp;CK for ICS impact or response-inhibition technique that can support one or more governed adverse scenarios; scenario role remains controlled on 09.</t>
        </is>
      </c>
      <c r="J219" s="632" t="inlineStr">
        <is>
          <t>https://attack.mitre.org/techniques/T0815</t>
        </is>
      </c>
      <c r="K219" s="632" t="inlineStr">
        <is>
          <t>https://csrc.nist.gov/pubs/ir/8183/r1/final</t>
        </is>
      </c>
      <c r="L219" s="632" t="inlineStr">
        <is>
          <t>Working sector pack v1.0 — SME review recommended</t>
        </is>
      </c>
    </row>
    <row r="220">
      <c r="A220" s="632" t="inlineStr">
        <is>
          <t>Manufacturing|T0816</t>
        </is>
      </c>
      <c r="B220" s="632" t="inlineStr">
        <is>
          <t>Manufacturing</t>
        </is>
      </c>
      <c r="C220" s="632" t="inlineStr">
        <is>
          <t>All registered asset types; actual architecture/platform evidence overrides</t>
        </is>
      </c>
      <c r="D220" s="632" t="inlineStr">
        <is>
          <t>T0816</t>
        </is>
      </c>
      <c r="E220" s="632" t="inlineStr">
        <is>
          <t>Device Restart/Shutdown</t>
        </is>
      </c>
      <c r="F220" s="632" t="inlineStr">
        <is>
          <t>S5</t>
        </is>
      </c>
      <c r="G220" s="632" t="inlineStr">
        <is>
          <t>Yes</t>
        </is>
      </c>
      <c r="H220" s="632" t="inlineStr">
        <is>
          <t>No explicit facility gate — defaults feasible</t>
        </is>
      </c>
      <c r="I220" s="632" t="inlineStr">
        <is>
          <t>Device Restart/Shutdown is an ATT&amp;CK for ICS impact or response-inhibition technique that can support one or more governed adverse scenarios; scenario role remains controlled on 09.</t>
        </is>
      </c>
      <c r="J220" s="632" t="inlineStr">
        <is>
          <t>https://attack.mitre.org/techniques/T0816</t>
        </is>
      </c>
      <c r="K220" s="632" t="inlineStr">
        <is>
          <t>https://csrc.nist.gov/pubs/ir/8183/r1/final</t>
        </is>
      </c>
      <c r="L220" s="632" t="inlineStr">
        <is>
          <t>Working sector pack v1.0 — SME review recommended</t>
        </is>
      </c>
    </row>
    <row r="221">
      <c r="A221" s="632" t="inlineStr">
        <is>
          <t>Manufacturing|T0817</t>
        </is>
      </c>
      <c r="B221" s="632" t="inlineStr">
        <is>
          <t>Manufacturing</t>
        </is>
      </c>
      <c r="C221" s="632" t="inlineStr">
        <is>
          <t>All registered asset types; actual architecture/platform evidence overrides</t>
        </is>
      </c>
      <c r="D221" s="632" t="inlineStr">
        <is>
          <t>T0817</t>
        </is>
      </c>
      <c r="E221" s="632" t="inlineStr">
        <is>
          <t>Drive-by Compromise</t>
        </is>
      </c>
      <c r="F221" s="632" t="inlineStr">
        <is>
          <t>S1</t>
        </is>
      </c>
      <c r="G221" s="632" t="inlineStr">
        <is>
          <t>Yes</t>
        </is>
      </c>
      <c r="H221" s="632" t="inlineStr">
        <is>
          <t>No explicit facility gate — defaults feasible</t>
        </is>
      </c>
      <c r="I221" s="632" t="inlineStr">
        <is>
          <t>The Drive-by Compromise route is credible for Manufacturing OT when the enabling access condition exists; existing facility gates determine remote, internet, transient, supply-chain or wireless feasibility.</t>
        </is>
      </c>
      <c r="J221" s="632" t="inlineStr">
        <is>
          <t>https://attack.mitre.org/techniques/T0817</t>
        </is>
      </c>
      <c r="K221" s="632" t="inlineStr">
        <is>
          <t>https://csrc.nist.gov/pubs/ir/8183/r1/final</t>
        </is>
      </c>
      <c r="L221" s="632" t="inlineStr">
        <is>
          <t>Working sector pack v1.0 — SME review recommended</t>
        </is>
      </c>
    </row>
    <row r="222">
      <c r="A222" s="632" t="inlineStr">
        <is>
          <t>Manufacturing|T0819</t>
        </is>
      </c>
      <c r="B222" s="632" t="inlineStr">
        <is>
          <t>Manufacturing</t>
        </is>
      </c>
      <c r="C222" s="632" t="inlineStr">
        <is>
          <t>All registered asset types; actual architecture/platform evidence overrides</t>
        </is>
      </c>
      <c r="D222" s="632" t="inlineStr">
        <is>
          <t>T0819</t>
        </is>
      </c>
      <c r="E222" s="632" t="inlineStr">
        <is>
          <t>Exploit Public-Facing Application</t>
        </is>
      </c>
      <c r="F222" s="632" t="inlineStr">
        <is>
          <t>S1</t>
        </is>
      </c>
      <c r="G222" s="632" t="inlineStr">
        <is>
          <t>Yes</t>
        </is>
      </c>
      <c r="H222" s="632" t="inlineStr">
        <is>
          <t>No explicit facility gate — defaults feasible</t>
        </is>
      </c>
      <c r="I222" s="632" t="inlineStr">
        <is>
          <t>The Exploit Public-Facing Application route is credible for Manufacturing OT when the enabling access condition exists; existing facility gates determine remote, internet, transient, supply-chain or wireless feasibility.</t>
        </is>
      </c>
      <c r="J222" s="632" t="inlineStr">
        <is>
          <t>https://attack.mitre.org/techniques/T0819</t>
        </is>
      </c>
      <c r="K222" s="632" t="inlineStr">
        <is>
          <t>https://csrc.nist.gov/pubs/ir/8183/r1/final</t>
        </is>
      </c>
      <c r="L222" s="632" t="inlineStr">
        <is>
          <t>Working sector pack v1.0 — SME review recommended</t>
        </is>
      </c>
    </row>
    <row r="223">
      <c r="A223" s="632" t="inlineStr">
        <is>
          <t>Manufacturing|T0820</t>
        </is>
      </c>
      <c r="B223" s="632" t="inlineStr">
        <is>
          <t>Manufacturing</t>
        </is>
      </c>
      <c r="C223" s="632" t="inlineStr">
        <is>
          <t>All registered asset types; actual architecture/platform evidence overrides</t>
        </is>
      </c>
      <c r="D223" s="632" t="inlineStr">
        <is>
          <t>T0820</t>
        </is>
      </c>
      <c r="E223" s="632" t="inlineStr">
        <is>
          <t>Exploitation for Evasion</t>
        </is>
      </c>
      <c r="F223" s="632" t="inlineStr">
        <is>
          <t>S2</t>
        </is>
      </c>
      <c r="G223" s="632" t="inlineStr">
        <is>
          <t>Yes</t>
        </is>
      </c>
      <c r="H223" s="632" t="inlineStr">
        <is>
          <t>No explicit facility gate — defaults feasible</t>
        </is>
      </c>
      <c r="I223" s="632" t="inlineStr">
        <is>
          <t>Exploitation for Evasion is applicable to execution or persistence on engineering workstations, HMIs, servers or controllers used in Manufacturing facilities.</t>
        </is>
      </c>
      <c r="J223" s="632" t="inlineStr">
        <is>
          <t>https://attack.mitre.org/techniques/T0820</t>
        </is>
      </c>
      <c r="K223" s="632" t="inlineStr">
        <is>
          <t>https://csrc.nist.gov/pubs/ir/8183/r1/final</t>
        </is>
      </c>
      <c r="L223" s="632" t="inlineStr">
        <is>
          <t>Working sector pack v1.0 — SME review recommended</t>
        </is>
      </c>
    </row>
    <row r="224">
      <c r="A224" s="632" t="inlineStr">
        <is>
          <t>Manufacturing|T0821</t>
        </is>
      </c>
      <c r="B224" s="632" t="inlineStr">
        <is>
          <t>Manufacturing</t>
        </is>
      </c>
      <c r="C224" s="632" t="inlineStr">
        <is>
          <t>All registered asset types; actual architecture/platform evidence overrides</t>
        </is>
      </c>
      <c r="D224" s="632" t="inlineStr">
        <is>
          <t>T0821</t>
        </is>
      </c>
      <c r="E224" s="632" t="inlineStr">
        <is>
          <t>Modify Controller Tasking</t>
        </is>
      </c>
      <c r="F224" s="632" t="inlineStr">
        <is>
          <t>S2</t>
        </is>
      </c>
      <c r="G224" s="632" t="inlineStr">
        <is>
          <t>Yes</t>
        </is>
      </c>
      <c r="H224" s="632" t="inlineStr">
        <is>
          <t>No explicit facility gate — defaults feasible</t>
        </is>
      </c>
      <c r="I224" s="632" t="inlineStr">
        <is>
          <t>Modify Controller Tasking is applicable to execution or persistence on engineering workstations, HMIs, servers or controllers used in Manufacturing facilities.</t>
        </is>
      </c>
      <c r="J224" s="632" t="inlineStr">
        <is>
          <t>https://attack.mitre.org/techniques/T0821</t>
        </is>
      </c>
      <c r="K224" s="632" t="inlineStr">
        <is>
          <t>https://csrc.nist.gov/pubs/ir/8183/r1/final</t>
        </is>
      </c>
      <c r="L224" s="632" t="inlineStr">
        <is>
          <t>Working sector pack v1.0 — SME review recommended</t>
        </is>
      </c>
    </row>
    <row r="225">
      <c r="A225" s="632" t="inlineStr">
        <is>
          <t>Manufacturing|T0822</t>
        </is>
      </c>
      <c r="B225" s="632" t="inlineStr">
        <is>
          <t>Manufacturing</t>
        </is>
      </c>
      <c r="C225" s="632" t="inlineStr">
        <is>
          <t>All registered asset types; actual architecture/platform evidence overrides</t>
        </is>
      </c>
      <c r="D225" s="632" t="inlineStr">
        <is>
          <t>T0822</t>
        </is>
      </c>
      <c r="E225" s="632" t="inlineStr">
        <is>
          <t>External Remote Services</t>
        </is>
      </c>
      <c r="F225" s="632" t="inlineStr">
        <is>
          <t>S1</t>
        </is>
      </c>
      <c r="G225" s="632" t="inlineStr">
        <is>
          <t>Yes</t>
        </is>
      </c>
      <c r="H225" s="632" t="inlineStr">
        <is>
          <t>REMOTE_REQUIRED — Not None</t>
        </is>
      </c>
      <c r="I225" s="632" t="inlineStr">
        <is>
          <t>The External Remote Services route is credible for Manufacturing OT when the enabling access condition exists; existing facility gates determine remote, internet, transient, supply-chain or wireless feasibility.</t>
        </is>
      </c>
      <c r="J225" s="632" t="inlineStr">
        <is>
          <t>https://attack.mitre.org/techniques/T0822</t>
        </is>
      </c>
      <c r="K225" s="632" t="inlineStr">
        <is>
          <t>https://csrc.nist.gov/pubs/ir/8183/r1/final</t>
        </is>
      </c>
      <c r="L225" s="632" t="inlineStr">
        <is>
          <t>Working sector pack v1.0 — SME review recommended</t>
        </is>
      </c>
    </row>
    <row r="226">
      <c r="A226" s="632" t="inlineStr">
        <is>
          <t>Manufacturing|T0823</t>
        </is>
      </c>
      <c r="B226" s="632" t="inlineStr">
        <is>
          <t>Manufacturing</t>
        </is>
      </c>
      <c r="C226" s="632" t="inlineStr">
        <is>
          <t>All registered asset types; actual architecture/platform evidence overrides</t>
        </is>
      </c>
      <c r="D226" s="632" t="inlineStr">
        <is>
          <t>T0823</t>
        </is>
      </c>
      <c r="E226" s="632" t="inlineStr">
        <is>
          <t>Graphical User Interface</t>
        </is>
      </c>
      <c r="F226" s="632" t="inlineStr">
        <is>
          <t>S2</t>
        </is>
      </c>
      <c r="G226" s="632" t="inlineStr">
        <is>
          <t>Yes</t>
        </is>
      </c>
      <c r="H226" s="632" t="inlineStr">
        <is>
          <t>No explicit facility gate — defaults feasible</t>
        </is>
      </c>
      <c r="I226" s="632" t="inlineStr">
        <is>
          <t>Graphical User Interface is applicable to execution or persistence on engineering workstations, HMIs, servers or controllers used in Manufacturing facilities.</t>
        </is>
      </c>
      <c r="J226" s="632" t="inlineStr">
        <is>
          <t>https://attack.mitre.org/techniques/T0823</t>
        </is>
      </c>
      <c r="K226" s="632" t="inlineStr">
        <is>
          <t>https://csrc.nist.gov/pubs/ir/8183/r1/final</t>
        </is>
      </c>
      <c r="L226" s="632" t="inlineStr">
        <is>
          <t>Working sector pack v1.0 — SME review recommended</t>
        </is>
      </c>
    </row>
    <row r="227">
      <c r="A227" s="632" t="inlineStr">
        <is>
          <t>Manufacturing|T0826</t>
        </is>
      </c>
      <c r="B227" s="632" t="inlineStr">
        <is>
          <t>Manufacturing</t>
        </is>
      </c>
      <c r="C227" s="632" t="inlineStr">
        <is>
          <t>All registered asset types; actual architecture/platform evidence overrides</t>
        </is>
      </c>
      <c r="D227" s="632" t="inlineStr">
        <is>
          <t>T0826</t>
        </is>
      </c>
      <c r="E227" s="632" t="inlineStr">
        <is>
          <t>Loss of Availability</t>
        </is>
      </c>
      <c r="F227" s="632" t="inlineStr">
        <is>
          <t>S5</t>
        </is>
      </c>
      <c r="G227" s="632" t="inlineStr">
        <is>
          <t>Yes</t>
        </is>
      </c>
      <c r="H227" s="632" t="inlineStr">
        <is>
          <t>No explicit facility gate — defaults feasible</t>
        </is>
      </c>
      <c r="I227" s="632" t="inlineStr">
        <is>
          <t>Loss of Availability is an ATT&amp;CK for ICS impact or response-inhibition technique that can support one or more governed adverse scenarios; scenario role remains controlled on 09.</t>
        </is>
      </c>
      <c r="J227" s="632" t="inlineStr">
        <is>
          <t>https://attack.mitre.org/techniques/T0826</t>
        </is>
      </c>
      <c r="K227" s="632" t="inlineStr">
        <is>
          <t>https://csrc.nist.gov/pubs/ir/8183/r1/final</t>
        </is>
      </c>
      <c r="L227" s="632" t="inlineStr">
        <is>
          <t>Working sector pack v1.0 — SME review recommended</t>
        </is>
      </c>
    </row>
    <row r="228">
      <c r="A228" s="632" t="inlineStr">
        <is>
          <t>Manufacturing|T0827</t>
        </is>
      </c>
      <c r="B228" s="632" t="inlineStr">
        <is>
          <t>Manufacturing</t>
        </is>
      </c>
      <c r="C228" s="632" t="inlineStr">
        <is>
          <t>All registered asset types; actual architecture/platform evidence overrides</t>
        </is>
      </c>
      <c r="D228" s="632" t="inlineStr">
        <is>
          <t>T0827</t>
        </is>
      </c>
      <c r="E228" s="632" t="inlineStr">
        <is>
          <t>Loss of Control</t>
        </is>
      </c>
      <c r="F228" s="632" t="inlineStr">
        <is>
          <t>S5</t>
        </is>
      </c>
      <c r="G228" s="632" t="inlineStr">
        <is>
          <t>Yes</t>
        </is>
      </c>
      <c r="H228" s="632" t="inlineStr">
        <is>
          <t>No explicit facility gate — defaults feasible</t>
        </is>
      </c>
      <c r="I228" s="632" t="inlineStr">
        <is>
          <t>Loss of Control is an ATT&amp;CK for ICS impact or response-inhibition technique that can support one or more governed adverse scenarios; scenario role remains controlled on 09.</t>
        </is>
      </c>
      <c r="J228" s="632" t="inlineStr">
        <is>
          <t>https://attack.mitre.org/techniques/T0827</t>
        </is>
      </c>
      <c r="K228" s="632" t="inlineStr">
        <is>
          <t>https://csrc.nist.gov/pubs/ir/8183/r1/final</t>
        </is>
      </c>
      <c r="L228" s="632" t="inlineStr">
        <is>
          <t>Working sector pack v1.0 — SME review recommended</t>
        </is>
      </c>
    </row>
    <row r="229">
      <c r="A229" s="632" t="inlineStr">
        <is>
          <t>Manufacturing|T0828</t>
        </is>
      </c>
      <c r="B229" s="632" t="inlineStr">
        <is>
          <t>Manufacturing</t>
        </is>
      </c>
      <c r="C229" s="632" t="inlineStr">
        <is>
          <t>All registered asset types; actual architecture/platform evidence overrides</t>
        </is>
      </c>
      <c r="D229" s="632" t="inlineStr">
        <is>
          <t>T0828</t>
        </is>
      </c>
      <c r="E229" s="632" t="inlineStr">
        <is>
          <t>Loss of Productivity and Revenue</t>
        </is>
      </c>
      <c r="F229" s="632" t="inlineStr">
        <is>
          <t>S5</t>
        </is>
      </c>
      <c r="G229" s="632" t="inlineStr">
        <is>
          <t>Yes</t>
        </is>
      </c>
      <c r="H229" s="632" t="inlineStr">
        <is>
          <t>No explicit facility gate — defaults feasible</t>
        </is>
      </c>
      <c r="I229" s="632" t="inlineStr">
        <is>
          <t>Loss of Productivity and Revenue is an ATT&amp;CK for ICS impact or response-inhibition technique that can support one or more governed adverse scenarios; scenario role remains controlled on 09.</t>
        </is>
      </c>
      <c r="J229" s="632" t="inlineStr">
        <is>
          <t>https://attack.mitre.org/techniques/T0828</t>
        </is>
      </c>
      <c r="K229" s="632" t="inlineStr">
        <is>
          <t>https://csrc.nist.gov/pubs/ir/8183/r1/final</t>
        </is>
      </c>
      <c r="L229" s="632" t="inlineStr">
        <is>
          <t>Working sector pack v1.0 — SME review recommended</t>
        </is>
      </c>
    </row>
    <row r="230">
      <c r="A230" s="632" t="inlineStr">
        <is>
          <t>Manufacturing|T0829</t>
        </is>
      </c>
      <c r="B230" s="632" t="inlineStr">
        <is>
          <t>Manufacturing</t>
        </is>
      </c>
      <c r="C230" s="632" t="inlineStr">
        <is>
          <t>All registered asset types; actual architecture/platform evidence overrides</t>
        </is>
      </c>
      <c r="D230" s="632" t="inlineStr">
        <is>
          <t>T0829</t>
        </is>
      </c>
      <c r="E230" s="632" t="inlineStr">
        <is>
          <t>Loss of View</t>
        </is>
      </c>
      <c r="F230" s="632" t="inlineStr">
        <is>
          <t>S5</t>
        </is>
      </c>
      <c r="G230" s="632" t="inlineStr">
        <is>
          <t>Yes</t>
        </is>
      </c>
      <c r="H230" s="632" t="inlineStr">
        <is>
          <t>No explicit facility gate — defaults feasible</t>
        </is>
      </c>
      <c r="I230" s="632" t="inlineStr">
        <is>
          <t>Loss of View is an ATT&amp;CK for ICS impact or response-inhibition technique that can support one or more governed adverse scenarios; scenario role remains controlled on 09.</t>
        </is>
      </c>
      <c r="J230" s="632" t="inlineStr">
        <is>
          <t>https://attack.mitre.org/techniques/T0829</t>
        </is>
      </c>
      <c r="K230" s="632" t="inlineStr">
        <is>
          <t>https://csrc.nist.gov/pubs/ir/8183/r1/final</t>
        </is>
      </c>
      <c r="L230" s="632" t="inlineStr">
        <is>
          <t>Working sector pack v1.0 — SME review recommended</t>
        </is>
      </c>
    </row>
    <row r="231">
      <c r="A231" s="632" t="inlineStr">
        <is>
          <t>Manufacturing|T0830</t>
        </is>
      </c>
      <c r="B231" s="632" t="inlineStr">
        <is>
          <t>Manufacturing</t>
        </is>
      </c>
      <c r="C231" s="632" t="inlineStr">
        <is>
          <t>All registered asset types; actual architecture/platform evidence overrides</t>
        </is>
      </c>
      <c r="D231" s="632" t="inlineStr">
        <is>
          <t>T0830</t>
        </is>
      </c>
      <c r="E231" s="632" t="inlineStr">
        <is>
          <t>Adversary-in-the-Middle</t>
        </is>
      </c>
      <c r="F231" s="632" t="inlineStr">
        <is>
          <t>S4</t>
        </is>
      </c>
      <c r="G231" s="632" t="inlineStr">
        <is>
          <t>Yes</t>
        </is>
      </c>
      <c r="H231" s="632" t="inlineStr">
        <is>
          <t>No explicit facility gate — defaults feasible</t>
        </is>
      </c>
      <c r="I231" s="632" t="inlineStr">
        <is>
          <t>Adversary-in-the-Middle can support discovery or interaction with process state, control assets and operational data in Manufacturing environments.</t>
        </is>
      </c>
      <c r="J231" s="632" t="inlineStr">
        <is>
          <t>https://attack.mitre.org/techniques/T0830</t>
        </is>
      </c>
      <c r="K231" s="632" t="inlineStr">
        <is>
          <t>https://csrc.nist.gov/pubs/ir/8183/r1/final</t>
        </is>
      </c>
      <c r="L231" s="632" t="inlineStr">
        <is>
          <t>Working sector pack v1.0 — SME review recommended</t>
        </is>
      </c>
    </row>
    <row r="232">
      <c r="A232" s="632" t="inlineStr">
        <is>
          <t>Manufacturing|T0831</t>
        </is>
      </c>
      <c r="B232" s="632" t="inlineStr">
        <is>
          <t>Manufacturing</t>
        </is>
      </c>
      <c r="C232" s="632" t="inlineStr">
        <is>
          <t>All registered asset types; actual architecture/platform evidence overrides</t>
        </is>
      </c>
      <c r="D232" s="632" t="inlineStr">
        <is>
          <t>T0831</t>
        </is>
      </c>
      <c r="E232" s="632" t="inlineStr">
        <is>
          <t>Manipulation of Control</t>
        </is>
      </c>
      <c r="F232" s="632" t="inlineStr">
        <is>
          <t>S5</t>
        </is>
      </c>
      <c r="G232" s="632" t="inlineStr">
        <is>
          <t>Yes</t>
        </is>
      </c>
      <c r="H232" s="632" t="inlineStr">
        <is>
          <t>No explicit facility gate — defaults feasible</t>
        </is>
      </c>
      <c r="I232" s="632" t="inlineStr">
        <is>
          <t>Manipulation of Control is an ATT&amp;CK for ICS impact or response-inhibition technique that can support one or more governed adverse scenarios; scenario role remains controlled on 09.</t>
        </is>
      </c>
      <c r="J232" s="632" t="inlineStr">
        <is>
          <t>https://attack.mitre.org/techniques/T0831</t>
        </is>
      </c>
      <c r="K232" s="632" t="inlineStr">
        <is>
          <t>https://csrc.nist.gov/pubs/ir/8183/r1/final</t>
        </is>
      </c>
      <c r="L232" s="632" t="inlineStr">
        <is>
          <t>Working sector pack v1.0 — SME review recommended</t>
        </is>
      </c>
    </row>
    <row r="233">
      <c r="A233" s="632" t="inlineStr">
        <is>
          <t>Manufacturing|T0832</t>
        </is>
      </c>
      <c r="B233" s="632" t="inlineStr">
        <is>
          <t>Manufacturing</t>
        </is>
      </c>
      <c r="C233" s="632" t="inlineStr">
        <is>
          <t>All registered asset types; actual architecture/platform evidence overrides</t>
        </is>
      </c>
      <c r="D233" s="632" t="inlineStr">
        <is>
          <t>T0832</t>
        </is>
      </c>
      <c r="E233" s="632" t="inlineStr">
        <is>
          <t>Manipulation of View</t>
        </is>
      </c>
      <c r="F233" s="632" t="inlineStr">
        <is>
          <t>S5</t>
        </is>
      </c>
      <c r="G233" s="632" t="inlineStr">
        <is>
          <t>Yes</t>
        </is>
      </c>
      <c r="H233" s="632" t="inlineStr">
        <is>
          <t>No explicit facility gate — defaults feasible</t>
        </is>
      </c>
      <c r="I233" s="632" t="inlineStr">
        <is>
          <t>Manipulation of View is an ATT&amp;CK for ICS impact or response-inhibition technique that can support one or more governed adverse scenarios; scenario role remains controlled on 09.</t>
        </is>
      </c>
      <c r="J233" s="632" t="inlineStr">
        <is>
          <t>https://attack.mitre.org/techniques/T0832</t>
        </is>
      </c>
      <c r="K233" s="632" t="inlineStr">
        <is>
          <t>https://csrc.nist.gov/pubs/ir/8183/r1/final</t>
        </is>
      </c>
      <c r="L233" s="632" t="inlineStr">
        <is>
          <t>Working sector pack v1.0 — SME review recommended</t>
        </is>
      </c>
    </row>
    <row r="234">
      <c r="A234" s="632" t="inlineStr">
        <is>
          <t>Manufacturing|T0834</t>
        </is>
      </c>
      <c r="B234" s="632" t="inlineStr">
        <is>
          <t>Manufacturing</t>
        </is>
      </c>
      <c r="C234" s="632" t="inlineStr">
        <is>
          <t>All registered asset types; actual architecture/platform evidence overrides</t>
        </is>
      </c>
      <c r="D234" s="632" t="inlineStr">
        <is>
          <t>T0834</t>
        </is>
      </c>
      <c r="E234" s="632" t="inlineStr">
        <is>
          <t>Native API</t>
        </is>
      </c>
      <c r="F234" s="632" t="inlineStr">
        <is>
          <t>S2</t>
        </is>
      </c>
      <c r="G234" s="632" t="inlineStr">
        <is>
          <t>Yes</t>
        </is>
      </c>
      <c r="H234" s="632" t="inlineStr">
        <is>
          <t>No explicit facility gate — defaults feasible</t>
        </is>
      </c>
      <c r="I234" s="632" t="inlineStr">
        <is>
          <t>Native API is applicable to execution or persistence on engineering workstations, HMIs, servers or controllers used in Manufacturing facilities.</t>
        </is>
      </c>
      <c r="J234" s="632" t="inlineStr">
        <is>
          <t>https://attack.mitre.org/techniques/T0834</t>
        </is>
      </c>
      <c r="K234" s="632" t="inlineStr">
        <is>
          <t>https://csrc.nist.gov/pubs/ir/8183/r1/final</t>
        </is>
      </c>
      <c r="L234" s="632" t="inlineStr">
        <is>
          <t>Working sector pack v1.0 — SME review recommended</t>
        </is>
      </c>
    </row>
    <row r="235">
      <c r="A235" s="632" t="inlineStr">
        <is>
          <t>Manufacturing|T0835</t>
        </is>
      </c>
      <c r="B235" s="632" t="inlineStr">
        <is>
          <t>Manufacturing</t>
        </is>
      </c>
      <c r="C235" s="632" t="inlineStr">
        <is>
          <t>All registered asset types; actual architecture/platform evidence overrides</t>
        </is>
      </c>
      <c r="D235" s="632" t="inlineStr">
        <is>
          <t>T0835</t>
        </is>
      </c>
      <c r="E235" s="632" t="inlineStr">
        <is>
          <t>Manipulate I/O Image</t>
        </is>
      </c>
      <c r="F235" s="632" t="inlineStr">
        <is>
          <t>S5</t>
        </is>
      </c>
      <c r="G235" s="632" t="inlineStr">
        <is>
          <t>Yes</t>
        </is>
      </c>
      <c r="H235" s="632" t="inlineStr">
        <is>
          <t>No explicit facility gate — defaults feasible</t>
        </is>
      </c>
      <c r="I235" s="632" t="inlineStr">
        <is>
          <t>Manipulate I/O Image is an ATT&amp;CK for ICS impact or response-inhibition technique that can support one or more governed adverse scenarios; scenario role remains controlled on 09.</t>
        </is>
      </c>
      <c r="J235" s="632" t="inlineStr">
        <is>
          <t>https://attack.mitre.org/techniques/T0835</t>
        </is>
      </c>
      <c r="K235" s="632" t="inlineStr">
        <is>
          <t>https://csrc.nist.gov/pubs/ir/8183/r1/final</t>
        </is>
      </c>
      <c r="L235" s="632" t="inlineStr">
        <is>
          <t>Working sector pack v1.0 — SME review recommended</t>
        </is>
      </c>
    </row>
    <row r="236">
      <c r="A236" s="632" t="inlineStr">
        <is>
          <t>Manufacturing|T0836</t>
        </is>
      </c>
      <c r="B236" s="632" t="inlineStr">
        <is>
          <t>Manufacturing</t>
        </is>
      </c>
      <c r="C236" s="632" t="inlineStr">
        <is>
          <t>All registered asset types; actual architecture/platform evidence overrides</t>
        </is>
      </c>
      <c r="D236" s="632" t="inlineStr">
        <is>
          <t>T0836</t>
        </is>
      </c>
      <c r="E236" s="632" t="inlineStr">
        <is>
          <t>Modify Parameter</t>
        </is>
      </c>
      <c r="F236" s="632" t="inlineStr">
        <is>
          <t>S5</t>
        </is>
      </c>
      <c r="G236" s="632" t="inlineStr">
        <is>
          <t>Yes</t>
        </is>
      </c>
      <c r="H236" s="632" t="inlineStr">
        <is>
          <t>No explicit facility gate — defaults feasible</t>
        </is>
      </c>
      <c r="I236" s="632" t="inlineStr">
        <is>
          <t>Modify Parameter is an ATT&amp;CK for ICS impact or response-inhibition technique that can support one or more governed adverse scenarios; scenario role remains controlled on 09.</t>
        </is>
      </c>
      <c r="J236" s="632" t="inlineStr">
        <is>
          <t>https://attack.mitre.org/techniques/T0836</t>
        </is>
      </c>
      <c r="K236" s="632" t="inlineStr">
        <is>
          <t>https://csrc.nist.gov/pubs/ir/8183/r1/final</t>
        </is>
      </c>
      <c r="L236" s="632" t="inlineStr">
        <is>
          <t>Working sector pack v1.0 — SME review recommended</t>
        </is>
      </c>
    </row>
    <row r="237">
      <c r="A237" s="632" t="inlineStr">
        <is>
          <t>Manufacturing|T0837</t>
        </is>
      </c>
      <c r="B237" s="632" t="inlineStr">
        <is>
          <t>Manufacturing</t>
        </is>
      </c>
      <c r="C237" s="632" t="inlineStr">
        <is>
          <t>All registered asset types; actual architecture/platform evidence overrides</t>
        </is>
      </c>
      <c r="D237" s="632" t="inlineStr">
        <is>
          <t>T0837</t>
        </is>
      </c>
      <c r="E237" s="632" t="inlineStr">
        <is>
          <t>Loss of Protection</t>
        </is>
      </c>
      <c r="F237" s="632" t="inlineStr">
        <is>
          <t>S5</t>
        </is>
      </c>
      <c r="G237" s="632" t="inlineStr">
        <is>
          <t>Yes</t>
        </is>
      </c>
      <c r="H237" s="632" t="inlineStr">
        <is>
          <t>No explicit facility gate — defaults feasible</t>
        </is>
      </c>
      <c r="I237" s="632" t="inlineStr">
        <is>
          <t>Loss of Protection is an ATT&amp;CK for ICS impact or response-inhibition technique that can support one or more governed adverse scenarios; scenario role remains controlled on 09.</t>
        </is>
      </c>
      <c r="J237" s="632" t="inlineStr">
        <is>
          <t>https://attack.mitre.org/techniques/T0837</t>
        </is>
      </c>
      <c r="K237" s="632" t="inlineStr">
        <is>
          <t>https://csrc.nist.gov/pubs/ir/8183/r1/final</t>
        </is>
      </c>
      <c r="L237" s="632" t="inlineStr">
        <is>
          <t>Working sector pack v1.0 — SME review recommended</t>
        </is>
      </c>
    </row>
    <row r="238">
      <c r="A238" s="632" t="inlineStr">
        <is>
          <t>Manufacturing|T0838</t>
        </is>
      </c>
      <c r="B238" s="632" t="inlineStr">
        <is>
          <t>Manufacturing</t>
        </is>
      </c>
      <c r="C238" s="632" t="inlineStr">
        <is>
          <t>All registered asset types; actual architecture/platform evidence overrides</t>
        </is>
      </c>
      <c r="D238" s="632" t="inlineStr">
        <is>
          <t>T0838</t>
        </is>
      </c>
      <c r="E238" s="632" t="inlineStr">
        <is>
          <t>Modify Alarm Settings</t>
        </is>
      </c>
      <c r="F238" s="632" t="inlineStr">
        <is>
          <t>S5</t>
        </is>
      </c>
      <c r="G238" s="632" t="inlineStr">
        <is>
          <t>Yes</t>
        </is>
      </c>
      <c r="H238" s="632" t="inlineStr">
        <is>
          <t>No explicit facility gate — defaults feasible</t>
        </is>
      </c>
      <c r="I238" s="632" t="inlineStr">
        <is>
          <t>Modify Alarm Settings is an ATT&amp;CK for ICS impact or response-inhibition technique that can support one or more governed adverse scenarios; scenario role remains controlled on 09.</t>
        </is>
      </c>
      <c r="J238" s="632" t="inlineStr">
        <is>
          <t>https://attack.mitre.org/techniques/T0838</t>
        </is>
      </c>
      <c r="K238" s="632" t="inlineStr">
        <is>
          <t>https://csrc.nist.gov/pubs/ir/8183/r1/final</t>
        </is>
      </c>
      <c r="L238" s="632" t="inlineStr">
        <is>
          <t>Working sector pack v1.0 — SME review recommended</t>
        </is>
      </c>
    </row>
    <row r="239">
      <c r="A239" s="632" t="inlineStr">
        <is>
          <t>Manufacturing|T0840</t>
        </is>
      </c>
      <c r="B239" s="632" t="inlineStr">
        <is>
          <t>Manufacturing</t>
        </is>
      </c>
      <c r="C239" s="632" t="inlineStr">
        <is>
          <t>All registered asset types; actual architecture/platform evidence overrides</t>
        </is>
      </c>
      <c r="D239" s="632" t="inlineStr">
        <is>
          <t>T0840</t>
        </is>
      </c>
      <c r="E239" s="632" t="inlineStr">
        <is>
          <t>Network Connection Enumeration</t>
        </is>
      </c>
      <c r="F239" s="632" t="inlineStr">
        <is>
          <t>S4</t>
        </is>
      </c>
      <c r="G239" s="632" t="inlineStr">
        <is>
          <t>Yes</t>
        </is>
      </c>
      <c r="H239" s="632" t="inlineStr">
        <is>
          <t>No explicit facility gate — defaults feasible</t>
        </is>
      </c>
      <c r="I239" s="632" t="inlineStr">
        <is>
          <t>Network Connection Enumeration can support discovery or interaction with process state, control assets and operational data in Manufacturing environments.</t>
        </is>
      </c>
      <c r="J239" s="632" t="inlineStr">
        <is>
          <t>https://attack.mitre.org/techniques/T0840</t>
        </is>
      </c>
      <c r="K239" s="632" t="inlineStr">
        <is>
          <t>https://csrc.nist.gov/pubs/ir/8183/r1/final</t>
        </is>
      </c>
      <c r="L239" s="632" t="inlineStr">
        <is>
          <t>Working sector pack v1.0 — SME review recommended</t>
        </is>
      </c>
    </row>
    <row r="240">
      <c r="A240" s="632" t="inlineStr">
        <is>
          <t>Manufacturing|T0842</t>
        </is>
      </c>
      <c r="B240" s="632" t="inlineStr">
        <is>
          <t>Manufacturing</t>
        </is>
      </c>
      <c r="C240" s="632" t="inlineStr">
        <is>
          <t>All registered asset types; actual architecture/platform evidence overrides</t>
        </is>
      </c>
      <c r="D240" s="632" t="inlineStr">
        <is>
          <t>T0842</t>
        </is>
      </c>
      <c r="E240" s="632" t="inlineStr">
        <is>
          <t>Network Sniffing</t>
        </is>
      </c>
      <c r="F240" s="632" t="inlineStr">
        <is>
          <t>S4</t>
        </is>
      </c>
      <c r="G240" s="632" t="inlineStr">
        <is>
          <t>Yes</t>
        </is>
      </c>
      <c r="H240" s="632" t="inlineStr">
        <is>
          <t>No explicit facility gate — defaults feasible</t>
        </is>
      </c>
      <c r="I240" s="632" t="inlineStr">
        <is>
          <t>Network Sniffing can support discovery or interaction with process state, control assets and operational data in Manufacturing environments.</t>
        </is>
      </c>
      <c r="J240" s="632" t="inlineStr">
        <is>
          <t>https://attack.mitre.org/techniques/T0842</t>
        </is>
      </c>
      <c r="K240" s="632" t="inlineStr">
        <is>
          <t>https://csrc.nist.gov/pubs/ir/8183/r1/final</t>
        </is>
      </c>
      <c r="L240" s="632" t="inlineStr">
        <is>
          <t>Working sector pack v1.0 — SME review recommended</t>
        </is>
      </c>
    </row>
    <row r="241">
      <c r="A241" s="632" t="inlineStr">
        <is>
          <t>Manufacturing|T0843</t>
        </is>
      </c>
      <c r="B241" s="632" t="inlineStr">
        <is>
          <t>Manufacturing</t>
        </is>
      </c>
      <c r="C241" s="632" t="inlineStr">
        <is>
          <t>All registered asset types; actual architecture/platform evidence overrides</t>
        </is>
      </c>
      <c r="D241" s="632" t="inlineStr">
        <is>
          <t>T0843</t>
        </is>
      </c>
      <c r="E241" s="632" t="inlineStr">
        <is>
          <t>Program Download</t>
        </is>
      </c>
      <c r="F241" s="632" t="inlineStr">
        <is>
          <t>S3</t>
        </is>
      </c>
      <c r="G241" s="632" t="inlineStr">
        <is>
          <t>Yes</t>
        </is>
      </c>
      <c r="H241" s="632" t="inlineStr">
        <is>
          <t>No explicit facility gate — defaults feasible</t>
        </is>
      </c>
      <c r="I241" s="632" t="inlineStr">
        <is>
          <t>Program Download can support movement toward or within plant/control zones; actual reachability is governed by the assessed facility architecture.</t>
        </is>
      </c>
      <c r="J241" s="632" t="inlineStr">
        <is>
          <t>https://attack.mitre.org/techniques/T0843</t>
        </is>
      </c>
      <c r="K241" s="632" t="inlineStr">
        <is>
          <t>https://csrc.nist.gov/pubs/ir/8183/r1/final</t>
        </is>
      </c>
      <c r="L241" s="632" t="inlineStr">
        <is>
          <t>Working sector pack v1.0 — SME review recommended</t>
        </is>
      </c>
    </row>
    <row r="242">
      <c r="A242" s="632" t="inlineStr">
        <is>
          <t>Manufacturing|T0843.001</t>
        </is>
      </c>
      <c r="B242" s="632" t="inlineStr">
        <is>
          <t>Manufacturing</t>
        </is>
      </c>
      <c r="C242" s="632" t="inlineStr">
        <is>
          <t>All registered asset types; actual architecture/platform evidence overrides</t>
        </is>
      </c>
      <c r="D242" s="632" t="inlineStr">
        <is>
          <t>T0843.001</t>
        </is>
      </c>
      <c r="E242" s="632" t="inlineStr">
        <is>
          <t>Download All</t>
        </is>
      </c>
      <c r="F242" s="632" t="inlineStr">
        <is>
          <t>S3</t>
        </is>
      </c>
      <c r="G242" s="632" t="inlineStr">
        <is>
          <t>Yes</t>
        </is>
      </c>
      <c r="H242" s="632" t="inlineStr">
        <is>
          <t>No explicit facility gate — defaults feasible</t>
        </is>
      </c>
      <c r="I242" s="632" t="inlineStr">
        <is>
          <t>Download All can support movement toward or within plant/control zones; actual reachability is governed by the assessed facility architecture.</t>
        </is>
      </c>
      <c r="J242" s="632" t="inlineStr">
        <is>
          <t>https://attack.mitre.org/techniques/T0843/001</t>
        </is>
      </c>
      <c r="K242" s="632" t="inlineStr">
        <is>
          <t>https://csrc.nist.gov/pubs/ir/8183/r1/final</t>
        </is>
      </c>
      <c r="L242" s="632" t="inlineStr">
        <is>
          <t>Working sector pack v1.0 — SME review recommended</t>
        </is>
      </c>
    </row>
    <row r="243">
      <c r="A243" s="632" t="inlineStr">
        <is>
          <t>Manufacturing|T0843.002</t>
        </is>
      </c>
      <c r="B243" s="632" t="inlineStr">
        <is>
          <t>Manufacturing</t>
        </is>
      </c>
      <c r="C243" s="632" t="inlineStr">
        <is>
          <t>All registered asset types; actual architecture/platform evidence overrides</t>
        </is>
      </c>
      <c r="D243" s="632" t="inlineStr">
        <is>
          <t>T0843.002</t>
        </is>
      </c>
      <c r="E243" s="632" t="inlineStr">
        <is>
          <t>Online Edit</t>
        </is>
      </c>
      <c r="F243" s="632" t="inlineStr">
        <is>
          <t>S3</t>
        </is>
      </c>
      <c r="G243" s="632" t="inlineStr">
        <is>
          <t>Yes</t>
        </is>
      </c>
      <c r="H243" s="632" t="inlineStr">
        <is>
          <t>No explicit facility gate — defaults feasible</t>
        </is>
      </c>
      <c r="I243" s="632" t="inlineStr">
        <is>
          <t>Online Edit can support movement toward or within plant/control zones; actual reachability is governed by the assessed facility architecture.</t>
        </is>
      </c>
      <c r="J243" s="632" t="inlineStr">
        <is>
          <t>https://attack.mitre.org/techniques/T0843/002</t>
        </is>
      </c>
      <c r="K243" s="632" t="inlineStr">
        <is>
          <t>https://csrc.nist.gov/pubs/ir/8183/r1/final</t>
        </is>
      </c>
      <c r="L243" s="632" t="inlineStr">
        <is>
          <t>Working sector pack v1.0 — SME review recommended</t>
        </is>
      </c>
    </row>
    <row r="244">
      <c r="A244" s="632" t="inlineStr">
        <is>
          <t>Manufacturing|T0843.003</t>
        </is>
      </c>
      <c r="B244" s="632" t="inlineStr">
        <is>
          <t>Manufacturing</t>
        </is>
      </c>
      <c r="C244" s="632" t="inlineStr">
        <is>
          <t>All registered asset types; actual architecture/platform evidence overrides</t>
        </is>
      </c>
      <c r="D244" s="632" t="inlineStr">
        <is>
          <t>T0843.003</t>
        </is>
      </c>
      <c r="E244" s="632" t="inlineStr">
        <is>
          <t>Program Append</t>
        </is>
      </c>
      <c r="F244" s="632" t="inlineStr">
        <is>
          <t>S3</t>
        </is>
      </c>
      <c r="G244" s="632" t="inlineStr">
        <is>
          <t>Yes</t>
        </is>
      </c>
      <c r="H244" s="632" t="inlineStr">
        <is>
          <t>No explicit facility gate — defaults feasible</t>
        </is>
      </c>
      <c r="I244" s="632" t="inlineStr">
        <is>
          <t>Program Append can support movement toward or within plant/control zones; actual reachability is governed by the assessed facility architecture.</t>
        </is>
      </c>
      <c r="J244" s="632" t="inlineStr">
        <is>
          <t>https://attack.mitre.org/techniques/T0843/003</t>
        </is>
      </c>
      <c r="K244" s="632" t="inlineStr">
        <is>
          <t>https://csrc.nist.gov/pubs/ir/8183/r1/final</t>
        </is>
      </c>
      <c r="L244" s="632" t="inlineStr">
        <is>
          <t>Working sector pack v1.0 — SME review recommended</t>
        </is>
      </c>
    </row>
    <row r="245">
      <c r="A245" s="632" t="inlineStr">
        <is>
          <t>Manufacturing|T0845</t>
        </is>
      </c>
      <c r="B245" s="632" t="inlineStr">
        <is>
          <t>Manufacturing</t>
        </is>
      </c>
      <c r="C245" s="632" t="inlineStr">
        <is>
          <t>All registered asset types; actual architecture/platform evidence overrides</t>
        </is>
      </c>
      <c r="D245" s="632" t="inlineStr">
        <is>
          <t>T0845</t>
        </is>
      </c>
      <c r="E245" s="632" t="inlineStr">
        <is>
          <t>Program Upload</t>
        </is>
      </c>
      <c r="F245" s="632" t="inlineStr">
        <is>
          <t>S4</t>
        </is>
      </c>
      <c r="G245" s="632" t="inlineStr">
        <is>
          <t>Yes</t>
        </is>
      </c>
      <c r="H245" s="632" t="inlineStr">
        <is>
          <t>No explicit facility gate — defaults feasible</t>
        </is>
      </c>
      <c r="I245" s="632" t="inlineStr">
        <is>
          <t>Program Upload can support discovery or interaction with process state, control assets and operational data in Manufacturing environments.</t>
        </is>
      </c>
      <c r="J245" s="632" t="inlineStr">
        <is>
          <t>https://attack.mitre.org/techniques/T0845</t>
        </is>
      </c>
      <c r="K245" s="632" t="inlineStr">
        <is>
          <t>https://csrc.nist.gov/pubs/ir/8183/r1/final</t>
        </is>
      </c>
      <c r="L245" s="632" t="inlineStr">
        <is>
          <t>Working sector pack v1.0 — SME review recommended</t>
        </is>
      </c>
    </row>
    <row r="246">
      <c r="A246" s="632" t="inlineStr">
        <is>
          <t>Manufacturing|T0846</t>
        </is>
      </c>
      <c r="B246" s="632" t="inlineStr">
        <is>
          <t>Manufacturing</t>
        </is>
      </c>
      <c r="C246" s="632" t="inlineStr">
        <is>
          <t>All registered asset types; actual architecture/platform evidence overrides</t>
        </is>
      </c>
      <c r="D246" s="632" t="inlineStr">
        <is>
          <t>T0846</t>
        </is>
      </c>
      <c r="E246" s="632" t="inlineStr">
        <is>
          <t>Remote System Discovery</t>
        </is>
      </c>
      <c r="F246" s="632" t="inlineStr">
        <is>
          <t>S4</t>
        </is>
      </c>
      <c r="G246" s="632" t="inlineStr">
        <is>
          <t>Yes</t>
        </is>
      </c>
      <c r="H246" s="632" t="inlineStr">
        <is>
          <t>No explicit facility gate — defaults feasible</t>
        </is>
      </c>
      <c r="I246" s="632" t="inlineStr">
        <is>
          <t>Remote System Discovery can support discovery or interaction with process state, control assets and operational data in Manufacturing environments.</t>
        </is>
      </c>
      <c r="J246" s="632" t="inlineStr">
        <is>
          <t>https://attack.mitre.org/techniques/T0846</t>
        </is>
      </c>
      <c r="K246" s="632" t="inlineStr">
        <is>
          <t>https://csrc.nist.gov/pubs/ir/8183/r1/final</t>
        </is>
      </c>
      <c r="L246" s="632" t="inlineStr">
        <is>
          <t>Working sector pack v1.0 — SME review recommended</t>
        </is>
      </c>
    </row>
    <row r="247">
      <c r="A247" s="632" t="inlineStr">
        <is>
          <t>Manufacturing|T0846.001</t>
        </is>
      </c>
      <c r="B247" s="632" t="inlineStr">
        <is>
          <t>Manufacturing</t>
        </is>
      </c>
      <c r="C247" s="632" t="inlineStr">
        <is>
          <t>All registered asset types; actual architecture/platform evidence overrides</t>
        </is>
      </c>
      <c r="D247" s="632" t="inlineStr">
        <is>
          <t>T0846.001</t>
        </is>
      </c>
      <c r="E247" s="632" t="inlineStr">
        <is>
          <t>Port Scan</t>
        </is>
      </c>
      <c r="F247" s="632" t="inlineStr">
        <is>
          <t>S4</t>
        </is>
      </c>
      <c r="G247" s="632" t="inlineStr">
        <is>
          <t>Yes</t>
        </is>
      </c>
      <c r="H247" s="632" t="inlineStr">
        <is>
          <t>No explicit facility gate — defaults feasible</t>
        </is>
      </c>
      <c r="I247" s="632" t="inlineStr">
        <is>
          <t>Port Scan can support discovery or interaction with process state, control assets and operational data in Manufacturing environments.</t>
        </is>
      </c>
      <c r="J247" s="632" t="inlineStr">
        <is>
          <t>https://attack.mitre.org/techniques/T0846/001</t>
        </is>
      </c>
      <c r="K247" s="632" t="inlineStr">
        <is>
          <t>https://csrc.nist.gov/pubs/ir/8183/r1/final</t>
        </is>
      </c>
      <c r="L247" s="632" t="inlineStr">
        <is>
          <t>Working sector pack v1.0 — SME review recommended</t>
        </is>
      </c>
    </row>
    <row r="248">
      <c r="A248" s="632" t="inlineStr">
        <is>
          <t>Manufacturing|T0846.002</t>
        </is>
      </c>
      <c r="B248" s="632" t="inlineStr">
        <is>
          <t>Manufacturing</t>
        </is>
      </c>
      <c r="C248" s="632" t="inlineStr">
        <is>
          <t>All registered asset types; actual architecture/platform evidence overrides</t>
        </is>
      </c>
      <c r="D248" s="632" t="inlineStr">
        <is>
          <t>T0846.002</t>
        </is>
      </c>
      <c r="E248" s="632" t="inlineStr">
        <is>
          <t>Broadcast Discovery</t>
        </is>
      </c>
      <c r="F248" s="632" t="inlineStr">
        <is>
          <t>S4</t>
        </is>
      </c>
      <c r="G248" s="632" t="inlineStr">
        <is>
          <t>Yes</t>
        </is>
      </c>
      <c r="H248" s="632" t="inlineStr">
        <is>
          <t>No explicit facility gate — defaults feasible</t>
        </is>
      </c>
      <c r="I248" s="632" t="inlineStr">
        <is>
          <t>Broadcast Discovery can support discovery or interaction with process state, control assets and operational data in Manufacturing environments.</t>
        </is>
      </c>
      <c r="J248" s="632" t="inlineStr">
        <is>
          <t>https://attack.mitre.org/techniques/T0846/002</t>
        </is>
      </c>
      <c r="K248" s="632" t="inlineStr">
        <is>
          <t>https://csrc.nist.gov/pubs/ir/8183/r1/final</t>
        </is>
      </c>
      <c r="L248" s="632" t="inlineStr">
        <is>
          <t>Working sector pack v1.0 — SME review recommended</t>
        </is>
      </c>
    </row>
    <row r="249">
      <c r="A249" s="632" t="inlineStr">
        <is>
          <t>Manufacturing|T0846.003</t>
        </is>
      </c>
      <c r="B249" s="632" t="inlineStr">
        <is>
          <t>Manufacturing</t>
        </is>
      </c>
      <c r="C249" s="632" t="inlineStr">
        <is>
          <t>All registered asset types; actual architecture/platform evidence overrides</t>
        </is>
      </c>
      <c r="D249" s="632" t="inlineStr">
        <is>
          <t>T0846.003</t>
        </is>
      </c>
      <c r="E249" s="632" t="inlineStr">
        <is>
          <t>Multicast Discovery</t>
        </is>
      </c>
      <c r="F249" s="632" t="inlineStr">
        <is>
          <t>S4</t>
        </is>
      </c>
      <c r="G249" s="632" t="inlineStr">
        <is>
          <t>Yes</t>
        </is>
      </c>
      <c r="H249" s="632" t="inlineStr">
        <is>
          <t>No explicit facility gate — defaults feasible</t>
        </is>
      </c>
      <c r="I249" s="632" t="inlineStr">
        <is>
          <t>Multicast Discovery can support discovery or interaction with process state, control assets and operational data in Manufacturing environments.</t>
        </is>
      </c>
      <c r="J249" s="632" t="inlineStr">
        <is>
          <t>https://attack.mitre.org/techniques/T0846/003</t>
        </is>
      </c>
      <c r="K249" s="632" t="inlineStr">
        <is>
          <t>https://csrc.nist.gov/pubs/ir/8183/r1/final</t>
        </is>
      </c>
      <c r="L249" s="632" t="inlineStr">
        <is>
          <t>Working sector pack v1.0 — SME review recommended</t>
        </is>
      </c>
    </row>
    <row r="250">
      <c r="A250" s="632" t="inlineStr">
        <is>
          <t>Manufacturing|T0847</t>
        </is>
      </c>
      <c r="B250" s="632" t="inlineStr">
        <is>
          <t>Manufacturing</t>
        </is>
      </c>
      <c r="C250" s="632" t="inlineStr">
        <is>
          <t>All registered asset types; actual architecture/platform evidence overrides</t>
        </is>
      </c>
      <c r="D250" s="632" t="inlineStr">
        <is>
          <t>T0847</t>
        </is>
      </c>
      <c r="E250" s="632" t="inlineStr">
        <is>
          <t>Replication Through Removable Media</t>
        </is>
      </c>
      <c r="F250" s="632" t="inlineStr">
        <is>
          <t>S1</t>
        </is>
      </c>
      <c r="G250" s="632" t="inlineStr">
        <is>
          <t>Yes</t>
        </is>
      </c>
      <c r="H250" s="632" t="inlineStr">
        <is>
          <t>TRANSIENT_REQUIRED — Not None</t>
        </is>
      </c>
      <c r="I250" s="632" t="inlineStr">
        <is>
          <t>The Replication Through Removable Media route is credible for Manufacturing OT when the enabling access condition exists; existing facility gates determine remote, internet, transient, supply-chain or wireless feasibility.</t>
        </is>
      </c>
      <c r="J250" s="632" t="inlineStr">
        <is>
          <t>https://attack.mitre.org/techniques/T0847</t>
        </is>
      </c>
      <c r="K250" s="632" t="inlineStr">
        <is>
          <t>https://csrc.nist.gov/pubs/ir/8183/r1/final</t>
        </is>
      </c>
      <c r="L250" s="632" t="inlineStr">
        <is>
          <t>Working sector pack v1.0 — SME review recommended</t>
        </is>
      </c>
    </row>
    <row r="251">
      <c r="A251" s="632" t="inlineStr">
        <is>
          <t>Manufacturing|T0848</t>
        </is>
      </c>
      <c r="B251" s="632" t="inlineStr">
        <is>
          <t>Manufacturing</t>
        </is>
      </c>
      <c r="C251" s="632" t="inlineStr">
        <is>
          <t>All registered asset types; actual architecture/platform evidence overrides</t>
        </is>
      </c>
      <c r="D251" s="632" t="inlineStr">
        <is>
          <t>T0848</t>
        </is>
      </c>
      <c r="E251" s="632" t="inlineStr">
        <is>
          <t>Rogue Master</t>
        </is>
      </c>
      <c r="F251" s="632" t="inlineStr">
        <is>
          <t>S1</t>
        </is>
      </c>
      <c r="G251" s="632" t="inlineStr">
        <is>
          <t>Yes</t>
        </is>
      </c>
      <c r="H251" s="632" t="inlineStr">
        <is>
          <t>No explicit facility gate — defaults feasible</t>
        </is>
      </c>
      <c r="I251" s="632" t="inlineStr">
        <is>
          <t>The Rogue Master route is credible for Manufacturing OT when the enabling access condition exists; existing facility gates determine remote, internet, transient, supply-chain or wireless feasibility.</t>
        </is>
      </c>
      <c r="J251" s="632" t="inlineStr">
        <is>
          <t>https://attack.mitre.org/techniques/T0848</t>
        </is>
      </c>
      <c r="K251" s="632" t="inlineStr">
        <is>
          <t>https://csrc.nist.gov/pubs/ir/8183/r1/final</t>
        </is>
      </c>
      <c r="L251" s="632" t="inlineStr">
        <is>
          <t>Working sector pack v1.0 — SME review recommended</t>
        </is>
      </c>
    </row>
    <row r="252">
      <c r="A252" s="632" t="inlineStr">
        <is>
          <t>Manufacturing|T0849</t>
        </is>
      </c>
      <c r="B252" s="632" t="inlineStr">
        <is>
          <t>Manufacturing</t>
        </is>
      </c>
      <c r="C252" s="632" t="inlineStr">
        <is>
          <t>All registered asset types; actual architecture/platform evidence overrides</t>
        </is>
      </c>
      <c r="D252" s="632" t="inlineStr">
        <is>
          <t>T0849</t>
        </is>
      </c>
      <c r="E252" s="632" t="inlineStr">
        <is>
          <t>Masquerading</t>
        </is>
      </c>
      <c r="F252" s="632" t="inlineStr">
        <is>
          <t>S2</t>
        </is>
      </c>
      <c r="G252" s="632" t="inlineStr">
        <is>
          <t>Yes</t>
        </is>
      </c>
      <c r="H252" s="632" t="inlineStr">
        <is>
          <t>No explicit facility gate — defaults feasible</t>
        </is>
      </c>
      <c r="I252" s="632" t="inlineStr">
        <is>
          <t>Masquerading is applicable to execution or persistence on engineering workstations, HMIs, servers or controllers used in Manufacturing facilities.</t>
        </is>
      </c>
      <c r="J252" s="632" t="inlineStr">
        <is>
          <t>https://attack.mitre.org/techniques/T0849</t>
        </is>
      </c>
      <c r="K252" s="632" t="inlineStr">
        <is>
          <t>https://csrc.nist.gov/pubs/ir/8183/r1/final</t>
        </is>
      </c>
      <c r="L252" s="632" t="inlineStr">
        <is>
          <t>Working sector pack v1.0 — SME review recommended</t>
        </is>
      </c>
    </row>
    <row r="253">
      <c r="A253" s="632" t="inlineStr">
        <is>
          <t>Manufacturing|T0851</t>
        </is>
      </c>
      <c r="B253" s="632" t="inlineStr">
        <is>
          <t>Manufacturing</t>
        </is>
      </c>
      <c r="C253" s="632" t="inlineStr">
        <is>
          <t>All registered asset types; actual architecture/platform evidence overrides</t>
        </is>
      </c>
      <c r="D253" s="632" t="inlineStr">
        <is>
          <t>T0851</t>
        </is>
      </c>
      <c r="E253" s="632" t="inlineStr">
        <is>
          <t>Rootkit</t>
        </is>
      </c>
      <c r="F253" s="632" t="inlineStr">
        <is>
          <t>S5</t>
        </is>
      </c>
      <c r="G253" s="632" t="inlineStr">
        <is>
          <t>Yes</t>
        </is>
      </c>
      <c r="H253" s="632" t="inlineStr">
        <is>
          <t>No explicit facility gate — defaults feasible</t>
        </is>
      </c>
      <c r="I253" s="632" t="inlineStr">
        <is>
          <t>Rootkit is an ATT&amp;CK for ICS impact or response-inhibition technique that can support one or more governed adverse scenarios; scenario role remains controlled on 09.</t>
        </is>
      </c>
      <c r="J253" s="632" t="inlineStr">
        <is>
          <t>https://attack.mitre.org/techniques/T0851</t>
        </is>
      </c>
      <c r="K253" s="632" t="inlineStr">
        <is>
          <t>https://csrc.nist.gov/pubs/ir/8183/r1/final</t>
        </is>
      </c>
      <c r="L253" s="632" t="inlineStr">
        <is>
          <t>Working sector pack v1.0 — SME review recommended</t>
        </is>
      </c>
    </row>
    <row r="254">
      <c r="A254" s="632" t="inlineStr">
        <is>
          <t>Manufacturing|T0852</t>
        </is>
      </c>
      <c r="B254" s="632" t="inlineStr">
        <is>
          <t>Manufacturing</t>
        </is>
      </c>
      <c r="C254" s="632" t="inlineStr">
        <is>
          <t>All registered asset types; actual architecture/platform evidence overrides</t>
        </is>
      </c>
      <c r="D254" s="632" t="inlineStr">
        <is>
          <t>T0852</t>
        </is>
      </c>
      <c r="E254" s="632" t="inlineStr">
        <is>
          <t>Screen Capture</t>
        </is>
      </c>
      <c r="F254" s="632" t="inlineStr">
        <is>
          <t>S4</t>
        </is>
      </c>
      <c r="G254" s="632" t="inlineStr">
        <is>
          <t>Yes</t>
        </is>
      </c>
      <c r="H254" s="632" t="inlineStr">
        <is>
          <t>No explicit facility gate — defaults feasible</t>
        </is>
      </c>
      <c r="I254" s="632" t="inlineStr">
        <is>
          <t>Screen Capture can support discovery or interaction with process state, control assets and operational data in Manufacturing environments.</t>
        </is>
      </c>
      <c r="J254" s="632" t="inlineStr">
        <is>
          <t>https://attack.mitre.org/techniques/T0852</t>
        </is>
      </c>
      <c r="K254" s="632" t="inlineStr">
        <is>
          <t>https://csrc.nist.gov/pubs/ir/8183/r1/final</t>
        </is>
      </c>
      <c r="L254" s="632" t="inlineStr">
        <is>
          <t>Working sector pack v1.0 — SME review recommended</t>
        </is>
      </c>
    </row>
    <row r="255">
      <c r="A255" s="632" t="inlineStr">
        <is>
          <t>Manufacturing|T0853</t>
        </is>
      </c>
      <c r="B255" s="632" t="inlineStr">
        <is>
          <t>Manufacturing</t>
        </is>
      </c>
      <c r="C255" s="632" t="inlineStr">
        <is>
          <t>All registered asset types; actual architecture/platform evidence overrides</t>
        </is>
      </c>
      <c r="D255" s="632" t="inlineStr">
        <is>
          <t>T0853</t>
        </is>
      </c>
      <c r="E255" s="632" t="inlineStr">
        <is>
          <t>Scripting</t>
        </is>
      </c>
      <c r="F255" s="632" t="inlineStr">
        <is>
          <t>S2</t>
        </is>
      </c>
      <c r="G255" s="632" t="inlineStr">
        <is>
          <t>Yes</t>
        </is>
      </c>
      <c r="H255" s="632" t="inlineStr">
        <is>
          <t>No explicit facility gate — defaults feasible</t>
        </is>
      </c>
      <c r="I255" s="632" t="inlineStr">
        <is>
          <t>Scripting is applicable to execution or persistence on engineering workstations, HMIs, servers or controllers used in Manufacturing facilities.</t>
        </is>
      </c>
      <c r="J255" s="632" t="inlineStr">
        <is>
          <t>https://attack.mitre.org/techniques/T0853</t>
        </is>
      </c>
      <c r="K255" s="632" t="inlineStr">
        <is>
          <t>https://csrc.nist.gov/pubs/ir/8183/r1/final</t>
        </is>
      </c>
      <c r="L255" s="632" t="inlineStr">
        <is>
          <t>Working sector pack v1.0 — SME review recommended</t>
        </is>
      </c>
    </row>
    <row r="256">
      <c r="A256" s="632" t="inlineStr">
        <is>
          <t>Manufacturing|T0858</t>
        </is>
      </c>
      <c r="B256" s="632" t="inlineStr">
        <is>
          <t>Manufacturing</t>
        </is>
      </c>
      <c r="C256" s="632" t="inlineStr">
        <is>
          <t>All registered asset types; actual architecture/platform evidence overrides</t>
        </is>
      </c>
      <c r="D256" s="632" t="inlineStr">
        <is>
          <t>T0858</t>
        </is>
      </c>
      <c r="E256" s="632" t="inlineStr">
        <is>
          <t>Change Operating Mode</t>
        </is>
      </c>
      <c r="F256" s="632" t="inlineStr">
        <is>
          <t>S2</t>
        </is>
      </c>
      <c r="G256" s="632" t="inlineStr">
        <is>
          <t>Yes</t>
        </is>
      </c>
      <c r="H256" s="632" t="inlineStr">
        <is>
          <t>No explicit facility gate — defaults feasible</t>
        </is>
      </c>
      <c r="I256" s="632" t="inlineStr">
        <is>
          <t>Change Operating Mode is applicable to execution or persistence on engineering workstations, HMIs, servers or controllers used in Manufacturing facilities.</t>
        </is>
      </c>
      <c r="J256" s="632" t="inlineStr">
        <is>
          <t>https://attack.mitre.org/techniques/T0858</t>
        </is>
      </c>
      <c r="K256" s="632" t="inlineStr">
        <is>
          <t>https://csrc.nist.gov/pubs/ir/8183/r1/final</t>
        </is>
      </c>
      <c r="L256" s="632" t="inlineStr">
        <is>
          <t>Working sector pack v1.0 — SME review recommended</t>
        </is>
      </c>
    </row>
    <row r="257">
      <c r="A257" s="632" t="inlineStr">
        <is>
          <t>Manufacturing|T0859</t>
        </is>
      </c>
      <c r="B257" s="632" t="inlineStr">
        <is>
          <t>Manufacturing</t>
        </is>
      </c>
      <c r="C257" s="632" t="inlineStr">
        <is>
          <t>All registered asset types; actual architecture/platform evidence overrides</t>
        </is>
      </c>
      <c r="D257" s="632" t="inlineStr">
        <is>
          <t>T0859</t>
        </is>
      </c>
      <c r="E257" s="632" t="inlineStr">
        <is>
          <t>Valid Accounts</t>
        </is>
      </c>
      <c r="F257" s="632" t="inlineStr">
        <is>
          <t>S3</t>
        </is>
      </c>
      <c r="G257" s="632" t="inlineStr">
        <is>
          <t>Yes</t>
        </is>
      </c>
      <c r="H257" s="632" t="inlineStr">
        <is>
          <t>No explicit facility gate — defaults feasible</t>
        </is>
      </c>
      <c r="I257" s="632" t="inlineStr">
        <is>
          <t>Valid Accounts can support movement toward or within plant/control zones; actual reachability is governed by the assessed facility architecture.</t>
        </is>
      </c>
      <c r="J257" s="632" t="inlineStr">
        <is>
          <t>https://attack.mitre.org/techniques/T0859</t>
        </is>
      </c>
      <c r="K257" s="632" t="inlineStr">
        <is>
          <t>https://csrc.nist.gov/pubs/ir/8183/r1/final</t>
        </is>
      </c>
      <c r="L257" s="632" t="inlineStr">
        <is>
          <t>Working sector pack v1.0 — SME review recommended</t>
        </is>
      </c>
    </row>
    <row r="258">
      <c r="A258" s="632" t="inlineStr">
        <is>
          <t>Manufacturing|T0860</t>
        </is>
      </c>
      <c r="B258" s="632" t="inlineStr">
        <is>
          <t>Manufacturing</t>
        </is>
      </c>
      <c r="C258" s="632" t="inlineStr">
        <is>
          <t>All registered asset types; actual architecture/platform evidence overrides</t>
        </is>
      </c>
      <c r="D258" s="632" t="inlineStr">
        <is>
          <t>T0860</t>
        </is>
      </c>
      <c r="E258" s="632" t="inlineStr">
        <is>
          <t>Wireless Compromise</t>
        </is>
      </c>
      <c r="F258" s="632" t="inlineStr">
        <is>
          <t>S1</t>
        </is>
      </c>
      <c r="G258" s="632" t="inlineStr">
        <is>
          <t>Yes</t>
        </is>
      </c>
      <c r="H258" s="632" t="inlineStr">
        <is>
          <t>WIRELESS — Yes</t>
        </is>
      </c>
      <c r="I258" s="632" t="inlineStr">
        <is>
          <t>The Wireless Compromise route is credible for Manufacturing OT when the enabling access condition exists; existing facility gates determine remote, internet, transient, supply-chain or wireless feasibility.</t>
        </is>
      </c>
      <c r="J258" s="632" t="inlineStr">
        <is>
          <t>https://attack.mitre.org/techniques/T0860</t>
        </is>
      </c>
      <c r="K258" s="632" t="inlineStr">
        <is>
          <t>https://csrc.nist.gov/pubs/ir/8183/r1/final</t>
        </is>
      </c>
      <c r="L258" s="632" t="inlineStr">
        <is>
          <t>Working sector pack v1.0 — SME review recommended</t>
        </is>
      </c>
    </row>
    <row r="259">
      <c r="A259" s="632" t="inlineStr">
        <is>
          <t>Manufacturing|T0861</t>
        </is>
      </c>
      <c r="B259" s="632" t="inlineStr">
        <is>
          <t>Manufacturing</t>
        </is>
      </c>
      <c r="C259" s="632" t="inlineStr">
        <is>
          <t>All registered asset types; actual architecture/platform evidence overrides</t>
        </is>
      </c>
      <c r="D259" s="632" t="inlineStr">
        <is>
          <t>T0861</t>
        </is>
      </c>
      <c r="E259" s="632" t="inlineStr">
        <is>
          <t>Point &amp; Tag Identification</t>
        </is>
      </c>
      <c r="F259" s="632" t="inlineStr">
        <is>
          <t>S4</t>
        </is>
      </c>
      <c r="G259" s="632" t="inlineStr">
        <is>
          <t>Yes</t>
        </is>
      </c>
      <c r="H259" s="632" t="inlineStr">
        <is>
          <t>No explicit facility gate — defaults feasible</t>
        </is>
      </c>
      <c r="I259" s="632" t="inlineStr">
        <is>
          <t>Point &amp; Tag Identification can support discovery or interaction with process state, control assets and operational data in Manufacturing environments.</t>
        </is>
      </c>
      <c r="J259" s="632" t="inlineStr">
        <is>
          <t>https://attack.mitre.org/techniques/T0861</t>
        </is>
      </c>
      <c r="K259" s="632" t="inlineStr">
        <is>
          <t>https://csrc.nist.gov/pubs/ir/8183/r1/final</t>
        </is>
      </c>
      <c r="L259" s="632" t="inlineStr">
        <is>
          <t>Working sector pack v1.0 — SME review recommended</t>
        </is>
      </c>
    </row>
    <row r="260">
      <c r="A260" s="632" t="inlineStr">
        <is>
          <t>Manufacturing|T0862</t>
        </is>
      </c>
      <c r="B260" s="632" t="inlineStr">
        <is>
          <t>Manufacturing</t>
        </is>
      </c>
      <c r="C260" s="632" t="inlineStr">
        <is>
          <t>All registered asset types; actual architecture/platform evidence overrides</t>
        </is>
      </c>
      <c r="D260" s="632" t="inlineStr">
        <is>
          <t>T0862</t>
        </is>
      </c>
      <c r="E260" s="632" t="inlineStr">
        <is>
          <t>Supply Chain Compromise</t>
        </is>
      </c>
      <c r="F260" s="632" t="inlineStr">
        <is>
          <t>S1</t>
        </is>
      </c>
      <c r="G260" s="632" t="inlineStr">
        <is>
          <t>Yes</t>
        </is>
      </c>
      <c r="H260" s="632" t="inlineStr">
        <is>
          <t>SUPPLY_CHAIN — Yes</t>
        </is>
      </c>
      <c r="I260" s="632" t="inlineStr">
        <is>
          <t>The Supply Chain Compromise route is credible for Manufacturing OT when the enabling access condition exists; existing facility gates determine remote, internet, transient, supply-chain or wireless feasibility.</t>
        </is>
      </c>
      <c r="J260" s="632" t="inlineStr">
        <is>
          <t>https://attack.mitre.org/techniques/T0862</t>
        </is>
      </c>
      <c r="K260" s="632" t="inlineStr">
        <is>
          <t>https://csrc.nist.gov/pubs/ir/8183/r1/final</t>
        </is>
      </c>
      <c r="L260" s="632" t="inlineStr">
        <is>
          <t>Working sector pack v1.0 — SME review recommended</t>
        </is>
      </c>
    </row>
    <row r="261">
      <c r="A261" s="632" t="inlineStr">
        <is>
          <t>Manufacturing|T0863</t>
        </is>
      </c>
      <c r="B261" s="632" t="inlineStr">
        <is>
          <t>Manufacturing</t>
        </is>
      </c>
      <c r="C261" s="632" t="inlineStr">
        <is>
          <t>All registered asset types; actual architecture/platform evidence overrides</t>
        </is>
      </c>
      <c r="D261" s="632" t="inlineStr">
        <is>
          <t>T0863</t>
        </is>
      </c>
      <c r="E261" s="632" t="inlineStr">
        <is>
          <t>User Execution</t>
        </is>
      </c>
      <c r="F261" s="632" t="inlineStr">
        <is>
          <t>S2</t>
        </is>
      </c>
      <c r="G261" s="632" t="inlineStr">
        <is>
          <t>Yes</t>
        </is>
      </c>
      <c r="H261" s="632" t="inlineStr">
        <is>
          <t>No explicit facility gate — defaults feasible</t>
        </is>
      </c>
      <c r="I261" s="632" t="inlineStr">
        <is>
          <t>User Execution is applicable to execution or persistence on engineering workstations, HMIs, servers or controllers used in Manufacturing facilities.</t>
        </is>
      </c>
      <c r="J261" s="632" t="inlineStr">
        <is>
          <t>https://attack.mitre.org/techniques/T0863</t>
        </is>
      </c>
      <c r="K261" s="632" t="inlineStr">
        <is>
          <t>https://csrc.nist.gov/pubs/ir/8183/r1/final</t>
        </is>
      </c>
      <c r="L261" s="632" t="inlineStr">
        <is>
          <t>Working sector pack v1.0 — SME review recommended</t>
        </is>
      </c>
    </row>
    <row r="262">
      <c r="A262" s="632" t="inlineStr">
        <is>
          <t>Manufacturing|T0864</t>
        </is>
      </c>
      <c r="B262" s="632" t="inlineStr">
        <is>
          <t>Manufacturing</t>
        </is>
      </c>
      <c r="C262" s="632" t="inlineStr">
        <is>
          <t>All registered asset types; actual architecture/platform evidence overrides</t>
        </is>
      </c>
      <c r="D262" s="632" t="inlineStr">
        <is>
          <t>T0864</t>
        </is>
      </c>
      <c r="E262" s="632" t="inlineStr">
        <is>
          <t>Transient Cyber Asset</t>
        </is>
      </c>
      <c r="F262" s="632" t="inlineStr">
        <is>
          <t>S1</t>
        </is>
      </c>
      <c r="G262" s="632" t="inlineStr">
        <is>
          <t>Yes</t>
        </is>
      </c>
      <c r="H262" s="632" t="inlineStr">
        <is>
          <t>TRANSIENT_REQUIRED — Not None</t>
        </is>
      </c>
      <c r="I262" s="632" t="inlineStr">
        <is>
          <t>The Transient Cyber Asset route is credible for Manufacturing OT when the enabling access condition exists; existing facility gates determine remote, internet, transient, supply-chain or wireless feasibility.</t>
        </is>
      </c>
      <c r="J262" s="632" t="inlineStr">
        <is>
          <t>https://attack.mitre.org/techniques/T0864</t>
        </is>
      </c>
      <c r="K262" s="632" t="inlineStr">
        <is>
          <t>https://csrc.nist.gov/pubs/ir/8183/r1/final</t>
        </is>
      </c>
      <c r="L262" s="632" t="inlineStr">
        <is>
          <t>Working sector pack v1.0 — SME review recommended</t>
        </is>
      </c>
    </row>
    <row r="263">
      <c r="A263" s="632" t="inlineStr">
        <is>
          <t>Manufacturing|T0865</t>
        </is>
      </c>
      <c r="B263" s="632" t="inlineStr">
        <is>
          <t>Manufacturing</t>
        </is>
      </c>
      <c r="C263" s="632" t="inlineStr">
        <is>
          <t>All registered asset types; actual architecture/platform evidence overrides</t>
        </is>
      </c>
      <c r="D263" s="632" t="inlineStr">
        <is>
          <t>T0865</t>
        </is>
      </c>
      <c r="E263" s="632" t="inlineStr">
        <is>
          <t>Spearphishing Attachment</t>
        </is>
      </c>
      <c r="F263" s="632" t="inlineStr">
        <is>
          <t>S1</t>
        </is>
      </c>
      <c r="G263" s="632" t="inlineStr">
        <is>
          <t>Yes</t>
        </is>
      </c>
      <c r="H263" s="632" t="inlineStr">
        <is>
          <t>No explicit facility gate — defaults feasible</t>
        </is>
      </c>
      <c r="I263" s="632" t="inlineStr">
        <is>
          <t>The Spearphishing Attachment route is credible for Manufacturing OT when the enabling access condition exists; existing facility gates determine remote, internet, transient, supply-chain or wireless feasibility.</t>
        </is>
      </c>
      <c r="J263" s="632" t="inlineStr">
        <is>
          <t>https://attack.mitre.org/techniques/T0865</t>
        </is>
      </c>
      <c r="K263" s="632" t="inlineStr">
        <is>
          <t>https://csrc.nist.gov/pubs/ir/8183/r1/final</t>
        </is>
      </c>
      <c r="L263" s="632" t="inlineStr">
        <is>
          <t>Working sector pack v1.0 — SME review recommended</t>
        </is>
      </c>
    </row>
    <row r="264">
      <c r="A264" s="632" t="inlineStr">
        <is>
          <t>Manufacturing|T0866</t>
        </is>
      </c>
      <c r="B264" s="632" t="inlineStr">
        <is>
          <t>Manufacturing</t>
        </is>
      </c>
      <c r="C264" s="632" t="inlineStr">
        <is>
          <t>All registered asset types; actual architecture/platform evidence overrides</t>
        </is>
      </c>
      <c r="D264" s="632" t="inlineStr">
        <is>
          <t>T0866</t>
        </is>
      </c>
      <c r="E264" s="632" t="inlineStr">
        <is>
          <t>Exploitation of Remote Services</t>
        </is>
      </c>
      <c r="F264" s="632" t="inlineStr">
        <is>
          <t>S1</t>
        </is>
      </c>
      <c r="G264" s="632" t="inlineStr">
        <is>
          <t>Yes</t>
        </is>
      </c>
      <c r="H264" s="632" t="inlineStr">
        <is>
          <t>REMOTE_OR_ITOT — Remote path or IT-OT connection</t>
        </is>
      </c>
      <c r="I264" s="632" t="inlineStr">
        <is>
          <t>The Exploitation of Remote Services route is credible for Manufacturing OT when the enabling access condition exists; existing facility gates determine remote, internet, transient, supply-chain or wireless feasibility.</t>
        </is>
      </c>
      <c r="J264" s="632" t="inlineStr">
        <is>
          <t>https://attack.mitre.org/techniques/T0866</t>
        </is>
      </c>
      <c r="K264" s="632" t="inlineStr">
        <is>
          <t>https://csrc.nist.gov/pubs/ir/8183/r1/final</t>
        </is>
      </c>
      <c r="L264" s="632" t="inlineStr">
        <is>
          <t>Working sector pack v1.0 — SME review recommended</t>
        </is>
      </c>
    </row>
    <row r="265">
      <c r="A265" s="632" t="inlineStr">
        <is>
          <t>Manufacturing|T0867</t>
        </is>
      </c>
      <c r="B265" s="632" t="inlineStr">
        <is>
          <t>Manufacturing</t>
        </is>
      </c>
      <c r="C265" s="632" t="inlineStr">
        <is>
          <t>All registered asset types; actual architecture/platform evidence overrides</t>
        </is>
      </c>
      <c r="D265" s="632" t="inlineStr">
        <is>
          <t>T0867</t>
        </is>
      </c>
      <c r="E265" s="632" t="inlineStr">
        <is>
          <t>Lateral Tool Transfer</t>
        </is>
      </c>
      <c r="F265" s="632" t="inlineStr">
        <is>
          <t>S3</t>
        </is>
      </c>
      <c r="G265" s="632" t="inlineStr">
        <is>
          <t>Yes</t>
        </is>
      </c>
      <c r="H265" s="632" t="inlineStr">
        <is>
          <t>No explicit facility gate — defaults feasible</t>
        </is>
      </c>
      <c r="I265" s="632" t="inlineStr">
        <is>
          <t>Lateral Tool Transfer can support movement toward or within plant/control zones; actual reachability is governed by the assessed facility architecture.</t>
        </is>
      </c>
      <c r="J265" s="632" t="inlineStr">
        <is>
          <t>https://attack.mitre.org/techniques/T0867</t>
        </is>
      </c>
      <c r="K265" s="632" t="inlineStr">
        <is>
          <t>https://csrc.nist.gov/pubs/ir/8183/r1/final</t>
        </is>
      </c>
      <c r="L265" s="632" t="inlineStr">
        <is>
          <t>Working sector pack v1.0 — SME review recommended</t>
        </is>
      </c>
    </row>
    <row r="266">
      <c r="A266" s="632" t="inlineStr">
        <is>
          <t>Manufacturing|T0868</t>
        </is>
      </c>
      <c r="B266" s="632" t="inlineStr">
        <is>
          <t>Manufacturing</t>
        </is>
      </c>
      <c r="C266" s="632" t="inlineStr">
        <is>
          <t>All registered asset types; actual architecture/platform evidence overrides</t>
        </is>
      </c>
      <c r="D266" s="632" t="inlineStr">
        <is>
          <t>T0868</t>
        </is>
      </c>
      <c r="E266" s="632" t="inlineStr">
        <is>
          <t>Detect Operating Mode</t>
        </is>
      </c>
      <c r="F266" s="632" t="inlineStr">
        <is>
          <t>S4</t>
        </is>
      </c>
      <c r="G266" s="632" t="inlineStr">
        <is>
          <t>Yes</t>
        </is>
      </c>
      <c r="H266" s="632" t="inlineStr">
        <is>
          <t>No explicit facility gate — defaults feasible</t>
        </is>
      </c>
      <c r="I266" s="632" t="inlineStr">
        <is>
          <t>Detect Operating Mode can support discovery or interaction with process state, control assets and operational data in Manufacturing environments.</t>
        </is>
      </c>
      <c r="J266" s="632" t="inlineStr">
        <is>
          <t>https://attack.mitre.org/techniques/T0868</t>
        </is>
      </c>
      <c r="K266" s="632" t="inlineStr">
        <is>
          <t>https://csrc.nist.gov/pubs/ir/8183/r1/final</t>
        </is>
      </c>
      <c r="L266" s="632" t="inlineStr">
        <is>
          <t>Working sector pack v1.0 — SME review recommended</t>
        </is>
      </c>
    </row>
    <row r="267">
      <c r="A267" s="632" t="inlineStr">
        <is>
          <t>Manufacturing|T0869</t>
        </is>
      </c>
      <c r="B267" s="632" t="inlineStr">
        <is>
          <t>Manufacturing</t>
        </is>
      </c>
      <c r="C267" s="632" t="inlineStr">
        <is>
          <t>All registered asset types; actual architecture/platform evidence overrides</t>
        </is>
      </c>
      <c r="D267" s="632" t="inlineStr">
        <is>
          <t>T0869</t>
        </is>
      </c>
      <c r="E267" s="632" t="inlineStr">
        <is>
          <t>Standard Application Layer Protocol</t>
        </is>
      </c>
      <c r="F267" s="632" t="inlineStr">
        <is>
          <t>S3</t>
        </is>
      </c>
      <c r="G267" s="632" t="inlineStr">
        <is>
          <t>Yes</t>
        </is>
      </c>
      <c r="H267" s="632" t="inlineStr">
        <is>
          <t>No explicit facility gate — defaults feasible</t>
        </is>
      </c>
      <c r="I267" s="632" t="inlineStr">
        <is>
          <t>Standard Application Layer Protocol can support movement toward or within plant/control zones; actual reachability is governed by the assessed facility architecture.</t>
        </is>
      </c>
      <c r="J267" s="632" t="inlineStr">
        <is>
          <t>https://attack.mitre.org/techniques/T0869</t>
        </is>
      </c>
      <c r="K267" s="632" t="inlineStr">
        <is>
          <t>https://csrc.nist.gov/pubs/ir/8183/r1/final</t>
        </is>
      </c>
      <c r="L267" s="632" t="inlineStr">
        <is>
          <t>Working sector pack v1.0 — SME review recommended</t>
        </is>
      </c>
    </row>
    <row r="268">
      <c r="A268" s="632" t="inlineStr">
        <is>
          <t>Manufacturing|T0871</t>
        </is>
      </c>
      <c r="B268" s="632" t="inlineStr">
        <is>
          <t>Manufacturing</t>
        </is>
      </c>
      <c r="C268" s="632" t="inlineStr">
        <is>
          <t>All registered asset types; actual architecture/platform evidence overrides</t>
        </is>
      </c>
      <c r="D268" s="632" t="inlineStr">
        <is>
          <t>T0871</t>
        </is>
      </c>
      <c r="E268" s="632" t="inlineStr">
        <is>
          <t>Execution through API</t>
        </is>
      </c>
      <c r="F268" s="632" t="inlineStr">
        <is>
          <t>S2</t>
        </is>
      </c>
      <c r="G268" s="632" t="inlineStr">
        <is>
          <t>Yes</t>
        </is>
      </c>
      <c r="H268" s="632" t="inlineStr">
        <is>
          <t>No explicit facility gate — defaults feasible</t>
        </is>
      </c>
      <c r="I268" s="632" t="inlineStr">
        <is>
          <t>Execution through API is applicable to execution or persistence on engineering workstations, HMIs, servers or controllers used in Manufacturing facilities.</t>
        </is>
      </c>
      <c r="J268" s="632" t="inlineStr">
        <is>
          <t>https://attack.mitre.org/techniques/T0871</t>
        </is>
      </c>
      <c r="K268" s="632" t="inlineStr">
        <is>
          <t>https://csrc.nist.gov/pubs/ir/8183/r1/final</t>
        </is>
      </c>
      <c r="L268" s="632" t="inlineStr">
        <is>
          <t>Working sector pack v1.0 — SME review recommended</t>
        </is>
      </c>
    </row>
    <row r="269">
      <c r="A269" s="632" t="inlineStr">
        <is>
          <t>Manufacturing|T0872</t>
        </is>
      </c>
      <c r="B269" s="632" t="inlineStr">
        <is>
          <t>Manufacturing</t>
        </is>
      </c>
      <c r="C269" s="632" t="inlineStr">
        <is>
          <t>All registered asset types; actual architecture/platform evidence overrides</t>
        </is>
      </c>
      <c r="D269" s="632" t="inlineStr">
        <is>
          <t>T0872</t>
        </is>
      </c>
      <c r="E269" s="632" t="inlineStr">
        <is>
          <t>Indicator Removal on Host</t>
        </is>
      </c>
      <c r="F269" s="632" t="inlineStr">
        <is>
          <t>S2</t>
        </is>
      </c>
      <c r="G269" s="632" t="inlineStr">
        <is>
          <t>Yes</t>
        </is>
      </c>
      <c r="H269" s="632" t="inlineStr">
        <is>
          <t>No explicit facility gate — defaults feasible</t>
        </is>
      </c>
      <c r="I269" s="632" t="inlineStr">
        <is>
          <t>Indicator Removal on Host is applicable to execution or persistence on engineering workstations, HMIs, servers or controllers used in Manufacturing facilities.</t>
        </is>
      </c>
      <c r="J269" s="632" t="inlineStr">
        <is>
          <t>https://attack.mitre.org/techniques/T0872</t>
        </is>
      </c>
      <c r="K269" s="632" t="inlineStr">
        <is>
          <t>https://csrc.nist.gov/pubs/ir/8183/r1/final</t>
        </is>
      </c>
      <c r="L269" s="632" t="inlineStr">
        <is>
          <t>Working sector pack v1.0 — SME review recommended</t>
        </is>
      </c>
    </row>
    <row r="270">
      <c r="A270" s="632" t="inlineStr">
        <is>
          <t>Manufacturing|T0873</t>
        </is>
      </c>
      <c r="B270" s="632" t="inlineStr">
        <is>
          <t>Manufacturing</t>
        </is>
      </c>
      <c r="C270" s="632" t="inlineStr">
        <is>
          <t>All registered asset types; actual architecture/platform evidence overrides</t>
        </is>
      </c>
      <c r="D270" s="632" t="inlineStr">
        <is>
          <t>T0873</t>
        </is>
      </c>
      <c r="E270" s="632" t="inlineStr">
        <is>
          <t>Project File Infection</t>
        </is>
      </c>
      <c r="F270" s="632" t="inlineStr">
        <is>
          <t>S2</t>
        </is>
      </c>
      <c r="G270" s="632" t="inlineStr">
        <is>
          <t>Yes</t>
        </is>
      </c>
      <c r="H270" s="632" t="inlineStr">
        <is>
          <t>No explicit facility gate — defaults feasible</t>
        </is>
      </c>
      <c r="I270" s="632" t="inlineStr">
        <is>
          <t>Project File Infection is applicable to execution or persistence on engineering workstations, HMIs, servers or controllers used in Manufacturing facilities.</t>
        </is>
      </c>
      <c r="J270" s="632" t="inlineStr">
        <is>
          <t>https://attack.mitre.org/techniques/T0873</t>
        </is>
      </c>
      <c r="K270" s="632" t="inlineStr">
        <is>
          <t>https://csrc.nist.gov/pubs/ir/8183/r1/final</t>
        </is>
      </c>
      <c r="L270" s="632" t="inlineStr">
        <is>
          <t>Working sector pack v1.0 — SME review recommended</t>
        </is>
      </c>
    </row>
    <row r="271">
      <c r="A271" s="632" t="inlineStr">
        <is>
          <t>Manufacturing|T0873.001</t>
        </is>
      </c>
      <c r="B271" s="632" t="inlineStr">
        <is>
          <t>Manufacturing</t>
        </is>
      </c>
      <c r="C271" s="632" t="inlineStr">
        <is>
          <t>All registered asset types; actual architecture/platform evidence overrides</t>
        </is>
      </c>
      <c r="D271" s="632" t="inlineStr">
        <is>
          <t>T0873.001</t>
        </is>
      </c>
      <c r="E271" s="632" t="inlineStr">
        <is>
          <t>Siemens Project File Format</t>
        </is>
      </c>
      <c r="F271" s="632" t="inlineStr">
        <is>
          <t>S2</t>
        </is>
      </c>
      <c r="G271" s="632" t="inlineStr">
        <is>
          <t>Yes</t>
        </is>
      </c>
      <c r="H271" s="632" t="inlineStr">
        <is>
          <t>No explicit facility gate — defaults feasible</t>
        </is>
      </c>
      <c r="I271" s="632" t="inlineStr">
        <is>
          <t>Siemens Project File Format is applicable to execution or persistence on engineering workstations, HMIs, servers or controllers used in Manufacturing facilities.</t>
        </is>
      </c>
      <c r="J271" s="632" t="inlineStr">
        <is>
          <t>https://attack.mitre.org/techniques/T0873/001</t>
        </is>
      </c>
      <c r="K271" s="632" t="inlineStr">
        <is>
          <t>https://csrc.nist.gov/pubs/ir/8183/r1/final</t>
        </is>
      </c>
      <c r="L271" s="632" t="inlineStr">
        <is>
          <t>Working sector pack v1.0 — SME review recommended</t>
        </is>
      </c>
    </row>
    <row r="272">
      <c r="A272" s="632" t="inlineStr">
        <is>
          <t>Manufacturing|T0874</t>
        </is>
      </c>
      <c r="B272" s="632" t="inlineStr">
        <is>
          <t>Manufacturing</t>
        </is>
      </c>
      <c r="C272" s="632" t="inlineStr">
        <is>
          <t>All registered asset types; actual architecture/platform evidence overrides</t>
        </is>
      </c>
      <c r="D272" s="632" t="inlineStr">
        <is>
          <t>T0874</t>
        </is>
      </c>
      <c r="E272" s="632" t="inlineStr">
        <is>
          <t>Hooking</t>
        </is>
      </c>
      <c r="F272" s="632" t="inlineStr">
        <is>
          <t>S2</t>
        </is>
      </c>
      <c r="G272" s="632" t="inlineStr">
        <is>
          <t>Yes</t>
        </is>
      </c>
      <c r="H272" s="632" t="inlineStr">
        <is>
          <t>No explicit facility gate — defaults feasible</t>
        </is>
      </c>
      <c r="I272" s="632" t="inlineStr">
        <is>
          <t>Hooking is applicable to execution or persistence on engineering workstations, HMIs, servers or controllers used in Manufacturing facilities.</t>
        </is>
      </c>
      <c r="J272" s="632" t="inlineStr">
        <is>
          <t>https://attack.mitre.org/techniques/T0874</t>
        </is>
      </c>
      <c r="K272" s="632" t="inlineStr">
        <is>
          <t>https://csrc.nist.gov/pubs/ir/8183/r1/final</t>
        </is>
      </c>
      <c r="L272" s="632" t="inlineStr">
        <is>
          <t>Working sector pack v1.0 — SME review recommended</t>
        </is>
      </c>
    </row>
    <row r="273">
      <c r="A273" s="632" t="inlineStr">
        <is>
          <t>Manufacturing|T0877</t>
        </is>
      </c>
      <c r="B273" s="632" t="inlineStr">
        <is>
          <t>Manufacturing</t>
        </is>
      </c>
      <c r="C273" s="632" t="inlineStr">
        <is>
          <t>All registered asset types; actual architecture/platform evidence overrides</t>
        </is>
      </c>
      <c r="D273" s="632" t="inlineStr">
        <is>
          <t>T0877</t>
        </is>
      </c>
      <c r="E273" s="632" t="inlineStr">
        <is>
          <t>I/O Image</t>
        </is>
      </c>
      <c r="F273" s="632" t="inlineStr">
        <is>
          <t>S4</t>
        </is>
      </c>
      <c r="G273" s="632" t="inlineStr">
        <is>
          <t>Yes</t>
        </is>
      </c>
      <c r="H273" s="632" t="inlineStr">
        <is>
          <t>No explicit facility gate — defaults feasible</t>
        </is>
      </c>
      <c r="I273" s="632" t="inlineStr">
        <is>
          <t>I/O Image can support discovery or interaction with process state, control assets and operational data in Manufacturing environments.</t>
        </is>
      </c>
      <c r="J273" s="632" t="inlineStr">
        <is>
          <t>https://attack.mitre.org/techniques/T0877</t>
        </is>
      </c>
      <c r="K273" s="632" t="inlineStr">
        <is>
          <t>https://csrc.nist.gov/pubs/ir/8183/r1/final</t>
        </is>
      </c>
      <c r="L273" s="632" t="inlineStr">
        <is>
          <t>Working sector pack v1.0 — SME review recommended</t>
        </is>
      </c>
    </row>
    <row r="274">
      <c r="A274" s="632" t="inlineStr">
        <is>
          <t>Manufacturing|T0878</t>
        </is>
      </c>
      <c r="B274" s="632" t="inlineStr">
        <is>
          <t>Manufacturing</t>
        </is>
      </c>
      <c r="C274" s="632" t="inlineStr">
        <is>
          <t>All registered asset types; actual architecture/platform evidence overrides</t>
        </is>
      </c>
      <c r="D274" s="632" t="inlineStr">
        <is>
          <t>T0878</t>
        </is>
      </c>
      <c r="E274" s="632" t="inlineStr">
        <is>
          <t>Alarm Suppression</t>
        </is>
      </c>
      <c r="F274" s="632" t="inlineStr">
        <is>
          <t>S5</t>
        </is>
      </c>
      <c r="G274" s="632" t="inlineStr">
        <is>
          <t>Yes</t>
        </is>
      </c>
      <c r="H274" s="632" t="inlineStr">
        <is>
          <t>No explicit facility gate — defaults feasible</t>
        </is>
      </c>
      <c r="I274" s="632" t="inlineStr">
        <is>
          <t>Alarm Suppression is an ATT&amp;CK for ICS impact or response-inhibition technique that can support one or more governed adverse scenarios; scenario role remains controlled on 09.</t>
        </is>
      </c>
      <c r="J274" s="632" t="inlineStr">
        <is>
          <t>https://attack.mitre.org/techniques/T0878</t>
        </is>
      </c>
      <c r="K274" s="632" t="inlineStr">
        <is>
          <t>https://csrc.nist.gov/pubs/ir/8183/r1/final</t>
        </is>
      </c>
      <c r="L274" s="632" t="inlineStr">
        <is>
          <t>Working sector pack v1.0 — SME review recommended</t>
        </is>
      </c>
    </row>
    <row r="275">
      <c r="A275" s="632" t="inlineStr">
        <is>
          <t>Manufacturing|T0879</t>
        </is>
      </c>
      <c r="B275" s="632" t="inlineStr">
        <is>
          <t>Manufacturing</t>
        </is>
      </c>
      <c r="C275" s="632" t="inlineStr">
        <is>
          <t>All registered asset types; actual architecture/platform evidence overrides</t>
        </is>
      </c>
      <c r="D275" s="632" t="inlineStr">
        <is>
          <t>T0879</t>
        </is>
      </c>
      <c r="E275" s="632" t="inlineStr">
        <is>
          <t>Damage to Property</t>
        </is>
      </c>
      <c r="F275" s="632" t="inlineStr">
        <is>
          <t>S5</t>
        </is>
      </c>
      <c r="G275" s="632" t="inlineStr">
        <is>
          <t>Yes</t>
        </is>
      </c>
      <c r="H275" s="632" t="inlineStr">
        <is>
          <t>No explicit facility gate — defaults feasible</t>
        </is>
      </c>
      <c r="I275" s="632" t="inlineStr">
        <is>
          <t>Damage to Property is an ATT&amp;CK for ICS impact or response-inhibition technique that can support one or more governed adverse scenarios; scenario role remains controlled on 09.</t>
        </is>
      </c>
      <c r="J275" s="632" t="inlineStr">
        <is>
          <t>https://attack.mitre.org/techniques/T0879</t>
        </is>
      </c>
      <c r="K275" s="632" t="inlineStr">
        <is>
          <t>https://csrc.nist.gov/pubs/ir/8183/r1/final</t>
        </is>
      </c>
      <c r="L275" s="632" t="inlineStr">
        <is>
          <t>Working sector pack v1.0 — SME review recommended</t>
        </is>
      </c>
    </row>
    <row r="276">
      <c r="A276" s="632" t="inlineStr">
        <is>
          <t>Manufacturing|T0880</t>
        </is>
      </c>
      <c r="B276" s="632" t="inlineStr">
        <is>
          <t>Manufacturing</t>
        </is>
      </c>
      <c r="C276" s="632" t="inlineStr">
        <is>
          <t>All registered asset types; actual architecture/platform evidence overrides</t>
        </is>
      </c>
      <c r="D276" s="632" t="inlineStr">
        <is>
          <t>T0880</t>
        </is>
      </c>
      <c r="E276" s="632" t="inlineStr">
        <is>
          <t>Loss of Safety</t>
        </is>
      </c>
      <c r="F276" s="632" t="inlineStr">
        <is>
          <t>S5</t>
        </is>
      </c>
      <c r="G276" s="632" t="inlineStr">
        <is>
          <t>Yes</t>
        </is>
      </c>
      <c r="H276" s="632" t="inlineStr">
        <is>
          <t>No explicit facility gate — defaults feasible</t>
        </is>
      </c>
      <c r="I276" s="632" t="inlineStr">
        <is>
          <t>Loss of Safety is an ATT&amp;CK for ICS impact or response-inhibition technique that can support one or more governed adverse scenarios; scenario role remains controlled on 09.</t>
        </is>
      </c>
      <c r="J276" s="632" t="inlineStr">
        <is>
          <t>https://attack.mitre.org/techniques/T0880</t>
        </is>
      </c>
      <c r="K276" s="632" t="inlineStr">
        <is>
          <t>https://csrc.nist.gov/pubs/ir/8183/r1/final</t>
        </is>
      </c>
      <c r="L276" s="632" t="inlineStr">
        <is>
          <t>Working sector pack v1.0 — SME review recommended</t>
        </is>
      </c>
    </row>
    <row r="277">
      <c r="A277" s="632" t="inlineStr">
        <is>
          <t>Manufacturing|T0881</t>
        </is>
      </c>
      <c r="B277" s="632" t="inlineStr">
        <is>
          <t>Manufacturing</t>
        </is>
      </c>
      <c r="C277" s="632" t="inlineStr">
        <is>
          <t>All registered asset types; actual architecture/platform evidence overrides</t>
        </is>
      </c>
      <c r="D277" s="632" t="inlineStr">
        <is>
          <t>T0881</t>
        </is>
      </c>
      <c r="E277" s="632" t="inlineStr">
        <is>
          <t>Service Stop</t>
        </is>
      </c>
      <c r="F277" s="632" t="inlineStr">
        <is>
          <t>S5</t>
        </is>
      </c>
      <c r="G277" s="632" t="inlineStr">
        <is>
          <t>Yes</t>
        </is>
      </c>
      <c r="H277" s="632" t="inlineStr">
        <is>
          <t>No explicit facility gate — defaults feasible</t>
        </is>
      </c>
      <c r="I277" s="632" t="inlineStr">
        <is>
          <t>Service Stop is an ATT&amp;CK for ICS impact or response-inhibition technique that can support one or more governed adverse scenarios; scenario role remains controlled on 09.</t>
        </is>
      </c>
      <c r="J277" s="632" t="inlineStr">
        <is>
          <t>https://attack.mitre.org/techniques/T0881</t>
        </is>
      </c>
      <c r="K277" s="632" t="inlineStr">
        <is>
          <t>https://csrc.nist.gov/pubs/ir/8183/r1/final</t>
        </is>
      </c>
      <c r="L277" s="632" t="inlineStr">
        <is>
          <t>Working sector pack v1.0 — SME review recommended</t>
        </is>
      </c>
    </row>
    <row r="278">
      <c r="A278" s="632" t="inlineStr">
        <is>
          <t>Manufacturing|T0882</t>
        </is>
      </c>
      <c r="B278" s="632" t="inlineStr">
        <is>
          <t>Manufacturing</t>
        </is>
      </c>
      <c r="C278" s="632" t="inlineStr">
        <is>
          <t>All registered asset types; actual architecture/platform evidence overrides</t>
        </is>
      </c>
      <c r="D278" s="632" t="inlineStr">
        <is>
          <t>T0882</t>
        </is>
      </c>
      <c r="E278" s="632" t="inlineStr">
        <is>
          <t>Theft of Operational Information</t>
        </is>
      </c>
      <c r="F278" s="632" t="inlineStr">
        <is>
          <t>S5</t>
        </is>
      </c>
      <c r="G278" s="632" t="inlineStr">
        <is>
          <t>Yes</t>
        </is>
      </c>
      <c r="H278" s="632" t="inlineStr">
        <is>
          <t>No explicit facility gate — defaults feasible</t>
        </is>
      </c>
      <c r="I278" s="632" t="inlineStr">
        <is>
          <t>Theft of Operational Information is an ATT&amp;CK for ICS impact or response-inhibition technique that can support one or more governed adverse scenarios; scenario role remains controlled on 09.</t>
        </is>
      </c>
      <c r="J278" s="632" t="inlineStr">
        <is>
          <t>https://attack.mitre.org/techniques/T0882</t>
        </is>
      </c>
      <c r="K278" s="632" t="inlineStr">
        <is>
          <t>https://csrc.nist.gov/pubs/ir/8183/r1/final</t>
        </is>
      </c>
      <c r="L278" s="632" t="inlineStr">
        <is>
          <t>Working sector pack v1.0 — SME review recommended</t>
        </is>
      </c>
    </row>
    <row r="279">
      <c r="A279" s="632" t="inlineStr">
        <is>
          <t>Manufacturing|T0883</t>
        </is>
      </c>
      <c r="B279" s="632" t="inlineStr">
        <is>
          <t>Manufacturing</t>
        </is>
      </c>
      <c r="C279" s="632" t="inlineStr">
        <is>
          <t>All registered asset types; actual architecture/platform evidence overrides</t>
        </is>
      </c>
      <c r="D279" s="632" t="inlineStr">
        <is>
          <t>T0883</t>
        </is>
      </c>
      <c r="E279" s="632" t="inlineStr">
        <is>
          <t>Internet Accessible Device</t>
        </is>
      </c>
      <c r="F279" s="632" t="inlineStr">
        <is>
          <t>S1</t>
        </is>
      </c>
      <c r="G279" s="632" t="inlineStr">
        <is>
          <t>Yes</t>
        </is>
      </c>
      <c r="H279" s="632" t="inlineStr">
        <is>
          <t>INTERNET_OT — Yes</t>
        </is>
      </c>
      <c r="I279" s="632" t="inlineStr">
        <is>
          <t>The Internet Accessible Device route is credible for Manufacturing OT when the enabling access condition exists; existing facility gates determine remote, internet, transient, supply-chain or wireless feasibility.</t>
        </is>
      </c>
      <c r="J279" s="632" t="inlineStr">
        <is>
          <t>https://attack.mitre.org/techniques/T0883</t>
        </is>
      </c>
      <c r="K279" s="632" t="inlineStr">
        <is>
          <t>https://csrc.nist.gov/pubs/ir/8183/r1/final</t>
        </is>
      </c>
      <c r="L279" s="632" t="inlineStr">
        <is>
          <t>Working sector pack v1.0 — SME review recommended</t>
        </is>
      </c>
    </row>
    <row r="280">
      <c r="A280" s="632" t="inlineStr">
        <is>
          <t>Manufacturing|T0884</t>
        </is>
      </c>
      <c r="B280" s="632" t="inlineStr">
        <is>
          <t>Manufacturing</t>
        </is>
      </c>
      <c r="C280" s="632" t="inlineStr">
        <is>
          <t>All registered asset types; actual architecture/platform evidence overrides</t>
        </is>
      </c>
      <c r="D280" s="632" t="inlineStr">
        <is>
          <t>T0884</t>
        </is>
      </c>
      <c r="E280" s="632" t="inlineStr">
        <is>
          <t>Connection Proxy</t>
        </is>
      </c>
      <c r="F280" s="632" t="inlineStr">
        <is>
          <t>S3</t>
        </is>
      </c>
      <c r="G280" s="632" t="inlineStr">
        <is>
          <t>Yes</t>
        </is>
      </c>
      <c r="H280" s="632" t="inlineStr">
        <is>
          <t>No explicit facility gate — defaults feasible</t>
        </is>
      </c>
      <c r="I280" s="632" t="inlineStr">
        <is>
          <t>Connection Proxy can support movement toward or within plant/control zones; actual reachability is governed by the assessed facility architecture.</t>
        </is>
      </c>
      <c r="J280" s="632" t="inlineStr">
        <is>
          <t>https://attack.mitre.org/techniques/T0884</t>
        </is>
      </c>
      <c r="K280" s="632" t="inlineStr">
        <is>
          <t>https://csrc.nist.gov/pubs/ir/8183/r1/final</t>
        </is>
      </c>
      <c r="L280" s="632" t="inlineStr">
        <is>
          <t>Working sector pack v1.0 — SME review recommended</t>
        </is>
      </c>
    </row>
    <row r="281">
      <c r="A281" s="632" t="inlineStr">
        <is>
          <t>Manufacturing|T0885</t>
        </is>
      </c>
      <c r="B281" s="632" t="inlineStr">
        <is>
          <t>Manufacturing</t>
        </is>
      </c>
      <c r="C281" s="632" t="inlineStr">
        <is>
          <t>All registered asset types; actual architecture/platform evidence overrides</t>
        </is>
      </c>
      <c r="D281" s="632" t="inlineStr">
        <is>
          <t>T0885</t>
        </is>
      </c>
      <c r="E281" s="632" t="inlineStr">
        <is>
          <t>Commonly Used Port</t>
        </is>
      </c>
      <c r="F281" s="632" t="inlineStr">
        <is>
          <t>S3</t>
        </is>
      </c>
      <c r="G281" s="632" t="inlineStr">
        <is>
          <t>Yes</t>
        </is>
      </c>
      <c r="H281" s="632" t="inlineStr">
        <is>
          <t>No explicit facility gate — defaults feasible</t>
        </is>
      </c>
      <c r="I281" s="632" t="inlineStr">
        <is>
          <t>Commonly Used Port can support movement toward or within plant/control zones; actual reachability is governed by the assessed facility architecture.</t>
        </is>
      </c>
      <c r="J281" s="632" t="inlineStr">
        <is>
          <t>https://attack.mitre.org/techniques/T0885</t>
        </is>
      </c>
      <c r="K281" s="632" t="inlineStr">
        <is>
          <t>https://csrc.nist.gov/pubs/ir/8183/r1/final</t>
        </is>
      </c>
      <c r="L281" s="632" t="inlineStr">
        <is>
          <t>Working sector pack v1.0 — SME review recommended</t>
        </is>
      </c>
    </row>
    <row r="282">
      <c r="A282" s="632" t="inlineStr">
        <is>
          <t>Manufacturing|T0886</t>
        </is>
      </c>
      <c r="B282" s="632" t="inlineStr">
        <is>
          <t>Manufacturing</t>
        </is>
      </c>
      <c r="C282" s="632" t="inlineStr">
        <is>
          <t>All registered asset types; actual architecture/platform evidence overrides</t>
        </is>
      </c>
      <c r="D282" s="632" t="inlineStr">
        <is>
          <t>T0886</t>
        </is>
      </c>
      <c r="E282" s="632" t="inlineStr">
        <is>
          <t>Remote Services</t>
        </is>
      </c>
      <c r="F282" s="632" t="inlineStr">
        <is>
          <t>S1</t>
        </is>
      </c>
      <c r="G282" s="632" t="inlineStr">
        <is>
          <t>Yes</t>
        </is>
      </c>
      <c r="H282" s="632" t="inlineStr">
        <is>
          <t>REMOTE_OR_ITOT — Remote path or IT-OT connection</t>
        </is>
      </c>
      <c r="I282" s="632" t="inlineStr">
        <is>
          <t>The Remote Services route is credible for Manufacturing OT when the enabling access condition exists; existing facility gates determine remote, internet, transient, supply-chain or wireless feasibility.</t>
        </is>
      </c>
      <c r="J282" s="632" t="inlineStr">
        <is>
          <t>https://attack.mitre.org/techniques/T0886</t>
        </is>
      </c>
      <c r="K282" s="632" t="inlineStr">
        <is>
          <t>https://csrc.nist.gov/pubs/ir/8183/r1/final</t>
        </is>
      </c>
      <c r="L282" s="632" t="inlineStr">
        <is>
          <t>Working sector pack v1.0 — SME review recommended</t>
        </is>
      </c>
    </row>
    <row r="283">
      <c r="A283" s="632" t="inlineStr">
        <is>
          <t>Manufacturing|T0887</t>
        </is>
      </c>
      <c r="B283" s="632" t="inlineStr">
        <is>
          <t>Manufacturing</t>
        </is>
      </c>
      <c r="C283" s="632" t="inlineStr">
        <is>
          <t>All registered asset types; actual architecture/platform evidence overrides</t>
        </is>
      </c>
      <c r="D283" s="632" t="inlineStr">
        <is>
          <t>T0887</t>
        </is>
      </c>
      <c r="E283" s="632" t="inlineStr">
        <is>
          <t>Wireless Sniffing</t>
        </is>
      </c>
      <c r="F283" s="632" t="inlineStr">
        <is>
          <t>S4</t>
        </is>
      </c>
      <c r="G283" s="632" t="inlineStr">
        <is>
          <t>Yes</t>
        </is>
      </c>
      <c r="H283" s="632" t="inlineStr">
        <is>
          <t>WIRELESS — Yes</t>
        </is>
      </c>
      <c r="I283" s="632" t="inlineStr">
        <is>
          <t>Wireless Sniffing can support discovery or interaction with process state, control assets and operational data in Manufacturing environments.</t>
        </is>
      </c>
      <c r="J283" s="632" t="inlineStr">
        <is>
          <t>https://attack.mitre.org/techniques/T0887</t>
        </is>
      </c>
      <c r="K283" s="632" t="inlineStr">
        <is>
          <t>https://csrc.nist.gov/pubs/ir/8183/r1/final</t>
        </is>
      </c>
      <c r="L283" s="632" t="inlineStr">
        <is>
          <t>Working sector pack v1.0 — SME review recommended</t>
        </is>
      </c>
    </row>
    <row r="284">
      <c r="A284" s="632" t="inlineStr">
        <is>
          <t>Manufacturing|T0888</t>
        </is>
      </c>
      <c r="B284" s="632" t="inlineStr">
        <is>
          <t>Manufacturing</t>
        </is>
      </c>
      <c r="C284" s="632" t="inlineStr">
        <is>
          <t>All registered asset types; actual architecture/platform evidence overrides</t>
        </is>
      </c>
      <c r="D284" s="632" t="inlineStr">
        <is>
          <t>T0888</t>
        </is>
      </c>
      <c r="E284" s="632" t="inlineStr">
        <is>
          <t>Remote System Information Discovery</t>
        </is>
      </c>
      <c r="F284" s="632" t="inlineStr">
        <is>
          <t>S4</t>
        </is>
      </c>
      <c r="G284" s="632" t="inlineStr">
        <is>
          <t>Yes</t>
        </is>
      </c>
      <c r="H284" s="632" t="inlineStr">
        <is>
          <t>No explicit facility gate — defaults feasible</t>
        </is>
      </c>
      <c r="I284" s="632" t="inlineStr">
        <is>
          <t>Remote System Information Discovery can support discovery or interaction with process state, control assets and operational data in Manufacturing environments.</t>
        </is>
      </c>
      <c r="J284" s="632" t="inlineStr">
        <is>
          <t>https://attack.mitre.org/techniques/T0888</t>
        </is>
      </c>
      <c r="K284" s="632" t="inlineStr">
        <is>
          <t>https://csrc.nist.gov/pubs/ir/8183/r1/final</t>
        </is>
      </c>
      <c r="L284" s="632" t="inlineStr">
        <is>
          <t>Working sector pack v1.0 — SME review recommended</t>
        </is>
      </c>
    </row>
    <row r="285">
      <c r="A285" s="632" t="inlineStr">
        <is>
          <t>Manufacturing|T0889</t>
        </is>
      </c>
      <c r="B285" s="632" t="inlineStr">
        <is>
          <t>Manufacturing</t>
        </is>
      </c>
      <c r="C285" s="632" t="inlineStr">
        <is>
          <t>All registered asset types; actual architecture/platform evidence overrides</t>
        </is>
      </c>
      <c r="D285" s="632" t="inlineStr">
        <is>
          <t>T0889</t>
        </is>
      </c>
      <c r="E285" s="632" t="inlineStr">
        <is>
          <t>Modify Program</t>
        </is>
      </c>
      <c r="F285" s="632" t="inlineStr">
        <is>
          <t>S2</t>
        </is>
      </c>
      <c r="G285" s="632" t="inlineStr">
        <is>
          <t>Yes</t>
        </is>
      </c>
      <c r="H285" s="632" t="inlineStr">
        <is>
          <t>No explicit facility gate — defaults feasible</t>
        </is>
      </c>
      <c r="I285" s="632" t="inlineStr">
        <is>
          <t>Modify Program is applicable to execution or persistence on engineering workstations, HMIs, servers or controllers used in Manufacturing facilities.</t>
        </is>
      </c>
      <c r="J285" s="632" t="inlineStr">
        <is>
          <t>https://attack.mitre.org/techniques/T0889</t>
        </is>
      </c>
      <c r="K285" s="632" t="inlineStr">
        <is>
          <t>https://csrc.nist.gov/pubs/ir/8183/r1/final</t>
        </is>
      </c>
      <c r="L285" s="632" t="inlineStr">
        <is>
          <t>Working sector pack v1.0 — SME review recommended</t>
        </is>
      </c>
    </row>
    <row r="286">
      <c r="A286" s="632" t="inlineStr">
        <is>
          <t>Manufacturing|T0890</t>
        </is>
      </c>
      <c r="B286" s="632" t="inlineStr">
        <is>
          <t>Manufacturing</t>
        </is>
      </c>
      <c r="C286" s="632" t="inlineStr">
        <is>
          <t>All registered asset types; actual architecture/platform evidence overrides</t>
        </is>
      </c>
      <c r="D286" s="632" t="inlineStr">
        <is>
          <t>T0890</t>
        </is>
      </c>
      <c r="E286" s="632" t="inlineStr">
        <is>
          <t>Exploitation for Privilege Escalation</t>
        </is>
      </c>
      <c r="F286" s="632" t="inlineStr">
        <is>
          <t>S2</t>
        </is>
      </c>
      <c r="G286" s="632" t="inlineStr">
        <is>
          <t>Yes</t>
        </is>
      </c>
      <c r="H286" s="632" t="inlineStr">
        <is>
          <t>No explicit facility gate — defaults feasible</t>
        </is>
      </c>
      <c r="I286" s="632" t="inlineStr">
        <is>
          <t>Exploitation for Privilege Escalation is applicable to execution or persistence on engineering workstations, HMIs, servers or controllers used in Manufacturing facilities.</t>
        </is>
      </c>
      <c r="J286" s="632" t="inlineStr">
        <is>
          <t>https://attack.mitre.org/techniques/T0890</t>
        </is>
      </c>
      <c r="K286" s="632" t="inlineStr">
        <is>
          <t>https://csrc.nist.gov/pubs/ir/8183/r1/final</t>
        </is>
      </c>
      <c r="L286" s="632" t="inlineStr">
        <is>
          <t>Working sector pack v1.0 — SME review recommended</t>
        </is>
      </c>
    </row>
    <row r="287">
      <c r="A287" s="632" t="inlineStr">
        <is>
          <t>Manufacturing|T0892</t>
        </is>
      </c>
      <c r="B287" s="632" t="inlineStr">
        <is>
          <t>Manufacturing</t>
        </is>
      </c>
      <c r="C287" s="632" t="inlineStr">
        <is>
          <t>All registered asset types; actual architecture/platform evidence overrides</t>
        </is>
      </c>
      <c r="D287" s="632" t="inlineStr">
        <is>
          <t>T0892</t>
        </is>
      </c>
      <c r="E287" s="632" t="inlineStr">
        <is>
          <t>Change Credential</t>
        </is>
      </c>
      <c r="F287" s="632" t="inlineStr">
        <is>
          <t>S5</t>
        </is>
      </c>
      <c r="G287" s="632" t="inlineStr">
        <is>
          <t>Yes</t>
        </is>
      </c>
      <c r="H287" s="632" t="inlineStr">
        <is>
          <t>No explicit facility gate — defaults feasible</t>
        </is>
      </c>
      <c r="I287" s="632" t="inlineStr">
        <is>
          <t>Change Credential is an ATT&amp;CK for ICS impact or response-inhibition technique that can support one or more governed adverse scenarios; scenario role remains controlled on 09.</t>
        </is>
      </c>
      <c r="J287" s="632" t="inlineStr">
        <is>
          <t>https://attack.mitre.org/techniques/T0892</t>
        </is>
      </c>
      <c r="K287" s="632" t="inlineStr">
        <is>
          <t>https://csrc.nist.gov/pubs/ir/8183/r1/final</t>
        </is>
      </c>
      <c r="L287" s="632" t="inlineStr">
        <is>
          <t>Working sector pack v1.0 — SME review recommended</t>
        </is>
      </c>
    </row>
    <row r="288">
      <c r="A288" s="632" t="inlineStr">
        <is>
          <t>Manufacturing|T0893</t>
        </is>
      </c>
      <c r="B288" s="632" t="inlineStr">
        <is>
          <t>Manufacturing</t>
        </is>
      </c>
      <c r="C288" s="632" t="inlineStr">
        <is>
          <t>All registered asset types; actual architecture/platform evidence overrides</t>
        </is>
      </c>
      <c r="D288" s="632" t="inlineStr">
        <is>
          <t>T0893</t>
        </is>
      </c>
      <c r="E288" s="632" t="inlineStr">
        <is>
          <t>Data from Local System</t>
        </is>
      </c>
      <c r="F288" s="632" t="inlineStr">
        <is>
          <t>S4</t>
        </is>
      </c>
      <c r="G288" s="632" t="inlineStr">
        <is>
          <t>Yes</t>
        </is>
      </c>
      <c r="H288" s="632" t="inlineStr">
        <is>
          <t>No explicit facility gate — defaults feasible</t>
        </is>
      </c>
      <c r="I288" s="632" t="inlineStr">
        <is>
          <t>Data from Local System can support discovery or interaction with process state, control assets and operational data in Manufacturing environments.</t>
        </is>
      </c>
      <c r="J288" s="632" t="inlineStr">
        <is>
          <t>https://attack.mitre.org/techniques/T0893</t>
        </is>
      </c>
      <c r="K288" s="632" t="inlineStr">
        <is>
          <t>https://csrc.nist.gov/pubs/ir/8183/r1/final</t>
        </is>
      </c>
      <c r="L288" s="632" t="inlineStr">
        <is>
          <t>Working sector pack v1.0 — SME review recommended</t>
        </is>
      </c>
    </row>
    <row r="289">
      <c r="A289" s="632" t="inlineStr">
        <is>
          <t>Manufacturing|T0894</t>
        </is>
      </c>
      <c r="B289" s="632" t="inlineStr">
        <is>
          <t>Manufacturing</t>
        </is>
      </c>
      <c r="C289" s="632" t="inlineStr">
        <is>
          <t>All registered asset types; actual architecture/platform evidence overrides</t>
        </is>
      </c>
      <c r="D289" s="632" t="inlineStr">
        <is>
          <t>T0894</t>
        </is>
      </c>
      <c r="E289" s="632" t="inlineStr">
        <is>
          <t>System Binary Proxy Execution</t>
        </is>
      </c>
      <c r="F289" s="632" t="inlineStr">
        <is>
          <t>S2</t>
        </is>
      </c>
      <c r="G289" s="632" t="inlineStr">
        <is>
          <t>Yes</t>
        </is>
      </c>
      <c r="H289" s="632" t="inlineStr">
        <is>
          <t>No explicit facility gate — defaults feasible</t>
        </is>
      </c>
      <c r="I289" s="632" t="inlineStr">
        <is>
          <t>System Binary Proxy Execution is applicable to execution or persistence on engineering workstations, HMIs, servers or controllers used in Manufacturing facilities.</t>
        </is>
      </c>
      <c r="J289" s="632" t="inlineStr">
        <is>
          <t>https://attack.mitre.org/techniques/T0894</t>
        </is>
      </c>
      <c r="K289" s="632" t="inlineStr">
        <is>
          <t>https://csrc.nist.gov/pubs/ir/8183/r1/final</t>
        </is>
      </c>
      <c r="L289" s="632" t="inlineStr">
        <is>
          <t>Working sector pack v1.0 — SME review recommended</t>
        </is>
      </c>
    </row>
    <row r="290">
      <c r="A290" s="632" t="inlineStr">
        <is>
          <t>Manufacturing|T0895</t>
        </is>
      </c>
      <c r="B290" s="632" t="inlineStr">
        <is>
          <t>Manufacturing</t>
        </is>
      </c>
      <c r="C290" s="632" t="inlineStr">
        <is>
          <t>All registered asset types; actual architecture/platform evidence overrides</t>
        </is>
      </c>
      <c r="D290" s="632" t="inlineStr">
        <is>
          <t>T0895</t>
        </is>
      </c>
      <c r="E290" s="632" t="inlineStr">
        <is>
          <t>Autorun Image</t>
        </is>
      </c>
      <c r="F290" s="632" t="inlineStr">
        <is>
          <t>S2</t>
        </is>
      </c>
      <c r="G290" s="632" t="inlineStr">
        <is>
          <t>Yes</t>
        </is>
      </c>
      <c r="H290" s="632" t="inlineStr">
        <is>
          <t>No explicit facility gate — defaults feasible</t>
        </is>
      </c>
      <c r="I290" s="632" t="inlineStr">
        <is>
          <t>Autorun Image is applicable to execution or persistence on engineering workstations, HMIs, servers or controllers used in Manufacturing facilities.</t>
        </is>
      </c>
      <c r="J290" s="632" t="inlineStr">
        <is>
          <t>https://attack.mitre.org/techniques/T0895</t>
        </is>
      </c>
      <c r="K290" s="632" t="inlineStr">
        <is>
          <t>https://csrc.nist.gov/pubs/ir/8183/r1/final</t>
        </is>
      </c>
      <c r="L290" s="632" t="inlineStr">
        <is>
          <t>Working sector pack v1.0 — SME review recommended</t>
        </is>
      </c>
    </row>
    <row r="291">
      <c r="A291" s="632" t="inlineStr">
        <is>
          <t>Manufacturing|T1691</t>
        </is>
      </c>
      <c r="B291" s="632" t="inlineStr">
        <is>
          <t>Manufacturing</t>
        </is>
      </c>
      <c r="C291" s="632" t="inlineStr">
        <is>
          <t>All registered asset types; actual architecture/platform evidence overrides</t>
        </is>
      </c>
      <c r="D291" s="632" t="inlineStr">
        <is>
          <t>T1691</t>
        </is>
      </c>
      <c r="E291" s="632" t="inlineStr">
        <is>
          <t>Block Operational Technology Message</t>
        </is>
      </c>
      <c r="F291" s="632" t="inlineStr">
        <is>
          <t>S5</t>
        </is>
      </c>
      <c r="G291" s="632" t="inlineStr">
        <is>
          <t>Yes</t>
        </is>
      </c>
      <c r="H291" s="632" t="inlineStr">
        <is>
          <t>No explicit facility gate — defaults feasible</t>
        </is>
      </c>
      <c r="I291" s="632" t="inlineStr">
        <is>
          <t>Block Operational Technology Message is an ATT&amp;CK for ICS impact or response-inhibition technique that can support one or more governed adverse scenarios; scenario role remains controlled on 09.</t>
        </is>
      </c>
      <c r="J291" s="632" t="inlineStr">
        <is>
          <t>https://attack.mitre.org/techniques/T1691</t>
        </is>
      </c>
      <c r="K291" s="632" t="inlineStr">
        <is>
          <t>https://csrc.nist.gov/pubs/ir/8183/r1/final</t>
        </is>
      </c>
      <c r="L291" s="632" t="inlineStr">
        <is>
          <t>Working sector pack v1.0 — SME review recommended</t>
        </is>
      </c>
    </row>
    <row r="292">
      <c r="A292" s="632" t="inlineStr">
        <is>
          <t>Manufacturing|T1691.001</t>
        </is>
      </c>
      <c r="B292" s="632" t="inlineStr">
        <is>
          <t>Manufacturing</t>
        </is>
      </c>
      <c r="C292" s="632" t="inlineStr">
        <is>
          <t>All registered asset types; actual architecture/platform evidence overrides</t>
        </is>
      </c>
      <c r="D292" s="632" t="inlineStr">
        <is>
          <t>T1691.001</t>
        </is>
      </c>
      <c r="E292" s="632" t="inlineStr">
        <is>
          <t>Command Message</t>
        </is>
      </c>
      <c r="F292" s="632" t="inlineStr">
        <is>
          <t>S5</t>
        </is>
      </c>
      <c r="G292" s="632" t="inlineStr">
        <is>
          <t>Yes</t>
        </is>
      </c>
      <c r="H292" s="632" t="inlineStr">
        <is>
          <t>No explicit facility gate — defaults feasible</t>
        </is>
      </c>
      <c r="I292" s="632" t="inlineStr">
        <is>
          <t>Command Message is an ATT&amp;CK for ICS impact or response-inhibition technique that can support one or more governed adverse scenarios; scenario role remains controlled on 09.</t>
        </is>
      </c>
      <c r="J292" s="632" t="inlineStr">
        <is>
          <t>https://attack.mitre.org/techniques/T1691/001</t>
        </is>
      </c>
      <c r="K292" s="632" t="inlineStr">
        <is>
          <t>https://csrc.nist.gov/pubs/ir/8183/r1/final</t>
        </is>
      </c>
      <c r="L292" s="632" t="inlineStr">
        <is>
          <t>Working sector pack v1.0 — SME review recommended</t>
        </is>
      </c>
    </row>
    <row r="293">
      <c r="A293" s="632" t="inlineStr">
        <is>
          <t>Manufacturing|T1691.002</t>
        </is>
      </c>
      <c r="B293" s="632" t="inlineStr">
        <is>
          <t>Manufacturing</t>
        </is>
      </c>
      <c r="C293" s="632" t="inlineStr">
        <is>
          <t>All registered asset types; actual architecture/platform evidence overrides</t>
        </is>
      </c>
      <c r="D293" s="632" t="inlineStr">
        <is>
          <t>T1691.002</t>
        </is>
      </c>
      <c r="E293" s="632" t="inlineStr">
        <is>
          <t>Reporting Message</t>
        </is>
      </c>
      <c r="F293" s="632" t="inlineStr">
        <is>
          <t>S5</t>
        </is>
      </c>
      <c r="G293" s="632" t="inlineStr">
        <is>
          <t>Yes</t>
        </is>
      </c>
      <c r="H293" s="632" t="inlineStr">
        <is>
          <t>No explicit facility gate — defaults feasible</t>
        </is>
      </c>
      <c r="I293" s="632" t="inlineStr">
        <is>
          <t>Reporting Message is an ATT&amp;CK for ICS impact or response-inhibition technique that can support one or more governed adverse scenarios; scenario role remains controlled on 09.</t>
        </is>
      </c>
      <c r="J293" s="632" t="inlineStr">
        <is>
          <t>https://attack.mitre.org/techniques/T1691/002</t>
        </is>
      </c>
      <c r="K293" s="632" t="inlineStr">
        <is>
          <t>https://csrc.nist.gov/pubs/ir/8183/r1/final</t>
        </is>
      </c>
      <c r="L293" s="632" t="inlineStr">
        <is>
          <t>Working sector pack v1.0 — SME review recommended</t>
        </is>
      </c>
    </row>
    <row r="294">
      <c r="A294" s="632" t="inlineStr">
        <is>
          <t>Manufacturing|T1692</t>
        </is>
      </c>
      <c r="B294" s="632" t="inlineStr">
        <is>
          <t>Manufacturing</t>
        </is>
      </c>
      <c r="C294" s="632" t="inlineStr">
        <is>
          <t>All registered asset types; actual architecture/platform evidence overrides</t>
        </is>
      </c>
      <c r="D294" s="632" t="inlineStr">
        <is>
          <t>T1692</t>
        </is>
      </c>
      <c r="E294" s="632" t="inlineStr">
        <is>
          <t>Unauthorized Message</t>
        </is>
      </c>
      <c r="F294" s="632" t="inlineStr">
        <is>
          <t>S5</t>
        </is>
      </c>
      <c r="G294" s="632" t="inlineStr">
        <is>
          <t>Yes</t>
        </is>
      </c>
      <c r="H294" s="632" t="inlineStr">
        <is>
          <t>No explicit facility gate — defaults feasible</t>
        </is>
      </c>
      <c r="I294" s="632" t="inlineStr">
        <is>
          <t>Unauthorized Message is an ATT&amp;CK for ICS impact or response-inhibition technique that can support one or more governed adverse scenarios; scenario role remains controlled on 09.</t>
        </is>
      </c>
      <c r="J294" s="632" t="inlineStr">
        <is>
          <t>https://attack.mitre.org/techniques/T1692</t>
        </is>
      </c>
      <c r="K294" s="632" t="inlineStr">
        <is>
          <t>https://csrc.nist.gov/pubs/ir/8183/r1/final</t>
        </is>
      </c>
      <c r="L294" s="632" t="inlineStr">
        <is>
          <t>Working sector pack v1.0 — SME review recommended</t>
        </is>
      </c>
    </row>
    <row r="295">
      <c r="A295" s="632" t="inlineStr">
        <is>
          <t>Manufacturing|T1692.001</t>
        </is>
      </c>
      <c r="B295" s="632" t="inlineStr">
        <is>
          <t>Manufacturing</t>
        </is>
      </c>
      <c r="C295" s="632" t="inlineStr">
        <is>
          <t>All registered asset types; actual architecture/platform evidence overrides</t>
        </is>
      </c>
      <c r="D295" s="632" t="inlineStr">
        <is>
          <t>T1692.001</t>
        </is>
      </c>
      <c r="E295" s="632" t="inlineStr">
        <is>
          <t>Command Message</t>
        </is>
      </c>
      <c r="F295" s="632" t="inlineStr">
        <is>
          <t>S5</t>
        </is>
      </c>
      <c r="G295" s="632" t="inlineStr">
        <is>
          <t>Yes</t>
        </is>
      </c>
      <c r="H295" s="632" t="inlineStr">
        <is>
          <t>No explicit facility gate — defaults feasible</t>
        </is>
      </c>
      <c r="I295" s="632" t="inlineStr">
        <is>
          <t>Command Message is an ATT&amp;CK for ICS impact or response-inhibition technique that can support one or more governed adverse scenarios; scenario role remains controlled on 09.</t>
        </is>
      </c>
      <c r="J295" s="632" t="inlineStr">
        <is>
          <t>https://attack.mitre.org/techniques/T1692/001</t>
        </is>
      </c>
      <c r="K295" s="632" t="inlineStr">
        <is>
          <t>https://csrc.nist.gov/pubs/ir/8183/r1/final</t>
        </is>
      </c>
      <c r="L295" s="632" t="inlineStr">
        <is>
          <t>Working sector pack v1.0 — SME review recommended</t>
        </is>
      </c>
    </row>
    <row r="296">
      <c r="A296" s="632" t="inlineStr">
        <is>
          <t>Manufacturing|T1692.002</t>
        </is>
      </c>
      <c r="B296" s="632" t="inlineStr">
        <is>
          <t>Manufacturing</t>
        </is>
      </c>
      <c r="C296" s="632" t="inlineStr">
        <is>
          <t>All registered asset types; actual architecture/platform evidence overrides</t>
        </is>
      </c>
      <c r="D296" s="632" t="inlineStr">
        <is>
          <t>T1692.002</t>
        </is>
      </c>
      <c r="E296" s="632" t="inlineStr">
        <is>
          <t>Reporting Message</t>
        </is>
      </c>
      <c r="F296" s="632" t="inlineStr">
        <is>
          <t>S5</t>
        </is>
      </c>
      <c r="G296" s="632" t="inlineStr">
        <is>
          <t>Yes</t>
        </is>
      </c>
      <c r="H296" s="632" t="inlineStr">
        <is>
          <t>No explicit facility gate — defaults feasible</t>
        </is>
      </c>
      <c r="I296" s="632" t="inlineStr">
        <is>
          <t>Reporting Message is an ATT&amp;CK for ICS impact or response-inhibition technique that can support one or more governed adverse scenarios; scenario role remains controlled on 09.</t>
        </is>
      </c>
      <c r="J296" s="632" t="inlineStr">
        <is>
          <t>https://attack.mitre.org/techniques/T1692/002</t>
        </is>
      </c>
      <c r="K296" s="632" t="inlineStr">
        <is>
          <t>https://csrc.nist.gov/pubs/ir/8183/r1/final</t>
        </is>
      </c>
      <c r="L296" s="632" t="inlineStr">
        <is>
          <t>Working sector pack v1.0 — SME review recommended</t>
        </is>
      </c>
    </row>
    <row r="297">
      <c r="A297" s="632" t="inlineStr">
        <is>
          <t>Manufacturing|T1693</t>
        </is>
      </c>
      <c r="B297" s="632" t="inlineStr">
        <is>
          <t>Manufacturing</t>
        </is>
      </c>
      <c r="C297" s="632" t="inlineStr">
        <is>
          <t>All registered asset types; actual architecture/platform evidence overrides</t>
        </is>
      </c>
      <c r="D297" s="632" t="inlineStr">
        <is>
          <t>T1693</t>
        </is>
      </c>
      <c r="E297" s="632" t="inlineStr">
        <is>
          <t>Modify Firmware</t>
        </is>
      </c>
      <c r="F297" s="632" t="inlineStr">
        <is>
          <t>S5</t>
        </is>
      </c>
      <c r="G297" s="632" t="inlineStr">
        <is>
          <t>Yes</t>
        </is>
      </c>
      <c r="H297" s="632" t="inlineStr">
        <is>
          <t>No explicit facility gate — defaults feasible</t>
        </is>
      </c>
      <c r="I297" s="632" t="inlineStr">
        <is>
          <t>Modify Firmware is an ATT&amp;CK for ICS impact or response-inhibition technique that can support one or more governed adverse scenarios; scenario role remains controlled on 09.</t>
        </is>
      </c>
      <c r="J297" s="632" t="inlineStr">
        <is>
          <t>https://attack.mitre.org/techniques/T1693</t>
        </is>
      </c>
      <c r="K297" s="632" t="inlineStr">
        <is>
          <t>https://csrc.nist.gov/pubs/ir/8183/r1/final</t>
        </is>
      </c>
      <c r="L297" s="632" t="inlineStr">
        <is>
          <t>Working sector pack v1.0 — SME review recommended</t>
        </is>
      </c>
    </row>
    <row r="298">
      <c r="A298" s="632" t="inlineStr">
        <is>
          <t>Manufacturing|T1693.001</t>
        </is>
      </c>
      <c r="B298" s="632" t="inlineStr">
        <is>
          <t>Manufacturing</t>
        </is>
      </c>
      <c r="C298" s="632" t="inlineStr">
        <is>
          <t>All registered asset types; actual architecture/platform evidence overrides</t>
        </is>
      </c>
      <c r="D298" s="632" t="inlineStr">
        <is>
          <t>T1693.001</t>
        </is>
      </c>
      <c r="E298" s="632" t="inlineStr">
        <is>
          <t>System Firmware</t>
        </is>
      </c>
      <c r="F298" s="632" t="inlineStr">
        <is>
          <t>S5</t>
        </is>
      </c>
      <c r="G298" s="632" t="inlineStr">
        <is>
          <t>Yes</t>
        </is>
      </c>
      <c r="H298" s="632" t="inlineStr">
        <is>
          <t>No explicit facility gate — defaults feasible</t>
        </is>
      </c>
      <c r="I298" s="632" t="inlineStr">
        <is>
          <t>System Firmware is an ATT&amp;CK for ICS impact or response-inhibition technique that can support one or more governed adverse scenarios; scenario role remains controlled on 09.</t>
        </is>
      </c>
      <c r="J298" s="632" t="inlineStr">
        <is>
          <t>https://attack.mitre.org/techniques/T1693/001</t>
        </is>
      </c>
      <c r="K298" s="632" t="inlineStr">
        <is>
          <t>https://csrc.nist.gov/pubs/ir/8183/r1/final</t>
        </is>
      </c>
      <c r="L298" s="632" t="inlineStr">
        <is>
          <t>Working sector pack v1.0 — SME review recommended</t>
        </is>
      </c>
    </row>
    <row r="299">
      <c r="A299" s="632" t="inlineStr">
        <is>
          <t>Manufacturing|T1693.002</t>
        </is>
      </c>
      <c r="B299" s="632" t="inlineStr">
        <is>
          <t>Manufacturing</t>
        </is>
      </c>
      <c r="C299" s="632" t="inlineStr">
        <is>
          <t>All registered asset types; actual architecture/platform evidence overrides</t>
        </is>
      </c>
      <c r="D299" s="632" t="inlineStr">
        <is>
          <t>T1693.002</t>
        </is>
      </c>
      <c r="E299" s="632" t="inlineStr">
        <is>
          <t>Module Firmware</t>
        </is>
      </c>
      <c r="F299" s="632" t="inlineStr">
        <is>
          <t>S5</t>
        </is>
      </c>
      <c r="G299" s="632" t="inlineStr">
        <is>
          <t>Yes</t>
        </is>
      </c>
      <c r="H299" s="632" t="inlineStr">
        <is>
          <t>No explicit facility gate — defaults feasible</t>
        </is>
      </c>
      <c r="I299" s="632" t="inlineStr">
        <is>
          <t>Module Firmware is an ATT&amp;CK for ICS impact or response-inhibition technique that can support one or more governed adverse scenarios; scenario role remains controlled on 09.</t>
        </is>
      </c>
      <c r="J299" s="632" t="inlineStr">
        <is>
          <t>https://attack.mitre.org/techniques/T1693/002</t>
        </is>
      </c>
      <c r="K299" s="632" t="inlineStr">
        <is>
          <t>https://csrc.nist.gov/pubs/ir/8183/r1/final</t>
        </is>
      </c>
      <c r="L299" s="632" t="inlineStr">
        <is>
          <t>Working sector pack v1.0 — SME review recommended</t>
        </is>
      </c>
    </row>
    <row r="300">
      <c r="A300" s="632" t="inlineStr">
        <is>
          <t>Manufacturing|T1694</t>
        </is>
      </c>
      <c r="B300" s="632" t="inlineStr">
        <is>
          <t>Manufacturing</t>
        </is>
      </c>
      <c r="C300" s="632" t="inlineStr">
        <is>
          <t>All registered asset types; actual architecture/platform evidence overrides</t>
        </is>
      </c>
      <c r="D300" s="632" t="inlineStr">
        <is>
          <t>T1694</t>
        </is>
      </c>
      <c r="E300" s="632" t="inlineStr">
        <is>
          <t>Insecure Credentials</t>
        </is>
      </c>
      <c r="F300" s="632" t="inlineStr">
        <is>
          <t>S3</t>
        </is>
      </c>
      <c r="G300" s="632" t="inlineStr">
        <is>
          <t>Yes</t>
        </is>
      </c>
      <c r="H300" s="632" t="inlineStr">
        <is>
          <t>No explicit facility gate — defaults feasible</t>
        </is>
      </c>
      <c r="I300" s="632" t="inlineStr">
        <is>
          <t>Insecure Credentials can support movement toward or within plant/control zones; actual reachability is governed by the assessed facility architecture.</t>
        </is>
      </c>
      <c r="J300" s="632" t="inlineStr">
        <is>
          <t>https://attack.mitre.org/techniques/T1694</t>
        </is>
      </c>
      <c r="K300" s="632" t="inlineStr">
        <is>
          <t>https://csrc.nist.gov/pubs/ir/8183/r1/final</t>
        </is>
      </c>
      <c r="L300" s="632" t="inlineStr">
        <is>
          <t>Working sector pack v1.0 — SME review recommended</t>
        </is>
      </c>
    </row>
    <row r="301">
      <c r="A301" s="632" t="inlineStr">
        <is>
          <t>Manufacturing|T1694.001</t>
        </is>
      </c>
      <c r="B301" s="632" t="inlineStr">
        <is>
          <t>Manufacturing</t>
        </is>
      </c>
      <c r="C301" s="632" t="inlineStr">
        <is>
          <t>All registered asset types; actual architecture/platform evidence overrides</t>
        </is>
      </c>
      <c r="D301" s="632" t="inlineStr">
        <is>
          <t>T1694.001</t>
        </is>
      </c>
      <c r="E301" s="632" t="inlineStr">
        <is>
          <t>Default Credentials</t>
        </is>
      </c>
      <c r="F301" s="632" t="inlineStr">
        <is>
          <t>S3</t>
        </is>
      </c>
      <c r="G301" s="632" t="inlineStr">
        <is>
          <t>Yes</t>
        </is>
      </c>
      <c r="H301" s="632" t="inlineStr">
        <is>
          <t>No explicit facility gate — defaults feasible</t>
        </is>
      </c>
      <c r="I301" s="632" t="inlineStr">
        <is>
          <t>Default Credentials can support movement toward or within plant/control zones; actual reachability is governed by the assessed facility architecture.</t>
        </is>
      </c>
      <c r="J301" s="632" t="inlineStr">
        <is>
          <t>https://attack.mitre.org/techniques/T1694/001</t>
        </is>
      </c>
      <c r="K301" s="632" t="inlineStr">
        <is>
          <t>https://csrc.nist.gov/pubs/ir/8183/r1/final</t>
        </is>
      </c>
      <c r="L301" s="632" t="inlineStr">
        <is>
          <t>Working sector pack v1.0 — SME review recommended</t>
        </is>
      </c>
    </row>
    <row r="302">
      <c r="A302" s="632" t="inlineStr">
        <is>
          <t>Manufacturing|T1694.002</t>
        </is>
      </c>
      <c r="B302" s="632" t="inlineStr">
        <is>
          <t>Manufacturing</t>
        </is>
      </c>
      <c r="C302" s="632" t="inlineStr">
        <is>
          <t>All registered asset types; actual architecture/platform evidence overrides</t>
        </is>
      </c>
      <c r="D302" s="632" t="inlineStr">
        <is>
          <t>T1694.002</t>
        </is>
      </c>
      <c r="E302" s="632" t="inlineStr">
        <is>
          <t>Hardcoded Credentials</t>
        </is>
      </c>
      <c r="F302" s="632" t="inlineStr">
        <is>
          <t>S3</t>
        </is>
      </c>
      <c r="G302" s="632" t="inlineStr">
        <is>
          <t>Yes</t>
        </is>
      </c>
      <c r="H302" s="632" t="inlineStr">
        <is>
          <t>No explicit facility gate — defaults feasible</t>
        </is>
      </c>
      <c r="I302" s="632" t="inlineStr">
        <is>
          <t>Hardcoded Credentials can support movement toward or within plant/control zones; actual reachability is governed by the assessed facility architecture.</t>
        </is>
      </c>
      <c r="J302" s="632" t="inlineStr">
        <is>
          <t>https://attack.mitre.org/techniques/T1694/002</t>
        </is>
      </c>
      <c r="K302" s="632" t="inlineStr">
        <is>
          <t>https://csrc.nist.gov/pubs/ir/8183/r1/final</t>
        </is>
      </c>
      <c r="L302" s="632" t="inlineStr">
        <is>
          <t>Working sector pack v1.0 — SME review recommended</t>
        </is>
      </c>
    </row>
    <row r="303">
      <c r="A303" s="632" t="inlineStr">
        <is>
          <t>Manufacturing|T1695</t>
        </is>
      </c>
      <c r="B303" s="632" t="inlineStr">
        <is>
          <t>Manufacturing</t>
        </is>
      </c>
      <c r="C303" s="632" t="inlineStr">
        <is>
          <t>All registered asset types; actual architecture/platform evidence overrides</t>
        </is>
      </c>
      <c r="D303" s="632" t="inlineStr">
        <is>
          <t>T1695</t>
        </is>
      </c>
      <c r="E303" s="632" t="inlineStr">
        <is>
          <t>Block Communications</t>
        </is>
      </c>
      <c r="F303" s="632" t="inlineStr">
        <is>
          <t>S5</t>
        </is>
      </c>
      <c r="G303" s="632" t="inlineStr">
        <is>
          <t>Yes</t>
        </is>
      </c>
      <c r="H303" s="632" t="inlineStr">
        <is>
          <t>No explicit facility gate — defaults feasible</t>
        </is>
      </c>
      <c r="I303" s="632" t="inlineStr">
        <is>
          <t>Block Communications is an ATT&amp;CK for ICS impact or response-inhibition technique that can support one or more governed adverse scenarios; scenario role remains controlled on 09.</t>
        </is>
      </c>
      <c r="J303" s="632" t="inlineStr">
        <is>
          <t>https://attack.mitre.org/techniques/T1695</t>
        </is>
      </c>
      <c r="K303" s="632" t="inlineStr">
        <is>
          <t>https://csrc.nist.gov/pubs/ir/8183/r1/final</t>
        </is>
      </c>
      <c r="L303" s="632" t="inlineStr">
        <is>
          <t>Working sector pack v1.0 — SME review recommended</t>
        </is>
      </c>
    </row>
    <row r="304">
      <c r="A304" s="632" t="inlineStr">
        <is>
          <t>Manufacturing|T1695.001</t>
        </is>
      </c>
      <c r="B304" s="632" t="inlineStr">
        <is>
          <t>Manufacturing</t>
        </is>
      </c>
      <c r="C304" s="632" t="inlineStr">
        <is>
          <t>All registered asset types; actual architecture/platform evidence overrides</t>
        </is>
      </c>
      <c r="D304" s="632" t="inlineStr">
        <is>
          <t>T1695.001</t>
        </is>
      </c>
      <c r="E304" s="632" t="inlineStr">
        <is>
          <t>Serial COM</t>
        </is>
      </c>
      <c r="F304" s="632" t="inlineStr">
        <is>
          <t>S5</t>
        </is>
      </c>
      <c r="G304" s="632" t="inlineStr">
        <is>
          <t>Yes</t>
        </is>
      </c>
      <c r="H304" s="632" t="inlineStr">
        <is>
          <t>No explicit facility gate — defaults feasible</t>
        </is>
      </c>
      <c r="I304" s="632" t="inlineStr">
        <is>
          <t>Serial COM is an ATT&amp;CK for ICS impact or response-inhibition technique that can support one or more governed adverse scenarios; scenario role remains controlled on 09.</t>
        </is>
      </c>
      <c r="J304" s="632" t="inlineStr">
        <is>
          <t>https://attack.mitre.org/techniques/T1695/001</t>
        </is>
      </c>
      <c r="K304" s="632" t="inlineStr">
        <is>
          <t>https://csrc.nist.gov/pubs/ir/8183/r1/final</t>
        </is>
      </c>
      <c r="L304" s="632" t="inlineStr">
        <is>
          <t>Working sector pack v1.0 — SME review recommended</t>
        </is>
      </c>
    </row>
    <row r="305">
      <c r="A305" s="632" t="inlineStr">
        <is>
          <t>Manufacturing|T1695.002</t>
        </is>
      </c>
      <c r="B305" s="632" t="inlineStr">
        <is>
          <t>Manufacturing</t>
        </is>
      </c>
      <c r="C305" s="632" t="inlineStr">
        <is>
          <t>All registered asset types; actual architecture/platform evidence overrides</t>
        </is>
      </c>
      <c r="D305" s="632" t="inlineStr">
        <is>
          <t>T1695.002</t>
        </is>
      </c>
      <c r="E305" s="632" t="inlineStr">
        <is>
          <t>Ethernet</t>
        </is>
      </c>
      <c r="F305" s="632" t="inlineStr">
        <is>
          <t>S5</t>
        </is>
      </c>
      <c r="G305" s="632" t="inlineStr">
        <is>
          <t>Yes</t>
        </is>
      </c>
      <c r="H305" s="632" t="inlineStr">
        <is>
          <t>No explicit facility gate — defaults feasible</t>
        </is>
      </c>
      <c r="I305" s="632" t="inlineStr">
        <is>
          <t>Ethernet is an ATT&amp;CK for ICS impact or response-inhibition technique that can support one or more governed adverse scenarios; scenario role remains controlled on 09.</t>
        </is>
      </c>
      <c r="J305" s="632" t="inlineStr">
        <is>
          <t>https://attack.mitre.org/techniques/T1695/002</t>
        </is>
      </c>
      <c r="K305" s="632" t="inlineStr">
        <is>
          <t>https://csrc.nist.gov/pubs/ir/8183/r1/final</t>
        </is>
      </c>
      <c r="L305" s="632" t="inlineStr">
        <is>
          <t>Working sector pack v1.0 — SME review recommended</t>
        </is>
      </c>
    </row>
    <row r="306">
      <c r="A306" s="632" t="inlineStr">
        <is>
          <t>Manufacturing|T1695.003</t>
        </is>
      </c>
      <c r="B306" s="632" t="inlineStr">
        <is>
          <t>Manufacturing</t>
        </is>
      </c>
      <c r="C306" s="632" t="inlineStr">
        <is>
          <t>All registered asset types; actual architecture/platform evidence overrides</t>
        </is>
      </c>
      <c r="D306" s="632" t="inlineStr">
        <is>
          <t>T1695.003</t>
        </is>
      </c>
      <c r="E306" s="632" t="inlineStr">
        <is>
          <t>Wi-Fi</t>
        </is>
      </c>
      <c r="F306" s="632" t="inlineStr">
        <is>
          <t>S5</t>
        </is>
      </c>
      <c r="G306" s="632" t="inlineStr">
        <is>
          <t>Yes</t>
        </is>
      </c>
      <c r="H306" s="632" t="inlineStr">
        <is>
          <t>WIRELESS — Yes</t>
        </is>
      </c>
      <c r="I306" s="632" t="inlineStr">
        <is>
          <t>Wi-Fi is an ATT&amp;CK for ICS impact or response-inhibition technique that can support one or more governed adverse scenarios; scenario role remains controlled on 09.</t>
        </is>
      </c>
      <c r="J306" s="632" t="inlineStr">
        <is>
          <t>https://attack.mitre.org/techniques/T1695/003</t>
        </is>
      </c>
      <c r="K306" s="632" t="inlineStr">
        <is>
          <t>https://csrc.nist.gov/pubs/ir/8183/r1/final</t>
        </is>
      </c>
      <c r="L306" s="632" t="inlineStr">
        <is>
          <t>Working sector pack v1.0 — SME review recommended</t>
        </is>
      </c>
    </row>
  </sheetData>
  <mergeCells count="13">
    <mergeCell ref="A2:L2"/>
    <mergeCell ref="A10:L10"/>
    <mergeCell ref="A7:L7"/>
    <mergeCell ref="A11:L11"/>
    <mergeCell ref="A1:L1"/>
    <mergeCell ref="A5:L5"/>
    <mergeCell ref="A13:L13"/>
    <mergeCell ref="A8:L8"/>
    <mergeCell ref="A6:L6"/>
    <mergeCell ref="A9:L9"/>
    <mergeCell ref="A3:L3"/>
    <mergeCell ref="A12:L12"/>
    <mergeCell ref="A4:L4"/>
  </mergeCells>
  <pageMargins left="0.7" right="0.7" top="0.75" bottom="0.75" header="0.3" footer="0.3"/>
</worksheet>
</file>

<file path=xl/worksheets/sheet46.xml><?xml version="1.0" encoding="utf-8"?>
<worksheet xmlns="http://schemas.openxmlformats.org/spreadsheetml/2006/main">
  <sheetPr>
    <tabColor rgb="00C00080"/>
    <outlinePr summaryBelow="1" summaryRight="1"/>
    <pageSetUpPr/>
  </sheetPr>
  <dimension ref="A1:H200"/>
  <sheetViews>
    <sheetView workbookViewId="0">
      <selection activeCell="A1" sqref="A1"/>
    </sheetView>
  </sheetViews>
  <sheetFormatPr baseColWidth="8" defaultRowHeight="15"/>
  <cols>
    <col width="20" customWidth="1" style="508" min="1" max="1"/>
    <col width="24" customWidth="1" style="508" min="2" max="2"/>
    <col width="22" customWidth="1" style="508" min="3" max="3"/>
    <col width="18" customWidth="1" style="508" min="4" max="4"/>
    <col width="40" customWidth="1" style="508" min="5" max="5"/>
    <col width="26" customWidth="1" style="508" min="6" max="6"/>
    <col width="26" customWidth="1" style="508" min="7" max="7"/>
    <col width="28" customWidth="1" style="508" min="8" max="8"/>
  </cols>
  <sheetData>
    <row r="1" ht="26" customHeight="1" s="508">
      <c r="A1" s="651" t="inlineStr">
        <is>
          <t>ENGINE-LOADED SECTOR-PACK VALUES - DO NOT EDIT</t>
        </is>
      </c>
    </row>
    <row r="2" ht="30" customHeight="1" s="508">
      <c r="A2" s="655" t="inlineStr">
        <is>
          <t>Reference sector pack for facility-level OT cyber risk quantification. The five common adverse scenarios and common ATT&amp;CK for ICS candidate set are retained; the pack supplies generation-specific interpretation, BIA starting points, evidence requests and governance.</t>
        </is>
      </c>
    </row>
    <row r="3" ht="30" customHeight="1" s="508"/>
    <row r="4">
      <c r="B4" s="973" t="n"/>
    </row>
    <row r="5" ht="20" customHeight="1" s="508">
      <c r="A5" s="658" t="inlineStr">
        <is>
          <t>PACK METADATA</t>
        </is>
      </c>
      <c r="B5" s="1001" t="n"/>
      <c r="C5" s="1001" t="n"/>
      <c r="D5" s="1001" t="n"/>
      <c r="E5" s="1001" t="n"/>
      <c r="F5" s="1001" t="n"/>
      <c r="G5" s="1001" t="n"/>
      <c r="H5" s="1001" t="n"/>
    </row>
    <row r="6" ht="30" customHeight="1" s="508">
      <c r="A6" s="670" t="inlineStr">
        <is>
          <t>Field</t>
        </is>
      </c>
      <c r="B6" s="671" t="inlineStr">
        <is>
          <t>Value</t>
        </is>
      </c>
      <c r="C6" s="671" t="inlineStr">
        <is>
          <t>Status / Type</t>
        </is>
      </c>
      <c r="D6" s="671" t="inlineStr">
        <is>
          <t>How used</t>
        </is>
      </c>
      <c r="E6" s="671" t="inlineStr">
        <is>
          <t>Governance note</t>
        </is>
      </c>
      <c r="F6" s="671" t="str"/>
      <c r="G6" s="671" t="str"/>
      <c r="H6" s="672" t="str"/>
    </row>
    <row r="7">
      <c r="A7" s="680" t="inlineStr">
        <is>
          <t>Sector</t>
        </is>
      </c>
      <c r="B7" s="681" t="inlineStr">
        <is>
          <t>Power Generation</t>
        </is>
      </c>
      <c r="C7" s="681" t="inlineStr">
        <is>
          <t>Reference sector</t>
        </is>
      </c>
      <c r="D7" s="681" t="inlineStr">
        <is>
          <t>Resolves from 03 Facility Inputs</t>
        </is>
      </c>
      <c r="E7" s="682" t="inlineStr">
        <is>
          <t>Reference pack inherited from v1.6; pack content formalised in v1.8.</t>
        </is>
      </c>
    </row>
    <row r="8">
      <c r="A8" s="691" t="inlineStr">
        <is>
          <t>Pack ID</t>
        </is>
      </c>
      <c r="B8" s="692" t="inlineStr">
        <is>
          <t>PG-v1.6</t>
        </is>
      </c>
      <c r="C8" s="692" t="inlineStr">
        <is>
          <t>Reference working calibration</t>
        </is>
      </c>
      <c r="D8" s="692" t="inlineStr">
        <is>
          <t>Used by sector registry / engine</t>
        </is>
      </c>
      <c r="E8" s="693" t="inlineStr">
        <is>
          <t>Kept unchanged to preserve compatibility with the last validated PG run.</t>
        </is>
      </c>
    </row>
    <row r="9">
      <c r="A9" s="680" t="inlineStr">
        <is>
          <t>Unit of analysis</t>
        </is>
      </c>
      <c r="B9" s="681" t="inlineStr">
        <is>
          <t>One generation facility</t>
        </is>
      </c>
      <c r="C9" s="681" t="inlineStr">
        <is>
          <t>Model scope</t>
        </is>
      </c>
      <c r="D9" s="681" t="inlineStr">
        <is>
          <t>Facility-level CRQ</t>
        </is>
      </c>
      <c r="E9" s="682" t="inlineStr">
        <is>
          <t>Portfolio aggregation is outside this pack.</t>
        </is>
      </c>
    </row>
    <row r="10">
      <c r="A10" s="691" t="inlineStr">
        <is>
          <t>Frequency basis</t>
        </is>
      </c>
      <c r="B10" s="692" t="inlineStr">
        <is>
          <t>0.55 campaigns/facility-year reference λ</t>
        </is>
      </c>
      <c r="C10" s="692" t="inlineStr">
        <is>
          <t>Working prior</t>
        </is>
      </c>
      <c r="D10" s="692" t="inlineStr">
        <is>
          <t>Base arrival-rate anchor</t>
        </is>
      </c>
      <c r="E10" s="693" t="inlineStr">
        <is>
          <t>Not an empirical facility-year incident rate; requires fleet/elicitation replacement when available.</t>
        </is>
      </c>
    </row>
    <row r="11">
      <c r="A11" s="680" t="inlineStr">
        <is>
          <t>TTP basis</t>
        </is>
      </c>
      <c r="B11" s="681" t="inlineStr">
        <is>
          <t>Common MITRE ATT&amp;CK for ICS set + facility gates</t>
        </is>
      </c>
      <c r="C11" s="681" t="inlineStr">
        <is>
          <t>Governed mapping</t>
        </is>
      </c>
      <c r="D11" s="681" t="inlineStr">
        <is>
          <t>Feeds composite S1–S5 barrier method</t>
        </is>
      </c>
      <c r="E11" s="682" t="inlineStr">
        <is>
          <t>Sector alone does not prove a route infeasible.</t>
        </is>
      </c>
    </row>
    <row r="12">
      <c r="B12" s="973" t="n"/>
    </row>
    <row r="13" ht="20" customHeight="1" s="508">
      <c r="A13" s="658" t="inlineStr">
        <is>
          <t>REGISTERED ASSET ARCHETYPES</t>
        </is>
      </c>
      <c r="B13" s="1001" t="n"/>
      <c r="C13" s="1001" t="n"/>
      <c r="D13" s="1001" t="n"/>
      <c r="E13" s="1001" t="n"/>
      <c r="F13" s="1001" t="n"/>
      <c r="G13" s="1001" t="n"/>
      <c r="H13" s="1001" t="n"/>
    </row>
    <row r="14" ht="30" customHeight="1" s="508">
      <c r="A14" s="670" t="inlineStr">
        <is>
          <t>Asset type</t>
        </is>
      </c>
      <c r="B14" s="671" t="inlineStr">
        <is>
          <t>Operating profile</t>
        </is>
      </c>
      <c r="C14" s="671" t="inlineStr">
        <is>
          <t>Control architecture / exposure</t>
        </is>
      </c>
      <c r="D14" s="671" t="inlineStr">
        <is>
          <t>Safety / protection context</t>
        </is>
      </c>
      <c r="E14" s="671" t="inlineStr">
        <is>
          <t>Key consequence feature</t>
        </is>
      </c>
      <c r="F14" s="671" t="inlineStr">
        <is>
          <t>Pack treatment</t>
        </is>
      </c>
      <c r="G14" s="671" t="inlineStr">
        <is>
          <t>Calibration status</t>
        </is>
      </c>
      <c r="H14" s="672" t="inlineStr">
        <is>
          <t>Evidence / note</t>
        </is>
      </c>
    </row>
    <row r="15">
      <c r="A15" s="680" t="inlineStr">
        <is>
          <t>CCGT</t>
        </is>
      </c>
      <c r="B15" s="681" t="inlineStr">
        <is>
          <t>Continuous / dispatchable generation</t>
        </is>
      </c>
      <c r="C15" s="681" t="inlineStr">
        <is>
          <t>DCS/PLC, turbine controls, engineering workstations, historian, vendor support</t>
        </is>
      </c>
      <c r="D15" s="681" t="inlineStr">
        <is>
          <t>Protection / trip systems</t>
        </is>
      </c>
      <c r="E15" s="681" t="inlineStr">
        <is>
          <t>High BI from forced outage; complex restart</t>
        </is>
      </c>
      <c r="F15" s="681" t="inlineStr">
        <is>
          <t>Reference archetype</t>
        </is>
      </c>
      <c r="G15" s="681" t="inlineStr">
        <is>
          <t>Reference working prior</t>
        </is>
      </c>
      <c r="H15" s="682" t="inlineStr">
        <is>
          <t>Existing v1.6 basis</t>
        </is>
      </c>
    </row>
    <row r="16">
      <c r="A16" s="691" t="inlineStr">
        <is>
          <t>OCGT</t>
        </is>
      </c>
      <c r="B16" s="692" t="inlineStr">
        <is>
          <t>Peaking / flexible generation</t>
        </is>
      </c>
      <c r="C16" s="692" t="inlineStr">
        <is>
          <t>Similar control stack; higher start/stop frequency</t>
        </is>
      </c>
      <c r="D16" s="692" t="inlineStr">
        <is>
          <t>Protection / trip systems</t>
        </is>
      </c>
      <c r="E16" s="692" t="inlineStr">
        <is>
          <t>Availability during peak periods can dominate loss</t>
        </is>
      </c>
      <c r="F16" s="692" t="inlineStr">
        <is>
          <t>Use facility BIA values</t>
        </is>
      </c>
      <c r="G16" s="692" t="inlineStr">
        <is>
          <t>Working archetype</t>
        </is>
      </c>
      <c r="H16" s="693" t="inlineStr">
        <is>
          <t>Calibrate with dispatch profile</t>
        </is>
      </c>
    </row>
    <row r="17">
      <c r="A17" s="680" t="inlineStr">
        <is>
          <t>Coal/Oil Thermal</t>
        </is>
      </c>
      <c r="B17" s="681" t="inlineStr">
        <is>
          <t>Continuous generation</t>
        </is>
      </c>
      <c r="C17" s="681" t="inlineStr">
        <is>
          <t>DCS/PLC, boiler/turbine auxiliaries, fuel handling</t>
        </is>
      </c>
      <c r="D17" s="681" t="inlineStr">
        <is>
          <t>Protection / trip systems</t>
        </is>
      </c>
      <c r="E17" s="681" t="inlineStr">
        <is>
          <t>Longer physical restoration possible</t>
        </is>
      </c>
      <c r="F17" s="681" t="inlineStr">
        <is>
          <t>Use facility BIA values</t>
        </is>
      </c>
      <c r="G17" s="681" t="inlineStr">
        <is>
          <t>Working archetype</t>
        </is>
      </c>
      <c r="H17" s="682" t="inlineStr">
        <is>
          <t>Plant-specific restart / inspection critical</t>
        </is>
      </c>
    </row>
    <row r="18">
      <c r="A18" s="691" t="inlineStr">
        <is>
          <t>Nuclear</t>
        </is>
      </c>
      <c r="B18" s="692" t="inlineStr">
        <is>
          <t>Continuous generation</t>
        </is>
      </c>
      <c r="C18" s="692" t="inlineStr">
        <is>
          <t>Safety-critical, segregated I&amp;C, specialist systems</t>
        </is>
      </c>
      <c r="D18" s="692" t="inlineStr">
        <is>
          <t>Independent safety / protection systems</t>
        </is>
      </c>
      <c r="E18" s="692" t="inlineStr">
        <is>
          <t>Safety/regulatory assurance dominates tail</t>
        </is>
      </c>
      <c r="F18" s="692" t="inlineStr">
        <is>
          <t>Do not production-use without nuclear validation</t>
        </is>
      </c>
      <c r="G18" s="692" t="inlineStr">
        <is>
          <t>Restricted</t>
        </is>
      </c>
      <c r="H18" s="693" t="inlineStr">
        <is>
          <t>Separate nuclear SME / regulatory review required</t>
        </is>
      </c>
    </row>
    <row r="19">
      <c r="A19" s="680" t="inlineStr">
        <is>
          <t>Hydro</t>
        </is>
      </c>
      <c r="B19" s="681" t="inlineStr">
        <is>
          <t>Generation + water-control operation</t>
        </is>
      </c>
      <c r="C19" s="681" t="inlineStr">
        <is>
          <t>SCADA/PLC, gates, governors, remote stations</t>
        </is>
      </c>
      <c r="D19" s="681" t="inlineStr">
        <is>
          <t>Protection / trip systems</t>
        </is>
      </c>
      <c r="E19" s="681" t="inlineStr">
        <is>
          <t>Water-control and physical consequences can dominate</t>
        </is>
      </c>
      <c r="F19" s="681" t="inlineStr">
        <is>
          <t>Use facility BIA values</t>
        </is>
      </c>
      <c r="G19" s="681" t="inlineStr">
        <is>
          <t>Working archetype</t>
        </is>
      </c>
      <c r="H19" s="682" t="inlineStr">
        <is>
          <t>Site topology and dam safety evidence required</t>
        </is>
      </c>
    </row>
    <row r="20">
      <c r="A20" s="691" t="inlineStr">
        <is>
          <t>Renewables</t>
        </is>
      </c>
      <c r="B20" s="692" t="inlineStr">
        <is>
          <t>Central or distributed wind/solar generation</t>
        </is>
      </c>
      <c r="C20" s="692" t="inlineStr">
        <is>
          <t>Remote monitoring, vendor/OEM access, plant controllers, gateways</t>
        </is>
      </c>
      <c r="D20" s="692" t="inlineStr">
        <is>
          <t>Protection / trip systems</t>
        </is>
      </c>
      <c r="E20" s="692" t="inlineStr">
        <is>
          <t>Distributed remote access and fleet dependency</t>
        </is>
      </c>
      <c r="F20" s="692" t="inlineStr">
        <is>
          <t>Use facility BIA values</t>
        </is>
      </c>
      <c r="G20" s="692" t="inlineStr">
        <is>
          <t>Working archetype</t>
        </is>
      </c>
      <c r="H20" s="693" t="inlineStr">
        <is>
          <t>Separate wind/solar/BESS pack may be justified later</t>
        </is>
      </c>
    </row>
    <row r="21">
      <c r="B21" s="973" t="n"/>
    </row>
    <row r="22" ht="20" customHeight="1" s="508">
      <c r="A22" s="658" t="inlineStr">
        <is>
          <t>THREAT / FREQUENCY OVERLAY</t>
        </is>
      </c>
      <c r="B22" s="1001" t="n"/>
      <c r="C22" s="1001" t="n"/>
      <c r="D22" s="1001" t="n"/>
      <c r="E22" s="1001" t="n"/>
      <c r="F22" s="1001" t="n"/>
      <c r="G22" s="1001" t="n"/>
      <c r="H22" s="1001" t="n"/>
    </row>
    <row r="23" ht="30" customHeight="1" s="508">
      <c r="A23" s="670" t="inlineStr">
        <is>
          <t>Threat actor</t>
        </is>
      </c>
      <c r="B23" s="671" t="inlineStr">
        <is>
          <t>Sector multiplier</t>
        </is>
      </c>
      <c r="C23" s="671" t="inlineStr">
        <is>
          <t>Status</t>
        </is>
      </c>
      <c r="D23" s="671" t="inlineStr">
        <is>
          <t>Evidence signal</t>
        </is>
      </c>
      <c r="E23" s="671" t="inlineStr">
        <is>
          <t>Model interpretation</t>
        </is>
      </c>
      <c r="F23" s="671" t="inlineStr">
        <is>
          <t>Why not direct empirical calibration</t>
        </is>
      </c>
      <c r="G23" s="671" t="inlineStr">
        <is>
          <t>Owner / review</t>
        </is>
      </c>
      <c r="H23" s="672" t="inlineStr">
        <is>
          <t>Source</t>
        </is>
      </c>
    </row>
    <row r="24">
      <c r="A24" s="680" t="inlineStr">
        <is>
          <t>Nation State</t>
        </is>
      </c>
      <c r="B24" s="697" t="n">
        <v>1</v>
      </c>
      <c r="C24" s="681" t="inlineStr">
        <is>
          <t>Reference</t>
        </is>
      </c>
      <c r="D24" s="681" t="inlineStr">
        <is>
          <t>Energy/electric infrastructure remains a strategic target; Dragos reported coordinated attacks against distributed energy resources in 2025.</t>
        </is>
      </c>
      <c r="E24" s="681" t="inlineStr">
        <is>
          <t>Reference-sector intensity; global 20% actor share remains separately governed.</t>
        </is>
      </c>
      <c r="F24" s="681" t="inlineStr">
        <is>
          <t>Open-source threat reporting has no comparable facility-year denominator.</t>
        </is>
      </c>
      <c r="G24" s="681" t="inlineStr">
        <is>
          <t>Cyber / threat intelligence</t>
        </is>
      </c>
      <c r="H24" s="682" t="inlineStr">
        <is>
          <t>https://www.dragos.com/blog/dragos-2026-ot-cybersecurity-year-in-review</t>
        </is>
      </c>
    </row>
    <row r="25">
      <c r="A25" s="680" t="inlineStr">
        <is>
          <t>Cybercriminal</t>
        </is>
      </c>
      <c r="B25" s="697" t="n">
        <v>1</v>
      </c>
      <c r="C25" s="681" t="inlineStr">
        <is>
          <t>Reference</t>
        </is>
      </c>
      <c r="D25" s="681" t="inlineStr">
        <is>
          <t>Ransomware can disrupt OT even without direct ICS compromise; electric-sector victim counts are materially below manufacturing in public ransomware datasets.</t>
        </is>
      </c>
      <c r="E25" s="681" t="inlineStr">
        <is>
          <t>Retains reference intensity; ransomware relevance appears mainly through actor/scenario mix and facility exposure.</t>
        </is>
      </c>
      <c r="F25" s="681" t="inlineStr">
        <is>
          <t>Observed victim counts are not attempted campaigns per facility-year.</t>
        </is>
      </c>
      <c r="G25" s="681" t="inlineStr">
        <is>
          <t>Cyber / threat intelligence</t>
        </is>
      </c>
      <c r="H25" s="682" t="inlineStr">
        <is>
          <t>https://www.dragos.com/blog/dragos-industrial-ransomware-analysis-q1-2025</t>
        </is>
      </c>
    </row>
    <row r="26">
      <c r="A26" s="680" t="inlineStr">
        <is>
          <t>Malicious Insider</t>
        </is>
      </c>
      <c r="B26" s="697" t="n">
        <v>1</v>
      </c>
      <c r="C26" s="681" t="inlineStr">
        <is>
          <t>Reference</t>
        </is>
      </c>
      <c r="D26" s="681" t="inlineStr">
        <is>
          <t>Credible bypass of external-access stages; evidence base is sparse.</t>
        </is>
      </c>
      <c r="E26" s="681" t="inlineStr">
        <is>
          <t>Retains governed insider prior.</t>
        </is>
      </c>
      <c r="F26" s="681" t="inlineStr">
        <is>
          <t>No defensible public OT facility-year denominator.</t>
        </is>
      </c>
      <c r="G26" s="681" t="inlineStr">
        <is>
          <t>Cyber / HR / operations</t>
        </is>
      </c>
      <c r="H26" s="682" t="inlineStr">
        <is>
          <t>Governed model prior</t>
        </is>
      </c>
    </row>
    <row r="27">
      <c r="B27" s="973" t="n"/>
    </row>
    <row r="28" ht="20" customHeight="1" s="508">
      <c r="A28" s="658" t="inlineStr">
        <is>
          <t>SCENARIO PROFILE &amp; BIA STARTING POINTS</t>
        </is>
      </c>
      <c r="B28" s="1001" t="n"/>
      <c r="C28" s="1001" t="n"/>
      <c r="D28" s="1001" t="n"/>
      <c r="E28" s="1001" t="n"/>
      <c r="F28" s="1001" t="n"/>
      <c r="G28" s="1001" t="n"/>
      <c r="H28" s="1001" t="n"/>
    </row>
    <row r="29" ht="30" customHeight="1" s="508">
      <c r="A29" s="670" t="inlineStr">
        <is>
          <t>Scenario</t>
        </is>
      </c>
      <c r="B29" s="671" t="inlineStr">
        <is>
          <t>Sector-specific interpretation</t>
        </is>
      </c>
      <c r="C29" s="671" t="inlineStr">
        <is>
          <t>Priority</t>
        </is>
      </c>
      <c r="D29" s="671" t="inlineStr">
        <is>
          <t>P50 downtime days</t>
        </is>
      </c>
      <c r="E29" s="671" t="inlineStr">
        <is>
          <t>P99 downtime days</t>
        </is>
      </c>
      <c r="F29" s="671" t="inlineStr">
        <is>
          <t>P50 capacity</t>
        </is>
      </c>
      <c r="G29" s="671" t="inlineStr">
        <is>
          <t>P99 capacity</t>
        </is>
      </c>
      <c r="H29" s="672" t="inlineStr">
        <is>
          <t>Calibration / rationale</t>
        </is>
      </c>
    </row>
    <row r="30">
      <c r="A30" s="691" t="inlineStr">
        <is>
          <t>Operational Disruption</t>
        </is>
      </c>
      <c r="B30" s="692" t="inlineStr">
        <is>
          <t>Material interruption, shutdown or degradation of generation / dispatch without requiring persistent process-control loss.</t>
        </is>
      </c>
      <c r="C30" s="692" t="inlineStr">
        <is>
          <t>Primary</t>
        </is>
      </c>
      <c r="D30" s="701" t="n">
        <v>5</v>
      </c>
      <c r="E30" s="702" t="n">
        <v>45</v>
      </c>
      <c r="F30" s="702" t="n">
        <v>0.75</v>
      </c>
      <c r="G30" s="703" t="n">
        <v>1</v>
      </c>
      <c r="H30" s="693" t="inlineStr">
        <is>
          <t>Existing v1.6 reference working prior; facility outage history and BIA override.</t>
        </is>
      </c>
    </row>
    <row r="31">
      <c r="A31" s="680" t="inlineStr">
        <is>
          <t>Loss of Control or Visibility</t>
        </is>
      </c>
      <c r="B31" s="681" t="inlineStr">
        <is>
          <t>Operators cannot reliably observe or command the generation process, forcing degraded operation or shutdown.</t>
        </is>
      </c>
      <c r="C31" s="681" t="inlineStr">
        <is>
          <t>Primary</t>
        </is>
      </c>
      <c r="D31" s="701" t="n">
        <v>3</v>
      </c>
      <c r="E31" s="702" t="n">
        <v>30</v>
      </c>
      <c r="F31" s="702" t="n">
        <v>0.5</v>
      </c>
      <c r="G31" s="703" t="n">
        <v>1</v>
      </c>
      <c r="H31" s="682" t="inlineStr">
        <is>
          <t>Reference prior; calibrate to control-room fallback and manual-operating capability.</t>
        </is>
      </c>
    </row>
    <row r="32">
      <c r="A32" s="691" t="inlineStr">
        <is>
          <t>Process Manipulation</t>
        </is>
      </c>
      <c r="B32" s="692" t="inlineStr">
        <is>
          <t>Adversary alters control logic, parameters, set-points, I/O or commands affecting generation process state.</t>
        </is>
      </c>
      <c r="C32" s="692" t="inlineStr">
        <is>
          <t>Primary for capable actors</t>
        </is>
      </c>
      <c r="D32" s="701" t="n">
        <v>7</v>
      </c>
      <c r="E32" s="702" t="n">
        <v>60</v>
      </c>
      <c r="F32" s="702" t="n">
        <v>0.75</v>
      </c>
      <c r="G32" s="703" t="n">
        <v>1</v>
      </c>
      <c r="H32" s="693" t="inlineStr">
        <is>
          <t>Reference prior; inspection/recommissioning can extend restoration.</t>
        </is>
      </c>
    </row>
    <row r="33">
      <c r="A33" s="680" t="inlineStr">
        <is>
          <t>Safety System Compromise</t>
        </is>
      </c>
      <c r="B33" s="681" t="inlineStr">
        <is>
          <t>Protection/trip or safety functions are degraded, disabled or manipulated.</t>
        </is>
      </c>
      <c r="C33" s="681" t="inlineStr">
        <is>
          <t>Conditional / high tail</t>
        </is>
      </c>
      <c r="D33" s="701" t="n">
        <v>14</v>
      </c>
      <c r="E33" s="702" t="n">
        <v>120</v>
      </c>
      <c r="F33" s="702" t="n">
        <v>0.8</v>
      </c>
      <c r="G33" s="703" t="n">
        <v>1</v>
      </c>
      <c r="H33" s="682" t="inlineStr">
        <is>
          <t>Only if relevant protection/safety system exists; engineering assurance drives tail.</t>
        </is>
      </c>
    </row>
    <row r="34">
      <c r="A34" s="691" t="inlineStr">
        <is>
          <t>Destructive or Integrity Attack</t>
        </is>
      </c>
      <c r="B34" s="692" t="inlineStr">
        <is>
          <t>OT logic, firmware, systems or equipment are destroyed/corrupted, requiring rebuild, replacement or integrity assurance.</t>
        </is>
      </c>
      <c r="C34" s="692" t="inlineStr">
        <is>
          <t>Tail</t>
        </is>
      </c>
      <c r="D34" s="701" t="n">
        <v>30</v>
      </c>
      <c r="E34" s="702" t="n">
        <v>180</v>
      </c>
      <c r="F34" s="702" t="n">
        <v>1</v>
      </c>
      <c r="G34" s="703" t="n">
        <v>1</v>
      </c>
      <c r="H34" s="693" t="inlineStr">
        <is>
          <t>Reference long-tail prior; physical damage and specialist lead times can dominate.</t>
        </is>
      </c>
    </row>
    <row r="35">
      <c r="B35" s="973" t="n"/>
    </row>
    <row r="36" ht="20" customHeight="1" s="508">
      <c r="A36" s="658" t="inlineStr">
        <is>
          <t>BIA / LOSS-DRIVER EMPHASIS</t>
        </is>
      </c>
      <c r="B36" s="1001" t="n"/>
      <c r="C36" s="1001" t="n"/>
      <c r="D36" s="1001" t="n"/>
      <c r="E36" s="1001" t="n"/>
      <c r="F36" s="1001" t="n"/>
      <c r="G36" s="1001" t="n"/>
      <c r="H36" s="1001" t="n"/>
    </row>
    <row r="37" ht="30" customHeight="1" s="508">
      <c r="A37" s="670" t="inlineStr">
        <is>
          <t>Driver / cost area</t>
        </is>
      </c>
      <c r="B37" s="671" t="inlineStr">
        <is>
          <t>Applicability</t>
        </is>
      </c>
      <c r="C37" s="671" t="inlineStr">
        <is>
          <t>Sector emphasis</t>
        </is>
      </c>
      <c r="D37" s="671" t="inlineStr">
        <is>
          <t>Common model driver</t>
        </is>
      </c>
      <c r="E37" s="671" t="inlineStr">
        <is>
          <t>Calibration evidence requested</t>
        </is>
      </c>
      <c r="F37" s="671" t="inlineStr">
        <is>
          <t>Notes</t>
        </is>
      </c>
      <c r="G37" s="671" t="str"/>
      <c r="H37" s="672" t="str"/>
    </row>
    <row r="38">
      <c r="A38" s="691" t="inlineStr">
        <is>
          <t>Business interruption</t>
        </is>
      </c>
      <c r="B38" s="692" t="inlineStr">
        <is>
          <t>High</t>
        </is>
      </c>
      <c r="C38" s="692" t="inlineStr">
        <is>
          <t>Revenue / dispatch loss is usually dominant</t>
        </is>
      </c>
      <c r="D38" s="692" t="inlineStr">
        <is>
          <t>BI-01</t>
        </is>
      </c>
      <c r="E38" s="692" t="inlineStr">
        <is>
          <t>Facility revenue at risk, outage economics, capacity, dispatch profile</t>
        </is>
      </c>
      <c r="F38" s="692" t="inlineStr">
        <is>
          <t>Use facility-specific revenue rather than generic sector value</t>
        </is>
      </c>
      <c r="G38" s="692" t="str"/>
      <c r="H38" s="693" t="str"/>
    </row>
    <row r="39">
      <c r="A39" s="680" t="inlineStr">
        <is>
          <t>Alternative supply / availability / penalties</t>
        </is>
      </c>
      <c r="B39" s="681" t="inlineStr">
        <is>
          <t>High</t>
        </is>
      </c>
      <c r="C39" s="681" t="inlineStr">
        <is>
          <t>Replacement power, availability and contract effects</t>
        </is>
      </c>
      <c r="D39" s="681" t="inlineStr">
        <is>
          <t>OP-02</t>
        </is>
      </c>
      <c r="E39" s="681" t="inlineStr">
        <is>
          <t>PPA / capacity / market obligations</t>
        </is>
      </c>
      <c r="F39" s="681" t="inlineStr">
        <is>
          <t>Existing generic driver is suitable if calibrated</t>
        </is>
      </c>
      <c r="G39" s="681" t="str"/>
      <c r="H39" s="682" t="str"/>
    </row>
    <row r="40">
      <c r="A40" s="691" t="inlineStr">
        <is>
          <t>OEM / specialist engineering</t>
        </is>
      </c>
      <c r="B40" s="692" t="inlineStr">
        <is>
          <t>High</t>
        </is>
      </c>
      <c r="C40" s="692" t="inlineStr">
        <is>
          <t>Turbine/DCS OEM support and recommissioning</t>
        </is>
      </c>
      <c r="D40" s="692" t="inlineStr">
        <is>
          <t>RC-02</t>
        </is>
      </c>
      <c r="E40" s="692" t="inlineStr">
        <is>
          <t>Framework rates, mobilization and lead times</t>
        </is>
      </c>
      <c r="F40" s="692" t="inlineStr">
        <is>
          <t>Often tail-sensitive</t>
        </is>
      </c>
      <c r="G40" s="692" t="str"/>
      <c r="H40" s="693" t="str"/>
    </row>
    <row r="41">
      <c r="A41" s="680" t="inlineStr">
        <is>
          <t>Physical damage</t>
        </is>
      </c>
      <c r="B41" s="681" t="inlineStr">
        <is>
          <t>Conditional</t>
        </is>
      </c>
      <c r="C41" s="681" t="inlineStr">
        <is>
          <t>Material for destructive/process events</t>
        </is>
      </c>
      <c r="D41" s="681" t="inlineStr">
        <is>
          <t>PD-03</t>
        </is>
      </c>
      <c r="E41" s="681" t="inlineStr">
        <is>
          <t>Engineering/property loss scenarios</t>
        </is>
      </c>
      <c r="F41" s="681" t="inlineStr">
        <is>
          <t>Do not assume for ordinary ransomware</t>
        </is>
      </c>
      <c r="G41" s="681" t="str"/>
      <c r="H41" s="682" t="str"/>
    </row>
    <row r="42">
      <c r="A42" s="691" t="inlineStr">
        <is>
          <t>Safety / emergency response</t>
        </is>
      </c>
      <c r="B42" s="692" t="inlineStr">
        <is>
          <t>Conditional</t>
        </is>
      </c>
      <c r="C42" s="692" t="inlineStr">
        <is>
          <t>Material for process/safety events</t>
        </is>
      </c>
      <c r="D42" s="692" t="inlineStr">
        <is>
          <t>SF-01</t>
        </is>
      </c>
      <c r="E42" s="692" t="inlineStr">
        <is>
          <t>HSE and protection-system scenarios</t>
        </is>
      </c>
      <c r="F42" s="692" t="inlineStr">
        <is>
          <t>Scenario-gated</t>
        </is>
      </c>
      <c r="G42" s="692" t="str"/>
      <c r="H42" s="693" t="str"/>
    </row>
    <row r="43">
      <c r="A43" s="680" t="inlineStr">
        <is>
          <t>Environmental remediation</t>
        </is>
      </c>
      <c r="B43" s="681" t="inlineStr">
        <is>
          <t>Conditional</t>
        </is>
      </c>
      <c r="C43" s="681" t="inlineStr">
        <is>
          <t>Technology/site dependent</t>
        </is>
      </c>
      <c r="D43" s="681" t="inlineStr">
        <is>
          <t>EN-01</t>
        </is>
      </c>
      <c r="E43" s="681" t="inlineStr">
        <is>
          <t>Environmental exposure and permits</t>
        </is>
      </c>
      <c r="F43" s="681" t="inlineStr">
        <is>
          <t>Hydro/fuel systems may need specific treatment</t>
        </is>
      </c>
      <c r="G43" s="681" t="str"/>
      <c r="H43" s="682" t="str"/>
    </row>
    <row r="44">
      <c r="B44" s="973" t="n"/>
    </row>
    <row r="45">
      <c r="A45" s="706" t="inlineStr">
        <is>
          <t>PACK EXTENSION: None required for the current common 18-driver BIA. Replacement-power / availability effects are intended to be captured through OP-02 and calibrated from contracts / market arrangements.</t>
        </is>
      </c>
    </row>
    <row r="46">
      <c r="B46" s="973" t="n"/>
    </row>
    <row r="47" ht="20" customHeight="1" s="508">
      <c r="A47" s="658" t="inlineStr">
        <is>
          <t>SECTOR TTP EMPHASIS — COMMON ATT&amp;CK FOR ICS SET RETAINED</t>
        </is>
      </c>
      <c r="B47" s="1001" t="n"/>
      <c r="C47" s="1001" t="n"/>
      <c r="D47" s="1001" t="n"/>
      <c r="E47" s="1001" t="n"/>
      <c r="F47" s="1001" t="n"/>
      <c r="G47" s="1001" t="n"/>
      <c r="H47" s="1001" t="n"/>
    </row>
    <row r="48" ht="30" customHeight="1" s="508">
      <c r="A48" s="670" t="inlineStr">
        <is>
          <t>TTP ID</t>
        </is>
      </c>
      <c r="B48" s="671" t="inlineStr">
        <is>
          <t>Technique</t>
        </is>
      </c>
      <c r="C48" s="671" t="inlineStr">
        <is>
          <t>Stage / route</t>
        </is>
      </c>
      <c r="D48" s="671" t="inlineStr">
        <is>
          <t>Priority</t>
        </is>
      </c>
      <c r="E48" s="671" t="inlineStr">
        <is>
          <t>Why material in this sector</t>
        </is>
      </c>
      <c r="F48" s="671" t="inlineStr">
        <is>
          <t>Facility gate</t>
        </is>
      </c>
      <c r="G48" s="671" t="inlineStr">
        <is>
          <t>Model treatment</t>
        </is>
      </c>
      <c r="H48" s="672" t="inlineStr">
        <is>
          <t>Technique URL</t>
        </is>
      </c>
    </row>
    <row r="49">
      <c r="A49" s="680" t="inlineStr">
        <is>
          <t>T0822</t>
        </is>
      </c>
      <c r="B49" s="681" t="inlineStr">
        <is>
          <t>External Remote Services</t>
        </is>
      </c>
      <c r="C49" s="681" t="inlineStr">
        <is>
          <t>S1 / Initial access</t>
        </is>
      </c>
      <c r="D49" s="681" t="inlineStr">
        <is>
          <t>High</t>
        </is>
      </c>
      <c r="E49" s="681" t="inlineStr">
        <is>
          <t>OEM/vendor and engineering remote access can create a credible external route.</t>
        </is>
      </c>
      <c r="F49" s="681" t="inlineStr">
        <is>
          <t>REMOTE_REQUIRED</t>
        </is>
      </c>
      <c r="G49" s="681" t="inlineStr">
        <is>
          <t>Retain; facility gate can remove</t>
        </is>
      </c>
      <c r="H49" s="682" t="inlineStr">
        <is>
          <t>https://attack.mitre.org/techniques/T0822</t>
        </is>
      </c>
    </row>
    <row r="50">
      <c r="A50" s="691" t="inlineStr">
        <is>
          <t>T0859</t>
        </is>
      </c>
      <c r="B50" s="692" t="inlineStr">
        <is>
          <t>Valid Accounts</t>
        </is>
      </c>
      <c r="C50" s="692" t="inlineStr">
        <is>
          <t>S3 / Lateral movement / persistence</t>
        </is>
      </c>
      <c r="D50" s="692" t="inlineStr">
        <is>
          <t>High</t>
        </is>
      </c>
      <c r="E50" s="692" t="inlineStr">
        <is>
          <t>Privileged engineering or shared operational credentials can materially reduce barriers.</t>
        </is>
      </c>
      <c r="F50" s="692" t="inlineStr">
        <is>
          <t>None</t>
        </is>
      </c>
      <c r="G50" s="692" t="inlineStr">
        <is>
          <t>Retain</t>
        </is>
      </c>
      <c r="H50" s="693" t="inlineStr">
        <is>
          <t>https://attack.mitre.org/techniques/T0859</t>
        </is>
      </c>
    </row>
    <row r="51">
      <c r="A51" s="680" t="inlineStr">
        <is>
          <t>T0862</t>
        </is>
      </c>
      <c r="B51" s="681" t="inlineStr">
        <is>
          <t>Supply Chain Compromise</t>
        </is>
      </c>
      <c r="C51" s="681" t="inlineStr">
        <is>
          <t>S1 / Initial access</t>
        </is>
      </c>
      <c r="D51" s="681" t="inlineStr">
        <is>
          <t>Medium-High</t>
        </is>
      </c>
      <c r="E51" s="681" t="inlineStr">
        <is>
          <t>Trusted OEM software/firmware and service relationships are operationally important.</t>
        </is>
      </c>
      <c r="F51" s="681" t="inlineStr">
        <is>
          <t>SUPPLY_CHAIN</t>
        </is>
      </c>
      <c r="G51" s="681" t="inlineStr">
        <is>
          <t>Retain when trusted route exists</t>
        </is>
      </c>
      <c r="H51" s="682" t="inlineStr">
        <is>
          <t>https://attack.mitre.org/techniques/T0862</t>
        </is>
      </c>
    </row>
    <row r="52">
      <c r="A52" s="691" t="inlineStr">
        <is>
          <t>T0821</t>
        </is>
      </c>
      <c r="B52" s="692" t="inlineStr">
        <is>
          <t>Modify Controller Tasking</t>
        </is>
      </c>
      <c r="C52" s="692" t="inlineStr">
        <is>
          <t>S2 / Execution</t>
        </is>
      </c>
      <c r="D52" s="692" t="inlineStr">
        <is>
          <t>High</t>
        </is>
      </c>
      <c r="E52" s="692" t="inlineStr">
        <is>
          <t>Direct manipulation of controller tasking is relevant to generation control.</t>
        </is>
      </c>
      <c r="F52" s="692" t="inlineStr">
        <is>
          <t>None</t>
        </is>
      </c>
      <c r="G52" s="692" t="inlineStr">
        <is>
          <t>Retain</t>
        </is>
      </c>
      <c r="H52" s="693" t="inlineStr">
        <is>
          <t>https://attack.mitre.org/techniques/T0821</t>
        </is>
      </c>
    </row>
    <row r="53">
      <c r="A53" s="680" t="inlineStr">
        <is>
          <t>T0843</t>
        </is>
      </c>
      <c r="B53" s="681" t="inlineStr">
        <is>
          <t>Program Download</t>
        </is>
      </c>
      <c r="C53" s="681" t="inlineStr">
        <is>
          <t>S3 / Lateral movement</t>
        </is>
      </c>
      <c r="D53" s="681" t="inlineStr">
        <is>
          <t>High</t>
        </is>
      </c>
      <c r="E53" s="681" t="inlineStr">
        <is>
          <t>Engineering tools and controller downloads are common legitimate functions that can be abused.</t>
        </is>
      </c>
      <c r="F53" s="681" t="inlineStr">
        <is>
          <t>None</t>
        </is>
      </c>
      <c r="G53" s="681" t="inlineStr">
        <is>
          <t>Retain</t>
        </is>
      </c>
      <c r="H53" s="682" t="inlineStr">
        <is>
          <t>https://attack.mitre.org/techniques/T0843</t>
        </is>
      </c>
    </row>
    <row r="54">
      <c r="A54" s="691" t="inlineStr">
        <is>
          <t>T0831</t>
        </is>
      </c>
      <c r="B54" s="692" t="inlineStr">
        <is>
          <t>Manipulation of Control</t>
        </is>
      </c>
      <c r="C54" s="692" t="inlineStr">
        <is>
          <t>S5 / Impact</t>
        </is>
      </c>
      <c r="D54" s="692" t="inlineStr">
        <is>
          <t>High</t>
        </is>
      </c>
      <c r="E54" s="692" t="inlineStr">
        <is>
          <t>Directly maps to process manipulation and unsafe operating states.</t>
        </is>
      </c>
      <c r="F54" s="692" t="inlineStr">
        <is>
          <t>None</t>
        </is>
      </c>
      <c r="G54" s="692" t="inlineStr">
        <is>
          <t>Retain</t>
        </is>
      </c>
      <c r="H54" s="693" t="inlineStr">
        <is>
          <t>https://attack.mitre.org/techniques/T0831</t>
        </is>
      </c>
    </row>
    <row r="55">
      <c r="A55" s="680" t="inlineStr">
        <is>
          <t>T0813</t>
        </is>
      </c>
      <c r="B55" s="681" t="inlineStr">
        <is>
          <t>Denial of Control</t>
        </is>
      </c>
      <c r="C55" s="681" t="inlineStr">
        <is>
          <t>S5 / Impact</t>
        </is>
      </c>
      <c r="D55" s="681" t="inlineStr">
        <is>
          <t>High</t>
        </is>
      </c>
      <c r="E55" s="681" t="inlineStr">
        <is>
          <t>Can force shutdown or remove operator ability to command generation assets.</t>
        </is>
      </c>
      <c r="F55" s="681" t="inlineStr">
        <is>
          <t>None</t>
        </is>
      </c>
      <c r="G55" s="681" t="inlineStr">
        <is>
          <t>Retain</t>
        </is>
      </c>
      <c r="H55" s="682" t="inlineStr">
        <is>
          <t>https://attack.mitre.org/techniques/T0813</t>
        </is>
      </c>
    </row>
    <row r="56">
      <c r="A56" s="691" t="inlineStr">
        <is>
          <t>T0829</t>
        </is>
      </c>
      <c r="B56" s="692" t="inlineStr">
        <is>
          <t>Loss of View</t>
        </is>
      </c>
      <c r="C56" s="692" t="inlineStr">
        <is>
          <t>S5 / Impact</t>
        </is>
      </c>
      <c r="D56" s="692" t="inlineStr">
        <is>
          <t>High</t>
        </is>
      </c>
      <c r="E56" s="692" t="inlineStr">
        <is>
          <t>Loss of trusted process visibility can force conservative shutdown.</t>
        </is>
      </c>
      <c r="F56" s="692" t="inlineStr">
        <is>
          <t>None</t>
        </is>
      </c>
      <c r="G56" s="692" t="inlineStr">
        <is>
          <t>Retain</t>
        </is>
      </c>
      <c r="H56" s="693" t="inlineStr">
        <is>
          <t>https://attack.mitre.org/techniques/T0829</t>
        </is>
      </c>
    </row>
    <row r="57">
      <c r="A57" s="680" t="inlineStr">
        <is>
          <t>T0816</t>
        </is>
      </c>
      <c r="B57" s="681" t="inlineStr">
        <is>
          <t>Device Restart/Shutdown</t>
        </is>
      </c>
      <c r="C57" s="681" t="inlineStr">
        <is>
          <t>S5 / Inhibit response</t>
        </is>
      </c>
      <c r="D57" s="681" t="inlineStr">
        <is>
          <t>High</t>
        </is>
      </c>
      <c r="E57" s="681" t="inlineStr">
        <is>
          <t>Restart/shutdown of controllers or supporting systems can directly disrupt generation.</t>
        </is>
      </c>
      <c r="F57" s="681" t="inlineStr">
        <is>
          <t>None</t>
        </is>
      </c>
      <c r="G57" s="681" t="inlineStr">
        <is>
          <t>Retain</t>
        </is>
      </c>
      <c r="H57" s="682" t="inlineStr">
        <is>
          <t>https://attack.mitre.org/techniques/T0816</t>
        </is>
      </c>
    </row>
    <row r="58">
      <c r="A58" s="691" t="inlineStr">
        <is>
          <t>T0809</t>
        </is>
      </c>
      <c r="B58" s="692" t="inlineStr">
        <is>
          <t>Data Destruction</t>
        </is>
      </c>
      <c r="C58" s="692" t="inlineStr">
        <is>
          <t>S5 / Inhibit response</t>
        </is>
      </c>
      <c r="D58" s="692" t="inlineStr">
        <is>
          <t>Medium-High</t>
        </is>
      </c>
      <c r="E58" s="692" t="inlineStr">
        <is>
          <t>Destruction of engineering/configuration data can prolong recovery and integrity assurance.</t>
        </is>
      </c>
      <c r="F58" s="692" t="inlineStr">
        <is>
          <t>None</t>
        </is>
      </c>
      <c r="G58" s="692" t="inlineStr">
        <is>
          <t>Retain</t>
        </is>
      </c>
      <c r="H58" s="693" t="inlineStr">
        <is>
          <t>https://attack.mitre.org/techniques/T0809</t>
        </is>
      </c>
    </row>
    <row r="59">
      <c r="B59" s="973" t="n"/>
    </row>
    <row r="60" ht="20" customHeight="1" s="508">
      <c r="A60" s="658" t="inlineStr">
        <is>
          <t>FACILITY EVIDENCE TO REQUEST DURING ASSESSMENT</t>
        </is>
      </c>
      <c r="B60" s="1001" t="n"/>
      <c r="C60" s="1001" t="n"/>
      <c r="D60" s="1001" t="n"/>
      <c r="E60" s="1001" t="n"/>
      <c r="F60" s="1001" t="n"/>
      <c r="G60" s="1001" t="n"/>
      <c r="H60" s="1001" t="n"/>
    </row>
    <row r="61" ht="30" customHeight="1" s="508">
      <c r="A61" s="670" t="inlineStr">
        <is>
          <t>Evidence / question</t>
        </is>
      </c>
      <c r="B61" s="671" t="inlineStr">
        <is>
          <t>Why it matters</t>
        </is>
      </c>
      <c r="C61" s="671" t="inlineStr">
        <is>
          <t>Maps to</t>
        </is>
      </c>
      <c r="D61" s="671" t="inlineStr">
        <is>
          <t>Required?</t>
        </is>
      </c>
      <c r="E61" s="671" t="inlineStr">
        <is>
          <t>Typical owner</t>
        </is>
      </c>
      <c r="F61" s="671" t="inlineStr">
        <is>
          <t>Model use</t>
        </is>
      </c>
      <c r="G61" s="671" t="inlineStr">
        <is>
          <t>Pack note</t>
        </is>
      </c>
      <c r="H61" s="672" t="str"/>
    </row>
    <row r="62">
      <c r="A62" s="691" t="inlineStr">
        <is>
          <t>Dispatch / availability obligations and revenue-at-risk basis</t>
        </is>
      </c>
      <c r="B62" s="692" t="inlineStr">
        <is>
          <t>Determines BI and OP-02 severity</t>
        </is>
      </c>
      <c r="C62" s="692" t="inlineStr">
        <is>
          <t>05 BIA</t>
        </is>
      </c>
      <c r="D62" s="692" t="inlineStr">
        <is>
          <t>Yes</t>
        </is>
      </c>
      <c r="E62" s="692" t="inlineStr">
        <is>
          <t>Finance / Commercial</t>
        </is>
      </c>
      <c r="F62" s="692" t="inlineStr">
        <is>
          <t>Calibrate revenue, downtime and penalty drivers</t>
        </is>
      </c>
      <c r="G62" s="692" t="inlineStr">
        <is>
          <t>Capture seasonal/peak sensitivity</t>
        </is>
      </c>
      <c r="H62" s="693" t="str"/>
    </row>
    <row r="63">
      <c r="A63" s="680" t="inlineStr">
        <is>
          <t>Normal and worst-case restart / recommissioning time</t>
        </is>
      </c>
      <c r="B63" s="681" t="inlineStr">
        <is>
          <t>Dominant severity driver</t>
        </is>
      </c>
      <c r="C63" s="681" t="inlineStr">
        <is>
          <t>05 BIA</t>
        </is>
      </c>
      <c r="D63" s="681" t="inlineStr">
        <is>
          <t>Yes</t>
        </is>
      </c>
      <c r="E63" s="681" t="inlineStr">
        <is>
          <t>Operations / Engineering</t>
        </is>
      </c>
      <c r="F63" s="681" t="inlineStr">
        <is>
          <t>Calibrate scenario downtime</t>
        </is>
      </c>
      <c r="G63" s="681" t="inlineStr">
        <is>
          <t>Use outage history and maintenance procedures</t>
        </is>
      </c>
      <c r="H63" s="682" t="str"/>
    </row>
    <row r="64">
      <c r="A64" s="691" t="inlineStr">
        <is>
          <t>OEM/vendor remote access paths</t>
        </is>
      </c>
      <c r="B64" s="692" t="inlineStr">
        <is>
          <t>Initial-access feasibility and exposure</t>
        </is>
      </c>
      <c r="C64" s="692" t="inlineStr">
        <is>
          <t>03/12</t>
        </is>
      </c>
      <c r="D64" s="692" t="inlineStr">
        <is>
          <t>Yes</t>
        </is>
      </c>
      <c r="E64" s="692" t="inlineStr">
        <is>
          <t>OT Engineering</t>
        </is>
      </c>
      <c r="F64" s="692" t="inlineStr">
        <is>
          <t>REMOTE_ACCESS gate and exposure</t>
        </is>
      </c>
      <c r="G64" s="692" t="inlineStr">
        <is>
          <t>Include temporary emergency access</t>
        </is>
      </c>
      <c r="H64" s="693" t="str"/>
    </row>
    <row r="65">
      <c r="A65" s="680" t="inlineStr">
        <is>
          <t>IT/OT connectivity and jump architecture</t>
        </is>
      </c>
      <c r="B65" s="681" t="inlineStr">
        <is>
          <t>Movement from enterprise to control zones</t>
        </is>
      </c>
      <c r="C65" s="681" t="inlineStr">
        <is>
          <t>03/12</t>
        </is>
      </c>
      <c r="D65" s="681" t="inlineStr">
        <is>
          <t>Yes</t>
        </is>
      </c>
      <c r="E65" s="681" t="inlineStr">
        <is>
          <t>OT Architecture</t>
        </is>
      </c>
      <c r="F65" s="681" t="inlineStr">
        <is>
          <t>IT_OT_CONNECTIVITY gate and exposure</t>
        </is>
      </c>
      <c r="G65" s="681" t="inlineStr">
        <is>
          <t>Evidence with network diagrams</t>
        </is>
      </c>
      <c r="H65" s="682" t="str"/>
    </row>
    <row r="66">
      <c r="A66" s="691" t="inlineStr">
        <is>
          <t>Protection / trip system relationship to control network</t>
        </is>
      </c>
      <c r="B66" s="692" t="inlineStr">
        <is>
          <t>Safety scenario feasibility</t>
        </is>
      </c>
      <c r="C66" s="692" t="inlineStr">
        <is>
          <t>03/12</t>
        </is>
      </c>
      <c r="D66" s="692" t="inlineStr">
        <is>
          <t>Yes</t>
        </is>
      </c>
      <c r="E66" s="692" t="inlineStr">
        <is>
          <t>Protection / HSE</t>
        </is>
      </c>
      <c r="F66" s="692" t="inlineStr">
        <is>
          <t>SAFETY_SYSTEM gate</t>
        </is>
      </c>
      <c r="G66" s="692" t="inlineStr">
        <is>
          <t>Document independence and common dependencies</t>
        </is>
      </c>
      <c r="H66" s="693" t="str"/>
    </row>
    <row r="67">
      <c r="A67" s="680" t="inlineStr">
        <is>
          <t>Backup/configuration restoration and engineering workstation recovery</t>
        </is>
      </c>
      <c r="B67" s="681" t="inlineStr">
        <is>
          <t>Tail restoration duration</t>
        </is>
      </c>
      <c r="C67" s="681" t="inlineStr">
        <is>
          <t>04/05</t>
        </is>
      </c>
      <c r="D67" s="681" t="inlineStr">
        <is>
          <t>Yes</t>
        </is>
      </c>
      <c r="E67" s="681" t="inlineStr">
        <is>
          <t>Cyber / OT Engineering</t>
        </is>
      </c>
      <c r="F67" s="681" t="inlineStr">
        <is>
          <t>Recovery control and RC-03</t>
        </is>
      </c>
      <c r="G67" s="681" t="inlineStr">
        <is>
          <t>Evidence from exercises preferred</t>
        </is>
      </c>
      <c r="H67" s="682" t="str"/>
    </row>
    <row r="68">
      <c r="B68" s="973" t="n"/>
    </row>
    <row r="69" ht="20" customHeight="1" s="508">
      <c r="A69" s="658" t="inlineStr">
        <is>
          <t>PRIMARY SOURCES</t>
        </is>
      </c>
      <c r="B69" s="1001" t="n"/>
      <c r="C69" s="1001" t="n"/>
      <c r="D69" s="1001" t="n"/>
      <c r="E69" s="1001" t="n"/>
      <c r="F69" s="1001" t="n"/>
      <c r="G69" s="1001" t="n"/>
      <c r="H69" s="1001" t="n"/>
    </row>
    <row r="70" ht="30" customHeight="1" s="508">
      <c r="A70" s="670" t="inlineStr">
        <is>
          <t>Source</t>
        </is>
      </c>
      <c r="B70" s="671" t="inlineStr">
        <is>
          <t>Type</t>
        </is>
      </c>
      <c r="C70" s="671" t="inlineStr">
        <is>
          <t>Version / date</t>
        </is>
      </c>
      <c r="D70" s="671" t="inlineStr">
        <is>
          <t>URL</t>
        </is>
      </c>
      <c r="E70" s="671" t="inlineStr">
        <is>
          <t>What it supports</t>
        </is>
      </c>
      <c r="F70" s="671" t="inlineStr">
        <is>
          <t>Limitation</t>
        </is>
      </c>
      <c r="G70" s="671" t="inlineStr">
        <is>
          <t>Status</t>
        </is>
      </c>
      <c r="H70" s="672" t="str"/>
    </row>
    <row r="71">
      <c r="A71" s="680" t="inlineStr">
        <is>
          <t>NIST SP 800-82 Rev.3</t>
        </is>
      </c>
      <c r="B71" s="681" t="inlineStr">
        <is>
          <t>OT security guidance</t>
        </is>
      </c>
      <c r="C71" s="681" t="inlineStr">
        <is>
          <t>Sep 2023</t>
        </is>
      </c>
      <c r="D71" s="681" t="inlineStr">
        <is>
          <t>https://csrc.nist.gov/pubs/sp/800/82/r3/final</t>
        </is>
      </c>
      <c r="E71" s="681" t="inlineStr">
        <is>
          <t>OT architectures, threats, safeguards</t>
        </is>
      </c>
      <c r="F71" s="681" t="inlineStr">
        <is>
          <t>No quantitative frequencies or efficacy</t>
        </is>
      </c>
      <c r="G71" s="681" t="inlineStr">
        <is>
          <t>External</t>
        </is>
      </c>
      <c r="H71" s="682" t="str"/>
    </row>
    <row r="72">
      <c r="A72" s="691" t="inlineStr">
        <is>
          <t>DOE C2M2 v2.1</t>
        </is>
      </c>
      <c r="B72" s="692" t="inlineStr">
        <is>
          <t>Energy-sector capability model</t>
        </is>
      </c>
      <c r="C72" s="692" t="inlineStr">
        <is>
          <t>Jun 2022</t>
        </is>
      </c>
      <c r="D72" s="692" t="inlineStr">
        <is>
          <t>https://www.energy.gov/ceser/cybersecurity-capability-maturity-model-c2m2</t>
        </is>
      </c>
      <c r="E72" s="692" t="inlineStr">
        <is>
          <t>Energy IT/OT capability and governance context</t>
        </is>
      </c>
      <c r="F72" s="692" t="inlineStr">
        <is>
          <t>Not probability calibration</t>
        </is>
      </c>
      <c r="G72" s="692" t="inlineStr">
        <is>
          <t>External</t>
        </is>
      </c>
      <c r="H72" s="693" t="str"/>
    </row>
    <row r="73">
      <c r="A73" s="680" t="inlineStr">
        <is>
          <t>MITRE ATT&amp;CK for ICS</t>
        </is>
      </c>
      <c r="B73" s="681" t="inlineStr">
        <is>
          <t>Threat-behaviour taxonomy</t>
        </is>
      </c>
      <c r="C73" s="681" t="inlineStr">
        <is>
          <t>v19.2 / Apr 2026</t>
        </is>
      </c>
      <c r="D73" s="681" t="inlineStr">
        <is>
          <t>https://attack.mitre.org/matrices/ics/</t>
        </is>
      </c>
      <c r="E73" s="681" t="inlineStr">
        <is>
          <t>Technique taxonomy and impact semantics</t>
        </is>
      </c>
      <c r="F73" s="681" t="inlineStr">
        <is>
          <t>Presence ≠ facility feasibility</t>
        </is>
      </c>
      <c r="G73" s="681" t="inlineStr">
        <is>
          <t>External</t>
        </is>
      </c>
      <c r="H73" s="682" t="str"/>
    </row>
    <row r="74">
      <c r="A74" s="691" t="inlineStr">
        <is>
          <t>Dragos 2026 OT Year in Review</t>
        </is>
      </c>
      <c r="B74" s="692" t="inlineStr">
        <is>
          <t>Threat-intelligence benchmark</t>
        </is>
      </c>
      <c r="C74" s="692" t="inlineStr">
        <is>
          <t>Feb 2026</t>
        </is>
      </c>
      <c r="D74" s="692" t="inlineStr">
        <is>
          <t>https://www.dragos.com/blog/dragos-2026-ot-cybersecurity-year-in-review</t>
        </is>
      </c>
      <c r="E74" s="692" t="inlineStr">
        <is>
          <t>Energy threat activity and 2025 DER targeting</t>
        </is>
      </c>
      <c r="F74" s="692" t="inlineStr">
        <is>
          <t>No compatible facility-year denominator</t>
        </is>
      </c>
      <c r="G74" s="692" t="inlineStr">
        <is>
          <t>Benchmark</t>
        </is>
      </c>
      <c r="H74" s="693" t="str"/>
    </row>
    <row r="75">
      <c r="B75" s="973" t="n"/>
    </row>
    <row r="76">
      <c r="B76" s="973" t="n"/>
    </row>
    <row r="77">
      <c r="B77" s="973" t="n"/>
    </row>
    <row r="78">
      <c r="B78" s="973" t="n"/>
    </row>
    <row r="79">
      <c r="B79" s="973" t="n"/>
    </row>
    <row r="80">
      <c r="B80" s="973" t="n"/>
    </row>
    <row r="81">
      <c r="B81" s="973" t="n"/>
    </row>
    <row r="82">
      <c r="B82" s="973" t="n"/>
    </row>
    <row r="83">
      <c r="B83" s="973" t="n"/>
    </row>
    <row r="84">
      <c r="B84" s="973" t="n"/>
    </row>
    <row r="85">
      <c r="B85" s="973" t="n"/>
    </row>
    <row r="86">
      <c r="B86" s="973" t="n"/>
    </row>
    <row r="87">
      <c r="B87" s="973" t="n"/>
    </row>
    <row r="88">
      <c r="B88" s="973" t="n"/>
    </row>
    <row r="89">
      <c r="B89" s="973" t="n"/>
    </row>
    <row r="90">
      <c r="B90" s="973" t="n"/>
    </row>
    <row r="91">
      <c r="B91" s="973" t="n"/>
    </row>
    <row r="92">
      <c r="B92" s="973" t="n"/>
    </row>
    <row r="93">
      <c r="B93" s="973" t="n"/>
    </row>
    <row r="94">
      <c r="B94" s="973" t="n"/>
    </row>
    <row r="95">
      <c r="B95" s="973" t="n"/>
    </row>
    <row r="96">
      <c r="B96" s="973" t="n"/>
    </row>
    <row r="97">
      <c r="B97" s="973" t="n"/>
    </row>
    <row r="98">
      <c r="B98" s="973" t="n"/>
    </row>
    <row r="99">
      <c r="B99" s="973" t="n"/>
    </row>
    <row r="100">
      <c r="B100" s="973" t="n"/>
    </row>
    <row r="101">
      <c r="B101" s="973" t="n"/>
    </row>
    <row r="102">
      <c r="B102" s="973" t="n"/>
    </row>
    <row r="103">
      <c r="B103" s="973" t="n"/>
    </row>
    <row r="104">
      <c r="B104" s="973" t="n"/>
    </row>
    <row r="105">
      <c r="B105" s="973" t="n"/>
    </row>
    <row r="106">
      <c r="B106" s="973" t="n"/>
    </row>
    <row r="107">
      <c r="B107" s="973" t="n"/>
    </row>
    <row r="108">
      <c r="B108" s="973" t="n"/>
    </row>
    <row r="109">
      <c r="B109" s="973" t="n"/>
    </row>
    <row r="110">
      <c r="B110" s="973" t="n"/>
    </row>
    <row r="111">
      <c r="B111" s="973" t="n"/>
    </row>
    <row r="112">
      <c r="B112" s="973" t="n"/>
    </row>
    <row r="113">
      <c r="B113" s="973" t="n"/>
    </row>
    <row r="114">
      <c r="B114" s="973" t="n"/>
    </row>
    <row r="115">
      <c r="B115" s="973" t="n"/>
    </row>
    <row r="116">
      <c r="B116" s="973" t="n"/>
    </row>
    <row r="117">
      <c r="B117" s="973" t="n"/>
    </row>
    <row r="118">
      <c r="B118" s="973" t="n"/>
    </row>
    <row r="119">
      <c r="B119" s="973" t="n"/>
    </row>
    <row r="120">
      <c r="B120" s="973" t="n"/>
    </row>
    <row r="121">
      <c r="B121" s="973" t="n"/>
    </row>
    <row r="122">
      <c r="B122" s="973" t="n"/>
    </row>
    <row r="123">
      <c r="B123" s="973" t="n"/>
    </row>
    <row r="124">
      <c r="B124" s="973" t="n"/>
    </row>
    <row r="125">
      <c r="B125" s="973" t="n"/>
    </row>
    <row r="126">
      <c r="B126" s="973" t="n"/>
    </row>
    <row r="127">
      <c r="B127" s="973" t="n"/>
    </row>
    <row r="128">
      <c r="B128" s="973" t="n"/>
    </row>
    <row r="129">
      <c r="B129" s="973" t="n"/>
    </row>
    <row r="130">
      <c r="B130" s="973" t="n"/>
    </row>
    <row r="131">
      <c r="B131" s="973" t="n"/>
    </row>
    <row r="132">
      <c r="B132" s="973" t="n"/>
    </row>
    <row r="133">
      <c r="B133" s="973" t="n"/>
    </row>
    <row r="134">
      <c r="B134" s="973" t="n"/>
    </row>
    <row r="135">
      <c r="B135" s="973" t="n"/>
    </row>
    <row r="136">
      <c r="B136" s="973" t="n"/>
    </row>
    <row r="137">
      <c r="B137" s="973" t="n"/>
    </row>
    <row r="138">
      <c r="B138" s="973" t="n"/>
    </row>
    <row r="139">
      <c r="B139" s="973" t="n"/>
    </row>
    <row r="140">
      <c r="B140" s="973" t="n"/>
    </row>
    <row r="141">
      <c r="B141" s="973" t="n"/>
    </row>
    <row r="142">
      <c r="B142" s="973" t="n"/>
    </row>
    <row r="143">
      <c r="B143" s="973" t="n"/>
    </row>
    <row r="144">
      <c r="B144" s="973" t="n"/>
    </row>
    <row r="145">
      <c r="B145" s="973" t="n"/>
    </row>
    <row r="146">
      <c r="B146" s="973" t="n"/>
    </row>
    <row r="147">
      <c r="B147" s="973" t="n"/>
    </row>
    <row r="148">
      <c r="B148" s="973" t="n"/>
    </row>
    <row r="149">
      <c r="B149" s="973" t="n"/>
    </row>
    <row r="150">
      <c r="B150" s="973" t="n"/>
    </row>
    <row r="151">
      <c r="B151" s="973" t="n"/>
    </row>
    <row r="152">
      <c r="B152" s="973" t="n"/>
    </row>
    <row r="153">
      <c r="B153" s="973" t="n"/>
    </row>
    <row r="154">
      <c r="B154" s="973" t="n"/>
    </row>
    <row r="155">
      <c r="B155" s="973" t="n"/>
    </row>
    <row r="156">
      <c r="B156" s="973" t="n"/>
    </row>
    <row r="157">
      <c r="B157" s="973" t="n"/>
    </row>
    <row r="158">
      <c r="B158" s="973" t="n"/>
    </row>
    <row r="159">
      <c r="B159" s="973" t="n"/>
    </row>
    <row r="160">
      <c r="B160" s="973" t="n"/>
    </row>
    <row r="161">
      <c r="B161" s="973" t="n"/>
    </row>
    <row r="162">
      <c r="B162" s="973" t="n"/>
    </row>
    <row r="163">
      <c r="B163" s="973" t="n"/>
    </row>
    <row r="164">
      <c r="B164" s="973" t="n"/>
    </row>
    <row r="165">
      <c r="B165" s="973" t="n"/>
    </row>
    <row r="166">
      <c r="B166" s="973" t="n"/>
    </row>
    <row r="167">
      <c r="B167" s="973" t="n"/>
    </row>
    <row r="168">
      <c r="B168" s="973" t="n"/>
    </row>
    <row r="169">
      <c r="B169" s="973" t="n"/>
    </row>
    <row r="170">
      <c r="B170" s="973" t="n"/>
    </row>
    <row r="171">
      <c r="B171" s="973" t="n"/>
    </row>
    <row r="172">
      <c r="B172" s="973" t="n"/>
    </row>
    <row r="173">
      <c r="B173" s="973" t="n"/>
    </row>
    <row r="174">
      <c r="B174" s="973" t="n"/>
    </row>
    <row r="175">
      <c r="B175" s="973" t="n"/>
    </row>
    <row r="176">
      <c r="B176" s="973" t="n"/>
    </row>
    <row r="177">
      <c r="B177" s="973" t="n"/>
    </row>
    <row r="178">
      <c r="B178" s="973" t="n"/>
    </row>
    <row r="179">
      <c r="B179" s="973" t="n"/>
    </row>
    <row r="180">
      <c r="B180" s="973" t="n"/>
    </row>
    <row r="181">
      <c r="B181" s="973" t="n"/>
    </row>
    <row r="182">
      <c r="B182" s="973" t="n"/>
    </row>
    <row r="183">
      <c r="B183" s="973" t="n"/>
    </row>
    <row r="184">
      <c r="B184" s="973" t="n"/>
    </row>
    <row r="185">
      <c r="B185" s="973" t="n"/>
    </row>
    <row r="186">
      <c r="B186" s="973" t="n"/>
    </row>
    <row r="187">
      <c r="B187" s="973" t="n"/>
    </row>
    <row r="188">
      <c r="B188" s="973" t="n"/>
    </row>
    <row r="189">
      <c r="B189" s="973" t="n"/>
    </row>
    <row r="190">
      <c r="B190" s="973" t="n"/>
    </row>
    <row r="191">
      <c r="B191" s="973" t="n"/>
    </row>
    <row r="192">
      <c r="B192" s="973" t="n"/>
    </row>
    <row r="193">
      <c r="B193" s="973" t="n"/>
    </row>
    <row r="194">
      <c r="B194" s="973" t="n"/>
    </row>
    <row r="195">
      <c r="B195" s="973" t="n"/>
    </row>
    <row r="196">
      <c r="B196" s="973" t="n"/>
    </row>
    <row r="197">
      <c r="B197" s="973" t="n"/>
    </row>
    <row r="198">
      <c r="B198" s="973" t="n"/>
    </row>
    <row r="199">
      <c r="B199" s="973" t="n"/>
    </row>
    <row r="200">
      <c r="B200" s="973" t="n"/>
    </row>
  </sheetData>
  <mergeCells count="11">
    <mergeCell ref="A1:H1"/>
    <mergeCell ref="A69:H69"/>
    <mergeCell ref="A5:H5"/>
    <mergeCell ref="A2:H3"/>
    <mergeCell ref="A28:H28"/>
    <mergeCell ref="A60:H60"/>
    <mergeCell ref="A13:H13"/>
    <mergeCell ref="A36:H36"/>
    <mergeCell ref="A47:H47"/>
    <mergeCell ref="A45:H45"/>
    <mergeCell ref="A22:H22"/>
  </mergeCells>
  <pageMargins left="0.7" right="0.7" top="0.75" bottom="0.75" header="0.3" footer="0.3"/>
</worksheet>
</file>

<file path=xl/worksheets/sheet47.xml><?xml version="1.0" encoding="utf-8"?>
<worksheet xmlns="http://schemas.openxmlformats.org/spreadsheetml/2006/main">
  <sheetPr>
    <tabColor rgb="00C00080"/>
    <outlinePr summaryBelow="1" summaryRight="1"/>
    <pageSetUpPr/>
  </sheetPr>
  <dimension ref="A1:H200"/>
  <sheetViews>
    <sheetView workbookViewId="0">
      <selection activeCell="A1" sqref="A1"/>
    </sheetView>
  </sheetViews>
  <sheetFormatPr baseColWidth="8" defaultRowHeight="15"/>
  <cols>
    <col width="20" customWidth="1" style="508" min="1" max="1"/>
    <col width="24" customWidth="1" style="508" min="2" max="2"/>
    <col width="22" customWidth="1" style="508" min="3" max="3"/>
    <col width="18" customWidth="1" style="508" min="4" max="4"/>
    <col width="40" customWidth="1" style="508" min="5" max="5"/>
    <col width="26" customWidth="1" style="508" min="6" max="6"/>
    <col width="26" customWidth="1" style="508" min="7" max="7"/>
    <col width="28" customWidth="1" style="508" min="8" max="8"/>
  </cols>
  <sheetData>
    <row r="1" ht="26" customHeight="1" s="508">
      <c r="A1" s="651" t="inlineStr">
        <is>
          <t>ENGINE-LOADED SECTOR-PACK VALUES - DO NOT EDIT</t>
        </is>
      </c>
    </row>
    <row r="2" ht="30" customHeight="1" s="508">
      <c r="A2" s="655" t="inlineStr">
        <is>
          <t>Working pack for upstream oil &amp; gas, pipelines/storage/terminals, refining/petrochemical and LNG facilities. It keeps the common OT engine while adding energy-specific threat relevance, process-safety context, severity starting points and evidence requirements.</t>
        </is>
      </c>
    </row>
    <row r="3" ht="30" customHeight="1" s="508"/>
    <row r="4">
      <c r="B4" s="973" t="n"/>
    </row>
    <row r="5" ht="20" customHeight="1" s="508">
      <c r="A5" s="658" t="inlineStr">
        <is>
          <t>PACK METADATA</t>
        </is>
      </c>
      <c r="B5" s="1001" t="n"/>
      <c r="C5" s="1001" t="n"/>
      <c r="D5" s="1001" t="n"/>
      <c r="E5" s="1001" t="n"/>
      <c r="F5" s="1001" t="n"/>
      <c r="G5" s="1001" t="n"/>
      <c r="H5" s="1001" t="n"/>
    </row>
    <row r="6" ht="30" customHeight="1" s="508">
      <c r="A6" s="670" t="inlineStr">
        <is>
          <t>Field</t>
        </is>
      </c>
      <c r="B6" s="671" t="inlineStr">
        <is>
          <t>Value</t>
        </is>
      </c>
      <c r="C6" s="671" t="inlineStr">
        <is>
          <t>Status / Type</t>
        </is>
      </c>
      <c r="D6" s="671" t="inlineStr">
        <is>
          <t>How used</t>
        </is>
      </c>
      <c r="E6" s="671" t="inlineStr">
        <is>
          <t>Governance note</t>
        </is>
      </c>
      <c r="F6" s="671" t="str"/>
      <c r="G6" s="671" t="str"/>
      <c r="H6" s="672" t="str"/>
    </row>
    <row r="7">
      <c r="A7" s="680" t="inlineStr">
        <is>
          <t>Sector</t>
        </is>
      </c>
      <c r="B7" s="681" t="inlineStr">
        <is>
          <t>Energy Assets</t>
        </is>
      </c>
      <c r="C7" s="681" t="inlineStr">
        <is>
          <t>Working sector pack</t>
        </is>
      </c>
      <c r="D7" s="681" t="inlineStr">
        <is>
          <t>Resolves from 03 Facility Inputs</t>
        </is>
      </c>
      <c r="E7" s="682" t="inlineStr">
        <is>
          <t>Oil, gas, petrochemical, LNG and transport/storage archetypes.</t>
        </is>
      </c>
    </row>
    <row r="8">
      <c r="A8" s="691" t="inlineStr">
        <is>
          <t>Pack ID</t>
        </is>
      </c>
      <c r="B8" s="692" t="inlineStr">
        <is>
          <t>EA-v1.0</t>
        </is>
      </c>
      <c r="C8" s="692" t="inlineStr">
        <is>
          <t>Working — controlled calibration</t>
        </is>
      </c>
      <c r="D8" s="692" t="inlineStr">
        <is>
          <t>Registry / compatible engine</t>
        </is>
      </c>
      <c r="E8" s="693" t="inlineStr">
        <is>
          <t>Replaces v0.1 placeholder; not described as externally validated.</t>
        </is>
      </c>
    </row>
    <row r="9">
      <c r="A9" s="680" t="inlineStr">
        <is>
          <t>Unit of analysis</t>
        </is>
      </c>
      <c r="B9" s="681" t="inlineStr">
        <is>
          <t>One operational facility / terminal / pipeline operating unit</t>
        </is>
      </c>
      <c r="C9" s="681" t="inlineStr">
        <is>
          <t>Model scope</t>
        </is>
      </c>
      <c r="D9" s="681" t="inlineStr">
        <is>
          <t>Facility-level CRQ</t>
        </is>
      </c>
      <c r="E9" s="682" t="inlineStr">
        <is>
          <t>Distributed pipeline systems may need defined assessment boundary.</t>
        </is>
      </c>
    </row>
    <row r="10">
      <c r="A10" s="691" t="inlineStr">
        <is>
          <t>Frequency basis</t>
        </is>
      </c>
      <c r="B10" s="692" t="inlineStr">
        <is>
          <t>Power-generation 0.55 λ anchor + sector actor overlay</t>
        </is>
      </c>
      <c r="C10" s="692" t="inlineStr">
        <is>
          <t>Evidence-informed structured prior</t>
        </is>
      </c>
      <c r="D10" s="692" t="inlineStr">
        <is>
          <t>Relative threat pressure only</t>
        </is>
      </c>
      <c r="E10" s="693" t="inlineStr">
        <is>
          <t>Public threat data does not support direct facility-year rate estimation.</t>
        </is>
      </c>
    </row>
    <row r="11">
      <c r="A11" s="680" t="inlineStr">
        <is>
          <t>TTP basis</t>
        </is>
      </c>
      <c r="B11" s="681" t="inlineStr">
        <is>
          <t>Common MITRE ATT&amp;CK for ICS set + energy-specific rationale + facility gates</t>
        </is>
      </c>
      <c r="C11" s="681" t="inlineStr">
        <is>
          <t>Governed mapping</t>
        </is>
      </c>
      <c r="D11" s="681" t="inlineStr">
        <is>
          <t>Feeds composite S1–S5 barrier method</t>
        </is>
      </c>
      <c r="E11" s="682" t="inlineStr">
        <is>
          <t>API 1164 applied particularly to pipeline/control-system context.</t>
        </is>
      </c>
    </row>
    <row r="12">
      <c r="B12" s="973" t="n"/>
    </row>
    <row r="13" ht="20" customHeight="1" s="508">
      <c r="A13" s="658" t="inlineStr">
        <is>
          <t>REGISTERED ASSET ARCHETYPES</t>
        </is>
      </c>
      <c r="B13" s="1001" t="n"/>
      <c r="C13" s="1001" t="n"/>
      <c r="D13" s="1001" t="n"/>
      <c r="E13" s="1001" t="n"/>
      <c r="F13" s="1001" t="n"/>
      <c r="G13" s="1001" t="n"/>
      <c r="H13" s="1001" t="n"/>
    </row>
    <row r="14" ht="30" customHeight="1" s="508">
      <c r="A14" s="670" t="inlineStr">
        <is>
          <t>Asset type</t>
        </is>
      </c>
      <c r="B14" s="671" t="inlineStr">
        <is>
          <t>Operating profile</t>
        </is>
      </c>
      <c r="C14" s="671" t="inlineStr">
        <is>
          <t>Control architecture / exposure</t>
        </is>
      </c>
      <c r="D14" s="671" t="inlineStr">
        <is>
          <t>Safety / protection context</t>
        </is>
      </c>
      <c r="E14" s="671" t="inlineStr">
        <is>
          <t>Key consequence feature</t>
        </is>
      </c>
      <c r="F14" s="671" t="inlineStr">
        <is>
          <t>Pack treatment</t>
        </is>
      </c>
      <c r="G14" s="671" t="inlineStr">
        <is>
          <t>Calibration status</t>
        </is>
      </c>
      <c r="H14" s="672" t="inlineStr">
        <is>
          <t>Evidence / note</t>
        </is>
      </c>
    </row>
    <row r="15">
      <c r="A15" s="680" t="inlineStr">
        <is>
          <t>Upstream Onshore</t>
        </is>
      </c>
      <c r="B15" s="681" t="inlineStr">
        <is>
          <t>Production / gathering</t>
        </is>
      </c>
      <c r="C15" s="681" t="inlineStr">
        <is>
          <t>Distributed field RTUs/PLCs, remote comms, central SCADA/DCS</t>
        </is>
      </c>
      <c r="D15" s="681" t="inlineStr">
        <is>
          <t>ESD/process safety where present</t>
        </is>
      </c>
      <c r="E15" s="681" t="inlineStr">
        <is>
          <t>Remote operations and production loss</t>
        </is>
      </c>
      <c r="F15" s="681" t="inlineStr">
        <is>
          <t>Use common BIA + energy guidance</t>
        </is>
      </c>
      <c r="G15" s="681" t="inlineStr">
        <is>
          <t>Working archetype</t>
        </is>
      </c>
      <c r="H15" s="682" t="inlineStr">
        <is>
          <t>Boundary may include wells, gathering and central facility</t>
        </is>
      </c>
    </row>
    <row r="16">
      <c r="A16" s="691" t="inlineStr">
        <is>
          <t>Upstream Offshore</t>
        </is>
      </c>
      <c r="B16" s="692" t="inlineStr">
        <is>
          <t>Offshore production</t>
        </is>
      </c>
      <c r="C16" s="692" t="inlineStr">
        <is>
          <t>DCS/PLC/SIS, remote support, constrained physical access</t>
        </is>
      </c>
      <c r="D16" s="692" t="inlineStr">
        <is>
          <t>SIS/ESD/fire &amp; gas</t>
        </is>
      </c>
      <c r="E16" s="692" t="inlineStr">
        <is>
          <t>Safety, environment and specialist mobilization drive tail</t>
        </is>
      </c>
      <c r="F16" s="692" t="inlineStr">
        <is>
          <t>Use common BIA + longer-tail guidance</t>
        </is>
      </c>
      <c r="G16" s="692" t="inlineStr">
        <is>
          <t>Working archetype</t>
        </is>
      </c>
      <c r="H16" s="693" t="inlineStr">
        <is>
          <t>Offshore logistics materially affect recovery</t>
        </is>
      </c>
    </row>
    <row r="17">
      <c r="A17" s="680" t="inlineStr">
        <is>
          <t>Pipeline/Storage/Terminal</t>
        </is>
      </c>
      <c r="B17" s="681" t="inlineStr">
        <is>
          <t>Distributed transport/storage</t>
        </is>
      </c>
      <c r="C17" s="681" t="inlineStr">
        <is>
          <t>SCADA, remote stations, compressor/pump controls, telemetry</t>
        </is>
      </c>
      <c r="D17" s="681" t="inlineStr">
        <is>
          <t>ESD / overpressure / fire protection</t>
        </is>
      </c>
      <c r="E17" s="681" t="inlineStr">
        <is>
          <t>Distributed availability and integrity</t>
        </is>
      </c>
      <c r="F17" s="681" t="inlineStr">
        <is>
          <t>API 1164-aligned context</t>
        </is>
      </c>
      <c r="G17" s="681" t="inlineStr">
        <is>
          <t>Working archetype</t>
        </is>
      </c>
      <c r="H17" s="682" t="inlineStr">
        <is>
          <t>Define pipeline segment / terminal boundary explicitly</t>
        </is>
      </c>
    </row>
    <row r="18">
      <c r="A18" s="691" t="inlineStr">
        <is>
          <t>Refinery/Petrochemical</t>
        </is>
      </c>
      <c r="B18" s="692" t="inlineStr">
        <is>
          <t>Continuous process</t>
        </is>
      </c>
      <c r="C18" s="692" t="inlineStr">
        <is>
          <t>DCS/PLC/SIS, APC, historians, engineering workstations</t>
        </is>
      </c>
      <c r="D18" s="692" t="inlineStr">
        <is>
          <t>SIS/ESD/fire &amp; gas</t>
        </is>
      </c>
      <c r="E18" s="692" t="inlineStr">
        <is>
          <t>Process safety and long restart/recommissioning</t>
        </is>
      </c>
      <c r="F18" s="692" t="inlineStr">
        <is>
          <t>Use common BIA + energy severity guidance</t>
        </is>
      </c>
      <c r="G18" s="692" t="inlineStr">
        <is>
          <t>Working archetype</t>
        </is>
      </c>
      <c r="H18" s="693" t="inlineStr">
        <is>
          <t>Major-hazard facility evidence essential</t>
        </is>
      </c>
    </row>
    <row r="19">
      <c r="A19" s="680" t="inlineStr">
        <is>
          <t>LNG</t>
        </is>
      </c>
      <c r="B19" s="681" t="inlineStr">
        <is>
          <t>Liquefaction / storage / regasification</t>
        </is>
      </c>
      <c r="C19" s="681" t="inlineStr">
        <is>
          <t>DCS/SIS, compressors, storage/terminal systems</t>
        </is>
      </c>
      <c r="D19" s="681" t="inlineStr">
        <is>
          <t>SIS/ESD/fire &amp; gas</t>
        </is>
      </c>
      <c r="E19" s="681" t="inlineStr">
        <is>
          <t>Long restart, specialist equipment, safety/environment</t>
        </is>
      </c>
      <c r="F19" s="681" t="inlineStr">
        <is>
          <t>Use common BIA + energy severity guidance</t>
        </is>
      </c>
      <c r="G19" s="681" t="inlineStr">
        <is>
          <t>Working archetype</t>
        </is>
      </c>
      <c r="H19" s="682" t="inlineStr">
        <is>
          <t>Calibrate by liquefaction vs regasification scope</t>
        </is>
      </c>
    </row>
    <row r="20">
      <c r="B20" s="973" t="n"/>
    </row>
    <row r="21" ht="20" customHeight="1" s="508">
      <c r="A21" s="658" t="inlineStr">
        <is>
          <t>THREAT / FREQUENCY OVERLAY</t>
        </is>
      </c>
      <c r="B21" s="1001" t="n"/>
      <c r="C21" s="1001" t="n"/>
      <c r="D21" s="1001" t="n"/>
      <c r="E21" s="1001" t="n"/>
      <c r="F21" s="1001" t="n"/>
      <c r="G21" s="1001" t="n"/>
      <c r="H21" s="1001" t="n"/>
    </row>
    <row r="22" ht="30" customHeight="1" s="508">
      <c r="A22" s="670" t="inlineStr">
        <is>
          <t>Threat actor</t>
        </is>
      </c>
      <c r="B22" s="671" t="inlineStr">
        <is>
          <t>Sector multiplier</t>
        </is>
      </c>
      <c r="C22" s="671" t="inlineStr">
        <is>
          <t>Status</t>
        </is>
      </c>
      <c r="D22" s="671" t="inlineStr">
        <is>
          <t>Evidence signal</t>
        </is>
      </c>
      <c r="E22" s="671" t="inlineStr">
        <is>
          <t>Model interpretation</t>
        </is>
      </c>
      <c r="F22" s="671" t="inlineStr">
        <is>
          <t>Why not direct empirical calibration</t>
        </is>
      </c>
      <c r="G22" s="671" t="inlineStr">
        <is>
          <t>Owner / review</t>
        </is>
      </c>
      <c r="H22" s="672" t="inlineStr">
        <is>
          <t>Source</t>
        </is>
      </c>
    </row>
    <row r="23">
      <c r="A23" s="717" t="inlineStr">
        <is>
          <t>Nation State</t>
        </is>
      </c>
      <c r="B23" s="697" t="n">
        <v>1.15</v>
      </c>
      <c r="C23" s="694" t="inlineStr">
        <is>
          <t>Working structured prior</t>
        </is>
      </c>
      <c r="D23" s="694" t="inlineStr">
        <is>
          <t>Energy infrastructure is a persistent strategic target; current OT threat reporting includes state-linked activity against energy infrastructure.</t>
        </is>
      </c>
      <c r="E23" s="694" t="inlineStr">
        <is>
          <t>15% relative uplift to the common sector intensity; intended as a conservative threat-relevance overlay, not a measured rate.</t>
        </is>
      </c>
      <c r="F23" s="694" t="inlineStr">
        <is>
          <t>Public sources do not provide comparable numbers of facilities exposed or attempted campaigns.</t>
        </is>
      </c>
      <c r="G23" s="694" t="inlineStr">
        <is>
          <t>Cyber / threat intelligence</t>
        </is>
      </c>
      <c r="H23" s="718" t="inlineStr">
        <is>
          <t>https://www.dragos.com/blog/dragos-2026-ot-cybersecurity-year-in-review</t>
        </is>
      </c>
    </row>
    <row r="24">
      <c r="A24" s="717" t="inlineStr">
        <is>
          <t>Cybercriminal</t>
        </is>
      </c>
      <c r="B24" s="697" t="n">
        <v>1</v>
      </c>
      <c r="C24" s="694" t="inlineStr">
        <is>
          <t>Working structured prior</t>
        </is>
      </c>
      <c r="D24" s="694" t="inlineStr">
        <is>
          <t>Industrial ransomware affects oil/gas and energy operations, but public victim counts remain far below manufacturing.</t>
        </is>
      </c>
      <c r="E24" s="694" t="inlineStr">
        <is>
          <t>Retains reference criminal intensity; facility exposure and scenario mix still drive outcomes.</t>
        </is>
      </c>
      <c r="F24" s="694" t="inlineStr">
        <is>
          <t>Victim counts are disclosure-biased and not per-facility attempts.</t>
        </is>
      </c>
      <c r="G24" s="694" t="inlineStr">
        <is>
          <t>Cyber / threat intelligence</t>
        </is>
      </c>
      <c r="H24" s="718" t="inlineStr">
        <is>
          <t>https://www.dragos.com/blog/dragos-industrial-ransomware-analysis-q1-2025</t>
        </is>
      </c>
    </row>
    <row r="25">
      <c r="A25" s="717" t="inlineStr">
        <is>
          <t>Malicious Insider</t>
        </is>
      </c>
      <c r="B25" s="697" t="n">
        <v>1</v>
      </c>
      <c r="C25" s="694" t="inlineStr">
        <is>
          <t>Working structured prior</t>
        </is>
      </c>
      <c r="D25" s="694" t="inlineStr">
        <is>
          <t>Insider access can bypass external barriers in engineering and operations environments.</t>
        </is>
      </c>
      <c r="E25" s="694" t="inlineStr">
        <is>
          <t>Retains common insider intensity.</t>
        </is>
      </c>
      <c r="F25" s="694" t="inlineStr">
        <is>
          <t>No defensible public OT facility-year denominator.</t>
        </is>
      </c>
      <c r="G25" s="694" t="inlineStr">
        <is>
          <t>Cyber / HR / operations</t>
        </is>
      </c>
      <c r="H25" s="718" t="inlineStr">
        <is>
          <t>Governed model prior</t>
        </is>
      </c>
    </row>
    <row r="26">
      <c r="B26" s="973" t="n"/>
    </row>
    <row r="27" ht="20" customHeight="1" s="508">
      <c r="A27" s="658" t="inlineStr">
        <is>
          <t>SCENARIO PROFILE &amp; BIA STARTING POINTS</t>
        </is>
      </c>
      <c r="B27" s="1001" t="n"/>
      <c r="C27" s="1001" t="n"/>
      <c r="D27" s="1001" t="n"/>
      <c r="E27" s="1001" t="n"/>
      <c r="F27" s="1001" t="n"/>
      <c r="G27" s="1001" t="n"/>
      <c r="H27" s="1001" t="n"/>
    </row>
    <row r="28" ht="30" customHeight="1" s="508">
      <c r="A28" s="670" t="inlineStr">
        <is>
          <t>Scenario</t>
        </is>
      </c>
      <c r="B28" s="671" t="inlineStr">
        <is>
          <t>Sector-specific interpretation</t>
        </is>
      </c>
      <c r="C28" s="671" t="inlineStr">
        <is>
          <t>Priority</t>
        </is>
      </c>
      <c r="D28" s="671" t="inlineStr">
        <is>
          <t>P50 downtime days</t>
        </is>
      </c>
      <c r="E28" s="671" t="inlineStr">
        <is>
          <t>P99 downtime days</t>
        </is>
      </c>
      <c r="F28" s="671" t="inlineStr">
        <is>
          <t>P50 capacity</t>
        </is>
      </c>
      <c r="G28" s="671" t="inlineStr">
        <is>
          <t>P99 capacity</t>
        </is>
      </c>
      <c r="H28" s="672" t="inlineStr">
        <is>
          <t>Calibration / rationale</t>
        </is>
      </c>
    </row>
    <row r="29">
      <c r="A29" s="680" t="inlineStr">
        <is>
          <t>Operational Disruption</t>
        </is>
      </c>
      <c r="B29" s="681" t="inlineStr">
        <is>
          <t>Material interruption/degradation of production, transport, storage, refining or LNG operations.</t>
        </is>
      </c>
      <c r="C29" s="681" t="inlineStr">
        <is>
          <t>Primary</t>
        </is>
      </c>
      <c r="D29" s="701" t="n">
        <v>7</v>
      </c>
      <c r="E29" s="702" t="n">
        <v>60</v>
      </c>
      <c r="F29" s="702" t="n">
        <v>0.75</v>
      </c>
      <c r="G29" s="703" t="n">
        <v>1</v>
      </c>
      <c r="H29" s="682" t="inlineStr">
        <is>
          <t>Working pack prior; continuous-process restart and distributed operations may extend outage.</t>
        </is>
      </c>
    </row>
    <row r="30">
      <c r="A30" s="691" t="inlineStr">
        <is>
          <t>Loss of Control or Visibility</t>
        </is>
      </c>
      <c r="B30" s="692" t="inlineStr">
        <is>
          <t>Operators lose trusted telemetry, command or supervisory control, potentially forcing safe shutdown.</t>
        </is>
      </c>
      <c r="C30" s="692" t="inlineStr">
        <is>
          <t>Primary</t>
        </is>
      </c>
      <c r="D30" s="701" t="n">
        <v>4</v>
      </c>
      <c r="E30" s="702" t="n">
        <v>45</v>
      </c>
      <c r="F30" s="702" t="n">
        <v>0.6</v>
      </c>
      <c r="G30" s="703" t="n">
        <v>1</v>
      </c>
      <c r="H30" s="693" t="inlineStr">
        <is>
          <t>Working pack prior; pipeline/remote operations particularly sensitive to trusted visibility.</t>
        </is>
      </c>
    </row>
    <row r="31">
      <c r="A31" s="680" t="inlineStr">
        <is>
          <t>Process Manipulation</t>
        </is>
      </c>
      <c r="B31" s="681" t="inlineStr">
        <is>
          <t>Adversary alters control logic, set-points, sequencing, I/O or commands, changing process state.</t>
        </is>
      </c>
      <c r="C31" s="681" t="inlineStr">
        <is>
          <t>Primary / high consequence</t>
        </is>
      </c>
      <c r="D31" s="701" t="n">
        <v>10</v>
      </c>
      <c r="E31" s="702" t="n">
        <v>90</v>
      </c>
      <c r="F31" s="702" t="n">
        <v>0.8</v>
      </c>
      <c r="G31" s="703" t="n">
        <v>1</v>
      </c>
      <c r="H31" s="682" t="inlineStr">
        <is>
          <t>Working pack prior; inspection, product disposition and process assurance can extend recovery.</t>
        </is>
      </c>
    </row>
    <row r="32">
      <c r="A32" s="691" t="inlineStr">
        <is>
          <t>Safety System Compromise</t>
        </is>
      </c>
      <c r="B32" s="692" t="inlineStr">
        <is>
          <t>SIS/ESD/fire-and-gas/protection functions are degraded, disabled or manipulated.</t>
        </is>
      </c>
      <c r="C32" s="692" t="inlineStr">
        <is>
          <t>Conditional / severe tail</t>
        </is>
      </c>
      <c r="D32" s="701" t="n">
        <v>21</v>
      </c>
      <c r="E32" s="702" t="n">
        <v>180</v>
      </c>
      <c r="F32" s="702" t="n">
        <v>0.85</v>
      </c>
      <c r="G32" s="703" t="n">
        <v>1</v>
      </c>
      <c r="H32" s="693" t="inlineStr">
        <is>
          <t>Working pack prior; only where relevant independent protection exists.</t>
        </is>
      </c>
    </row>
    <row r="33">
      <c r="A33" s="680" t="inlineStr">
        <is>
          <t>Destructive or Integrity Attack</t>
        </is>
      </c>
      <c r="B33" s="681" t="inlineStr">
        <is>
          <t>OT systems, logic, firmware or equipment are destroyed/corrupted, requiring rebuild and integrity assurance.</t>
        </is>
      </c>
      <c r="C33" s="681" t="inlineStr">
        <is>
          <t>Tail</t>
        </is>
      </c>
      <c r="D33" s="701" t="n">
        <v>45</v>
      </c>
      <c r="E33" s="702" t="n">
        <v>270</v>
      </c>
      <c r="F33" s="702" t="n">
        <v>1</v>
      </c>
      <c r="G33" s="703" t="n">
        <v>1</v>
      </c>
      <c r="H33" s="682" t="inlineStr">
        <is>
          <t>Working pack prior; specialist equipment, major-hazard assurance and logistics can create long tails.</t>
        </is>
      </c>
    </row>
    <row r="34">
      <c r="B34" s="973" t="n"/>
    </row>
    <row r="35" ht="20" customHeight="1" s="508">
      <c r="A35" s="658" t="inlineStr">
        <is>
          <t>BIA / LOSS-DRIVER EMPHASIS</t>
        </is>
      </c>
      <c r="B35" s="1001" t="n"/>
      <c r="C35" s="1001" t="n"/>
      <c r="D35" s="1001" t="n"/>
      <c r="E35" s="1001" t="n"/>
      <c r="F35" s="1001" t="n"/>
      <c r="G35" s="1001" t="n"/>
      <c r="H35" s="1001" t="n"/>
    </row>
    <row r="36" ht="30" customHeight="1" s="508">
      <c r="A36" s="670" t="inlineStr">
        <is>
          <t>Driver / cost area</t>
        </is>
      </c>
      <c r="B36" s="671" t="inlineStr">
        <is>
          <t>Applicability</t>
        </is>
      </c>
      <c r="C36" s="671" t="inlineStr">
        <is>
          <t>Sector emphasis</t>
        </is>
      </c>
      <c r="D36" s="671" t="inlineStr">
        <is>
          <t>Common model driver</t>
        </is>
      </c>
      <c r="E36" s="671" t="inlineStr">
        <is>
          <t>Calibration evidence requested</t>
        </is>
      </c>
      <c r="F36" s="671" t="inlineStr">
        <is>
          <t>Notes</t>
        </is>
      </c>
      <c r="G36" s="671" t="str"/>
      <c r="H36" s="672" t="str"/>
    </row>
    <row r="37">
      <c r="A37" s="680" t="inlineStr">
        <is>
          <t>Business interruption / throughput</t>
        </is>
      </c>
      <c r="B37" s="681" t="inlineStr">
        <is>
          <t>High</t>
        </is>
      </c>
      <c r="C37" s="681" t="inlineStr">
        <is>
          <t>Lost production/throughput is usually central</t>
        </is>
      </c>
      <c r="D37" s="681" t="inlineStr">
        <is>
          <t>BI-01</t>
        </is>
      </c>
      <c r="E37" s="681" t="inlineStr">
        <is>
          <t>Revenue/throughput at risk, margin convention, production profile</t>
        </is>
      </c>
      <c r="F37" s="681" t="inlineStr">
        <is>
          <t>Define assessment boundary carefully</t>
        </is>
      </c>
      <c r="G37" s="681" t="str"/>
      <c r="H37" s="682" t="str"/>
    </row>
    <row r="38">
      <c r="A38" s="691" t="inlineStr">
        <is>
          <t>Alternative supply / contract penalties</t>
        </is>
      </c>
      <c r="B38" s="692" t="inlineStr">
        <is>
          <t>High</t>
        </is>
      </c>
      <c r="C38" s="692" t="inlineStr">
        <is>
          <t>Pipeline nominations, terminal commitments, feedstock/product substitution</t>
        </is>
      </c>
      <c r="D38" s="692" t="inlineStr">
        <is>
          <t>OP-02</t>
        </is>
      </c>
      <c r="E38" s="692" t="inlineStr">
        <is>
          <t>Commercial contracts and continuity arrangements</t>
        </is>
      </c>
      <c r="F38" s="692" t="inlineStr">
        <is>
          <t>Existing driver can be calibrated</t>
        </is>
      </c>
      <c r="G38" s="692" t="str"/>
      <c r="H38" s="693" t="str"/>
    </row>
    <row r="39">
      <c r="A39" s="680" t="inlineStr">
        <is>
          <t>OEM / specialist engineering</t>
        </is>
      </c>
      <c r="B39" s="681" t="inlineStr">
        <is>
          <t>High</t>
        </is>
      </c>
      <c r="C39" s="681" t="inlineStr">
        <is>
          <t>DCS/SIS/compressor/turbomachinery support</t>
        </is>
      </c>
      <c r="D39" s="681" t="inlineStr">
        <is>
          <t>RC-02</t>
        </is>
      </c>
      <c r="E39" s="681" t="inlineStr">
        <is>
          <t>OEM rates, mobilization, lead times</t>
        </is>
      </c>
      <c r="F39" s="681" t="inlineStr">
        <is>
          <t>Offshore/LNG may be tail-heavy</t>
        </is>
      </c>
      <c r="G39" s="681" t="str"/>
      <c r="H39" s="682" t="str"/>
    </row>
    <row r="40">
      <c r="A40" s="691" t="inlineStr">
        <is>
          <t>Safety / emergency response</t>
        </is>
      </c>
      <c r="B40" s="692" t="inlineStr">
        <is>
          <t>High for major-hazard assets</t>
        </is>
      </c>
      <c r="C40" s="692" t="inlineStr">
        <is>
          <t>Process safety consequences can dominate tail</t>
        </is>
      </c>
      <c r="D40" s="692" t="inlineStr">
        <is>
          <t>SF-01</t>
        </is>
      </c>
      <c r="E40" s="692" t="inlineStr">
        <is>
          <t>HSE consequence scenarios</t>
        </is>
      </c>
      <c r="F40" s="692" t="inlineStr">
        <is>
          <t>Scenario-gated</t>
        </is>
      </c>
      <c r="G40" s="692" t="str"/>
      <c r="H40" s="693" t="str"/>
    </row>
    <row r="41">
      <c r="A41" s="680" t="inlineStr">
        <is>
          <t>Environmental remediation</t>
        </is>
      </c>
      <c r="B41" s="681" t="inlineStr">
        <is>
          <t>High for hydrocarbon assets</t>
        </is>
      </c>
      <c r="C41" s="681" t="inlineStr">
        <is>
          <t>Spill, release, flaring/venting and clean-up can be material</t>
        </is>
      </c>
      <c r="D41" s="681" t="inlineStr">
        <is>
          <t>EN-01</t>
        </is>
      </c>
      <c r="E41" s="681" t="inlineStr">
        <is>
          <t>Environmental scenarios and response plans</t>
        </is>
      </c>
      <c r="F41" s="681" t="inlineStr">
        <is>
          <t>May need location-specific legal calibration</t>
        </is>
      </c>
      <c r="G41" s="681" t="str"/>
      <c r="H41" s="682" t="str"/>
    </row>
    <row r="42">
      <c r="A42" s="691" t="inlineStr">
        <is>
          <t>Physical damage</t>
        </is>
      </c>
      <c r="B42" s="692" t="inlineStr">
        <is>
          <t>Conditional / high tail</t>
        </is>
      </c>
      <c r="C42" s="692" t="inlineStr">
        <is>
          <t>Equipment/process damage possible after manipulation</t>
        </is>
      </c>
      <c r="D42" s="692" t="inlineStr">
        <is>
          <t>PD-03</t>
        </is>
      </c>
      <c r="E42" s="692" t="inlineStr">
        <is>
          <t>Engineering/property loss scenarios</t>
        </is>
      </c>
      <c r="F42" s="692" t="inlineStr">
        <is>
          <t>Do not assume absent credible mechanism</t>
        </is>
      </c>
      <c r="G42" s="692" t="str"/>
      <c r="H42" s="693" t="str"/>
    </row>
    <row r="43">
      <c r="B43" s="973" t="n"/>
    </row>
    <row r="44">
      <c r="A44" s="706" t="inlineStr">
        <is>
          <t>PACK EXTENSION: The current 18-driver BIA can be retained initially. Where material, explicitly test whether EN-01 and BI-01 adequately capture hydrocarbon inventory loss, flaring/venting, spill response and product disposition before adding a new driver.</t>
        </is>
      </c>
    </row>
    <row r="45">
      <c r="B45" s="973" t="n"/>
    </row>
    <row r="46" ht="20" customHeight="1" s="508">
      <c r="A46" s="658" t="inlineStr">
        <is>
          <t>SECTOR TTP EMPHASIS — COMMON ATT&amp;CK FOR ICS SET RETAINED</t>
        </is>
      </c>
      <c r="B46" s="1001" t="n"/>
      <c r="C46" s="1001" t="n"/>
      <c r="D46" s="1001" t="n"/>
      <c r="E46" s="1001" t="n"/>
      <c r="F46" s="1001" t="n"/>
      <c r="G46" s="1001" t="n"/>
      <c r="H46" s="1001" t="n"/>
    </row>
    <row r="47" ht="30" customHeight="1" s="508">
      <c r="A47" s="670" t="inlineStr">
        <is>
          <t>TTP ID</t>
        </is>
      </c>
      <c r="B47" s="671" t="inlineStr">
        <is>
          <t>Technique</t>
        </is>
      </c>
      <c r="C47" s="671" t="inlineStr">
        <is>
          <t>Stage / route</t>
        </is>
      </c>
      <c r="D47" s="671" t="inlineStr">
        <is>
          <t>Priority</t>
        </is>
      </c>
      <c r="E47" s="671" t="inlineStr">
        <is>
          <t>Why material in this sector</t>
        </is>
      </c>
      <c r="F47" s="671" t="inlineStr">
        <is>
          <t>Facility gate</t>
        </is>
      </c>
      <c r="G47" s="671" t="inlineStr">
        <is>
          <t>Model treatment</t>
        </is>
      </c>
      <c r="H47" s="672" t="inlineStr">
        <is>
          <t>Technique URL</t>
        </is>
      </c>
    </row>
    <row r="48">
      <c r="A48" s="691" t="inlineStr">
        <is>
          <t>T0822</t>
        </is>
      </c>
      <c r="B48" s="692" t="inlineStr">
        <is>
          <t>External Remote Services</t>
        </is>
      </c>
      <c r="C48" s="692" t="inlineStr">
        <is>
          <t>S1 / Initial access</t>
        </is>
      </c>
      <c r="D48" s="692" t="inlineStr">
        <is>
          <t>High</t>
        </is>
      </c>
      <c r="E48" s="692" t="inlineStr">
        <is>
          <t>Remote vendor/operator access is common across distributed and specialist energy environments.</t>
        </is>
      </c>
      <c r="F48" s="692" t="inlineStr">
        <is>
          <t>REMOTE_REQUIRED</t>
        </is>
      </c>
      <c r="G48" s="692" t="inlineStr">
        <is>
          <t>Retain; facility gate can remove</t>
        </is>
      </c>
      <c r="H48" s="693" t="inlineStr">
        <is>
          <t>https://attack.mitre.org/techniques/T0822</t>
        </is>
      </c>
    </row>
    <row r="49">
      <c r="A49" s="680" t="inlineStr">
        <is>
          <t>T0859</t>
        </is>
      </c>
      <c r="B49" s="681" t="inlineStr">
        <is>
          <t>Valid Accounts</t>
        </is>
      </c>
      <c r="C49" s="681" t="inlineStr">
        <is>
          <t>S3 / Lateral movement / persistence</t>
        </is>
      </c>
      <c r="D49" s="681" t="inlineStr">
        <is>
          <t>High</t>
        </is>
      </c>
      <c r="E49" s="681" t="inlineStr">
        <is>
          <t>Privileged engineering and service accounts can bridge trusted workflows.</t>
        </is>
      </c>
      <c r="F49" s="681" t="inlineStr">
        <is>
          <t>None</t>
        </is>
      </c>
      <c r="G49" s="681" t="inlineStr">
        <is>
          <t>Retain</t>
        </is>
      </c>
      <c r="H49" s="682" t="inlineStr">
        <is>
          <t>https://attack.mitre.org/techniques/T0859</t>
        </is>
      </c>
    </row>
    <row r="50">
      <c r="A50" s="691" t="inlineStr">
        <is>
          <t>T0862</t>
        </is>
      </c>
      <c r="B50" s="692" t="inlineStr">
        <is>
          <t>Supply Chain Compromise</t>
        </is>
      </c>
      <c r="C50" s="692" t="inlineStr">
        <is>
          <t>S1 / Initial access</t>
        </is>
      </c>
      <c r="D50" s="692" t="inlineStr">
        <is>
          <t>High</t>
        </is>
      </c>
      <c r="E50" s="692" t="inlineStr">
        <is>
          <t>OEM, firmware, maintenance and integrator dependencies are material across energy assets.</t>
        </is>
      </c>
      <c r="F50" s="692" t="inlineStr">
        <is>
          <t>SUPPLY_CHAIN</t>
        </is>
      </c>
      <c r="G50" s="692" t="inlineStr">
        <is>
          <t>Retain when trusted route exists</t>
        </is>
      </c>
      <c r="H50" s="693" t="inlineStr">
        <is>
          <t>https://attack.mitre.org/techniques/T0862</t>
        </is>
      </c>
    </row>
    <row r="51">
      <c r="A51" s="680" t="inlineStr">
        <is>
          <t>T0883</t>
        </is>
      </c>
      <c r="B51" s="681" t="inlineStr">
        <is>
          <t>Internet Accessible Device</t>
        </is>
      </c>
      <c r="C51" s="681" t="inlineStr">
        <is>
          <t>S1 / Initial access</t>
        </is>
      </c>
      <c r="D51" s="681" t="inlineStr">
        <is>
          <t>Conditional-High</t>
        </is>
      </c>
      <c r="E51" s="681" t="inlineStr">
        <is>
          <t>Remote stations/gateways and exposed HMIs increase risk where present.</t>
        </is>
      </c>
      <c r="F51" s="681" t="inlineStr">
        <is>
          <t>INTERNET_OT</t>
        </is>
      </c>
      <c r="G51" s="681" t="inlineStr">
        <is>
          <t>Retain only when facility evidence supports</t>
        </is>
      </c>
      <c r="H51" s="682" t="inlineStr">
        <is>
          <t>https://attack.mitre.org/techniques/T0883</t>
        </is>
      </c>
    </row>
    <row r="52">
      <c r="A52" s="691" t="inlineStr">
        <is>
          <t>T0858</t>
        </is>
      </c>
      <c r="B52" s="692" t="inlineStr">
        <is>
          <t>Change Operating Mode</t>
        </is>
      </c>
      <c r="C52" s="692" t="inlineStr">
        <is>
          <t>S2 / Execution</t>
        </is>
      </c>
      <c r="D52" s="692" t="inlineStr">
        <is>
          <t>High</t>
        </is>
      </c>
      <c r="E52" s="692" t="inlineStr">
        <is>
          <t>Changing controller/device operating modes can inhibit safe operation or enable manipulation.</t>
        </is>
      </c>
      <c r="F52" s="692" t="inlineStr">
        <is>
          <t>None</t>
        </is>
      </c>
      <c r="G52" s="692" t="inlineStr">
        <is>
          <t>Retain</t>
        </is>
      </c>
      <c r="H52" s="693" t="inlineStr">
        <is>
          <t>https://attack.mitre.org/techniques/T0858</t>
        </is>
      </c>
    </row>
    <row r="53">
      <c r="A53" s="680" t="inlineStr">
        <is>
          <t>T0821</t>
        </is>
      </c>
      <c r="B53" s="681" t="inlineStr">
        <is>
          <t>Modify Controller Tasking</t>
        </is>
      </c>
      <c r="C53" s="681" t="inlineStr">
        <is>
          <t>S2 / Execution</t>
        </is>
      </c>
      <c r="D53" s="681" t="inlineStr">
        <is>
          <t>High</t>
        </is>
      </c>
      <c r="E53" s="681" t="inlineStr">
        <is>
          <t>Directly relevant to PLC/DCS/SIS control logic and sequencing.</t>
        </is>
      </c>
      <c r="F53" s="681" t="inlineStr">
        <is>
          <t>None</t>
        </is>
      </c>
      <c r="G53" s="681" t="inlineStr">
        <is>
          <t>Retain</t>
        </is>
      </c>
      <c r="H53" s="682" t="inlineStr">
        <is>
          <t>https://attack.mitre.org/techniques/T0821</t>
        </is>
      </c>
    </row>
    <row r="54">
      <c r="A54" s="691" t="inlineStr">
        <is>
          <t>T0843</t>
        </is>
      </c>
      <c r="B54" s="692" t="inlineStr">
        <is>
          <t>Program Download</t>
        </is>
      </c>
      <c r="C54" s="692" t="inlineStr">
        <is>
          <t>S3 / Lateral movement</t>
        </is>
      </c>
      <c r="D54" s="692" t="inlineStr">
        <is>
          <t>High</t>
        </is>
      </c>
      <c r="E54" s="692" t="inlineStr">
        <is>
          <t>Engineering workflows routinely support controller program transfer.</t>
        </is>
      </c>
      <c r="F54" s="692" t="inlineStr">
        <is>
          <t>None</t>
        </is>
      </c>
      <c r="G54" s="692" t="inlineStr">
        <is>
          <t>Retain</t>
        </is>
      </c>
      <c r="H54" s="693" t="inlineStr">
        <is>
          <t>https://attack.mitre.org/techniques/T0843</t>
        </is>
      </c>
    </row>
    <row r="55">
      <c r="A55" s="680" t="inlineStr">
        <is>
          <t>T0831</t>
        </is>
      </c>
      <c r="B55" s="681" t="inlineStr">
        <is>
          <t>Manipulation of Control</t>
        </is>
      </c>
      <c r="C55" s="681" t="inlineStr">
        <is>
          <t>S5 / Impact</t>
        </is>
      </c>
      <c r="D55" s="681" t="inlineStr">
        <is>
          <t>High</t>
        </is>
      </c>
      <c r="E55" s="681" t="inlineStr">
        <is>
          <t>Core pathway to process manipulation and unsafe state.</t>
        </is>
      </c>
      <c r="F55" s="681" t="inlineStr">
        <is>
          <t>None</t>
        </is>
      </c>
      <c r="G55" s="681" t="inlineStr">
        <is>
          <t>Retain</t>
        </is>
      </c>
      <c r="H55" s="682" t="inlineStr">
        <is>
          <t>https://attack.mitre.org/techniques/T0831</t>
        </is>
      </c>
    </row>
    <row r="56">
      <c r="A56" s="691" t="inlineStr">
        <is>
          <t>T0813</t>
        </is>
      </c>
      <c r="B56" s="692" t="inlineStr">
        <is>
          <t>Denial of Control</t>
        </is>
      </c>
      <c r="C56" s="692" t="inlineStr">
        <is>
          <t>S5 / Impact</t>
        </is>
      </c>
      <c r="D56" s="692" t="inlineStr">
        <is>
          <t>High</t>
        </is>
      </c>
      <c r="E56" s="692" t="inlineStr">
        <is>
          <t>Can force safe shutdown or prevent remote operation.</t>
        </is>
      </c>
      <c r="F56" s="692" t="inlineStr">
        <is>
          <t>None</t>
        </is>
      </c>
      <c r="G56" s="692" t="inlineStr">
        <is>
          <t>Retain</t>
        </is>
      </c>
      <c r="H56" s="693" t="inlineStr">
        <is>
          <t>https://attack.mitre.org/techniques/T0813</t>
        </is>
      </c>
    </row>
    <row r="57">
      <c r="A57" s="680" t="inlineStr">
        <is>
          <t>T0829</t>
        </is>
      </c>
      <c r="B57" s="681" t="inlineStr">
        <is>
          <t>Loss of View</t>
        </is>
      </c>
      <c r="C57" s="681" t="inlineStr">
        <is>
          <t>S5 / Impact</t>
        </is>
      </c>
      <c r="D57" s="681" t="inlineStr">
        <is>
          <t>High</t>
        </is>
      </c>
      <c r="E57" s="681" t="inlineStr">
        <is>
          <t>Distributed SCADA and process operations depend on trusted telemetry.</t>
        </is>
      </c>
      <c r="F57" s="681" t="inlineStr">
        <is>
          <t>None</t>
        </is>
      </c>
      <c r="G57" s="681" t="inlineStr">
        <is>
          <t>Retain</t>
        </is>
      </c>
      <c r="H57" s="682" t="inlineStr">
        <is>
          <t>https://attack.mitre.org/techniques/T0829</t>
        </is>
      </c>
    </row>
    <row r="58">
      <c r="A58" s="691" t="inlineStr">
        <is>
          <t>T0809</t>
        </is>
      </c>
      <c r="B58" s="692" t="inlineStr">
        <is>
          <t>Data Destruction</t>
        </is>
      </c>
      <c r="C58" s="692" t="inlineStr">
        <is>
          <t>S5 / Inhibit response</t>
        </is>
      </c>
      <c r="D58" s="692" t="inlineStr">
        <is>
          <t>High</t>
        </is>
      </c>
      <c r="E58" s="692" t="inlineStr">
        <is>
          <t>Destruction of configs/engineering data can materially extend recovery.</t>
        </is>
      </c>
      <c r="F58" s="692" t="inlineStr">
        <is>
          <t>None</t>
        </is>
      </c>
      <c r="G58" s="692" t="inlineStr">
        <is>
          <t>Retain</t>
        </is>
      </c>
      <c r="H58" s="693" t="inlineStr">
        <is>
          <t>https://attack.mitre.org/techniques/T0809</t>
        </is>
      </c>
    </row>
    <row r="59">
      <c r="B59" s="973" t="n"/>
    </row>
    <row r="60" ht="20" customHeight="1" s="508">
      <c r="A60" s="658" t="inlineStr">
        <is>
          <t>FACILITY EVIDENCE TO REQUEST DURING ASSESSMENT</t>
        </is>
      </c>
      <c r="B60" s="1001" t="n"/>
      <c r="C60" s="1001" t="n"/>
      <c r="D60" s="1001" t="n"/>
      <c r="E60" s="1001" t="n"/>
      <c r="F60" s="1001" t="n"/>
      <c r="G60" s="1001" t="n"/>
      <c r="H60" s="1001" t="n"/>
    </row>
    <row r="61" ht="30" customHeight="1" s="508">
      <c r="A61" s="670" t="inlineStr">
        <is>
          <t>Evidence / question</t>
        </is>
      </c>
      <c r="B61" s="671" t="inlineStr">
        <is>
          <t>Why it matters</t>
        </is>
      </c>
      <c r="C61" s="671" t="inlineStr">
        <is>
          <t>Maps to</t>
        </is>
      </c>
      <c r="D61" s="671" t="inlineStr">
        <is>
          <t>Required?</t>
        </is>
      </c>
      <c r="E61" s="671" t="inlineStr">
        <is>
          <t>Typical owner</t>
        </is>
      </c>
      <c r="F61" s="671" t="inlineStr">
        <is>
          <t>Model use</t>
        </is>
      </c>
      <c r="G61" s="671" t="inlineStr">
        <is>
          <t>Pack note</t>
        </is>
      </c>
      <c r="H61" s="672" t="str"/>
    </row>
    <row r="62">
      <c r="A62" s="691" t="inlineStr">
        <is>
          <t>Assessment boundary: facility, terminal, pipeline segment or integrated operating unit</t>
        </is>
      </c>
      <c r="B62" s="692" t="inlineStr">
        <is>
          <t>Avoids mixing multiple loss units</t>
        </is>
      </c>
      <c r="C62" s="692" t="inlineStr">
        <is>
          <t>03 / governance</t>
        </is>
      </c>
      <c r="D62" s="692" t="inlineStr">
        <is>
          <t>Yes</t>
        </is>
      </c>
      <c r="E62" s="692" t="inlineStr">
        <is>
          <t>Operations / Risk</t>
        </is>
      </c>
      <c r="F62" s="692" t="inlineStr">
        <is>
          <t>Defines facility-year exposure and BIA</t>
        </is>
      </c>
      <c r="G62" s="692" t="inlineStr">
        <is>
          <t>Especially important for distributed pipeline assets</t>
        </is>
      </c>
      <c r="H62" s="693" t="str"/>
    </row>
    <row r="63">
      <c r="A63" s="680" t="inlineStr">
        <is>
          <t>Throughput, production value and contractual commitments</t>
        </is>
      </c>
      <c r="B63" s="681" t="inlineStr">
        <is>
          <t>Core BI/OP-02 calibration</t>
        </is>
      </c>
      <c r="C63" s="681" t="inlineStr">
        <is>
          <t>05 BIA</t>
        </is>
      </c>
      <c r="D63" s="681" t="inlineStr">
        <is>
          <t>Yes</t>
        </is>
      </c>
      <c r="E63" s="681" t="inlineStr">
        <is>
          <t>Finance / Commercial</t>
        </is>
      </c>
      <c r="F63" s="681" t="inlineStr">
        <is>
          <t>Revenue and continuity severity</t>
        </is>
      </c>
      <c r="G63" s="681" t="inlineStr">
        <is>
          <t>Use actual product/throughput economics</t>
        </is>
      </c>
      <c r="H63" s="682" t="str"/>
    </row>
    <row r="64">
      <c r="A64" s="691" t="inlineStr">
        <is>
          <t>SIS/ESD/fire-and-gas independence and common dependencies</t>
        </is>
      </c>
      <c r="B64" s="692" t="inlineStr">
        <is>
          <t>Safety scenario feasibility and barrier strength</t>
        </is>
      </c>
      <c r="C64" s="692" t="inlineStr">
        <is>
          <t>03/04/12</t>
        </is>
      </c>
      <c r="D64" s="692" t="inlineStr">
        <is>
          <t>Yes</t>
        </is>
      </c>
      <c r="E64" s="692" t="inlineStr">
        <is>
          <t>Process Safety / OT</t>
        </is>
      </c>
      <c r="F64" s="692" t="inlineStr">
        <is>
          <t>SAFETY_SYSTEM and control assessment</t>
        </is>
      </c>
      <c r="G64" s="692" t="inlineStr">
        <is>
          <t>Document bypass/maintenance states</t>
        </is>
      </c>
      <c r="H64" s="693" t="str"/>
    </row>
    <row r="65">
      <c r="A65" s="680" t="inlineStr">
        <is>
          <t>Remote field sites, telecoms and vendor access</t>
        </is>
      </c>
      <c r="B65" s="681" t="inlineStr">
        <is>
          <t>Exposure and route feasibility</t>
        </is>
      </c>
      <c r="C65" s="681" t="inlineStr">
        <is>
          <t>03/12</t>
        </is>
      </c>
      <c r="D65" s="681" t="inlineStr">
        <is>
          <t>Yes</t>
        </is>
      </c>
      <c r="E65" s="681" t="inlineStr">
        <is>
          <t>OT / Operations</t>
        </is>
      </c>
      <c r="F65" s="681" t="inlineStr">
        <is>
          <t>REMOTE_ACCESS / INTERNET_OT</t>
        </is>
      </c>
      <c r="G65" s="681" t="inlineStr">
        <is>
          <t>Include cellular/satellite/third-party networks</t>
        </is>
      </c>
      <c r="H65" s="682" t="str"/>
    </row>
    <row r="66">
      <c r="A66" s="691" t="inlineStr">
        <is>
          <t>DCS/PLC/SIS engineering and program-change process</t>
        </is>
      </c>
      <c r="B66" s="692" t="inlineStr">
        <is>
          <t>Execution barriers</t>
        </is>
      </c>
      <c r="C66" s="692" t="inlineStr">
        <is>
          <t>04/13</t>
        </is>
      </c>
      <c r="D66" s="692" t="inlineStr">
        <is>
          <t>Yes</t>
        </is>
      </c>
      <c r="E66" s="692" t="inlineStr">
        <is>
          <t>Control Engineering</t>
        </is>
      </c>
      <c r="F66" s="692" t="inlineStr">
        <is>
          <t>Modify/program-download control efficacy</t>
        </is>
      </c>
      <c r="G66" s="692" t="inlineStr">
        <is>
          <t>Review change authorization and backups</t>
        </is>
      </c>
      <c r="H66" s="693" t="str"/>
    </row>
    <row r="67">
      <c r="A67" s="680" t="inlineStr">
        <is>
          <t>Restart, inspection, purge, product disposition and recommissioning times</t>
        </is>
      </c>
      <c r="B67" s="681" t="inlineStr">
        <is>
          <t>Dominant tail severity</t>
        </is>
      </c>
      <c r="C67" s="681" t="inlineStr">
        <is>
          <t>05 BIA</t>
        </is>
      </c>
      <c r="D67" s="681" t="inlineStr">
        <is>
          <t>Yes</t>
        </is>
      </c>
      <c r="E67" s="681" t="inlineStr">
        <is>
          <t>Operations / Process Engineering</t>
        </is>
      </c>
      <c r="F67" s="681" t="inlineStr">
        <is>
          <t>Scenario downtime</t>
        </is>
      </c>
      <c r="G67" s="681" t="inlineStr">
        <is>
          <t>Use actual turnaround / restart procedures where available</t>
        </is>
      </c>
      <c r="H67" s="682" t="str"/>
    </row>
    <row r="68">
      <c r="B68" s="973" t="n"/>
    </row>
    <row r="69" ht="20" customHeight="1" s="508">
      <c r="A69" s="658" t="inlineStr">
        <is>
          <t>PRIMARY SOURCES</t>
        </is>
      </c>
      <c r="B69" s="1001" t="n"/>
      <c r="C69" s="1001" t="n"/>
      <c r="D69" s="1001" t="n"/>
      <c r="E69" s="1001" t="n"/>
      <c r="F69" s="1001" t="n"/>
      <c r="G69" s="1001" t="n"/>
      <c r="H69" s="1001" t="n"/>
    </row>
    <row r="70" ht="30" customHeight="1" s="508">
      <c r="A70" s="670" t="inlineStr">
        <is>
          <t>Source</t>
        </is>
      </c>
      <c r="B70" s="671" t="inlineStr">
        <is>
          <t>Type</t>
        </is>
      </c>
      <c r="C70" s="671" t="inlineStr">
        <is>
          <t>Version / date</t>
        </is>
      </c>
      <c r="D70" s="671" t="inlineStr">
        <is>
          <t>URL</t>
        </is>
      </c>
      <c r="E70" s="671" t="inlineStr">
        <is>
          <t>What it supports</t>
        </is>
      </c>
      <c r="F70" s="671" t="inlineStr">
        <is>
          <t>Limitation</t>
        </is>
      </c>
      <c r="G70" s="671" t="inlineStr">
        <is>
          <t>Status</t>
        </is>
      </c>
      <c r="H70" s="672" t="str"/>
    </row>
    <row r="71">
      <c r="A71" s="680" t="inlineStr">
        <is>
          <t>DOE C2M2 v2.1</t>
        </is>
      </c>
      <c r="B71" s="681" t="inlineStr">
        <is>
          <t>Energy-sector capability model</t>
        </is>
      </c>
      <c r="C71" s="681" t="inlineStr">
        <is>
          <t>Jun 2022</t>
        </is>
      </c>
      <c r="D71" s="681" t="inlineStr">
        <is>
          <t>https://www.energy.gov/ceser/cybersecurity-capability-maturity-model-c2m2</t>
        </is>
      </c>
      <c r="E71" s="681" t="inlineStr">
        <is>
          <t>Energy-sector IT/OT risk and capability context</t>
        </is>
      </c>
      <c r="F71" s="681" t="inlineStr">
        <is>
          <t>No probability calibration</t>
        </is>
      </c>
      <c r="G71" s="681" t="inlineStr">
        <is>
          <t>External</t>
        </is>
      </c>
      <c r="H71" s="682" t="str"/>
    </row>
    <row r="72">
      <c r="A72" s="691" t="inlineStr">
        <is>
          <t>API Standard 1164 3rd ed.</t>
        </is>
      </c>
      <c r="B72" s="692" t="inlineStr">
        <is>
          <t>Pipeline control-system cybersecurity</t>
        </is>
      </c>
      <c r="C72" s="692" t="inlineStr">
        <is>
          <t>2021</t>
        </is>
      </c>
      <c r="D72" s="692" t="inlineStr">
        <is>
          <t>https://www.api.org/products-and-services/standards/important-standards-announcements/1164</t>
        </is>
      </c>
      <c r="E72" s="692" t="inlineStr">
        <is>
          <t>Pipeline IAC cyber risk, integrity and resilience</t>
        </is>
      </c>
      <c r="F72" s="692" t="inlineStr">
        <is>
          <t>Not a numeric frequency source</t>
        </is>
      </c>
      <c r="G72" s="692" t="inlineStr">
        <is>
          <t>External</t>
        </is>
      </c>
      <c r="H72" s="693" t="str"/>
    </row>
    <row r="73">
      <c r="A73" s="680" t="inlineStr">
        <is>
          <t>NIST SP 800-82 Rev.3</t>
        </is>
      </c>
      <c r="B73" s="681" t="inlineStr">
        <is>
          <t>OT security guidance</t>
        </is>
      </c>
      <c r="C73" s="681" t="inlineStr">
        <is>
          <t>Sep 2023</t>
        </is>
      </c>
      <c r="D73" s="681" t="inlineStr">
        <is>
          <t>https://csrc.nist.gov/pubs/sp/800/82/r3/final</t>
        </is>
      </c>
      <c r="E73" s="681" t="inlineStr">
        <is>
          <t>Common OT architectures, threats and safeguards</t>
        </is>
      </c>
      <c r="F73" s="681" t="inlineStr">
        <is>
          <t>No quantitative frequency</t>
        </is>
      </c>
      <c r="G73" s="681" t="inlineStr">
        <is>
          <t>External</t>
        </is>
      </c>
      <c r="H73" s="682" t="str"/>
    </row>
    <row r="74">
      <c r="A74" s="691" t="inlineStr">
        <is>
          <t>MITRE ATT&amp;CK for ICS</t>
        </is>
      </c>
      <c r="B74" s="692" t="inlineStr">
        <is>
          <t>Threat-behaviour taxonomy</t>
        </is>
      </c>
      <c r="C74" s="692" t="inlineStr">
        <is>
          <t>v19.2 / Apr 2026</t>
        </is>
      </c>
      <c r="D74" s="692" t="inlineStr">
        <is>
          <t>https://attack.mitre.org/matrices/ics/</t>
        </is>
      </c>
      <c r="E74" s="692" t="inlineStr">
        <is>
          <t>Technique taxonomy and impact semantics</t>
        </is>
      </c>
      <c r="F74" s="692" t="inlineStr">
        <is>
          <t>Presence ≠ feasibility</t>
        </is>
      </c>
      <c r="G74" s="692" t="inlineStr">
        <is>
          <t>External</t>
        </is>
      </c>
      <c r="H74" s="693" t="str"/>
    </row>
    <row r="75">
      <c r="A75" s="680" t="inlineStr">
        <is>
          <t>Dragos 2026 OT Year in Review</t>
        </is>
      </c>
      <c r="B75" s="681" t="inlineStr">
        <is>
          <t>Threat-intelligence benchmark</t>
        </is>
      </c>
      <c r="C75" s="681" t="inlineStr">
        <is>
          <t>Feb 2026</t>
        </is>
      </c>
      <c r="D75" s="681" t="inlineStr">
        <is>
          <t>https://www.dragos.com/blog/dragos-2026-ot-cybersecurity-year-in-review</t>
        </is>
      </c>
      <c r="E75" s="681" t="inlineStr">
        <is>
          <t>Current energy-sector OT threat activity</t>
        </is>
      </c>
      <c r="F75" s="681" t="inlineStr">
        <is>
          <t>No compatible facility-year denominator</t>
        </is>
      </c>
      <c r="G75" s="681" t="inlineStr">
        <is>
          <t>Benchmark</t>
        </is>
      </c>
      <c r="H75" s="682" t="str"/>
    </row>
    <row r="76">
      <c r="B76" s="973" t="n"/>
    </row>
    <row r="77">
      <c r="B77" s="973" t="n"/>
    </row>
    <row r="78">
      <c r="B78" s="973" t="n"/>
    </row>
    <row r="79">
      <c r="B79" s="973" t="n"/>
    </row>
    <row r="80">
      <c r="B80" s="973" t="n"/>
    </row>
    <row r="81">
      <c r="B81" s="973" t="n"/>
    </row>
    <row r="82">
      <c r="B82" s="973" t="n"/>
    </row>
    <row r="83">
      <c r="B83" s="973" t="n"/>
    </row>
    <row r="84">
      <c r="B84" s="973" t="n"/>
    </row>
    <row r="85">
      <c r="B85" s="973" t="n"/>
    </row>
    <row r="86">
      <c r="B86" s="973" t="n"/>
    </row>
    <row r="87">
      <c r="B87" s="973" t="n"/>
    </row>
    <row r="88">
      <c r="B88" s="973" t="n"/>
    </row>
    <row r="89">
      <c r="B89" s="973" t="n"/>
    </row>
    <row r="90">
      <c r="B90" s="973" t="n"/>
    </row>
    <row r="91">
      <c r="B91" s="973" t="n"/>
    </row>
    <row r="92">
      <c r="B92" s="973" t="n"/>
    </row>
    <row r="93">
      <c r="B93" s="973" t="n"/>
    </row>
    <row r="94">
      <c r="B94" s="973" t="n"/>
    </row>
    <row r="95">
      <c r="B95" s="973" t="n"/>
    </row>
    <row r="96">
      <c r="B96" s="973" t="n"/>
    </row>
    <row r="97">
      <c r="B97" s="973" t="n"/>
    </row>
    <row r="98">
      <c r="B98" s="973" t="n"/>
    </row>
    <row r="99">
      <c r="B99" s="973" t="n"/>
    </row>
    <row r="100">
      <c r="B100" s="973" t="n"/>
    </row>
    <row r="101">
      <c r="B101" s="973" t="n"/>
    </row>
    <row r="102">
      <c r="B102" s="973" t="n"/>
    </row>
    <row r="103">
      <c r="B103" s="973" t="n"/>
    </row>
    <row r="104">
      <c r="B104" s="973" t="n"/>
    </row>
    <row r="105">
      <c r="B105" s="973" t="n"/>
    </row>
    <row r="106">
      <c r="B106" s="973" t="n"/>
    </row>
    <row r="107">
      <c r="B107" s="973" t="n"/>
    </row>
    <row r="108">
      <c r="B108" s="973" t="n"/>
    </row>
    <row r="109">
      <c r="B109" s="973" t="n"/>
    </row>
    <row r="110">
      <c r="B110" s="973" t="n"/>
    </row>
    <row r="111">
      <c r="B111" s="973" t="n"/>
    </row>
    <row r="112">
      <c r="B112" s="973" t="n"/>
    </row>
    <row r="113">
      <c r="B113" s="973" t="n"/>
    </row>
    <row r="114">
      <c r="B114" s="973" t="n"/>
    </row>
    <row r="115">
      <c r="B115" s="973" t="n"/>
    </row>
    <row r="116">
      <c r="B116" s="973" t="n"/>
    </row>
    <row r="117">
      <c r="B117" s="973" t="n"/>
    </row>
    <row r="118">
      <c r="B118" s="973" t="n"/>
    </row>
    <row r="119">
      <c r="B119" s="973" t="n"/>
    </row>
    <row r="120">
      <c r="B120" s="973" t="n"/>
    </row>
    <row r="121">
      <c r="B121" s="973" t="n"/>
    </row>
    <row r="122">
      <c r="B122" s="973" t="n"/>
    </row>
    <row r="123">
      <c r="B123" s="973" t="n"/>
    </row>
    <row r="124">
      <c r="B124" s="973" t="n"/>
    </row>
    <row r="125">
      <c r="B125" s="973" t="n"/>
    </row>
    <row r="126">
      <c r="B126" s="973" t="n"/>
    </row>
    <row r="127">
      <c r="B127" s="973" t="n"/>
    </row>
    <row r="128">
      <c r="B128" s="973" t="n"/>
    </row>
    <row r="129">
      <c r="B129" s="973" t="n"/>
    </row>
    <row r="130">
      <c r="B130" s="973" t="n"/>
    </row>
    <row r="131">
      <c r="B131" s="973" t="n"/>
    </row>
    <row r="132">
      <c r="B132" s="973" t="n"/>
    </row>
    <row r="133">
      <c r="B133" s="973" t="n"/>
    </row>
    <row r="134">
      <c r="B134" s="973" t="n"/>
    </row>
    <row r="135">
      <c r="B135" s="973" t="n"/>
    </row>
    <row r="136">
      <c r="B136" s="973" t="n"/>
    </row>
    <row r="137">
      <c r="B137" s="973" t="n"/>
    </row>
    <row r="138">
      <c r="B138" s="973" t="n"/>
    </row>
    <row r="139">
      <c r="B139" s="973" t="n"/>
    </row>
    <row r="140">
      <c r="B140" s="973" t="n"/>
    </row>
    <row r="141">
      <c r="B141" s="973" t="n"/>
    </row>
    <row r="142">
      <c r="B142" s="973" t="n"/>
    </row>
    <row r="143">
      <c r="B143" s="973" t="n"/>
    </row>
    <row r="144">
      <c r="B144" s="973" t="n"/>
    </row>
    <row r="145">
      <c r="B145" s="973" t="n"/>
    </row>
    <row r="146">
      <c r="B146" s="973" t="n"/>
    </row>
    <row r="147">
      <c r="B147" s="973" t="n"/>
    </row>
    <row r="148">
      <c r="B148" s="973" t="n"/>
    </row>
    <row r="149">
      <c r="B149" s="973" t="n"/>
    </row>
    <row r="150">
      <c r="B150" s="973" t="n"/>
    </row>
    <row r="151">
      <c r="B151" s="973" t="n"/>
    </row>
    <row r="152">
      <c r="B152" s="973" t="n"/>
    </row>
    <row r="153">
      <c r="B153" s="973" t="n"/>
    </row>
    <row r="154">
      <c r="B154" s="973" t="n"/>
    </row>
    <row r="155">
      <c r="B155" s="973" t="n"/>
    </row>
    <row r="156">
      <c r="B156" s="973" t="n"/>
    </row>
    <row r="157">
      <c r="B157" s="973" t="n"/>
    </row>
    <row r="158">
      <c r="B158" s="973" t="n"/>
    </row>
    <row r="159">
      <c r="B159" s="973" t="n"/>
    </row>
    <row r="160">
      <c r="B160" s="973" t="n"/>
    </row>
    <row r="161">
      <c r="B161" s="973" t="n"/>
    </row>
    <row r="162">
      <c r="B162" s="973" t="n"/>
    </row>
    <row r="163">
      <c r="B163" s="973" t="n"/>
    </row>
    <row r="164">
      <c r="B164" s="973" t="n"/>
    </row>
    <row r="165">
      <c r="B165" s="973" t="n"/>
    </row>
    <row r="166">
      <c r="B166" s="973" t="n"/>
    </row>
    <row r="167">
      <c r="B167" s="973" t="n"/>
    </row>
    <row r="168">
      <c r="B168" s="973" t="n"/>
    </row>
    <row r="169">
      <c r="B169" s="973" t="n"/>
    </row>
    <row r="170">
      <c r="B170" s="973" t="n"/>
    </row>
    <row r="171">
      <c r="B171" s="973" t="n"/>
    </row>
    <row r="172">
      <c r="B172" s="973" t="n"/>
    </row>
    <row r="173">
      <c r="B173" s="973" t="n"/>
    </row>
    <row r="174">
      <c r="B174" s="973" t="n"/>
    </row>
    <row r="175">
      <c r="B175" s="973" t="n"/>
    </row>
    <row r="176">
      <c r="B176" s="973" t="n"/>
    </row>
    <row r="177">
      <c r="B177" s="973" t="n"/>
    </row>
    <row r="178">
      <c r="B178" s="973" t="n"/>
    </row>
    <row r="179">
      <c r="B179" s="973" t="n"/>
    </row>
    <row r="180">
      <c r="B180" s="973" t="n"/>
    </row>
    <row r="181">
      <c r="B181" s="973" t="n"/>
    </row>
    <row r="182">
      <c r="B182" s="973" t="n"/>
    </row>
    <row r="183">
      <c r="B183" s="973" t="n"/>
    </row>
    <row r="184">
      <c r="B184" s="973" t="n"/>
    </row>
    <row r="185">
      <c r="B185" s="973" t="n"/>
    </row>
    <row r="186">
      <c r="B186" s="973" t="n"/>
    </row>
    <row r="187">
      <c r="B187" s="973" t="n"/>
    </row>
    <row r="188">
      <c r="B188" s="973" t="n"/>
    </row>
    <row r="189">
      <c r="B189" s="973" t="n"/>
    </row>
    <row r="190">
      <c r="B190" s="973" t="n"/>
    </row>
    <row r="191">
      <c r="B191" s="973" t="n"/>
    </row>
    <row r="192">
      <c r="B192" s="973" t="n"/>
    </row>
    <row r="193">
      <c r="B193" s="973" t="n"/>
    </row>
    <row r="194">
      <c r="B194" s="973" t="n"/>
    </row>
    <row r="195">
      <c r="B195" s="973" t="n"/>
    </row>
    <row r="196">
      <c r="B196" s="973" t="n"/>
    </row>
    <row r="197">
      <c r="B197" s="973" t="n"/>
    </row>
    <row r="198">
      <c r="B198" s="973" t="n"/>
    </row>
    <row r="199">
      <c r="B199" s="973" t="n"/>
    </row>
    <row r="200">
      <c r="B200" s="973" t="n"/>
    </row>
  </sheetData>
  <mergeCells count="11">
    <mergeCell ref="A21:H21"/>
    <mergeCell ref="A69:H69"/>
    <mergeCell ref="A35:H35"/>
    <mergeCell ref="A5:H5"/>
    <mergeCell ref="A2:H3"/>
    <mergeCell ref="A60:H60"/>
    <mergeCell ref="A13:H13"/>
    <mergeCell ref="A44:H44"/>
    <mergeCell ref="A1:H1"/>
    <mergeCell ref="A46:H46"/>
    <mergeCell ref="A27:H27"/>
  </mergeCells>
  <pageMargins left="0.7" right="0.7" top="0.75" bottom="0.75" header="0.3" footer="0.3"/>
</worksheet>
</file>

<file path=xl/worksheets/sheet48.xml><?xml version="1.0" encoding="utf-8"?>
<worksheet xmlns="http://schemas.openxmlformats.org/spreadsheetml/2006/main">
  <sheetPr>
    <tabColor rgb="00C00080"/>
    <outlinePr summaryBelow="1" summaryRight="1"/>
    <pageSetUpPr/>
  </sheetPr>
  <dimension ref="A1:H200"/>
  <sheetViews>
    <sheetView workbookViewId="0">
      <selection activeCell="A1" sqref="A1"/>
    </sheetView>
  </sheetViews>
  <sheetFormatPr baseColWidth="8" defaultRowHeight="15"/>
  <cols>
    <col width="20" customWidth="1" style="508" min="1" max="1"/>
    <col width="24" customWidth="1" style="508" min="2" max="2"/>
    <col width="22" customWidth="1" style="508" min="3" max="3"/>
    <col width="18" customWidth="1" style="508" min="4" max="4"/>
    <col width="40" customWidth="1" style="508" min="5" max="5"/>
    <col width="26" customWidth="1" style="508" min="6" max="6"/>
    <col width="26" customWidth="1" style="508" min="7" max="7"/>
    <col width="28" customWidth="1" style="508" min="8" max="8"/>
  </cols>
  <sheetData>
    <row r="1" ht="26" customHeight="1" s="508">
      <c r="A1" s="651" t="inlineStr">
        <is>
          <t>ENGINE-LOADED SECTOR-PACK VALUES - DO NOT EDIT</t>
        </is>
      </c>
    </row>
    <row r="2" ht="30" customHeight="1" s="508">
      <c r="A2" s="655" t="inlineStr">
        <is>
          <t>Working pack for process, batch, discrete and hybrid manufacturing. The pack reflects the much stronger observed ransomware pressure on manufacturing while preserving the common OT scenario and barrier methodology.</t>
        </is>
      </c>
    </row>
    <row r="3" ht="30" customHeight="1" s="508"/>
    <row r="4">
      <c r="B4" s="973" t="n"/>
    </row>
    <row r="5" ht="20" customHeight="1" s="508">
      <c r="A5" s="658" t="inlineStr">
        <is>
          <t>PACK METADATA</t>
        </is>
      </c>
      <c r="B5" s="1001" t="n"/>
      <c r="C5" s="1001" t="n"/>
      <c r="D5" s="1001" t="n"/>
      <c r="E5" s="1001" t="n"/>
      <c r="F5" s="1001" t="n"/>
      <c r="G5" s="1001" t="n"/>
      <c r="H5" s="1001" t="n"/>
    </row>
    <row r="6" ht="30" customHeight="1" s="508">
      <c r="A6" s="670" t="inlineStr">
        <is>
          <t>Field</t>
        </is>
      </c>
      <c r="B6" s="671" t="inlineStr">
        <is>
          <t>Value</t>
        </is>
      </c>
      <c r="C6" s="671" t="inlineStr">
        <is>
          <t>Status / Type</t>
        </is>
      </c>
      <c r="D6" s="671" t="inlineStr">
        <is>
          <t>How used</t>
        </is>
      </c>
      <c r="E6" s="671" t="inlineStr">
        <is>
          <t>Governance note</t>
        </is>
      </c>
      <c r="F6" s="671" t="str"/>
      <c r="G6" s="671" t="str"/>
      <c r="H6" s="672" t="str"/>
    </row>
    <row r="7">
      <c r="A7" s="680" t="inlineStr">
        <is>
          <t>Sector</t>
        </is>
      </c>
      <c r="B7" s="681" t="inlineStr">
        <is>
          <t>Manufacturing</t>
        </is>
      </c>
      <c r="C7" s="681" t="inlineStr">
        <is>
          <t>Working sector pack</t>
        </is>
      </c>
      <c r="D7" s="681" t="inlineStr">
        <is>
          <t>Resolves from 03 Facility Inputs</t>
        </is>
      </c>
      <c r="E7" s="682" t="inlineStr">
        <is>
          <t>Process, batch, discrete and hybrid manufacturing archetypes.</t>
        </is>
      </c>
    </row>
    <row r="8">
      <c r="A8" s="691" t="inlineStr">
        <is>
          <t>Pack ID</t>
        </is>
      </c>
      <c r="B8" s="692" t="inlineStr">
        <is>
          <t>MF-v1.0</t>
        </is>
      </c>
      <c r="C8" s="692" t="inlineStr">
        <is>
          <t>Working — controlled calibration</t>
        </is>
      </c>
      <c r="D8" s="692" t="inlineStr">
        <is>
          <t>Registry / compatible engine</t>
        </is>
      </c>
      <c r="E8" s="693" t="inlineStr">
        <is>
          <t>Replaces v0.1 placeholder; not described as externally validated.</t>
        </is>
      </c>
    </row>
    <row r="9">
      <c r="A9" s="680" t="inlineStr">
        <is>
          <t>Unit of analysis</t>
        </is>
      </c>
      <c r="B9" s="681" t="inlineStr">
        <is>
          <t>One manufacturing facility / production site</t>
        </is>
      </c>
      <c r="C9" s="681" t="inlineStr">
        <is>
          <t>Model scope</t>
        </is>
      </c>
      <c r="D9" s="681" t="inlineStr">
        <is>
          <t>Facility-level CRQ</t>
        </is>
      </c>
      <c r="E9" s="682" t="inlineStr">
        <is>
          <t>Multi-site ERP/MES dependencies should be captured as facility dependencies, not pooled silently.</t>
        </is>
      </c>
    </row>
    <row r="10">
      <c r="A10" s="691" t="inlineStr">
        <is>
          <t>Frequency basis</t>
        </is>
      </c>
      <c r="B10" s="692" t="inlineStr">
        <is>
          <t>Power-generation 0.55 λ anchor + sector actor overlay</t>
        </is>
      </c>
      <c r="C10" s="692" t="inlineStr">
        <is>
          <t>Evidence-informed structured prior</t>
        </is>
      </c>
      <c r="D10" s="692" t="inlineStr">
        <is>
          <t>Relative threat pressure only</t>
        </is>
      </c>
      <c r="E10" s="693" t="inlineStr">
        <is>
          <t>Ransomware counts strongly support direction, not a facility-year campaign rate.</t>
        </is>
      </c>
    </row>
    <row r="11">
      <c r="A11" s="680" t="inlineStr">
        <is>
          <t>TTP basis</t>
        </is>
      </c>
      <c r="B11" s="681" t="inlineStr">
        <is>
          <t>Common MITRE ATT&amp;CK for ICS + manufacturing emphasis + facility gates</t>
        </is>
      </c>
      <c r="C11" s="681" t="inlineStr">
        <is>
          <t>Governed mapping</t>
        </is>
      </c>
      <c r="D11" s="681" t="inlineStr">
        <is>
          <t>Feeds composite S1–S5 barrier method</t>
        </is>
      </c>
      <c r="E11" s="682" t="inlineStr">
        <is>
          <t>NIST manufacturing guidance supports process and discrete archetypes.</t>
        </is>
      </c>
    </row>
    <row r="12">
      <c r="B12" s="973" t="n"/>
    </row>
    <row r="13" ht="20" customHeight="1" s="508">
      <c r="A13" s="658" t="inlineStr">
        <is>
          <t>REGISTERED ASSET ARCHETYPES</t>
        </is>
      </c>
      <c r="B13" s="1001" t="n"/>
      <c r="C13" s="1001" t="n"/>
      <c r="D13" s="1001" t="n"/>
      <c r="E13" s="1001" t="n"/>
      <c r="F13" s="1001" t="n"/>
      <c r="G13" s="1001" t="n"/>
      <c r="H13" s="1001" t="n"/>
    </row>
    <row r="14" ht="30" customHeight="1" s="508">
      <c r="A14" s="670" t="inlineStr">
        <is>
          <t>Asset type</t>
        </is>
      </c>
      <c r="B14" s="671" t="inlineStr">
        <is>
          <t>Operating profile</t>
        </is>
      </c>
      <c r="C14" s="671" t="inlineStr">
        <is>
          <t>Control architecture / exposure</t>
        </is>
      </c>
      <c r="D14" s="671" t="inlineStr">
        <is>
          <t>Safety / protection context</t>
        </is>
      </c>
      <c r="E14" s="671" t="inlineStr">
        <is>
          <t>Key consequence feature</t>
        </is>
      </c>
      <c r="F14" s="671" t="inlineStr">
        <is>
          <t>Pack treatment</t>
        </is>
      </c>
      <c r="G14" s="671" t="inlineStr">
        <is>
          <t>Calibration status</t>
        </is>
      </c>
      <c r="H14" s="672" t="inlineStr">
        <is>
          <t>Evidence / note</t>
        </is>
      </c>
    </row>
    <row r="15">
      <c r="A15" s="680" t="inlineStr">
        <is>
          <t>Process Manufacturing</t>
        </is>
      </c>
      <c r="B15" s="681" t="inlineStr">
        <is>
          <t>Continuous process production</t>
        </is>
      </c>
      <c r="C15" s="681" t="inlineStr">
        <is>
          <t>DCS/PLC, historians, engineering workstations, MES integration</t>
        </is>
      </c>
      <c r="D15" s="681" t="inlineStr">
        <is>
          <t>SIS/interlocks where present</t>
        </is>
      </c>
      <c r="E15" s="681" t="inlineStr">
        <is>
          <t>Long process restart, quality and safety consequences</t>
        </is>
      </c>
      <c r="F15" s="681" t="inlineStr">
        <is>
          <t>Use common BIA + manufacturing guidance</t>
        </is>
      </c>
      <c r="G15" s="681" t="inlineStr">
        <is>
          <t>Working archetype</t>
        </is>
      </c>
      <c r="H15" s="682" t="inlineStr">
        <is>
          <t>Chemical/food/material process facilities</t>
        </is>
      </c>
    </row>
    <row r="16">
      <c r="A16" s="691" t="inlineStr">
        <is>
          <t>Batch Manufacturing</t>
        </is>
      </c>
      <c r="B16" s="692" t="inlineStr">
        <is>
          <t>Batch / regulated production</t>
        </is>
      </c>
      <c r="C16" s="692" t="inlineStr">
        <is>
          <t>Batch controllers, PLC/DCS, MES/LIMS, recipe management</t>
        </is>
      </c>
      <c r="D16" s="692" t="inlineStr">
        <is>
          <t>Interlocks / batch safeguards</t>
        </is>
      </c>
      <c r="E16" s="692" t="inlineStr">
        <is>
          <t>Batch rejection, rework and release delays can dominate</t>
        </is>
      </c>
      <c r="F16" s="692" t="inlineStr">
        <is>
          <t>Use common BIA + optional quality extension</t>
        </is>
      </c>
      <c r="G16" s="692" t="inlineStr">
        <is>
          <t>Working archetype</t>
        </is>
      </c>
      <c r="H16" s="693" t="inlineStr">
        <is>
          <t>Pharma/food/specialty chemicals require quality evidence</t>
        </is>
      </c>
    </row>
    <row r="17">
      <c r="A17" s="680" t="inlineStr">
        <is>
          <t>Discrete Manufacturing</t>
        </is>
      </c>
      <c r="B17" s="681" t="inlineStr">
        <is>
          <t>Lines / cells / robots / CNC</t>
        </is>
      </c>
      <c r="C17" s="681" t="inlineStr">
        <is>
          <t>PLC, robots, CNC, vision systems, industrial PCs, MES</t>
        </is>
      </c>
      <c r="D17" s="681" t="inlineStr">
        <is>
          <t>Machine safety / interlocks</t>
        </is>
      </c>
      <c r="E17" s="681" t="inlineStr">
        <is>
          <t>Line stoppage, WIP loss, tooling/robot recovery</t>
        </is>
      </c>
      <c r="F17" s="681" t="inlineStr">
        <is>
          <t>Use common BIA + optional WIP extension</t>
        </is>
      </c>
      <c r="G17" s="681" t="inlineStr">
        <is>
          <t>Working archetype</t>
        </is>
      </c>
      <c r="H17" s="682" t="inlineStr">
        <is>
          <t>Automotive/electronics/equipment</t>
        </is>
      </c>
    </row>
    <row r="18">
      <c r="A18" s="691" t="inlineStr">
        <is>
          <t>Hybrid Manufacturing</t>
        </is>
      </c>
      <c r="B18" s="692" t="inlineStr">
        <is>
          <t>Mixed process + discrete</t>
        </is>
      </c>
      <c r="C18" s="692" t="inlineStr">
        <is>
          <t>DCS/PLC/robots/MES with higher integration</t>
        </is>
      </c>
      <c r="D18" s="692" t="inlineStr">
        <is>
          <t>Process and machine safeguards</t>
        </is>
      </c>
      <c r="E18" s="692" t="inlineStr">
        <is>
          <t>Multiple dependencies and bottleneck propagation</t>
        </is>
      </c>
      <c r="F18" s="692" t="inlineStr">
        <is>
          <t>Use common BIA + optional quality/WIP extension</t>
        </is>
      </c>
      <c r="G18" s="692" t="inlineStr">
        <is>
          <t>Working archetype</t>
        </is>
      </c>
      <c r="H18" s="693" t="inlineStr">
        <is>
          <t>Facility-specific bottleneck mapping important</t>
        </is>
      </c>
    </row>
    <row r="19">
      <c r="B19" s="973" t="n"/>
    </row>
    <row r="20" ht="20" customHeight="1" s="508">
      <c r="A20" s="658" t="inlineStr">
        <is>
          <t>THREAT / FREQUENCY OVERLAY</t>
        </is>
      </c>
      <c r="B20" s="1001" t="n"/>
      <c r="C20" s="1001" t="n"/>
      <c r="D20" s="1001" t="n"/>
      <c r="E20" s="1001" t="n"/>
      <c r="F20" s="1001" t="n"/>
      <c r="G20" s="1001" t="n"/>
      <c r="H20" s="1001" t="n"/>
    </row>
    <row r="21" ht="30" customHeight="1" s="508">
      <c r="A21" s="670" t="inlineStr">
        <is>
          <t>Threat actor</t>
        </is>
      </c>
      <c r="B21" s="671" t="inlineStr">
        <is>
          <t>Sector multiplier</t>
        </is>
      </c>
      <c r="C21" s="671" t="inlineStr">
        <is>
          <t>Status</t>
        </is>
      </c>
      <c r="D21" s="671" t="inlineStr">
        <is>
          <t>Evidence signal</t>
        </is>
      </c>
      <c r="E21" s="671" t="inlineStr">
        <is>
          <t>Model interpretation</t>
        </is>
      </c>
      <c r="F21" s="671" t="inlineStr">
        <is>
          <t>Why not direct empirical calibration</t>
        </is>
      </c>
      <c r="G21" s="671" t="inlineStr">
        <is>
          <t>Owner / review</t>
        </is>
      </c>
      <c r="H21" s="672" t="inlineStr">
        <is>
          <t>Source</t>
        </is>
      </c>
    </row>
    <row r="22">
      <c r="A22" s="717" t="inlineStr">
        <is>
          <t>Nation State</t>
        </is>
      </c>
      <c r="B22" s="697" t="n">
        <v>0.85</v>
      </c>
      <c r="C22" s="694" t="inlineStr">
        <is>
          <t>Working structured prior</t>
        </is>
      </c>
      <c r="D22" s="694" t="inlineStr">
        <is>
          <t>Manufacturing is targeted by capable actors, but public industrial victim data is overwhelmingly dominated by criminal ransomware rather than state-attributed events.</t>
        </is>
      </c>
      <c r="E22" s="694" t="inlineStr">
        <is>
          <t>15% relative reduction to nation-state sector intensity while preserving non-zero strategic/IP/critical-supply-chain risk.</t>
        </is>
      </c>
      <c r="F22" s="694" t="inlineStr">
        <is>
          <t>Public attribution and denominator biases prevent empirical rate calibration.</t>
        </is>
      </c>
      <c r="G22" s="694" t="inlineStr">
        <is>
          <t>Cyber / threat intelligence</t>
        </is>
      </c>
      <c r="H22" s="718" t="inlineStr">
        <is>
          <t>https://www.dragos.com/blog/dragos-2026-ot-cybersecurity-year-in-review</t>
        </is>
      </c>
    </row>
    <row r="23">
      <c r="A23" s="717" t="inlineStr">
        <is>
          <t>Cybercriminal</t>
        </is>
      </c>
      <c r="B23" s="697" t="n">
        <v>1.25</v>
      </c>
      <c r="C23" s="694" t="inlineStr">
        <is>
          <t>Working structured prior</t>
        </is>
      </c>
      <c r="D23" s="694" t="inlineStr">
        <is>
          <t>Manufacturing accounted for more than two-thirds of industrial ransomware victims tracked by Dragos in 2025; Q1 2025 manufacturing represented 68% of recorded industrial ransomware incidents.</t>
        </is>
      </c>
      <c r="E23" s="694" t="inlineStr">
        <is>
          <t>25% relative uplift to criminal sector intensity; deliberately far smaller than the raw victim-share difference because sector counts lack facility denominators.</t>
        </is>
      </c>
      <c r="F23" s="694" t="inlineStr">
        <is>
          <t>Victim counts reflect sector population, disclosure and criminal targeting; they are not attempts per facility-year.</t>
        </is>
      </c>
      <c r="G23" s="694" t="inlineStr">
        <is>
          <t>Cyber / threat intelligence</t>
        </is>
      </c>
      <c r="H23" s="718" t="inlineStr">
        <is>
          <t>https://www.dragos.com/blog/dragos-2026-ot-cybersecurity-year-in-review</t>
        </is>
      </c>
    </row>
    <row r="24">
      <c r="A24" s="717" t="inlineStr">
        <is>
          <t>Malicious Insider</t>
        </is>
      </c>
      <c r="B24" s="697" t="n">
        <v>1</v>
      </c>
      <c r="C24" s="694" t="inlineStr">
        <is>
          <t>Working structured prior</t>
        </is>
      </c>
      <c r="D24" s="694" t="inlineStr">
        <is>
          <t>Insiders can abuse engineering, recipe, program and privileged production access.</t>
        </is>
      </c>
      <c r="E24" s="694" t="inlineStr">
        <is>
          <t>Retains common insider intensity.</t>
        </is>
      </c>
      <c r="F24" s="694" t="inlineStr">
        <is>
          <t>No defensible public OT facility-year denominator.</t>
        </is>
      </c>
      <c r="G24" s="694" t="inlineStr">
        <is>
          <t>Cyber / HR / operations</t>
        </is>
      </c>
      <c r="H24" s="718" t="inlineStr">
        <is>
          <t>Governed model prior</t>
        </is>
      </c>
    </row>
    <row r="25">
      <c r="B25" s="973" t="n"/>
    </row>
    <row r="26" ht="20" customHeight="1" s="508">
      <c r="A26" s="658" t="inlineStr">
        <is>
          <t>SCENARIO PROFILE &amp; BIA STARTING POINTS</t>
        </is>
      </c>
      <c r="B26" s="1001" t="n"/>
      <c r="C26" s="1001" t="n"/>
      <c r="D26" s="1001" t="n"/>
      <c r="E26" s="1001" t="n"/>
      <c r="F26" s="1001" t="n"/>
      <c r="G26" s="1001" t="n"/>
      <c r="H26" s="1001" t="n"/>
    </row>
    <row r="27" ht="30" customHeight="1" s="508">
      <c r="A27" s="670" t="inlineStr">
        <is>
          <t>Scenario</t>
        </is>
      </c>
      <c r="B27" s="671" t="inlineStr">
        <is>
          <t>Sector-specific interpretation</t>
        </is>
      </c>
      <c r="C27" s="671" t="inlineStr">
        <is>
          <t>Priority</t>
        </is>
      </c>
      <c r="D27" s="671" t="inlineStr">
        <is>
          <t>P50 downtime days</t>
        </is>
      </c>
      <c r="E27" s="671" t="inlineStr">
        <is>
          <t>P99 downtime days</t>
        </is>
      </c>
      <c r="F27" s="671" t="inlineStr">
        <is>
          <t>P50 capacity</t>
        </is>
      </c>
      <c r="G27" s="671" t="inlineStr">
        <is>
          <t>P99 capacity</t>
        </is>
      </c>
      <c r="H27" s="672" t="inlineStr">
        <is>
          <t>Calibration / rationale</t>
        </is>
      </c>
    </row>
    <row r="28">
      <c r="A28" s="691" t="inlineStr">
        <is>
          <t>Operational Disruption</t>
        </is>
      </c>
      <c r="B28" s="692" t="inlineStr">
        <is>
          <t>Material interruption, shutdown or degradation of production lines/cells/processes or supporting production systems.</t>
        </is>
      </c>
      <c r="C28" s="692" t="inlineStr">
        <is>
          <t>Primary / ransomware-led</t>
        </is>
      </c>
      <c r="D28" s="701" t="n">
        <v>5</v>
      </c>
      <c r="E28" s="702" t="n">
        <v>45</v>
      </c>
      <c r="F28" s="702" t="n">
        <v>0.75</v>
      </c>
      <c r="G28" s="703" t="n">
        <v>1</v>
      </c>
      <c r="H28" s="693" t="inlineStr">
        <is>
          <t>Working pack prior; current ransomware evidence strongly supports operational disruption relevance.</t>
        </is>
      </c>
    </row>
    <row r="29">
      <c r="A29" s="680" t="inlineStr">
        <is>
          <t>Loss of Control or Visibility</t>
        </is>
      </c>
      <c r="B29" s="681" t="inlineStr">
        <is>
          <t>Operators lose trusted process/line visibility or command, forcing shutdown or manual fallback.</t>
        </is>
      </c>
      <c r="C29" s="681" t="inlineStr">
        <is>
          <t>Primary</t>
        </is>
      </c>
      <c r="D29" s="701" t="n">
        <v>3</v>
      </c>
      <c r="E29" s="702" t="n">
        <v>30</v>
      </c>
      <c r="F29" s="702" t="n">
        <v>0.5</v>
      </c>
      <c r="G29" s="703" t="n">
        <v>1</v>
      </c>
      <c r="H29" s="682" t="inlineStr">
        <is>
          <t>Working pack prior; architecture and manual fallback determine severity.</t>
        </is>
      </c>
    </row>
    <row r="30">
      <c r="A30" s="691" t="inlineStr">
        <is>
          <t>Process Manipulation</t>
        </is>
      </c>
      <c r="B30" s="692" t="inlineStr">
        <is>
          <t>Logic, recipes, set-points, robot/CNC programs, I/O or commands are altered, creating off-spec or unsafe production.</t>
        </is>
      </c>
      <c r="C30" s="692" t="inlineStr">
        <is>
          <t>Primary for process/batch; material tail for discrete</t>
        </is>
      </c>
      <c r="D30" s="701" t="n">
        <v>7</v>
      </c>
      <c r="E30" s="702" t="n">
        <v>60</v>
      </c>
      <c r="F30" s="702" t="n">
        <v>0.75</v>
      </c>
      <c r="G30" s="703" t="n">
        <v>1</v>
      </c>
      <c r="H30" s="693" t="inlineStr">
        <is>
          <t>Working pack prior; quality/rework can outlast cyber restoration.</t>
        </is>
      </c>
    </row>
    <row r="31">
      <c r="A31" s="680" t="inlineStr">
        <is>
          <t>Safety System Compromise</t>
        </is>
      </c>
      <c r="B31" s="681" t="inlineStr">
        <is>
          <t>Machine safety, interlock or process safety functions are degraded, disabled or manipulated.</t>
        </is>
      </c>
      <c r="C31" s="681" t="inlineStr">
        <is>
          <t>Conditional</t>
        </is>
      </c>
      <c r="D31" s="701" t="n">
        <v>10</v>
      </c>
      <c r="E31" s="702" t="n">
        <v>90</v>
      </c>
      <c r="F31" s="702" t="n">
        <v>0.75</v>
      </c>
      <c r="G31" s="703" t="n">
        <v>1</v>
      </c>
      <c r="H31" s="682" t="inlineStr">
        <is>
          <t>Working pack prior; only where relevant safety/protection systems exist.</t>
        </is>
      </c>
    </row>
    <row r="32">
      <c r="A32" s="691" t="inlineStr">
        <is>
          <t>Destructive or Integrity Attack</t>
        </is>
      </c>
      <c r="B32" s="692" t="inlineStr">
        <is>
          <t>Production control systems, configurations, firmware or supporting assets are destroyed/corrupted and require rebuild or trusted restoration.</t>
        </is>
      </c>
      <c r="C32" s="692" t="inlineStr">
        <is>
          <t>Tail</t>
        </is>
      </c>
      <c r="D32" s="701" t="n">
        <v>21</v>
      </c>
      <c r="E32" s="702" t="n">
        <v>120</v>
      </c>
      <c r="F32" s="702" t="n">
        <v>1</v>
      </c>
      <c r="G32" s="703" t="n">
        <v>1</v>
      </c>
      <c r="H32" s="693" t="inlineStr">
        <is>
          <t>Working pack prior; recovery can be prolonged by proprietary systems and production validation.</t>
        </is>
      </c>
    </row>
    <row r="33">
      <c r="B33" s="973" t="n"/>
    </row>
    <row r="34" ht="20" customHeight="1" s="508">
      <c r="A34" s="658" t="inlineStr">
        <is>
          <t>BIA / LOSS-DRIVER EMPHASIS</t>
        </is>
      </c>
      <c r="B34" s="1001" t="n"/>
      <c r="C34" s="1001" t="n"/>
      <c r="D34" s="1001" t="n"/>
      <c r="E34" s="1001" t="n"/>
      <c r="F34" s="1001" t="n"/>
      <c r="G34" s="1001" t="n"/>
      <c r="H34" s="1001" t="n"/>
    </row>
    <row r="35" ht="30" customHeight="1" s="508">
      <c r="A35" s="670" t="inlineStr">
        <is>
          <t>Driver / cost area</t>
        </is>
      </c>
      <c r="B35" s="671" t="inlineStr">
        <is>
          <t>Applicability</t>
        </is>
      </c>
      <c r="C35" s="671" t="inlineStr">
        <is>
          <t>Sector emphasis</t>
        </is>
      </c>
      <c r="D35" s="671" t="inlineStr">
        <is>
          <t>Common model driver</t>
        </is>
      </c>
      <c r="E35" s="671" t="inlineStr">
        <is>
          <t>Calibration evidence requested</t>
        </is>
      </c>
      <c r="F35" s="671" t="inlineStr">
        <is>
          <t>Notes</t>
        </is>
      </c>
      <c r="G35" s="671" t="str"/>
      <c r="H35" s="672" t="str"/>
    </row>
    <row r="36">
      <c r="A36" s="691" t="inlineStr">
        <is>
          <t>Business interruption</t>
        </is>
      </c>
      <c r="B36" s="692" t="inlineStr">
        <is>
          <t>High</t>
        </is>
      </c>
      <c r="C36" s="692" t="inlineStr">
        <is>
          <t>Lost production / contribution from constrained bottleneck</t>
        </is>
      </c>
      <c r="D36" s="692" t="inlineStr">
        <is>
          <t>BI-01</t>
        </is>
      </c>
      <c r="E36" s="692" t="inlineStr">
        <is>
          <t>Facility revenue-at-risk and bottleneck capacity</t>
        </is>
      </c>
      <c r="F36" s="692" t="inlineStr">
        <is>
          <t>Use facility-level production economics</t>
        </is>
      </c>
      <c r="G36" s="692" t="str"/>
      <c r="H36" s="693" t="str"/>
    </row>
    <row r="37">
      <c r="A37" s="680" t="inlineStr">
        <is>
          <t>Increased cost / alternate production</t>
        </is>
      </c>
      <c r="B37" s="681" t="inlineStr">
        <is>
          <t>High</t>
        </is>
      </c>
      <c r="C37" s="681" t="inlineStr">
        <is>
          <t>Overtime, expedited logistics, alternate plant/line use</t>
        </is>
      </c>
      <c r="D37" s="681" t="inlineStr">
        <is>
          <t>OP-01 / OP-02</t>
        </is>
      </c>
      <c r="E37" s="681" t="inlineStr">
        <is>
          <t>BCP and alternate-site arrangements</t>
        </is>
      </c>
      <c r="F37" s="681" t="inlineStr">
        <is>
          <t>Common drivers are usable</t>
        </is>
      </c>
      <c r="G37" s="681" t="str"/>
      <c r="H37" s="682" t="str"/>
    </row>
    <row r="38">
      <c r="A38" s="691" t="inlineStr">
        <is>
          <t>Restoration / OEM engineering</t>
        </is>
      </c>
      <c r="B38" s="692" t="inlineStr">
        <is>
          <t>High</t>
        </is>
      </c>
      <c r="C38" s="692" t="inlineStr">
        <is>
          <t>Robotics/CNC/PLC/DCS/MES recovery and validation</t>
        </is>
      </c>
      <c r="D38" s="692" t="inlineStr">
        <is>
          <t>RC-01 / RC-02 / RC-03</t>
        </is>
      </c>
      <c r="E38" s="692" t="inlineStr">
        <is>
          <t>OEM rates, backups, golden images, validation</t>
        </is>
      </c>
      <c r="F38" s="692" t="inlineStr">
        <is>
          <t>Often critical after ransomware</t>
        </is>
      </c>
      <c r="G38" s="692" t="str"/>
      <c r="H38" s="693" t="str"/>
    </row>
    <row r="39">
      <c r="A39" s="680" t="inlineStr">
        <is>
          <t>Physical equipment damage</t>
        </is>
      </c>
      <c r="B39" s="681" t="inlineStr">
        <is>
          <t>Conditional</t>
        </is>
      </c>
      <c r="C39" s="681" t="inlineStr">
        <is>
          <t>Possible for manipulation, not typical ransomware baseline</t>
        </is>
      </c>
      <c r="D39" s="681" t="inlineStr">
        <is>
          <t>PD-03</t>
        </is>
      </c>
      <c r="E39" s="681" t="inlineStr">
        <is>
          <t>Engineering scenario</t>
        </is>
      </c>
      <c r="F39" s="681" t="inlineStr">
        <is>
          <t>Keep scenario-gated</t>
        </is>
      </c>
      <c r="G39" s="681" t="str"/>
      <c r="H39" s="682" t="str"/>
    </row>
    <row r="40">
      <c r="A40" s="691" t="inlineStr">
        <is>
          <t>Safety response</t>
        </is>
      </c>
      <c r="B40" s="692" t="inlineStr">
        <is>
          <t>Conditional</t>
        </is>
      </c>
      <c r="C40" s="692" t="inlineStr">
        <is>
          <t>Machine/process safety depending facility</t>
        </is>
      </c>
      <c r="D40" s="692" t="inlineStr">
        <is>
          <t>SF-01</t>
        </is>
      </c>
      <c r="E40" s="692" t="inlineStr">
        <is>
          <t>HSE and incident scenarios</t>
        </is>
      </c>
      <c r="F40" s="692" t="inlineStr">
        <is>
          <t>Scenario-gated</t>
        </is>
      </c>
      <c r="G40" s="692" t="str"/>
      <c r="H40" s="693" t="str"/>
    </row>
    <row r="41">
      <c r="A41" s="680" t="inlineStr">
        <is>
          <t>Quality / WIP / batch loss</t>
        </is>
      </c>
      <c r="B41" s="681" t="inlineStr">
        <is>
          <t>High in many facilities</t>
        </is>
      </c>
      <c r="C41" s="681" t="inlineStr">
        <is>
          <t>Off-spec product, scrap, batch rejection, rework or delayed release</t>
        </is>
      </c>
      <c r="D41" s="681" t="inlineStr">
        <is>
          <t>Not explicit in current 18-driver set</t>
        </is>
      </c>
      <c r="E41" s="681" t="inlineStr">
        <is>
          <t>Quality, production and inventory data</t>
        </is>
      </c>
      <c r="F41" s="681" t="inlineStr">
        <is>
          <t>Recommend optional sector extension</t>
        </is>
      </c>
      <c r="G41" s="681" t="str"/>
      <c r="H41" s="682" t="str"/>
    </row>
    <row r="42">
      <c r="B42" s="973" t="n"/>
    </row>
    <row r="43">
      <c r="A43" s="706" t="inlineStr">
        <is>
          <t>PACK EXTENSION RECOMMENDED: Add an optional manufacturing severity driver for scrap / WIP / batch rejection / rework / product-quality loss where it is material. The current common 18-driver BIA does not represent this cleanly; do not force it into BI if the loss is separately measurable.</t>
        </is>
      </c>
    </row>
    <row r="44">
      <c r="B44" s="973" t="n"/>
    </row>
    <row r="45" ht="20" customHeight="1" s="508">
      <c r="A45" s="658" t="inlineStr">
        <is>
          <t>SECTOR TTP EMPHASIS — COMMON ATT&amp;CK FOR ICS SET RETAINED</t>
        </is>
      </c>
      <c r="B45" s="1001" t="n"/>
      <c r="C45" s="1001" t="n"/>
      <c r="D45" s="1001" t="n"/>
      <c r="E45" s="1001" t="n"/>
      <c r="F45" s="1001" t="n"/>
      <c r="G45" s="1001" t="n"/>
      <c r="H45" s="1001" t="n"/>
    </row>
    <row r="46" ht="30" customHeight="1" s="508">
      <c r="A46" s="670" t="inlineStr">
        <is>
          <t>TTP ID</t>
        </is>
      </c>
      <c r="B46" s="671" t="inlineStr">
        <is>
          <t>Technique</t>
        </is>
      </c>
      <c r="C46" s="671" t="inlineStr">
        <is>
          <t>Stage / route</t>
        </is>
      </c>
      <c r="D46" s="671" t="inlineStr">
        <is>
          <t>Priority</t>
        </is>
      </c>
      <c r="E46" s="671" t="inlineStr">
        <is>
          <t>Why material in this sector</t>
        </is>
      </c>
      <c r="F46" s="671" t="inlineStr">
        <is>
          <t>Facility gate</t>
        </is>
      </c>
      <c r="G46" s="671" t="inlineStr">
        <is>
          <t>Model treatment</t>
        </is>
      </c>
      <c r="H46" s="672" t="inlineStr">
        <is>
          <t>Technique URL</t>
        </is>
      </c>
    </row>
    <row r="47">
      <c r="A47" s="680" t="inlineStr">
        <is>
          <t>T0822</t>
        </is>
      </c>
      <c r="B47" s="681" t="inlineStr">
        <is>
          <t>External Remote Services</t>
        </is>
      </c>
      <c r="C47" s="681" t="inlineStr">
        <is>
          <t>S1 / Initial access</t>
        </is>
      </c>
      <c r="D47" s="681" t="inlineStr">
        <is>
          <t>High</t>
        </is>
      </c>
      <c r="E47" s="681" t="inlineStr">
        <is>
          <t>Remote OEM/integrator and maintenance access is common in production environments.</t>
        </is>
      </c>
      <c r="F47" s="681" t="inlineStr">
        <is>
          <t>REMOTE_REQUIRED</t>
        </is>
      </c>
      <c r="G47" s="681" t="inlineStr">
        <is>
          <t>Retain; facility gate can remove</t>
        </is>
      </c>
      <c r="H47" s="682" t="inlineStr">
        <is>
          <t>https://attack.mitre.org/techniques/T0822</t>
        </is>
      </c>
    </row>
    <row r="48">
      <c r="A48" s="691" t="inlineStr">
        <is>
          <t>T0819</t>
        </is>
      </c>
      <c r="B48" s="692" t="inlineStr">
        <is>
          <t>Exploit Public-Facing Application</t>
        </is>
      </c>
      <c r="C48" s="692" t="inlineStr">
        <is>
          <t>S1 / Initial access</t>
        </is>
      </c>
      <c r="D48" s="692" t="inlineStr">
        <is>
          <t>Medium-High</t>
        </is>
      </c>
      <c r="E48" s="692" t="inlineStr">
        <is>
          <t>Production-supporting applications and remote services can provide an enterprise-to-operations route.</t>
        </is>
      </c>
      <c r="F48" s="692" t="inlineStr">
        <is>
          <t>None / INTERNET context</t>
        </is>
      </c>
      <c r="G48" s="692" t="inlineStr">
        <is>
          <t>Retain</t>
        </is>
      </c>
      <c r="H48" s="693" t="inlineStr">
        <is>
          <t>https://attack.mitre.org/techniques/T0819</t>
        </is>
      </c>
    </row>
    <row r="49">
      <c r="A49" s="680" t="inlineStr">
        <is>
          <t>T0859</t>
        </is>
      </c>
      <c r="B49" s="681" t="inlineStr">
        <is>
          <t>Valid Accounts</t>
        </is>
      </c>
      <c r="C49" s="681" t="inlineStr">
        <is>
          <t>S3 / Lateral movement / persistence</t>
        </is>
      </c>
      <c r="D49" s="681" t="inlineStr">
        <is>
          <t>High</t>
        </is>
      </c>
      <c r="E49" s="681" t="inlineStr">
        <is>
          <t>Shared/service/engineering accounts can materially reduce movement barriers.</t>
        </is>
      </c>
      <c r="F49" s="681" t="inlineStr">
        <is>
          <t>None</t>
        </is>
      </c>
      <c r="G49" s="681" t="inlineStr">
        <is>
          <t>Retain</t>
        </is>
      </c>
      <c r="H49" s="682" t="inlineStr">
        <is>
          <t>https://attack.mitre.org/techniques/T0859</t>
        </is>
      </c>
    </row>
    <row r="50">
      <c r="A50" s="691" t="inlineStr">
        <is>
          <t>T0862</t>
        </is>
      </c>
      <c r="B50" s="692" t="inlineStr">
        <is>
          <t>Supply Chain Compromise</t>
        </is>
      </c>
      <c r="C50" s="692" t="inlineStr">
        <is>
          <t>S1 / Initial access</t>
        </is>
      </c>
      <c r="D50" s="692" t="inlineStr">
        <is>
          <t>High</t>
        </is>
      </c>
      <c r="E50" s="692" t="inlineStr">
        <is>
          <t>Machine builders, integrators, software and update chains are extensive.</t>
        </is>
      </c>
      <c r="F50" s="692" t="inlineStr">
        <is>
          <t>SUPPLY_CHAIN</t>
        </is>
      </c>
      <c r="G50" s="692" t="inlineStr">
        <is>
          <t>Retain when trusted route exists</t>
        </is>
      </c>
      <c r="H50" s="693" t="inlineStr">
        <is>
          <t>https://attack.mitre.org/techniques/T0862</t>
        </is>
      </c>
    </row>
    <row r="51">
      <c r="A51" s="680" t="inlineStr">
        <is>
          <t>T0821</t>
        </is>
      </c>
      <c r="B51" s="681" t="inlineStr">
        <is>
          <t>Modify Controller Tasking</t>
        </is>
      </c>
      <c r="C51" s="681" t="inlineStr">
        <is>
          <t>S2 / Execution</t>
        </is>
      </c>
      <c r="D51" s="681" t="inlineStr">
        <is>
          <t>High</t>
        </is>
      </c>
      <c r="E51" s="681" t="inlineStr">
        <is>
          <t>PLC/robot/line controller tasking directly drives production operations.</t>
        </is>
      </c>
      <c r="F51" s="681" t="inlineStr">
        <is>
          <t>None</t>
        </is>
      </c>
      <c r="G51" s="681" t="inlineStr">
        <is>
          <t>Retain</t>
        </is>
      </c>
      <c r="H51" s="682" t="inlineStr">
        <is>
          <t>https://attack.mitre.org/techniques/T0821</t>
        </is>
      </c>
    </row>
    <row r="52">
      <c r="A52" s="691" t="inlineStr">
        <is>
          <t>T0843</t>
        </is>
      </c>
      <c r="B52" s="692" t="inlineStr">
        <is>
          <t>Program Download</t>
        </is>
      </c>
      <c r="C52" s="692" t="inlineStr">
        <is>
          <t>S3 / Lateral movement</t>
        </is>
      </c>
      <c r="D52" s="692" t="inlineStr">
        <is>
          <t>High</t>
        </is>
      </c>
      <c r="E52" s="692" t="inlineStr">
        <is>
          <t>Program/recipe/logic downloads are legitimate production workflows that can be abused.</t>
        </is>
      </c>
      <c r="F52" s="692" t="inlineStr">
        <is>
          <t>None</t>
        </is>
      </c>
      <c r="G52" s="692" t="inlineStr">
        <is>
          <t>Retain</t>
        </is>
      </c>
      <c r="H52" s="693" t="inlineStr">
        <is>
          <t>https://attack.mitre.org/techniques/T0843</t>
        </is>
      </c>
    </row>
    <row r="53">
      <c r="A53" s="680" t="inlineStr">
        <is>
          <t>T0831</t>
        </is>
      </c>
      <c r="B53" s="681" t="inlineStr">
        <is>
          <t>Manipulation of Control</t>
        </is>
      </c>
      <c r="C53" s="681" t="inlineStr">
        <is>
          <t>S5 / Impact</t>
        </is>
      </c>
      <c r="D53" s="681" t="inlineStr">
        <is>
          <t>High</t>
        </is>
      </c>
      <c r="E53" s="681" t="inlineStr">
        <is>
          <t>Can create off-spec product, unsafe motion or process deviation.</t>
        </is>
      </c>
      <c r="F53" s="681" t="inlineStr">
        <is>
          <t>None</t>
        </is>
      </c>
      <c r="G53" s="681" t="inlineStr">
        <is>
          <t>Retain</t>
        </is>
      </c>
      <c r="H53" s="682" t="inlineStr">
        <is>
          <t>https://attack.mitre.org/techniques/T0831</t>
        </is>
      </c>
    </row>
    <row r="54">
      <c r="A54" s="691" t="inlineStr">
        <is>
          <t>T0816</t>
        </is>
      </c>
      <c r="B54" s="692" t="inlineStr">
        <is>
          <t>Device Restart/Shutdown</t>
        </is>
      </c>
      <c r="C54" s="692" t="inlineStr">
        <is>
          <t>S5 / Inhibit response</t>
        </is>
      </c>
      <c r="D54" s="692" t="inlineStr">
        <is>
          <t>High</t>
        </is>
      </c>
      <c r="E54" s="692" t="inlineStr">
        <is>
          <t>Controller/server/industrial-PC shutdown can stop lines and cells.</t>
        </is>
      </c>
      <c r="F54" s="692" t="inlineStr">
        <is>
          <t>None</t>
        </is>
      </c>
      <c r="G54" s="692" t="inlineStr">
        <is>
          <t>Retain</t>
        </is>
      </c>
      <c r="H54" s="693" t="inlineStr">
        <is>
          <t>https://attack.mitre.org/techniques/T0816</t>
        </is>
      </c>
    </row>
    <row r="55">
      <c r="A55" s="680" t="inlineStr">
        <is>
          <t>T0809</t>
        </is>
      </c>
      <c r="B55" s="681" t="inlineStr">
        <is>
          <t>Data Destruction</t>
        </is>
      </c>
      <c r="C55" s="681" t="inlineStr">
        <is>
          <t>S5 / Inhibit response</t>
        </is>
      </c>
      <c r="D55" s="681" t="inlineStr">
        <is>
          <t>High</t>
        </is>
      </c>
      <c r="E55" s="681" t="inlineStr">
        <is>
          <t>Ransomware/wiper effects on production-supporting Windows systems and engineering data can prolong restoration.</t>
        </is>
      </c>
      <c r="F55" s="681" t="inlineStr">
        <is>
          <t>None</t>
        </is>
      </c>
      <c r="G55" s="681" t="inlineStr">
        <is>
          <t>Retain</t>
        </is>
      </c>
      <c r="H55" s="682" t="inlineStr">
        <is>
          <t>https://attack.mitre.org/techniques/T0809</t>
        </is>
      </c>
    </row>
    <row r="56">
      <c r="A56" s="691" t="inlineStr">
        <is>
          <t>T0829</t>
        </is>
      </c>
      <c r="B56" s="692" t="inlineStr">
        <is>
          <t>Loss of View</t>
        </is>
      </c>
      <c r="C56" s="692" t="inlineStr">
        <is>
          <t>S5 / Impact</t>
        </is>
      </c>
      <c r="D56" s="692" t="inlineStr">
        <is>
          <t>Medium-High</t>
        </is>
      </c>
      <c r="E56" s="692" t="inlineStr">
        <is>
          <t>Operators may stop production when process/line state cannot be trusted.</t>
        </is>
      </c>
      <c r="F56" s="692" t="inlineStr">
        <is>
          <t>None</t>
        </is>
      </c>
      <c r="G56" s="692" t="inlineStr">
        <is>
          <t>Retain</t>
        </is>
      </c>
      <c r="H56" s="693" t="inlineStr">
        <is>
          <t>https://attack.mitre.org/techniques/T0829</t>
        </is>
      </c>
    </row>
    <row r="57">
      <c r="B57" s="973" t="n"/>
    </row>
    <row r="58" ht="20" customHeight="1" s="508">
      <c r="A58" s="658" t="inlineStr">
        <is>
          <t>FACILITY EVIDENCE TO REQUEST DURING ASSESSMENT</t>
        </is>
      </c>
      <c r="B58" s="1001" t="n"/>
      <c r="C58" s="1001" t="n"/>
      <c r="D58" s="1001" t="n"/>
      <c r="E58" s="1001" t="n"/>
      <c r="F58" s="1001" t="n"/>
      <c r="G58" s="1001" t="n"/>
      <c r="H58" s="1001" t="n"/>
    </row>
    <row r="59" ht="30" customHeight="1" s="508">
      <c r="A59" s="670" t="inlineStr">
        <is>
          <t>Evidence / question</t>
        </is>
      </c>
      <c r="B59" s="671" t="inlineStr">
        <is>
          <t>Why it matters</t>
        </is>
      </c>
      <c r="C59" s="671" t="inlineStr">
        <is>
          <t>Maps to</t>
        </is>
      </c>
      <c r="D59" s="671" t="inlineStr">
        <is>
          <t>Required?</t>
        </is>
      </c>
      <c r="E59" s="671" t="inlineStr">
        <is>
          <t>Typical owner</t>
        </is>
      </c>
      <c r="F59" s="671" t="inlineStr">
        <is>
          <t>Model use</t>
        </is>
      </c>
      <c r="G59" s="671" t="inlineStr">
        <is>
          <t>Pack note</t>
        </is>
      </c>
      <c r="H59" s="672" t="str"/>
    </row>
    <row r="60">
      <c r="A60" s="691" t="inlineStr">
        <is>
          <t>Production bottleneck / revenue-at-risk by line or process</t>
        </is>
      </c>
      <c r="B60" s="692" t="inlineStr">
        <is>
          <t>Avoids overstating full-site outage where only one line is constrained</t>
        </is>
      </c>
      <c r="C60" s="692" t="inlineStr">
        <is>
          <t>05 BIA</t>
        </is>
      </c>
      <c r="D60" s="692" t="inlineStr">
        <is>
          <t>Yes</t>
        </is>
      </c>
      <c r="E60" s="692" t="inlineStr">
        <is>
          <t>Operations / Finance</t>
        </is>
      </c>
      <c r="F60" s="692" t="inlineStr">
        <is>
          <t>Capacity affected and BI</t>
        </is>
      </c>
      <c r="G60" s="692" t="inlineStr">
        <is>
          <t>Use constrained production economics</t>
        </is>
      </c>
      <c r="H60" s="693" t="str"/>
    </row>
    <row r="61">
      <c r="A61" s="680" t="inlineStr">
        <is>
          <t>MES/ERP/LIMS dependency and IT/OT coupling</t>
        </is>
      </c>
      <c r="B61" s="681" t="inlineStr">
        <is>
          <t>Ransomware may disrupt OT through production-supporting IT without controller compromise</t>
        </is>
      </c>
      <c r="C61" s="681" t="inlineStr">
        <is>
          <t>03 / dependency note</t>
        </is>
      </c>
      <c r="D61" s="681" t="inlineStr">
        <is>
          <t>Yes</t>
        </is>
      </c>
      <c r="E61" s="681" t="inlineStr">
        <is>
          <t>IT / OT / Operations</t>
        </is>
      </c>
      <c r="F61" s="681" t="inlineStr">
        <is>
          <t>IT_OT_CONNECTIVITY and scenario narrative</t>
        </is>
      </c>
      <c r="G61" s="681" t="inlineStr">
        <is>
          <t>Capture manual workarounds</t>
        </is>
      </c>
      <c r="H61" s="682" t="str"/>
    </row>
    <row r="62">
      <c r="A62" s="691" t="inlineStr">
        <is>
          <t>Remote OEM/integrator access and maintenance laptops</t>
        </is>
      </c>
      <c r="B62" s="692" t="inlineStr">
        <is>
          <t>Common access route</t>
        </is>
      </c>
      <c r="C62" s="692" t="inlineStr">
        <is>
          <t>03/12</t>
        </is>
      </c>
      <c r="D62" s="692" t="inlineStr">
        <is>
          <t>Yes</t>
        </is>
      </c>
      <c r="E62" s="692" t="inlineStr">
        <is>
          <t>OT Engineering</t>
        </is>
      </c>
      <c r="F62" s="692" t="inlineStr">
        <is>
          <t>REMOTE_ACCESS / TRANSIENT_ASSETS</t>
        </is>
      </c>
      <c r="G62" s="692" t="inlineStr">
        <is>
          <t>Include temporary contractors</t>
        </is>
      </c>
      <c r="H62" s="693" t="str"/>
    </row>
    <row r="63">
      <c r="A63" s="680" t="inlineStr">
        <is>
          <t>PLC/robot/CNC program and recipe backup / validation process</t>
        </is>
      </c>
      <c r="B63" s="681" t="inlineStr">
        <is>
          <t>Restoration and integrity assurance</t>
        </is>
      </c>
      <c r="C63" s="681" t="inlineStr">
        <is>
          <t>04/05</t>
        </is>
      </c>
      <c r="D63" s="681" t="inlineStr">
        <is>
          <t>Yes</t>
        </is>
      </c>
      <c r="E63" s="681" t="inlineStr">
        <is>
          <t>Controls Engineering / Quality</t>
        </is>
      </c>
      <c r="F63" s="681" t="inlineStr">
        <is>
          <t>RC-03 and recovery controls</t>
        </is>
      </c>
      <c r="G63" s="681" t="inlineStr">
        <is>
          <t>Test restoration evidence preferred</t>
        </is>
      </c>
      <c r="H63" s="682" t="str"/>
    </row>
    <row r="64">
      <c r="A64" s="691" t="inlineStr">
        <is>
          <t>WIP, batch, scrap, rework and recall exposure</t>
        </is>
      </c>
      <c r="B64" s="692" t="inlineStr">
        <is>
          <t>Potential material loss missing from common driver set</t>
        </is>
      </c>
      <c r="C64" s="692" t="inlineStr">
        <is>
          <t>Pack extension</t>
        </is>
      </c>
      <c r="D64" s="692" t="inlineStr">
        <is>
          <t>Recommended</t>
        </is>
      </c>
      <c r="E64" s="692" t="inlineStr">
        <is>
          <t>Quality / Operations / Finance</t>
        </is>
      </c>
      <c r="F64" s="692" t="inlineStr">
        <is>
          <t>Optional sector-specific severity</t>
        </is>
      </c>
      <c r="G64" s="692" t="inlineStr">
        <is>
          <t>Particularly important for batch/regulated manufacturing</t>
        </is>
      </c>
      <c r="H64" s="693" t="str"/>
    </row>
    <row r="65">
      <c r="A65" s="680" t="inlineStr">
        <is>
          <t>Machine/process safety architecture</t>
        </is>
      </c>
      <c r="B65" s="681" t="inlineStr">
        <is>
          <t>Safety scenario feasibility</t>
        </is>
      </c>
      <c r="C65" s="681" t="inlineStr">
        <is>
          <t>03/12</t>
        </is>
      </c>
      <c r="D65" s="681" t="inlineStr">
        <is>
          <t>Yes where relevant</t>
        </is>
      </c>
      <c r="E65" s="681" t="inlineStr">
        <is>
          <t>HSE / Engineering</t>
        </is>
      </c>
      <c r="F65" s="681" t="inlineStr">
        <is>
          <t>SAFETY_SYSTEM gate</t>
        </is>
      </c>
      <c r="G65" s="681" t="inlineStr">
        <is>
          <t>Distinguish machine safety from process SIS</t>
        </is>
      </c>
      <c r="H65" s="682" t="str"/>
    </row>
    <row r="66">
      <c r="B66" s="973" t="n"/>
    </row>
    <row r="67" ht="20" customHeight="1" s="508">
      <c r="A67" s="658" t="inlineStr">
        <is>
          <t>PRIMARY SOURCES</t>
        </is>
      </c>
      <c r="B67" s="1001" t="n"/>
      <c r="C67" s="1001" t="n"/>
      <c r="D67" s="1001" t="n"/>
      <c r="E67" s="1001" t="n"/>
      <c r="F67" s="1001" t="n"/>
      <c r="G67" s="1001" t="n"/>
      <c r="H67" s="1001" t="n"/>
    </row>
    <row r="68" ht="30" customHeight="1" s="508">
      <c r="A68" s="670" t="inlineStr">
        <is>
          <t>Source</t>
        </is>
      </c>
      <c r="B68" s="671" t="inlineStr">
        <is>
          <t>Type</t>
        </is>
      </c>
      <c r="C68" s="671" t="inlineStr">
        <is>
          <t>Version / date</t>
        </is>
      </c>
      <c r="D68" s="671" t="inlineStr">
        <is>
          <t>URL</t>
        </is>
      </c>
      <c r="E68" s="671" t="inlineStr">
        <is>
          <t>What it supports</t>
        </is>
      </c>
      <c r="F68" s="671" t="inlineStr">
        <is>
          <t>Limitation</t>
        </is>
      </c>
      <c r="G68" s="671" t="inlineStr">
        <is>
          <t>Status</t>
        </is>
      </c>
      <c r="H68" s="672" t="str"/>
    </row>
    <row r="69">
      <c r="A69" s="680" t="inlineStr">
        <is>
          <t>NIST IR 8183 Rev.1</t>
        </is>
      </c>
      <c r="B69" s="681" t="inlineStr">
        <is>
          <t>Manufacturing CSF profile</t>
        </is>
      </c>
      <c r="C69" s="681" t="inlineStr">
        <is>
          <t>Oct 2020</t>
        </is>
      </c>
      <c r="D69" s="681" t="inlineStr">
        <is>
          <t>https://csrc.nist.gov/pubs/ir/8183/r1/final</t>
        </is>
      </c>
      <c r="E69" s="681" t="inlineStr">
        <is>
          <t>Manufacturing-specific cyber-risk profile</t>
        </is>
      </c>
      <c r="F69" s="681" t="inlineStr">
        <is>
          <t>No quantitative risk calibration</t>
        </is>
      </c>
      <c r="G69" s="681" t="inlineStr">
        <is>
          <t>External</t>
        </is>
      </c>
      <c r="H69" s="682" t="str"/>
    </row>
    <row r="70">
      <c r="A70" s="691" t="inlineStr">
        <is>
          <t>NIST SP 1800-10</t>
        </is>
      </c>
      <c r="B70" s="692" t="inlineStr">
        <is>
          <t>Manufacturing ICS integrity guidance</t>
        </is>
      </c>
      <c r="C70" s="692" t="inlineStr">
        <is>
          <t>Mar 2022</t>
        </is>
      </c>
      <c r="D70" s="692" t="inlineStr">
        <is>
          <t>https://csrc.nist.gov/pubs/sp/1800/10/final</t>
        </is>
      </c>
      <c r="E70" s="692" t="inlineStr">
        <is>
          <t>Discrete/process manufacturing integrity, destructive malware, insider and unauthorized software use cases</t>
        </is>
      </c>
      <c r="F70" s="692" t="inlineStr">
        <is>
          <t>Example architecture, not universal</t>
        </is>
      </c>
      <c r="G70" s="692" t="inlineStr">
        <is>
          <t>External</t>
        </is>
      </c>
      <c r="H70" s="693" t="str"/>
    </row>
    <row r="71">
      <c r="A71" s="680" t="inlineStr">
        <is>
          <t>NIST SP 800-82 Rev.3</t>
        </is>
      </c>
      <c r="B71" s="681" t="inlineStr">
        <is>
          <t>OT security guidance</t>
        </is>
      </c>
      <c r="C71" s="681" t="inlineStr">
        <is>
          <t>Sep 2023</t>
        </is>
      </c>
      <c r="D71" s="681" t="inlineStr">
        <is>
          <t>https://csrc.nist.gov/pubs/sp/800/82/r3/final</t>
        </is>
      </c>
      <c r="E71" s="681" t="inlineStr">
        <is>
          <t>Common OT architectures and safeguards</t>
        </is>
      </c>
      <c r="F71" s="681" t="inlineStr">
        <is>
          <t>No quantitative frequency</t>
        </is>
      </c>
      <c r="G71" s="681" t="inlineStr">
        <is>
          <t>External</t>
        </is>
      </c>
      <c r="H71" s="682" t="str"/>
    </row>
    <row r="72">
      <c r="A72" s="691" t="inlineStr">
        <is>
          <t>MITRE ATT&amp;CK for ICS</t>
        </is>
      </c>
      <c r="B72" s="692" t="inlineStr">
        <is>
          <t>Threat-behaviour taxonomy</t>
        </is>
      </c>
      <c r="C72" s="692" t="inlineStr">
        <is>
          <t>v19.2 / Apr 2026</t>
        </is>
      </c>
      <c r="D72" s="692" t="inlineStr">
        <is>
          <t>https://attack.mitre.org/matrices/ics/</t>
        </is>
      </c>
      <c r="E72" s="692" t="inlineStr">
        <is>
          <t>Technique taxonomy and impact semantics</t>
        </is>
      </c>
      <c r="F72" s="692" t="inlineStr">
        <is>
          <t>Presence ≠ feasibility</t>
        </is>
      </c>
      <c r="G72" s="692" t="inlineStr">
        <is>
          <t>External</t>
        </is>
      </c>
      <c r="H72" s="693" t="str"/>
    </row>
    <row r="73">
      <c r="A73" s="680" t="inlineStr">
        <is>
          <t>Dragos 2026 OT Year in Review</t>
        </is>
      </c>
      <c r="B73" s="681" t="inlineStr">
        <is>
          <t>Threat-intelligence benchmark</t>
        </is>
      </c>
      <c r="C73" s="681" t="inlineStr">
        <is>
          <t>Feb 2026</t>
        </is>
      </c>
      <c r="D73" s="681" t="inlineStr">
        <is>
          <t>https://www.dragos.com/blog/dragos-2026-ot-cybersecurity-year-in-review</t>
        </is>
      </c>
      <c r="E73" s="681" t="inlineStr">
        <is>
          <t>Manufacturing ransomware concentration in 2025</t>
        </is>
      </c>
      <c r="F73" s="681" t="inlineStr">
        <is>
          <t>No facility-year denominator</t>
        </is>
      </c>
      <c r="G73" s="681" t="inlineStr">
        <is>
          <t>Benchmark</t>
        </is>
      </c>
      <c r="H73" s="682" t="str"/>
    </row>
    <row r="74">
      <c r="A74" s="691" t="inlineStr">
        <is>
          <t>Dragos Q1 2025 ransomware analysis</t>
        </is>
      </c>
      <c r="B74" s="692" t="inlineStr">
        <is>
          <t>Threat-intelligence benchmark</t>
        </is>
      </c>
      <c r="C74" s="692" t="inlineStr">
        <is>
          <t>Q1 2025</t>
        </is>
      </c>
      <c r="D74" s="692" t="inlineStr">
        <is>
          <t>https://www.dragos.com/blog/dragos-industrial-ransomware-analysis-q1-2025</t>
        </is>
      </c>
      <c r="E74" s="692" t="inlineStr">
        <is>
          <t>Manufacturing 68% of recorded industrial ransomware incidents in Q1 2025</t>
        </is>
      </c>
      <c r="F74" s="692" t="inlineStr">
        <is>
          <t>Victim counts are not per-facility frequencies</t>
        </is>
      </c>
      <c r="G74" s="692" t="inlineStr">
        <is>
          <t>Benchmark</t>
        </is>
      </c>
      <c r="H74" s="693" t="str"/>
    </row>
    <row r="75">
      <c r="B75" s="973" t="n"/>
    </row>
    <row r="76">
      <c r="B76" s="973" t="n"/>
    </row>
    <row r="77">
      <c r="B77" s="973" t="n"/>
    </row>
    <row r="78">
      <c r="B78" s="973" t="n"/>
    </row>
    <row r="79">
      <c r="B79" s="973" t="n"/>
    </row>
    <row r="80">
      <c r="B80" s="973" t="n"/>
    </row>
    <row r="81">
      <c r="B81" s="973" t="n"/>
    </row>
    <row r="82">
      <c r="B82" s="973" t="n"/>
    </row>
    <row r="83">
      <c r="B83" s="973" t="n"/>
    </row>
    <row r="84">
      <c r="B84" s="973" t="n"/>
    </row>
    <row r="85">
      <c r="B85" s="973" t="n"/>
    </row>
    <row r="86">
      <c r="B86" s="973" t="n"/>
    </row>
    <row r="87">
      <c r="B87" s="973" t="n"/>
    </row>
    <row r="88">
      <c r="B88" s="973" t="n"/>
    </row>
    <row r="89">
      <c r="B89" s="973" t="n"/>
    </row>
    <row r="90">
      <c r="B90" s="973" t="n"/>
    </row>
    <row r="91">
      <c r="B91" s="973" t="n"/>
    </row>
    <row r="92">
      <c r="B92" s="973" t="n"/>
    </row>
    <row r="93">
      <c r="B93" s="973" t="n"/>
    </row>
    <row r="94">
      <c r="B94" s="973" t="n"/>
    </row>
    <row r="95">
      <c r="B95" s="973" t="n"/>
    </row>
    <row r="96">
      <c r="B96" s="973" t="n"/>
    </row>
    <row r="97">
      <c r="B97" s="973" t="n"/>
    </row>
    <row r="98">
      <c r="B98" s="973" t="n"/>
    </row>
    <row r="99">
      <c r="B99" s="973" t="n"/>
    </row>
    <row r="100">
      <c r="B100" s="973" t="n"/>
    </row>
    <row r="101">
      <c r="B101" s="973" t="n"/>
    </row>
    <row r="102">
      <c r="B102" s="973" t="n"/>
    </row>
    <row r="103">
      <c r="B103" s="973" t="n"/>
    </row>
    <row r="104">
      <c r="B104" s="973" t="n"/>
    </row>
    <row r="105">
      <c r="B105" s="973" t="n"/>
    </row>
    <row r="106">
      <c r="B106" s="973" t="n"/>
    </row>
    <row r="107">
      <c r="B107" s="973" t="n"/>
    </row>
    <row r="108">
      <c r="B108" s="973" t="n"/>
    </row>
    <row r="109">
      <c r="B109" s="973" t="n"/>
    </row>
    <row r="110">
      <c r="B110" s="973" t="n"/>
    </row>
    <row r="111">
      <c r="B111" s="973" t="n"/>
    </row>
    <row r="112">
      <c r="B112" s="973" t="n"/>
    </row>
    <row r="113">
      <c r="B113" s="973" t="n"/>
    </row>
    <row r="114">
      <c r="B114" s="973" t="n"/>
    </row>
    <row r="115">
      <c r="B115" s="973" t="n"/>
    </row>
    <row r="116">
      <c r="B116" s="973" t="n"/>
    </row>
    <row r="117">
      <c r="B117" s="973" t="n"/>
    </row>
    <row r="118">
      <c r="B118" s="973" t="n"/>
    </row>
    <row r="119">
      <c r="B119" s="973" t="n"/>
    </row>
    <row r="120">
      <c r="B120" s="973" t="n"/>
    </row>
    <row r="121">
      <c r="B121" s="973" t="n"/>
    </row>
    <row r="122">
      <c r="B122" s="973" t="n"/>
    </row>
    <row r="123">
      <c r="B123" s="973" t="n"/>
    </row>
    <row r="124">
      <c r="B124" s="973" t="n"/>
    </row>
    <row r="125">
      <c r="B125" s="973" t="n"/>
    </row>
    <row r="126">
      <c r="B126" s="973" t="n"/>
    </row>
    <row r="127">
      <c r="B127" s="973" t="n"/>
    </row>
    <row r="128">
      <c r="B128" s="973" t="n"/>
    </row>
    <row r="129">
      <c r="B129" s="973" t="n"/>
    </row>
    <row r="130">
      <c r="B130" s="973" t="n"/>
    </row>
    <row r="131">
      <c r="B131" s="973" t="n"/>
    </row>
    <row r="132">
      <c r="B132" s="973" t="n"/>
    </row>
    <row r="133">
      <c r="B133" s="973" t="n"/>
    </row>
    <row r="134">
      <c r="B134" s="973" t="n"/>
    </row>
    <row r="135">
      <c r="B135" s="973" t="n"/>
    </row>
    <row r="136">
      <c r="B136" s="973" t="n"/>
    </row>
    <row r="137">
      <c r="B137" s="973" t="n"/>
    </row>
    <row r="138">
      <c r="B138" s="973" t="n"/>
    </row>
    <row r="139">
      <c r="B139" s="973" t="n"/>
    </row>
    <row r="140">
      <c r="B140" s="973" t="n"/>
    </row>
    <row r="141">
      <c r="B141" s="973" t="n"/>
    </row>
    <row r="142">
      <c r="B142" s="973" t="n"/>
    </row>
    <row r="143">
      <c r="B143" s="973" t="n"/>
    </row>
    <row r="144">
      <c r="B144" s="973" t="n"/>
    </row>
    <row r="145">
      <c r="B145" s="973" t="n"/>
    </row>
    <row r="146">
      <c r="B146" s="973" t="n"/>
    </row>
    <row r="147">
      <c r="B147" s="973" t="n"/>
    </row>
    <row r="148">
      <c r="B148" s="973" t="n"/>
    </row>
    <row r="149">
      <c r="B149" s="973" t="n"/>
    </row>
    <row r="150">
      <c r="B150" s="973" t="n"/>
    </row>
    <row r="151">
      <c r="B151" s="973" t="n"/>
    </row>
    <row r="152">
      <c r="B152" s="973" t="n"/>
    </row>
    <row r="153">
      <c r="B153" s="973" t="n"/>
    </row>
    <row r="154">
      <c r="B154" s="973" t="n"/>
    </row>
    <row r="155">
      <c r="B155" s="973" t="n"/>
    </row>
    <row r="156">
      <c r="B156" s="973" t="n"/>
    </row>
    <row r="157">
      <c r="B157" s="973" t="n"/>
    </row>
    <row r="158">
      <c r="B158" s="973" t="n"/>
    </row>
    <row r="159">
      <c r="B159" s="973" t="n"/>
    </row>
    <row r="160">
      <c r="B160" s="973" t="n"/>
    </row>
    <row r="161">
      <c r="B161" s="973" t="n"/>
    </row>
    <row r="162">
      <c r="B162" s="973" t="n"/>
    </row>
    <row r="163">
      <c r="B163" s="973" t="n"/>
    </row>
    <row r="164">
      <c r="B164" s="973" t="n"/>
    </row>
    <row r="165">
      <c r="B165" s="973" t="n"/>
    </row>
    <row r="166">
      <c r="B166" s="973" t="n"/>
    </row>
    <row r="167">
      <c r="B167" s="973" t="n"/>
    </row>
    <row r="168">
      <c r="B168" s="973" t="n"/>
    </row>
    <row r="169">
      <c r="B169" s="973" t="n"/>
    </row>
    <row r="170">
      <c r="B170" s="973" t="n"/>
    </row>
    <row r="171">
      <c r="B171" s="973" t="n"/>
    </row>
    <row r="172">
      <c r="B172" s="973" t="n"/>
    </row>
    <row r="173">
      <c r="B173" s="973" t="n"/>
    </row>
    <row r="174">
      <c r="B174" s="973" t="n"/>
    </row>
    <row r="175">
      <c r="B175" s="973" t="n"/>
    </row>
    <row r="176">
      <c r="B176" s="973" t="n"/>
    </row>
    <row r="177">
      <c r="B177" s="973" t="n"/>
    </row>
    <row r="178">
      <c r="B178" s="973" t="n"/>
    </row>
    <row r="179">
      <c r="B179" s="973" t="n"/>
    </row>
    <row r="180">
      <c r="B180" s="973" t="n"/>
    </row>
    <row r="181">
      <c r="B181" s="973" t="n"/>
    </row>
    <row r="182">
      <c r="B182" s="973" t="n"/>
    </row>
    <row r="183">
      <c r="B183" s="973" t="n"/>
    </row>
    <row r="184">
      <c r="B184" s="973" t="n"/>
    </row>
    <row r="185">
      <c r="B185" s="973" t="n"/>
    </row>
    <row r="186">
      <c r="B186" s="973" t="n"/>
    </row>
    <row r="187">
      <c r="B187" s="973" t="n"/>
    </row>
    <row r="188">
      <c r="B188" s="973" t="n"/>
    </row>
    <row r="189">
      <c r="B189" s="973" t="n"/>
    </row>
    <row r="190">
      <c r="B190" s="973" t="n"/>
    </row>
    <row r="191">
      <c r="B191" s="973" t="n"/>
    </row>
    <row r="192">
      <c r="B192" s="973" t="n"/>
    </row>
    <row r="193">
      <c r="B193" s="973" t="n"/>
    </row>
    <row r="194">
      <c r="B194" s="973" t="n"/>
    </row>
    <row r="195">
      <c r="B195" s="973" t="n"/>
    </row>
    <row r="196">
      <c r="B196" s="973" t="n"/>
    </row>
    <row r="197">
      <c r="B197" s="973" t="n"/>
    </row>
    <row r="198">
      <c r="B198" s="973" t="n"/>
    </row>
    <row r="199">
      <c r="B199" s="973" t="n"/>
    </row>
    <row r="200">
      <c r="B200" s="973" t="n"/>
    </row>
  </sheetData>
  <mergeCells count="11">
    <mergeCell ref="A1:H1"/>
    <mergeCell ref="A67:H67"/>
    <mergeCell ref="A26:H26"/>
    <mergeCell ref="A5:H5"/>
    <mergeCell ref="A20:H20"/>
    <mergeCell ref="A43:H43"/>
    <mergeCell ref="A2:H3"/>
    <mergeCell ref="A13:H13"/>
    <mergeCell ref="A45:H45"/>
    <mergeCell ref="A58:H58"/>
    <mergeCell ref="A34:H34"/>
  </mergeCells>
  <pageMargins left="0.7" right="0.7" top="0.75" bottom="0.75" header="0.3" footer="0.3"/>
</worksheet>
</file>

<file path=xl/worksheets/sheet49.xml><?xml version="1.0" encoding="utf-8"?>
<worksheet xmlns="http://schemas.openxmlformats.org/spreadsheetml/2006/main">
  <sheetPr>
    <tabColor rgb="00C00080"/>
    <outlinePr summaryBelow="1" summaryRight="1"/>
    <pageSetUpPr/>
  </sheetPr>
  <dimension ref="A1:H33"/>
  <sheetViews>
    <sheetView workbookViewId="0">
      <selection activeCell="A1" sqref="A1"/>
    </sheetView>
  </sheetViews>
  <sheetFormatPr baseColWidth="8" defaultRowHeight="15"/>
  <cols>
    <col width="20" customWidth="1" style="508" min="1" max="1"/>
    <col width="24" customWidth="1" style="508" min="2" max="2"/>
    <col width="22" customWidth="1" style="508" min="3" max="3"/>
    <col width="18" customWidth="1" style="508" min="4" max="4"/>
    <col width="40" customWidth="1" style="508" min="5" max="5"/>
    <col width="26" customWidth="1" style="508" min="6" max="6"/>
    <col width="26" customWidth="1" style="508" min="7" max="7"/>
    <col width="28" customWidth="1" style="508" min="8" max="8"/>
  </cols>
  <sheetData>
    <row r="1" ht="26" customHeight="1" s="508">
      <c r="A1" s="651" t="inlineStr">
        <is>
          <t>33 — Sector Pack Comparison</t>
        </is>
      </c>
    </row>
    <row r="2" ht="30" customHeight="1" s="508">
      <c r="A2" s="655" t="inlineStr">
        <is>
          <t>Side-by-side governance view of the three facility-level sector packs. Numerical sector multipliers are working structured priors unless marked reference; scenario BIA values are starting points and must be replaced by facility evidence where available.</t>
        </is>
      </c>
    </row>
    <row r="3" ht="30" customHeight="1" s="508"/>
    <row r="5" ht="20" customHeight="1" s="508">
      <c r="A5" s="658" t="inlineStr">
        <is>
          <t>PACK STATUS</t>
        </is>
      </c>
      <c r="B5" s="1001" t="n"/>
      <c r="C5" s="1001" t="n"/>
      <c r="D5" s="1001" t="n"/>
      <c r="E5" s="1001" t="n"/>
      <c r="F5" s="1001" t="n"/>
      <c r="G5" s="1001" t="n"/>
      <c r="H5" s="1001" t="n"/>
    </row>
    <row r="6" ht="30" customHeight="1" s="508">
      <c r="A6" s="670" t="inlineStr">
        <is>
          <t>Dimension</t>
        </is>
      </c>
      <c r="B6" s="671" t="inlineStr">
        <is>
          <t>Power Generation</t>
        </is>
      </c>
      <c r="C6" s="671" t="inlineStr">
        <is>
          <t>Energy Assets</t>
        </is>
      </c>
      <c r="D6" s="671" t="inlineStr">
        <is>
          <t>Manufacturing</t>
        </is>
      </c>
      <c r="E6" s="671" t="inlineStr">
        <is>
          <t>Interpretation / governance</t>
        </is>
      </c>
      <c r="F6" s="671" t="str"/>
      <c r="G6" s="671" t="str"/>
      <c r="H6" s="672" t="str"/>
    </row>
    <row r="7">
      <c r="A7" s="680" t="inlineStr">
        <is>
          <t>Pack ID</t>
        </is>
      </c>
      <c r="B7" s="681" t="inlineStr">
        <is>
          <t>PG-v1.6</t>
        </is>
      </c>
      <c r="C7" s="681" t="inlineStr">
        <is>
          <t>EA-v1.0</t>
        </is>
      </c>
      <c r="D7" s="681" t="inlineStr">
        <is>
          <t>MF-v1.0</t>
        </is>
      </c>
      <c r="E7" s="681" t="inlineStr">
        <is>
          <t>Power Generation remains the validated reference structure; new packs are working calibrations pending facility/SME evidence.</t>
        </is>
      </c>
      <c r="F7" s="681" t="str"/>
      <c r="G7" s="681" t="str"/>
      <c r="H7" s="682" t="str"/>
    </row>
    <row r="8">
      <c r="A8" s="691" t="inlineStr">
        <is>
          <t>Status</t>
        </is>
      </c>
      <c r="B8" s="692" t="inlineStr">
        <is>
          <t>Reference working calibration</t>
        </is>
      </c>
      <c r="C8" s="692" t="inlineStr">
        <is>
          <t>Working — controlled calibration</t>
        </is>
      </c>
      <c r="D8" s="692" t="inlineStr">
        <is>
          <t>Working — controlled calibration</t>
        </is>
      </c>
      <c r="E8" s="692" t="inlineStr">
        <is>
          <t>Do not describe EA/MF as externally validated.</t>
        </is>
      </c>
      <c r="F8" s="692" t="str"/>
      <c r="G8" s="692" t="str"/>
      <c r="H8" s="693" t="str"/>
    </row>
    <row r="9">
      <c r="A9" s="680" t="inlineStr">
        <is>
          <t>Common engine</t>
        </is>
      </c>
      <c r="B9" s="681" t="inlineStr">
        <is>
          <t>Yes</t>
        </is>
      </c>
      <c r="C9" s="681" t="inlineStr">
        <is>
          <t>Yes</t>
        </is>
      </c>
      <c r="D9" s="681" t="inlineStr">
        <is>
          <t>Yes</t>
        </is>
      </c>
      <c r="E9" s="681" t="inlineStr">
        <is>
          <t>Five scenarios, S1–S5 composite barriers, common control mapping and Monte Carlo architecture are retained.</t>
        </is>
      </c>
      <c r="F9" s="681" t="str"/>
      <c r="G9" s="681" t="str"/>
      <c r="H9" s="682" t="str"/>
    </row>
    <row r="10">
      <c r="A10" s="691" t="inlineStr">
        <is>
          <t>BIA structure</t>
        </is>
      </c>
      <c r="B10" s="692" t="inlineStr">
        <is>
          <t>Common 18-driver</t>
        </is>
      </c>
      <c r="C10" s="692" t="inlineStr">
        <is>
          <t>Common 18-driver + energy guidance</t>
        </is>
      </c>
      <c r="D10" s="692" t="inlineStr">
        <is>
          <t>Common 18-driver + manufacturing quality/WIP extension recommended</t>
        </is>
      </c>
      <c r="E10" s="692" t="inlineStr">
        <is>
          <t>Facility evidence overrides pack defaults.</t>
        </is>
      </c>
      <c r="F10" s="692" t="str"/>
      <c r="G10" s="692" t="str"/>
      <c r="H10" s="693" t="str"/>
    </row>
    <row r="11">
      <c r="A11" s="680" t="inlineStr">
        <is>
          <t>Primary external guidance</t>
        </is>
      </c>
      <c r="B11" s="681" t="inlineStr">
        <is>
          <t>NIST 800-82; DOE C2M2</t>
        </is>
      </c>
      <c r="C11" s="681" t="inlineStr">
        <is>
          <t>DOE C2M2; API 1164; NIST 800-82</t>
        </is>
      </c>
      <c r="D11" s="681" t="inlineStr">
        <is>
          <t>NIST IR 8183; NIST SP 1800-10; NIST 800-82</t>
        </is>
      </c>
      <c r="E11" s="681" t="inlineStr">
        <is>
          <t>Standards guide context and controls; they do not supply probabilities.</t>
        </is>
      </c>
      <c r="F11" s="681" t="str"/>
      <c r="G11" s="681" t="str"/>
      <c r="H11" s="682" t="str"/>
    </row>
    <row r="13" ht="20" customHeight="1" s="508">
      <c r="A13" s="658" t="inlineStr">
        <is>
          <t>SECTOR FREQUENCY OVERLAY — ACTOR MULTIPLIERS</t>
        </is>
      </c>
      <c r="B13" s="1001" t="n"/>
      <c r="C13" s="1001" t="n"/>
      <c r="D13" s="1001" t="n"/>
      <c r="E13" s="1001" t="n"/>
      <c r="F13" s="1001" t="n"/>
      <c r="G13" s="1001" t="n"/>
      <c r="H13" s="1001" t="n"/>
    </row>
    <row r="14" ht="30" customHeight="1" s="508">
      <c r="A14" s="670" t="inlineStr">
        <is>
          <t>Threat actor</t>
        </is>
      </c>
      <c r="B14" s="671" t="inlineStr">
        <is>
          <t>Power Generation</t>
        </is>
      </c>
      <c r="C14" s="671" t="inlineStr">
        <is>
          <t>Energy Assets</t>
        </is>
      </c>
      <c r="D14" s="671" t="inlineStr">
        <is>
          <t>Manufacturing</t>
        </is>
      </c>
      <c r="E14" s="671" t="inlineStr">
        <is>
          <t>Evidence interpretation</t>
        </is>
      </c>
      <c r="F14" s="671" t="inlineStr">
        <is>
          <t>Calibration status</t>
        </is>
      </c>
      <c r="G14" s="671" t="inlineStr">
        <is>
          <t>Engine use</t>
        </is>
      </c>
      <c r="H14" s="672" t="str"/>
    </row>
    <row r="15">
      <c r="A15" s="680" t="inlineStr">
        <is>
          <t>Nation State</t>
        </is>
      </c>
      <c r="B15" s="721" t="n">
        <v>1</v>
      </c>
      <c r="C15" s="722" t="n">
        <v>1.15</v>
      </c>
      <c r="D15" s="723" t="n">
        <v>0.85</v>
      </c>
      <c r="E15" s="681" t="inlineStr">
        <is>
          <t>Energy gets a modest uplift for strategic/state threat relevance; manufacturing is reduced relative to the reference but remains non-zero.</t>
        </is>
      </c>
      <c r="F15" s="681" t="inlineStr">
        <is>
          <t>Structured prior for EA/MF</t>
        </is>
      </c>
      <c r="G15" s="681" t="inlineStr">
        <is>
          <t>Multiply actor-specific sector intensity</t>
        </is>
      </c>
      <c r="H15" s="682" t="str"/>
    </row>
    <row r="16">
      <c r="A16" s="691" t="inlineStr">
        <is>
          <t>Cybercriminal</t>
        </is>
      </c>
      <c r="B16" s="721" t="n">
        <v>1</v>
      </c>
      <c r="C16" s="722" t="n">
        <v>1</v>
      </c>
      <c r="D16" s="723" t="n">
        <v>1.25</v>
      </c>
      <c r="E16" s="692" t="inlineStr">
        <is>
          <t>Manufacturing gets a modest uplift because it represented &gt;2/3 of industrial ransomware victims tracked by Dragos in 2025.</t>
        </is>
      </c>
      <c r="F16" s="692" t="inlineStr">
        <is>
          <t>Structured prior for MF</t>
        </is>
      </c>
      <c r="G16" s="692" t="inlineStr">
        <is>
          <t>Multiply actor-specific sector intensity</t>
        </is>
      </c>
      <c r="H16" s="693" t="str"/>
    </row>
    <row r="17">
      <c r="A17" s="680" t="inlineStr">
        <is>
          <t>Malicious Insider</t>
        </is>
      </c>
      <c r="B17" s="721" t="n">
        <v>1</v>
      </c>
      <c r="C17" s="722" t="n">
        <v>1</v>
      </c>
      <c r="D17" s="723" t="n">
        <v>1</v>
      </c>
      <c r="E17" s="681" t="inlineStr">
        <is>
          <t>No compatible public denominator supports sector differentiation.</t>
        </is>
      </c>
      <c r="F17" s="681" t="inlineStr">
        <is>
          <t>Neutral prior</t>
        </is>
      </c>
      <c r="G17" s="681" t="inlineStr">
        <is>
          <t>Multiply actor-specific sector intensity</t>
        </is>
      </c>
      <c r="H17" s="682" t="str"/>
    </row>
    <row r="19" ht="20" customHeight="1" s="508">
      <c r="A19" s="658" t="inlineStr">
        <is>
          <t>SCENARIO DOWNTIME STARTING POINTS — P50 / P99 DAYS</t>
        </is>
      </c>
      <c r="B19" s="1001" t="n"/>
      <c r="C19" s="1001" t="n"/>
      <c r="D19" s="1001" t="n"/>
      <c r="E19" s="1001" t="n"/>
      <c r="F19" s="1001" t="n"/>
      <c r="G19" s="1001" t="n"/>
      <c r="H19" s="1001" t="n"/>
    </row>
    <row r="20" ht="30" customHeight="1" s="508">
      <c r="A20" s="670" t="inlineStr">
        <is>
          <t>Scenario</t>
        </is>
      </c>
      <c r="B20" s="671" t="inlineStr">
        <is>
          <t>Power Generation</t>
        </is>
      </c>
      <c r="C20" s="671" t="inlineStr">
        <is>
          <t>Energy Assets</t>
        </is>
      </c>
      <c r="D20" s="671" t="inlineStr">
        <is>
          <t>Manufacturing</t>
        </is>
      </c>
      <c r="E20" s="671" t="inlineStr">
        <is>
          <t>Why sector values differ</t>
        </is>
      </c>
      <c r="F20" s="671" t="inlineStr">
        <is>
          <t>Status</t>
        </is>
      </c>
      <c r="G20" s="671" t="inlineStr">
        <is>
          <t>Facility override</t>
        </is>
      </c>
      <c r="H20" s="672" t="str"/>
    </row>
    <row r="21">
      <c r="A21" s="680" t="inlineStr">
        <is>
          <t>Operational Disruption</t>
        </is>
      </c>
      <c r="B21" s="681" t="inlineStr">
        <is>
          <t>5 / 45</t>
        </is>
      </c>
      <c r="C21" s="681" t="inlineStr">
        <is>
          <t>7 / 60</t>
        </is>
      </c>
      <c r="D21" s="681" t="inlineStr">
        <is>
          <t>5 / 45</t>
        </is>
      </c>
      <c r="E21" s="681" t="inlineStr">
        <is>
          <t>Energy restart / distributed operating-unit recovery can be longer; manufacturing baseline retained.</t>
        </is>
      </c>
      <c r="F21" s="681" t="inlineStr">
        <is>
          <t>Working pack priors</t>
        </is>
      </c>
      <c r="G21" s="681" t="inlineStr">
        <is>
          <t>Required where BIA evidence exists</t>
        </is>
      </c>
      <c r="H21" s="682" t="str"/>
    </row>
    <row r="22">
      <c r="A22" s="691" t="inlineStr">
        <is>
          <t>Loss of Control or Visibility</t>
        </is>
      </c>
      <c r="B22" s="692" t="inlineStr">
        <is>
          <t>3 / 30</t>
        </is>
      </c>
      <c r="C22" s="692" t="inlineStr">
        <is>
          <t>4 / 45</t>
        </is>
      </c>
      <c r="D22" s="692" t="inlineStr">
        <is>
          <t>3 / 30</t>
        </is>
      </c>
      <c r="E22" s="692" t="inlineStr">
        <is>
          <t>Energy remote/continuous operations can require longer safe-state and assurance activities.</t>
        </is>
      </c>
      <c r="F22" s="692" t="inlineStr">
        <is>
          <t>Working pack priors</t>
        </is>
      </c>
      <c r="G22" s="692" t="inlineStr">
        <is>
          <t>Required where BIA evidence exists</t>
        </is>
      </c>
      <c r="H22" s="693" t="str"/>
    </row>
    <row r="23">
      <c r="A23" s="680" t="inlineStr">
        <is>
          <t>Process Manipulation</t>
        </is>
      </c>
      <c r="B23" s="681" t="inlineStr">
        <is>
          <t>7 / 60</t>
        </is>
      </c>
      <c r="C23" s="681" t="inlineStr">
        <is>
          <t>10 / 90</t>
        </is>
      </c>
      <c r="D23" s="681" t="inlineStr">
        <is>
          <t>7 / 60</t>
        </is>
      </c>
      <c r="E23" s="681" t="inlineStr">
        <is>
          <t>Energy process assurance, inspection and product disposition can extend recovery.</t>
        </is>
      </c>
      <c r="F23" s="681" t="inlineStr">
        <is>
          <t>Working pack priors</t>
        </is>
      </c>
      <c r="G23" s="681" t="inlineStr">
        <is>
          <t>Required where BIA evidence exists</t>
        </is>
      </c>
      <c r="H23" s="682" t="str"/>
    </row>
    <row r="24">
      <c r="A24" s="691" t="inlineStr">
        <is>
          <t>Safety System Compromise</t>
        </is>
      </c>
      <c r="B24" s="692" t="inlineStr">
        <is>
          <t>14 / 120</t>
        </is>
      </c>
      <c r="C24" s="692" t="inlineStr">
        <is>
          <t>21 / 180</t>
        </is>
      </c>
      <c r="D24" s="692" t="inlineStr">
        <is>
          <t>10 / 90</t>
        </is>
      </c>
      <c r="E24" s="692" t="inlineStr">
        <is>
          <t>Energy major-hazard assurance creates a longer tail; manufacturing depends heavily on facility type.</t>
        </is>
      </c>
      <c r="F24" s="692" t="inlineStr">
        <is>
          <t>Working pack priors</t>
        </is>
      </c>
      <c r="G24" s="692" t="inlineStr">
        <is>
          <t>Required where BIA evidence exists</t>
        </is>
      </c>
      <c r="H24" s="693" t="str"/>
    </row>
    <row r="25">
      <c r="A25" s="680" t="inlineStr">
        <is>
          <t>Destructive or Integrity Attack</t>
        </is>
      </c>
      <c r="B25" s="681" t="inlineStr">
        <is>
          <t>30 / 180</t>
        </is>
      </c>
      <c r="C25" s="681" t="inlineStr">
        <is>
          <t>45 / 270</t>
        </is>
      </c>
      <c r="D25" s="681" t="inlineStr">
        <is>
          <t>21 / 120</t>
        </is>
      </c>
      <c r="E25" s="681" t="inlineStr">
        <is>
          <t>Energy specialist equipment/logistics can extend severe restoration; manufacturing recovery varies by proprietary equipment.</t>
        </is>
      </c>
      <c r="F25" s="681" t="inlineStr">
        <is>
          <t>Working pack priors</t>
        </is>
      </c>
      <c r="G25" s="681" t="inlineStr">
        <is>
          <t>Required where BIA evidence exists</t>
        </is>
      </c>
      <c r="H25" s="682" t="str"/>
    </row>
    <row r="27" ht="20" customHeight="1" s="508">
      <c r="A27" s="658" t="inlineStr">
        <is>
          <t>MATERIAL PACK DIFFERENCES</t>
        </is>
      </c>
      <c r="B27" s="1001" t="n"/>
      <c r="C27" s="1001" t="n"/>
      <c r="D27" s="1001" t="n"/>
      <c r="E27" s="1001" t="n"/>
      <c r="F27" s="1001" t="n"/>
      <c r="G27" s="1001" t="n"/>
      <c r="H27" s="1001" t="n"/>
    </row>
    <row r="28" ht="30" customHeight="1" s="508">
      <c r="A28" s="670" t="inlineStr">
        <is>
          <t>Topic</t>
        </is>
      </c>
      <c r="B28" s="671" t="inlineStr">
        <is>
          <t>Power Generation</t>
        </is>
      </c>
      <c r="C28" s="671" t="inlineStr">
        <is>
          <t>Energy Assets</t>
        </is>
      </c>
      <c r="D28" s="671" t="inlineStr">
        <is>
          <t>Manufacturing</t>
        </is>
      </c>
      <c r="E28" s="671" t="inlineStr">
        <is>
          <t>Model implication</t>
        </is>
      </c>
      <c r="F28" s="671" t="inlineStr">
        <is>
          <t>Action before production</t>
        </is>
      </c>
      <c r="G28" s="671" t="inlineStr">
        <is>
          <t>Evidence anchor</t>
        </is>
      </c>
      <c r="H28" s="672" t="str"/>
    </row>
    <row r="29">
      <c r="A29" s="680" t="inlineStr">
        <is>
          <t>Threat pressure</t>
        </is>
      </c>
      <c r="B29" s="681" t="inlineStr">
        <is>
          <t>Balanced reference</t>
        </is>
      </c>
      <c r="C29" s="681" t="inlineStr">
        <is>
          <t>Higher state/strategic relevance</t>
        </is>
      </c>
      <c r="D29" s="681" t="inlineStr">
        <is>
          <t>Higher criminal/ransomware relevance</t>
        </is>
      </c>
      <c r="E29" s="681" t="inlineStr">
        <is>
          <t>Sector multiplier changes actor intensity, not success probability</t>
        </is>
      </c>
      <c r="F29" s="681" t="inlineStr">
        <is>
          <t>Confirm with current threat intel / internal events</t>
        </is>
      </c>
      <c r="G29" s="681" t="inlineStr">
        <is>
          <t>Dragos 2026</t>
        </is>
      </c>
      <c r="H29" s="682" t="str"/>
    </row>
    <row r="30">
      <c r="A30" s="691" t="inlineStr">
        <is>
          <t>Primary severe consequence</t>
        </is>
      </c>
      <c r="B30" s="692" t="inlineStr">
        <is>
          <t>Forced outage / availability</t>
        </is>
      </c>
      <c r="C30" s="692" t="inlineStr">
        <is>
          <t>Safety, environmental, long restart / integrity</t>
        </is>
      </c>
      <c r="D30" s="692" t="inlineStr">
        <is>
          <t>Production outage + quality/WIP/rework</t>
        </is>
      </c>
      <c r="E30" s="692" t="inlineStr">
        <is>
          <t>BIA calibration must be sector/facility-specific</t>
        </is>
      </c>
      <c r="F30" s="692" t="inlineStr">
        <is>
          <t>Run BIA workshop</t>
        </is>
      </c>
      <c r="G30" s="692" t="inlineStr">
        <is>
          <t>NIST / DOE / API guidance</t>
        </is>
      </c>
      <c r="H30" s="693" t="str"/>
    </row>
    <row r="31">
      <c r="A31" s="680" t="inlineStr">
        <is>
          <t>Distributed operations</t>
        </is>
      </c>
      <c r="B31" s="681" t="inlineStr">
        <is>
          <t>Moderate for some renewables/hydro</t>
        </is>
      </c>
      <c r="C31" s="681" t="inlineStr">
        <is>
          <t>High for pipelines/upstream field assets</t>
        </is>
      </c>
      <c r="D31" s="681" t="inlineStr">
        <is>
          <t>Varies; often site-concentrated</t>
        </is>
      </c>
      <c r="E31" s="681" t="inlineStr">
        <is>
          <t>Assessment boundary and remote communications matter</t>
        </is>
      </c>
      <c r="F31" s="681" t="inlineStr">
        <is>
          <t>Define unit of analysis explicitly</t>
        </is>
      </c>
      <c r="G31" s="681" t="inlineStr">
        <is>
          <t>API 1164 / facility architecture</t>
        </is>
      </c>
      <c r="H31" s="682" t="str"/>
    </row>
    <row r="32">
      <c r="A32" s="691" t="inlineStr">
        <is>
          <t>Manufacturing-specific loss</t>
        </is>
      </c>
      <c r="B32" s="692" t="inlineStr">
        <is>
          <t>Not material as separate class</t>
        </is>
      </c>
      <c r="C32" s="692" t="inlineStr">
        <is>
          <t>Usually covered by BI/EN-01</t>
        </is>
      </c>
      <c r="D32" s="692" t="inlineStr">
        <is>
          <t>Scrap/WIP/batch/quality may be separate material loss</t>
        </is>
      </c>
      <c r="E32" s="692" t="inlineStr">
        <is>
          <t>Common 18-driver BIA may need one optional extension</t>
        </is>
      </c>
      <c r="F32" s="692" t="inlineStr">
        <is>
          <t>Add only if material and separately measurable</t>
        </is>
      </c>
      <c r="G32" s="692" t="inlineStr">
        <is>
          <t>NIST manufacturing guidance</t>
        </is>
      </c>
      <c r="H32" s="693" t="str"/>
    </row>
    <row r="33">
      <c r="A33" s="680" t="inlineStr">
        <is>
          <t>Sector TTP set</t>
        </is>
      </c>
      <c r="B33" s="681" t="inlineStr">
        <is>
          <t>Common ATT&amp;CK ICS</t>
        </is>
      </c>
      <c r="C33" s="681" t="inlineStr">
        <is>
          <t>Common ATT&amp;CK ICS</t>
        </is>
      </c>
      <c r="D33" s="681" t="inlineStr">
        <is>
          <t>Common ATT&amp;CK ICS</t>
        </is>
      </c>
      <c r="E33" s="681" t="inlineStr">
        <is>
          <t>Sector changes rationale/emphasis; facility gates determine feasibility</t>
        </is>
      </c>
      <c r="F33" s="681" t="inlineStr">
        <is>
          <t>Do not create unsupported bespoke attack paths</t>
        </is>
      </c>
      <c r="G33" s="681" t="inlineStr">
        <is>
          <t>MITRE ATT&amp;CK ICS</t>
        </is>
      </c>
      <c r="H33" s="682" t="str"/>
    </row>
  </sheetData>
  <mergeCells count="6">
    <mergeCell ref="A1:H1"/>
    <mergeCell ref="A2:H3"/>
    <mergeCell ref="A19:H19"/>
    <mergeCell ref="A13:H13"/>
    <mergeCell ref="A5:H5"/>
    <mergeCell ref="A27:H27"/>
  </mergeCells>
  <pageMargins left="0.7" right="0.7" top="0.75" bottom="0.75" header="0.3" footer="0.3"/>
</worksheet>
</file>

<file path=xl/worksheets/sheet50.xml><?xml version="1.0" encoding="utf-8"?>
<worksheet xmlns="http://schemas.openxmlformats.org/spreadsheetml/2006/main">
  <sheetPr>
    <tabColor rgb="00C00080"/>
    <outlinePr summaryBelow="1" summaryRight="1"/>
    <pageSetUpPr/>
  </sheetPr>
  <dimension ref="A1:H20"/>
  <sheetViews>
    <sheetView workbookViewId="0">
      <selection activeCell="A1" sqref="A1"/>
    </sheetView>
  </sheetViews>
  <sheetFormatPr baseColWidth="8" defaultRowHeight="15"/>
  <cols>
    <col width="24" customWidth="1" style="508" min="1" max="1"/>
    <col width="24" customWidth="1" style="508" min="2" max="2"/>
    <col width="24" customWidth="1" style="508" min="3" max="3"/>
    <col width="24" customWidth="1" style="508" min="4" max="4"/>
    <col width="24" customWidth="1" style="508" min="5" max="5"/>
    <col width="24" customWidth="1" style="508" min="6" max="6"/>
    <col width="24" customWidth="1" style="508" min="7" max="7"/>
    <col width="24" customWidth="1" style="508" min="8" max="8"/>
    <col width="14" customWidth="1" style="508" min="9" max="9"/>
    <col width="14" customWidth="1" style="508" min="10" max="10"/>
    <col width="14" customWidth="1" style="508" min="11" max="11"/>
    <col width="14" customWidth="1" style="508" min="12" max="12"/>
    <col width="14" customWidth="1" style="508" min="13" max="13"/>
    <col width="14" customWidth="1" style="508" min="14" max="14"/>
    <col width="14" customWidth="1" style="508" min="15" max="15"/>
    <col width="14" customWidth="1" style="508" min="16" max="16"/>
    <col width="14" customWidth="1" style="508" min="17" max="17"/>
    <col width="14" customWidth="1" style="508" min="18" max="18"/>
    <col width="14" customWidth="1" style="508" min="19" max="19"/>
    <col width="14" customWidth="1" style="508" min="20" max="20"/>
    <col width="14" customWidth="1" style="508" min="21" max="21"/>
    <col width="14" customWidth="1" style="508" min="22" max="22"/>
    <col width="14" customWidth="1" style="508" min="23" max="23"/>
    <col width="14" customWidth="1" style="508" min="24" max="24"/>
    <col width="14" customWidth="1" style="508" min="25" max="25"/>
    <col width="14" customWidth="1" style="508" min="26" max="26"/>
  </cols>
  <sheetData>
    <row r="1">
      <c r="A1" s="920" t="inlineStr">
        <is>
          <t>09 — Sector Pack Registry</t>
        </is>
      </c>
      <c r="B1" s="920" t="n"/>
      <c r="C1" s="920" t="n"/>
      <c r="D1" s="920" t="n"/>
      <c r="E1" s="920" t="n"/>
      <c r="F1" s="920" t="n"/>
      <c r="G1" s="918" t="n"/>
      <c r="H1" s="918" t="n"/>
    </row>
    <row r="2">
      <c r="A2" s="918" t="inlineStr">
        <is>
          <t>The selected sector resolves to one separate workbook. Add future sectors by copying the pack schema and registering the file here.</t>
        </is>
      </c>
      <c r="B2" s="918" t="n"/>
      <c r="C2" s="918" t="n"/>
      <c r="D2" s="918" t="n"/>
      <c r="E2" s="918" t="n"/>
      <c r="F2" s="918" t="n"/>
      <c r="G2" s="918" t="n"/>
      <c r="H2" s="918" t="n"/>
    </row>
    <row r="3">
      <c r="A3" s="918" t="n"/>
      <c r="B3" s="918" t="n"/>
      <c r="C3" s="918" t="n"/>
      <c r="D3" s="918" t="n"/>
      <c r="E3" s="918" t="n"/>
      <c r="F3" s="918" t="n"/>
      <c r="G3" s="918" t="n"/>
      <c r="H3" s="918" t="n"/>
    </row>
    <row r="4">
      <c r="A4" s="918" t="n"/>
      <c r="B4" s="918" t="n"/>
      <c r="C4" s="918" t="n"/>
      <c r="D4" s="918" t="n"/>
      <c r="E4" s="918" t="n"/>
      <c r="F4" s="918" t="n"/>
      <c r="G4" s="918" t="n"/>
      <c r="H4" s="918" t="n"/>
    </row>
    <row r="5">
      <c r="A5" s="918" t="n"/>
      <c r="B5" s="918" t="n"/>
      <c r="C5" s="918" t="n"/>
      <c r="D5" s="918" t="n"/>
      <c r="E5" s="918" t="n"/>
      <c r="F5" s="918" t="n"/>
      <c r="G5" s="918" t="n"/>
      <c r="H5" s="918" t="n"/>
    </row>
    <row r="6">
      <c r="A6" s="918" t="n"/>
      <c r="B6" s="918" t="n"/>
      <c r="C6" s="918" t="n"/>
      <c r="D6" s="918" t="n"/>
      <c r="E6" s="918" t="n"/>
      <c r="F6" s="918" t="n"/>
      <c r="G6" s="918" t="n"/>
      <c r="H6" s="918" t="n"/>
    </row>
    <row r="7">
      <c r="A7" s="918" t="n"/>
      <c r="B7" s="918" t="n"/>
      <c r="C7" s="918" t="n"/>
      <c r="D7" s="918" t="n"/>
      <c r="E7" s="918" t="n"/>
      <c r="F7" s="918" t="n"/>
      <c r="G7" s="918" t="n"/>
      <c r="H7" s="918" t="n"/>
    </row>
    <row r="8">
      <c r="A8" s="918" t="n"/>
      <c r="B8" s="918" t="n"/>
      <c r="C8" s="918" t="n"/>
      <c r="D8" s="918" t="n"/>
      <c r="E8" s="918" t="n"/>
      <c r="F8" s="918" t="n"/>
      <c r="G8" s="918" t="n"/>
      <c r="H8" s="918" t="n"/>
    </row>
    <row r="9">
      <c r="A9" s="918" t="n"/>
      <c r="B9" s="918" t="n"/>
      <c r="C9" s="918" t="n"/>
      <c r="D9" s="918" t="n"/>
      <c r="E9" s="918" t="n"/>
      <c r="F9" s="918" t="n"/>
      <c r="G9" s="918" t="n"/>
      <c r="H9" s="918" t="n"/>
    </row>
    <row r="10">
      <c r="A10" s="918" t="n"/>
      <c r="B10" s="918" t="n"/>
      <c r="C10" s="918" t="n"/>
      <c r="D10" s="918" t="n"/>
      <c r="E10" s="918" t="n"/>
      <c r="F10" s="918" t="n"/>
      <c r="G10" s="918" t="n"/>
      <c r="H10" s="918" t="n"/>
    </row>
    <row r="11">
      <c r="A11" s="918" t="n"/>
      <c r="B11" s="918" t="n"/>
      <c r="C11" s="918" t="n"/>
      <c r="D11" s="918" t="n"/>
      <c r="E11" s="918" t="n"/>
      <c r="F11" s="918" t="n"/>
      <c r="G11" s="918" t="n"/>
      <c r="H11" s="918" t="n"/>
    </row>
    <row r="12">
      <c r="A12" s="918" t="n"/>
      <c r="B12" s="918" t="n"/>
      <c r="C12" s="918" t="n"/>
      <c r="D12" s="918" t="n"/>
      <c r="E12" s="918" t="n"/>
      <c r="F12" s="918" t="n"/>
      <c r="G12" s="918" t="n"/>
      <c r="H12" s="918" t="n"/>
    </row>
    <row r="13">
      <c r="A13" s="918" t="n"/>
      <c r="B13" s="918" t="n"/>
      <c r="C13" s="918" t="n"/>
      <c r="D13" s="918" t="n"/>
      <c r="E13" s="918" t="n"/>
      <c r="F13" s="918" t="n"/>
      <c r="G13" s="918" t="n"/>
      <c r="H13" s="918" t="n"/>
    </row>
    <row r="14">
      <c r="A14" s="918" t="n"/>
      <c r="B14" s="918" t="n"/>
      <c r="C14" s="918" t="n"/>
      <c r="D14" s="918" t="n"/>
      <c r="E14" s="918" t="n"/>
      <c r="F14" s="918" t="n"/>
      <c r="G14" s="918" t="n"/>
      <c r="H14" s="918" t="n"/>
    </row>
    <row r="15" ht="30" customHeight="1" s="508">
      <c r="A15" s="851" t="inlineStr">
        <is>
          <t>Sector</t>
        </is>
      </c>
      <c r="B15" s="851" t="inlineStr">
        <is>
          <t>Pack ID</t>
        </is>
      </c>
      <c r="C15" s="851" t="inlineStr">
        <is>
          <t>Pack version</t>
        </is>
      </c>
      <c r="D15" s="851" t="inlineStr">
        <is>
          <t>Relative file path</t>
        </is>
      </c>
      <c r="E15" s="851" t="inlineStr">
        <is>
          <t>Schema version</t>
        </is>
      </c>
      <c r="F15" s="851" t="inlineStr">
        <is>
          <t>Status</t>
        </is>
      </c>
      <c r="G15" s="851" t="inlineStr">
        <is>
          <t>Minimum engine</t>
        </is>
      </c>
      <c r="H15" s="851" t="inlineStr">
        <is>
          <t>Description</t>
        </is>
      </c>
    </row>
    <row r="16">
      <c r="A16" s="918" t="inlineStr">
        <is>
          <t>Financial Services</t>
        </is>
      </c>
      <c r="B16" s="918" t="inlineStr">
        <is>
          <t>FS-v1.1.1</t>
        </is>
      </c>
      <c r="C16" s="918" t="inlineStr">
        <is>
          <t>1.1.1</t>
        </is>
      </c>
      <c r="D16" s="918" t="inlineStr">
        <is>
          <t>sector_packs/IT/IT_CRQ_Sector_Pack_Financial_Services_v1_1_1.xlsx</t>
        </is>
      </c>
      <c r="E16" s="918" t="inlineStr">
        <is>
          <t>CRQ-PACK-1.1</t>
        </is>
      </c>
      <c r="F16" s="918" t="inlineStr">
        <is>
          <t>Development — working priors; calibration required</t>
        </is>
      </c>
      <c r="G16" s="918" t="inlineStr">
        <is>
          <t>1.1.1</t>
        </is>
      </c>
      <c r="H16" s="918" t="inlineStr">
        <is>
          <t>Broad Financial Services pack; no granular banking/insurance sub-packs.</t>
        </is>
      </c>
    </row>
    <row r="17">
      <c r="A17" s="918" t="n"/>
      <c r="B17" s="918" t="n"/>
      <c r="C17" s="918" t="n"/>
      <c r="D17" s="918" t="n"/>
      <c r="E17" s="918" t="n"/>
      <c r="F17" s="918" t="n"/>
      <c r="G17" s="918" t="n"/>
      <c r="H17" s="918" t="n"/>
    </row>
    <row r="18">
      <c r="A18" s="918" t="n"/>
      <c r="B18" s="918" t="n"/>
      <c r="C18" s="918" t="n"/>
      <c r="D18" s="918" t="n"/>
      <c r="E18" s="918" t="n"/>
      <c r="F18" s="918" t="n"/>
      <c r="G18" s="918" t="n"/>
      <c r="H18" s="918" t="n"/>
    </row>
    <row r="19">
      <c r="A19" s="918" t="n"/>
      <c r="B19" s="918" t="n"/>
      <c r="C19" s="918" t="n"/>
      <c r="D19" s="918" t="n"/>
      <c r="E19" s="918" t="n"/>
      <c r="F19" s="918" t="n"/>
      <c r="G19" s="918" t="n"/>
      <c r="H19" s="918" t="n"/>
    </row>
    <row r="20">
      <c r="A20" s="918" t="n"/>
      <c r="B20" s="918" t="n"/>
      <c r="C20" s="918" t="n"/>
      <c r="D20" s="918" t="n"/>
      <c r="E20" s="918" t="n"/>
      <c r="F20" s="918" t="n"/>
      <c r="G20" s="918" t="n"/>
      <c r="H20" s="918" t="n"/>
    </row>
  </sheetData>
  <pageMargins left="0.7" right="0.7" top="0.75" bottom="0.75" header="0.3" footer="0.3"/>
</worksheet>
</file>

<file path=xl/worksheets/sheet51.xml><?xml version="1.0" encoding="utf-8"?>
<worksheet xmlns="http://schemas.openxmlformats.org/spreadsheetml/2006/main">
  <sheetPr>
    <tabColor rgb="007F7F7F"/>
    <outlinePr summaryBelow="1" summaryRight="1"/>
    <pageSetUpPr/>
  </sheetPr>
  <dimension ref="A1:P1200"/>
  <sheetViews>
    <sheetView showGridLines="1" workbookViewId="0">
      <selection activeCell="A1" sqref="A1"/>
    </sheetView>
  </sheetViews>
  <sheetFormatPr baseColWidth="8" defaultColWidth="8.6796875" defaultRowHeight="15"/>
  <cols>
    <col width="22" customWidth="1" style="972" min="1" max="1"/>
    <col width="30" customWidth="1" style="972" min="2" max="2"/>
    <col width="14" customWidth="1" style="972" min="3" max="3"/>
    <col width="34" customWidth="1" style="972" min="4" max="4"/>
    <col width="10" customWidth="1" style="972" min="5" max="5"/>
    <col width="24" customWidth="1" style="972" min="6" max="6"/>
    <col width="15" customWidth="1" style="972" min="7" max="8"/>
    <col width="12" customWidth="1" style="972" min="9" max="9"/>
    <col width="14" customWidth="1" style="972" min="10" max="10"/>
    <col width="24" customWidth="1" style="972" min="11" max="11"/>
    <col width="48" customWidth="1" style="972" min="12" max="12"/>
    <col width="25" customWidth="1" style="508" min="13" max="13"/>
    <col width="25" customWidth="1" style="508" min="14" max="14"/>
    <col width="62" customWidth="1" style="508" min="15" max="15"/>
    <col width="44" customWidth="1" style="508" min="16" max="16"/>
  </cols>
  <sheetData>
    <row r="1" ht="21.75" customHeight="1" s="508">
      <c r="A1" s="450" t="inlineStr">
        <is>
          <t>14 — TTP Relevance Calculation</t>
        </is>
      </c>
    </row>
    <row r="2" ht="37.5" customHeight="1" s="508">
      <c r="A2" s="402" t="inlineStr">
        <is>
          <t>Purpose: Resolve the exact TTP set used by the composite actor-scenario stage calculation after scenario, actor, sector and facility review.</t>
        </is>
      </c>
    </row>
    <row r="3" ht="37.5" customHeight="1" s="508">
      <c r="A3" s="403" t="inlineStr">
        <is>
          <t>In plain English: this is the audit trail for the attack path: scenario relevance is combined with actor applicability and facility feasibility.</t>
        </is>
      </c>
    </row>
    <row r="4" ht="21.75" customHeight="1" s="508">
      <c r="A4" s="409" t="inlineStr">
        <is>
          <t>SHEET TYPE: PYTHON ENGINE CALCULATION</t>
        </is>
      </c>
    </row>
    <row r="5" ht="21.75" customHeight="1" s="508">
      <c r="A5" s="405" t="inlineStr">
        <is>
          <t>Inputs / upstream sources</t>
        </is>
      </c>
    </row>
    <row r="6" ht="30" customHeight="1" s="508">
      <c r="A6" s="406" t="inlineStr">
        <is>
          <t>09 Scenario-TTP Map, 11 Actor-TTP Applicability and 12 Facility Feasibility.</t>
        </is>
      </c>
    </row>
    <row r="7" ht="30" customHeight="1" s="508">
      <c r="A7" s="405" t="inlineStr">
        <is>
          <t>Calculation / decision logic</t>
        </is>
      </c>
    </row>
    <row r="8" ht="30" customHeight="1" s="508">
      <c r="A8" s="406" t="inlineStr">
        <is>
          <t>Relevant TTP = Scenario relevant AND Actor applicable AND Sector applicable AND Facility feasible. A relevant TTP without a mapped Prevent / Resist control remains in the stage average with a zero barrier. Columns M:P record the governed sector overlay from 29 Sector TTP Rationale.</t>
        </is>
      </c>
    </row>
    <row r="9" ht="30" customHeight="1" s="508">
      <c r="A9" s="405" t="inlineStr">
        <is>
          <t>Key assumptions / defaults</t>
        </is>
      </c>
    </row>
    <row r="10" ht="30" customHeight="1" s="508">
      <c r="A10" s="406" t="inlineStr">
        <is>
          <t>This sheet is PYTHON ENGINE OUTPUT. Values below are not manually entered or hardcoded assumptions; the calculation logic is stated above.</t>
        </is>
      </c>
    </row>
    <row r="11" ht="30" customHeight="1" s="508">
      <c r="A11" s="405" t="inlineStr">
        <is>
          <t>Outputs / downstream use</t>
        </is>
      </c>
    </row>
    <row r="12" ht="30" customHeight="1" s="508">
      <c r="A12" s="406" t="inlineStr">
        <is>
          <t>Feeds 15 Attack Path Calc and provides traceability for model review.</t>
        </is>
      </c>
    </row>
    <row r="13" ht="30" customHeight="1" s="508">
      <c r="A13" s="407" t="inlineStr">
        <is>
          <t>Workbook convention: yellow cells / blue font are editable inputs or calibration assumptions; engine-output cells are not manually editable.</t>
        </is>
      </c>
    </row>
    <row r="15" ht="15" customHeight="1" s="508">
      <c r="A15" s="451" t="inlineStr">
        <is>
          <t>Threat actor</t>
        </is>
      </c>
      <c r="B15" s="451" t="inlineStr">
        <is>
          <t>Scenario</t>
        </is>
      </c>
      <c r="C15" s="451" t="inlineStr">
        <is>
          <t>TTP ID</t>
        </is>
      </c>
      <c r="D15" s="451" t="inlineStr">
        <is>
          <t>Technique</t>
        </is>
      </c>
      <c r="E15" s="451" t="inlineStr">
        <is>
          <t>Stage</t>
        </is>
      </c>
      <c r="F15" s="451" t="inlineStr">
        <is>
          <t>Role</t>
        </is>
      </c>
      <c r="G15" s="451" t="inlineStr">
        <is>
          <t>Actor applicable?</t>
        </is>
      </c>
      <c r="H15" s="451" t="inlineStr">
        <is>
          <t>Facility feasible?</t>
        </is>
      </c>
      <c r="I15" s="451" t="inlineStr">
        <is>
          <t>Relevant?</t>
        </is>
      </c>
      <c r="J15" s="451" t="inlineStr">
        <is>
          <t>Mapped controls</t>
        </is>
      </c>
      <c r="K15" s="451" t="inlineStr">
        <is>
          <t>Mapping basis</t>
        </is>
      </c>
      <c r="L15" s="451" t="inlineStr">
        <is>
          <t>Technique URL</t>
        </is>
      </c>
      <c r="M15" s="385" t="inlineStr">
        <is>
          <t>Sector applicable?</t>
        </is>
      </c>
      <c r="N15" s="385" t="inlineStr">
        <is>
          <t>Sector / asset gate</t>
        </is>
      </c>
      <c r="O15" s="385" t="inlineStr">
        <is>
          <t>Sector / asset rationale</t>
        </is>
      </c>
      <c r="P15" s="385" t="inlineStr">
        <is>
          <t>Sector guidance URL</t>
        </is>
      </c>
    </row>
    <row r="16" ht="15" customHeight="1" s="508">
      <c r="A16" s="972" t="inlineStr">
        <is>
          <t>Nation State</t>
        </is>
      </c>
      <c r="B16" s="972" t="inlineStr">
        <is>
          <t>Operational Disruption</t>
        </is>
      </c>
      <c r="C16" s="972" t="inlineStr">
        <is>
          <t>T0830</t>
        </is>
      </c>
      <c r="D16" s="972" t="inlineStr">
        <is>
          <t>Adversary-in-the-Middle</t>
        </is>
      </c>
      <c r="E16" s="972" t="inlineStr">
        <is>
          <t>S4</t>
        </is>
      </c>
      <c r="F16" s="972" t="inlineStr">
        <is>
          <t>Candidate enabling technique</t>
        </is>
      </c>
      <c r="G16" s="972" t="inlineStr">
        <is>
          <t>Yes</t>
        </is>
      </c>
      <c r="H16" s="972" t="inlineStr">
        <is>
          <t>Yes</t>
        </is>
      </c>
      <c r="I16" s="972" t="inlineStr">
        <is>
          <t>Yes</t>
        </is>
      </c>
      <c r="J16" s="972" t="n">
        <v>8</v>
      </c>
      <c r="K16" s="972" t="inlineStr">
        <is>
          <t>Model Mapping</t>
        </is>
      </c>
      <c r="L16" s="452" t="inlineStr">
        <is>
          <t>https://attack.mitre.org/techniques/T0830</t>
        </is>
      </c>
      <c r="M16" s="973" t="inlineStr">
        <is>
          <t>Yes</t>
        </is>
      </c>
      <c r="N16" s="973" t="inlineStr">
        <is>
          <t>No explicit facility gate — defaults feasible</t>
        </is>
      </c>
      <c r="O16" s="973" t="inlineStr">
        <is>
          <t>Adversary-in-the-Middle can support discovery or interaction with process state, control assets and operational data in Power Generation environments.</t>
        </is>
      </c>
      <c r="P16" s="973" t="inlineStr">
        <is>
          <t>https://csrc.nist.gov/pubs/sp/800/82/r3/final</t>
        </is>
      </c>
    </row>
    <row r="17" ht="15" customHeight="1" s="508">
      <c r="A17" s="972" t="inlineStr">
        <is>
          <t>Nation State</t>
        </is>
      </c>
      <c r="B17" s="972" t="inlineStr">
        <is>
          <t>Operational Disruption</t>
        </is>
      </c>
      <c r="C17" s="972" t="inlineStr">
        <is>
          <t>T0802</t>
        </is>
      </c>
      <c r="D17" s="972" t="inlineStr">
        <is>
          <t>Automated Collection</t>
        </is>
      </c>
      <c r="E17" s="972" t="inlineStr">
        <is>
          <t>S4</t>
        </is>
      </c>
      <c r="F17" s="972" t="inlineStr">
        <is>
          <t>Candidate enabling technique</t>
        </is>
      </c>
      <c r="G17" s="972" t="inlineStr">
        <is>
          <t>Yes</t>
        </is>
      </c>
      <c r="H17" s="972" t="inlineStr">
        <is>
          <t>Yes</t>
        </is>
      </c>
      <c r="I17" s="972" t="inlineStr">
        <is>
          <t>Yes</t>
        </is>
      </c>
      <c r="J17" s="972" t="n">
        <v>2</v>
      </c>
      <c r="K17" s="972" t="inlineStr">
        <is>
          <t>Model Mapping</t>
        </is>
      </c>
      <c r="L17" s="452" t="inlineStr">
        <is>
          <t>https://attack.mitre.org/techniques/T0802</t>
        </is>
      </c>
      <c r="M17" s="973" t="inlineStr">
        <is>
          <t>Yes</t>
        </is>
      </c>
      <c r="N17" s="973" t="inlineStr">
        <is>
          <t>No explicit facility gate — defaults feasible</t>
        </is>
      </c>
      <c r="O17" s="973" t="inlineStr">
        <is>
          <t>Automated Collection can support discovery or interaction with process state, control assets and operational data in Power Generation environments.</t>
        </is>
      </c>
      <c r="P17" s="973" t="inlineStr">
        <is>
          <t>https://csrc.nist.gov/pubs/sp/800/82/r3/final</t>
        </is>
      </c>
    </row>
    <row r="18" ht="15" customHeight="1" s="508">
      <c r="A18" s="972" t="inlineStr">
        <is>
          <t>Nation State</t>
        </is>
      </c>
      <c r="B18" s="972" t="inlineStr">
        <is>
          <t>Operational Disruption</t>
        </is>
      </c>
      <c r="C18" s="972" t="inlineStr">
        <is>
          <t>T0895</t>
        </is>
      </c>
      <c r="D18" s="972" t="inlineStr">
        <is>
          <t>Autorun Image</t>
        </is>
      </c>
      <c r="E18" s="972" t="inlineStr">
        <is>
          <t>S2</t>
        </is>
      </c>
      <c r="F18" s="972" t="inlineStr">
        <is>
          <t>Candidate enabling technique</t>
        </is>
      </c>
      <c r="G18" s="972" t="inlineStr">
        <is>
          <t>Yes</t>
        </is>
      </c>
      <c r="H18" s="972" t="inlineStr">
        <is>
          <t>Yes</t>
        </is>
      </c>
      <c r="I18" s="972" t="inlineStr">
        <is>
          <t>Yes</t>
        </is>
      </c>
      <c r="J18" s="972" t="n">
        <v>1</v>
      </c>
      <c r="K18" s="972" t="inlineStr">
        <is>
          <t>Model Mapping</t>
        </is>
      </c>
      <c r="L18" s="452" t="inlineStr">
        <is>
          <t>https://attack.mitre.org/techniques/T0895</t>
        </is>
      </c>
      <c r="M18" s="973" t="inlineStr">
        <is>
          <t>Yes</t>
        </is>
      </c>
      <c r="N18" s="973" t="inlineStr">
        <is>
          <t>No explicit facility gate — defaults feasible</t>
        </is>
      </c>
      <c r="O18" s="973" t="inlineStr">
        <is>
          <t>Autorun Image is applicable to execution or persistence on engineering workstations, HMIs, servers or controllers used in Power Generation facilities.</t>
        </is>
      </c>
      <c r="P18" s="973" t="inlineStr">
        <is>
          <t>https://csrc.nist.gov/pubs/sp/800/82/r3/final</t>
        </is>
      </c>
    </row>
    <row r="19" ht="15" customHeight="1" s="508">
      <c r="A19" s="972" t="inlineStr">
        <is>
          <t>Nation State</t>
        </is>
      </c>
      <c r="B19" s="972" t="inlineStr">
        <is>
          <t>Operational Disruption</t>
        </is>
      </c>
      <c r="C19" s="972" t="inlineStr">
        <is>
          <t>T0846.002</t>
        </is>
      </c>
      <c r="D19" s="972" t="inlineStr">
        <is>
          <t>Broadcast Discovery</t>
        </is>
      </c>
      <c r="E19" s="972" t="inlineStr">
        <is>
          <t>S4</t>
        </is>
      </c>
      <c r="F19" s="972" t="inlineStr">
        <is>
          <t>Candidate enabling technique</t>
        </is>
      </c>
      <c r="G19" s="972" t="inlineStr">
        <is>
          <t>Yes</t>
        </is>
      </c>
      <c r="H19" s="972" t="inlineStr">
        <is>
          <t>Yes</t>
        </is>
      </c>
      <c r="I19" s="972" t="inlineStr">
        <is>
          <t>Yes</t>
        </is>
      </c>
      <c r="J19" s="972" t="n">
        <v>2</v>
      </c>
      <c r="K19" s="972" t="inlineStr">
        <is>
          <t>Model Mapping</t>
        </is>
      </c>
      <c r="L19" s="452" t="inlineStr">
        <is>
          <t>https://attack.mitre.org/techniques/T0846/002</t>
        </is>
      </c>
      <c r="M19" s="973" t="inlineStr">
        <is>
          <t>Yes</t>
        </is>
      </c>
      <c r="N19" s="973" t="inlineStr">
        <is>
          <t>No explicit facility gate — defaults feasible</t>
        </is>
      </c>
      <c r="O19" s="973" t="inlineStr">
        <is>
          <t>Broadcast Discovery can support discovery or interaction with process state, control assets and operational data in Power Generation environments.</t>
        </is>
      </c>
      <c r="P19" s="973" t="inlineStr">
        <is>
          <t>https://csrc.nist.gov/pubs/sp/800/82/r3/final</t>
        </is>
      </c>
    </row>
    <row r="20" ht="15" customHeight="1" s="508">
      <c r="A20" s="972" t="inlineStr">
        <is>
          <t>Nation State</t>
        </is>
      </c>
      <c r="B20" s="972" t="inlineStr">
        <is>
          <t>Operational Disruption</t>
        </is>
      </c>
      <c r="C20" s="972" t="inlineStr">
        <is>
          <t>T0858</t>
        </is>
      </c>
      <c r="D20" s="972" t="inlineStr">
        <is>
          <t>Change Operating Mode</t>
        </is>
      </c>
      <c r="E20" s="972" t="inlineStr">
        <is>
          <t>S2</t>
        </is>
      </c>
      <c r="F20" s="972" t="inlineStr">
        <is>
          <t>Candidate enabling technique</t>
        </is>
      </c>
      <c r="G20" s="972" t="inlineStr">
        <is>
          <t>Yes</t>
        </is>
      </c>
      <c r="H20" s="972" t="inlineStr">
        <is>
          <t>Yes</t>
        </is>
      </c>
      <c r="I20" s="972" t="inlineStr">
        <is>
          <t>Yes</t>
        </is>
      </c>
      <c r="J20" s="972" t="n">
        <v>7</v>
      </c>
      <c r="K20" s="972" t="inlineStr">
        <is>
          <t>Model Mapping</t>
        </is>
      </c>
      <c r="L20" s="452" t="inlineStr">
        <is>
          <t>https://attack.mitre.org/techniques/T0858</t>
        </is>
      </c>
      <c r="M20" s="973" t="inlineStr">
        <is>
          <t>Yes</t>
        </is>
      </c>
      <c r="N20" s="973" t="inlineStr">
        <is>
          <t>No explicit facility gate — defaults feasible</t>
        </is>
      </c>
      <c r="O20" s="973" t="inlineStr">
        <is>
          <t>Change Operating Mode is applicable to execution or persistence on engineering workstations, HMIs, servers or controllers used in Power Generation facilities.</t>
        </is>
      </c>
      <c r="P20" s="973" t="inlineStr">
        <is>
          <t>https://csrc.nist.gov/pubs/sp/800/82/r3/final</t>
        </is>
      </c>
    </row>
    <row r="21" ht="15" customHeight="1" s="508">
      <c r="A21" s="972" t="inlineStr">
        <is>
          <t>Nation State</t>
        </is>
      </c>
      <c r="B21" s="972" t="inlineStr">
        <is>
          <t>Operational Disruption</t>
        </is>
      </c>
      <c r="C21" s="972" t="inlineStr">
        <is>
          <t>T0807</t>
        </is>
      </c>
      <c r="D21" s="972" t="inlineStr">
        <is>
          <t>Command-Line Interface</t>
        </is>
      </c>
      <c r="E21" s="972" t="inlineStr">
        <is>
          <t>S2</t>
        </is>
      </c>
      <c r="F21" s="972" t="inlineStr">
        <is>
          <t>Candidate enabling technique</t>
        </is>
      </c>
      <c r="G21" s="972" t="inlineStr">
        <is>
          <t>Yes</t>
        </is>
      </c>
      <c r="H21" s="972" t="inlineStr">
        <is>
          <t>Yes</t>
        </is>
      </c>
      <c r="I21" s="972" t="inlineStr">
        <is>
          <t>Yes</t>
        </is>
      </c>
      <c r="J21" s="972" t="n">
        <v>2</v>
      </c>
      <c r="K21" s="972" t="inlineStr">
        <is>
          <t>Model Mapping</t>
        </is>
      </c>
      <c r="L21" s="452" t="inlineStr">
        <is>
          <t>https://attack.mitre.org/techniques/T0807</t>
        </is>
      </c>
      <c r="M21" s="973" t="inlineStr">
        <is>
          <t>Yes</t>
        </is>
      </c>
      <c r="N21" s="973" t="inlineStr">
        <is>
          <t>No explicit facility gate — defaults feasible</t>
        </is>
      </c>
      <c r="O21" s="973" t="inlineStr">
        <is>
          <t>Command-Line Interface is applicable to execution or persistence on engineering workstations, HMIs, servers or controllers used in Power Generation facilities.</t>
        </is>
      </c>
      <c r="P21" s="973" t="inlineStr">
        <is>
          <t>https://csrc.nist.gov/pubs/sp/800/82/r3/final</t>
        </is>
      </c>
    </row>
    <row r="22" ht="15" customHeight="1" s="508">
      <c r="A22" s="972" t="inlineStr">
        <is>
          <t>Nation State</t>
        </is>
      </c>
      <c r="B22" s="972" t="inlineStr">
        <is>
          <t>Operational Disruption</t>
        </is>
      </c>
      <c r="C22" s="972" t="inlineStr">
        <is>
          <t>T0885</t>
        </is>
      </c>
      <c r="D22" s="972" t="inlineStr">
        <is>
          <t>Commonly Used Port</t>
        </is>
      </c>
      <c r="E22" s="972" t="inlineStr">
        <is>
          <t>S3</t>
        </is>
      </c>
      <c r="F22" s="972" t="inlineStr">
        <is>
          <t>Candidate enabling technique</t>
        </is>
      </c>
      <c r="G22" s="972" t="inlineStr">
        <is>
          <t>Yes</t>
        </is>
      </c>
      <c r="H22" s="972" t="inlineStr">
        <is>
          <t>Yes</t>
        </is>
      </c>
      <c r="I22" s="972" t="inlineStr">
        <is>
          <t>Yes</t>
        </is>
      </c>
      <c r="J22" s="972" t="n">
        <v>4</v>
      </c>
      <c r="K22" s="972" t="inlineStr">
        <is>
          <t>Model Mapping</t>
        </is>
      </c>
      <c r="L22" s="452" t="inlineStr">
        <is>
          <t>https://attack.mitre.org/techniques/T0885</t>
        </is>
      </c>
      <c r="M22" s="973" t="inlineStr">
        <is>
          <t>Yes</t>
        </is>
      </c>
      <c r="N22" s="973" t="inlineStr">
        <is>
          <t>No explicit facility gate — defaults feasible</t>
        </is>
      </c>
      <c r="O22" s="973" t="inlineStr">
        <is>
          <t>Commonly Used Port can support movement toward or within plant/control zones; actual reachability is governed by the assessed facility architecture.</t>
        </is>
      </c>
      <c r="P22" s="973" t="inlineStr">
        <is>
          <t>https://csrc.nist.gov/pubs/sp/800/82/r3/final</t>
        </is>
      </c>
    </row>
    <row r="23" ht="15" customHeight="1" s="508">
      <c r="A23" s="972" t="inlineStr">
        <is>
          <t>Nation State</t>
        </is>
      </c>
      <c r="B23" s="972" t="inlineStr">
        <is>
          <t>Operational Disruption</t>
        </is>
      </c>
      <c r="C23" s="972" t="inlineStr">
        <is>
          <t>T0884</t>
        </is>
      </c>
      <c r="D23" s="972" t="inlineStr">
        <is>
          <t>Connection Proxy</t>
        </is>
      </c>
      <c r="E23" s="972" t="inlineStr">
        <is>
          <t>S3</t>
        </is>
      </c>
      <c r="F23" s="972" t="inlineStr">
        <is>
          <t>Candidate enabling technique</t>
        </is>
      </c>
      <c r="G23" s="972" t="inlineStr">
        <is>
          <t>Yes</t>
        </is>
      </c>
      <c r="H23" s="972" t="inlineStr">
        <is>
          <t>Yes</t>
        </is>
      </c>
      <c r="I23" s="972" t="inlineStr">
        <is>
          <t>Yes</t>
        </is>
      </c>
      <c r="J23" s="972" t="n">
        <v>4</v>
      </c>
      <c r="K23" s="972" t="inlineStr">
        <is>
          <t>Model Mapping</t>
        </is>
      </c>
      <c r="L23" s="452" t="inlineStr">
        <is>
          <t>https://attack.mitre.org/techniques/T0884</t>
        </is>
      </c>
      <c r="M23" s="973" t="inlineStr">
        <is>
          <t>Yes</t>
        </is>
      </c>
      <c r="N23" s="973" t="inlineStr">
        <is>
          <t>No explicit facility gate — defaults feasible</t>
        </is>
      </c>
      <c r="O23" s="973" t="inlineStr">
        <is>
          <t>Connection Proxy can support movement toward or within plant/control zones; actual reachability is governed by the assessed facility architecture.</t>
        </is>
      </c>
      <c r="P23" s="973" t="inlineStr">
        <is>
          <t>https://csrc.nist.gov/pubs/sp/800/82/r3/final</t>
        </is>
      </c>
    </row>
    <row r="24" ht="15" customHeight="1" s="508">
      <c r="A24" s="972" t="inlineStr">
        <is>
          <t>Nation State</t>
        </is>
      </c>
      <c r="B24" s="972" t="inlineStr">
        <is>
          <t>Operational Disruption</t>
        </is>
      </c>
      <c r="C24" s="972" t="inlineStr">
        <is>
          <t>T0811</t>
        </is>
      </c>
      <c r="D24" s="972" t="inlineStr">
        <is>
          <t>Data from Information Repositories</t>
        </is>
      </c>
      <c r="E24" s="972" t="inlineStr">
        <is>
          <t>S4</t>
        </is>
      </c>
      <c r="F24" s="972" t="inlineStr">
        <is>
          <t>Candidate enabling technique</t>
        </is>
      </c>
      <c r="G24" s="972" t="inlineStr">
        <is>
          <t>Yes</t>
        </is>
      </c>
      <c r="H24" s="972" t="inlineStr">
        <is>
          <t>Yes</t>
        </is>
      </c>
      <c r="I24" s="972" t="inlineStr">
        <is>
          <t>Yes</t>
        </is>
      </c>
      <c r="J24" s="972" t="n">
        <v>6</v>
      </c>
      <c r="K24" s="972" t="inlineStr">
        <is>
          <t>Model Mapping</t>
        </is>
      </c>
      <c r="L24" s="452" t="inlineStr">
        <is>
          <t>https://attack.mitre.org/techniques/T0811</t>
        </is>
      </c>
      <c r="M24" s="973" t="inlineStr">
        <is>
          <t>Yes</t>
        </is>
      </c>
      <c r="N24" s="973" t="inlineStr">
        <is>
          <t>No explicit facility gate — defaults feasible</t>
        </is>
      </c>
      <c r="O24" s="973" t="inlineStr">
        <is>
          <t>Data from Information Repositories can support discovery or interaction with process state, control assets and operational data in Power Generation environments.</t>
        </is>
      </c>
      <c r="P24" s="973" t="inlineStr">
        <is>
          <t>https://csrc.nist.gov/pubs/sp/800/82/r3/final</t>
        </is>
      </c>
    </row>
    <row r="25" ht="15" customHeight="1" s="508">
      <c r="A25" s="972" t="inlineStr">
        <is>
          <t>Nation State</t>
        </is>
      </c>
      <c r="B25" s="972" t="inlineStr">
        <is>
          <t>Operational Disruption</t>
        </is>
      </c>
      <c r="C25" s="972" t="inlineStr">
        <is>
          <t>T0893</t>
        </is>
      </c>
      <c r="D25" s="972" t="inlineStr">
        <is>
          <t>Data from Local System</t>
        </is>
      </c>
      <c r="E25" s="972" t="inlineStr">
        <is>
          <t>S4</t>
        </is>
      </c>
      <c r="F25" s="972" t="inlineStr">
        <is>
          <t>Candidate enabling technique</t>
        </is>
      </c>
      <c r="G25" s="972" t="inlineStr">
        <is>
          <t>Yes</t>
        </is>
      </c>
      <c r="H25" s="972" t="inlineStr">
        <is>
          <t>Yes</t>
        </is>
      </c>
      <c r="I25" s="972" t="inlineStr">
        <is>
          <t>Yes</t>
        </is>
      </c>
      <c r="J25" s="972" t="n">
        <v>4</v>
      </c>
      <c r="K25" s="972" t="inlineStr">
        <is>
          <t>Model Mapping</t>
        </is>
      </c>
      <c r="L25" s="452" t="inlineStr">
        <is>
          <t>https://attack.mitre.org/techniques/T0893</t>
        </is>
      </c>
      <c r="M25" s="973" t="inlineStr">
        <is>
          <t>Yes</t>
        </is>
      </c>
      <c r="N25" s="973" t="inlineStr">
        <is>
          <t>No explicit facility gate — defaults feasible</t>
        </is>
      </c>
      <c r="O25" s="973" t="inlineStr">
        <is>
          <t>Data from Local System can support discovery or interaction with process state, control assets and operational data in Power Generation environments.</t>
        </is>
      </c>
      <c r="P25" s="973" t="inlineStr">
        <is>
          <t>https://csrc.nist.gov/pubs/sp/800/82/r3/final</t>
        </is>
      </c>
    </row>
    <row r="26" ht="15" customHeight="1" s="508">
      <c r="A26" s="972" t="inlineStr">
        <is>
          <t>Nation State</t>
        </is>
      </c>
      <c r="B26" s="972" t="inlineStr">
        <is>
          <t>Operational Disruption</t>
        </is>
      </c>
      <c r="C26" s="972" t="inlineStr">
        <is>
          <t>T1694.001</t>
        </is>
      </c>
      <c r="D26" s="972" t="inlineStr">
        <is>
          <t>Default Credentials</t>
        </is>
      </c>
      <c r="E26" s="972" t="inlineStr">
        <is>
          <t>S3</t>
        </is>
      </c>
      <c r="F26" s="972" t="inlineStr">
        <is>
          <t>Candidate enabling technique</t>
        </is>
      </c>
      <c r="G26" s="972" t="inlineStr">
        <is>
          <t>Yes</t>
        </is>
      </c>
      <c r="H26" s="972" t="inlineStr">
        <is>
          <t>Yes</t>
        </is>
      </c>
      <c r="I26" s="972" t="inlineStr">
        <is>
          <t>Yes</t>
        </is>
      </c>
      <c r="J26" s="972" t="n">
        <v>2</v>
      </c>
      <c r="K26" s="972" t="inlineStr">
        <is>
          <t>Model Mapping</t>
        </is>
      </c>
      <c r="L26" s="452" t="inlineStr">
        <is>
          <t>https://attack.mitre.org/techniques/T1694/001</t>
        </is>
      </c>
      <c r="M26" s="973" t="inlineStr">
        <is>
          <t>Yes</t>
        </is>
      </c>
      <c r="N26" s="973" t="inlineStr">
        <is>
          <t>No explicit facility gate — defaults feasible</t>
        </is>
      </c>
      <c r="O26" s="973" t="inlineStr">
        <is>
          <t>Default Credentials can support movement toward or within plant/control zones; actual reachability is governed by the assessed facility architecture.</t>
        </is>
      </c>
      <c r="P26" s="973" t="inlineStr">
        <is>
          <t>https://csrc.nist.gov/pubs/sp/800/82/r3/final</t>
        </is>
      </c>
    </row>
    <row r="27" ht="15" customHeight="1" s="508">
      <c r="A27" s="972" t="inlineStr">
        <is>
          <t>Nation State</t>
        </is>
      </c>
      <c r="B27" s="972" t="inlineStr">
        <is>
          <t>Operational Disruption</t>
        </is>
      </c>
      <c r="C27" s="972" t="inlineStr">
        <is>
          <t>T0814</t>
        </is>
      </c>
      <c r="D27" s="972" t="inlineStr">
        <is>
          <t>Denial of Service</t>
        </is>
      </c>
      <c r="E27" s="972" t="inlineStr">
        <is>
          <t>S5</t>
        </is>
      </c>
      <c r="F27" s="972" t="inlineStr">
        <is>
          <t>Scenario-defining</t>
        </is>
      </c>
      <c r="G27" s="972" t="inlineStr">
        <is>
          <t>Yes</t>
        </is>
      </c>
      <c r="H27" s="972" t="inlineStr">
        <is>
          <t>Yes</t>
        </is>
      </c>
      <c r="I27" s="972" t="inlineStr">
        <is>
          <t>Yes</t>
        </is>
      </c>
      <c r="J27" s="972" t="n">
        <v>1</v>
      </c>
      <c r="K27" s="972" t="inlineStr">
        <is>
          <t>Model Mapping</t>
        </is>
      </c>
      <c r="L27" s="452" t="inlineStr">
        <is>
          <t>https://attack.mitre.org/techniques/T0814</t>
        </is>
      </c>
      <c r="M27" s="973" t="inlineStr">
        <is>
          <t>Yes</t>
        </is>
      </c>
      <c r="N27" s="973" t="inlineStr">
        <is>
          <t>No explicit facility gate — defaults feasible</t>
        </is>
      </c>
      <c r="O27" s="973" t="inlineStr">
        <is>
          <t>Denial of Service is an ATT&amp;CK for ICS impact or response-inhibition technique that can support one or more governed adverse scenarios; scenario role remains controlled on 09.</t>
        </is>
      </c>
      <c r="P27" s="973" t="inlineStr">
        <is>
          <t>https://csrc.nist.gov/pubs/sp/800/82/r3/final</t>
        </is>
      </c>
    </row>
    <row r="28" ht="15" customHeight="1" s="508">
      <c r="A28" s="972" t="inlineStr">
        <is>
          <t>Nation State</t>
        </is>
      </c>
      <c r="B28" s="972" t="inlineStr">
        <is>
          <t>Operational Disruption</t>
        </is>
      </c>
      <c r="C28" s="972" t="inlineStr">
        <is>
          <t>T0868</t>
        </is>
      </c>
      <c r="D28" s="972" t="inlineStr">
        <is>
          <t>Detect Operating Mode</t>
        </is>
      </c>
      <c r="E28" s="972" t="inlineStr">
        <is>
          <t>S4</t>
        </is>
      </c>
      <c r="F28" s="972" t="inlineStr">
        <is>
          <t>Candidate enabling technique</t>
        </is>
      </c>
      <c r="G28" s="972" t="inlineStr">
        <is>
          <t>Yes</t>
        </is>
      </c>
      <c r="H28" s="972" t="inlineStr">
        <is>
          <t>Yes</t>
        </is>
      </c>
      <c r="I28" s="972" t="inlineStr">
        <is>
          <t>Yes</t>
        </is>
      </c>
      <c r="J28" s="972" t="n">
        <v>8</v>
      </c>
      <c r="K28" s="972" t="inlineStr">
        <is>
          <t>Model Mapping</t>
        </is>
      </c>
      <c r="L28" s="452" t="inlineStr">
        <is>
          <t>https://attack.mitre.org/techniques/T0868</t>
        </is>
      </c>
      <c r="M28" s="973" t="inlineStr">
        <is>
          <t>Yes</t>
        </is>
      </c>
      <c r="N28" s="973" t="inlineStr">
        <is>
          <t>No explicit facility gate — defaults feasible</t>
        </is>
      </c>
      <c r="O28" s="973" t="inlineStr">
        <is>
          <t>Detect Operating Mode can support discovery or interaction with process state, control assets and operational data in Power Generation environments.</t>
        </is>
      </c>
      <c r="P28" s="973" t="inlineStr">
        <is>
          <t>https://csrc.nist.gov/pubs/sp/800/82/r3/final</t>
        </is>
      </c>
    </row>
    <row r="29" ht="15" customHeight="1" s="508">
      <c r="A29" s="972" t="inlineStr">
        <is>
          <t>Nation State</t>
        </is>
      </c>
      <c r="B29" s="972" t="inlineStr">
        <is>
          <t>Operational Disruption</t>
        </is>
      </c>
      <c r="C29" s="972" t="inlineStr">
        <is>
          <t>T0816</t>
        </is>
      </c>
      <c r="D29" s="972" t="inlineStr">
        <is>
          <t>Device Restart/Shutdown</t>
        </is>
      </c>
      <c r="E29" s="972" t="inlineStr">
        <is>
          <t>S5</t>
        </is>
      </c>
      <c r="F29" s="972" t="inlineStr">
        <is>
          <t>Scenario-defining</t>
        </is>
      </c>
      <c r="G29" s="972" t="inlineStr">
        <is>
          <t>Yes</t>
        </is>
      </c>
      <c r="H29" s="972" t="inlineStr">
        <is>
          <t>Yes</t>
        </is>
      </c>
      <c r="I29" s="972" t="inlineStr">
        <is>
          <t>Yes</t>
        </is>
      </c>
      <c r="J29" s="972" t="n">
        <v>9</v>
      </c>
      <c r="K29" s="972" t="inlineStr">
        <is>
          <t>Model Mapping</t>
        </is>
      </c>
      <c r="L29" s="452" t="inlineStr">
        <is>
          <t>https://attack.mitre.org/techniques/T0816</t>
        </is>
      </c>
      <c r="M29" s="973" t="inlineStr">
        <is>
          <t>Yes</t>
        </is>
      </c>
      <c r="N29" s="973" t="inlineStr">
        <is>
          <t>No explicit facility gate — defaults feasible</t>
        </is>
      </c>
      <c r="O29" s="973" t="inlineStr">
        <is>
          <t>Device Restart/Shutdown is an ATT&amp;CK for ICS impact or response-inhibition technique that can support one or more governed adverse scenarios; scenario role remains controlled on 09.</t>
        </is>
      </c>
      <c r="P29" s="973" t="inlineStr">
        <is>
          <t>https://csrc.nist.gov/pubs/sp/800/82/r3/final</t>
        </is>
      </c>
    </row>
    <row r="30" ht="15" customHeight="1" s="508">
      <c r="A30" s="972" t="inlineStr">
        <is>
          <t>Nation State</t>
        </is>
      </c>
      <c r="B30" s="972" t="inlineStr">
        <is>
          <t>Operational Disruption</t>
        </is>
      </c>
      <c r="C30" s="972" t="inlineStr">
        <is>
          <t>T0843.001</t>
        </is>
      </c>
      <c r="D30" s="972" t="inlineStr">
        <is>
          <t>Download All</t>
        </is>
      </c>
      <c r="E30" s="972" t="inlineStr">
        <is>
          <t>S3</t>
        </is>
      </c>
      <c r="F30" s="972" t="inlineStr">
        <is>
          <t>Candidate enabling technique</t>
        </is>
      </c>
      <c r="G30" s="972" t="inlineStr">
        <is>
          <t>Yes</t>
        </is>
      </c>
      <c r="H30" s="972" t="inlineStr">
        <is>
          <t>Yes</t>
        </is>
      </c>
      <c r="I30" s="972" t="inlineStr">
        <is>
          <t>Yes</t>
        </is>
      </c>
      <c r="J30" s="972" t="n">
        <v>10</v>
      </c>
      <c r="K30" s="972" t="inlineStr">
        <is>
          <t>Model Mapping</t>
        </is>
      </c>
      <c r="L30" s="452" t="inlineStr">
        <is>
          <t>https://attack.mitre.org/techniques/T0843/001</t>
        </is>
      </c>
      <c r="M30" s="973" t="inlineStr">
        <is>
          <t>Yes</t>
        </is>
      </c>
      <c r="N30" s="973" t="inlineStr">
        <is>
          <t>No explicit facility gate — defaults feasible</t>
        </is>
      </c>
      <c r="O30" s="973" t="inlineStr">
        <is>
          <t>Download All can support movement toward or within plant/control zones; actual reachability is governed by the assessed facility architecture.</t>
        </is>
      </c>
      <c r="P30" s="973" t="inlineStr">
        <is>
          <t>https://csrc.nist.gov/pubs/sp/800/82/r3/final</t>
        </is>
      </c>
    </row>
    <row r="31" ht="15" customHeight="1" s="508">
      <c r="A31" s="972" t="inlineStr">
        <is>
          <t>Nation State</t>
        </is>
      </c>
      <c r="B31" s="972" t="inlineStr">
        <is>
          <t>Operational Disruption</t>
        </is>
      </c>
      <c r="C31" s="972" t="inlineStr">
        <is>
          <t>T0817</t>
        </is>
      </c>
      <c r="D31" s="972" t="inlineStr">
        <is>
          <t>Drive-by Compromise</t>
        </is>
      </c>
      <c r="E31" s="972" t="inlineStr">
        <is>
          <t>S1</t>
        </is>
      </c>
      <c r="F31" s="972" t="inlineStr">
        <is>
          <t>Candidate enabling technique</t>
        </is>
      </c>
      <c r="G31" s="972" t="inlineStr">
        <is>
          <t>Yes</t>
        </is>
      </c>
      <c r="H31" s="972" t="inlineStr">
        <is>
          <t>Yes</t>
        </is>
      </c>
      <c r="I31" s="972" t="inlineStr">
        <is>
          <t>Yes</t>
        </is>
      </c>
      <c r="J31" s="972" t="n">
        <v>4</v>
      </c>
      <c r="K31" s="972" t="inlineStr">
        <is>
          <t>Model Mapping</t>
        </is>
      </c>
      <c r="L31" s="452" t="inlineStr">
        <is>
          <t>https://attack.mitre.org/techniques/T0817</t>
        </is>
      </c>
      <c r="M31" s="973" t="inlineStr">
        <is>
          <t>Yes</t>
        </is>
      </c>
      <c r="N31" s="973" t="inlineStr">
        <is>
          <t>No explicit facility gate — defaults feasible</t>
        </is>
      </c>
      <c r="O31" s="973" t="inlineStr">
        <is>
          <t>The Drive-by Compromise route is credible for Power Generation OT when the enabling access condition exists; existing facility gates determine remote, internet, transient, supply-chain or wireless feasibility.</t>
        </is>
      </c>
      <c r="P31" s="973" t="inlineStr">
        <is>
          <t>https://csrc.nist.gov/pubs/sp/800/82/r3/final</t>
        </is>
      </c>
    </row>
    <row r="32" ht="15" customHeight="1" s="508">
      <c r="A32" s="972" t="inlineStr">
        <is>
          <t>Nation State</t>
        </is>
      </c>
      <c r="B32" s="972" t="inlineStr">
        <is>
          <t>Operational Disruption</t>
        </is>
      </c>
      <c r="C32" s="972" t="inlineStr">
        <is>
          <t>T0871</t>
        </is>
      </c>
      <c r="D32" s="972" t="inlineStr">
        <is>
          <t>Execution through API</t>
        </is>
      </c>
      <c r="E32" s="972" t="inlineStr">
        <is>
          <t>S2</t>
        </is>
      </c>
      <c r="F32" s="972" t="inlineStr">
        <is>
          <t>Candidate enabling technique</t>
        </is>
      </c>
      <c r="G32" s="972" t="inlineStr">
        <is>
          <t>Yes</t>
        </is>
      </c>
      <c r="H32" s="972" t="inlineStr">
        <is>
          <t>Yes</t>
        </is>
      </c>
      <c r="I32" s="972" t="inlineStr">
        <is>
          <t>Yes</t>
        </is>
      </c>
      <c r="J32" s="972" t="n">
        <v>4</v>
      </c>
      <c r="K32" s="972" t="inlineStr">
        <is>
          <t>Model Mapping</t>
        </is>
      </c>
      <c r="L32" s="452" t="inlineStr">
        <is>
          <t>https://attack.mitre.org/techniques/T0871</t>
        </is>
      </c>
      <c r="M32" s="973" t="inlineStr">
        <is>
          <t>Yes</t>
        </is>
      </c>
      <c r="N32" s="973" t="inlineStr">
        <is>
          <t>No explicit facility gate — defaults feasible</t>
        </is>
      </c>
      <c r="O32" s="973" t="inlineStr">
        <is>
          <t>Execution through API is applicable to execution or persistence on engineering workstations, HMIs, servers or controllers used in Power Generation facilities.</t>
        </is>
      </c>
      <c r="P32" s="973" t="inlineStr">
        <is>
          <t>https://csrc.nist.gov/pubs/sp/800/82/r3/final</t>
        </is>
      </c>
    </row>
    <row r="33" ht="15" customHeight="1" s="508">
      <c r="A33" s="972" t="inlineStr">
        <is>
          <t>Nation State</t>
        </is>
      </c>
      <c r="B33" s="972" t="inlineStr">
        <is>
          <t>Operational Disruption</t>
        </is>
      </c>
      <c r="C33" s="972" t="inlineStr">
        <is>
          <t>T0819</t>
        </is>
      </c>
      <c r="D33" s="972" t="inlineStr">
        <is>
          <t>Exploit Public-Facing Application</t>
        </is>
      </c>
      <c r="E33" s="972" t="inlineStr">
        <is>
          <t>S1</t>
        </is>
      </c>
      <c r="F33" s="972" t="inlineStr">
        <is>
          <t>Candidate enabling technique</t>
        </is>
      </c>
      <c r="G33" s="972" t="inlineStr">
        <is>
          <t>Yes</t>
        </is>
      </c>
      <c r="H33" s="972" t="inlineStr">
        <is>
          <t>Yes</t>
        </is>
      </c>
      <c r="I33" s="972" t="inlineStr">
        <is>
          <t>Yes</t>
        </is>
      </c>
      <c r="J33" s="972" t="n">
        <v>6</v>
      </c>
      <c r="K33" s="972" t="inlineStr">
        <is>
          <t>Model Mapping</t>
        </is>
      </c>
      <c r="L33" s="452" t="inlineStr">
        <is>
          <t>https://attack.mitre.org/techniques/T0819</t>
        </is>
      </c>
      <c r="M33" s="973" t="inlineStr">
        <is>
          <t>Yes</t>
        </is>
      </c>
      <c r="N33" s="973" t="inlineStr">
        <is>
          <t>No explicit facility gate — defaults feasible</t>
        </is>
      </c>
      <c r="O33" s="973" t="inlineStr">
        <is>
          <t>The Exploit Public-Facing Application route is credible for Power Generation OT when the enabling access condition exists; existing facility gates determine remote, internet, transient, supply-chain or wireless feasibility.</t>
        </is>
      </c>
      <c r="P33" s="973" t="inlineStr">
        <is>
          <t>https://csrc.nist.gov/pubs/sp/800/82/r3/final</t>
        </is>
      </c>
    </row>
    <row r="34" ht="15" customHeight="1" s="508">
      <c r="A34" s="972" t="inlineStr">
        <is>
          <t>Nation State</t>
        </is>
      </c>
      <c r="B34" s="972" t="inlineStr">
        <is>
          <t>Operational Disruption</t>
        </is>
      </c>
      <c r="C34" s="972" t="inlineStr">
        <is>
          <t>T0820</t>
        </is>
      </c>
      <c r="D34" s="972" t="inlineStr">
        <is>
          <t>Exploitation for Evasion</t>
        </is>
      </c>
      <c r="E34" s="972" t="inlineStr">
        <is>
          <t>S2</t>
        </is>
      </c>
      <c r="F34" s="972" t="inlineStr">
        <is>
          <t>Candidate enabling technique</t>
        </is>
      </c>
      <c r="G34" s="972" t="inlineStr">
        <is>
          <t>Yes</t>
        </is>
      </c>
      <c r="H34" s="972" t="inlineStr">
        <is>
          <t>Yes</t>
        </is>
      </c>
      <c r="I34" s="972" t="inlineStr">
        <is>
          <t>Yes</t>
        </is>
      </c>
      <c r="J34" s="972" t="n">
        <v>4</v>
      </c>
      <c r="K34" s="972" t="inlineStr">
        <is>
          <t>Model Mapping</t>
        </is>
      </c>
      <c r="L34" s="452" t="inlineStr">
        <is>
          <t>https://attack.mitre.org/techniques/T0820</t>
        </is>
      </c>
      <c r="M34" s="973" t="inlineStr">
        <is>
          <t>Yes</t>
        </is>
      </c>
      <c r="N34" s="973" t="inlineStr">
        <is>
          <t>No explicit facility gate — defaults feasible</t>
        </is>
      </c>
      <c r="O34" s="973" t="inlineStr">
        <is>
          <t>Exploitation for Evasion is applicable to execution or persistence on engineering workstations, HMIs, servers or controllers used in Power Generation facilities.</t>
        </is>
      </c>
      <c r="P34" s="973" t="inlineStr">
        <is>
          <t>https://csrc.nist.gov/pubs/sp/800/82/r3/final</t>
        </is>
      </c>
    </row>
    <row r="35" ht="15" customHeight="1" s="508">
      <c r="A35" s="972" t="inlineStr">
        <is>
          <t>Nation State</t>
        </is>
      </c>
      <c r="B35" s="972" t="inlineStr">
        <is>
          <t>Operational Disruption</t>
        </is>
      </c>
      <c r="C35" s="972" t="inlineStr">
        <is>
          <t>T0890</t>
        </is>
      </c>
      <c r="D35" s="972" t="inlineStr">
        <is>
          <t>Exploitation for Privilege Escalation</t>
        </is>
      </c>
      <c r="E35" s="972" t="inlineStr">
        <is>
          <t>S2</t>
        </is>
      </c>
      <c r="F35" s="972" t="inlineStr">
        <is>
          <t>Candidate enabling technique</t>
        </is>
      </c>
      <c r="G35" s="972" t="inlineStr">
        <is>
          <t>Yes</t>
        </is>
      </c>
      <c r="H35" s="972" t="inlineStr">
        <is>
          <t>Yes</t>
        </is>
      </c>
      <c r="I35" s="972" t="inlineStr">
        <is>
          <t>Yes</t>
        </is>
      </c>
      <c r="J35" s="972" t="n">
        <v>4</v>
      </c>
      <c r="K35" s="972" t="inlineStr">
        <is>
          <t>Model Mapping</t>
        </is>
      </c>
      <c r="L35" s="452" t="inlineStr">
        <is>
          <t>https://attack.mitre.org/techniques/T0890</t>
        </is>
      </c>
      <c r="M35" s="973" t="inlineStr">
        <is>
          <t>Yes</t>
        </is>
      </c>
      <c r="N35" s="973" t="inlineStr">
        <is>
          <t>No explicit facility gate — defaults feasible</t>
        </is>
      </c>
      <c r="O35" s="973" t="inlineStr">
        <is>
          <t>Exploitation for Privilege Escalation is applicable to execution or persistence on engineering workstations, HMIs, servers or controllers used in Power Generation facilities.</t>
        </is>
      </c>
      <c r="P35" s="973" t="inlineStr">
        <is>
          <t>https://csrc.nist.gov/pubs/sp/800/82/r3/final</t>
        </is>
      </c>
    </row>
    <row r="36" ht="15" customHeight="1" s="508">
      <c r="A36" s="972" t="inlineStr">
        <is>
          <t>Nation State</t>
        </is>
      </c>
      <c r="B36" s="972" t="inlineStr">
        <is>
          <t>Operational Disruption</t>
        </is>
      </c>
      <c r="C36" s="972" t="inlineStr">
        <is>
          <t>T0866</t>
        </is>
      </c>
      <c r="D36" s="972" t="inlineStr">
        <is>
          <t>Exploitation of Remote Services</t>
        </is>
      </c>
      <c r="E36" s="972" t="inlineStr">
        <is>
          <t>S1</t>
        </is>
      </c>
      <c r="F36" s="972" t="inlineStr">
        <is>
          <t>Candidate enabling technique</t>
        </is>
      </c>
      <c r="G36" s="972" t="inlineStr">
        <is>
          <t>Yes</t>
        </is>
      </c>
      <c r="H36" s="972" t="inlineStr">
        <is>
          <t>Yes</t>
        </is>
      </c>
      <c r="I36" s="972" t="inlineStr">
        <is>
          <t>Yes</t>
        </is>
      </c>
      <c r="J36" s="972" t="n">
        <v>8</v>
      </c>
      <c r="K36" s="972" t="inlineStr">
        <is>
          <t>Model Mapping</t>
        </is>
      </c>
      <c r="L36" s="452" t="inlineStr">
        <is>
          <t>https://attack.mitre.org/techniques/T0866</t>
        </is>
      </c>
      <c r="M36" s="973" t="inlineStr">
        <is>
          <t>Yes</t>
        </is>
      </c>
      <c r="N36" s="973" t="inlineStr">
        <is>
          <t>REMOTE_OR_ITOT — Remote path or IT-OT connection</t>
        </is>
      </c>
      <c r="O36" s="973" t="inlineStr">
        <is>
          <t>The Exploitation of Remote Services route is credible for Power Generation OT when the enabling access condition exists; existing facility gates determine remote, internet, transient, supply-chain or wireless feasibility.</t>
        </is>
      </c>
      <c r="P36" s="973" t="inlineStr">
        <is>
          <t>https://csrc.nist.gov/pubs/sp/800/82/r3/final</t>
        </is>
      </c>
    </row>
    <row r="37" ht="15" customHeight="1" s="508">
      <c r="A37" s="972" t="inlineStr">
        <is>
          <t>Nation State</t>
        </is>
      </c>
      <c r="B37" s="972" t="inlineStr">
        <is>
          <t>Operational Disruption</t>
        </is>
      </c>
      <c r="C37" s="972" t="inlineStr">
        <is>
          <t>T0822</t>
        </is>
      </c>
      <c r="D37" s="972" t="inlineStr">
        <is>
          <t>External Remote Services</t>
        </is>
      </c>
      <c r="E37" s="972" t="inlineStr">
        <is>
          <t>S1</t>
        </is>
      </c>
      <c r="F37" s="972" t="inlineStr">
        <is>
          <t>Candidate enabling technique</t>
        </is>
      </c>
      <c r="G37" s="972" t="inlineStr">
        <is>
          <t>Yes</t>
        </is>
      </c>
      <c r="H37" s="972" t="inlineStr">
        <is>
          <t>Yes</t>
        </is>
      </c>
      <c r="I37" s="972" t="inlineStr">
        <is>
          <t>Yes</t>
        </is>
      </c>
      <c r="J37" s="972" t="n">
        <v>7</v>
      </c>
      <c r="K37" s="972" t="inlineStr">
        <is>
          <t>Model Mapping</t>
        </is>
      </c>
      <c r="L37" s="452" t="inlineStr">
        <is>
          <t>https://attack.mitre.org/techniques/T0822</t>
        </is>
      </c>
      <c r="M37" s="973" t="inlineStr">
        <is>
          <t>Yes</t>
        </is>
      </c>
      <c r="N37" s="973" t="inlineStr">
        <is>
          <t>REMOTE_REQUIRED — Not None</t>
        </is>
      </c>
      <c r="O37" s="973" t="inlineStr">
        <is>
          <t>The External Remote Services route is credible for Power Generation OT when the enabling access condition exists; existing facility gates determine remote, internet, transient, supply-chain or wireless feasibility.</t>
        </is>
      </c>
      <c r="P37" s="973" t="inlineStr">
        <is>
          <t>https://csrc.nist.gov/pubs/sp/800/82/r3/final</t>
        </is>
      </c>
    </row>
    <row r="38" ht="15" customHeight="1" s="508">
      <c r="A38" s="972" t="inlineStr">
        <is>
          <t>Nation State</t>
        </is>
      </c>
      <c r="B38" s="972" t="inlineStr">
        <is>
          <t>Operational Disruption</t>
        </is>
      </c>
      <c r="C38" s="972" t="inlineStr">
        <is>
          <t>T0823</t>
        </is>
      </c>
      <c r="D38" s="972" t="inlineStr">
        <is>
          <t>Graphical User Interface</t>
        </is>
      </c>
      <c r="E38" s="972" t="inlineStr">
        <is>
          <t>S2</t>
        </is>
      </c>
      <c r="F38" s="972" t="inlineStr">
        <is>
          <t>Candidate enabling technique</t>
        </is>
      </c>
      <c r="G38" s="972" t="inlineStr">
        <is>
          <t>Yes</t>
        </is>
      </c>
      <c r="H38" s="972" t="inlineStr">
        <is>
          <t>Yes</t>
        </is>
      </c>
      <c r="I38" s="972" t="inlineStr">
        <is>
          <t>Yes</t>
        </is>
      </c>
      <c r="J38" s="972" t="n">
        <v>1</v>
      </c>
      <c r="K38" s="972" t="inlineStr">
        <is>
          <t>Model Mapping</t>
        </is>
      </c>
      <c r="L38" s="452" t="inlineStr">
        <is>
          <t>https://attack.mitre.org/techniques/T0823</t>
        </is>
      </c>
      <c r="M38" s="973" t="inlineStr">
        <is>
          <t>Yes</t>
        </is>
      </c>
      <c r="N38" s="973" t="inlineStr">
        <is>
          <t>No explicit facility gate — defaults feasible</t>
        </is>
      </c>
      <c r="O38" s="973" t="inlineStr">
        <is>
          <t>Graphical User Interface is applicable to execution or persistence on engineering workstations, HMIs, servers or controllers used in Power Generation facilities.</t>
        </is>
      </c>
      <c r="P38" s="973" t="inlineStr">
        <is>
          <t>https://csrc.nist.gov/pubs/sp/800/82/r3/final</t>
        </is>
      </c>
    </row>
    <row r="39" ht="15" customHeight="1" s="508">
      <c r="A39" s="972" t="inlineStr">
        <is>
          <t>Nation State</t>
        </is>
      </c>
      <c r="B39" s="972" t="inlineStr">
        <is>
          <t>Operational Disruption</t>
        </is>
      </c>
      <c r="C39" s="972" t="inlineStr">
        <is>
          <t>T1694.002</t>
        </is>
      </c>
      <c r="D39" s="972" t="inlineStr">
        <is>
          <t>Hardcoded Credentials</t>
        </is>
      </c>
      <c r="E39" s="972" t="inlineStr">
        <is>
          <t>S3</t>
        </is>
      </c>
      <c r="F39" s="972" t="inlineStr">
        <is>
          <t>Candidate enabling technique</t>
        </is>
      </c>
      <c r="G39" s="972" t="inlineStr">
        <is>
          <t>Yes</t>
        </is>
      </c>
      <c r="H39" s="972" t="inlineStr">
        <is>
          <t>Yes</t>
        </is>
      </c>
      <c r="I39" s="972" t="inlineStr">
        <is>
          <t>Yes</t>
        </is>
      </c>
      <c r="J39" s="972" t="n">
        <v>1</v>
      </c>
      <c r="K39" s="972" t="inlineStr">
        <is>
          <t>Model Mapping</t>
        </is>
      </c>
      <c r="L39" s="452" t="inlineStr">
        <is>
          <t>https://attack.mitre.org/techniques/T1694/002</t>
        </is>
      </c>
      <c r="M39" s="973" t="inlineStr">
        <is>
          <t>Yes</t>
        </is>
      </c>
      <c r="N39" s="973" t="inlineStr">
        <is>
          <t>No explicit facility gate — defaults feasible</t>
        </is>
      </c>
      <c r="O39" s="973" t="inlineStr">
        <is>
          <t>Hardcoded Credentials can support movement toward or within plant/control zones; actual reachability is governed by the assessed facility architecture.</t>
        </is>
      </c>
      <c r="P39" s="973" t="inlineStr">
        <is>
          <t>https://csrc.nist.gov/pubs/sp/800/82/r3/final</t>
        </is>
      </c>
    </row>
    <row r="40" ht="15" customHeight="1" s="508">
      <c r="A40" s="972" t="inlineStr">
        <is>
          <t>Nation State</t>
        </is>
      </c>
      <c r="B40" s="972" t="inlineStr">
        <is>
          <t>Operational Disruption</t>
        </is>
      </c>
      <c r="C40" s="972" t="inlineStr">
        <is>
          <t>T0874</t>
        </is>
      </c>
      <c r="D40" s="972" t="inlineStr">
        <is>
          <t>Hooking</t>
        </is>
      </c>
      <c r="E40" s="972" t="inlineStr">
        <is>
          <t>S2</t>
        </is>
      </c>
      <c r="F40" s="972" t="inlineStr">
        <is>
          <t>Candidate enabling technique</t>
        </is>
      </c>
      <c r="G40" s="972" t="inlineStr">
        <is>
          <t>Yes</t>
        </is>
      </c>
      <c r="H40" s="972" t="inlineStr">
        <is>
          <t>Yes</t>
        </is>
      </c>
      <c r="I40" s="972" t="inlineStr">
        <is>
          <t>Yes</t>
        </is>
      </c>
      <c r="J40" s="972" t="n">
        <v>2</v>
      </c>
      <c r="K40" s="972" t="inlineStr">
        <is>
          <t>Model Mapping</t>
        </is>
      </c>
      <c r="L40" s="452" t="inlineStr">
        <is>
          <t>https://attack.mitre.org/techniques/T0874</t>
        </is>
      </c>
      <c r="M40" s="973" t="inlineStr">
        <is>
          <t>Yes</t>
        </is>
      </c>
      <c r="N40" s="973" t="inlineStr">
        <is>
          <t>No explicit facility gate — defaults feasible</t>
        </is>
      </c>
      <c r="O40" s="973" t="inlineStr">
        <is>
          <t>Hooking is applicable to execution or persistence on engineering workstations, HMIs, servers or controllers used in Power Generation facilities.</t>
        </is>
      </c>
      <c r="P40" s="973" t="inlineStr">
        <is>
          <t>https://csrc.nist.gov/pubs/sp/800/82/r3/final</t>
        </is>
      </c>
    </row>
    <row r="41" ht="15" customHeight="1" s="508">
      <c r="A41" s="972" t="inlineStr">
        <is>
          <t>Nation State</t>
        </is>
      </c>
      <c r="B41" s="972" t="inlineStr">
        <is>
          <t>Operational Disruption</t>
        </is>
      </c>
      <c r="C41" s="972" t="inlineStr">
        <is>
          <t>T0877</t>
        </is>
      </c>
      <c r="D41" s="972" t="inlineStr">
        <is>
          <t>I/O Image</t>
        </is>
      </c>
      <c r="E41" s="972" t="inlineStr">
        <is>
          <t>S4</t>
        </is>
      </c>
      <c r="F41" s="972" t="inlineStr">
        <is>
          <t>Candidate enabling technique</t>
        </is>
      </c>
      <c r="G41" s="972" t="inlineStr">
        <is>
          <t>Yes</t>
        </is>
      </c>
      <c r="H41" s="972" t="inlineStr">
        <is>
          <t>Yes</t>
        </is>
      </c>
      <c r="I41" s="972" t="inlineStr">
        <is>
          <t>Yes</t>
        </is>
      </c>
      <c r="J41" s="972" t="n">
        <v>1</v>
      </c>
      <c r="K41" s="972" t="inlineStr">
        <is>
          <t>Model Mapping</t>
        </is>
      </c>
      <c r="L41" s="452" t="inlineStr">
        <is>
          <t>https://attack.mitre.org/techniques/T0877</t>
        </is>
      </c>
      <c r="M41" s="973" t="inlineStr">
        <is>
          <t>Yes</t>
        </is>
      </c>
      <c r="N41" s="973" t="inlineStr">
        <is>
          <t>No explicit facility gate — defaults feasible</t>
        </is>
      </c>
      <c r="O41" s="973" t="inlineStr">
        <is>
          <t>I/O Image can support discovery or interaction with process state, control assets and operational data in Power Generation environments.</t>
        </is>
      </c>
      <c r="P41" s="973" t="inlineStr">
        <is>
          <t>https://csrc.nist.gov/pubs/sp/800/82/r3/final</t>
        </is>
      </c>
    </row>
    <row r="42" ht="15" customHeight="1" s="508">
      <c r="A42" s="972" t="inlineStr">
        <is>
          <t>Nation State</t>
        </is>
      </c>
      <c r="B42" s="972" t="inlineStr">
        <is>
          <t>Operational Disruption</t>
        </is>
      </c>
      <c r="C42" s="972" t="inlineStr">
        <is>
          <t>T0872</t>
        </is>
      </c>
      <c r="D42" s="972" t="inlineStr">
        <is>
          <t>Indicator Removal on Host</t>
        </is>
      </c>
      <c r="E42" s="972" t="inlineStr">
        <is>
          <t>S2</t>
        </is>
      </c>
      <c r="F42" s="972" t="inlineStr">
        <is>
          <t>Candidate enabling technique</t>
        </is>
      </c>
      <c r="G42" s="972" t="inlineStr">
        <is>
          <t>Yes</t>
        </is>
      </c>
      <c r="H42" s="972" t="inlineStr">
        <is>
          <t>Yes</t>
        </is>
      </c>
      <c r="I42" s="972" t="inlineStr">
        <is>
          <t>Yes</t>
        </is>
      </c>
      <c r="J42" s="972" t="n">
        <v>1</v>
      </c>
      <c r="K42" s="972" t="inlineStr">
        <is>
          <t>Model Mapping</t>
        </is>
      </c>
      <c r="L42" s="452" t="inlineStr">
        <is>
          <t>https://attack.mitre.org/techniques/T0872</t>
        </is>
      </c>
      <c r="M42" s="973" t="inlineStr">
        <is>
          <t>Yes</t>
        </is>
      </c>
      <c r="N42" s="973" t="inlineStr">
        <is>
          <t>No explicit facility gate — defaults feasible</t>
        </is>
      </c>
      <c r="O42" s="973" t="inlineStr">
        <is>
          <t>Indicator Removal on Host is applicable to execution or persistence on engineering workstations, HMIs, servers or controllers used in Power Generation facilities.</t>
        </is>
      </c>
      <c r="P42" s="973" t="inlineStr">
        <is>
          <t>https://csrc.nist.gov/pubs/sp/800/82/r3/final</t>
        </is>
      </c>
    </row>
    <row r="43" ht="15" customHeight="1" s="508">
      <c r="A43" s="972" t="inlineStr">
        <is>
          <t>Nation State</t>
        </is>
      </c>
      <c r="B43" s="972" t="inlineStr">
        <is>
          <t>Operational Disruption</t>
        </is>
      </c>
      <c r="C43" s="972" t="inlineStr">
        <is>
          <t>T0883</t>
        </is>
      </c>
      <c r="D43" s="972" t="inlineStr">
        <is>
          <t>Internet Accessible Device</t>
        </is>
      </c>
      <c r="E43" s="972" t="inlineStr">
        <is>
          <t>S1</t>
        </is>
      </c>
      <c r="F43" s="972" t="inlineStr">
        <is>
          <t>Candidate enabling technique</t>
        </is>
      </c>
      <c r="G43" s="972" t="inlineStr">
        <is>
          <t>Yes</t>
        </is>
      </c>
      <c r="H43" s="972" t="inlineStr">
        <is>
          <t>No</t>
        </is>
      </c>
      <c r="I43" s="972" t="inlineStr">
        <is>
          <t>No</t>
        </is>
      </c>
      <c r="J43" s="972" t="n">
        <v>1</v>
      </c>
      <c r="K43" s="972" t="inlineStr">
        <is>
          <t>Model Mapping</t>
        </is>
      </c>
      <c r="L43" s="452" t="inlineStr">
        <is>
          <t>https://attack.mitre.org/techniques/T0883</t>
        </is>
      </c>
      <c r="M43" s="973" t="inlineStr">
        <is>
          <t>Yes</t>
        </is>
      </c>
      <c r="N43" s="973" t="inlineStr">
        <is>
          <t>INTERNET_OT — Yes</t>
        </is>
      </c>
      <c r="O43" s="973" t="inlineStr">
        <is>
          <t>The Internet Accessible Device route is credible for Power Generation OT when the enabling access condition exists; existing facility gates determine remote, internet, transient, supply-chain or wireless feasibility.</t>
        </is>
      </c>
      <c r="P43" s="973" t="inlineStr">
        <is>
          <t>https://csrc.nist.gov/pubs/sp/800/82/r3/final</t>
        </is>
      </c>
    </row>
    <row r="44" ht="15" customHeight="1" s="508">
      <c r="A44" s="972" t="inlineStr">
        <is>
          <t>Nation State</t>
        </is>
      </c>
      <c r="B44" s="972" t="inlineStr">
        <is>
          <t>Operational Disruption</t>
        </is>
      </c>
      <c r="C44" s="972" t="inlineStr">
        <is>
          <t>T0867</t>
        </is>
      </c>
      <c r="D44" s="972" t="inlineStr">
        <is>
          <t>Lateral Tool Transfer</t>
        </is>
      </c>
      <c r="E44" s="972" t="inlineStr">
        <is>
          <t>S3</t>
        </is>
      </c>
      <c r="F44" s="972" t="inlineStr">
        <is>
          <t>Candidate enabling technique</t>
        </is>
      </c>
      <c r="G44" s="972" t="inlineStr">
        <is>
          <t>Yes</t>
        </is>
      </c>
      <c r="H44" s="972" t="inlineStr">
        <is>
          <t>Yes</t>
        </is>
      </c>
      <c r="I44" s="972" t="inlineStr">
        <is>
          <t>Yes</t>
        </is>
      </c>
      <c r="J44" s="972" t="n">
        <v>1</v>
      </c>
      <c r="K44" s="972" t="inlineStr">
        <is>
          <t>Model Mapping</t>
        </is>
      </c>
      <c r="L44" s="452" t="inlineStr">
        <is>
          <t>https://attack.mitre.org/techniques/T0867</t>
        </is>
      </c>
      <c r="M44" s="973" t="inlineStr">
        <is>
          <t>Yes</t>
        </is>
      </c>
      <c r="N44" s="973" t="inlineStr">
        <is>
          <t>No explicit facility gate — defaults feasible</t>
        </is>
      </c>
      <c r="O44" s="973" t="inlineStr">
        <is>
          <t>Lateral Tool Transfer can support movement toward or within plant/control zones; actual reachability is governed by the assessed facility architecture.</t>
        </is>
      </c>
      <c r="P44" s="973" t="inlineStr">
        <is>
          <t>https://csrc.nist.gov/pubs/sp/800/82/r3/final</t>
        </is>
      </c>
    </row>
    <row r="45" ht="15" customHeight="1" s="508">
      <c r="A45" s="972" t="inlineStr">
        <is>
          <t>Nation State</t>
        </is>
      </c>
      <c r="B45" s="972" t="inlineStr">
        <is>
          <t>Operational Disruption</t>
        </is>
      </c>
      <c r="C45" s="972" t="inlineStr">
        <is>
          <t>T0826</t>
        </is>
      </c>
      <c r="D45" s="972" t="inlineStr">
        <is>
          <t>Loss of Availability</t>
        </is>
      </c>
      <c r="E45" s="972" t="inlineStr">
        <is>
          <t>S5</t>
        </is>
      </c>
      <c r="F45" s="972" t="inlineStr">
        <is>
          <t>Scenario-defining</t>
        </is>
      </c>
      <c r="G45" s="972" t="inlineStr">
        <is>
          <t>Yes</t>
        </is>
      </c>
      <c r="H45" s="972" t="inlineStr">
        <is>
          <t>Yes</t>
        </is>
      </c>
      <c r="I45" s="972" t="inlineStr">
        <is>
          <t>Yes</t>
        </is>
      </c>
      <c r="J45" s="972" t="n">
        <v>3</v>
      </c>
      <c r="K45" s="972" t="inlineStr">
        <is>
          <t>Model Mapping</t>
        </is>
      </c>
      <c r="L45" s="452" t="inlineStr">
        <is>
          <t>https://attack.mitre.org/techniques/T0826</t>
        </is>
      </c>
      <c r="M45" s="973" t="inlineStr">
        <is>
          <t>Yes</t>
        </is>
      </c>
      <c r="N45" s="973" t="inlineStr">
        <is>
          <t>No explicit facility gate — defaults feasible</t>
        </is>
      </c>
      <c r="O45" s="973" t="inlineStr">
        <is>
          <t>Loss of Availability is an ATT&amp;CK for ICS impact or response-inhibition technique that can support one or more governed adverse scenarios; scenario role remains controlled on 09.</t>
        </is>
      </c>
      <c r="P45" s="973" t="inlineStr">
        <is>
          <t>https://csrc.nist.gov/pubs/sp/800/82/r3/final</t>
        </is>
      </c>
    </row>
    <row r="46" ht="15" customHeight="1" s="508">
      <c r="A46" s="972" t="inlineStr">
        <is>
          <t>Nation State</t>
        </is>
      </c>
      <c r="B46" s="972" t="inlineStr">
        <is>
          <t>Operational Disruption</t>
        </is>
      </c>
      <c r="C46" s="972" t="inlineStr">
        <is>
          <t>T0849</t>
        </is>
      </c>
      <c r="D46" s="972" t="inlineStr">
        <is>
          <t>Masquerading</t>
        </is>
      </c>
      <c r="E46" s="972" t="inlineStr">
        <is>
          <t>S2</t>
        </is>
      </c>
      <c r="F46" s="972" t="inlineStr">
        <is>
          <t>Candidate enabling technique</t>
        </is>
      </c>
      <c r="G46" s="972" t="inlineStr">
        <is>
          <t>Yes</t>
        </is>
      </c>
      <c r="H46" s="972" t="inlineStr">
        <is>
          <t>Yes</t>
        </is>
      </c>
      <c r="I46" s="972" t="inlineStr">
        <is>
          <t>Yes</t>
        </is>
      </c>
      <c r="J46" s="972" t="n">
        <v>3</v>
      </c>
      <c r="K46" s="972" t="inlineStr">
        <is>
          <t>Model Mapping</t>
        </is>
      </c>
      <c r="L46" s="452" t="inlineStr">
        <is>
          <t>https://attack.mitre.org/techniques/T0849</t>
        </is>
      </c>
      <c r="M46" s="973" t="inlineStr">
        <is>
          <t>Yes</t>
        </is>
      </c>
      <c r="N46" s="973" t="inlineStr">
        <is>
          <t>No explicit facility gate — defaults feasible</t>
        </is>
      </c>
      <c r="O46" s="973" t="inlineStr">
        <is>
          <t>Masquerading is applicable to execution or persistence on engineering workstations, HMIs, servers or controllers used in Power Generation facilities.</t>
        </is>
      </c>
      <c r="P46" s="973" t="inlineStr">
        <is>
          <t>https://csrc.nist.gov/pubs/sp/800/82/r3/final</t>
        </is>
      </c>
    </row>
    <row r="47" ht="15" customHeight="1" s="508">
      <c r="A47" s="972" t="inlineStr">
        <is>
          <t>Nation State</t>
        </is>
      </c>
      <c r="B47" s="972" t="inlineStr">
        <is>
          <t>Operational Disruption</t>
        </is>
      </c>
      <c r="C47" s="972" t="inlineStr">
        <is>
          <t>T0821</t>
        </is>
      </c>
      <c r="D47" s="972" t="inlineStr">
        <is>
          <t>Modify Controller Tasking</t>
        </is>
      </c>
      <c r="E47" s="972" t="inlineStr">
        <is>
          <t>S2</t>
        </is>
      </c>
      <c r="F47" s="972" t="inlineStr">
        <is>
          <t>Candidate enabling technique</t>
        </is>
      </c>
      <c r="G47" s="972" t="inlineStr">
        <is>
          <t>Yes</t>
        </is>
      </c>
      <c r="H47" s="972" t="inlineStr">
        <is>
          <t>Yes</t>
        </is>
      </c>
      <c r="I47" s="972" t="inlineStr">
        <is>
          <t>Yes</t>
        </is>
      </c>
      <c r="J47" s="972" t="n">
        <v>4</v>
      </c>
      <c r="K47" s="972" t="inlineStr">
        <is>
          <t>Model Mapping</t>
        </is>
      </c>
      <c r="L47" s="452" t="inlineStr">
        <is>
          <t>https://attack.mitre.org/techniques/T0821</t>
        </is>
      </c>
      <c r="M47" s="973" t="inlineStr">
        <is>
          <t>Yes</t>
        </is>
      </c>
      <c r="N47" s="973" t="inlineStr">
        <is>
          <t>No explicit facility gate — defaults feasible</t>
        </is>
      </c>
      <c r="O47" s="973" t="inlineStr">
        <is>
          <t>Modify Controller Tasking is applicable to execution or persistence on engineering workstations, HMIs, servers or controllers used in Power Generation facilities.</t>
        </is>
      </c>
      <c r="P47" s="973" t="inlineStr">
        <is>
          <t>https://csrc.nist.gov/pubs/sp/800/82/r3/final</t>
        </is>
      </c>
    </row>
    <row r="48" ht="15" customHeight="1" s="508">
      <c r="A48" s="972" t="inlineStr">
        <is>
          <t>Nation State</t>
        </is>
      </c>
      <c r="B48" s="972" t="inlineStr">
        <is>
          <t>Operational Disruption</t>
        </is>
      </c>
      <c r="C48" s="972" t="inlineStr">
        <is>
          <t>T0889</t>
        </is>
      </c>
      <c r="D48" s="972" t="inlineStr">
        <is>
          <t>Modify Program</t>
        </is>
      </c>
      <c r="E48" s="972" t="inlineStr">
        <is>
          <t>S2</t>
        </is>
      </c>
      <c r="F48" s="972" t="inlineStr">
        <is>
          <t>Candidate enabling technique</t>
        </is>
      </c>
      <c r="G48" s="972" t="inlineStr">
        <is>
          <t>Yes</t>
        </is>
      </c>
      <c r="H48" s="972" t="inlineStr">
        <is>
          <t>Yes</t>
        </is>
      </c>
      <c r="I48" s="972" t="inlineStr">
        <is>
          <t>Yes</t>
        </is>
      </c>
      <c r="J48" s="972" t="n">
        <v>4</v>
      </c>
      <c r="K48" s="972" t="inlineStr">
        <is>
          <t>Model Mapping</t>
        </is>
      </c>
      <c r="L48" s="452" t="inlineStr">
        <is>
          <t>https://attack.mitre.org/techniques/T0889</t>
        </is>
      </c>
      <c r="M48" s="973" t="inlineStr">
        <is>
          <t>Yes</t>
        </is>
      </c>
      <c r="N48" s="973" t="inlineStr">
        <is>
          <t>No explicit facility gate — defaults feasible</t>
        </is>
      </c>
      <c r="O48" s="973" t="inlineStr">
        <is>
          <t>Modify Program is applicable to execution or persistence on engineering workstations, HMIs, servers or controllers used in Power Generation facilities.</t>
        </is>
      </c>
      <c r="P48" s="973" t="inlineStr">
        <is>
          <t>https://csrc.nist.gov/pubs/sp/800/82/r3/final</t>
        </is>
      </c>
    </row>
    <row r="49" ht="15" customHeight="1" s="508">
      <c r="A49" s="972" t="inlineStr">
        <is>
          <t>Nation State</t>
        </is>
      </c>
      <c r="B49" s="972" t="inlineStr">
        <is>
          <t>Operational Disruption</t>
        </is>
      </c>
      <c r="C49" s="972" t="inlineStr">
        <is>
          <t>T0801</t>
        </is>
      </c>
      <c r="D49" s="972" t="inlineStr">
        <is>
          <t>Monitor Process State</t>
        </is>
      </c>
      <c r="E49" s="972" t="inlineStr">
        <is>
          <t>S4</t>
        </is>
      </c>
      <c r="F49" s="972" t="inlineStr">
        <is>
          <t>Candidate enabling technique</t>
        </is>
      </c>
      <c r="G49" s="972" t="inlineStr">
        <is>
          <t>Yes</t>
        </is>
      </c>
      <c r="H49" s="972" t="inlineStr">
        <is>
          <t>Yes</t>
        </is>
      </c>
      <c r="I49" s="972" t="inlineStr">
        <is>
          <t>Yes</t>
        </is>
      </c>
      <c r="J49" s="972" t="n">
        <v>1</v>
      </c>
      <c r="K49" s="972" t="inlineStr">
        <is>
          <t>Model Mapping</t>
        </is>
      </c>
      <c r="L49" s="452" t="inlineStr">
        <is>
          <t>https://attack.mitre.org/techniques/T0801</t>
        </is>
      </c>
      <c r="M49" s="973" t="inlineStr">
        <is>
          <t>Yes</t>
        </is>
      </c>
      <c r="N49" s="973" t="inlineStr">
        <is>
          <t>No explicit facility gate — defaults feasible</t>
        </is>
      </c>
      <c r="O49" s="973" t="inlineStr">
        <is>
          <t>Monitor Process State can support discovery or interaction with process state, control assets and operational data in Power Generation environments.</t>
        </is>
      </c>
      <c r="P49" s="973" t="inlineStr">
        <is>
          <t>https://csrc.nist.gov/pubs/sp/800/82/r3/final</t>
        </is>
      </c>
    </row>
    <row r="50" ht="15" customHeight="1" s="508">
      <c r="A50" s="972" t="inlineStr">
        <is>
          <t>Nation State</t>
        </is>
      </c>
      <c r="B50" s="972" t="inlineStr">
        <is>
          <t>Operational Disruption</t>
        </is>
      </c>
      <c r="C50" s="972" t="inlineStr">
        <is>
          <t>T0846.003</t>
        </is>
      </c>
      <c r="D50" s="972" t="inlineStr">
        <is>
          <t>Multicast Discovery</t>
        </is>
      </c>
      <c r="E50" s="972" t="inlineStr">
        <is>
          <t>S4</t>
        </is>
      </c>
      <c r="F50" s="972" t="inlineStr">
        <is>
          <t>Candidate enabling technique</t>
        </is>
      </c>
      <c r="G50" s="972" t="inlineStr">
        <is>
          <t>Yes</t>
        </is>
      </c>
      <c r="H50" s="972" t="inlineStr">
        <is>
          <t>Yes</t>
        </is>
      </c>
      <c r="I50" s="972" t="inlineStr">
        <is>
          <t>Yes</t>
        </is>
      </c>
      <c r="J50" s="972" t="n">
        <v>2</v>
      </c>
      <c r="K50" s="972" t="inlineStr">
        <is>
          <t>Model Mapping</t>
        </is>
      </c>
      <c r="L50" s="452" t="inlineStr">
        <is>
          <t>https://attack.mitre.org/techniques/T0846/003</t>
        </is>
      </c>
      <c r="M50" s="973" t="inlineStr">
        <is>
          <t>Yes</t>
        </is>
      </c>
      <c r="N50" s="973" t="inlineStr">
        <is>
          <t>No explicit facility gate — defaults feasible</t>
        </is>
      </c>
      <c r="O50" s="973" t="inlineStr">
        <is>
          <t>Multicast Discovery can support discovery or interaction with process state, control assets and operational data in Power Generation environments.</t>
        </is>
      </c>
      <c r="P50" s="973" t="inlineStr">
        <is>
          <t>https://csrc.nist.gov/pubs/sp/800/82/r3/final</t>
        </is>
      </c>
    </row>
    <row r="51" ht="15" customHeight="1" s="508">
      <c r="A51" s="972" t="inlineStr">
        <is>
          <t>Nation State</t>
        </is>
      </c>
      <c r="B51" s="972" t="inlineStr">
        <is>
          <t>Operational Disruption</t>
        </is>
      </c>
      <c r="C51" s="972" t="inlineStr">
        <is>
          <t>T0834</t>
        </is>
      </c>
      <c r="D51" s="972" t="inlineStr">
        <is>
          <t>Native API</t>
        </is>
      </c>
      <c r="E51" s="972" t="inlineStr">
        <is>
          <t>S2</t>
        </is>
      </c>
      <c r="F51" s="972" t="inlineStr">
        <is>
          <t>Candidate enabling technique</t>
        </is>
      </c>
      <c r="G51" s="972" t="inlineStr">
        <is>
          <t>Yes</t>
        </is>
      </c>
      <c r="H51" s="972" t="inlineStr">
        <is>
          <t>Yes</t>
        </is>
      </c>
      <c r="I51" s="972" t="inlineStr">
        <is>
          <t>Yes</t>
        </is>
      </c>
      <c r="J51" s="972" t="n">
        <v>1</v>
      </c>
      <c r="K51" s="972" t="inlineStr">
        <is>
          <t>Model Mapping</t>
        </is>
      </c>
      <c r="L51" s="452" t="inlineStr">
        <is>
          <t>https://attack.mitre.org/techniques/T0834</t>
        </is>
      </c>
      <c r="M51" s="973" t="inlineStr">
        <is>
          <t>Yes</t>
        </is>
      </c>
      <c r="N51" s="973" t="inlineStr">
        <is>
          <t>No explicit facility gate — defaults feasible</t>
        </is>
      </c>
      <c r="O51" s="973" t="inlineStr">
        <is>
          <t>Native API is applicable to execution or persistence on engineering workstations, HMIs, servers or controllers used in Power Generation facilities.</t>
        </is>
      </c>
      <c r="P51" s="973" t="inlineStr">
        <is>
          <t>https://csrc.nist.gov/pubs/sp/800/82/r3/final</t>
        </is>
      </c>
    </row>
    <row r="52" ht="15" customHeight="1" s="508">
      <c r="A52" s="972" t="inlineStr">
        <is>
          <t>Nation State</t>
        </is>
      </c>
      <c r="B52" s="972" t="inlineStr">
        <is>
          <t>Operational Disruption</t>
        </is>
      </c>
      <c r="C52" s="972" t="inlineStr">
        <is>
          <t>T0840</t>
        </is>
      </c>
      <c r="D52" s="972" t="inlineStr">
        <is>
          <t>Network Connection Enumeration</t>
        </is>
      </c>
      <c r="E52" s="972" t="inlineStr">
        <is>
          <t>S4</t>
        </is>
      </c>
      <c r="F52" s="972" t="inlineStr">
        <is>
          <t>Candidate enabling technique</t>
        </is>
      </c>
      <c r="G52" s="972" t="inlineStr">
        <is>
          <t>Yes</t>
        </is>
      </c>
      <c r="H52" s="972" t="inlineStr">
        <is>
          <t>Yes</t>
        </is>
      </c>
      <c r="I52" s="972" t="inlineStr">
        <is>
          <t>Yes</t>
        </is>
      </c>
      <c r="J52" s="972" t="n">
        <v>1</v>
      </c>
      <c r="K52" s="972" t="inlineStr">
        <is>
          <t>Model Mapping</t>
        </is>
      </c>
      <c r="L52" s="452" t="inlineStr">
        <is>
          <t>https://attack.mitre.org/techniques/T0840</t>
        </is>
      </c>
      <c r="M52" s="973" t="inlineStr">
        <is>
          <t>Yes</t>
        </is>
      </c>
      <c r="N52" s="973" t="inlineStr">
        <is>
          <t>No explicit facility gate — defaults feasible</t>
        </is>
      </c>
      <c r="O52" s="973" t="inlineStr">
        <is>
          <t>Network Connection Enumeration can support discovery or interaction with process state, control assets and operational data in Power Generation environments.</t>
        </is>
      </c>
      <c r="P52" s="973" t="inlineStr">
        <is>
          <t>https://csrc.nist.gov/pubs/sp/800/82/r3/final</t>
        </is>
      </c>
    </row>
    <row r="53" ht="15" customHeight="1" s="508">
      <c r="A53" s="972" t="inlineStr">
        <is>
          <t>Nation State</t>
        </is>
      </c>
      <c r="B53" s="972" t="inlineStr">
        <is>
          <t>Operational Disruption</t>
        </is>
      </c>
      <c r="C53" s="972" t="inlineStr">
        <is>
          <t>T0842</t>
        </is>
      </c>
      <c r="D53" s="972" t="inlineStr">
        <is>
          <t>Network Sniffing</t>
        </is>
      </c>
      <c r="E53" s="972" t="inlineStr">
        <is>
          <t>S4</t>
        </is>
      </c>
      <c r="F53" s="972" t="inlineStr">
        <is>
          <t>Candidate enabling technique</t>
        </is>
      </c>
      <c r="G53" s="972" t="inlineStr">
        <is>
          <t>Yes</t>
        </is>
      </c>
      <c r="H53" s="972" t="inlineStr">
        <is>
          <t>Yes</t>
        </is>
      </c>
      <c r="I53" s="972" t="inlineStr">
        <is>
          <t>Yes</t>
        </is>
      </c>
      <c r="J53" s="972" t="n">
        <v>5</v>
      </c>
      <c r="K53" s="972" t="inlineStr">
        <is>
          <t>Model Mapping</t>
        </is>
      </c>
      <c r="L53" s="452" t="inlineStr">
        <is>
          <t>https://attack.mitre.org/techniques/T0842</t>
        </is>
      </c>
      <c r="M53" s="973" t="inlineStr">
        <is>
          <t>Yes</t>
        </is>
      </c>
      <c r="N53" s="973" t="inlineStr">
        <is>
          <t>No explicit facility gate — defaults feasible</t>
        </is>
      </c>
      <c r="O53" s="973" t="inlineStr">
        <is>
          <t>Network Sniffing can support discovery or interaction with process state, control assets and operational data in Power Generation environments.</t>
        </is>
      </c>
      <c r="P53" s="973" t="inlineStr">
        <is>
          <t>https://csrc.nist.gov/pubs/sp/800/82/r3/final</t>
        </is>
      </c>
    </row>
    <row r="54" ht="15" customHeight="1" s="508">
      <c r="A54" s="972" t="inlineStr">
        <is>
          <t>Nation State</t>
        </is>
      </c>
      <c r="B54" s="972" t="inlineStr">
        <is>
          <t>Operational Disruption</t>
        </is>
      </c>
      <c r="C54" s="972" t="inlineStr">
        <is>
          <t>T0843.002</t>
        </is>
      </c>
      <c r="D54" s="972" t="inlineStr">
        <is>
          <t>Online Edit</t>
        </is>
      </c>
      <c r="E54" s="972" t="inlineStr">
        <is>
          <t>S3</t>
        </is>
      </c>
      <c r="F54" s="972" t="inlineStr">
        <is>
          <t>Candidate enabling technique</t>
        </is>
      </c>
      <c r="G54" s="972" t="inlineStr">
        <is>
          <t>Yes</t>
        </is>
      </c>
      <c r="H54" s="972" t="inlineStr">
        <is>
          <t>Yes</t>
        </is>
      </c>
      <c r="I54" s="972" t="inlineStr">
        <is>
          <t>Yes</t>
        </is>
      </c>
      <c r="J54" s="972" t="n">
        <v>10</v>
      </c>
      <c r="K54" s="972" t="inlineStr">
        <is>
          <t>Model Mapping</t>
        </is>
      </c>
      <c r="L54" s="452" t="inlineStr">
        <is>
          <t>https://attack.mitre.org/techniques/T0843/002</t>
        </is>
      </c>
      <c r="M54" s="973" t="inlineStr">
        <is>
          <t>Yes</t>
        </is>
      </c>
      <c r="N54" s="973" t="inlineStr">
        <is>
          <t>No explicit facility gate — defaults feasible</t>
        </is>
      </c>
      <c r="O54" s="973" t="inlineStr">
        <is>
          <t>Online Edit can support movement toward or within plant/control zones; actual reachability is governed by the assessed facility architecture.</t>
        </is>
      </c>
      <c r="P54" s="973" t="inlineStr">
        <is>
          <t>https://csrc.nist.gov/pubs/sp/800/82/r3/final</t>
        </is>
      </c>
    </row>
    <row r="55" ht="15" customHeight="1" s="508">
      <c r="A55" s="972" t="inlineStr">
        <is>
          <t>Nation State</t>
        </is>
      </c>
      <c r="B55" s="972" t="inlineStr">
        <is>
          <t>Operational Disruption</t>
        </is>
      </c>
      <c r="C55" s="972" t="inlineStr">
        <is>
          <t>T0861</t>
        </is>
      </c>
      <c r="D55" s="972" t="inlineStr">
        <is>
          <t>Point &amp; Tag Identification</t>
        </is>
      </c>
      <c r="E55" s="972" t="inlineStr">
        <is>
          <t>S4</t>
        </is>
      </c>
      <c r="F55" s="972" t="inlineStr">
        <is>
          <t>Candidate enabling technique</t>
        </is>
      </c>
      <c r="G55" s="972" t="inlineStr">
        <is>
          <t>Yes</t>
        </is>
      </c>
      <c r="H55" s="972" t="inlineStr">
        <is>
          <t>Yes</t>
        </is>
      </c>
      <c r="I55" s="972" t="inlineStr">
        <is>
          <t>Yes</t>
        </is>
      </c>
      <c r="J55" s="972" t="n">
        <v>8</v>
      </c>
      <c r="K55" s="972" t="inlineStr">
        <is>
          <t>Model Mapping</t>
        </is>
      </c>
      <c r="L55" s="452" t="inlineStr">
        <is>
          <t>https://attack.mitre.org/techniques/T0861</t>
        </is>
      </c>
      <c r="M55" s="973" t="inlineStr">
        <is>
          <t>Yes</t>
        </is>
      </c>
      <c r="N55" s="973" t="inlineStr">
        <is>
          <t>No explicit facility gate — defaults feasible</t>
        </is>
      </c>
      <c r="O55" s="973" t="inlineStr">
        <is>
          <t>Point &amp; Tag Identification can support discovery or interaction with process state, control assets and operational data in Power Generation environments.</t>
        </is>
      </c>
      <c r="P55" s="973" t="inlineStr">
        <is>
          <t>https://csrc.nist.gov/pubs/sp/800/82/r3/final</t>
        </is>
      </c>
    </row>
    <row r="56" ht="15" customHeight="1" s="508">
      <c r="A56" s="972" t="inlineStr">
        <is>
          <t>Nation State</t>
        </is>
      </c>
      <c r="B56" s="972" t="inlineStr">
        <is>
          <t>Operational Disruption</t>
        </is>
      </c>
      <c r="C56" s="972" t="inlineStr">
        <is>
          <t>T0846.001</t>
        </is>
      </c>
      <c r="D56" s="972" t="inlineStr">
        <is>
          <t>Port Scan</t>
        </is>
      </c>
      <c r="E56" s="972" t="inlineStr">
        <is>
          <t>S4</t>
        </is>
      </c>
      <c r="F56" s="972" t="inlineStr">
        <is>
          <t>Candidate enabling technique</t>
        </is>
      </c>
      <c r="G56" s="972" t="inlineStr">
        <is>
          <t>Yes</t>
        </is>
      </c>
      <c r="H56" s="972" t="inlineStr">
        <is>
          <t>Yes</t>
        </is>
      </c>
      <c r="I56" s="972" t="inlineStr">
        <is>
          <t>Yes</t>
        </is>
      </c>
      <c r="J56" s="972" t="n">
        <v>3</v>
      </c>
      <c r="K56" s="972" t="inlineStr">
        <is>
          <t>Model Mapping</t>
        </is>
      </c>
      <c r="L56" s="452" t="inlineStr">
        <is>
          <t>https://attack.mitre.org/techniques/T0846/001</t>
        </is>
      </c>
      <c r="M56" s="973" t="inlineStr">
        <is>
          <t>Yes</t>
        </is>
      </c>
      <c r="N56" s="973" t="inlineStr">
        <is>
          <t>No explicit facility gate — defaults feasible</t>
        </is>
      </c>
      <c r="O56" s="973" t="inlineStr">
        <is>
          <t>Port Scan can support discovery or interaction with process state, control assets and operational data in Power Generation environments.</t>
        </is>
      </c>
      <c r="P56" s="973" t="inlineStr">
        <is>
          <t>https://csrc.nist.gov/pubs/sp/800/82/r3/final</t>
        </is>
      </c>
    </row>
    <row r="57" ht="15" customHeight="1" s="508">
      <c r="A57" s="972" t="inlineStr">
        <is>
          <t>Nation State</t>
        </is>
      </c>
      <c r="B57" s="972" t="inlineStr">
        <is>
          <t>Operational Disruption</t>
        </is>
      </c>
      <c r="C57" s="972" t="inlineStr">
        <is>
          <t>T0843.003</t>
        </is>
      </c>
      <c r="D57" s="972" t="inlineStr">
        <is>
          <t>Program Append</t>
        </is>
      </c>
      <c r="E57" s="972" t="inlineStr">
        <is>
          <t>S3</t>
        </is>
      </c>
      <c r="F57" s="972" t="inlineStr">
        <is>
          <t>Candidate enabling technique</t>
        </is>
      </c>
      <c r="G57" s="972" t="inlineStr">
        <is>
          <t>Yes</t>
        </is>
      </c>
      <c r="H57" s="972" t="inlineStr">
        <is>
          <t>Yes</t>
        </is>
      </c>
      <c r="I57" s="972" t="inlineStr">
        <is>
          <t>Yes</t>
        </is>
      </c>
      <c r="J57" s="972" t="n">
        <v>10</v>
      </c>
      <c r="K57" s="972" t="inlineStr">
        <is>
          <t>Model Mapping</t>
        </is>
      </c>
      <c r="L57" s="452" t="inlineStr">
        <is>
          <t>https://attack.mitre.org/techniques/T0843/003</t>
        </is>
      </c>
      <c r="M57" s="973" t="inlineStr">
        <is>
          <t>Yes</t>
        </is>
      </c>
      <c r="N57" s="973" t="inlineStr">
        <is>
          <t>No explicit facility gate — defaults feasible</t>
        </is>
      </c>
      <c r="O57" s="973" t="inlineStr">
        <is>
          <t>Program Append can support movement toward or within plant/control zones; actual reachability is governed by the assessed facility architecture.</t>
        </is>
      </c>
      <c r="P57" s="973" t="inlineStr">
        <is>
          <t>https://csrc.nist.gov/pubs/sp/800/82/r3/final</t>
        </is>
      </c>
    </row>
    <row r="58" ht="15" customHeight="1" s="508">
      <c r="A58" s="972" t="inlineStr">
        <is>
          <t>Nation State</t>
        </is>
      </c>
      <c r="B58" s="972" t="inlineStr">
        <is>
          <t>Operational Disruption</t>
        </is>
      </c>
      <c r="C58" s="972" t="inlineStr">
        <is>
          <t>T0845</t>
        </is>
      </c>
      <c r="D58" s="972" t="inlineStr">
        <is>
          <t>Program Upload</t>
        </is>
      </c>
      <c r="E58" s="972" t="inlineStr">
        <is>
          <t>S4</t>
        </is>
      </c>
      <c r="F58" s="972" t="inlineStr">
        <is>
          <t>Candidate enabling technique</t>
        </is>
      </c>
      <c r="G58" s="972" t="inlineStr">
        <is>
          <t>Yes</t>
        </is>
      </c>
      <c r="H58" s="972" t="inlineStr">
        <is>
          <t>Yes</t>
        </is>
      </c>
      <c r="I58" s="972" t="inlineStr">
        <is>
          <t>Yes</t>
        </is>
      </c>
      <c r="J58" s="972" t="n">
        <v>8</v>
      </c>
      <c r="K58" s="972" t="inlineStr">
        <is>
          <t>Model Mapping</t>
        </is>
      </c>
      <c r="L58" s="452" t="inlineStr">
        <is>
          <t>https://attack.mitre.org/techniques/T0845</t>
        </is>
      </c>
      <c r="M58" s="973" t="inlineStr">
        <is>
          <t>Yes</t>
        </is>
      </c>
      <c r="N58" s="973" t="inlineStr">
        <is>
          <t>No explicit facility gate — defaults feasible</t>
        </is>
      </c>
      <c r="O58" s="973" t="inlineStr">
        <is>
          <t>Program Upload can support discovery or interaction with process state, control assets and operational data in Power Generation environments.</t>
        </is>
      </c>
      <c r="P58" s="973" t="inlineStr">
        <is>
          <t>https://csrc.nist.gov/pubs/sp/800/82/r3/final</t>
        </is>
      </c>
    </row>
    <row r="59" ht="15" customHeight="1" s="508">
      <c r="A59" s="972" t="inlineStr">
        <is>
          <t>Nation State</t>
        </is>
      </c>
      <c r="B59" s="972" t="inlineStr">
        <is>
          <t>Operational Disruption</t>
        </is>
      </c>
      <c r="C59" s="972" t="inlineStr">
        <is>
          <t>T0886</t>
        </is>
      </c>
      <c r="D59" s="972" t="inlineStr">
        <is>
          <t>Remote Services</t>
        </is>
      </c>
      <c r="E59" s="972" t="inlineStr">
        <is>
          <t>S1</t>
        </is>
      </c>
      <c r="F59" s="972" t="inlineStr">
        <is>
          <t>Candidate enabling technique</t>
        </is>
      </c>
      <c r="G59" s="972" t="inlineStr">
        <is>
          <t>Yes</t>
        </is>
      </c>
      <c r="H59" s="972" t="inlineStr">
        <is>
          <t>Yes</t>
        </is>
      </c>
      <c r="I59" s="972" t="inlineStr">
        <is>
          <t>Yes</t>
        </is>
      </c>
      <c r="J59" s="972" t="n">
        <v>9</v>
      </c>
      <c r="K59" s="972" t="inlineStr">
        <is>
          <t>Model Mapping</t>
        </is>
      </c>
      <c r="L59" s="452" t="inlineStr">
        <is>
          <t>https://attack.mitre.org/techniques/T0886</t>
        </is>
      </c>
      <c r="M59" s="973" t="inlineStr">
        <is>
          <t>Yes</t>
        </is>
      </c>
      <c r="N59" s="973" t="inlineStr">
        <is>
          <t>REMOTE_OR_ITOT — Remote path or IT-OT connection</t>
        </is>
      </c>
      <c r="O59" s="973" t="inlineStr">
        <is>
          <t>The Remote Services route is credible for Power Generation OT when the enabling access condition exists; existing facility gates determine remote, internet, transient, supply-chain or wireless feasibility.</t>
        </is>
      </c>
      <c r="P59" s="973" t="inlineStr">
        <is>
          <t>https://csrc.nist.gov/pubs/sp/800/82/r3/final</t>
        </is>
      </c>
    </row>
    <row r="60" ht="15" customHeight="1" s="508">
      <c r="A60" s="972" t="inlineStr">
        <is>
          <t>Nation State</t>
        </is>
      </c>
      <c r="B60" s="972" t="inlineStr">
        <is>
          <t>Operational Disruption</t>
        </is>
      </c>
      <c r="C60" s="972" t="inlineStr">
        <is>
          <t>T0888</t>
        </is>
      </c>
      <c r="D60" s="972" t="inlineStr">
        <is>
          <t>Remote System Information Discovery</t>
        </is>
      </c>
      <c r="E60" s="972" t="inlineStr">
        <is>
          <t>S4</t>
        </is>
      </c>
      <c r="F60" s="972" t="inlineStr">
        <is>
          <t>Candidate enabling technique</t>
        </is>
      </c>
      <c r="G60" s="972" t="inlineStr">
        <is>
          <t>Yes</t>
        </is>
      </c>
      <c r="H60" s="972" t="inlineStr">
        <is>
          <t>Yes</t>
        </is>
      </c>
      <c r="I60" s="972" t="inlineStr">
        <is>
          <t>Yes</t>
        </is>
      </c>
      <c r="J60" s="972" t="n">
        <v>1</v>
      </c>
      <c r="K60" s="972" t="inlineStr">
        <is>
          <t>Model Mapping</t>
        </is>
      </c>
      <c r="L60" s="452" t="inlineStr">
        <is>
          <t>https://attack.mitre.org/techniques/T0888</t>
        </is>
      </c>
      <c r="M60" s="973" t="inlineStr">
        <is>
          <t>Yes</t>
        </is>
      </c>
      <c r="N60" s="973" t="inlineStr">
        <is>
          <t>No explicit facility gate — defaults feasible</t>
        </is>
      </c>
      <c r="O60" s="973" t="inlineStr">
        <is>
          <t>Remote System Information Discovery can support discovery or interaction with process state, control assets and operational data in Power Generation environments.</t>
        </is>
      </c>
      <c r="P60" s="973" t="inlineStr">
        <is>
          <t>https://csrc.nist.gov/pubs/sp/800/82/r3/final</t>
        </is>
      </c>
    </row>
    <row r="61" ht="15" customHeight="1" s="508">
      <c r="A61" s="972" t="inlineStr">
        <is>
          <t>Nation State</t>
        </is>
      </c>
      <c r="B61" s="972" t="inlineStr">
        <is>
          <t>Operational Disruption</t>
        </is>
      </c>
      <c r="C61" s="972" t="inlineStr">
        <is>
          <t>T0847</t>
        </is>
      </c>
      <c r="D61" s="972" t="inlineStr">
        <is>
          <t>Replication Through Removable Media</t>
        </is>
      </c>
      <c r="E61" s="972" t="inlineStr">
        <is>
          <t>S1</t>
        </is>
      </c>
      <c r="F61" s="972" t="inlineStr">
        <is>
          <t>Candidate enabling technique</t>
        </is>
      </c>
      <c r="G61" s="972" t="inlineStr">
        <is>
          <t>Yes</t>
        </is>
      </c>
      <c r="H61" s="972" t="inlineStr">
        <is>
          <t>Yes</t>
        </is>
      </c>
      <c r="I61" s="972" t="inlineStr">
        <is>
          <t>Yes</t>
        </is>
      </c>
      <c r="J61" s="972" t="n">
        <v>3</v>
      </c>
      <c r="K61" s="972" t="inlineStr">
        <is>
          <t>Model Mapping</t>
        </is>
      </c>
      <c r="L61" s="452" t="inlineStr">
        <is>
          <t>https://attack.mitre.org/techniques/T0847</t>
        </is>
      </c>
      <c r="M61" s="973" t="inlineStr">
        <is>
          <t>Yes</t>
        </is>
      </c>
      <c r="N61" s="973" t="inlineStr">
        <is>
          <t>TRANSIENT_REQUIRED — Not None</t>
        </is>
      </c>
      <c r="O61" s="973" t="inlineStr">
        <is>
          <t>The Replication Through Removable Media route is credible for Power Generation OT when the enabling access condition exists; existing facility gates determine remote, internet, transient, supply-chain or wireless feasibility.</t>
        </is>
      </c>
      <c r="P61" s="973" t="inlineStr">
        <is>
          <t>https://csrc.nist.gov/pubs/sp/800/82/r3/final</t>
        </is>
      </c>
    </row>
    <row r="62" ht="15" customHeight="1" s="508">
      <c r="A62" s="972" t="inlineStr">
        <is>
          <t>Nation State</t>
        </is>
      </c>
      <c r="B62" s="972" t="inlineStr">
        <is>
          <t>Operational Disruption</t>
        </is>
      </c>
      <c r="C62" s="972" t="inlineStr">
        <is>
          <t>T0848</t>
        </is>
      </c>
      <c r="D62" s="972" t="inlineStr">
        <is>
          <t>Rogue Master</t>
        </is>
      </c>
      <c r="E62" s="972" t="inlineStr">
        <is>
          <t>S1</t>
        </is>
      </c>
      <c r="F62" s="972" t="inlineStr">
        <is>
          <t>Candidate enabling technique</t>
        </is>
      </c>
      <c r="G62" s="972" t="inlineStr">
        <is>
          <t>Yes</t>
        </is>
      </c>
      <c r="H62" s="972" t="inlineStr">
        <is>
          <t>Yes</t>
        </is>
      </c>
      <c r="I62" s="972" t="inlineStr">
        <is>
          <t>Yes</t>
        </is>
      </c>
      <c r="J62" s="972" t="n">
        <v>5</v>
      </c>
      <c r="K62" s="972" t="inlineStr">
        <is>
          <t>Model Mapping</t>
        </is>
      </c>
      <c r="L62" s="452" t="inlineStr">
        <is>
          <t>https://attack.mitre.org/techniques/T0848</t>
        </is>
      </c>
      <c r="M62" s="973" t="inlineStr">
        <is>
          <t>Yes</t>
        </is>
      </c>
      <c r="N62" s="973" t="inlineStr">
        <is>
          <t>No explicit facility gate — defaults feasible</t>
        </is>
      </c>
      <c r="O62" s="973" t="inlineStr">
        <is>
          <t>The Rogue Master route is credible for Power Generation OT when the enabling access condition exists; existing facility gates determine remote, internet, transient, supply-chain or wireless feasibility.</t>
        </is>
      </c>
      <c r="P62" s="973" t="inlineStr">
        <is>
          <t>https://csrc.nist.gov/pubs/sp/800/82/r3/final</t>
        </is>
      </c>
    </row>
    <row r="63" ht="15" customHeight="1" s="508">
      <c r="A63" s="972" t="inlineStr">
        <is>
          <t>Nation State</t>
        </is>
      </c>
      <c r="B63" s="972" t="inlineStr">
        <is>
          <t>Operational Disruption</t>
        </is>
      </c>
      <c r="C63" s="972" t="inlineStr">
        <is>
          <t>T0852</t>
        </is>
      </c>
      <c r="D63" s="972" t="inlineStr">
        <is>
          <t>Screen Capture</t>
        </is>
      </c>
      <c r="E63" s="972" t="inlineStr">
        <is>
          <t>S4</t>
        </is>
      </c>
      <c r="F63" s="972" t="inlineStr">
        <is>
          <t>Candidate enabling technique</t>
        </is>
      </c>
      <c r="G63" s="972" t="inlineStr">
        <is>
          <t>Yes</t>
        </is>
      </c>
      <c r="H63" s="972" t="inlineStr">
        <is>
          <t>Yes</t>
        </is>
      </c>
      <c r="I63" s="972" t="inlineStr">
        <is>
          <t>Yes</t>
        </is>
      </c>
      <c r="J63" s="972" t="n">
        <v>1</v>
      </c>
      <c r="K63" s="972" t="inlineStr">
        <is>
          <t>Model Mapping</t>
        </is>
      </c>
      <c r="L63" s="452" t="inlineStr">
        <is>
          <t>https://attack.mitre.org/techniques/T0852</t>
        </is>
      </c>
      <c r="M63" s="973" t="inlineStr">
        <is>
          <t>Yes</t>
        </is>
      </c>
      <c r="N63" s="973" t="inlineStr">
        <is>
          <t>No explicit facility gate — defaults feasible</t>
        </is>
      </c>
      <c r="O63" s="973" t="inlineStr">
        <is>
          <t>Screen Capture can support discovery or interaction with process state, control assets and operational data in Power Generation environments.</t>
        </is>
      </c>
      <c r="P63" s="973" t="inlineStr">
        <is>
          <t>https://csrc.nist.gov/pubs/sp/800/82/r3/final</t>
        </is>
      </c>
    </row>
    <row r="64" ht="15" customHeight="1" s="508">
      <c r="A64" s="972" t="inlineStr">
        <is>
          <t>Nation State</t>
        </is>
      </c>
      <c r="B64" s="972" t="inlineStr">
        <is>
          <t>Operational Disruption</t>
        </is>
      </c>
      <c r="C64" s="972" t="inlineStr">
        <is>
          <t>T0853</t>
        </is>
      </c>
      <c r="D64" s="972" t="inlineStr">
        <is>
          <t>Scripting</t>
        </is>
      </c>
      <c r="E64" s="972" t="inlineStr">
        <is>
          <t>S2</t>
        </is>
      </c>
      <c r="F64" s="972" t="inlineStr">
        <is>
          <t>Candidate enabling technique</t>
        </is>
      </c>
      <c r="G64" s="972" t="inlineStr">
        <is>
          <t>Yes</t>
        </is>
      </c>
      <c r="H64" s="972" t="inlineStr">
        <is>
          <t>Yes</t>
        </is>
      </c>
      <c r="I64" s="972" t="inlineStr">
        <is>
          <t>Yes</t>
        </is>
      </c>
      <c r="J64" s="972" t="n">
        <v>3</v>
      </c>
      <c r="K64" s="972" t="inlineStr">
        <is>
          <t>Model Mapping</t>
        </is>
      </c>
      <c r="L64" s="452" t="inlineStr">
        <is>
          <t>https://attack.mitre.org/techniques/T0853</t>
        </is>
      </c>
      <c r="M64" s="973" t="inlineStr">
        <is>
          <t>Yes</t>
        </is>
      </c>
      <c r="N64" s="973" t="inlineStr">
        <is>
          <t>No explicit facility gate — defaults feasible</t>
        </is>
      </c>
      <c r="O64" s="973" t="inlineStr">
        <is>
          <t>Scripting is applicable to execution or persistence on engineering workstations, HMIs, servers or controllers used in Power Generation facilities.</t>
        </is>
      </c>
      <c r="P64" s="973" t="inlineStr">
        <is>
          <t>https://csrc.nist.gov/pubs/sp/800/82/r3/final</t>
        </is>
      </c>
    </row>
    <row r="65" ht="15" customHeight="1" s="508">
      <c r="A65" s="972" t="inlineStr">
        <is>
          <t>Nation State</t>
        </is>
      </c>
      <c r="B65" s="972" t="inlineStr">
        <is>
          <t>Operational Disruption</t>
        </is>
      </c>
      <c r="C65" s="972" t="inlineStr">
        <is>
          <t>T0881</t>
        </is>
      </c>
      <c r="D65" s="972" t="inlineStr">
        <is>
          <t>Service Stop</t>
        </is>
      </c>
      <c r="E65" s="972" t="inlineStr">
        <is>
          <t>S5</t>
        </is>
      </c>
      <c r="F65" s="972" t="inlineStr">
        <is>
          <t>Scenario-defining</t>
        </is>
      </c>
      <c r="G65" s="972" t="inlineStr">
        <is>
          <t>Yes</t>
        </is>
      </c>
      <c r="H65" s="972" t="inlineStr">
        <is>
          <t>Yes</t>
        </is>
      </c>
      <c r="I65" s="972" t="inlineStr">
        <is>
          <t>Yes</t>
        </is>
      </c>
      <c r="J65" s="972" t="n">
        <v>4</v>
      </c>
      <c r="K65" s="972" t="inlineStr">
        <is>
          <t>Model Mapping</t>
        </is>
      </c>
      <c r="L65" s="452" t="inlineStr">
        <is>
          <t>https://attack.mitre.org/techniques/T0881</t>
        </is>
      </c>
      <c r="M65" s="973" t="inlineStr">
        <is>
          <t>Yes</t>
        </is>
      </c>
      <c r="N65" s="973" t="inlineStr">
        <is>
          <t>No explicit facility gate — defaults feasible</t>
        </is>
      </c>
      <c r="O65" s="973" t="inlineStr">
        <is>
          <t>Service Stop is an ATT&amp;CK for ICS impact or response-inhibition technique that can support one or more governed adverse scenarios; scenario role remains controlled on 09.</t>
        </is>
      </c>
      <c r="P65" s="973" t="inlineStr">
        <is>
          <t>https://csrc.nist.gov/pubs/sp/800/82/r3/final</t>
        </is>
      </c>
    </row>
    <row r="66" ht="15" customHeight="1" s="508">
      <c r="A66" s="972" t="inlineStr">
        <is>
          <t>Nation State</t>
        </is>
      </c>
      <c r="B66" s="972" t="inlineStr">
        <is>
          <t>Operational Disruption</t>
        </is>
      </c>
      <c r="C66" s="972" t="inlineStr">
        <is>
          <t>T0873.001</t>
        </is>
      </c>
      <c r="D66" s="972" t="inlineStr">
        <is>
          <t>Siemens Project File Format</t>
        </is>
      </c>
      <c r="E66" s="972" t="inlineStr">
        <is>
          <t>S2</t>
        </is>
      </c>
      <c r="F66" s="972" t="inlineStr">
        <is>
          <t>Candidate enabling technique</t>
        </is>
      </c>
      <c r="G66" s="972" t="inlineStr">
        <is>
          <t>Yes</t>
        </is>
      </c>
      <c r="H66" s="972" t="inlineStr">
        <is>
          <t>Yes</t>
        </is>
      </c>
      <c r="I66" s="972" t="inlineStr">
        <is>
          <t>Yes</t>
        </is>
      </c>
      <c r="J66" s="972" t="n">
        <v>4</v>
      </c>
      <c r="K66" s="972" t="inlineStr">
        <is>
          <t>Model Mapping</t>
        </is>
      </c>
      <c r="L66" s="452" t="inlineStr">
        <is>
          <t>https://attack.mitre.org/techniques/T0873/001</t>
        </is>
      </c>
      <c r="M66" s="973" t="inlineStr">
        <is>
          <t>Yes</t>
        </is>
      </c>
      <c r="N66" s="973" t="inlineStr">
        <is>
          <t>No explicit facility gate — defaults feasible</t>
        </is>
      </c>
      <c r="O66" s="973" t="inlineStr">
        <is>
          <t>Siemens Project File Format is applicable to execution or persistence on engineering workstations, HMIs, servers or controllers used in Power Generation facilities.</t>
        </is>
      </c>
      <c r="P66" s="973" t="inlineStr">
        <is>
          <t>https://csrc.nist.gov/pubs/sp/800/82/r3/final</t>
        </is>
      </c>
    </row>
    <row r="67" ht="15" customHeight="1" s="508">
      <c r="A67" s="972" t="inlineStr">
        <is>
          <t>Nation State</t>
        </is>
      </c>
      <c r="B67" s="972" t="inlineStr">
        <is>
          <t>Operational Disruption</t>
        </is>
      </c>
      <c r="C67" s="972" t="inlineStr">
        <is>
          <t>T0865</t>
        </is>
      </c>
      <c r="D67" s="972" t="inlineStr">
        <is>
          <t>Spearphishing Attachment</t>
        </is>
      </c>
      <c r="E67" s="972" t="inlineStr">
        <is>
          <t>S1</t>
        </is>
      </c>
      <c r="F67" s="972" t="inlineStr">
        <is>
          <t>Candidate enabling technique</t>
        </is>
      </c>
      <c r="G67" s="972" t="inlineStr">
        <is>
          <t>Yes</t>
        </is>
      </c>
      <c r="H67" s="972" t="inlineStr">
        <is>
          <t>Yes</t>
        </is>
      </c>
      <c r="I67" s="972" t="inlineStr">
        <is>
          <t>Yes</t>
        </is>
      </c>
      <c r="J67" s="972" t="n">
        <v>4</v>
      </c>
      <c r="K67" s="972" t="inlineStr">
        <is>
          <t>Model Mapping</t>
        </is>
      </c>
      <c r="L67" s="452" t="inlineStr">
        <is>
          <t>https://attack.mitre.org/techniques/T0865</t>
        </is>
      </c>
      <c r="M67" s="973" t="inlineStr">
        <is>
          <t>Yes</t>
        </is>
      </c>
      <c r="N67" s="973" t="inlineStr">
        <is>
          <t>No explicit facility gate — defaults feasible</t>
        </is>
      </c>
      <c r="O67" s="973" t="inlineStr">
        <is>
          <t>The Spearphishing Attachment route is credible for Power Generation OT when the enabling access condition exists; existing facility gates determine remote, internet, transient, supply-chain or wireless feasibility.</t>
        </is>
      </c>
      <c r="P67" s="973" t="inlineStr">
        <is>
          <t>https://csrc.nist.gov/pubs/sp/800/82/r3/final</t>
        </is>
      </c>
    </row>
    <row r="68" ht="15" customHeight="1" s="508">
      <c r="A68" s="972" t="inlineStr">
        <is>
          <t>Nation State</t>
        </is>
      </c>
      <c r="B68" s="972" t="inlineStr">
        <is>
          <t>Operational Disruption</t>
        </is>
      </c>
      <c r="C68" s="972" t="inlineStr">
        <is>
          <t>T0869</t>
        </is>
      </c>
      <c r="D68" s="972" t="inlineStr">
        <is>
          <t>Standard Application Layer Protocol</t>
        </is>
      </c>
      <c r="E68" s="972" t="inlineStr">
        <is>
          <t>S3</t>
        </is>
      </c>
      <c r="F68" s="972" t="inlineStr">
        <is>
          <t>Candidate enabling technique</t>
        </is>
      </c>
      <c r="G68" s="972" t="inlineStr">
        <is>
          <t>Yes</t>
        </is>
      </c>
      <c r="H68" s="972" t="inlineStr">
        <is>
          <t>Yes</t>
        </is>
      </c>
      <c r="I68" s="972" t="inlineStr">
        <is>
          <t>Yes</t>
        </is>
      </c>
      <c r="J68" s="972" t="n">
        <v>3</v>
      </c>
      <c r="K68" s="972" t="inlineStr">
        <is>
          <t>Model Mapping</t>
        </is>
      </c>
      <c r="L68" s="452" t="inlineStr">
        <is>
          <t>https://attack.mitre.org/techniques/T0869</t>
        </is>
      </c>
      <c r="M68" s="973" t="inlineStr">
        <is>
          <t>Yes</t>
        </is>
      </c>
      <c r="N68" s="973" t="inlineStr">
        <is>
          <t>No explicit facility gate — defaults feasible</t>
        </is>
      </c>
      <c r="O68" s="973" t="inlineStr">
        <is>
          <t>Standard Application Layer Protocol can support movement toward or within plant/control zones; actual reachability is governed by the assessed facility architecture.</t>
        </is>
      </c>
      <c r="P68" s="973" t="inlineStr">
        <is>
          <t>https://csrc.nist.gov/pubs/sp/800/82/r3/final</t>
        </is>
      </c>
    </row>
    <row r="69" ht="15" customHeight="1" s="508">
      <c r="A69" s="972" t="inlineStr">
        <is>
          <t>Nation State</t>
        </is>
      </c>
      <c r="B69" s="972" t="inlineStr">
        <is>
          <t>Operational Disruption</t>
        </is>
      </c>
      <c r="C69" s="972" t="inlineStr">
        <is>
          <t>T0862</t>
        </is>
      </c>
      <c r="D69" s="972" t="inlineStr">
        <is>
          <t>Supply Chain Compromise</t>
        </is>
      </c>
      <c r="E69" s="972" t="inlineStr">
        <is>
          <t>S1</t>
        </is>
      </c>
      <c r="F69" s="972" t="inlineStr">
        <is>
          <t>Candidate enabling technique</t>
        </is>
      </c>
      <c r="G69" s="972" t="inlineStr">
        <is>
          <t>Yes</t>
        </is>
      </c>
      <c r="H69" s="972" t="inlineStr">
        <is>
          <t>Yes</t>
        </is>
      </c>
      <c r="I69" s="972" t="inlineStr">
        <is>
          <t>Yes</t>
        </is>
      </c>
      <c r="J69" s="972" t="n">
        <v>5</v>
      </c>
      <c r="K69" s="972" t="inlineStr">
        <is>
          <t>Model Mapping</t>
        </is>
      </c>
      <c r="L69" s="452" t="inlineStr">
        <is>
          <t>https://attack.mitre.org/techniques/T0862</t>
        </is>
      </c>
      <c r="M69" s="973" t="inlineStr">
        <is>
          <t>Yes</t>
        </is>
      </c>
      <c r="N69" s="973" t="inlineStr">
        <is>
          <t>SUPPLY_CHAIN — Yes</t>
        </is>
      </c>
      <c r="O69" s="973" t="inlineStr">
        <is>
          <t>The Supply Chain Compromise route is credible for Power Generation OT when the enabling access condition exists; existing facility gates determine remote, internet, transient, supply-chain or wireless feasibility.</t>
        </is>
      </c>
      <c r="P69" s="973" t="inlineStr">
        <is>
          <t>https://csrc.nist.gov/pubs/sp/800/82/r3/final</t>
        </is>
      </c>
    </row>
    <row r="70" ht="15" customHeight="1" s="508">
      <c r="A70" s="972" t="inlineStr">
        <is>
          <t>Nation State</t>
        </is>
      </c>
      <c r="B70" s="972" t="inlineStr">
        <is>
          <t>Operational Disruption</t>
        </is>
      </c>
      <c r="C70" s="972" t="inlineStr">
        <is>
          <t>T0894</t>
        </is>
      </c>
      <c r="D70" s="972" t="inlineStr">
        <is>
          <t>System Binary Proxy Execution</t>
        </is>
      </c>
      <c r="E70" s="972" t="inlineStr">
        <is>
          <t>S2</t>
        </is>
      </c>
      <c r="F70" s="972" t="inlineStr">
        <is>
          <t>Candidate enabling technique</t>
        </is>
      </c>
      <c r="G70" s="972" t="inlineStr">
        <is>
          <t>Yes</t>
        </is>
      </c>
      <c r="H70" s="972" t="inlineStr">
        <is>
          <t>Yes</t>
        </is>
      </c>
      <c r="I70" s="972" t="inlineStr">
        <is>
          <t>Yes</t>
        </is>
      </c>
      <c r="J70" s="972" t="n">
        <v>1</v>
      </c>
      <c r="K70" s="972" t="inlineStr">
        <is>
          <t>Model Mapping</t>
        </is>
      </c>
      <c r="L70" s="452" t="inlineStr">
        <is>
          <t>https://attack.mitre.org/techniques/T0894</t>
        </is>
      </c>
      <c r="M70" s="973" t="inlineStr">
        <is>
          <t>Yes</t>
        </is>
      </c>
      <c r="N70" s="973" t="inlineStr">
        <is>
          <t>No explicit facility gate — defaults feasible</t>
        </is>
      </c>
      <c r="O70" s="973" t="inlineStr">
        <is>
          <t>System Binary Proxy Execution is applicable to execution or persistence on engineering workstations, HMIs, servers or controllers used in Power Generation facilities.</t>
        </is>
      </c>
      <c r="P70" s="973" t="inlineStr">
        <is>
          <t>https://csrc.nist.gov/pubs/sp/800/82/r3/final</t>
        </is>
      </c>
    </row>
    <row r="71" ht="15" customHeight="1" s="508">
      <c r="A71" s="972" t="inlineStr">
        <is>
          <t>Nation State</t>
        </is>
      </c>
      <c r="B71" s="972" t="inlineStr">
        <is>
          <t>Operational Disruption</t>
        </is>
      </c>
      <c r="C71" s="972" t="inlineStr">
        <is>
          <t>T0864</t>
        </is>
      </c>
      <c r="D71" s="972" t="inlineStr">
        <is>
          <t>Transient Cyber Asset</t>
        </is>
      </c>
      <c r="E71" s="972" t="inlineStr">
        <is>
          <t>S1</t>
        </is>
      </c>
      <c r="F71" s="972" t="inlineStr">
        <is>
          <t>Candidate enabling technique</t>
        </is>
      </c>
      <c r="G71" s="972" t="inlineStr">
        <is>
          <t>Yes</t>
        </is>
      </c>
      <c r="H71" s="972" t="inlineStr">
        <is>
          <t>Yes</t>
        </is>
      </c>
      <c r="I71" s="972" t="inlineStr">
        <is>
          <t>Yes</t>
        </is>
      </c>
      <c r="J71" s="972" t="n">
        <v>5</v>
      </c>
      <c r="K71" s="972" t="inlineStr">
        <is>
          <t>Model Mapping</t>
        </is>
      </c>
      <c r="L71" s="452" t="inlineStr">
        <is>
          <t>https://attack.mitre.org/techniques/T0864</t>
        </is>
      </c>
      <c r="M71" s="973" t="inlineStr">
        <is>
          <t>Yes</t>
        </is>
      </c>
      <c r="N71" s="973" t="inlineStr">
        <is>
          <t>TRANSIENT_REQUIRED — Not None</t>
        </is>
      </c>
      <c r="O71" s="973" t="inlineStr">
        <is>
          <t>The Transient Cyber Asset route is credible for Power Generation OT when the enabling access condition exists; existing facility gates determine remote, internet, transient, supply-chain or wireless feasibility.</t>
        </is>
      </c>
      <c r="P71" s="973" t="inlineStr">
        <is>
          <t>https://csrc.nist.gov/pubs/sp/800/82/r3/final</t>
        </is>
      </c>
    </row>
    <row r="72" ht="15" customHeight="1" s="508">
      <c r="A72" s="972" t="inlineStr">
        <is>
          <t>Nation State</t>
        </is>
      </c>
      <c r="B72" s="972" t="inlineStr">
        <is>
          <t>Operational Disruption</t>
        </is>
      </c>
      <c r="C72" s="972" t="inlineStr">
        <is>
          <t>T0863</t>
        </is>
      </c>
      <c r="D72" s="972" t="inlineStr">
        <is>
          <t>User Execution</t>
        </is>
      </c>
      <c r="E72" s="972" t="inlineStr">
        <is>
          <t>S2</t>
        </is>
      </c>
      <c r="F72" s="972" t="inlineStr">
        <is>
          <t>Candidate enabling technique</t>
        </is>
      </c>
      <c r="G72" s="972" t="inlineStr">
        <is>
          <t>Yes</t>
        </is>
      </c>
      <c r="H72" s="972" t="inlineStr">
        <is>
          <t>Yes</t>
        </is>
      </c>
      <c r="I72" s="972" t="inlineStr">
        <is>
          <t>Yes</t>
        </is>
      </c>
      <c r="J72" s="972" t="n">
        <v>6</v>
      </c>
      <c r="K72" s="972" t="inlineStr">
        <is>
          <t>Model Mapping</t>
        </is>
      </c>
      <c r="L72" s="452" t="inlineStr">
        <is>
          <t>https://attack.mitre.org/techniques/T0863</t>
        </is>
      </c>
      <c r="M72" s="973" t="inlineStr">
        <is>
          <t>Yes</t>
        </is>
      </c>
      <c r="N72" s="973" t="inlineStr">
        <is>
          <t>No explicit facility gate — defaults feasible</t>
        </is>
      </c>
      <c r="O72" s="973" t="inlineStr">
        <is>
          <t>User Execution is applicable to execution or persistence on engineering workstations, HMIs, servers or controllers used in Power Generation facilities.</t>
        </is>
      </c>
      <c r="P72" s="973" t="inlineStr">
        <is>
          <t>https://csrc.nist.gov/pubs/sp/800/82/r3/final</t>
        </is>
      </c>
    </row>
    <row r="73" ht="15" customHeight="1" s="508">
      <c r="A73" s="972" t="inlineStr">
        <is>
          <t>Nation State</t>
        </is>
      </c>
      <c r="B73" s="972" t="inlineStr">
        <is>
          <t>Operational Disruption</t>
        </is>
      </c>
      <c r="C73" s="972" t="inlineStr">
        <is>
          <t>T0859</t>
        </is>
      </c>
      <c r="D73" s="972" t="inlineStr">
        <is>
          <t>Valid Accounts</t>
        </is>
      </c>
      <c r="E73" s="972" t="inlineStr">
        <is>
          <t>S3</t>
        </is>
      </c>
      <c r="F73" s="972" t="inlineStr">
        <is>
          <t>Candidate enabling technique</t>
        </is>
      </c>
      <c r="G73" s="972" t="inlineStr">
        <is>
          <t>Yes</t>
        </is>
      </c>
      <c r="H73" s="972" t="inlineStr">
        <is>
          <t>Yes</t>
        </is>
      </c>
      <c r="I73" s="972" t="inlineStr">
        <is>
          <t>Yes</t>
        </is>
      </c>
      <c r="J73" s="972" t="n">
        <v>10</v>
      </c>
      <c r="K73" s="972" t="inlineStr">
        <is>
          <t>Model Mapping</t>
        </is>
      </c>
      <c r="L73" s="452" t="inlineStr">
        <is>
          <t>https://attack.mitre.org/techniques/T0859</t>
        </is>
      </c>
      <c r="M73" s="973" t="inlineStr">
        <is>
          <t>Yes</t>
        </is>
      </c>
      <c r="N73" s="973" t="inlineStr">
        <is>
          <t>No explicit facility gate — defaults feasible</t>
        </is>
      </c>
      <c r="O73" s="973" t="inlineStr">
        <is>
          <t>Valid Accounts can support movement toward or within plant/control zones; actual reachability is governed by the assessed facility architecture.</t>
        </is>
      </c>
      <c r="P73" s="973" t="inlineStr">
        <is>
          <t>https://csrc.nist.gov/pubs/sp/800/82/r3/final</t>
        </is>
      </c>
    </row>
    <row r="74" ht="15" customHeight="1" s="508">
      <c r="A74" s="972" t="inlineStr">
        <is>
          <t>Nation State</t>
        </is>
      </c>
      <c r="B74" s="972" t="inlineStr">
        <is>
          <t>Operational Disruption</t>
        </is>
      </c>
      <c r="C74" s="972" t="inlineStr">
        <is>
          <t>T0860</t>
        </is>
      </c>
      <c r="D74" s="972" t="inlineStr">
        <is>
          <t>Wireless Compromise</t>
        </is>
      </c>
      <c r="E74" s="972" t="inlineStr">
        <is>
          <t>S1</t>
        </is>
      </c>
      <c r="F74" s="972" t="inlineStr">
        <is>
          <t>Candidate enabling technique</t>
        </is>
      </c>
      <c r="G74" s="972" t="inlineStr">
        <is>
          <t>Yes</t>
        </is>
      </c>
      <c r="H74" s="972" t="inlineStr">
        <is>
          <t>No</t>
        </is>
      </c>
      <c r="I74" s="972" t="inlineStr">
        <is>
          <t>No</t>
        </is>
      </c>
      <c r="J74" s="972" t="n">
        <v>4</v>
      </c>
      <c r="K74" s="972" t="inlineStr">
        <is>
          <t>Model Mapping</t>
        </is>
      </c>
      <c r="L74" s="452" t="inlineStr">
        <is>
          <t>https://attack.mitre.org/techniques/T0860</t>
        </is>
      </c>
      <c r="M74" s="973" t="inlineStr">
        <is>
          <t>Yes</t>
        </is>
      </c>
      <c r="N74" s="973" t="inlineStr">
        <is>
          <t>WIRELESS — Yes</t>
        </is>
      </c>
      <c r="O74" s="973" t="inlineStr">
        <is>
          <t>The Wireless Compromise route is credible for Power Generation OT when the enabling access condition exists; existing facility gates determine remote, internet, transient, supply-chain or wireless feasibility.</t>
        </is>
      </c>
      <c r="P74" s="973" t="inlineStr">
        <is>
          <t>https://csrc.nist.gov/pubs/sp/800/82/r3/final</t>
        </is>
      </c>
    </row>
    <row r="75" ht="15" customHeight="1" s="508">
      <c r="A75" s="972" t="inlineStr">
        <is>
          <t>Nation State</t>
        </is>
      </c>
      <c r="B75" s="972" t="inlineStr">
        <is>
          <t>Operational Disruption</t>
        </is>
      </c>
      <c r="C75" s="972" t="inlineStr">
        <is>
          <t>T0887</t>
        </is>
      </c>
      <c r="D75" s="972" t="inlineStr">
        <is>
          <t>Wireless Sniffing</t>
        </is>
      </c>
      <c r="E75" s="972" t="inlineStr">
        <is>
          <t>S4</t>
        </is>
      </c>
      <c r="F75" s="972" t="inlineStr">
        <is>
          <t>Candidate enabling technique</t>
        </is>
      </c>
      <c r="G75" s="972" t="inlineStr">
        <is>
          <t>Yes</t>
        </is>
      </c>
      <c r="H75" s="972" t="inlineStr">
        <is>
          <t>No</t>
        </is>
      </c>
      <c r="I75" s="972" t="inlineStr">
        <is>
          <t>No</t>
        </is>
      </c>
      <c r="J75" s="972" t="n">
        <v>2</v>
      </c>
      <c r="K75" s="972" t="inlineStr">
        <is>
          <t>Model Mapping</t>
        </is>
      </c>
      <c r="L75" s="452" t="inlineStr">
        <is>
          <t>https://attack.mitre.org/techniques/T0887</t>
        </is>
      </c>
      <c r="M75" s="973" t="inlineStr">
        <is>
          <t>Yes</t>
        </is>
      </c>
      <c r="N75" s="973" t="inlineStr">
        <is>
          <t>WIRELESS — Yes</t>
        </is>
      </c>
      <c r="O75" s="973" t="inlineStr">
        <is>
          <t>Wireless Sniffing can support discovery or interaction with process state, control assets and operational data in Power Generation environments.</t>
        </is>
      </c>
      <c r="P75" s="973" t="inlineStr">
        <is>
          <t>https://csrc.nist.gov/pubs/sp/800/82/r3/final</t>
        </is>
      </c>
    </row>
    <row r="76" ht="15" customHeight="1" s="508">
      <c r="A76" s="972" t="inlineStr">
        <is>
          <t>Nation State</t>
        </is>
      </c>
      <c r="B76" s="972" t="inlineStr">
        <is>
          <t>Operational Disruption</t>
        </is>
      </c>
      <c r="C76" s="972" t="inlineStr">
        <is>
          <t>T1695</t>
        </is>
      </c>
      <c r="D76" s="972" t="inlineStr">
        <is>
          <t>Block Communications</t>
        </is>
      </c>
      <c r="E76" s="972" t="inlineStr">
        <is>
          <t>S5</t>
        </is>
      </c>
      <c r="F76" s="972" t="inlineStr">
        <is>
          <t>Supporting / impact</t>
        </is>
      </c>
      <c r="G76" s="972" t="inlineStr">
        <is>
          <t>Yes</t>
        </is>
      </c>
      <c r="H76" s="972" t="inlineStr">
        <is>
          <t>Yes</t>
        </is>
      </c>
      <c r="I76" s="972" t="inlineStr">
        <is>
          <t>Yes</t>
        </is>
      </c>
      <c r="J76" s="972" t="n">
        <v>3</v>
      </c>
      <c r="K76" s="972" t="inlineStr">
        <is>
          <t>ADDED v1.2: Blocking OT communications disrupts process and operations.</t>
        </is>
      </c>
      <c r="L76" s="452" t="inlineStr">
        <is>
          <t>https://attack.mitre.org/techniques/T1695</t>
        </is>
      </c>
      <c r="M76" s="973" t="inlineStr">
        <is>
          <t>Yes</t>
        </is>
      </c>
      <c r="N76" s="973" t="inlineStr">
        <is>
          <t>No explicit facility gate — defaults feasible</t>
        </is>
      </c>
      <c r="O76" s="973" t="inlineStr">
        <is>
          <t>Block Communications is an ATT&amp;CK for ICS impact or response-inhibition technique that can support one or more governed adverse scenarios; scenario role remains controlled on 09.</t>
        </is>
      </c>
      <c r="P76" s="973" t="inlineStr">
        <is>
          <t>https://csrc.nist.gov/pubs/sp/800/82/r3/final</t>
        </is>
      </c>
    </row>
    <row r="77" ht="15" customHeight="1" s="508">
      <c r="A77" s="972" t="inlineStr">
        <is>
          <t>Nation State</t>
        </is>
      </c>
      <c r="B77" s="972" t="inlineStr">
        <is>
          <t>Operational Disruption</t>
        </is>
      </c>
      <c r="C77" s="972" t="inlineStr">
        <is>
          <t>T1691.001</t>
        </is>
      </c>
      <c r="D77" s="972" t="inlineStr">
        <is>
          <t>Command Message</t>
        </is>
      </c>
      <c r="E77" s="972" t="inlineStr">
        <is>
          <t>S5</t>
        </is>
      </c>
      <c r="F77" s="972" t="inlineStr">
        <is>
          <t>Supporting / impact</t>
        </is>
      </c>
      <c r="G77" s="972" t="inlineStr">
        <is>
          <t>Yes</t>
        </is>
      </c>
      <c r="H77" s="972" t="inlineStr">
        <is>
          <t>Yes</t>
        </is>
      </c>
      <c r="I77" s="972" t="inlineStr">
        <is>
          <t>Yes</t>
        </is>
      </c>
      <c r="J77" s="972" t="n">
        <v>3</v>
      </c>
      <c r="K77" s="972" t="inlineStr">
        <is>
          <t>ADDED v1.2: Blocked command messages interrupt normal operation.</t>
        </is>
      </c>
      <c r="L77" s="452" t="inlineStr">
        <is>
          <t>https://attack.mitre.org/techniques/T1691/001</t>
        </is>
      </c>
      <c r="M77" s="973" t="inlineStr">
        <is>
          <t>Yes</t>
        </is>
      </c>
      <c r="N77" s="973" t="inlineStr">
        <is>
          <t>No explicit facility gate — defaults feasible</t>
        </is>
      </c>
      <c r="O77" s="973" t="inlineStr">
        <is>
          <t>Command Message is an ATT&amp;CK for ICS impact or response-inhibition technique that can support one or more governed adverse scenarios; scenario role remains controlled on 09.</t>
        </is>
      </c>
      <c r="P77" s="973" t="inlineStr">
        <is>
          <t>https://csrc.nist.gov/pubs/sp/800/82/r3/final</t>
        </is>
      </c>
    </row>
    <row r="78" ht="15" customHeight="1" s="508">
      <c r="A78" s="972" t="inlineStr">
        <is>
          <t>Nation State</t>
        </is>
      </c>
      <c r="B78" s="972" t="inlineStr">
        <is>
          <t>Operational Disruption</t>
        </is>
      </c>
      <c r="C78" s="972" t="inlineStr">
        <is>
          <t>T0800</t>
        </is>
      </c>
      <c r="D78" s="972" t="inlineStr">
        <is>
          <t>Activate Firmware Update Mode</t>
        </is>
      </c>
      <c r="E78" s="972" t="inlineStr">
        <is>
          <t>S5</t>
        </is>
      </c>
      <c r="F78" s="972" t="inlineStr">
        <is>
          <t>Supporting / impact</t>
        </is>
      </c>
      <c r="G78" s="972" t="inlineStr">
        <is>
          <t>Yes</t>
        </is>
      </c>
      <c r="H78" s="972" t="inlineStr">
        <is>
          <t>Yes</t>
        </is>
      </c>
      <c r="I78" s="972" t="inlineStr">
        <is>
          <t>Yes</t>
        </is>
      </c>
      <c r="J78" s="972" t="n">
        <v>8</v>
      </c>
      <c r="K78" s="972" t="inlineStr">
        <is>
          <t>ADDED v1.2: Firmware update mode denies expected device functionality.</t>
        </is>
      </c>
      <c r="L78" s="452" t="inlineStr">
        <is>
          <t>https://attack.mitre.org/techniques/T0800</t>
        </is>
      </c>
      <c r="M78" s="973" t="inlineStr">
        <is>
          <t>Yes</t>
        </is>
      </c>
      <c r="N78" s="973" t="inlineStr">
        <is>
          <t>No explicit facility gate — defaults feasible</t>
        </is>
      </c>
      <c r="O78" s="973" t="inlineStr">
        <is>
          <t>Activate Firmware Update Mode is an ATT&amp;CK for ICS impact or response-inhibition technique that can support one or more governed adverse scenarios; scenario role remains controlled on 09.</t>
        </is>
      </c>
      <c r="P78" s="973" t="inlineStr">
        <is>
          <t>https://csrc.nist.gov/pubs/sp/800/82/r3/final</t>
        </is>
      </c>
    </row>
    <row r="79" ht="15" customHeight="1" s="508">
      <c r="A79" s="972" t="inlineStr">
        <is>
          <t>Nation State</t>
        </is>
      </c>
      <c r="B79" s="972" t="inlineStr">
        <is>
          <t>Loss of Control or Visibility</t>
        </is>
      </c>
      <c r="C79" s="972" t="inlineStr">
        <is>
          <t>T0830</t>
        </is>
      </c>
      <c r="D79" s="972" t="inlineStr">
        <is>
          <t>Adversary-in-the-Middle</t>
        </is>
      </c>
      <c r="E79" s="972" t="inlineStr">
        <is>
          <t>S4</t>
        </is>
      </c>
      <c r="F79" s="972" t="inlineStr">
        <is>
          <t>Candidate enabling technique</t>
        </is>
      </c>
      <c r="G79" s="972" t="inlineStr">
        <is>
          <t>Yes</t>
        </is>
      </c>
      <c r="H79" s="972" t="inlineStr">
        <is>
          <t>Yes</t>
        </is>
      </c>
      <c r="I79" s="972" t="inlineStr">
        <is>
          <t>Yes</t>
        </is>
      </c>
      <c r="J79" s="972" t="n">
        <v>8</v>
      </c>
      <c r="K79" s="972" t="inlineStr">
        <is>
          <t>Model Mapping</t>
        </is>
      </c>
      <c r="L79" s="452" t="inlineStr">
        <is>
          <t>https://attack.mitre.org/techniques/T0830</t>
        </is>
      </c>
      <c r="M79" s="973" t="inlineStr">
        <is>
          <t>Yes</t>
        </is>
      </c>
      <c r="N79" s="973" t="inlineStr">
        <is>
          <t>No explicit facility gate — defaults feasible</t>
        </is>
      </c>
      <c r="O79" s="973" t="inlineStr">
        <is>
          <t>Adversary-in-the-Middle can support discovery or interaction with process state, control assets and operational data in Power Generation environments.</t>
        </is>
      </c>
      <c r="P79" s="973" t="inlineStr">
        <is>
          <t>https://csrc.nist.gov/pubs/sp/800/82/r3/final</t>
        </is>
      </c>
    </row>
    <row r="80" ht="15" customHeight="1" s="508">
      <c r="A80" s="972" t="inlineStr">
        <is>
          <t>Nation State</t>
        </is>
      </c>
      <c r="B80" s="972" t="inlineStr">
        <is>
          <t>Loss of Control or Visibility</t>
        </is>
      </c>
      <c r="C80" s="972" t="inlineStr">
        <is>
          <t>T0802</t>
        </is>
      </c>
      <c r="D80" s="972" t="inlineStr">
        <is>
          <t>Automated Collection</t>
        </is>
      </c>
      <c r="E80" s="972" t="inlineStr">
        <is>
          <t>S4</t>
        </is>
      </c>
      <c r="F80" s="972" t="inlineStr">
        <is>
          <t>Candidate enabling technique</t>
        </is>
      </c>
      <c r="G80" s="972" t="inlineStr">
        <is>
          <t>Yes</t>
        </is>
      </c>
      <c r="H80" s="972" t="inlineStr">
        <is>
          <t>Yes</t>
        </is>
      </c>
      <c r="I80" s="972" t="inlineStr">
        <is>
          <t>Yes</t>
        </is>
      </c>
      <c r="J80" s="972" t="n">
        <v>2</v>
      </c>
      <c r="K80" s="972" t="inlineStr">
        <is>
          <t>Model Mapping</t>
        </is>
      </c>
      <c r="L80" s="452" t="inlineStr">
        <is>
          <t>https://attack.mitre.org/techniques/T0802</t>
        </is>
      </c>
      <c r="M80" s="973" t="inlineStr">
        <is>
          <t>Yes</t>
        </is>
      </c>
      <c r="N80" s="973" t="inlineStr">
        <is>
          <t>No explicit facility gate — defaults feasible</t>
        </is>
      </c>
      <c r="O80" s="973" t="inlineStr">
        <is>
          <t>Automated Collection can support discovery or interaction with process state, control assets and operational data in Power Generation environments.</t>
        </is>
      </c>
      <c r="P80" s="973" t="inlineStr">
        <is>
          <t>https://csrc.nist.gov/pubs/sp/800/82/r3/final</t>
        </is>
      </c>
    </row>
    <row r="81" ht="15" customHeight="1" s="508">
      <c r="A81" s="972" t="inlineStr">
        <is>
          <t>Nation State</t>
        </is>
      </c>
      <c r="B81" s="972" t="inlineStr">
        <is>
          <t>Loss of Control or Visibility</t>
        </is>
      </c>
      <c r="C81" s="972" t="inlineStr">
        <is>
          <t>T0895</t>
        </is>
      </c>
      <c r="D81" s="972" t="inlineStr">
        <is>
          <t>Autorun Image</t>
        </is>
      </c>
      <c r="E81" s="972" t="inlineStr">
        <is>
          <t>S2</t>
        </is>
      </c>
      <c r="F81" s="972" t="inlineStr">
        <is>
          <t>Candidate enabling technique</t>
        </is>
      </c>
      <c r="G81" s="972" t="inlineStr">
        <is>
          <t>Yes</t>
        </is>
      </c>
      <c r="H81" s="972" t="inlineStr">
        <is>
          <t>Yes</t>
        </is>
      </c>
      <c r="I81" s="972" t="inlineStr">
        <is>
          <t>Yes</t>
        </is>
      </c>
      <c r="J81" s="972" t="n">
        <v>1</v>
      </c>
      <c r="K81" s="972" t="inlineStr">
        <is>
          <t>Model Mapping</t>
        </is>
      </c>
      <c r="L81" s="452" t="inlineStr">
        <is>
          <t>https://attack.mitre.org/techniques/T0895</t>
        </is>
      </c>
      <c r="M81" s="973" t="inlineStr">
        <is>
          <t>Yes</t>
        </is>
      </c>
      <c r="N81" s="973" t="inlineStr">
        <is>
          <t>No explicit facility gate — defaults feasible</t>
        </is>
      </c>
      <c r="O81" s="973" t="inlineStr">
        <is>
          <t>Autorun Image is applicable to execution or persistence on engineering workstations, HMIs, servers or controllers used in Power Generation facilities.</t>
        </is>
      </c>
      <c r="P81" s="973" t="inlineStr">
        <is>
          <t>https://csrc.nist.gov/pubs/sp/800/82/r3/final</t>
        </is>
      </c>
    </row>
    <row r="82" ht="15" customHeight="1" s="508">
      <c r="A82" s="972" t="inlineStr">
        <is>
          <t>Nation State</t>
        </is>
      </c>
      <c r="B82" s="972" t="inlineStr">
        <is>
          <t>Loss of Control or Visibility</t>
        </is>
      </c>
      <c r="C82" s="972" t="inlineStr">
        <is>
          <t>T0846.002</t>
        </is>
      </c>
      <c r="D82" s="972" t="inlineStr">
        <is>
          <t>Broadcast Discovery</t>
        </is>
      </c>
      <c r="E82" s="972" t="inlineStr">
        <is>
          <t>S4</t>
        </is>
      </c>
      <c r="F82" s="972" t="inlineStr">
        <is>
          <t>Candidate enabling technique</t>
        </is>
      </c>
      <c r="G82" s="972" t="inlineStr">
        <is>
          <t>Yes</t>
        </is>
      </c>
      <c r="H82" s="972" t="inlineStr">
        <is>
          <t>Yes</t>
        </is>
      </c>
      <c r="I82" s="972" t="inlineStr">
        <is>
          <t>Yes</t>
        </is>
      </c>
      <c r="J82" s="972" t="n">
        <v>2</v>
      </c>
      <c r="K82" s="972" t="inlineStr">
        <is>
          <t>Model Mapping</t>
        </is>
      </c>
      <c r="L82" s="452" t="inlineStr">
        <is>
          <t>https://attack.mitre.org/techniques/T0846/002</t>
        </is>
      </c>
      <c r="M82" s="973" t="inlineStr">
        <is>
          <t>Yes</t>
        </is>
      </c>
      <c r="N82" s="973" t="inlineStr">
        <is>
          <t>No explicit facility gate — defaults feasible</t>
        </is>
      </c>
      <c r="O82" s="973" t="inlineStr">
        <is>
          <t>Broadcast Discovery can support discovery or interaction with process state, control assets and operational data in Power Generation environments.</t>
        </is>
      </c>
      <c r="P82" s="973" t="inlineStr">
        <is>
          <t>https://csrc.nist.gov/pubs/sp/800/82/r3/final</t>
        </is>
      </c>
    </row>
    <row r="83" ht="15" customHeight="1" s="508">
      <c r="A83" s="972" t="inlineStr">
        <is>
          <t>Nation State</t>
        </is>
      </c>
      <c r="B83" s="972" t="inlineStr">
        <is>
          <t>Loss of Control or Visibility</t>
        </is>
      </c>
      <c r="C83" s="972" t="inlineStr">
        <is>
          <t>T0858</t>
        </is>
      </c>
      <c r="D83" s="972" t="inlineStr">
        <is>
          <t>Change Operating Mode</t>
        </is>
      </c>
      <c r="E83" s="972" t="inlineStr">
        <is>
          <t>S2</t>
        </is>
      </c>
      <c r="F83" s="972" t="inlineStr">
        <is>
          <t>Candidate enabling technique</t>
        </is>
      </c>
      <c r="G83" s="972" t="inlineStr">
        <is>
          <t>Yes</t>
        </is>
      </c>
      <c r="H83" s="972" t="inlineStr">
        <is>
          <t>Yes</t>
        </is>
      </c>
      <c r="I83" s="972" t="inlineStr">
        <is>
          <t>Yes</t>
        </is>
      </c>
      <c r="J83" s="972" t="n">
        <v>7</v>
      </c>
      <c r="K83" s="972" t="inlineStr">
        <is>
          <t>Model Mapping</t>
        </is>
      </c>
      <c r="L83" s="452" t="inlineStr">
        <is>
          <t>https://attack.mitre.org/techniques/T0858</t>
        </is>
      </c>
      <c r="M83" s="973" t="inlineStr">
        <is>
          <t>Yes</t>
        </is>
      </c>
      <c r="N83" s="973" t="inlineStr">
        <is>
          <t>No explicit facility gate — defaults feasible</t>
        </is>
      </c>
      <c r="O83" s="973" t="inlineStr">
        <is>
          <t>Change Operating Mode is applicable to execution or persistence on engineering workstations, HMIs, servers or controllers used in Power Generation facilities.</t>
        </is>
      </c>
      <c r="P83" s="973" t="inlineStr">
        <is>
          <t>https://csrc.nist.gov/pubs/sp/800/82/r3/final</t>
        </is>
      </c>
    </row>
    <row r="84" ht="15" customHeight="1" s="508">
      <c r="A84" s="972" t="inlineStr">
        <is>
          <t>Nation State</t>
        </is>
      </c>
      <c r="B84" s="972" t="inlineStr">
        <is>
          <t>Loss of Control or Visibility</t>
        </is>
      </c>
      <c r="C84" s="972" t="inlineStr">
        <is>
          <t>T0807</t>
        </is>
      </c>
      <c r="D84" s="972" t="inlineStr">
        <is>
          <t>Command-Line Interface</t>
        </is>
      </c>
      <c r="E84" s="972" t="inlineStr">
        <is>
          <t>S2</t>
        </is>
      </c>
      <c r="F84" s="972" t="inlineStr">
        <is>
          <t>Candidate enabling technique</t>
        </is>
      </c>
      <c r="G84" s="972" t="inlineStr">
        <is>
          <t>Yes</t>
        </is>
      </c>
      <c r="H84" s="972" t="inlineStr">
        <is>
          <t>Yes</t>
        </is>
      </c>
      <c r="I84" s="972" t="inlineStr">
        <is>
          <t>Yes</t>
        </is>
      </c>
      <c r="J84" s="972" t="n">
        <v>2</v>
      </c>
      <c r="K84" s="972" t="inlineStr">
        <is>
          <t>Model Mapping</t>
        </is>
      </c>
      <c r="L84" s="452" t="inlineStr">
        <is>
          <t>https://attack.mitre.org/techniques/T0807</t>
        </is>
      </c>
      <c r="M84" s="973" t="inlineStr">
        <is>
          <t>Yes</t>
        </is>
      </c>
      <c r="N84" s="973" t="inlineStr">
        <is>
          <t>No explicit facility gate — defaults feasible</t>
        </is>
      </c>
      <c r="O84" s="973" t="inlineStr">
        <is>
          <t>Command-Line Interface is applicable to execution or persistence on engineering workstations, HMIs, servers or controllers used in Power Generation facilities.</t>
        </is>
      </c>
      <c r="P84" s="973" t="inlineStr">
        <is>
          <t>https://csrc.nist.gov/pubs/sp/800/82/r3/final</t>
        </is>
      </c>
    </row>
    <row r="85" ht="15" customHeight="1" s="508">
      <c r="A85" s="972" t="inlineStr">
        <is>
          <t>Nation State</t>
        </is>
      </c>
      <c r="B85" s="972" t="inlineStr">
        <is>
          <t>Loss of Control or Visibility</t>
        </is>
      </c>
      <c r="C85" s="972" t="inlineStr">
        <is>
          <t>T0885</t>
        </is>
      </c>
      <c r="D85" s="972" t="inlineStr">
        <is>
          <t>Commonly Used Port</t>
        </is>
      </c>
      <c r="E85" s="972" t="inlineStr">
        <is>
          <t>S3</t>
        </is>
      </c>
      <c r="F85" s="972" t="inlineStr">
        <is>
          <t>Candidate enabling technique</t>
        </is>
      </c>
      <c r="G85" s="972" t="inlineStr">
        <is>
          <t>Yes</t>
        </is>
      </c>
      <c r="H85" s="972" t="inlineStr">
        <is>
          <t>Yes</t>
        </is>
      </c>
      <c r="I85" s="972" t="inlineStr">
        <is>
          <t>Yes</t>
        </is>
      </c>
      <c r="J85" s="972" t="n">
        <v>4</v>
      </c>
      <c r="K85" s="972" t="inlineStr">
        <is>
          <t>Model Mapping</t>
        </is>
      </c>
      <c r="L85" s="452" t="inlineStr">
        <is>
          <t>https://attack.mitre.org/techniques/T0885</t>
        </is>
      </c>
      <c r="M85" s="973" t="inlineStr">
        <is>
          <t>Yes</t>
        </is>
      </c>
      <c r="N85" s="973" t="inlineStr">
        <is>
          <t>No explicit facility gate — defaults feasible</t>
        </is>
      </c>
      <c r="O85" s="973" t="inlineStr">
        <is>
          <t>Commonly Used Port can support movement toward or within plant/control zones; actual reachability is governed by the assessed facility architecture.</t>
        </is>
      </c>
      <c r="P85" s="973" t="inlineStr">
        <is>
          <t>https://csrc.nist.gov/pubs/sp/800/82/r3/final</t>
        </is>
      </c>
    </row>
    <row r="86" ht="15" customHeight="1" s="508">
      <c r="A86" s="972" t="inlineStr">
        <is>
          <t>Nation State</t>
        </is>
      </c>
      <c r="B86" s="972" t="inlineStr">
        <is>
          <t>Loss of Control or Visibility</t>
        </is>
      </c>
      <c r="C86" s="972" t="inlineStr">
        <is>
          <t>T0884</t>
        </is>
      </c>
      <c r="D86" s="972" t="inlineStr">
        <is>
          <t>Connection Proxy</t>
        </is>
      </c>
      <c r="E86" s="972" t="inlineStr">
        <is>
          <t>S3</t>
        </is>
      </c>
      <c r="F86" s="972" t="inlineStr">
        <is>
          <t>Candidate enabling technique</t>
        </is>
      </c>
      <c r="G86" s="972" t="inlineStr">
        <is>
          <t>Yes</t>
        </is>
      </c>
      <c r="H86" s="972" t="inlineStr">
        <is>
          <t>Yes</t>
        </is>
      </c>
      <c r="I86" s="972" t="inlineStr">
        <is>
          <t>Yes</t>
        </is>
      </c>
      <c r="J86" s="972" t="n">
        <v>4</v>
      </c>
      <c r="K86" s="972" t="inlineStr">
        <is>
          <t>Model Mapping</t>
        </is>
      </c>
      <c r="L86" s="452" t="inlineStr">
        <is>
          <t>https://attack.mitre.org/techniques/T0884</t>
        </is>
      </c>
      <c r="M86" s="973" t="inlineStr">
        <is>
          <t>Yes</t>
        </is>
      </c>
      <c r="N86" s="973" t="inlineStr">
        <is>
          <t>No explicit facility gate — defaults feasible</t>
        </is>
      </c>
      <c r="O86" s="973" t="inlineStr">
        <is>
          <t>Connection Proxy can support movement toward or within plant/control zones; actual reachability is governed by the assessed facility architecture.</t>
        </is>
      </c>
      <c r="P86" s="973" t="inlineStr">
        <is>
          <t>https://csrc.nist.gov/pubs/sp/800/82/r3/final</t>
        </is>
      </c>
    </row>
    <row r="87" ht="15" customHeight="1" s="508">
      <c r="A87" s="972" t="inlineStr">
        <is>
          <t>Nation State</t>
        </is>
      </c>
      <c r="B87" s="972" t="inlineStr">
        <is>
          <t>Loss of Control or Visibility</t>
        </is>
      </c>
      <c r="C87" s="972" t="inlineStr">
        <is>
          <t>T0811</t>
        </is>
      </c>
      <c r="D87" s="972" t="inlineStr">
        <is>
          <t>Data from Information Repositories</t>
        </is>
      </c>
      <c r="E87" s="972" t="inlineStr">
        <is>
          <t>S4</t>
        </is>
      </c>
      <c r="F87" s="972" t="inlineStr">
        <is>
          <t>Candidate enabling technique</t>
        </is>
      </c>
      <c r="G87" s="972" t="inlineStr">
        <is>
          <t>Yes</t>
        </is>
      </c>
      <c r="H87" s="972" t="inlineStr">
        <is>
          <t>Yes</t>
        </is>
      </c>
      <c r="I87" s="972" t="inlineStr">
        <is>
          <t>Yes</t>
        </is>
      </c>
      <c r="J87" s="972" t="n">
        <v>6</v>
      </c>
      <c r="K87" s="972" t="inlineStr">
        <is>
          <t>Model Mapping</t>
        </is>
      </c>
      <c r="L87" s="452" t="inlineStr">
        <is>
          <t>https://attack.mitre.org/techniques/T0811</t>
        </is>
      </c>
      <c r="M87" s="973" t="inlineStr">
        <is>
          <t>Yes</t>
        </is>
      </c>
      <c r="N87" s="973" t="inlineStr">
        <is>
          <t>No explicit facility gate — defaults feasible</t>
        </is>
      </c>
      <c r="O87" s="973" t="inlineStr">
        <is>
          <t>Data from Information Repositories can support discovery or interaction with process state, control assets and operational data in Power Generation environments.</t>
        </is>
      </c>
      <c r="P87" s="973" t="inlineStr">
        <is>
          <t>https://csrc.nist.gov/pubs/sp/800/82/r3/final</t>
        </is>
      </c>
    </row>
    <row r="88" ht="15" customHeight="1" s="508">
      <c r="A88" s="972" t="inlineStr">
        <is>
          <t>Nation State</t>
        </is>
      </c>
      <c r="B88" s="972" t="inlineStr">
        <is>
          <t>Loss of Control or Visibility</t>
        </is>
      </c>
      <c r="C88" s="972" t="inlineStr">
        <is>
          <t>T0893</t>
        </is>
      </c>
      <c r="D88" s="972" t="inlineStr">
        <is>
          <t>Data from Local System</t>
        </is>
      </c>
      <c r="E88" s="972" t="inlineStr">
        <is>
          <t>S4</t>
        </is>
      </c>
      <c r="F88" s="972" t="inlineStr">
        <is>
          <t>Candidate enabling technique</t>
        </is>
      </c>
      <c r="G88" s="972" t="inlineStr">
        <is>
          <t>Yes</t>
        </is>
      </c>
      <c r="H88" s="972" t="inlineStr">
        <is>
          <t>Yes</t>
        </is>
      </c>
      <c r="I88" s="972" t="inlineStr">
        <is>
          <t>Yes</t>
        </is>
      </c>
      <c r="J88" s="972" t="n">
        <v>4</v>
      </c>
      <c r="K88" s="972" t="inlineStr">
        <is>
          <t>Model Mapping</t>
        </is>
      </c>
      <c r="L88" s="452" t="inlineStr">
        <is>
          <t>https://attack.mitre.org/techniques/T0893</t>
        </is>
      </c>
      <c r="M88" s="973" t="inlineStr">
        <is>
          <t>Yes</t>
        </is>
      </c>
      <c r="N88" s="973" t="inlineStr">
        <is>
          <t>No explicit facility gate — defaults feasible</t>
        </is>
      </c>
      <c r="O88" s="973" t="inlineStr">
        <is>
          <t>Data from Local System can support discovery or interaction with process state, control assets and operational data in Power Generation environments.</t>
        </is>
      </c>
      <c r="P88" s="973" t="inlineStr">
        <is>
          <t>https://csrc.nist.gov/pubs/sp/800/82/r3/final</t>
        </is>
      </c>
    </row>
    <row r="89" ht="15" customHeight="1" s="508">
      <c r="A89" s="972" t="inlineStr">
        <is>
          <t>Nation State</t>
        </is>
      </c>
      <c r="B89" s="972" t="inlineStr">
        <is>
          <t>Loss of Control or Visibility</t>
        </is>
      </c>
      <c r="C89" s="972" t="inlineStr">
        <is>
          <t>T1694.001</t>
        </is>
      </c>
      <c r="D89" s="972" t="inlineStr">
        <is>
          <t>Default Credentials</t>
        </is>
      </c>
      <c r="E89" s="972" t="inlineStr">
        <is>
          <t>S3</t>
        </is>
      </c>
      <c r="F89" s="972" t="inlineStr">
        <is>
          <t>Candidate enabling technique</t>
        </is>
      </c>
      <c r="G89" s="972" t="inlineStr">
        <is>
          <t>Yes</t>
        </is>
      </c>
      <c r="H89" s="972" t="inlineStr">
        <is>
          <t>Yes</t>
        </is>
      </c>
      <c r="I89" s="972" t="inlineStr">
        <is>
          <t>Yes</t>
        </is>
      </c>
      <c r="J89" s="972" t="n">
        <v>2</v>
      </c>
      <c r="K89" s="972" t="inlineStr">
        <is>
          <t>Model Mapping</t>
        </is>
      </c>
      <c r="L89" s="452" t="inlineStr">
        <is>
          <t>https://attack.mitre.org/techniques/T1694/001</t>
        </is>
      </c>
      <c r="M89" s="973" t="inlineStr">
        <is>
          <t>Yes</t>
        </is>
      </c>
      <c r="N89" s="973" t="inlineStr">
        <is>
          <t>No explicit facility gate — defaults feasible</t>
        </is>
      </c>
      <c r="O89" s="973" t="inlineStr">
        <is>
          <t>Default Credentials can support movement toward or within plant/control zones; actual reachability is governed by the assessed facility architecture.</t>
        </is>
      </c>
      <c r="P89" s="973" t="inlineStr">
        <is>
          <t>https://csrc.nist.gov/pubs/sp/800/82/r3/final</t>
        </is>
      </c>
    </row>
    <row r="90" ht="15" customHeight="1" s="508">
      <c r="A90" s="972" t="inlineStr">
        <is>
          <t>Nation State</t>
        </is>
      </c>
      <c r="B90" s="972" t="inlineStr">
        <is>
          <t>Loss of Control or Visibility</t>
        </is>
      </c>
      <c r="C90" s="972" t="inlineStr">
        <is>
          <t>T0813</t>
        </is>
      </c>
      <c r="D90" s="972" t="inlineStr">
        <is>
          <t>Denial of Control</t>
        </is>
      </c>
      <c r="E90" s="972" t="inlineStr">
        <is>
          <t>S5</t>
        </is>
      </c>
      <c r="F90" s="972" t="inlineStr">
        <is>
          <t>Scenario-defining</t>
        </is>
      </c>
      <c r="G90" s="972" t="inlineStr">
        <is>
          <t>Yes</t>
        </is>
      </c>
      <c r="H90" s="972" t="inlineStr">
        <is>
          <t>Yes</t>
        </is>
      </c>
      <c r="I90" s="972" t="inlineStr">
        <is>
          <t>Yes</t>
        </is>
      </c>
      <c r="J90" s="972" t="n">
        <v>3</v>
      </c>
      <c r="K90" s="972" t="inlineStr">
        <is>
          <t>Model Mapping</t>
        </is>
      </c>
      <c r="L90" s="452" t="inlineStr">
        <is>
          <t>https://attack.mitre.org/techniques/T0813</t>
        </is>
      </c>
      <c r="M90" s="973" t="inlineStr">
        <is>
          <t>Yes</t>
        </is>
      </c>
      <c r="N90" s="973" t="inlineStr">
        <is>
          <t>No explicit facility gate — defaults feasible</t>
        </is>
      </c>
      <c r="O90" s="973" t="inlineStr">
        <is>
          <t>Denial of Control is an ATT&amp;CK for ICS impact or response-inhibition technique that can support one or more governed adverse scenarios; scenario role remains controlled on 09.</t>
        </is>
      </c>
      <c r="P90" s="973" t="inlineStr">
        <is>
          <t>https://csrc.nist.gov/pubs/sp/800/82/r3/final</t>
        </is>
      </c>
    </row>
    <row r="91" ht="15" customHeight="1" s="508">
      <c r="A91" s="972" t="inlineStr">
        <is>
          <t>Nation State</t>
        </is>
      </c>
      <c r="B91" s="972" t="inlineStr">
        <is>
          <t>Loss of Control or Visibility</t>
        </is>
      </c>
      <c r="C91" s="972" t="inlineStr">
        <is>
          <t>T0815</t>
        </is>
      </c>
      <c r="D91" s="972" t="inlineStr">
        <is>
          <t>Denial of View</t>
        </is>
      </c>
      <c r="E91" s="972" t="inlineStr">
        <is>
          <t>S5</t>
        </is>
      </c>
      <c r="F91" s="972" t="inlineStr">
        <is>
          <t>Scenario-defining</t>
        </is>
      </c>
      <c r="G91" s="972" t="inlineStr">
        <is>
          <t>Yes</t>
        </is>
      </c>
      <c r="H91" s="972" t="inlineStr">
        <is>
          <t>Yes</t>
        </is>
      </c>
      <c r="I91" s="972" t="inlineStr">
        <is>
          <t>Yes</t>
        </is>
      </c>
      <c r="J91" s="972" t="n">
        <v>3</v>
      </c>
      <c r="K91" s="972" t="inlineStr">
        <is>
          <t>Model Mapping</t>
        </is>
      </c>
      <c r="L91" s="452" t="inlineStr">
        <is>
          <t>https://attack.mitre.org/techniques/T0815</t>
        </is>
      </c>
      <c r="M91" s="973" t="inlineStr">
        <is>
          <t>Yes</t>
        </is>
      </c>
      <c r="N91" s="973" t="inlineStr">
        <is>
          <t>No explicit facility gate — defaults feasible</t>
        </is>
      </c>
      <c r="O91" s="973" t="inlineStr">
        <is>
          <t>Denial of View is an ATT&amp;CK for ICS impact or response-inhibition technique that can support one or more governed adverse scenarios; scenario role remains controlled on 09.</t>
        </is>
      </c>
      <c r="P91" s="973" t="inlineStr">
        <is>
          <t>https://csrc.nist.gov/pubs/sp/800/82/r3/final</t>
        </is>
      </c>
    </row>
    <row r="92" ht="15" customHeight="1" s="508">
      <c r="A92" s="972" t="inlineStr">
        <is>
          <t>Nation State</t>
        </is>
      </c>
      <c r="B92" s="972" t="inlineStr">
        <is>
          <t>Loss of Control or Visibility</t>
        </is>
      </c>
      <c r="C92" s="972" t="inlineStr">
        <is>
          <t>T0868</t>
        </is>
      </c>
      <c r="D92" s="972" t="inlineStr">
        <is>
          <t>Detect Operating Mode</t>
        </is>
      </c>
      <c r="E92" s="972" t="inlineStr">
        <is>
          <t>S4</t>
        </is>
      </c>
      <c r="F92" s="972" t="inlineStr">
        <is>
          <t>Candidate enabling technique</t>
        </is>
      </c>
      <c r="G92" s="972" t="inlineStr">
        <is>
          <t>Yes</t>
        </is>
      </c>
      <c r="H92" s="972" t="inlineStr">
        <is>
          <t>Yes</t>
        </is>
      </c>
      <c r="I92" s="972" t="inlineStr">
        <is>
          <t>Yes</t>
        </is>
      </c>
      <c r="J92" s="972" t="n">
        <v>8</v>
      </c>
      <c r="K92" s="972" t="inlineStr">
        <is>
          <t>Model Mapping</t>
        </is>
      </c>
      <c r="L92" s="452" t="inlineStr">
        <is>
          <t>https://attack.mitre.org/techniques/T0868</t>
        </is>
      </c>
      <c r="M92" s="973" t="inlineStr">
        <is>
          <t>Yes</t>
        </is>
      </c>
      <c r="N92" s="973" t="inlineStr">
        <is>
          <t>No explicit facility gate — defaults feasible</t>
        </is>
      </c>
      <c r="O92" s="973" t="inlineStr">
        <is>
          <t>Detect Operating Mode can support discovery or interaction with process state, control assets and operational data in Power Generation environments.</t>
        </is>
      </c>
      <c r="P92" s="973" t="inlineStr">
        <is>
          <t>https://csrc.nist.gov/pubs/sp/800/82/r3/final</t>
        </is>
      </c>
    </row>
    <row r="93" ht="15" customHeight="1" s="508">
      <c r="A93" s="972" t="inlineStr">
        <is>
          <t>Nation State</t>
        </is>
      </c>
      <c r="B93" s="972" t="inlineStr">
        <is>
          <t>Loss of Control or Visibility</t>
        </is>
      </c>
      <c r="C93" s="972" t="inlineStr">
        <is>
          <t>T0843.001</t>
        </is>
      </c>
      <c r="D93" s="972" t="inlineStr">
        <is>
          <t>Download All</t>
        </is>
      </c>
      <c r="E93" s="972" t="inlineStr">
        <is>
          <t>S3</t>
        </is>
      </c>
      <c r="F93" s="972" t="inlineStr">
        <is>
          <t>Candidate enabling technique</t>
        </is>
      </c>
      <c r="G93" s="972" t="inlineStr">
        <is>
          <t>Yes</t>
        </is>
      </c>
      <c r="H93" s="972" t="inlineStr">
        <is>
          <t>Yes</t>
        </is>
      </c>
      <c r="I93" s="972" t="inlineStr">
        <is>
          <t>Yes</t>
        </is>
      </c>
      <c r="J93" s="972" t="n">
        <v>10</v>
      </c>
      <c r="K93" s="972" t="inlineStr">
        <is>
          <t>Model Mapping</t>
        </is>
      </c>
      <c r="L93" s="452" t="inlineStr">
        <is>
          <t>https://attack.mitre.org/techniques/T0843/001</t>
        </is>
      </c>
      <c r="M93" s="973" t="inlineStr">
        <is>
          <t>Yes</t>
        </is>
      </c>
      <c r="N93" s="973" t="inlineStr">
        <is>
          <t>No explicit facility gate — defaults feasible</t>
        </is>
      </c>
      <c r="O93" s="973" t="inlineStr">
        <is>
          <t>Download All can support movement toward or within plant/control zones; actual reachability is governed by the assessed facility architecture.</t>
        </is>
      </c>
      <c r="P93" s="973" t="inlineStr">
        <is>
          <t>https://csrc.nist.gov/pubs/sp/800/82/r3/final</t>
        </is>
      </c>
    </row>
    <row r="94" ht="15" customHeight="1" s="508">
      <c r="A94" s="972" t="inlineStr">
        <is>
          <t>Nation State</t>
        </is>
      </c>
      <c r="B94" s="972" t="inlineStr">
        <is>
          <t>Loss of Control or Visibility</t>
        </is>
      </c>
      <c r="C94" s="972" t="inlineStr">
        <is>
          <t>T0817</t>
        </is>
      </c>
      <c r="D94" s="972" t="inlineStr">
        <is>
          <t>Drive-by Compromise</t>
        </is>
      </c>
      <c r="E94" s="972" t="inlineStr">
        <is>
          <t>S1</t>
        </is>
      </c>
      <c r="F94" s="972" t="inlineStr">
        <is>
          <t>Candidate enabling technique</t>
        </is>
      </c>
      <c r="G94" s="972" t="inlineStr">
        <is>
          <t>Yes</t>
        </is>
      </c>
      <c r="H94" s="972" t="inlineStr">
        <is>
          <t>Yes</t>
        </is>
      </c>
      <c r="I94" s="972" t="inlineStr">
        <is>
          <t>Yes</t>
        </is>
      </c>
      <c r="J94" s="972" t="n">
        <v>4</v>
      </c>
      <c r="K94" s="972" t="inlineStr">
        <is>
          <t>Model Mapping</t>
        </is>
      </c>
      <c r="L94" s="452" t="inlineStr">
        <is>
          <t>https://attack.mitre.org/techniques/T0817</t>
        </is>
      </c>
      <c r="M94" s="973" t="inlineStr">
        <is>
          <t>Yes</t>
        </is>
      </c>
      <c r="N94" s="973" t="inlineStr">
        <is>
          <t>No explicit facility gate — defaults feasible</t>
        </is>
      </c>
      <c r="O94" s="973" t="inlineStr">
        <is>
          <t>The Drive-by Compromise route is credible for Power Generation OT when the enabling access condition exists; existing facility gates determine remote, internet, transient, supply-chain or wireless feasibility.</t>
        </is>
      </c>
      <c r="P94" s="973" t="inlineStr">
        <is>
          <t>https://csrc.nist.gov/pubs/sp/800/82/r3/final</t>
        </is>
      </c>
    </row>
    <row r="95" ht="15" customHeight="1" s="508">
      <c r="A95" s="972" t="inlineStr">
        <is>
          <t>Nation State</t>
        </is>
      </c>
      <c r="B95" s="972" t="inlineStr">
        <is>
          <t>Loss of Control or Visibility</t>
        </is>
      </c>
      <c r="C95" s="972" t="inlineStr">
        <is>
          <t>T0871</t>
        </is>
      </c>
      <c r="D95" s="972" t="inlineStr">
        <is>
          <t>Execution through API</t>
        </is>
      </c>
      <c r="E95" s="972" t="inlineStr">
        <is>
          <t>S2</t>
        </is>
      </c>
      <c r="F95" s="972" t="inlineStr">
        <is>
          <t>Candidate enabling technique</t>
        </is>
      </c>
      <c r="G95" s="972" t="inlineStr">
        <is>
          <t>Yes</t>
        </is>
      </c>
      <c r="H95" s="972" t="inlineStr">
        <is>
          <t>Yes</t>
        </is>
      </c>
      <c r="I95" s="972" t="inlineStr">
        <is>
          <t>Yes</t>
        </is>
      </c>
      <c r="J95" s="972" t="n">
        <v>4</v>
      </c>
      <c r="K95" s="972" t="inlineStr">
        <is>
          <t>Model Mapping</t>
        </is>
      </c>
      <c r="L95" s="452" t="inlineStr">
        <is>
          <t>https://attack.mitre.org/techniques/T0871</t>
        </is>
      </c>
      <c r="M95" s="973" t="inlineStr">
        <is>
          <t>Yes</t>
        </is>
      </c>
      <c r="N95" s="973" t="inlineStr">
        <is>
          <t>No explicit facility gate — defaults feasible</t>
        </is>
      </c>
      <c r="O95" s="973" t="inlineStr">
        <is>
          <t>Execution through API is applicable to execution or persistence on engineering workstations, HMIs, servers or controllers used in Power Generation facilities.</t>
        </is>
      </c>
      <c r="P95" s="973" t="inlineStr">
        <is>
          <t>https://csrc.nist.gov/pubs/sp/800/82/r3/final</t>
        </is>
      </c>
    </row>
    <row r="96" ht="15" customHeight="1" s="508">
      <c r="A96" s="972" t="inlineStr">
        <is>
          <t>Nation State</t>
        </is>
      </c>
      <c r="B96" s="972" t="inlineStr">
        <is>
          <t>Loss of Control or Visibility</t>
        </is>
      </c>
      <c r="C96" s="972" t="inlineStr">
        <is>
          <t>T0819</t>
        </is>
      </c>
      <c r="D96" s="972" t="inlineStr">
        <is>
          <t>Exploit Public-Facing Application</t>
        </is>
      </c>
      <c r="E96" s="972" t="inlineStr">
        <is>
          <t>S1</t>
        </is>
      </c>
      <c r="F96" s="972" t="inlineStr">
        <is>
          <t>Candidate enabling technique</t>
        </is>
      </c>
      <c r="G96" s="972" t="inlineStr">
        <is>
          <t>Yes</t>
        </is>
      </c>
      <c r="H96" s="972" t="inlineStr">
        <is>
          <t>Yes</t>
        </is>
      </c>
      <c r="I96" s="972" t="inlineStr">
        <is>
          <t>Yes</t>
        </is>
      </c>
      <c r="J96" s="972" t="n">
        <v>6</v>
      </c>
      <c r="K96" s="972" t="inlineStr">
        <is>
          <t>Model Mapping</t>
        </is>
      </c>
      <c r="L96" s="452" t="inlineStr">
        <is>
          <t>https://attack.mitre.org/techniques/T0819</t>
        </is>
      </c>
      <c r="M96" s="973" t="inlineStr">
        <is>
          <t>Yes</t>
        </is>
      </c>
      <c r="N96" s="973" t="inlineStr">
        <is>
          <t>No explicit facility gate — defaults feasible</t>
        </is>
      </c>
      <c r="O96" s="973" t="inlineStr">
        <is>
          <t>The Exploit Public-Facing Application route is credible for Power Generation OT when the enabling access condition exists; existing facility gates determine remote, internet, transient, supply-chain or wireless feasibility.</t>
        </is>
      </c>
      <c r="P96" s="973" t="inlineStr">
        <is>
          <t>https://csrc.nist.gov/pubs/sp/800/82/r3/final</t>
        </is>
      </c>
    </row>
    <row r="97" ht="15" customHeight="1" s="508">
      <c r="A97" s="972" t="inlineStr">
        <is>
          <t>Nation State</t>
        </is>
      </c>
      <c r="B97" s="972" t="inlineStr">
        <is>
          <t>Loss of Control or Visibility</t>
        </is>
      </c>
      <c r="C97" s="972" t="inlineStr">
        <is>
          <t>T0820</t>
        </is>
      </c>
      <c r="D97" s="972" t="inlineStr">
        <is>
          <t>Exploitation for Evasion</t>
        </is>
      </c>
      <c r="E97" s="972" t="inlineStr">
        <is>
          <t>S2</t>
        </is>
      </c>
      <c r="F97" s="972" t="inlineStr">
        <is>
          <t>Candidate enabling technique</t>
        </is>
      </c>
      <c r="G97" s="972" t="inlineStr">
        <is>
          <t>Yes</t>
        </is>
      </c>
      <c r="H97" s="972" t="inlineStr">
        <is>
          <t>Yes</t>
        </is>
      </c>
      <c r="I97" s="972" t="inlineStr">
        <is>
          <t>Yes</t>
        </is>
      </c>
      <c r="J97" s="972" t="n">
        <v>4</v>
      </c>
      <c r="K97" s="972" t="inlineStr">
        <is>
          <t>Model Mapping</t>
        </is>
      </c>
      <c r="L97" s="452" t="inlineStr">
        <is>
          <t>https://attack.mitre.org/techniques/T0820</t>
        </is>
      </c>
      <c r="M97" s="973" t="inlineStr">
        <is>
          <t>Yes</t>
        </is>
      </c>
      <c r="N97" s="973" t="inlineStr">
        <is>
          <t>No explicit facility gate — defaults feasible</t>
        </is>
      </c>
      <c r="O97" s="973" t="inlineStr">
        <is>
          <t>Exploitation for Evasion is applicable to execution or persistence on engineering workstations, HMIs, servers or controllers used in Power Generation facilities.</t>
        </is>
      </c>
      <c r="P97" s="973" t="inlineStr">
        <is>
          <t>https://csrc.nist.gov/pubs/sp/800/82/r3/final</t>
        </is>
      </c>
    </row>
    <row r="98" ht="15" customHeight="1" s="508">
      <c r="A98" s="972" t="inlineStr">
        <is>
          <t>Nation State</t>
        </is>
      </c>
      <c r="B98" s="972" t="inlineStr">
        <is>
          <t>Loss of Control or Visibility</t>
        </is>
      </c>
      <c r="C98" s="972" t="inlineStr">
        <is>
          <t>T0890</t>
        </is>
      </c>
      <c r="D98" s="972" t="inlineStr">
        <is>
          <t>Exploitation for Privilege Escalation</t>
        </is>
      </c>
      <c r="E98" s="972" t="inlineStr">
        <is>
          <t>S2</t>
        </is>
      </c>
      <c r="F98" s="972" t="inlineStr">
        <is>
          <t>Candidate enabling technique</t>
        </is>
      </c>
      <c r="G98" s="972" t="inlineStr">
        <is>
          <t>Yes</t>
        </is>
      </c>
      <c r="H98" s="972" t="inlineStr">
        <is>
          <t>Yes</t>
        </is>
      </c>
      <c r="I98" s="972" t="inlineStr">
        <is>
          <t>Yes</t>
        </is>
      </c>
      <c r="J98" s="972" t="n">
        <v>4</v>
      </c>
      <c r="K98" s="972" t="inlineStr">
        <is>
          <t>Model Mapping</t>
        </is>
      </c>
      <c r="L98" s="452" t="inlineStr">
        <is>
          <t>https://attack.mitre.org/techniques/T0890</t>
        </is>
      </c>
      <c r="M98" s="973" t="inlineStr">
        <is>
          <t>Yes</t>
        </is>
      </c>
      <c r="N98" s="973" t="inlineStr">
        <is>
          <t>No explicit facility gate — defaults feasible</t>
        </is>
      </c>
      <c r="O98" s="973" t="inlineStr">
        <is>
          <t>Exploitation for Privilege Escalation is applicable to execution or persistence on engineering workstations, HMIs, servers or controllers used in Power Generation facilities.</t>
        </is>
      </c>
      <c r="P98" s="973" t="inlineStr">
        <is>
          <t>https://csrc.nist.gov/pubs/sp/800/82/r3/final</t>
        </is>
      </c>
    </row>
    <row r="99" ht="15" customHeight="1" s="508">
      <c r="A99" s="972" t="inlineStr">
        <is>
          <t>Nation State</t>
        </is>
      </c>
      <c r="B99" s="972" t="inlineStr">
        <is>
          <t>Loss of Control or Visibility</t>
        </is>
      </c>
      <c r="C99" s="972" t="inlineStr">
        <is>
          <t>T0866</t>
        </is>
      </c>
      <c r="D99" s="972" t="inlineStr">
        <is>
          <t>Exploitation of Remote Services</t>
        </is>
      </c>
      <c r="E99" s="972" t="inlineStr">
        <is>
          <t>S1</t>
        </is>
      </c>
      <c r="F99" s="972" t="inlineStr">
        <is>
          <t>Candidate enabling technique</t>
        </is>
      </c>
      <c r="G99" s="972" t="inlineStr">
        <is>
          <t>Yes</t>
        </is>
      </c>
      <c r="H99" s="972" t="inlineStr">
        <is>
          <t>Yes</t>
        </is>
      </c>
      <c r="I99" s="972" t="inlineStr">
        <is>
          <t>Yes</t>
        </is>
      </c>
      <c r="J99" s="972" t="n">
        <v>8</v>
      </c>
      <c r="K99" s="972" t="inlineStr">
        <is>
          <t>Model Mapping</t>
        </is>
      </c>
      <c r="L99" s="452" t="inlineStr">
        <is>
          <t>https://attack.mitre.org/techniques/T0866</t>
        </is>
      </c>
      <c r="M99" s="973" t="inlineStr">
        <is>
          <t>Yes</t>
        </is>
      </c>
      <c r="N99" s="973" t="inlineStr">
        <is>
          <t>REMOTE_OR_ITOT — Remote path or IT-OT connection</t>
        </is>
      </c>
      <c r="O99" s="973" t="inlineStr">
        <is>
          <t>The Exploitation of Remote Services route is credible for Power Generation OT when the enabling access condition exists; existing facility gates determine remote, internet, transient, supply-chain or wireless feasibility.</t>
        </is>
      </c>
      <c r="P99" s="973" t="inlineStr">
        <is>
          <t>https://csrc.nist.gov/pubs/sp/800/82/r3/final</t>
        </is>
      </c>
    </row>
    <row r="100" ht="15" customHeight="1" s="508">
      <c r="A100" s="972" t="inlineStr">
        <is>
          <t>Nation State</t>
        </is>
      </c>
      <c r="B100" s="972" t="inlineStr">
        <is>
          <t>Loss of Control or Visibility</t>
        </is>
      </c>
      <c r="C100" s="972" t="inlineStr">
        <is>
          <t>T0822</t>
        </is>
      </c>
      <c r="D100" s="972" t="inlineStr">
        <is>
          <t>External Remote Services</t>
        </is>
      </c>
      <c r="E100" s="972" t="inlineStr">
        <is>
          <t>S1</t>
        </is>
      </c>
      <c r="F100" s="972" t="inlineStr">
        <is>
          <t>Candidate enabling technique</t>
        </is>
      </c>
      <c r="G100" s="972" t="inlineStr">
        <is>
          <t>Yes</t>
        </is>
      </c>
      <c r="H100" s="972" t="inlineStr">
        <is>
          <t>Yes</t>
        </is>
      </c>
      <c r="I100" s="972" t="inlineStr">
        <is>
          <t>Yes</t>
        </is>
      </c>
      <c r="J100" s="972" t="n">
        <v>7</v>
      </c>
      <c r="K100" s="972" t="inlineStr">
        <is>
          <t>Model Mapping</t>
        </is>
      </c>
      <c r="L100" s="452" t="inlineStr">
        <is>
          <t>https://attack.mitre.org/techniques/T0822</t>
        </is>
      </c>
      <c r="M100" s="973" t="inlineStr">
        <is>
          <t>Yes</t>
        </is>
      </c>
      <c r="N100" s="973" t="inlineStr">
        <is>
          <t>REMOTE_REQUIRED — Not None</t>
        </is>
      </c>
      <c r="O100" s="973" t="inlineStr">
        <is>
          <t>The External Remote Services route is credible for Power Generation OT when the enabling access condition exists; existing facility gates determine remote, internet, transient, supply-chain or wireless feasibility.</t>
        </is>
      </c>
      <c r="P100" s="973" t="inlineStr">
        <is>
          <t>https://csrc.nist.gov/pubs/sp/800/82/r3/final</t>
        </is>
      </c>
    </row>
    <row r="101" ht="15" customHeight="1" s="508">
      <c r="A101" s="972" t="inlineStr">
        <is>
          <t>Nation State</t>
        </is>
      </c>
      <c r="B101" s="972" t="inlineStr">
        <is>
          <t>Loss of Control or Visibility</t>
        </is>
      </c>
      <c r="C101" s="972" t="inlineStr">
        <is>
          <t>T0823</t>
        </is>
      </c>
      <c r="D101" s="972" t="inlineStr">
        <is>
          <t>Graphical User Interface</t>
        </is>
      </c>
      <c r="E101" s="972" t="inlineStr">
        <is>
          <t>S2</t>
        </is>
      </c>
      <c r="F101" s="972" t="inlineStr">
        <is>
          <t>Candidate enabling technique</t>
        </is>
      </c>
      <c r="G101" s="972" t="inlineStr">
        <is>
          <t>Yes</t>
        </is>
      </c>
      <c r="H101" s="972" t="inlineStr">
        <is>
          <t>Yes</t>
        </is>
      </c>
      <c r="I101" s="972" t="inlineStr">
        <is>
          <t>Yes</t>
        </is>
      </c>
      <c r="J101" s="972" t="n">
        <v>1</v>
      </c>
      <c r="K101" s="972" t="inlineStr">
        <is>
          <t>Model Mapping</t>
        </is>
      </c>
      <c r="L101" s="452" t="inlineStr">
        <is>
          <t>https://attack.mitre.org/techniques/T0823</t>
        </is>
      </c>
      <c r="M101" s="973" t="inlineStr">
        <is>
          <t>Yes</t>
        </is>
      </c>
      <c r="N101" s="973" t="inlineStr">
        <is>
          <t>No explicit facility gate — defaults feasible</t>
        </is>
      </c>
      <c r="O101" s="973" t="inlineStr">
        <is>
          <t>Graphical User Interface is applicable to execution or persistence on engineering workstations, HMIs, servers or controllers used in Power Generation facilities.</t>
        </is>
      </c>
      <c r="P101" s="973" t="inlineStr">
        <is>
          <t>https://csrc.nist.gov/pubs/sp/800/82/r3/final</t>
        </is>
      </c>
    </row>
    <row r="102" ht="15" customHeight="1" s="508">
      <c r="A102" s="972" t="inlineStr">
        <is>
          <t>Nation State</t>
        </is>
      </c>
      <c r="B102" s="972" t="inlineStr">
        <is>
          <t>Loss of Control or Visibility</t>
        </is>
      </c>
      <c r="C102" s="972" t="inlineStr">
        <is>
          <t>T1694.002</t>
        </is>
      </c>
      <c r="D102" s="972" t="inlineStr">
        <is>
          <t>Hardcoded Credentials</t>
        </is>
      </c>
      <c r="E102" s="972" t="inlineStr">
        <is>
          <t>S3</t>
        </is>
      </c>
      <c r="F102" s="972" t="inlineStr">
        <is>
          <t>Candidate enabling technique</t>
        </is>
      </c>
      <c r="G102" s="972" t="inlineStr">
        <is>
          <t>Yes</t>
        </is>
      </c>
      <c r="H102" s="972" t="inlineStr">
        <is>
          <t>Yes</t>
        </is>
      </c>
      <c r="I102" s="972" t="inlineStr">
        <is>
          <t>Yes</t>
        </is>
      </c>
      <c r="J102" s="972" t="n">
        <v>1</v>
      </c>
      <c r="K102" s="972" t="inlineStr">
        <is>
          <t>Model Mapping</t>
        </is>
      </c>
      <c r="L102" s="452" t="inlineStr">
        <is>
          <t>https://attack.mitre.org/techniques/T1694/002</t>
        </is>
      </c>
      <c r="M102" s="973" t="inlineStr">
        <is>
          <t>Yes</t>
        </is>
      </c>
      <c r="N102" s="973" t="inlineStr">
        <is>
          <t>No explicit facility gate — defaults feasible</t>
        </is>
      </c>
      <c r="O102" s="973" t="inlineStr">
        <is>
          <t>Hardcoded Credentials can support movement toward or within plant/control zones; actual reachability is governed by the assessed facility architecture.</t>
        </is>
      </c>
      <c r="P102" s="973" t="inlineStr">
        <is>
          <t>https://csrc.nist.gov/pubs/sp/800/82/r3/final</t>
        </is>
      </c>
    </row>
    <row r="103" ht="15" customHeight="1" s="508">
      <c r="A103" s="972" t="inlineStr">
        <is>
          <t>Nation State</t>
        </is>
      </c>
      <c r="B103" s="972" t="inlineStr">
        <is>
          <t>Loss of Control or Visibility</t>
        </is>
      </c>
      <c r="C103" s="972" t="inlineStr">
        <is>
          <t>T0874</t>
        </is>
      </c>
      <c r="D103" s="972" t="inlineStr">
        <is>
          <t>Hooking</t>
        </is>
      </c>
      <c r="E103" s="972" t="inlineStr">
        <is>
          <t>S2</t>
        </is>
      </c>
      <c r="F103" s="972" t="inlineStr">
        <is>
          <t>Candidate enabling technique</t>
        </is>
      </c>
      <c r="G103" s="972" t="inlineStr">
        <is>
          <t>Yes</t>
        </is>
      </c>
      <c r="H103" s="972" t="inlineStr">
        <is>
          <t>Yes</t>
        </is>
      </c>
      <c r="I103" s="972" t="inlineStr">
        <is>
          <t>Yes</t>
        </is>
      </c>
      <c r="J103" s="972" t="n">
        <v>2</v>
      </c>
      <c r="K103" s="972" t="inlineStr">
        <is>
          <t>Model Mapping</t>
        </is>
      </c>
      <c r="L103" s="452" t="inlineStr">
        <is>
          <t>https://attack.mitre.org/techniques/T0874</t>
        </is>
      </c>
      <c r="M103" s="973" t="inlineStr">
        <is>
          <t>Yes</t>
        </is>
      </c>
      <c r="N103" s="973" t="inlineStr">
        <is>
          <t>No explicit facility gate — defaults feasible</t>
        </is>
      </c>
      <c r="O103" s="973" t="inlineStr">
        <is>
          <t>Hooking is applicable to execution or persistence on engineering workstations, HMIs, servers or controllers used in Power Generation facilities.</t>
        </is>
      </c>
      <c r="P103" s="973" t="inlineStr">
        <is>
          <t>https://csrc.nist.gov/pubs/sp/800/82/r3/final</t>
        </is>
      </c>
    </row>
    <row r="104" ht="15" customHeight="1" s="508">
      <c r="A104" s="972" t="inlineStr">
        <is>
          <t>Nation State</t>
        </is>
      </c>
      <c r="B104" s="972" t="inlineStr">
        <is>
          <t>Loss of Control or Visibility</t>
        </is>
      </c>
      <c r="C104" s="972" t="inlineStr">
        <is>
          <t>T0877</t>
        </is>
      </c>
      <c r="D104" s="972" t="inlineStr">
        <is>
          <t>I/O Image</t>
        </is>
      </c>
      <c r="E104" s="972" t="inlineStr">
        <is>
          <t>S4</t>
        </is>
      </c>
      <c r="F104" s="972" t="inlineStr">
        <is>
          <t>Candidate enabling technique</t>
        </is>
      </c>
      <c r="G104" s="972" t="inlineStr">
        <is>
          <t>Yes</t>
        </is>
      </c>
      <c r="H104" s="972" t="inlineStr">
        <is>
          <t>Yes</t>
        </is>
      </c>
      <c r="I104" s="972" t="inlineStr">
        <is>
          <t>Yes</t>
        </is>
      </c>
      <c r="J104" s="972" t="n">
        <v>1</v>
      </c>
      <c r="K104" s="972" t="inlineStr">
        <is>
          <t>Model Mapping</t>
        </is>
      </c>
      <c r="L104" s="452" t="inlineStr">
        <is>
          <t>https://attack.mitre.org/techniques/T0877</t>
        </is>
      </c>
      <c r="M104" s="973" t="inlineStr">
        <is>
          <t>Yes</t>
        </is>
      </c>
      <c r="N104" s="973" t="inlineStr">
        <is>
          <t>No explicit facility gate — defaults feasible</t>
        </is>
      </c>
      <c r="O104" s="973" t="inlineStr">
        <is>
          <t>I/O Image can support discovery or interaction with process state, control assets and operational data in Power Generation environments.</t>
        </is>
      </c>
      <c r="P104" s="973" t="inlineStr">
        <is>
          <t>https://csrc.nist.gov/pubs/sp/800/82/r3/final</t>
        </is>
      </c>
    </row>
    <row r="105" ht="15" customHeight="1" s="508">
      <c r="A105" s="972" t="inlineStr">
        <is>
          <t>Nation State</t>
        </is>
      </c>
      <c r="B105" s="972" t="inlineStr">
        <is>
          <t>Loss of Control or Visibility</t>
        </is>
      </c>
      <c r="C105" s="972" t="inlineStr">
        <is>
          <t>T0872</t>
        </is>
      </c>
      <c r="D105" s="972" t="inlineStr">
        <is>
          <t>Indicator Removal on Host</t>
        </is>
      </c>
      <c r="E105" s="972" t="inlineStr">
        <is>
          <t>S2</t>
        </is>
      </c>
      <c r="F105" s="972" t="inlineStr">
        <is>
          <t>Candidate enabling technique</t>
        </is>
      </c>
      <c r="G105" s="972" t="inlineStr">
        <is>
          <t>Yes</t>
        </is>
      </c>
      <c r="H105" s="972" t="inlineStr">
        <is>
          <t>Yes</t>
        </is>
      </c>
      <c r="I105" s="972" t="inlineStr">
        <is>
          <t>Yes</t>
        </is>
      </c>
      <c r="J105" s="972" t="n">
        <v>1</v>
      </c>
      <c r="K105" s="972" t="inlineStr">
        <is>
          <t>Model Mapping</t>
        </is>
      </c>
      <c r="L105" s="452" t="inlineStr">
        <is>
          <t>https://attack.mitre.org/techniques/T0872</t>
        </is>
      </c>
      <c r="M105" s="973" t="inlineStr">
        <is>
          <t>Yes</t>
        </is>
      </c>
      <c r="N105" s="973" t="inlineStr">
        <is>
          <t>No explicit facility gate — defaults feasible</t>
        </is>
      </c>
      <c r="O105" s="973" t="inlineStr">
        <is>
          <t>Indicator Removal on Host is applicable to execution or persistence on engineering workstations, HMIs, servers or controllers used in Power Generation facilities.</t>
        </is>
      </c>
      <c r="P105" s="973" t="inlineStr">
        <is>
          <t>https://csrc.nist.gov/pubs/sp/800/82/r3/final</t>
        </is>
      </c>
    </row>
    <row r="106" ht="15" customHeight="1" s="508">
      <c r="A106" s="972" t="inlineStr">
        <is>
          <t>Nation State</t>
        </is>
      </c>
      <c r="B106" s="972" t="inlineStr">
        <is>
          <t>Loss of Control or Visibility</t>
        </is>
      </c>
      <c r="C106" s="972" t="inlineStr">
        <is>
          <t>T0883</t>
        </is>
      </c>
      <c r="D106" s="972" t="inlineStr">
        <is>
          <t>Internet Accessible Device</t>
        </is>
      </c>
      <c r="E106" s="972" t="inlineStr">
        <is>
          <t>S1</t>
        </is>
      </c>
      <c r="F106" s="972" t="inlineStr">
        <is>
          <t>Candidate enabling technique</t>
        </is>
      </c>
      <c r="G106" s="972" t="inlineStr">
        <is>
          <t>Yes</t>
        </is>
      </c>
      <c r="H106" s="972" t="inlineStr">
        <is>
          <t>No</t>
        </is>
      </c>
      <c r="I106" s="972" t="inlineStr">
        <is>
          <t>No</t>
        </is>
      </c>
      <c r="J106" s="972" t="n">
        <v>1</v>
      </c>
      <c r="K106" s="972" t="inlineStr">
        <is>
          <t>Model Mapping</t>
        </is>
      </c>
      <c r="L106" s="452" t="inlineStr">
        <is>
          <t>https://attack.mitre.org/techniques/T0883</t>
        </is>
      </c>
      <c r="M106" s="973" t="inlineStr">
        <is>
          <t>Yes</t>
        </is>
      </c>
      <c r="N106" s="973" t="inlineStr">
        <is>
          <t>INTERNET_OT — Yes</t>
        </is>
      </c>
      <c r="O106" s="973" t="inlineStr">
        <is>
          <t>The Internet Accessible Device route is credible for Power Generation OT when the enabling access condition exists; existing facility gates determine remote, internet, transient, supply-chain or wireless feasibility.</t>
        </is>
      </c>
      <c r="P106" s="973" t="inlineStr">
        <is>
          <t>https://csrc.nist.gov/pubs/sp/800/82/r3/final</t>
        </is>
      </c>
    </row>
    <row r="107" ht="15" customHeight="1" s="508">
      <c r="A107" s="972" t="inlineStr">
        <is>
          <t>Nation State</t>
        </is>
      </c>
      <c r="B107" s="972" t="inlineStr">
        <is>
          <t>Loss of Control or Visibility</t>
        </is>
      </c>
      <c r="C107" s="972" t="inlineStr">
        <is>
          <t>T0867</t>
        </is>
      </c>
      <c r="D107" s="972" t="inlineStr">
        <is>
          <t>Lateral Tool Transfer</t>
        </is>
      </c>
      <c r="E107" s="972" t="inlineStr">
        <is>
          <t>S3</t>
        </is>
      </c>
      <c r="F107" s="972" t="inlineStr">
        <is>
          <t>Candidate enabling technique</t>
        </is>
      </c>
      <c r="G107" s="972" t="inlineStr">
        <is>
          <t>Yes</t>
        </is>
      </c>
      <c r="H107" s="972" t="inlineStr">
        <is>
          <t>Yes</t>
        </is>
      </c>
      <c r="I107" s="972" t="inlineStr">
        <is>
          <t>Yes</t>
        </is>
      </c>
      <c r="J107" s="972" t="n">
        <v>1</v>
      </c>
      <c r="K107" s="972" t="inlineStr">
        <is>
          <t>Model Mapping</t>
        </is>
      </c>
      <c r="L107" s="452" t="inlineStr">
        <is>
          <t>https://attack.mitre.org/techniques/T0867</t>
        </is>
      </c>
      <c r="M107" s="973" t="inlineStr">
        <is>
          <t>Yes</t>
        </is>
      </c>
      <c r="N107" s="973" t="inlineStr">
        <is>
          <t>No explicit facility gate — defaults feasible</t>
        </is>
      </c>
      <c r="O107" s="973" t="inlineStr">
        <is>
          <t>Lateral Tool Transfer can support movement toward or within plant/control zones; actual reachability is governed by the assessed facility architecture.</t>
        </is>
      </c>
      <c r="P107" s="973" t="inlineStr">
        <is>
          <t>https://csrc.nist.gov/pubs/sp/800/82/r3/final</t>
        </is>
      </c>
    </row>
    <row r="108" ht="15" customHeight="1" s="508">
      <c r="A108" s="972" t="inlineStr">
        <is>
          <t>Nation State</t>
        </is>
      </c>
      <c r="B108" s="972" t="inlineStr">
        <is>
          <t>Loss of Control or Visibility</t>
        </is>
      </c>
      <c r="C108" s="972" t="inlineStr">
        <is>
          <t>T0827</t>
        </is>
      </c>
      <c r="D108" s="972" t="inlineStr">
        <is>
          <t>Loss of Control</t>
        </is>
      </c>
      <c r="E108" s="972" t="inlineStr">
        <is>
          <t>S5</t>
        </is>
      </c>
      <c r="F108" s="972" t="inlineStr">
        <is>
          <t>Scenario-defining</t>
        </is>
      </c>
      <c r="G108" s="972" t="inlineStr">
        <is>
          <t>Yes</t>
        </is>
      </c>
      <c r="H108" s="972" t="inlineStr">
        <is>
          <t>Yes</t>
        </is>
      </c>
      <c r="I108" s="972" t="inlineStr">
        <is>
          <t>Yes</t>
        </is>
      </c>
      <c r="J108" s="972" t="n">
        <v>3</v>
      </c>
      <c r="K108" s="972" t="inlineStr">
        <is>
          <t>Model Mapping</t>
        </is>
      </c>
      <c r="L108" s="452" t="inlineStr">
        <is>
          <t>https://attack.mitre.org/techniques/T0827</t>
        </is>
      </c>
      <c r="M108" s="973" t="inlineStr">
        <is>
          <t>Yes</t>
        </is>
      </c>
      <c r="N108" s="973" t="inlineStr">
        <is>
          <t>No explicit facility gate — defaults feasible</t>
        </is>
      </c>
      <c r="O108" s="973" t="inlineStr">
        <is>
          <t>Loss of Control is an ATT&amp;CK for ICS impact or response-inhibition technique that can support one or more governed adverse scenarios; scenario role remains controlled on 09.</t>
        </is>
      </c>
      <c r="P108" s="973" t="inlineStr">
        <is>
          <t>https://csrc.nist.gov/pubs/sp/800/82/r3/final</t>
        </is>
      </c>
    </row>
    <row r="109" ht="15" customHeight="1" s="508">
      <c r="A109" s="972" t="inlineStr">
        <is>
          <t>Nation State</t>
        </is>
      </c>
      <c r="B109" s="972" t="inlineStr">
        <is>
          <t>Loss of Control or Visibility</t>
        </is>
      </c>
      <c r="C109" s="972" t="inlineStr">
        <is>
          <t>T0829</t>
        </is>
      </c>
      <c r="D109" s="972" t="inlineStr">
        <is>
          <t>Loss of View</t>
        </is>
      </c>
      <c r="E109" s="972" t="inlineStr">
        <is>
          <t>S5</t>
        </is>
      </c>
      <c r="F109" s="972" t="inlineStr">
        <is>
          <t>Scenario-defining</t>
        </is>
      </c>
      <c r="G109" s="972" t="inlineStr">
        <is>
          <t>Yes</t>
        </is>
      </c>
      <c r="H109" s="972" t="inlineStr">
        <is>
          <t>Yes</t>
        </is>
      </c>
      <c r="I109" s="972" t="inlineStr">
        <is>
          <t>Yes</t>
        </is>
      </c>
      <c r="J109" s="972" t="n">
        <v>3</v>
      </c>
      <c r="K109" s="972" t="inlineStr">
        <is>
          <t>Model Mapping</t>
        </is>
      </c>
      <c r="L109" s="452" t="inlineStr">
        <is>
          <t>https://attack.mitre.org/techniques/T0829</t>
        </is>
      </c>
      <c r="M109" s="973" t="inlineStr">
        <is>
          <t>Yes</t>
        </is>
      </c>
      <c r="N109" s="973" t="inlineStr">
        <is>
          <t>No explicit facility gate — defaults feasible</t>
        </is>
      </c>
      <c r="O109" s="973" t="inlineStr">
        <is>
          <t>Loss of View is an ATT&amp;CK for ICS impact or response-inhibition technique that can support one or more governed adverse scenarios; scenario role remains controlled on 09.</t>
        </is>
      </c>
      <c r="P109" s="973" t="inlineStr">
        <is>
          <t>https://csrc.nist.gov/pubs/sp/800/82/r3/final</t>
        </is>
      </c>
    </row>
    <row r="110" ht="15" customHeight="1" s="508">
      <c r="A110" s="972" t="inlineStr">
        <is>
          <t>Nation State</t>
        </is>
      </c>
      <c r="B110" s="972" t="inlineStr">
        <is>
          <t>Loss of Control or Visibility</t>
        </is>
      </c>
      <c r="C110" s="972" t="inlineStr">
        <is>
          <t>T0849</t>
        </is>
      </c>
      <c r="D110" s="972" t="inlineStr">
        <is>
          <t>Masquerading</t>
        </is>
      </c>
      <c r="E110" s="972" t="inlineStr">
        <is>
          <t>S2</t>
        </is>
      </c>
      <c r="F110" s="972" t="inlineStr">
        <is>
          <t>Candidate enabling technique</t>
        </is>
      </c>
      <c r="G110" s="972" t="inlineStr">
        <is>
          <t>Yes</t>
        </is>
      </c>
      <c r="H110" s="972" t="inlineStr">
        <is>
          <t>Yes</t>
        </is>
      </c>
      <c r="I110" s="972" t="inlineStr">
        <is>
          <t>Yes</t>
        </is>
      </c>
      <c r="J110" s="972" t="n">
        <v>3</v>
      </c>
      <c r="K110" s="972" t="inlineStr">
        <is>
          <t>Model Mapping</t>
        </is>
      </c>
      <c r="L110" s="452" t="inlineStr">
        <is>
          <t>https://attack.mitre.org/techniques/T0849</t>
        </is>
      </c>
      <c r="M110" s="973" t="inlineStr">
        <is>
          <t>Yes</t>
        </is>
      </c>
      <c r="N110" s="973" t="inlineStr">
        <is>
          <t>No explicit facility gate — defaults feasible</t>
        </is>
      </c>
      <c r="O110" s="973" t="inlineStr">
        <is>
          <t>Masquerading is applicable to execution or persistence on engineering workstations, HMIs, servers or controllers used in Power Generation facilities.</t>
        </is>
      </c>
      <c r="P110" s="973" t="inlineStr">
        <is>
          <t>https://csrc.nist.gov/pubs/sp/800/82/r3/final</t>
        </is>
      </c>
    </row>
    <row r="111" ht="15" customHeight="1" s="508">
      <c r="A111" s="972" t="inlineStr">
        <is>
          <t>Nation State</t>
        </is>
      </c>
      <c r="B111" s="972" t="inlineStr">
        <is>
          <t>Loss of Control or Visibility</t>
        </is>
      </c>
      <c r="C111" s="972" t="inlineStr">
        <is>
          <t>T0821</t>
        </is>
      </c>
      <c r="D111" s="972" t="inlineStr">
        <is>
          <t>Modify Controller Tasking</t>
        </is>
      </c>
      <c r="E111" s="972" t="inlineStr">
        <is>
          <t>S2</t>
        </is>
      </c>
      <c r="F111" s="972" t="inlineStr">
        <is>
          <t>Candidate enabling technique</t>
        </is>
      </c>
      <c r="G111" s="972" t="inlineStr">
        <is>
          <t>Yes</t>
        </is>
      </c>
      <c r="H111" s="972" t="inlineStr">
        <is>
          <t>Yes</t>
        </is>
      </c>
      <c r="I111" s="972" t="inlineStr">
        <is>
          <t>Yes</t>
        </is>
      </c>
      <c r="J111" s="972" t="n">
        <v>4</v>
      </c>
      <c r="K111" s="972" t="inlineStr">
        <is>
          <t>Model Mapping</t>
        </is>
      </c>
      <c r="L111" s="452" t="inlineStr">
        <is>
          <t>https://attack.mitre.org/techniques/T0821</t>
        </is>
      </c>
      <c r="M111" s="973" t="inlineStr">
        <is>
          <t>Yes</t>
        </is>
      </c>
      <c r="N111" s="973" t="inlineStr">
        <is>
          <t>No explicit facility gate — defaults feasible</t>
        </is>
      </c>
      <c r="O111" s="973" t="inlineStr">
        <is>
          <t>Modify Controller Tasking is applicable to execution or persistence on engineering workstations, HMIs, servers or controllers used in Power Generation facilities.</t>
        </is>
      </c>
      <c r="P111" s="973" t="inlineStr">
        <is>
          <t>https://csrc.nist.gov/pubs/sp/800/82/r3/final</t>
        </is>
      </c>
    </row>
    <row r="112" ht="15" customHeight="1" s="508">
      <c r="A112" s="972" t="inlineStr">
        <is>
          <t>Nation State</t>
        </is>
      </c>
      <c r="B112" s="972" t="inlineStr">
        <is>
          <t>Loss of Control or Visibility</t>
        </is>
      </c>
      <c r="C112" s="972" t="inlineStr">
        <is>
          <t>T0889</t>
        </is>
      </c>
      <c r="D112" s="972" t="inlineStr">
        <is>
          <t>Modify Program</t>
        </is>
      </c>
      <c r="E112" s="972" t="inlineStr">
        <is>
          <t>S2</t>
        </is>
      </c>
      <c r="F112" s="972" t="inlineStr">
        <is>
          <t>Candidate enabling technique</t>
        </is>
      </c>
      <c r="G112" s="972" t="inlineStr">
        <is>
          <t>Yes</t>
        </is>
      </c>
      <c r="H112" s="972" t="inlineStr">
        <is>
          <t>Yes</t>
        </is>
      </c>
      <c r="I112" s="972" t="inlineStr">
        <is>
          <t>Yes</t>
        </is>
      </c>
      <c r="J112" s="972" t="n">
        <v>4</v>
      </c>
      <c r="K112" s="972" t="inlineStr">
        <is>
          <t>Model Mapping</t>
        </is>
      </c>
      <c r="L112" s="452" t="inlineStr">
        <is>
          <t>https://attack.mitre.org/techniques/T0889</t>
        </is>
      </c>
      <c r="M112" s="973" t="inlineStr">
        <is>
          <t>Yes</t>
        </is>
      </c>
      <c r="N112" s="973" t="inlineStr">
        <is>
          <t>No explicit facility gate — defaults feasible</t>
        </is>
      </c>
      <c r="O112" s="973" t="inlineStr">
        <is>
          <t>Modify Program is applicable to execution or persistence on engineering workstations, HMIs, servers or controllers used in Power Generation facilities.</t>
        </is>
      </c>
      <c r="P112" s="973" t="inlineStr">
        <is>
          <t>https://csrc.nist.gov/pubs/sp/800/82/r3/final</t>
        </is>
      </c>
    </row>
    <row r="113" ht="15" customHeight="1" s="508">
      <c r="A113" s="972" t="inlineStr">
        <is>
          <t>Nation State</t>
        </is>
      </c>
      <c r="B113" s="972" t="inlineStr">
        <is>
          <t>Loss of Control or Visibility</t>
        </is>
      </c>
      <c r="C113" s="972" t="inlineStr">
        <is>
          <t>T0801</t>
        </is>
      </c>
      <c r="D113" s="972" t="inlineStr">
        <is>
          <t>Monitor Process State</t>
        </is>
      </c>
      <c r="E113" s="972" t="inlineStr">
        <is>
          <t>S4</t>
        </is>
      </c>
      <c r="F113" s="972" t="inlineStr">
        <is>
          <t>Candidate enabling technique</t>
        </is>
      </c>
      <c r="G113" s="972" t="inlineStr">
        <is>
          <t>Yes</t>
        </is>
      </c>
      <c r="H113" s="972" t="inlineStr">
        <is>
          <t>Yes</t>
        </is>
      </c>
      <c r="I113" s="972" t="inlineStr">
        <is>
          <t>Yes</t>
        </is>
      </c>
      <c r="J113" s="972" t="n">
        <v>1</v>
      </c>
      <c r="K113" s="972" t="inlineStr">
        <is>
          <t>Model Mapping</t>
        </is>
      </c>
      <c r="L113" s="452" t="inlineStr">
        <is>
          <t>https://attack.mitre.org/techniques/T0801</t>
        </is>
      </c>
      <c r="M113" s="973" t="inlineStr">
        <is>
          <t>Yes</t>
        </is>
      </c>
      <c r="N113" s="973" t="inlineStr">
        <is>
          <t>No explicit facility gate — defaults feasible</t>
        </is>
      </c>
      <c r="O113" s="973" t="inlineStr">
        <is>
          <t>Monitor Process State can support discovery or interaction with process state, control assets and operational data in Power Generation environments.</t>
        </is>
      </c>
      <c r="P113" s="973" t="inlineStr">
        <is>
          <t>https://csrc.nist.gov/pubs/sp/800/82/r3/final</t>
        </is>
      </c>
    </row>
    <row r="114" ht="15" customHeight="1" s="508">
      <c r="A114" s="972" t="inlineStr">
        <is>
          <t>Nation State</t>
        </is>
      </c>
      <c r="B114" s="972" t="inlineStr">
        <is>
          <t>Loss of Control or Visibility</t>
        </is>
      </c>
      <c r="C114" s="972" t="inlineStr">
        <is>
          <t>T0846.003</t>
        </is>
      </c>
      <c r="D114" s="972" t="inlineStr">
        <is>
          <t>Multicast Discovery</t>
        </is>
      </c>
      <c r="E114" s="972" t="inlineStr">
        <is>
          <t>S4</t>
        </is>
      </c>
      <c r="F114" s="972" t="inlineStr">
        <is>
          <t>Candidate enabling technique</t>
        </is>
      </c>
      <c r="G114" s="972" t="inlineStr">
        <is>
          <t>Yes</t>
        </is>
      </c>
      <c r="H114" s="972" t="inlineStr">
        <is>
          <t>Yes</t>
        </is>
      </c>
      <c r="I114" s="972" t="inlineStr">
        <is>
          <t>Yes</t>
        </is>
      </c>
      <c r="J114" s="972" t="n">
        <v>2</v>
      </c>
      <c r="K114" s="972" t="inlineStr">
        <is>
          <t>Model Mapping</t>
        </is>
      </c>
      <c r="L114" s="452" t="inlineStr">
        <is>
          <t>https://attack.mitre.org/techniques/T0846/003</t>
        </is>
      </c>
      <c r="M114" s="973" t="inlineStr">
        <is>
          <t>Yes</t>
        </is>
      </c>
      <c r="N114" s="973" t="inlineStr">
        <is>
          <t>No explicit facility gate — defaults feasible</t>
        </is>
      </c>
      <c r="O114" s="973" t="inlineStr">
        <is>
          <t>Multicast Discovery can support discovery or interaction with process state, control assets and operational data in Power Generation environments.</t>
        </is>
      </c>
      <c r="P114" s="973" t="inlineStr">
        <is>
          <t>https://csrc.nist.gov/pubs/sp/800/82/r3/final</t>
        </is>
      </c>
    </row>
    <row r="115" ht="15" customHeight="1" s="508">
      <c r="A115" s="972" t="inlineStr">
        <is>
          <t>Nation State</t>
        </is>
      </c>
      <c r="B115" s="972" t="inlineStr">
        <is>
          <t>Loss of Control or Visibility</t>
        </is>
      </c>
      <c r="C115" s="972" t="inlineStr">
        <is>
          <t>T0834</t>
        </is>
      </c>
      <c r="D115" s="972" t="inlineStr">
        <is>
          <t>Native API</t>
        </is>
      </c>
      <c r="E115" s="972" t="inlineStr">
        <is>
          <t>S2</t>
        </is>
      </c>
      <c r="F115" s="972" t="inlineStr">
        <is>
          <t>Candidate enabling technique</t>
        </is>
      </c>
      <c r="G115" s="972" t="inlineStr">
        <is>
          <t>Yes</t>
        </is>
      </c>
      <c r="H115" s="972" t="inlineStr">
        <is>
          <t>Yes</t>
        </is>
      </c>
      <c r="I115" s="972" t="inlineStr">
        <is>
          <t>Yes</t>
        </is>
      </c>
      <c r="J115" s="972" t="n">
        <v>1</v>
      </c>
      <c r="K115" s="972" t="inlineStr">
        <is>
          <t>Model Mapping</t>
        </is>
      </c>
      <c r="L115" s="452" t="inlineStr">
        <is>
          <t>https://attack.mitre.org/techniques/T0834</t>
        </is>
      </c>
      <c r="M115" s="973" t="inlineStr">
        <is>
          <t>Yes</t>
        </is>
      </c>
      <c r="N115" s="973" t="inlineStr">
        <is>
          <t>No explicit facility gate — defaults feasible</t>
        </is>
      </c>
      <c r="O115" s="973" t="inlineStr">
        <is>
          <t>Native API is applicable to execution or persistence on engineering workstations, HMIs, servers or controllers used in Power Generation facilities.</t>
        </is>
      </c>
      <c r="P115" s="973" t="inlineStr">
        <is>
          <t>https://csrc.nist.gov/pubs/sp/800/82/r3/final</t>
        </is>
      </c>
    </row>
    <row r="116" ht="15" customHeight="1" s="508">
      <c r="A116" s="972" t="inlineStr">
        <is>
          <t>Nation State</t>
        </is>
      </c>
      <c r="B116" s="972" t="inlineStr">
        <is>
          <t>Loss of Control or Visibility</t>
        </is>
      </c>
      <c r="C116" s="972" t="inlineStr">
        <is>
          <t>T0840</t>
        </is>
      </c>
      <c r="D116" s="972" t="inlineStr">
        <is>
          <t>Network Connection Enumeration</t>
        </is>
      </c>
      <c r="E116" s="972" t="inlineStr">
        <is>
          <t>S4</t>
        </is>
      </c>
      <c r="F116" s="972" t="inlineStr">
        <is>
          <t>Candidate enabling technique</t>
        </is>
      </c>
      <c r="G116" s="972" t="inlineStr">
        <is>
          <t>Yes</t>
        </is>
      </c>
      <c r="H116" s="972" t="inlineStr">
        <is>
          <t>Yes</t>
        </is>
      </c>
      <c r="I116" s="972" t="inlineStr">
        <is>
          <t>Yes</t>
        </is>
      </c>
      <c r="J116" s="972" t="n">
        <v>1</v>
      </c>
      <c r="K116" s="972" t="inlineStr">
        <is>
          <t>Model Mapping</t>
        </is>
      </c>
      <c r="L116" s="452" t="inlineStr">
        <is>
          <t>https://attack.mitre.org/techniques/T0840</t>
        </is>
      </c>
      <c r="M116" s="973" t="inlineStr">
        <is>
          <t>Yes</t>
        </is>
      </c>
      <c r="N116" s="973" t="inlineStr">
        <is>
          <t>No explicit facility gate — defaults feasible</t>
        </is>
      </c>
      <c r="O116" s="973" t="inlineStr">
        <is>
          <t>Network Connection Enumeration can support discovery or interaction with process state, control assets and operational data in Power Generation environments.</t>
        </is>
      </c>
      <c r="P116" s="973" t="inlineStr">
        <is>
          <t>https://csrc.nist.gov/pubs/sp/800/82/r3/final</t>
        </is>
      </c>
    </row>
    <row r="117" ht="15" customHeight="1" s="508">
      <c r="A117" s="972" t="inlineStr">
        <is>
          <t>Nation State</t>
        </is>
      </c>
      <c r="B117" s="972" t="inlineStr">
        <is>
          <t>Loss of Control or Visibility</t>
        </is>
      </c>
      <c r="C117" s="972" t="inlineStr">
        <is>
          <t>T0842</t>
        </is>
      </c>
      <c r="D117" s="972" t="inlineStr">
        <is>
          <t>Network Sniffing</t>
        </is>
      </c>
      <c r="E117" s="972" t="inlineStr">
        <is>
          <t>S4</t>
        </is>
      </c>
      <c r="F117" s="972" t="inlineStr">
        <is>
          <t>Candidate enabling technique</t>
        </is>
      </c>
      <c r="G117" s="972" t="inlineStr">
        <is>
          <t>Yes</t>
        </is>
      </c>
      <c r="H117" s="972" t="inlineStr">
        <is>
          <t>Yes</t>
        </is>
      </c>
      <c r="I117" s="972" t="inlineStr">
        <is>
          <t>Yes</t>
        </is>
      </c>
      <c r="J117" s="972" t="n">
        <v>5</v>
      </c>
      <c r="K117" s="972" t="inlineStr">
        <is>
          <t>Model Mapping</t>
        </is>
      </c>
      <c r="L117" s="452" t="inlineStr">
        <is>
          <t>https://attack.mitre.org/techniques/T0842</t>
        </is>
      </c>
      <c r="M117" s="973" t="inlineStr">
        <is>
          <t>Yes</t>
        </is>
      </c>
      <c r="N117" s="973" t="inlineStr">
        <is>
          <t>No explicit facility gate — defaults feasible</t>
        </is>
      </c>
      <c r="O117" s="973" t="inlineStr">
        <is>
          <t>Network Sniffing can support discovery or interaction with process state, control assets and operational data in Power Generation environments.</t>
        </is>
      </c>
      <c r="P117" s="973" t="inlineStr">
        <is>
          <t>https://csrc.nist.gov/pubs/sp/800/82/r3/final</t>
        </is>
      </c>
    </row>
    <row r="118" ht="15" customHeight="1" s="508">
      <c r="A118" s="972" t="inlineStr">
        <is>
          <t>Nation State</t>
        </is>
      </c>
      <c r="B118" s="972" t="inlineStr">
        <is>
          <t>Loss of Control or Visibility</t>
        </is>
      </c>
      <c r="C118" s="972" t="inlineStr">
        <is>
          <t>T0843.002</t>
        </is>
      </c>
      <c r="D118" s="972" t="inlineStr">
        <is>
          <t>Online Edit</t>
        </is>
      </c>
      <c r="E118" s="972" t="inlineStr">
        <is>
          <t>S3</t>
        </is>
      </c>
      <c r="F118" s="972" t="inlineStr">
        <is>
          <t>Candidate enabling technique</t>
        </is>
      </c>
      <c r="G118" s="972" t="inlineStr">
        <is>
          <t>Yes</t>
        </is>
      </c>
      <c r="H118" s="972" t="inlineStr">
        <is>
          <t>Yes</t>
        </is>
      </c>
      <c r="I118" s="972" t="inlineStr">
        <is>
          <t>Yes</t>
        </is>
      </c>
      <c r="J118" s="972" t="n">
        <v>10</v>
      </c>
      <c r="K118" s="972" t="inlineStr">
        <is>
          <t>Model Mapping</t>
        </is>
      </c>
      <c r="L118" s="452" t="inlineStr">
        <is>
          <t>https://attack.mitre.org/techniques/T0843/002</t>
        </is>
      </c>
      <c r="M118" s="973" t="inlineStr">
        <is>
          <t>Yes</t>
        </is>
      </c>
      <c r="N118" s="973" t="inlineStr">
        <is>
          <t>No explicit facility gate — defaults feasible</t>
        </is>
      </c>
      <c r="O118" s="973" t="inlineStr">
        <is>
          <t>Online Edit can support movement toward or within plant/control zones; actual reachability is governed by the assessed facility architecture.</t>
        </is>
      </c>
      <c r="P118" s="973" t="inlineStr">
        <is>
          <t>https://csrc.nist.gov/pubs/sp/800/82/r3/final</t>
        </is>
      </c>
    </row>
    <row r="119" ht="15" customHeight="1" s="508">
      <c r="A119" s="972" t="inlineStr">
        <is>
          <t>Nation State</t>
        </is>
      </c>
      <c r="B119" s="972" t="inlineStr">
        <is>
          <t>Loss of Control or Visibility</t>
        </is>
      </c>
      <c r="C119" s="972" t="inlineStr">
        <is>
          <t>T0861</t>
        </is>
      </c>
      <c r="D119" s="972" t="inlineStr">
        <is>
          <t>Point &amp; Tag Identification</t>
        </is>
      </c>
      <c r="E119" s="972" t="inlineStr">
        <is>
          <t>S4</t>
        </is>
      </c>
      <c r="F119" s="972" t="inlineStr">
        <is>
          <t>Candidate enabling technique</t>
        </is>
      </c>
      <c r="G119" s="972" t="inlineStr">
        <is>
          <t>Yes</t>
        </is>
      </c>
      <c r="H119" s="972" t="inlineStr">
        <is>
          <t>Yes</t>
        </is>
      </c>
      <c r="I119" s="972" t="inlineStr">
        <is>
          <t>Yes</t>
        </is>
      </c>
      <c r="J119" s="972" t="n">
        <v>8</v>
      </c>
      <c r="K119" s="972" t="inlineStr">
        <is>
          <t>Model Mapping</t>
        </is>
      </c>
      <c r="L119" s="452" t="inlineStr">
        <is>
          <t>https://attack.mitre.org/techniques/T0861</t>
        </is>
      </c>
      <c r="M119" s="973" t="inlineStr">
        <is>
          <t>Yes</t>
        </is>
      </c>
      <c r="N119" s="973" t="inlineStr">
        <is>
          <t>No explicit facility gate — defaults feasible</t>
        </is>
      </c>
      <c r="O119" s="973" t="inlineStr">
        <is>
          <t>Point &amp; Tag Identification can support discovery or interaction with process state, control assets and operational data in Power Generation environments.</t>
        </is>
      </c>
      <c r="P119" s="973" t="inlineStr">
        <is>
          <t>https://csrc.nist.gov/pubs/sp/800/82/r3/final</t>
        </is>
      </c>
    </row>
    <row r="120" ht="15" customHeight="1" s="508">
      <c r="A120" s="972" t="inlineStr">
        <is>
          <t>Nation State</t>
        </is>
      </c>
      <c r="B120" s="972" t="inlineStr">
        <is>
          <t>Loss of Control or Visibility</t>
        </is>
      </c>
      <c r="C120" s="972" t="inlineStr">
        <is>
          <t>T0846.001</t>
        </is>
      </c>
      <c r="D120" s="972" t="inlineStr">
        <is>
          <t>Port Scan</t>
        </is>
      </c>
      <c r="E120" s="972" t="inlineStr">
        <is>
          <t>S4</t>
        </is>
      </c>
      <c r="F120" s="972" t="inlineStr">
        <is>
          <t>Candidate enabling technique</t>
        </is>
      </c>
      <c r="G120" s="972" t="inlineStr">
        <is>
          <t>Yes</t>
        </is>
      </c>
      <c r="H120" s="972" t="inlineStr">
        <is>
          <t>Yes</t>
        </is>
      </c>
      <c r="I120" s="972" t="inlineStr">
        <is>
          <t>Yes</t>
        </is>
      </c>
      <c r="J120" s="972" t="n">
        <v>3</v>
      </c>
      <c r="K120" s="972" t="inlineStr">
        <is>
          <t>Model Mapping</t>
        </is>
      </c>
      <c r="L120" s="452" t="inlineStr">
        <is>
          <t>https://attack.mitre.org/techniques/T0846/001</t>
        </is>
      </c>
      <c r="M120" s="973" t="inlineStr">
        <is>
          <t>Yes</t>
        </is>
      </c>
      <c r="N120" s="973" t="inlineStr">
        <is>
          <t>No explicit facility gate — defaults feasible</t>
        </is>
      </c>
      <c r="O120" s="973" t="inlineStr">
        <is>
          <t>Port Scan can support discovery or interaction with process state, control assets and operational data in Power Generation environments.</t>
        </is>
      </c>
      <c r="P120" s="973" t="inlineStr">
        <is>
          <t>https://csrc.nist.gov/pubs/sp/800/82/r3/final</t>
        </is>
      </c>
    </row>
    <row r="121" ht="15" customHeight="1" s="508">
      <c r="A121" s="972" t="inlineStr">
        <is>
          <t>Nation State</t>
        </is>
      </c>
      <c r="B121" s="972" t="inlineStr">
        <is>
          <t>Loss of Control or Visibility</t>
        </is>
      </c>
      <c r="C121" s="972" t="inlineStr">
        <is>
          <t>T0843.003</t>
        </is>
      </c>
      <c r="D121" s="972" t="inlineStr">
        <is>
          <t>Program Append</t>
        </is>
      </c>
      <c r="E121" s="972" t="inlineStr">
        <is>
          <t>S3</t>
        </is>
      </c>
      <c r="F121" s="972" t="inlineStr">
        <is>
          <t>Candidate enabling technique</t>
        </is>
      </c>
      <c r="G121" s="972" t="inlineStr">
        <is>
          <t>Yes</t>
        </is>
      </c>
      <c r="H121" s="972" t="inlineStr">
        <is>
          <t>Yes</t>
        </is>
      </c>
      <c r="I121" s="972" t="inlineStr">
        <is>
          <t>Yes</t>
        </is>
      </c>
      <c r="J121" s="972" t="n">
        <v>10</v>
      </c>
      <c r="K121" s="972" t="inlineStr">
        <is>
          <t>Model Mapping</t>
        </is>
      </c>
      <c r="L121" s="452" t="inlineStr">
        <is>
          <t>https://attack.mitre.org/techniques/T0843/003</t>
        </is>
      </c>
      <c r="M121" s="973" t="inlineStr">
        <is>
          <t>Yes</t>
        </is>
      </c>
      <c r="N121" s="973" t="inlineStr">
        <is>
          <t>No explicit facility gate — defaults feasible</t>
        </is>
      </c>
      <c r="O121" s="973" t="inlineStr">
        <is>
          <t>Program Append can support movement toward or within plant/control zones; actual reachability is governed by the assessed facility architecture.</t>
        </is>
      </c>
      <c r="P121" s="973" t="inlineStr">
        <is>
          <t>https://csrc.nist.gov/pubs/sp/800/82/r3/final</t>
        </is>
      </c>
    </row>
    <row r="122" ht="15" customHeight="1" s="508">
      <c r="A122" s="972" t="inlineStr">
        <is>
          <t>Nation State</t>
        </is>
      </c>
      <c r="B122" s="972" t="inlineStr">
        <is>
          <t>Loss of Control or Visibility</t>
        </is>
      </c>
      <c r="C122" s="972" t="inlineStr">
        <is>
          <t>T0845</t>
        </is>
      </c>
      <c r="D122" s="972" t="inlineStr">
        <is>
          <t>Program Upload</t>
        </is>
      </c>
      <c r="E122" s="972" t="inlineStr">
        <is>
          <t>S4</t>
        </is>
      </c>
      <c r="F122" s="972" t="inlineStr">
        <is>
          <t>Candidate enabling technique</t>
        </is>
      </c>
      <c r="G122" s="972" t="inlineStr">
        <is>
          <t>Yes</t>
        </is>
      </c>
      <c r="H122" s="972" t="inlineStr">
        <is>
          <t>Yes</t>
        </is>
      </c>
      <c r="I122" s="972" t="inlineStr">
        <is>
          <t>Yes</t>
        </is>
      </c>
      <c r="J122" s="972" t="n">
        <v>8</v>
      </c>
      <c r="K122" s="972" t="inlineStr">
        <is>
          <t>Model Mapping</t>
        </is>
      </c>
      <c r="L122" s="452" t="inlineStr">
        <is>
          <t>https://attack.mitre.org/techniques/T0845</t>
        </is>
      </c>
      <c r="M122" s="973" t="inlineStr">
        <is>
          <t>Yes</t>
        </is>
      </c>
      <c r="N122" s="973" t="inlineStr">
        <is>
          <t>No explicit facility gate — defaults feasible</t>
        </is>
      </c>
      <c r="O122" s="973" t="inlineStr">
        <is>
          <t>Program Upload can support discovery or interaction with process state, control assets and operational data in Power Generation environments.</t>
        </is>
      </c>
      <c r="P122" s="973" t="inlineStr">
        <is>
          <t>https://csrc.nist.gov/pubs/sp/800/82/r3/final</t>
        </is>
      </c>
    </row>
    <row r="123" ht="15" customHeight="1" s="508">
      <c r="A123" s="972" t="inlineStr">
        <is>
          <t>Nation State</t>
        </is>
      </c>
      <c r="B123" s="972" t="inlineStr">
        <is>
          <t>Loss of Control or Visibility</t>
        </is>
      </c>
      <c r="C123" s="972" t="inlineStr">
        <is>
          <t>T0886</t>
        </is>
      </c>
      <c r="D123" s="972" t="inlineStr">
        <is>
          <t>Remote Services</t>
        </is>
      </c>
      <c r="E123" s="972" t="inlineStr">
        <is>
          <t>S1</t>
        </is>
      </c>
      <c r="F123" s="972" t="inlineStr">
        <is>
          <t>Candidate enabling technique</t>
        </is>
      </c>
      <c r="G123" s="972" t="inlineStr">
        <is>
          <t>Yes</t>
        </is>
      </c>
      <c r="H123" s="972" t="inlineStr">
        <is>
          <t>Yes</t>
        </is>
      </c>
      <c r="I123" s="972" t="inlineStr">
        <is>
          <t>Yes</t>
        </is>
      </c>
      <c r="J123" s="972" t="n">
        <v>9</v>
      </c>
      <c r="K123" s="972" t="inlineStr">
        <is>
          <t>Model Mapping</t>
        </is>
      </c>
      <c r="L123" s="452" t="inlineStr">
        <is>
          <t>https://attack.mitre.org/techniques/T0886</t>
        </is>
      </c>
      <c r="M123" s="973" t="inlineStr">
        <is>
          <t>Yes</t>
        </is>
      </c>
      <c r="N123" s="973" t="inlineStr">
        <is>
          <t>REMOTE_OR_ITOT — Remote path or IT-OT connection</t>
        </is>
      </c>
      <c r="O123" s="973" t="inlineStr">
        <is>
          <t>The Remote Services route is credible for Power Generation OT when the enabling access condition exists; existing facility gates determine remote, internet, transient, supply-chain or wireless feasibility.</t>
        </is>
      </c>
      <c r="P123" s="973" t="inlineStr">
        <is>
          <t>https://csrc.nist.gov/pubs/sp/800/82/r3/final</t>
        </is>
      </c>
    </row>
    <row r="124" ht="15" customHeight="1" s="508">
      <c r="A124" s="972" t="inlineStr">
        <is>
          <t>Nation State</t>
        </is>
      </c>
      <c r="B124" s="972" t="inlineStr">
        <is>
          <t>Loss of Control or Visibility</t>
        </is>
      </c>
      <c r="C124" s="972" t="inlineStr">
        <is>
          <t>T0888</t>
        </is>
      </c>
      <c r="D124" s="972" t="inlineStr">
        <is>
          <t>Remote System Information Discovery</t>
        </is>
      </c>
      <c r="E124" s="972" t="inlineStr">
        <is>
          <t>S4</t>
        </is>
      </c>
      <c r="F124" s="972" t="inlineStr">
        <is>
          <t>Candidate enabling technique</t>
        </is>
      </c>
      <c r="G124" s="972" t="inlineStr">
        <is>
          <t>Yes</t>
        </is>
      </c>
      <c r="H124" s="972" t="inlineStr">
        <is>
          <t>Yes</t>
        </is>
      </c>
      <c r="I124" s="972" t="inlineStr">
        <is>
          <t>Yes</t>
        </is>
      </c>
      <c r="J124" s="972" t="n">
        <v>1</v>
      </c>
      <c r="K124" s="972" t="inlineStr">
        <is>
          <t>Model Mapping</t>
        </is>
      </c>
      <c r="L124" s="452" t="inlineStr">
        <is>
          <t>https://attack.mitre.org/techniques/T0888</t>
        </is>
      </c>
      <c r="M124" s="973" t="inlineStr">
        <is>
          <t>Yes</t>
        </is>
      </c>
      <c r="N124" s="973" t="inlineStr">
        <is>
          <t>No explicit facility gate — defaults feasible</t>
        </is>
      </c>
      <c r="O124" s="973" t="inlineStr">
        <is>
          <t>Remote System Information Discovery can support discovery or interaction with process state, control assets and operational data in Power Generation environments.</t>
        </is>
      </c>
      <c r="P124" s="973" t="inlineStr">
        <is>
          <t>https://csrc.nist.gov/pubs/sp/800/82/r3/final</t>
        </is>
      </c>
    </row>
    <row r="125" ht="15" customHeight="1" s="508">
      <c r="A125" s="972" t="inlineStr">
        <is>
          <t>Nation State</t>
        </is>
      </c>
      <c r="B125" s="972" t="inlineStr">
        <is>
          <t>Loss of Control or Visibility</t>
        </is>
      </c>
      <c r="C125" s="972" t="inlineStr">
        <is>
          <t>T0847</t>
        </is>
      </c>
      <c r="D125" s="972" t="inlineStr">
        <is>
          <t>Replication Through Removable Media</t>
        </is>
      </c>
      <c r="E125" s="972" t="inlineStr">
        <is>
          <t>S1</t>
        </is>
      </c>
      <c r="F125" s="972" t="inlineStr">
        <is>
          <t>Candidate enabling technique</t>
        </is>
      </c>
      <c r="G125" s="972" t="inlineStr">
        <is>
          <t>Yes</t>
        </is>
      </c>
      <c r="H125" s="972" t="inlineStr">
        <is>
          <t>Yes</t>
        </is>
      </c>
      <c r="I125" s="972" t="inlineStr">
        <is>
          <t>Yes</t>
        </is>
      </c>
      <c r="J125" s="972" t="n">
        <v>3</v>
      </c>
      <c r="K125" s="972" t="inlineStr">
        <is>
          <t>Model Mapping</t>
        </is>
      </c>
      <c r="L125" s="452" t="inlineStr">
        <is>
          <t>https://attack.mitre.org/techniques/T0847</t>
        </is>
      </c>
      <c r="M125" s="973" t="inlineStr">
        <is>
          <t>Yes</t>
        </is>
      </c>
      <c r="N125" s="973" t="inlineStr">
        <is>
          <t>TRANSIENT_REQUIRED — Not None</t>
        </is>
      </c>
      <c r="O125" s="973" t="inlineStr">
        <is>
          <t>The Replication Through Removable Media route is credible for Power Generation OT when the enabling access condition exists; existing facility gates determine remote, internet, transient, supply-chain or wireless feasibility.</t>
        </is>
      </c>
      <c r="P125" s="973" t="inlineStr">
        <is>
          <t>https://csrc.nist.gov/pubs/sp/800/82/r3/final</t>
        </is>
      </c>
    </row>
    <row r="126" ht="15" customHeight="1" s="508">
      <c r="A126" s="972" t="inlineStr">
        <is>
          <t>Nation State</t>
        </is>
      </c>
      <c r="B126" s="972" t="inlineStr">
        <is>
          <t>Loss of Control or Visibility</t>
        </is>
      </c>
      <c r="C126" s="972" t="inlineStr">
        <is>
          <t>T0848</t>
        </is>
      </c>
      <c r="D126" s="972" t="inlineStr">
        <is>
          <t>Rogue Master</t>
        </is>
      </c>
      <c r="E126" s="972" t="inlineStr">
        <is>
          <t>S1</t>
        </is>
      </c>
      <c r="F126" s="972" t="inlineStr">
        <is>
          <t>Candidate enabling technique</t>
        </is>
      </c>
      <c r="G126" s="972" t="inlineStr">
        <is>
          <t>Yes</t>
        </is>
      </c>
      <c r="H126" s="972" t="inlineStr">
        <is>
          <t>Yes</t>
        </is>
      </c>
      <c r="I126" s="972" t="inlineStr">
        <is>
          <t>Yes</t>
        </is>
      </c>
      <c r="J126" s="972" t="n">
        <v>5</v>
      </c>
      <c r="K126" s="972" t="inlineStr">
        <is>
          <t>Model Mapping</t>
        </is>
      </c>
      <c r="L126" s="452" t="inlineStr">
        <is>
          <t>https://attack.mitre.org/techniques/T0848</t>
        </is>
      </c>
      <c r="M126" s="973" t="inlineStr">
        <is>
          <t>Yes</t>
        </is>
      </c>
      <c r="N126" s="973" t="inlineStr">
        <is>
          <t>No explicit facility gate — defaults feasible</t>
        </is>
      </c>
      <c r="O126" s="973" t="inlineStr">
        <is>
          <t>The Rogue Master route is credible for Power Generation OT when the enabling access condition exists; existing facility gates determine remote, internet, transient, supply-chain or wireless feasibility.</t>
        </is>
      </c>
      <c r="P126" s="973" t="inlineStr">
        <is>
          <t>https://csrc.nist.gov/pubs/sp/800/82/r3/final</t>
        </is>
      </c>
    </row>
    <row r="127" ht="15" customHeight="1" s="508">
      <c r="A127" s="972" t="inlineStr">
        <is>
          <t>Nation State</t>
        </is>
      </c>
      <c r="B127" s="972" t="inlineStr">
        <is>
          <t>Loss of Control or Visibility</t>
        </is>
      </c>
      <c r="C127" s="972" t="inlineStr">
        <is>
          <t>T0852</t>
        </is>
      </c>
      <c r="D127" s="972" t="inlineStr">
        <is>
          <t>Screen Capture</t>
        </is>
      </c>
      <c r="E127" s="972" t="inlineStr">
        <is>
          <t>S4</t>
        </is>
      </c>
      <c r="F127" s="972" t="inlineStr">
        <is>
          <t>Candidate enabling technique</t>
        </is>
      </c>
      <c r="G127" s="972" t="inlineStr">
        <is>
          <t>Yes</t>
        </is>
      </c>
      <c r="H127" s="972" t="inlineStr">
        <is>
          <t>Yes</t>
        </is>
      </c>
      <c r="I127" s="972" t="inlineStr">
        <is>
          <t>Yes</t>
        </is>
      </c>
      <c r="J127" s="972" t="n">
        <v>1</v>
      </c>
      <c r="K127" s="972" t="inlineStr">
        <is>
          <t>Model Mapping</t>
        </is>
      </c>
      <c r="L127" s="452" t="inlineStr">
        <is>
          <t>https://attack.mitre.org/techniques/T0852</t>
        </is>
      </c>
      <c r="M127" s="973" t="inlineStr">
        <is>
          <t>Yes</t>
        </is>
      </c>
      <c r="N127" s="973" t="inlineStr">
        <is>
          <t>No explicit facility gate — defaults feasible</t>
        </is>
      </c>
      <c r="O127" s="973" t="inlineStr">
        <is>
          <t>Screen Capture can support discovery or interaction with process state, control assets and operational data in Power Generation environments.</t>
        </is>
      </c>
      <c r="P127" s="973" t="inlineStr">
        <is>
          <t>https://csrc.nist.gov/pubs/sp/800/82/r3/final</t>
        </is>
      </c>
    </row>
    <row r="128" ht="15" customHeight="1" s="508">
      <c r="A128" s="972" t="inlineStr">
        <is>
          <t>Nation State</t>
        </is>
      </c>
      <c r="B128" s="972" t="inlineStr">
        <is>
          <t>Loss of Control or Visibility</t>
        </is>
      </c>
      <c r="C128" s="972" t="inlineStr">
        <is>
          <t>T0853</t>
        </is>
      </c>
      <c r="D128" s="972" t="inlineStr">
        <is>
          <t>Scripting</t>
        </is>
      </c>
      <c r="E128" s="972" t="inlineStr">
        <is>
          <t>S2</t>
        </is>
      </c>
      <c r="F128" s="972" t="inlineStr">
        <is>
          <t>Candidate enabling technique</t>
        </is>
      </c>
      <c r="G128" s="972" t="inlineStr">
        <is>
          <t>Yes</t>
        </is>
      </c>
      <c r="H128" s="972" t="inlineStr">
        <is>
          <t>Yes</t>
        </is>
      </c>
      <c r="I128" s="972" t="inlineStr">
        <is>
          <t>Yes</t>
        </is>
      </c>
      <c r="J128" s="972" t="n">
        <v>3</v>
      </c>
      <c r="K128" s="972" t="inlineStr">
        <is>
          <t>Model Mapping</t>
        </is>
      </c>
      <c r="L128" s="452" t="inlineStr">
        <is>
          <t>https://attack.mitre.org/techniques/T0853</t>
        </is>
      </c>
      <c r="M128" s="973" t="inlineStr">
        <is>
          <t>Yes</t>
        </is>
      </c>
      <c r="N128" s="973" t="inlineStr">
        <is>
          <t>No explicit facility gate — defaults feasible</t>
        </is>
      </c>
      <c r="O128" s="973" t="inlineStr">
        <is>
          <t>Scripting is applicable to execution or persistence on engineering workstations, HMIs, servers or controllers used in Power Generation facilities.</t>
        </is>
      </c>
      <c r="P128" s="973" t="inlineStr">
        <is>
          <t>https://csrc.nist.gov/pubs/sp/800/82/r3/final</t>
        </is>
      </c>
    </row>
    <row r="129" ht="15" customHeight="1" s="508">
      <c r="A129" s="972" t="inlineStr">
        <is>
          <t>Nation State</t>
        </is>
      </c>
      <c r="B129" s="972" t="inlineStr">
        <is>
          <t>Loss of Control or Visibility</t>
        </is>
      </c>
      <c r="C129" s="972" t="inlineStr">
        <is>
          <t>T0873.001</t>
        </is>
      </c>
      <c r="D129" s="972" t="inlineStr">
        <is>
          <t>Siemens Project File Format</t>
        </is>
      </c>
      <c r="E129" s="972" t="inlineStr">
        <is>
          <t>S2</t>
        </is>
      </c>
      <c r="F129" s="972" t="inlineStr">
        <is>
          <t>Candidate enabling technique</t>
        </is>
      </c>
      <c r="G129" s="972" t="inlineStr">
        <is>
          <t>Yes</t>
        </is>
      </c>
      <c r="H129" s="972" t="inlineStr">
        <is>
          <t>Yes</t>
        </is>
      </c>
      <c r="I129" s="972" t="inlineStr">
        <is>
          <t>Yes</t>
        </is>
      </c>
      <c r="J129" s="972" t="n">
        <v>4</v>
      </c>
      <c r="K129" s="972" t="inlineStr">
        <is>
          <t>Model Mapping</t>
        </is>
      </c>
      <c r="L129" s="452" t="inlineStr">
        <is>
          <t>https://attack.mitre.org/techniques/T0873/001</t>
        </is>
      </c>
      <c r="M129" s="973" t="inlineStr">
        <is>
          <t>Yes</t>
        </is>
      </c>
      <c r="N129" s="973" t="inlineStr">
        <is>
          <t>No explicit facility gate — defaults feasible</t>
        </is>
      </c>
      <c r="O129" s="973" t="inlineStr">
        <is>
          <t>Siemens Project File Format is applicable to execution or persistence on engineering workstations, HMIs, servers or controllers used in Power Generation facilities.</t>
        </is>
      </c>
      <c r="P129" s="973" t="inlineStr">
        <is>
          <t>https://csrc.nist.gov/pubs/sp/800/82/r3/final</t>
        </is>
      </c>
    </row>
    <row r="130" ht="15" customHeight="1" s="508">
      <c r="A130" s="972" t="inlineStr">
        <is>
          <t>Nation State</t>
        </is>
      </c>
      <c r="B130" s="972" t="inlineStr">
        <is>
          <t>Loss of Control or Visibility</t>
        </is>
      </c>
      <c r="C130" s="972" t="inlineStr">
        <is>
          <t>T0865</t>
        </is>
      </c>
      <c r="D130" s="972" t="inlineStr">
        <is>
          <t>Spearphishing Attachment</t>
        </is>
      </c>
      <c r="E130" s="972" t="inlineStr">
        <is>
          <t>S1</t>
        </is>
      </c>
      <c r="F130" s="972" t="inlineStr">
        <is>
          <t>Candidate enabling technique</t>
        </is>
      </c>
      <c r="G130" s="972" t="inlineStr">
        <is>
          <t>Yes</t>
        </is>
      </c>
      <c r="H130" s="972" t="inlineStr">
        <is>
          <t>Yes</t>
        </is>
      </c>
      <c r="I130" s="972" t="inlineStr">
        <is>
          <t>Yes</t>
        </is>
      </c>
      <c r="J130" s="972" t="n">
        <v>4</v>
      </c>
      <c r="K130" s="972" t="inlineStr">
        <is>
          <t>Model Mapping</t>
        </is>
      </c>
      <c r="L130" s="452" t="inlineStr">
        <is>
          <t>https://attack.mitre.org/techniques/T0865</t>
        </is>
      </c>
      <c r="M130" s="973" t="inlineStr">
        <is>
          <t>Yes</t>
        </is>
      </c>
      <c r="N130" s="973" t="inlineStr">
        <is>
          <t>No explicit facility gate — defaults feasible</t>
        </is>
      </c>
      <c r="O130" s="973" t="inlineStr">
        <is>
          <t>The Spearphishing Attachment route is credible for Power Generation OT when the enabling access condition exists; existing facility gates determine remote, internet, transient, supply-chain or wireless feasibility.</t>
        </is>
      </c>
      <c r="P130" s="973" t="inlineStr">
        <is>
          <t>https://csrc.nist.gov/pubs/sp/800/82/r3/final</t>
        </is>
      </c>
    </row>
    <row r="131" ht="15" customHeight="1" s="508">
      <c r="A131" s="972" t="inlineStr">
        <is>
          <t>Nation State</t>
        </is>
      </c>
      <c r="B131" s="972" t="inlineStr">
        <is>
          <t>Loss of Control or Visibility</t>
        </is>
      </c>
      <c r="C131" s="972" t="inlineStr">
        <is>
          <t>T0869</t>
        </is>
      </c>
      <c r="D131" s="972" t="inlineStr">
        <is>
          <t>Standard Application Layer Protocol</t>
        </is>
      </c>
      <c r="E131" s="972" t="inlineStr">
        <is>
          <t>S3</t>
        </is>
      </c>
      <c r="F131" s="972" t="inlineStr">
        <is>
          <t>Candidate enabling technique</t>
        </is>
      </c>
      <c r="G131" s="972" t="inlineStr">
        <is>
          <t>Yes</t>
        </is>
      </c>
      <c r="H131" s="972" t="inlineStr">
        <is>
          <t>Yes</t>
        </is>
      </c>
      <c r="I131" s="972" t="inlineStr">
        <is>
          <t>Yes</t>
        </is>
      </c>
      <c r="J131" s="972" t="n">
        <v>3</v>
      </c>
      <c r="K131" s="972" t="inlineStr">
        <is>
          <t>Model Mapping</t>
        </is>
      </c>
      <c r="L131" s="452" t="inlineStr">
        <is>
          <t>https://attack.mitre.org/techniques/T0869</t>
        </is>
      </c>
      <c r="M131" s="973" t="inlineStr">
        <is>
          <t>Yes</t>
        </is>
      </c>
      <c r="N131" s="973" t="inlineStr">
        <is>
          <t>No explicit facility gate — defaults feasible</t>
        </is>
      </c>
      <c r="O131" s="973" t="inlineStr">
        <is>
          <t>Standard Application Layer Protocol can support movement toward or within plant/control zones; actual reachability is governed by the assessed facility architecture.</t>
        </is>
      </c>
      <c r="P131" s="973" t="inlineStr">
        <is>
          <t>https://csrc.nist.gov/pubs/sp/800/82/r3/final</t>
        </is>
      </c>
    </row>
    <row r="132" ht="15" customHeight="1" s="508">
      <c r="A132" s="972" t="inlineStr">
        <is>
          <t>Nation State</t>
        </is>
      </c>
      <c r="B132" s="972" t="inlineStr">
        <is>
          <t>Loss of Control or Visibility</t>
        </is>
      </c>
      <c r="C132" s="972" t="inlineStr">
        <is>
          <t>T0862</t>
        </is>
      </c>
      <c r="D132" s="972" t="inlineStr">
        <is>
          <t>Supply Chain Compromise</t>
        </is>
      </c>
      <c r="E132" s="972" t="inlineStr">
        <is>
          <t>S1</t>
        </is>
      </c>
      <c r="F132" s="972" t="inlineStr">
        <is>
          <t>Candidate enabling technique</t>
        </is>
      </c>
      <c r="G132" s="972" t="inlineStr">
        <is>
          <t>Yes</t>
        </is>
      </c>
      <c r="H132" s="972" t="inlineStr">
        <is>
          <t>Yes</t>
        </is>
      </c>
      <c r="I132" s="972" t="inlineStr">
        <is>
          <t>Yes</t>
        </is>
      </c>
      <c r="J132" s="972" t="n">
        <v>5</v>
      </c>
      <c r="K132" s="972" t="inlineStr">
        <is>
          <t>Model Mapping</t>
        </is>
      </c>
      <c r="L132" s="452" t="inlineStr">
        <is>
          <t>https://attack.mitre.org/techniques/T0862</t>
        </is>
      </c>
      <c r="M132" s="973" t="inlineStr">
        <is>
          <t>Yes</t>
        </is>
      </c>
      <c r="N132" s="973" t="inlineStr">
        <is>
          <t>SUPPLY_CHAIN — Yes</t>
        </is>
      </c>
      <c r="O132" s="973" t="inlineStr">
        <is>
          <t>The Supply Chain Compromise route is credible for Power Generation OT when the enabling access condition exists; existing facility gates determine remote, internet, transient, supply-chain or wireless feasibility.</t>
        </is>
      </c>
      <c r="P132" s="973" t="inlineStr">
        <is>
          <t>https://csrc.nist.gov/pubs/sp/800/82/r3/final</t>
        </is>
      </c>
    </row>
    <row r="133" ht="15" customHeight="1" s="508">
      <c r="A133" s="972" t="inlineStr">
        <is>
          <t>Nation State</t>
        </is>
      </c>
      <c r="B133" s="972" t="inlineStr">
        <is>
          <t>Loss of Control or Visibility</t>
        </is>
      </c>
      <c r="C133" s="972" t="inlineStr">
        <is>
          <t>T0894</t>
        </is>
      </c>
      <c r="D133" s="972" t="inlineStr">
        <is>
          <t>System Binary Proxy Execution</t>
        </is>
      </c>
      <c r="E133" s="972" t="inlineStr">
        <is>
          <t>S2</t>
        </is>
      </c>
      <c r="F133" s="972" t="inlineStr">
        <is>
          <t>Candidate enabling technique</t>
        </is>
      </c>
      <c r="G133" s="972" t="inlineStr">
        <is>
          <t>Yes</t>
        </is>
      </c>
      <c r="H133" s="972" t="inlineStr">
        <is>
          <t>Yes</t>
        </is>
      </c>
      <c r="I133" s="972" t="inlineStr">
        <is>
          <t>Yes</t>
        </is>
      </c>
      <c r="J133" s="972" t="n">
        <v>1</v>
      </c>
      <c r="K133" s="972" t="inlineStr">
        <is>
          <t>Model Mapping</t>
        </is>
      </c>
      <c r="L133" s="452" t="inlineStr">
        <is>
          <t>https://attack.mitre.org/techniques/T0894</t>
        </is>
      </c>
      <c r="M133" s="973" t="inlineStr">
        <is>
          <t>Yes</t>
        </is>
      </c>
      <c r="N133" s="973" t="inlineStr">
        <is>
          <t>No explicit facility gate — defaults feasible</t>
        </is>
      </c>
      <c r="O133" s="973" t="inlineStr">
        <is>
          <t>System Binary Proxy Execution is applicable to execution or persistence on engineering workstations, HMIs, servers or controllers used in Power Generation facilities.</t>
        </is>
      </c>
      <c r="P133" s="973" t="inlineStr">
        <is>
          <t>https://csrc.nist.gov/pubs/sp/800/82/r3/final</t>
        </is>
      </c>
    </row>
    <row r="134" ht="15" customHeight="1" s="508">
      <c r="A134" s="972" t="inlineStr">
        <is>
          <t>Nation State</t>
        </is>
      </c>
      <c r="B134" s="972" t="inlineStr">
        <is>
          <t>Loss of Control or Visibility</t>
        </is>
      </c>
      <c r="C134" s="972" t="inlineStr">
        <is>
          <t>T0864</t>
        </is>
      </c>
      <c r="D134" s="972" t="inlineStr">
        <is>
          <t>Transient Cyber Asset</t>
        </is>
      </c>
      <c r="E134" s="972" t="inlineStr">
        <is>
          <t>S1</t>
        </is>
      </c>
      <c r="F134" s="972" t="inlineStr">
        <is>
          <t>Candidate enabling technique</t>
        </is>
      </c>
      <c r="G134" s="972" t="inlineStr">
        <is>
          <t>Yes</t>
        </is>
      </c>
      <c r="H134" s="972" t="inlineStr">
        <is>
          <t>Yes</t>
        </is>
      </c>
      <c r="I134" s="972" t="inlineStr">
        <is>
          <t>Yes</t>
        </is>
      </c>
      <c r="J134" s="972" t="n">
        <v>5</v>
      </c>
      <c r="K134" s="972" t="inlineStr">
        <is>
          <t>Model Mapping</t>
        </is>
      </c>
      <c r="L134" s="452" t="inlineStr">
        <is>
          <t>https://attack.mitre.org/techniques/T0864</t>
        </is>
      </c>
      <c r="M134" s="973" t="inlineStr">
        <is>
          <t>Yes</t>
        </is>
      </c>
      <c r="N134" s="973" t="inlineStr">
        <is>
          <t>TRANSIENT_REQUIRED — Not None</t>
        </is>
      </c>
      <c r="O134" s="973" t="inlineStr">
        <is>
          <t>The Transient Cyber Asset route is credible for Power Generation OT when the enabling access condition exists; existing facility gates determine remote, internet, transient, supply-chain or wireless feasibility.</t>
        </is>
      </c>
      <c r="P134" s="973" t="inlineStr">
        <is>
          <t>https://csrc.nist.gov/pubs/sp/800/82/r3/final</t>
        </is>
      </c>
    </row>
    <row r="135" ht="15" customHeight="1" s="508">
      <c r="A135" s="972" t="inlineStr">
        <is>
          <t>Nation State</t>
        </is>
      </c>
      <c r="B135" s="972" t="inlineStr">
        <is>
          <t>Loss of Control or Visibility</t>
        </is>
      </c>
      <c r="C135" s="972" t="inlineStr">
        <is>
          <t>T0863</t>
        </is>
      </c>
      <c r="D135" s="972" t="inlineStr">
        <is>
          <t>User Execution</t>
        </is>
      </c>
      <c r="E135" s="972" t="inlineStr">
        <is>
          <t>S2</t>
        </is>
      </c>
      <c r="F135" s="972" t="inlineStr">
        <is>
          <t>Candidate enabling technique</t>
        </is>
      </c>
      <c r="G135" s="972" t="inlineStr">
        <is>
          <t>Yes</t>
        </is>
      </c>
      <c r="H135" s="972" t="inlineStr">
        <is>
          <t>Yes</t>
        </is>
      </c>
      <c r="I135" s="972" t="inlineStr">
        <is>
          <t>Yes</t>
        </is>
      </c>
      <c r="J135" s="972" t="n">
        <v>6</v>
      </c>
      <c r="K135" s="972" t="inlineStr">
        <is>
          <t>Model Mapping</t>
        </is>
      </c>
      <c r="L135" s="452" t="inlineStr">
        <is>
          <t>https://attack.mitre.org/techniques/T0863</t>
        </is>
      </c>
      <c r="M135" s="973" t="inlineStr">
        <is>
          <t>Yes</t>
        </is>
      </c>
      <c r="N135" s="973" t="inlineStr">
        <is>
          <t>No explicit facility gate — defaults feasible</t>
        </is>
      </c>
      <c r="O135" s="973" t="inlineStr">
        <is>
          <t>User Execution is applicable to execution or persistence on engineering workstations, HMIs, servers or controllers used in Power Generation facilities.</t>
        </is>
      </c>
      <c r="P135" s="973" t="inlineStr">
        <is>
          <t>https://csrc.nist.gov/pubs/sp/800/82/r3/final</t>
        </is>
      </c>
    </row>
    <row r="136" ht="15" customHeight="1" s="508">
      <c r="A136" s="972" t="inlineStr">
        <is>
          <t>Nation State</t>
        </is>
      </c>
      <c r="B136" s="972" t="inlineStr">
        <is>
          <t>Loss of Control or Visibility</t>
        </is>
      </c>
      <c r="C136" s="972" t="inlineStr">
        <is>
          <t>T0859</t>
        </is>
      </c>
      <c r="D136" s="972" t="inlineStr">
        <is>
          <t>Valid Accounts</t>
        </is>
      </c>
      <c r="E136" s="972" t="inlineStr">
        <is>
          <t>S3</t>
        </is>
      </c>
      <c r="F136" s="972" t="inlineStr">
        <is>
          <t>Candidate enabling technique</t>
        </is>
      </c>
      <c r="G136" s="972" t="inlineStr">
        <is>
          <t>Yes</t>
        </is>
      </c>
      <c r="H136" s="972" t="inlineStr">
        <is>
          <t>Yes</t>
        </is>
      </c>
      <c r="I136" s="972" t="inlineStr">
        <is>
          <t>Yes</t>
        </is>
      </c>
      <c r="J136" s="972" t="n">
        <v>10</v>
      </c>
      <c r="K136" s="972" t="inlineStr">
        <is>
          <t>Model Mapping</t>
        </is>
      </c>
      <c r="L136" s="452" t="inlineStr">
        <is>
          <t>https://attack.mitre.org/techniques/T0859</t>
        </is>
      </c>
      <c r="M136" s="973" t="inlineStr">
        <is>
          <t>Yes</t>
        </is>
      </c>
      <c r="N136" s="973" t="inlineStr">
        <is>
          <t>No explicit facility gate — defaults feasible</t>
        </is>
      </c>
      <c r="O136" s="973" t="inlineStr">
        <is>
          <t>Valid Accounts can support movement toward or within plant/control zones; actual reachability is governed by the assessed facility architecture.</t>
        </is>
      </c>
      <c r="P136" s="973" t="inlineStr">
        <is>
          <t>https://csrc.nist.gov/pubs/sp/800/82/r3/final</t>
        </is>
      </c>
    </row>
    <row r="137" ht="15" customHeight="1" s="508">
      <c r="A137" s="972" t="inlineStr">
        <is>
          <t>Nation State</t>
        </is>
      </c>
      <c r="B137" s="972" t="inlineStr">
        <is>
          <t>Loss of Control or Visibility</t>
        </is>
      </c>
      <c r="C137" s="972" t="inlineStr">
        <is>
          <t>T0860</t>
        </is>
      </c>
      <c r="D137" s="972" t="inlineStr">
        <is>
          <t>Wireless Compromise</t>
        </is>
      </c>
      <c r="E137" s="972" t="inlineStr">
        <is>
          <t>S1</t>
        </is>
      </c>
      <c r="F137" s="972" t="inlineStr">
        <is>
          <t>Candidate enabling technique</t>
        </is>
      </c>
      <c r="G137" s="972" t="inlineStr">
        <is>
          <t>Yes</t>
        </is>
      </c>
      <c r="H137" s="972" t="inlineStr">
        <is>
          <t>No</t>
        </is>
      </c>
      <c r="I137" s="972" t="inlineStr">
        <is>
          <t>No</t>
        </is>
      </c>
      <c r="J137" s="972" t="n">
        <v>4</v>
      </c>
      <c r="K137" s="972" t="inlineStr">
        <is>
          <t>Model Mapping</t>
        </is>
      </c>
      <c r="L137" s="452" t="inlineStr">
        <is>
          <t>https://attack.mitre.org/techniques/T0860</t>
        </is>
      </c>
      <c r="M137" s="973" t="inlineStr">
        <is>
          <t>Yes</t>
        </is>
      </c>
      <c r="N137" s="973" t="inlineStr">
        <is>
          <t>WIRELESS — Yes</t>
        </is>
      </c>
      <c r="O137" s="973" t="inlineStr">
        <is>
          <t>The Wireless Compromise route is credible for Power Generation OT when the enabling access condition exists; existing facility gates determine remote, internet, transient, supply-chain or wireless feasibility.</t>
        </is>
      </c>
      <c r="P137" s="973" t="inlineStr">
        <is>
          <t>https://csrc.nist.gov/pubs/sp/800/82/r3/final</t>
        </is>
      </c>
    </row>
    <row r="138" ht="15" customHeight="1" s="508">
      <c r="A138" s="972" t="inlineStr">
        <is>
          <t>Nation State</t>
        </is>
      </c>
      <c r="B138" s="972" t="inlineStr">
        <is>
          <t>Loss of Control or Visibility</t>
        </is>
      </c>
      <c r="C138" s="972" t="inlineStr">
        <is>
          <t>T0887</t>
        </is>
      </c>
      <c r="D138" s="972" t="inlineStr">
        <is>
          <t>Wireless Sniffing</t>
        </is>
      </c>
      <c r="E138" s="972" t="inlineStr">
        <is>
          <t>S4</t>
        </is>
      </c>
      <c r="F138" s="972" t="inlineStr">
        <is>
          <t>Candidate enabling technique</t>
        </is>
      </c>
      <c r="G138" s="972" t="inlineStr">
        <is>
          <t>Yes</t>
        </is>
      </c>
      <c r="H138" s="972" t="inlineStr">
        <is>
          <t>No</t>
        </is>
      </c>
      <c r="I138" s="972" t="inlineStr">
        <is>
          <t>No</t>
        </is>
      </c>
      <c r="J138" s="972" t="n">
        <v>2</v>
      </c>
      <c r="K138" s="972" t="inlineStr">
        <is>
          <t>Model Mapping</t>
        </is>
      </c>
      <c r="L138" s="452" t="inlineStr">
        <is>
          <t>https://attack.mitre.org/techniques/T0887</t>
        </is>
      </c>
      <c r="M138" s="973" t="inlineStr">
        <is>
          <t>Yes</t>
        </is>
      </c>
      <c r="N138" s="973" t="inlineStr">
        <is>
          <t>WIRELESS — Yes</t>
        </is>
      </c>
      <c r="O138" s="973" t="inlineStr">
        <is>
          <t>Wireless Sniffing can support discovery or interaction with process state, control assets and operational data in Power Generation environments.</t>
        </is>
      </c>
      <c r="P138" s="973" t="inlineStr">
        <is>
          <t>https://csrc.nist.gov/pubs/sp/800/82/r3/final</t>
        </is>
      </c>
    </row>
    <row r="139" ht="15" customHeight="1" s="508">
      <c r="A139" s="972" t="inlineStr">
        <is>
          <t>Nation State</t>
        </is>
      </c>
      <c r="B139" s="972" t="inlineStr">
        <is>
          <t>Loss of Control or Visibility</t>
        </is>
      </c>
      <c r="C139" s="972" t="inlineStr">
        <is>
          <t>T1691.001</t>
        </is>
      </c>
      <c r="D139" s="972" t="inlineStr">
        <is>
          <t>Command Message</t>
        </is>
      </c>
      <c r="E139" s="972" t="inlineStr">
        <is>
          <t>S5</t>
        </is>
      </c>
      <c r="F139" s="972" t="inlineStr">
        <is>
          <t>Supporting / impact</t>
        </is>
      </c>
      <c r="G139" s="972" t="inlineStr">
        <is>
          <t>Yes</t>
        </is>
      </c>
      <c r="H139" s="972" t="inlineStr">
        <is>
          <t>Yes</t>
        </is>
      </c>
      <c r="I139" s="972" t="inlineStr">
        <is>
          <t>Yes</t>
        </is>
      </c>
      <c r="J139" s="972" t="n">
        <v>3</v>
      </c>
      <c r="K139" s="972" t="inlineStr">
        <is>
          <t>ADDED v1.2: Block Command Message can cause loss or denial of operator control.</t>
        </is>
      </c>
      <c r="L139" s="452" t="inlineStr">
        <is>
          <t>https://attack.mitre.org/techniques/T1691/001</t>
        </is>
      </c>
      <c r="M139" s="973" t="inlineStr">
        <is>
          <t>Yes</t>
        </is>
      </c>
      <c r="N139" s="973" t="inlineStr">
        <is>
          <t>No explicit facility gate — defaults feasible</t>
        </is>
      </c>
      <c r="O139" s="973" t="inlineStr">
        <is>
          <t>Command Message is an ATT&amp;CK for ICS impact or response-inhibition technique that can support one or more governed adverse scenarios; scenario role remains controlled on 09.</t>
        </is>
      </c>
      <c r="P139" s="973" t="inlineStr">
        <is>
          <t>https://csrc.nist.gov/pubs/sp/800/82/r3/final</t>
        </is>
      </c>
    </row>
    <row r="140" ht="15" customHeight="1" s="508">
      <c r="A140" s="972" t="inlineStr">
        <is>
          <t>Nation State</t>
        </is>
      </c>
      <c r="B140" s="972" t="inlineStr">
        <is>
          <t>Loss of Control or Visibility</t>
        </is>
      </c>
      <c r="C140" s="972" t="inlineStr">
        <is>
          <t>T1691.002</t>
        </is>
      </c>
      <c r="D140" s="972" t="inlineStr">
        <is>
          <t>Reporting Message</t>
        </is>
      </c>
      <c r="E140" s="972" t="inlineStr">
        <is>
          <t>S5</t>
        </is>
      </c>
      <c r="F140" s="972" t="inlineStr">
        <is>
          <t>Supporting / impact</t>
        </is>
      </c>
      <c r="G140" s="972" t="inlineStr">
        <is>
          <t>Yes</t>
        </is>
      </c>
      <c r="H140" s="972" t="inlineStr">
        <is>
          <t>Yes</t>
        </is>
      </c>
      <c r="I140" s="972" t="inlineStr">
        <is>
          <t>Yes</t>
        </is>
      </c>
      <c r="J140" s="972" t="n">
        <v>3</v>
      </c>
      <c r="K140" s="972" t="inlineStr">
        <is>
          <t>ADDED v1.2: Block Reporting Message can cause loss of process visibility.</t>
        </is>
      </c>
      <c r="L140" s="452" t="inlineStr">
        <is>
          <t>https://attack.mitre.org/techniques/T1691/002</t>
        </is>
      </c>
      <c r="M140" s="973" t="inlineStr">
        <is>
          <t>Yes</t>
        </is>
      </c>
      <c r="N140" s="973" t="inlineStr">
        <is>
          <t>No explicit facility gate — defaults feasible</t>
        </is>
      </c>
      <c r="O140" s="973" t="inlineStr">
        <is>
          <t>Reporting Message is an ATT&amp;CK for ICS impact or response-inhibition technique that can support one or more governed adverse scenarios; scenario role remains controlled on 09.</t>
        </is>
      </c>
      <c r="P140" s="973" t="inlineStr">
        <is>
          <t>https://csrc.nist.gov/pubs/sp/800/82/r3/final</t>
        </is>
      </c>
    </row>
    <row r="141" ht="15" customHeight="1" s="508">
      <c r="A141" s="972" t="inlineStr">
        <is>
          <t>Nation State</t>
        </is>
      </c>
      <c r="B141" s="972" t="inlineStr">
        <is>
          <t>Loss of Control or Visibility</t>
        </is>
      </c>
      <c r="C141" s="972" t="inlineStr">
        <is>
          <t>T1692.002</t>
        </is>
      </c>
      <c r="D141" s="972" t="inlineStr">
        <is>
          <t>Reporting Message</t>
        </is>
      </c>
      <c r="E141" s="972" t="inlineStr">
        <is>
          <t>S5</t>
        </is>
      </c>
      <c r="F141" s="972" t="inlineStr">
        <is>
          <t>Supporting / impact</t>
        </is>
      </c>
      <c r="G141" s="972" t="inlineStr">
        <is>
          <t>Yes</t>
        </is>
      </c>
      <c r="H141" s="972" t="inlineStr">
        <is>
          <t>Yes</t>
        </is>
      </c>
      <c r="I141" s="972" t="inlineStr">
        <is>
          <t>Yes</t>
        </is>
      </c>
      <c r="J141" s="972" t="n">
        <v>5</v>
      </c>
      <c r="K141" s="972" t="inlineStr">
        <is>
          <t>ADDED v1.2: Unauthorized Reporting Message falsifies process telemetry presented to operators.</t>
        </is>
      </c>
      <c r="L141" s="452" t="inlineStr">
        <is>
          <t>https://attack.mitre.org/techniques/T1692/002</t>
        </is>
      </c>
      <c r="M141" s="973" t="inlineStr">
        <is>
          <t>Yes</t>
        </is>
      </c>
      <c r="N141" s="973" t="inlineStr">
        <is>
          <t>No explicit facility gate — defaults feasible</t>
        </is>
      </c>
      <c r="O141" s="973" t="inlineStr">
        <is>
          <t>Reporting Message is an ATT&amp;CK for ICS impact or response-inhibition technique that can support one or more governed adverse scenarios; scenario role remains controlled on 09.</t>
        </is>
      </c>
      <c r="P141" s="973" t="inlineStr">
        <is>
          <t>https://csrc.nist.gov/pubs/sp/800/82/r3/final</t>
        </is>
      </c>
    </row>
    <row r="142" ht="15" customHeight="1" s="508">
      <c r="A142" s="972" t="inlineStr">
        <is>
          <t>Nation State</t>
        </is>
      </c>
      <c r="B142" s="972" t="inlineStr">
        <is>
          <t>Loss of Control or Visibility</t>
        </is>
      </c>
      <c r="C142" s="972" t="inlineStr">
        <is>
          <t>T0892</t>
        </is>
      </c>
      <c r="D142" s="972" t="inlineStr">
        <is>
          <t>Change Credential</t>
        </is>
      </c>
      <c r="E142" s="972" t="inlineStr">
        <is>
          <t>S5</t>
        </is>
      </c>
      <c r="F142" s="972" t="inlineStr">
        <is>
          <t>Supporting / impact</t>
        </is>
      </c>
      <c r="G142" s="972" t="inlineStr">
        <is>
          <t>Yes</t>
        </is>
      </c>
      <c r="H142" s="972" t="inlineStr">
        <is>
          <t>Yes</t>
        </is>
      </c>
      <c r="I142" s="972" t="inlineStr">
        <is>
          <t>Yes</t>
        </is>
      </c>
      <c r="J142" s="972" t="n">
        <v>3</v>
      </c>
      <c r="K142" s="972" t="inlineStr">
        <is>
          <t>ADDED v1.2: Change Credential can prevent legitimate operator access to control systems.</t>
        </is>
      </c>
      <c r="L142" s="452" t="inlineStr">
        <is>
          <t>https://attack.mitre.org/techniques/T0892</t>
        </is>
      </c>
      <c r="M142" s="973" t="inlineStr">
        <is>
          <t>Yes</t>
        </is>
      </c>
      <c r="N142" s="973" t="inlineStr">
        <is>
          <t>No explicit facility gate — defaults feasible</t>
        </is>
      </c>
      <c r="O142" s="973" t="inlineStr">
        <is>
          <t>Change Credential is an ATT&amp;CK for ICS impact or response-inhibition technique that can support one or more governed adverse scenarios; scenario role remains controlled on 09.</t>
        </is>
      </c>
      <c r="P142" s="973" t="inlineStr">
        <is>
          <t>https://csrc.nist.gov/pubs/sp/800/82/r3/final</t>
        </is>
      </c>
    </row>
    <row r="143" ht="15" customHeight="1" s="508">
      <c r="A143" s="972" t="inlineStr">
        <is>
          <t>Nation State</t>
        </is>
      </c>
      <c r="B143" s="972" t="inlineStr">
        <is>
          <t>Loss of Control or Visibility</t>
        </is>
      </c>
      <c r="C143" s="972" t="inlineStr">
        <is>
          <t>T0832</t>
        </is>
      </c>
      <c r="D143" s="972" t="inlineStr">
        <is>
          <t>Manipulation of View</t>
        </is>
      </c>
      <c r="E143" s="972" t="inlineStr">
        <is>
          <t>S5</t>
        </is>
      </c>
      <c r="F143" s="972" t="inlineStr">
        <is>
          <t>Supporting / impact</t>
        </is>
      </c>
      <c r="G143" s="972" t="inlineStr">
        <is>
          <t>Yes</t>
        </is>
      </c>
      <c r="H143" s="972" t="inlineStr">
        <is>
          <t>Yes</t>
        </is>
      </c>
      <c r="I143" s="972" t="inlineStr">
        <is>
          <t>Yes</t>
        </is>
      </c>
      <c r="J143" s="972" t="n">
        <v>3</v>
      </c>
      <c r="K143" s="972" t="inlineStr">
        <is>
          <t>ADDED v1.2: Manipulation of View — deceptive or compromised process visibility.</t>
        </is>
      </c>
      <c r="L143" s="452" t="inlineStr">
        <is>
          <t>https://attack.mitre.org/techniques/T0832</t>
        </is>
      </c>
      <c r="M143" s="973" t="inlineStr">
        <is>
          <t>Yes</t>
        </is>
      </c>
      <c r="N143" s="973" t="inlineStr">
        <is>
          <t>No explicit facility gate — defaults feasible</t>
        </is>
      </c>
      <c r="O143" s="973" t="inlineStr">
        <is>
          <t>Manipulation of View is an ATT&amp;CK for ICS impact or response-inhibition technique that can support one or more governed adverse scenarios; scenario role remains controlled on 09.</t>
        </is>
      </c>
      <c r="P143" s="973" t="inlineStr">
        <is>
          <t>https://csrc.nist.gov/pubs/sp/800/82/r3/final</t>
        </is>
      </c>
    </row>
    <row r="144" ht="15" customHeight="1" s="508">
      <c r="A144" s="972" t="inlineStr">
        <is>
          <t>Nation State</t>
        </is>
      </c>
      <c r="B144" s="972" t="inlineStr">
        <is>
          <t>Process Manipulation</t>
        </is>
      </c>
      <c r="C144" s="972" t="inlineStr">
        <is>
          <t>T0830</t>
        </is>
      </c>
      <c r="D144" s="972" t="inlineStr">
        <is>
          <t>Adversary-in-the-Middle</t>
        </is>
      </c>
      <c r="E144" s="972" t="inlineStr">
        <is>
          <t>S4</t>
        </is>
      </c>
      <c r="F144" s="972" t="inlineStr">
        <is>
          <t>Candidate enabling technique</t>
        </is>
      </c>
      <c r="G144" s="972" t="inlineStr">
        <is>
          <t>Yes</t>
        </is>
      </c>
      <c r="H144" s="972" t="inlineStr">
        <is>
          <t>Yes</t>
        </is>
      </c>
      <c r="I144" s="972" t="inlineStr">
        <is>
          <t>Yes</t>
        </is>
      </c>
      <c r="J144" s="972" t="n">
        <v>8</v>
      </c>
      <c r="K144" s="972" t="inlineStr">
        <is>
          <t>Model Mapping</t>
        </is>
      </c>
      <c r="L144" s="452" t="inlineStr">
        <is>
          <t>https://attack.mitre.org/techniques/T0830</t>
        </is>
      </c>
      <c r="M144" s="973" t="inlineStr">
        <is>
          <t>Yes</t>
        </is>
      </c>
      <c r="N144" s="973" t="inlineStr">
        <is>
          <t>No explicit facility gate — defaults feasible</t>
        </is>
      </c>
      <c r="O144" s="973" t="inlineStr">
        <is>
          <t>Adversary-in-the-Middle can support discovery or interaction with process state, control assets and operational data in Power Generation environments.</t>
        </is>
      </c>
      <c r="P144" s="973" t="inlineStr">
        <is>
          <t>https://csrc.nist.gov/pubs/sp/800/82/r3/final</t>
        </is>
      </c>
    </row>
    <row r="145" ht="15" customHeight="1" s="508">
      <c r="A145" s="972" t="inlineStr">
        <is>
          <t>Nation State</t>
        </is>
      </c>
      <c r="B145" s="972" t="inlineStr">
        <is>
          <t>Process Manipulation</t>
        </is>
      </c>
      <c r="C145" s="972" t="inlineStr">
        <is>
          <t>T0802</t>
        </is>
      </c>
      <c r="D145" s="972" t="inlineStr">
        <is>
          <t>Automated Collection</t>
        </is>
      </c>
      <c r="E145" s="972" t="inlineStr">
        <is>
          <t>S4</t>
        </is>
      </c>
      <c r="F145" s="972" t="inlineStr">
        <is>
          <t>Candidate enabling technique</t>
        </is>
      </c>
      <c r="G145" s="972" t="inlineStr">
        <is>
          <t>Yes</t>
        </is>
      </c>
      <c r="H145" s="972" t="inlineStr">
        <is>
          <t>Yes</t>
        </is>
      </c>
      <c r="I145" s="972" t="inlineStr">
        <is>
          <t>Yes</t>
        </is>
      </c>
      <c r="J145" s="972" t="n">
        <v>2</v>
      </c>
      <c r="K145" s="972" t="inlineStr">
        <is>
          <t>Model Mapping</t>
        </is>
      </c>
      <c r="L145" s="452" t="inlineStr">
        <is>
          <t>https://attack.mitre.org/techniques/T0802</t>
        </is>
      </c>
      <c r="M145" s="973" t="inlineStr">
        <is>
          <t>Yes</t>
        </is>
      </c>
      <c r="N145" s="973" t="inlineStr">
        <is>
          <t>No explicit facility gate — defaults feasible</t>
        </is>
      </c>
      <c r="O145" s="973" t="inlineStr">
        <is>
          <t>Automated Collection can support discovery or interaction with process state, control assets and operational data in Power Generation environments.</t>
        </is>
      </c>
      <c r="P145" s="973" t="inlineStr">
        <is>
          <t>https://csrc.nist.gov/pubs/sp/800/82/r3/final</t>
        </is>
      </c>
    </row>
    <row r="146" ht="15" customHeight="1" s="508">
      <c r="A146" s="972" t="inlineStr">
        <is>
          <t>Nation State</t>
        </is>
      </c>
      <c r="B146" s="972" t="inlineStr">
        <is>
          <t>Process Manipulation</t>
        </is>
      </c>
      <c r="C146" s="972" t="inlineStr">
        <is>
          <t>T0895</t>
        </is>
      </c>
      <c r="D146" s="972" t="inlineStr">
        <is>
          <t>Autorun Image</t>
        </is>
      </c>
      <c r="E146" s="972" t="inlineStr">
        <is>
          <t>S2</t>
        </is>
      </c>
      <c r="F146" s="972" t="inlineStr">
        <is>
          <t>Candidate enabling technique</t>
        </is>
      </c>
      <c r="G146" s="972" t="inlineStr">
        <is>
          <t>Yes</t>
        </is>
      </c>
      <c r="H146" s="972" t="inlineStr">
        <is>
          <t>Yes</t>
        </is>
      </c>
      <c r="I146" s="972" t="inlineStr">
        <is>
          <t>Yes</t>
        </is>
      </c>
      <c r="J146" s="972" t="n">
        <v>1</v>
      </c>
      <c r="K146" s="972" t="inlineStr">
        <is>
          <t>Model Mapping</t>
        </is>
      </c>
      <c r="L146" s="452" t="inlineStr">
        <is>
          <t>https://attack.mitre.org/techniques/T0895</t>
        </is>
      </c>
      <c r="M146" s="973" t="inlineStr">
        <is>
          <t>Yes</t>
        </is>
      </c>
      <c r="N146" s="973" t="inlineStr">
        <is>
          <t>No explicit facility gate — defaults feasible</t>
        </is>
      </c>
      <c r="O146" s="973" t="inlineStr">
        <is>
          <t>Autorun Image is applicable to execution or persistence on engineering workstations, HMIs, servers or controllers used in Power Generation facilities.</t>
        </is>
      </c>
      <c r="P146" s="973" t="inlineStr">
        <is>
          <t>https://csrc.nist.gov/pubs/sp/800/82/r3/final</t>
        </is>
      </c>
    </row>
    <row r="147" ht="15" customHeight="1" s="508">
      <c r="A147" s="972" t="inlineStr">
        <is>
          <t>Nation State</t>
        </is>
      </c>
      <c r="B147" s="972" t="inlineStr">
        <is>
          <t>Process Manipulation</t>
        </is>
      </c>
      <c r="C147" s="972" t="inlineStr">
        <is>
          <t>T0846.002</t>
        </is>
      </c>
      <c r="D147" s="972" t="inlineStr">
        <is>
          <t>Broadcast Discovery</t>
        </is>
      </c>
      <c r="E147" s="972" t="inlineStr">
        <is>
          <t>S4</t>
        </is>
      </c>
      <c r="F147" s="972" t="inlineStr">
        <is>
          <t>Candidate enabling technique</t>
        </is>
      </c>
      <c r="G147" s="972" t="inlineStr">
        <is>
          <t>Yes</t>
        </is>
      </c>
      <c r="H147" s="972" t="inlineStr">
        <is>
          <t>Yes</t>
        </is>
      </c>
      <c r="I147" s="972" t="inlineStr">
        <is>
          <t>Yes</t>
        </is>
      </c>
      <c r="J147" s="972" t="n">
        <v>2</v>
      </c>
      <c r="K147" s="972" t="inlineStr">
        <is>
          <t>Model Mapping</t>
        </is>
      </c>
      <c r="L147" s="452" t="inlineStr">
        <is>
          <t>https://attack.mitre.org/techniques/T0846/002</t>
        </is>
      </c>
      <c r="M147" s="973" t="inlineStr">
        <is>
          <t>Yes</t>
        </is>
      </c>
      <c r="N147" s="973" t="inlineStr">
        <is>
          <t>No explicit facility gate — defaults feasible</t>
        </is>
      </c>
      <c r="O147" s="973" t="inlineStr">
        <is>
          <t>Broadcast Discovery can support discovery or interaction with process state, control assets and operational data in Power Generation environments.</t>
        </is>
      </c>
      <c r="P147" s="973" t="inlineStr">
        <is>
          <t>https://csrc.nist.gov/pubs/sp/800/82/r3/final</t>
        </is>
      </c>
    </row>
    <row r="148" ht="15" customHeight="1" s="508">
      <c r="A148" s="972" t="inlineStr">
        <is>
          <t>Nation State</t>
        </is>
      </c>
      <c r="B148" s="972" t="inlineStr">
        <is>
          <t>Process Manipulation</t>
        </is>
      </c>
      <c r="C148" s="972" t="inlineStr">
        <is>
          <t>T0806</t>
        </is>
      </c>
      <c r="D148" s="972" t="inlineStr">
        <is>
          <t>Brute Force I/O</t>
        </is>
      </c>
      <c r="E148" s="972" t="inlineStr">
        <is>
          <t>S5</t>
        </is>
      </c>
      <c r="F148" s="972" t="inlineStr">
        <is>
          <t>Supporting / impact</t>
        </is>
      </c>
      <c r="G148" s="972" t="inlineStr">
        <is>
          <t>Yes</t>
        </is>
      </c>
      <c r="H148" s="972" t="inlineStr">
        <is>
          <t>Yes</t>
        </is>
      </c>
      <c r="I148" s="972" t="inlineStr">
        <is>
          <t>Yes</t>
        </is>
      </c>
      <c r="J148" s="972" t="n">
        <v>4</v>
      </c>
      <c r="K148" s="972" t="inlineStr">
        <is>
          <t>Model Mapping</t>
        </is>
      </c>
      <c r="L148" s="452" t="inlineStr">
        <is>
          <t>https://attack.mitre.org/techniques/T0806</t>
        </is>
      </c>
      <c r="M148" s="973" t="inlineStr">
        <is>
          <t>Yes</t>
        </is>
      </c>
      <c r="N148" s="973" t="inlineStr">
        <is>
          <t>No explicit facility gate — defaults feasible</t>
        </is>
      </c>
      <c r="O148" s="973" t="inlineStr">
        <is>
          <t>Brute Force I/O is an ATT&amp;CK for ICS impact or response-inhibition technique that can support one or more governed adverse scenarios; scenario role remains controlled on 09.</t>
        </is>
      </c>
      <c r="P148" s="973" t="inlineStr">
        <is>
          <t>https://csrc.nist.gov/pubs/sp/800/82/r3/final</t>
        </is>
      </c>
    </row>
    <row r="149" ht="15" customHeight="1" s="508">
      <c r="A149" s="972" t="inlineStr">
        <is>
          <t>Nation State</t>
        </is>
      </c>
      <c r="B149" s="972" t="inlineStr">
        <is>
          <t>Process Manipulation</t>
        </is>
      </c>
      <c r="C149" s="972" t="inlineStr">
        <is>
          <t>T0858</t>
        </is>
      </c>
      <c r="D149" s="972" t="inlineStr">
        <is>
          <t>Change Operating Mode</t>
        </is>
      </c>
      <c r="E149" s="972" t="inlineStr">
        <is>
          <t>S2</t>
        </is>
      </c>
      <c r="F149" s="972" t="inlineStr">
        <is>
          <t>Candidate enabling technique</t>
        </is>
      </c>
      <c r="G149" s="972" t="inlineStr">
        <is>
          <t>Yes</t>
        </is>
      </c>
      <c r="H149" s="972" t="inlineStr">
        <is>
          <t>Yes</t>
        </is>
      </c>
      <c r="I149" s="972" t="inlineStr">
        <is>
          <t>Yes</t>
        </is>
      </c>
      <c r="J149" s="972" t="n">
        <v>7</v>
      </c>
      <c r="K149" s="972" t="inlineStr">
        <is>
          <t>Model Mapping</t>
        </is>
      </c>
      <c r="L149" s="452" t="inlineStr">
        <is>
          <t>https://attack.mitre.org/techniques/T0858</t>
        </is>
      </c>
      <c r="M149" s="973" t="inlineStr">
        <is>
          <t>Yes</t>
        </is>
      </c>
      <c r="N149" s="973" t="inlineStr">
        <is>
          <t>No explicit facility gate — defaults feasible</t>
        </is>
      </c>
      <c r="O149" s="973" t="inlineStr">
        <is>
          <t>Change Operating Mode is applicable to execution or persistence on engineering workstations, HMIs, servers or controllers used in Power Generation facilities.</t>
        </is>
      </c>
      <c r="P149" s="973" t="inlineStr">
        <is>
          <t>https://csrc.nist.gov/pubs/sp/800/82/r3/final</t>
        </is>
      </c>
    </row>
    <row r="150" ht="15" customHeight="1" s="508">
      <c r="A150" s="972" t="inlineStr">
        <is>
          <t>Nation State</t>
        </is>
      </c>
      <c r="B150" s="972" t="inlineStr">
        <is>
          <t>Process Manipulation</t>
        </is>
      </c>
      <c r="C150" s="972" t="inlineStr">
        <is>
          <t>T1692.001</t>
        </is>
      </c>
      <c r="D150" s="972" t="inlineStr">
        <is>
          <t>Command Message</t>
        </is>
      </c>
      <c r="E150" s="972" t="inlineStr">
        <is>
          <t>S5</t>
        </is>
      </c>
      <c r="F150" s="972" t="inlineStr">
        <is>
          <t>Scenario-defining</t>
        </is>
      </c>
      <c r="G150" s="972" t="inlineStr">
        <is>
          <t>Yes</t>
        </is>
      </c>
      <c r="H150" s="972" t="inlineStr">
        <is>
          <t>Yes</t>
        </is>
      </c>
      <c r="I150" s="972" t="inlineStr">
        <is>
          <t>Yes</t>
        </is>
      </c>
      <c r="J150" s="972" t="n">
        <v>6</v>
      </c>
      <c r="K150" s="972" t="inlineStr">
        <is>
          <t>Model Mapping</t>
        </is>
      </c>
      <c r="L150" s="452" t="inlineStr">
        <is>
          <t>https://attack.mitre.org/techniques/T1692/001</t>
        </is>
      </c>
      <c r="M150" s="973" t="inlineStr">
        <is>
          <t>Yes</t>
        </is>
      </c>
      <c r="N150" s="973" t="inlineStr">
        <is>
          <t>No explicit facility gate — defaults feasible</t>
        </is>
      </c>
      <c r="O150" s="973" t="inlineStr">
        <is>
          <t>Command Message is an ATT&amp;CK for ICS impact or response-inhibition technique that can support one or more governed adverse scenarios; scenario role remains controlled on 09.</t>
        </is>
      </c>
      <c r="P150" s="973" t="inlineStr">
        <is>
          <t>https://csrc.nist.gov/pubs/sp/800/82/r3/final</t>
        </is>
      </c>
    </row>
    <row r="151" ht="15" customHeight="1" s="508">
      <c r="A151" s="972" t="inlineStr">
        <is>
          <t>Nation State</t>
        </is>
      </c>
      <c r="B151" s="972" t="inlineStr">
        <is>
          <t>Process Manipulation</t>
        </is>
      </c>
      <c r="C151" s="972" t="inlineStr">
        <is>
          <t>T1691.001</t>
        </is>
      </c>
      <c r="D151" s="972" t="inlineStr">
        <is>
          <t>Command Message</t>
        </is>
      </c>
      <c r="E151" s="972" t="inlineStr">
        <is>
          <t>S5</t>
        </is>
      </c>
      <c r="F151" s="972" t="inlineStr">
        <is>
          <t>Supporting / impact</t>
        </is>
      </c>
      <c r="G151" s="972" t="inlineStr">
        <is>
          <t>Yes</t>
        </is>
      </c>
      <c r="H151" s="972" t="inlineStr">
        <is>
          <t>Yes</t>
        </is>
      </c>
      <c r="I151" s="972" t="inlineStr">
        <is>
          <t>Yes</t>
        </is>
      </c>
      <c r="J151" s="972" t="n">
        <v>3</v>
      </c>
      <c r="K151" s="972" t="inlineStr">
        <is>
          <t>RECLASSIFIED v1.2: Block Command Message prevents a command reaching its target (inhibit response); it does not issue a malicious command, so it cannot define Process Manipulation.</t>
        </is>
      </c>
      <c r="L151" s="452" t="inlineStr">
        <is>
          <t>https://attack.mitre.org/techniques/T1691/001</t>
        </is>
      </c>
      <c r="M151" s="973" t="inlineStr">
        <is>
          <t>Yes</t>
        </is>
      </c>
      <c r="N151" s="973" t="inlineStr">
        <is>
          <t>No explicit facility gate — defaults feasible</t>
        </is>
      </c>
      <c r="O151" s="973" t="inlineStr">
        <is>
          <t>Command Message is an ATT&amp;CK for ICS impact or response-inhibition technique that can support one or more governed adverse scenarios; scenario role remains controlled on 09.</t>
        </is>
      </c>
      <c r="P151" s="973" t="inlineStr">
        <is>
          <t>https://csrc.nist.gov/pubs/sp/800/82/r3/final</t>
        </is>
      </c>
    </row>
    <row r="152" ht="15" customHeight="1" s="508">
      <c r="A152" s="972" t="inlineStr">
        <is>
          <t>Nation State</t>
        </is>
      </c>
      <c r="B152" s="972" t="inlineStr">
        <is>
          <t>Process Manipulation</t>
        </is>
      </c>
      <c r="C152" s="972" t="inlineStr">
        <is>
          <t>T0807</t>
        </is>
      </c>
      <c r="D152" s="972" t="inlineStr">
        <is>
          <t>Command-Line Interface</t>
        </is>
      </c>
      <c r="E152" s="972" t="inlineStr">
        <is>
          <t>S2</t>
        </is>
      </c>
      <c r="F152" s="972" t="inlineStr">
        <is>
          <t>Candidate enabling technique</t>
        </is>
      </c>
      <c r="G152" s="972" t="inlineStr">
        <is>
          <t>Yes</t>
        </is>
      </c>
      <c r="H152" s="972" t="inlineStr">
        <is>
          <t>Yes</t>
        </is>
      </c>
      <c r="I152" s="972" t="inlineStr">
        <is>
          <t>Yes</t>
        </is>
      </c>
      <c r="J152" s="972" t="n">
        <v>2</v>
      </c>
      <c r="K152" s="972" t="inlineStr">
        <is>
          <t>Model Mapping</t>
        </is>
      </c>
      <c r="L152" s="452" t="inlineStr">
        <is>
          <t>https://attack.mitre.org/techniques/T0807</t>
        </is>
      </c>
      <c r="M152" s="973" t="inlineStr">
        <is>
          <t>Yes</t>
        </is>
      </c>
      <c r="N152" s="973" t="inlineStr">
        <is>
          <t>No explicit facility gate — defaults feasible</t>
        </is>
      </c>
      <c r="O152" s="973" t="inlineStr">
        <is>
          <t>Command-Line Interface is applicable to execution or persistence on engineering workstations, HMIs, servers or controllers used in Power Generation facilities.</t>
        </is>
      </c>
      <c r="P152" s="973" t="inlineStr">
        <is>
          <t>https://csrc.nist.gov/pubs/sp/800/82/r3/final</t>
        </is>
      </c>
    </row>
    <row r="153" ht="15" customHeight="1" s="508">
      <c r="A153" s="972" t="inlineStr">
        <is>
          <t>Nation State</t>
        </is>
      </c>
      <c r="B153" s="972" t="inlineStr">
        <is>
          <t>Process Manipulation</t>
        </is>
      </c>
      <c r="C153" s="972" t="inlineStr">
        <is>
          <t>T0885</t>
        </is>
      </c>
      <c r="D153" s="972" t="inlineStr">
        <is>
          <t>Commonly Used Port</t>
        </is>
      </c>
      <c r="E153" s="972" t="inlineStr">
        <is>
          <t>S3</t>
        </is>
      </c>
      <c r="F153" s="972" t="inlineStr">
        <is>
          <t>Candidate enabling technique</t>
        </is>
      </c>
      <c r="G153" s="972" t="inlineStr">
        <is>
          <t>Yes</t>
        </is>
      </c>
      <c r="H153" s="972" t="inlineStr">
        <is>
          <t>Yes</t>
        </is>
      </c>
      <c r="I153" s="972" t="inlineStr">
        <is>
          <t>Yes</t>
        </is>
      </c>
      <c r="J153" s="972" t="n">
        <v>4</v>
      </c>
      <c r="K153" s="972" t="inlineStr">
        <is>
          <t>Model Mapping</t>
        </is>
      </c>
      <c r="L153" s="452" t="inlineStr">
        <is>
          <t>https://attack.mitre.org/techniques/T0885</t>
        </is>
      </c>
      <c r="M153" s="973" t="inlineStr">
        <is>
          <t>Yes</t>
        </is>
      </c>
      <c r="N153" s="973" t="inlineStr">
        <is>
          <t>No explicit facility gate — defaults feasible</t>
        </is>
      </c>
      <c r="O153" s="973" t="inlineStr">
        <is>
          <t>Commonly Used Port can support movement toward or within plant/control zones; actual reachability is governed by the assessed facility architecture.</t>
        </is>
      </c>
      <c r="P153" s="973" t="inlineStr">
        <is>
          <t>https://csrc.nist.gov/pubs/sp/800/82/r3/final</t>
        </is>
      </c>
    </row>
    <row r="154" ht="15" customHeight="1" s="508">
      <c r="A154" s="972" t="inlineStr">
        <is>
          <t>Nation State</t>
        </is>
      </c>
      <c r="B154" s="972" t="inlineStr">
        <is>
          <t>Process Manipulation</t>
        </is>
      </c>
      <c r="C154" s="972" t="inlineStr">
        <is>
          <t>T0884</t>
        </is>
      </c>
      <c r="D154" s="972" t="inlineStr">
        <is>
          <t>Connection Proxy</t>
        </is>
      </c>
      <c r="E154" s="972" t="inlineStr">
        <is>
          <t>S3</t>
        </is>
      </c>
      <c r="F154" s="972" t="inlineStr">
        <is>
          <t>Candidate enabling technique</t>
        </is>
      </c>
      <c r="G154" s="972" t="inlineStr">
        <is>
          <t>Yes</t>
        </is>
      </c>
      <c r="H154" s="972" t="inlineStr">
        <is>
          <t>Yes</t>
        </is>
      </c>
      <c r="I154" s="972" t="inlineStr">
        <is>
          <t>Yes</t>
        </is>
      </c>
      <c r="J154" s="972" t="n">
        <v>4</v>
      </c>
      <c r="K154" s="972" t="inlineStr">
        <is>
          <t>Model Mapping</t>
        </is>
      </c>
      <c r="L154" s="452" t="inlineStr">
        <is>
          <t>https://attack.mitre.org/techniques/T0884</t>
        </is>
      </c>
      <c r="M154" s="973" t="inlineStr">
        <is>
          <t>Yes</t>
        </is>
      </c>
      <c r="N154" s="973" t="inlineStr">
        <is>
          <t>No explicit facility gate — defaults feasible</t>
        </is>
      </c>
      <c r="O154" s="973" t="inlineStr">
        <is>
          <t>Connection Proxy can support movement toward or within plant/control zones; actual reachability is governed by the assessed facility architecture.</t>
        </is>
      </c>
      <c r="P154" s="973" t="inlineStr">
        <is>
          <t>https://csrc.nist.gov/pubs/sp/800/82/r3/final</t>
        </is>
      </c>
    </row>
    <row r="155" ht="15" customHeight="1" s="508">
      <c r="A155" s="972" t="inlineStr">
        <is>
          <t>Nation State</t>
        </is>
      </c>
      <c r="B155" s="972" t="inlineStr">
        <is>
          <t>Process Manipulation</t>
        </is>
      </c>
      <c r="C155" s="972" t="inlineStr">
        <is>
          <t>T0811</t>
        </is>
      </c>
      <c r="D155" s="972" t="inlineStr">
        <is>
          <t>Data from Information Repositories</t>
        </is>
      </c>
      <c r="E155" s="972" t="inlineStr">
        <is>
          <t>S4</t>
        </is>
      </c>
      <c r="F155" s="972" t="inlineStr">
        <is>
          <t>Candidate enabling technique</t>
        </is>
      </c>
      <c r="G155" s="972" t="inlineStr">
        <is>
          <t>Yes</t>
        </is>
      </c>
      <c r="H155" s="972" t="inlineStr">
        <is>
          <t>Yes</t>
        </is>
      </c>
      <c r="I155" s="972" t="inlineStr">
        <is>
          <t>Yes</t>
        </is>
      </c>
      <c r="J155" s="972" t="n">
        <v>6</v>
      </c>
      <c r="K155" s="972" t="inlineStr">
        <is>
          <t>Model Mapping</t>
        </is>
      </c>
      <c r="L155" s="452" t="inlineStr">
        <is>
          <t>https://attack.mitre.org/techniques/T0811</t>
        </is>
      </c>
      <c r="M155" s="973" t="inlineStr">
        <is>
          <t>Yes</t>
        </is>
      </c>
      <c r="N155" s="973" t="inlineStr">
        <is>
          <t>No explicit facility gate — defaults feasible</t>
        </is>
      </c>
      <c r="O155" s="973" t="inlineStr">
        <is>
          <t>Data from Information Repositories can support discovery or interaction with process state, control assets and operational data in Power Generation environments.</t>
        </is>
      </c>
      <c r="P155" s="973" t="inlineStr">
        <is>
          <t>https://csrc.nist.gov/pubs/sp/800/82/r3/final</t>
        </is>
      </c>
    </row>
    <row r="156" ht="15" customHeight="1" s="508">
      <c r="A156" s="972" t="inlineStr">
        <is>
          <t>Nation State</t>
        </is>
      </c>
      <c r="B156" s="972" t="inlineStr">
        <is>
          <t>Process Manipulation</t>
        </is>
      </c>
      <c r="C156" s="972" t="inlineStr">
        <is>
          <t>T0893</t>
        </is>
      </c>
      <c r="D156" s="972" t="inlineStr">
        <is>
          <t>Data from Local System</t>
        </is>
      </c>
      <c r="E156" s="972" t="inlineStr">
        <is>
          <t>S4</t>
        </is>
      </c>
      <c r="F156" s="972" t="inlineStr">
        <is>
          <t>Candidate enabling technique</t>
        </is>
      </c>
      <c r="G156" s="972" t="inlineStr">
        <is>
          <t>Yes</t>
        </is>
      </c>
      <c r="H156" s="972" t="inlineStr">
        <is>
          <t>Yes</t>
        </is>
      </c>
      <c r="I156" s="972" t="inlineStr">
        <is>
          <t>Yes</t>
        </is>
      </c>
      <c r="J156" s="972" t="n">
        <v>4</v>
      </c>
      <c r="K156" s="972" t="inlineStr">
        <is>
          <t>Model Mapping</t>
        </is>
      </c>
      <c r="L156" s="452" t="inlineStr">
        <is>
          <t>https://attack.mitre.org/techniques/T0893</t>
        </is>
      </c>
      <c r="M156" s="973" t="inlineStr">
        <is>
          <t>Yes</t>
        </is>
      </c>
      <c r="N156" s="973" t="inlineStr">
        <is>
          <t>No explicit facility gate — defaults feasible</t>
        </is>
      </c>
      <c r="O156" s="973" t="inlineStr">
        <is>
          <t>Data from Local System can support discovery or interaction with process state, control assets and operational data in Power Generation environments.</t>
        </is>
      </c>
      <c r="P156" s="973" t="inlineStr">
        <is>
          <t>https://csrc.nist.gov/pubs/sp/800/82/r3/final</t>
        </is>
      </c>
    </row>
    <row r="157" ht="15" customHeight="1" s="508">
      <c r="A157" s="972" t="inlineStr">
        <is>
          <t>Nation State</t>
        </is>
      </c>
      <c r="B157" s="972" t="inlineStr">
        <is>
          <t>Process Manipulation</t>
        </is>
      </c>
      <c r="C157" s="972" t="inlineStr">
        <is>
          <t>T1694.001</t>
        </is>
      </c>
      <c r="D157" s="972" t="inlineStr">
        <is>
          <t>Default Credentials</t>
        </is>
      </c>
      <c r="E157" s="972" t="inlineStr">
        <is>
          <t>S3</t>
        </is>
      </c>
      <c r="F157" s="972" t="inlineStr">
        <is>
          <t>Candidate enabling technique</t>
        </is>
      </c>
      <c r="G157" s="972" t="inlineStr">
        <is>
          <t>Yes</t>
        </is>
      </c>
      <c r="H157" s="972" t="inlineStr">
        <is>
          <t>Yes</t>
        </is>
      </c>
      <c r="I157" s="972" t="inlineStr">
        <is>
          <t>Yes</t>
        </is>
      </c>
      <c r="J157" s="972" t="n">
        <v>2</v>
      </c>
      <c r="K157" s="972" t="inlineStr">
        <is>
          <t>Model Mapping</t>
        </is>
      </c>
      <c r="L157" s="452" t="inlineStr">
        <is>
          <t>https://attack.mitre.org/techniques/T1694/001</t>
        </is>
      </c>
      <c r="M157" s="973" t="inlineStr">
        <is>
          <t>Yes</t>
        </is>
      </c>
      <c r="N157" s="973" t="inlineStr">
        <is>
          <t>No explicit facility gate — defaults feasible</t>
        </is>
      </c>
      <c r="O157" s="973" t="inlineStr">
        <is>
          <t>Default Credentials can support movement toward or within plant/control zones; actual reachability is governed by the assessed facility architecture.</t>
        </is>
      </c>
      <c r="P157" s="973" t="inlineStr">
        <is>
          <t>https://csrc.nist.gov/pubs/sp/800/82/r3/final</t>
        </is>
      </c>
    </row>
    <row r="158" ht="15" customHeight="1" s="508">
      <c r="A158" s="972" t="inlineStr">
        <is>
          <t>Nation State</t>
        </is>
      </c>
      <c r="B158" s="972" t="inlineStr">
        <is>
          <t>Process Manipulation</t>
        </is>
      </c>
      <c r="C158" s="972" t="inlineStr">
        <is>
          <t>T0868</t>
        </is>
      </c>
      <c r="D158" s="972" t="inlineStr">
        <is>
          <t>Detect Operating Mode</t>
        </is>
      </c>
      <c r="E158" s="972" t="inlineStr">
        <is>
          <t>S4</t>
        </is>
      </c>
      <c r="F158" s="972" t="inlineStr">
        <is>
          <t>Candidate enabling technique</t>
        </is>
      </c>
      <c r="G158" s="972" t="inlineStr">
        <is>
          <t>Yes</t>
        </is>
      </c>
      <c r="H158" s="972" t="inlineStr">
        <is>
          <t>Yes</t>
        </is>
      </c>
      <c r="I158" s="972" t="inlineStr">
        <is>
          <t>Yes</t>
        </is>
      </c>
      <c r="J158" s="972" t="n">
        <v>8</v>
      </c>
      <c r="K158" s="972" t="inlineStr">
        <is>
          <t>Model Mapping</t>
        </is>
      </c>
      <c r="L158" s="452" t="inlineStr">
        <is>
          <t>https://attack.mitre.org/techniques/T0868</t>
        </is>
      </c>
      <c r="M158" s="973" t="inlineStr">
        <is>
          <t>Yes</t>
        </is>
      </c>
      <c r="N158" s="973" t="inlineStr">
        <is>
          <t>No explicit facility gate — defaults feasible</t>
        </is>
      </c>
      <c r="O158" s="973" t="inlineStr">
        <is>
          <t>Detect Operating Mode can support discovery or interaction with process state, control assets and operational data in Power Generation environments.</t>
        </is>
      </c>
      <c r="P158" s="973" t="inlineStr">
        <is>
          <t>https://csrc.nist.gov/pubs/sp/800/82/r3/final</t>
        </is>
      </c>
    </row>
    <row r="159" ht="15" customHeight="1" s="508">
      <c r="A159" s="972" t="inlineStr">
        <is>
          <t>Nation State</t>
        </is>
      </c>
      <c r="B159" s="972" t="inlineStr">
        <is>
          <t>Process Manipulation</t>
        </is>
      </c>
      <c r="C159" s="972" t="inlineStr">
        <is>
          <t>T0843.001</t>
        </is>
      </c>
      <c r="D159" s="972" t="inlineStr">
        <is>
          <t>Download All</t>
        </is>
      </c>
      <c r="E159" s="972" t="inlineStr">
        <is>
          <t>S3</t>
        </is>
      </c>
      <c r="F159" s="972" t="inlineStr">
        <is>
          <t>Candidate enabling technique</t>
        </is>
      </c>
      <c r="G159" s="972" t="inlineStr">
        <is>
          <t>Yes</t>
        </is>
      </c>
      <c r="H159" s="972" t="inlineStr">
        <is>
          <t>Yes</t>
        </is>
      </c>
      <c r="I159" s="972" t="inlineStr">
        <is>
          <t>Yes</t>
        </is>
      </c>
      <c r="J159" s="972" t="n">
        <v>10</v>
      </c>
      <c r="K159" s="972" t="inlineStr">
        <is>
          <t>Model Mapping</t>
        </is>
      </c>
      <c r="L159" s="452" t="inlineStr">
        <is>
          <t>https://attack.mitre.org/techniques/T0843/001</t>
        </is>
      </c>
      <c r="M159" s="973" t="inlineStr">
        <is>
          <t>Yes</t>
        </is>
      </c>
      <c r="N159" s="973" t="inlineStr">
        <is>
          <t>No explicit facility gate — defaults feasible</t>
        </is>
      </c>
      <c r="O159" s="973" t="inlineStr">
        <is>
          <t>Download All can support movement toward or within plant/control zones; actual reachability is governed by the assessed facility architecture.</t>
        </is>
      </c>
      <c r="P159" s="973" t="inlineStr">
        <is>
          <t>https://csrc.nist.gov/pubs/sp/800/82/r3/final</t>
        </is>
      </c>
    </row>
    <row r="160" ht="15" customHeight="1" s="508">
      <c r="A160" s="972" t="inlineStr">
        <is>
          <t>Nation State</t>
        </is>
      </c>
      <c r="B160" s="972" t="inlineStr">
        <is>
          <t>Process Manipulation</t>
        </is>
      </c>
      <c r="C160" s="972" t="inlineStr">
        <is>
          <t>T0817</t>
        </is>
      </c>
      <c r="D160" s="972" t="inlineStr">
        <is>
          <t>Drive-by Compromise</t>
        </is>
      </c>
      <c r="E160" s="972" t="inlineStr">
        <is>
          <t>S1</t>
        </is>
      </c>
      <c r="F160" s="972" t="inlineStr">
        <is>
          <t>Candidate enabling technique</t>
        </is>
      </c>
      <c r="G160" s="972" t="inlineStr">
        <is>
          <t>Yes</t>
        </is>
      </c>
      <c r="H160" s="972" t="inlineStr">
        <is>
          <t>Yes</t>
        </is>
      </c>
      <c r="I160" s="972" t="inlineStr">
        <is>
          <t>Yes</t>
        </is>
      </c>
      <c r="J160" s="972" t="n">
        <v>4</v>
      </c>
      <c r="K160" s="972" t="inlineStr">
        <is>
          <t>Model Mapping</t>
        </is>
      </c>
      <c r="L160" s="452" t="inlineStr">
        <is>
          <t>https://attack.mitre.org/techniques/T0817</t>
        </is>
      </c>
      <c r="M160" s="973" t="inlineStr">
        <is>
          <t>Yes</t>
        </is>
      </c>
      <c r="N160" s="973" t="inlineStr">
        <is>
          <t>No explicit facility gate — defaults feasible</t>
        </is>
      </c>
      <c r="O160" s="973" t="inlineStr">
        <is>
          <t>The Drive-by Compromise route is credible for Power Generation OT when the enabling access condition exists; existing facility gates determine remote, internet, transient, supply-chain or wireless feasibility.</t>
        </is>
      </c>
      <c r="P160" s="973" t="inlineStr">
        <is>
          <t>https://csrc.nist.gov/pubs/sp/800/82/r3/final</t>
        </is>
      </c>
    </row>
    <row r="161" ht="15" customHeight="1" s="508">
      <c r="A161" s="972" t="inlineStr">
        <is>
          <t>Nation State</t>
        </is>
      </c>
      <c r="B161" s="972" t="inlineStr">
        <is>
          <t>Process Manipulation</t>
        </is>
      </c>
      <c r="C161" s="972" t="inlineStr">
        <is>
          <t>T0871</t>
        </is>
      </c>
      <c r="D161" s="972" t="inlineStr">
        <is>
          <t>Execution through API</t>
        </is>
      </c>
      <c r="E161" s="972" t="inlineStr">
        <is>
          <t>S2</t>
        </is>
      </c>
      <c r="F161" s="972" t="inlineStr">
        <is>
          <t>Candidate enabling technique</t>
        </is>
      </c>
      <c r="G161" s="972" t="inlineStr">
        <is>
          <t>Yes</t>
        </is>
      </c>
      <c r="H161" s="972" t="inlineStr">
        <is>
          <t>Yes</t>
        </is>
      </c>
      <c r="I161" s="972" t="inlineStr">
        <is>
          <t>Yes</t>
        </is>
      </c>
      <c r="J161" s="972" t="n">
        <v>4</v>
      </c>
      <c r="K161" s="972" t="inlineStr">
        <is>
          <t>Model Mapping</t>
        </is>
      </c>
      <c r="L161" s="452" t="inlineStr">
        <is>
          <t>https://attack.mitre.org/techniques/T0871</t>
        </is>
      </c>
      <c r="M161" s="973" t="inlineStr">
        <is>
          <t>Yes</t>
        </is>
      </c>
      <c r="N161" s="973" t="inlineStr">
        <is>
          <t>No explicit facility gate — defaults feasible</t>
        </is>
      </c>
      <c r="O161" s="973" t="inlineStr">
        <is>
          <t>Execution through API is applicable to execution or persistence on engineering workstations, HMIs, servers or controllers used in Power Generation facilities.</t>
        </is>
      </c>
      <c r="P161" s="973" t="inlineStr">
        <is>
          <t>https://csrc.nist.gov/pubs/sp/800/82/r3/final</t>
        </is>
      </c>
    </row>
    <row r="162" ht="15" customHeight="1" s="508">
      <c r="A162" s="972" t="inlineStr">
        <is>
          <t>Nation State</t>
        </is>
      </c>
      <c r="B162" s="972" t="inlineStr">
        <is>
          <t>Process Manipulation</t>
        </is>
      </c>
      <c r="C162" s="972" t="inlineStr">
        <is>
          <t>T0819</t>
        </is>
      </c>
      <c r="D162" s="972" t="inlineStr">
        <is>
          <t>Exploit Public-Facing Application</t>
        </is>
      </c>
      <c r="E162" s="972" t="inlineStr">
        <is>
          <t>S1</t>
        </is>
      </c>
      <c r="F162" s="972" t="inlineStr">
        <is>
          <t>Candidate enabling technique</t>
        </is>
      </c>
      <c r="G162" s="972" t="inlineStr">
        <is>
          <t>Yes</t>
        </is>
      </c>
      <c r="H162" s="972" t="inlineStr">
        <is>
          <t>Yes</t>
        </is>
      </c>
      <c r="I162" s="972" t="inlineStr">
        <is>
          <t>Yes</t>
        </is>
      </c>
      <c r="J162" s="972" t="n">
        <v>6</v>
      </c>
      <c r="K162" s="972" t="inlineStr">
        <is>
          <t>Model Mapping</t>
        </is>
      </c>
      <c r="L162" s="452" t="inlineStr">
        <is>
          <t>https://attack.mitre.org/techniques/T0819</t>
        </is>
      </c>
      <c r="M162" s="973" t="inlineStr">
        <is>
          <t>Yes</t>
        </is>
      </c>
      <c r="N162" s="973" t="inlineStr">
        <is>
          <t>No explicit facility gate — defaults feasible</t>
        </is>
      </c>
      <c r="O162" s="973" t="inlineStr">
        <is>
          <t>The Exploit Public-Facing Application route is credible for Power Generation OT when the enabling access condition exists; existing facility gates determine remote, internet, transient, supply-chain or wireless feasibility.</t>
        </is>
      </c>
      <c r="P162" s="973" t="inlineStr">
        <is>
          <t>https://csrc.nist.gov/pubs/sp/800/82/r3/final</t>
        </is>
      </c>
    </row>
    <row r="163" ht="15" customHeight="1" s="508">
      <c r="A163" s="972" t="inlineStr">
        <is>
          <t>Nation State</t>
        </is>
      </c>
      <c r="B163" s="972" t="inlineStr">
        <is>
          <t>Process Manipulation</t>
        </is>
      </c>
      <c r="C163" s="972" t="inlineStr">
        <is>
          <t>T0820</t>
        </is>
      </c>
      <c r="D163" s="972" t="inlineStr">
        <is>
          <t>Exploitation for Evasion</t>
        </is>
      </c>
      <c r="E163" s="972" t="inlineStr">
        <is>
          <t>S2</t>
        </is>
      </c>
      <c r="F163" s="972" t="inlineStr">
        <is>
          <t>Candidate enabling technique</t>
        </is>
      </c>
      <c r="G163" s="972" t="inlineStr">
        <is>
          <t>Yes</t>
        </is>
      </c>
      <c r="H163" s="972" t="inlineStr">
        <is>
          <t>Yes</t>
        </is>
      </c>
      <c r="I163" s="972" t="inlineStr">
        <is>
          <t>Yes</t>
        </is>
      </c>
      <c r="J163" s="972" t="n">
        <v>4</v>
      </c>
      <c r="K163" s="972" t="inlineStr">
        <is>
          <t>Model Mapping</t>
        </is>
      </c>
      <c r="L163" s="452" t="inlineStr">
        <is>
          <t>https://attack.mitre.org/techniques/T0820</t>
        </is>
      </c>
      <c r="M163" s="973" t="inlineStr">
        <is>
          <t>Yes</t>
        </is>
      </c>
      <c r="N163" s="973" t="inlineStr">
        <is>
          <t>No explicit facility gate — defaults feasible</t>
        </is>
      </c>
      <c r="O163" s="973" t="inlineStr">
        <is>
          <t>Exploitation for Evasion is applicable to execution or persistence on engineering workstations, HMIs, servers or controllers used in Power Generation facilities.</t>
        </is>
      </c>
      <c r="P163" s="973" t="inlineStr">
        <is>
          <t>https://csrc.nist.gov/pubs/sp/800/82/r3/final</t>
        </is>
      </c>
    </row>
    <row r="164" ht="15" customHeight="1" s="508">
      <c r="A164" s="972" t="inlineStr">
        <is>
          <t>Nation State</t>
        </is>
      </c>
      <c r="B164" s="972" t="inlineStr">
        <is>
          <t>Process Manipulation</t>
        </is>
      </c>
      <c r="C164" s="972" t="inlineStr">
        <is>
          <t>T0890</t>
        </is>
      </c>
      <c r="D164" s="972" t="inlineStr">
        <is>
          <t>Exploitation for Privilege Escalation</t>
        </is>
      </c>
      <c r="E164" s="972" t="inlineStr">
        <is>
          <t>S2</t>
        </is>
      </c>
      <c r="F164" s="972" t="inlineStr">
        <is>
          <t>Candidate enabling technique</t>
        </is>
      </c>
      <c r="G164" s="972" t="inlineStr">
        <is>
          <t>Yes</t>
        </is>
      </c>
      <c r="H164" s="972" t="inlineStr">
        <is>
          <t>Yes</t>
        </is>
      </c>
      <c r="I164" s="972" t="inlineStr">
        <is>
          <t>Yes</t>
        </is>
      </c>
      <c r="J164" s="972" t="n">
        <v>4</v>
      </c>
      <c r="K164" s="972" t="inlineStr">
        <is>
          <t>Model Mapping</t>
        </is>
      </c>
      <c r="L164" s="452" t="inlineStr">
        <is>
          <t>https://attack.mitre.org/techniques/T0890</t>
        </is>
      </c>
      <c r="M164" s="973" t="inlineStr">
        <is>
          <t>Yes</t>
        </is>
      </c>
      <c r="N164" s="973" t="inlineStr">
        <is>
          <t>No explicit facility gate — defaults feasible</t>
        </is>
      </c>
      <c r="O164" s="973" t="inlineStr">
        <is>
          <t>Exploitation for Privilege Escalation is applicable to execution or persistence on engineering workstations, HMIs, servers or controllers used in Power Generation facilities.</t>
        </is>
      </c>
      <c r="P164" s="973" t="inlineStr">
        <is>
          <t>https://csrc.nist.gov/pubs/sp/800/82/r3/final</t>
        </is>
      </c>
    </row>
    <row r="165" ht="15" customHeight="1" s="508">
      <c r="A165" s="972" t="inlineStr">
        <is>
          <t>Nation State</t>
        </is>
      </c>
      <c r="B165" s="972" t="inlineStr">
        <is>
          <t>Process Manipulation</t>
        </is>
      </c>
      <c r="C165" s="972" t="inlineStr">
        <is>
          <t>T0866</t>
        </is>
      </c>
      <c r="D165" s="972" t="inlineStr">
        <is>
          <t>Exploitation of Remote Services</t>
        </is>
      </c>
      <c r="E165" s="972" t="inlineStr">
        <is>
          <t>S1</t>
        </is>
      </c>
      <c r="F165" s="972" t="inlineStr">
        <is>
          <t>Candidate enabling technique</t>
        </is>
      </c>
      <c r="G165" s="972" t="inlineStr">
        <is>
          <t>Yes</t>
        </is>
      </c>
      <c r="H165" s="972" t="inlineStr">
        <is>
          <t>Yes</t>
        </is>
      </c>
      <c r="I165" s="972" t="inlineStr">
        <is>
          <t>Yes</t>
        </is>
      </c>
      <c r="J165" s="972" t="n">
        <v>8</v>
      </c>
      <c r="K165" s="972" t="inlineStr">
        <is>
          <t>Model Mapping</t>
        </is>
      </c>
      <c r="L165" s="452" t="inlineStr">
        <is>
          <t>https://attack.mitre.org/techniques/T0866</t>
        </is>
      </c>
      <c r="M165" s="973" t="inlineStr">
        <is>
          <t>Yes</t>
        </is>
      </c>
      <c r="N165" s="973" t="inlineStr">
        <is>
          <t>REMOTE_OR_ITOT — Remote path or IT-OT connection</t>
        </is>
      </c>
      <c r="O165" s="973" t="inlineStr">
        <is>
          <t>The Exploitation of Remote Services route is credible for Power Generation OT when the enabling access condition exists; existing facility gates determine remote, internet, transient, supply-chain or wireless feasibility.</t>
        </is>
      </c>
      <c r="P165" s="973" t="inlineStr">
        <is>
          <t>https://csrc.nist.gov/pubs/sp/800/82/r3/final</t>
        </is>
      </c>
    </row>
    <row r="166" ht="15" customHeight="1" s="508">
      <c r="A166" s="972" t="inlineStr">
        <is>
          <t>Nation State</t>
        </is>
      </c>
      <c r="B166" s="972" t="inlineStr">
        <is>
          <t>Process Manipulation</t>
        </is>
      </c>
      <c r="C166" s="972" t="inlineStr">
        <is>
          <t>T0822</t>
        </is>
      </c>
      <c r="D166" s="972" t="inlineStr">
        <is>
          <t>External Remote Services</t>
        </is>
      </c>
      <c r="E166" s="972" t="inlineStr">
        <is>
          <t>S1</t>
        </is>
      </c>
      <c r="F166" s="972" t="inlineStr">
        <is>
          <t>Candidate enabling technique</t>
        </is>
      </c>
      <c r="G166" s="972" t="inlineStr">
        <is>
          <t>Yes</t>
        </is>
      </c>
      <c r="H166" s="972" t="inlineStr">
        <is>
          <t>Yes</t>
        </is>
      </c>
      <c r="I166" s="972" t="inlineStr">
        <is>
          <t>Yes</t>
        </is>
      </c>
      <c r="J166" s="972" t="n">
        <v>7</v>
      </c>
      <c r="K166" s="972" t="inlineStr">
        <is>
          <t>Model Mapping</t>
        </is>
      </c>
      <c r="L166" s="452" t="inlineStr">
        <is>
          <t>https://attack.mitre.org/techniques/T0822</t>
        </is>
      </c>
      <c r="M166" s="973" t="inlineStr">
        <is>
          <t>Yes</t>
        </is>
      </c>
      <c r="N166" s="973" t="inlineStr">
        <is>
          <t>REMOTE_REQUIRED — Not None</t>
        </is>
      </c>
      <c r="O166" s="973" t="inlineStr">
        <is>
          <t>The External Remote Services route is credible for Power Generation OT when the enabling access condition exists; existing facility gates determine remote, internet, transient, supply-chain or wireless feasibility.</t>
        </is>
      </c>
      <c r="P166" s="973" t="inlineStr">
        <is>
          <t>https://csrc.nist.gov/pubs/sp/800/82/r3/final</t>
        </is>
      </c>
    </row>
    <row r="167" ht="15" customHeight="1" s="508">
      <c r="A167" s="972" t="inlineStr">
        <is>
          <t>Nation State</t>
        </is>
      </c>
      <c r="B167" s="972" t="inlineStr">
        <is>
          <t>Process Manipulation</t>
        </is>
      </c>
      <c r="C167" s="972" t="inlineStr">
        <is>
          <t>T0823</t>
        </is>
      </c>
      <c r="D167" s="972" t="inlineStr">
        <is>
          <t>Graphical User Interface</t>
        </is>
      </c>
      <c r="E167" s="972" t="inlineStr">
        <is>
          <t>S2</t>
        </is>
      </c>
      <c r="F167" s="972" t="inlineStr">
        <is>
          <t>Candidate enabling technique</t>
        </is>
      </c>
      <c r="G167" s="972" t="inlineStr">
        <is>
          <t>Yes</t>
        </is>
      </c>
      <c r="H167" s="972" t="inlineStr">
        <is>
          <t>Yes</t>
        </is>
      </c>
      <c r="I167" s="972" t="inlineStr">
        <is>
          <t>Yes</t>
        </is>
      </c>
      <c r="J167" s="972" t="n">
        <v>1</v>
      </c>
      <c r="K167" s="972" t="inlineStr">
        <is>
          <t>Model Mapping</t>
        </is>
      </c>
      <c r="L167" s="452" t="inlineStr">
        <is>
          <t>https://attack.mitre.org/techniques/T0823</t>
        </is>
      </c>
      <c r="M167" s="973" t="inlineStr">
        <is>
          <t>Yes</t>
        </is>
      </c>
      <c r="N167" s="973" t="inlineStr">
        <is>
          <t>No explicit facility gate — defaults feasible</t>
        </is>
      </c>
      <c r="O167" s="973" t="inlineStr">
        <is>
          <t>Graphical User Interface is applicable to execution or persistence on engineering workstations, HMIs, servers or controllers used in Power Generation facilities.</t>
        </is>
      </c>
      <c r="P167" s="973" t="inlineStr">
        <is>
          <t>https://csrc.nist.gov/pubs/sp/800/82/r3/final</t>
        </is>
      </c>
    </row>
    <row r="168" ht="15" customHeight="1" s="508">
      <c r="A168" s="972" t="inlineStr">
        <is>
          <t>Nation State</t>
        </is>
      </c>
      <c r="B168" s="972" t="inlineStr">
        <is>
          <t>Process Manipulation</t>
        </is>
      </c>
      <c r="C168" s="972" t="inlineStr">
        <is>
          <t>T1694.002</t>
        </is>
      </c>
      <c r="D168" s="972" t="inlineStr">
        <is>
          <t>Hardcoded Credentials</t>
        </is>
      </c>
      <c r="E168" s="972" t="inlineStr">
        <is>
          <t>S3</t>
        </is>
      </c>
      <c r="F168" s="972" t="inlineStr">
        <is>
          <t>Candidate enabling technique</t>
        </is>
      </c>
      <c r="G168" s="972" t="inlineStr">
        <is>
          <t>Yes</t>
        </is>
      </c>
      <c r="H168" s="972" t="inlineStr">
        <is>
          <t>Yes</t>
        </is>
      </c>
      <c r="I168" s="972" t="inlineStr">
        <is>
          <t>Yes</t>
        </is>
      </c>
      <c r="J168" s="972" t="n">
        <v>1</v>
      </c>
      <c r="K168" s="972" t="inlineStr">
        <is>
          <t>Model Mapping</t>
        </is>
      </c>
      <c r="L168" s="452" t="inlineStr">
        <is>
          <t>https://attack.mitre.org/techniques/T1694/002</t>
        </is>
      </c>
      <c r="M168" s="973" t="inlineStr">
        <is>
          <t>Yes</t>
        </is>
      </c>
      <c r="N168" s="973" t="inlineStr">
        <is>
          <t>No explicit facility gate — defaults feasible</t>
        </is>
      </c>
      <c r="O168" s="973" t="inlineStr">
        <is>
          <t>Hardcoded Credentials can support movement toward or within plant/control zones; actual reachability is governed by the assessed facility architecture.</t>
        </is>
      </c>
      <c r="P168" s="973" t="inlineStr">
        <is>
          <t>https://csrc.nist.gov/pubs/sp/800/82/r3/final</t>
        </is>
      </c>
    </row>
    <row r="169" ht="15" customHeight="1" s="508">
      <c r="A169" s="972" t="inlineStr">
        <is>
          <t>Nation State</t>
        </is>
      </c>
      <c r="B169" s="972" t="inlineStr">
        <is>
          <t>Process Manipulation</t>
        </is>
      </c>
      <c r="C169" s="972" t="inlineStr">
        <is>
          <t>T0874</t>
        </is>
      </c>
      <c r="D169" s="972" t="inlineStr">
        <is>
          <t>Hooking</t>
        </is>
      </c>
      <c r="E169" s="972" t="inlineStr">
        <is>
          <t>S2</t>
        </is>
      </c>
      <c r="F169" s="972" t="inlineStr">
        <is>
          <t>Candidate enabling technique</t>
        </is>
      </c>
      <c r="G169" s="972" t="inlineStr">
        <is>
          <t>Yes</t>
        </is>
      </c>
      <c r="H169" s="972" t="inlineStr">
        <is>
          <t>Yes</t>
        </is>
      </c>
      <c r="I169" s="972" t="inlineStr">
        <is>
          <t>Yes</t>
        </is>
      </c>
      <c r="J169" s="972" t="n">
        <v>2</v>
      </c>
      <c r="K169" s="972" t="inlineStr">
        <is>
          <t>Model Mapping</t>
        </is>
      </c>
      <c r="L169" s="452" t="inlineStr">
        <is>
          <t>https://attack.mitre.org/techniques/T0874</t>
        </is>
      </c>
      <c r="M169" s="973" t="inlineStr">
        <is>
          <t>Yes</t>
        </is>
      </c>
      <c r="N169" s="973" t="inlineStr">
        <is>
          <t>No explicit facility gate — defaults feasible</t>
        </is>
      </c>
      <c r="O169" s="973" t="inlineStr">
        <is>
          <t>Hooking is applicable to execution or persistence on engineering workstations, HMIs, servers or controllers used in Power Generation facilities.</t>
        </is>
      </c>
      <c r="P169" s="973" t="inlineStr">
        <is>
          <t>https://csrc.nist.gov/pubs/sp/800/82/r3/final</t>
        </is>
      </c>
    </row>
    <row r="170" ht="15" customHeight="1" s="508">
      <c r="A170" s="972" t="inlineStr">
        <is>
          <t>Nation State</t>
        </is>
      </c>
      <c r="B170" s="972" t="inlineStr">
        <is>
          <t>Process Manipulation</t>
        </is>
      </c>
      <c r="C170" s="972" t="inlineStr">
        <is>
          <t>T0877</t>
        </is>
      </c>
      <c r="D170" s="972" t="inlineStr">
        <is>
          <t>I/O Image</t>
        </is>
      </c>
      <c r="E170" s="972" t="inlineStr">
        <is>
          <t>S4</t>
        </is>
      </c>
      <c r="F170" s="972" t="inlineStr">
        <is>
          <t>Candidate enabling technique</t>
        </is>
      </c>
      <c r="G170" s="972" t="inlineStr">
        <is>
          <t>Yes</t>
        </is>
      </c>
      <c r="H170" s="972" t="inlineStr">
        <is>
          <t>Yes</t>
        </is>
      </c>
      <c r="I170" s="972" t="inlineStr">
        <is>
          <t>Yes</t>
        </is>
      </c>
      <c r="J170" s="972" t="n">
        <v>1</v>
      </c>
      <c r="K170" s="972" t="inlineStr">
        <is>
          <t>Model Mapping</t>
        </is>
      </c>
      <c r="L170" s="452" t="inlineStr">
        <is>
          <t>https://attack.mitre.org/techniques/T0877</t>
        </is>
      </c>
      <c r="M170" s="973" t="inlineStr">
        <is>
          <t>Yes</t>
        </is>
      </c>
      <c r="N170" s="973" t="inlineStr">
        <is>
          <t>No explicit facility gate — defaults feasible</t>
        </is>
      </c>
      <c r="O170" s="973" t="inlineStr">
        <is>
          <t>I/O Image can support discovery or interaction with process state, control assets and operational data in Power Generation environments.</t>
        </is>
      </c>
      <c r="P170" s="973" t="inlineStr">
        <is>
          <t>https://csrc.nist.gov/pubs/sp/800/82/r3/final</t>
        </is>
      </c>
    </row>
    <row r="171" ht="15" customHeight="1" s="508">
      <c r="A171" s="972" t="inlineStr">
        <is>
          <t>Nation State</t>
        </is>
      </c>
      <c r="B171" s="972" t="inlineStr">
        <is>
          <t>Process Manipulation</t>
        </is>
      </c>
      <c r="C171" s="972" t="inlineStr">
        <is>
          <t>T0872</t>
        </is>
      </c>
      <c r="D171" s="972" t="inlineStr">
        <is>
          <t>Indicator Removal on Host</t>
        </is>
      </c>
      <c r="E171" s="972" t="inlineStr">
        <is>
          <t>S2</t>
        </is>
      </c>
      <c r="F171" s="972" t="inlineStr">
        <is>
          <t>Candidate enabling technique</t>
        </is>
      </c>
      <c r="G171" s="972" t="inlineStr">
        <is>
          <t>Yes</t>
        </is>
      </c>
      <c r="H171" s="972" t="inlineStr">
        <is>
          <t>Yes</t>
        </is>
      </c>
      <c r="I171" s="972" t="inlineStr">
        <is>
          <t>Yes</t>
        </is>
      </c>
      <c r="J171" s="972" t="n">
        <v>1</v>
      </c>
      <c r="K171" s="972" t="inlineStr">
        <is>
          <t>Model Mapping</t>
        </is>
      </c>
      <c r="L171" s="452" t="inlineStr">
        <is>
          <t>https://attack.mitre.org/techniques/T0872</t>
        </is>
      </c>
      <c r="M171" s="973" t="inlineStr">
        <is>
          <t>Yes</t>
        </is>
      </c>
      <c r="N171" s="973" t="inlineStr">
        <is>
          <t>No explicit facility gate — defaults feasible</t>
        </is>
      </c>
      <c r="O171" s="973" t="inlineStr">
        <is>
          <t>Indicator Removal on Host is applicable to execution or persistence on engineering workstations, HMIs, servers or controllers used in Power Generation facilities.</t>
        </is>
      </c>
      <c r="P171" s="973" t="inlineStr">
        <is>
          <t>https://csrc.nist.gov/pubs/sp/800/82/r3/final</t>
        </is>
      </c>
    </row>
    <row r="172" ht="15" customHeight="1" s="508">
      <c r="A172" s="972" t="inlineStr">
        <is>
          <t>Nation State</t>
        </is>
      </c>
      <c r="B172" s="972" t="inlineStr">
        <is>
          <t>Process Manipulation</t>
        </is>
      </c>
      <c r="C172" s="972" t="inlineStr">
        <is>
          <t>T0883</t>
        </is>
      </c>
      <c r="D172" s="972" t="inlineStr">
        <is>
          <t>Internet Accessible Device</t>
        </is>
      </c>
      <c r="E172" s="972" t="inlineStr">
        <is>
          <t>S1</t>
        </is>
      </c>
      <c r="F172" s="972" t="inlineStr">
        <is>
          <t>Candidate enabling technique</t>
        </is>
      </c>
      <c r="G172" s="972" t="inlineStr">
        <is>
          <t>Yes</t>
        </is>
      </c>
      <c r="H172" s="972" t="inlineStr">
        <is>
          <t>No</t>
        </is>
      </c>
      <c r="I172" s="972" t="inlineStr">
        <is>
          <t>No</t>
        </is>
      </c>
      <c r="J172" s="972" t="n">
        <v>1</v>
      </c>
      <c r="K172" s="972" t="inlineStr">
        <is>
          <t>Model Mapping</t>
        </is>
      </c>
      <c r="L172" s="452" t="inlineStr">
        <is>
          <t>https://attack.mitre.org/techniques/T0883</t>
        </is>
      </c>
      <c r="M172" s="973" t="inlineStr">
        <is>
          <t>Yes</t>
        </is>
      </c>
      <c r="N172" s="973" t="inlineStr">
        <is>
          <t>INTERNET_OT — Yes</t>
        </is>
      </c>
      <c r="O172" s="973" t="inlineStr">
        <is>
          <t>The Internet Accessible Device route is credible for Power Generation OT when the enabling access condition exists; existing facility gates determine remote, internet, transient, supply-chain or wireless feasibility.</t>
        </is>
      </c>
      <c r="P172" s="973" t="inlineStr">
        <is>
          <t>https://csrc.nist.gov/pubs/sp/800/82/r3/final</t>
        </is>
      </c>
    </row>
    <row r="173" ht="15" customHeight="1" s="508">
      <c r="A173" s="972" t="inlineStr">
        <is>
          <t>Nation State</t>
        </is>
      </c>
      <c r="B173" s="972" t="inlineStr">
        <is>
          <t>Process Manipulation</t>
        </is>
      </c>
      <c r="C173" s="972" t="inlineStr">
        <is>
          <t>T0867</t>
        </is>
      </c>
      <c r="D173" s="972" t="inlineStr">
        <is>
          <t>Lateral Tool Transfer</t>
        </is>
      </c>
      <c r="E173" s="972" t="inlineStr">
        <is>
          <t>S3</t>
        </is>
      </c>
      <c r="F173" s="972" t="inlineStr">
        <is>
          <t>Candidate enabling technique</t>
        </is>
      </c>
      <c r="G173" s="972" t="inlineStr">
        <is>
          <t>Yes</t>
        </is>
      </c>
      <c r="H173" s="972" t="inlineStr">
        <is>
          <t>Yes</t>
        </is>
      </c>
      <c r="I173" s="972" t="inlineStr">
        <is>
          <t>Yes</t>
        </is>
      </c>
      <c r="J173" s="972" t="n">
        <v>1</v>
      </c>
      <c r="K173" s="972" t="inlineStr">
        <is>
          <t>Model Mapping</t>
        </is>
      </c>
      <c r="L173" s="452" t="inlineStr">
        <is>
          <t>https://attack.mitre.org/techniques/T0867</t>
        </is>
      </c>
      <c r="M173" s="973" t="inlineStr">
        <is>
          <t>Yes</t>
        </is>
      </c>
      <c r="N173" s="973" t="inlineStr">
        <is>
          <t>No explicit facility gate — defaults feasible</t>
        </is>
      </c>
      <c r="O173" s="973" t="inlineStr">
        <is>
          <t>Lateral Tool Transfer can support movement toward or within plant/control zones; actual reachability is governed by the assessed facility architecture.</t>
        </is>
      </c>
      <c r="P173" s="973" t="inlineStr">
        <is>
          <t>https://csrc.nist.gov/pubs/sp/800/82/r3/final</t>
        </is>
      </c>
    </row>
    <row r="174" ht="15" customHeight="1" s="508">
      <c r="A174" s="972" t="inlineStr">
        <is>
          <t>Nation State</t>
        </is>
      </c>
      <c r="B174" s="972" t="inlineStr">
        <is>
          <t>Process Manipulation</t>
        </is>
      </c>
      <c r="C174" s="972" t="inlineStr">
        <is>
          <t>T0831</t>
        </is>
      </c>
      <c r="D174" s="972" t="inlineStr">
        <is>
          <t>Manipulation of Control</t>
        </is>
      </c>
      <c r="E174" s="972" t="inlineStr">
        <is>
          <t>S5</t>
        </is>
      </c>
      <c r="F174" s="972" t="inlineStr">
        <is>
          <t>Scenario-defining</t>
        </is>
      </c>
      <c r="G174" s="972" t="inlineStr">
        <is>
          <t>Yes</t>
        </is>
      </c>
      <c r="H174" s="972" t="inlineStr">
        <is>
          <t>Yes</t>
        </is>
      </c>
      <c r="I174" s="972" t="inlineStr">
        <is>
          <t>Yes</t>
        </is>
      </c>
      <c r="J174" s="972" t="n">
        <v>3</v>
      </c>
      <c r="K174" s="972" t="inlineStr">
        <is>
          <t>Model Mapping</t>
        </is>
      </c>
      <c r="L174" s="452" t="inlineStr">
        <is>
          <t>https://attack.mitre.org/techniques/T0831</t>
        </is>
      </c>
      <c r="M174" s="973" t="inlineStr">
        <is>
          <t>Yes</t>
        </is>
      </c>
      <c r="N174" s="973" t="inlineStr">
        <is>
          <t>No explicit facility gate — defaults feasible</t>
        </is>
      </c>
      <c r="O174" s="973" t="inlineStr">
        <is>
          <t>Manipulation of Control is an ATT&amp;CK for ICS impact or response-inhibition technique that can support one or more governed adverse scenarios; scenario role remains controlled on 09.</t>
        </is>
      </c>
      <c r="P174" s="973" t="inlineStr">
        <is>
          <t>https://csrc.nist.gov/pubs/sp/800/82/r3/final</t>
        </is>
      </c>
    </row>
    <row r="175" ht="15" customHeight="1" s="508">
      <c r="A175" s="972" t="inlineStr">
        <is>
          <t>Nation State</t>
        </is>
      </c>
      <c r="B175" s="972" t="inlineStr">
        <is>
          <t>Process Manipulation</t>
        </is>
      </c>
      <c r="C175" s="972" t="inlineStr">
        <is>
          <t>T0849</t>
        </is>
      </c>
      <c r="D175" s="972" t="inlineStr">
        <is>
          <t>Masquerading</t>
        </is>
      </c>
      <c r="E175" s="972" t="inlineStr">
        <is>
          <t>S2</t>
        </is>
      </c>
      <c r="F175" s="972" t="inlineStr">
        <is>
          <t>Candidate enabling technique</t>
        </is>
      </c>
      <c r="G175" s="972" t="inlineStr">
        <is>
          <t>Yes</t>
        </is>
      </c>
      <c r="H175" s="972" t="inlineStr">
        <is>
          <t>Yes</t>
        </is>
      </c>
      <c r="I175" s="972" t="inlineStr">
        <is>
          <t>Yes</t>
        </is>
      </c>
      <c r="J175" s="972" t="n">
        <v>3</v>
      </c>
      <c r="K175" s="972" t="inlineStr">
        <is>
          <t>Model Mapping</t>
        </is>
      </c>
      <c r="L175" s="452" t="inlineStr">
        <is>
          <t>https://attack.mitre.org/techniques/T0849</t>
        </is>
      </c>
      <c r="M175" s="973" t="inlineStr">
        <is>
          <t>Yes</t>
        </is>
      </c>
      <c r="N175" s="973" t="inlineStr">
        <is>
          <t>No explicit facility gate — defaults feasible</t>
        </is>
      </c>
      <c r="O175" s="973" t="inlineStr">
        <is>
          <t>Masquerading is applicable to execution or persistence on engineering workstations, HMIs, servers or controllers used in Power Generation facilities.</t>
        </is>
      </c>
      <c r="P175" s="973" t="inlineStr">
        <is>
          <t>https://csrc.nist.gov/pubs/sp/800/82/r3/final</t>
        </is>
      </c>
    </row>
    <row r="176" ht="15" customHeight="1" s="508">
      <c r="A176" s="972" t="inlineStr">
        <is>
          <t>Nation State</t>
        </is>
      </c>
      <c r="B176" s="972" t="inlineStr">
        <is>
          <t>Process Manipulation</t>
        </is>
      </c>
      <c r="C176" s="972" t="inlineStr">
        <is>
          <t>T0821</t>
        </is>
      </c>
      <c r="D176" s="972" t="inlineStr">
        <is>
          <t>Modify Controller Tasking</t>
        </is>
      </c>
      <c r="E176" s="972" t="inlineStr">
        <is>
          <t>S5</t>
        </is>
      </c>
      <c r="F176" s="972" t="inlineStr">
        <is>
          <t>Supporting / impact</t>
        </is>
      </c>
      <c r="G176" s="972" t="inlineStr">
        <is>
          <t>Yes</t>
        </is>
      </c>
      <c r="H176" s="972" t="inlineStr">
        <is>
          <t>Yes</t>
        </is>
      </c>
      <c r="I176" s="972" t="inlineStr">
        <is>
          <t>Yes</t>
        </is>
      </c>
      <c r="J176" s="972" t="n">
        <v>4</v>
      </c>
      <c r="K176" s="972" t="inlineStr">
        <is>
          <t>RESTAGED v1.2: In the Process Manipulation scenario this technique directly implements the adverse outcome, so it is staged S5 rather than inheriting its ATT&amp;CK tactic. CRQ stage is scenario-specific.</t>
        </is>
      </c>
      <c r="L176" s="452" t="inlineStr">
        <is>
          <t>https://attack.mitre.org/techniques/T0821</t>
        </is>
      </c>
      <c r="M176" s="973" t="inlineStr">
        <is>
          <t>Yes</t>
        </is>
      </c>
      <c r="N176" s="973" t="inlineStr">
        <is>
          <t>No explicit facility gate — defaults feasible</t>
        </is>
      </c>
      <c r="O176" s="973" t="inlineStr">
        <is>
          <t>Modify Controller Tasking is applicable to execution or persistence on engineering workstations, HMIs, servers or controllers used in Power Generation facilities.</t>
        </is>
      </c>
      <c r="P176" s="973" t="inlineStr">
        <is>
          <t>https://csrc.nist.gov/pubs/sp/800/82/r3/final</t>
        </is>
      </c>
    </row>
    <row r="177" ht="15" customHeight="1" s="508">
      <c r="A177" s="972" t="inlineStr">
        <is>
          <t>Nation State</t>
        </is>
      </c>
      <c r="B177" s="972" t="inlineStr">
        <is>
          <t>Process Manipulation</t>
        </is>
      </c>
      <c r="C177" s="972" t="inlineStr">
        <is>
          <t>T0836</t>
        </is>
      </c>
      <c r="D177" s="972" t="inlineStr">
        <is>
          <t>Modify Parameter</t>
        </is>
      </c>
      <c r="E177" s="972" t="inlineStr">
        <is>
          <t>S5</t>
        </is>
      </c>
      <c r="F177" s="972" t="inlineStr">
        <is>
          <t>Scenario-defining</t>
        </is>
      </c>
      <c r="G177" s="972" t="inlineStr">
        <is>
          <t>Yes</t>
        </is>
      </c>
      <c r="H177" s="972" t="inlineStr">
        <is>
          <t>Yes</t>
        </is>
      </c>
      <c r="I177" s="972" t="inlineStr">
        <is>
          <t>Yes</t>
        </is>
      </c>
      <c r="J177" s="972" t="n">
        <v>4</v>
      </c>
      <c r="K177" s="972" t="inlineStr">
        <is>
          <t>Model Mapping</t>
        </is>
      </c>
      <c r="L177" s="452" t="inlineStr">
        <is>
          <t>https://attack.mitre.org/techniques/T0836</t>
        </is>
      </c>
      <c r="M177" s="973" t="inlineStr">
        <is>
          <t>Yes</t>
        </is>
      </c>
      <c r="N177" s="973" t="inlineStr">
        <is>
          <t>No explicit facility gate — defaults feasible</t>
        </is>
      </c>
      <c r="O177" s="973" t="inlineStr">
        <is>
          <t>Modify Parameter is an ATT&amp;CK for ICS impact or response-inhibition technique that can support one or more governed adverse scenarios; scenario role remains controlled on 09.</t>
        </is>
      </c>
      <c r="P177" s="973" t="inlineStr">
        <is>
          <t>https://csrc.nist.gov/pubs/sp/800/82/r3/final</t>
        </is>
      </c>
    </row>
    <row r="178" ht="15" customHeight="1" s="508">
      <c r="A178" s="972" t="inlineStr">
        <is>
          <t>Nation State</t>
        </is>
      </c>
      <c r="B178" s="972" t="inlineStr">
        <is>
          <t>Process Manipulation</t>
        </is>
      </c>
      <c r="C178" s="972" t="inlineStr">
        <is>
          <t>T0889</t>
        </is>
      </c>
      <c r="D178" s="972" t="inlineStr">
        <is>
          <t>Modify Program</t>
        </is>
      </c>
      <c r="E178" s="972" t="inlineStr">
        <is>
          <t>S5</t>
        </is>
      </c>
      <c r="F178" s="972" t="inlineStr">
        <is>
          <t>Supporting / impact</t>
        </is>
      </c>
      <c r="G178" s="972" t="inlineStr">
        <is>
          <t>Yes</t>
        </is>
      </c>
      <c r="H178" s="972" t="inlineStr">
        <is>
          <t>Yes</t>
        </is>
      </c>
      <c r="I178" s="972" t="inlineStr">
        <is>
          <t>Yes</t>
        </is>
      </c>
      <c r="J178" s="972" t="n">
        <v>4</v>
      </c>
      <c r="K178" s="972" t="inlineStr">
        <is>
          <t>RESTAGED v1.2: In the Process Manipulation scenario this technique directly implements the adverse outcome, so it is staged S5 rather than inheriting its ATT&amp;CK tactic. CRQ stage is scenario-specific.</t>
        </is>
      </c>
      <c r="L178" s="452" t="inlineStr">
        <is>
          <t>https://attack.mitre.org/techniques/T0889</t>
        </is>
      </c>
      <c r="M178" s="973" t="inlineStr">
        <is>
          <t>Yes</t>
        </is>
      </c>
      <c r="N178" s="973" t="inlineStr">
        <is>
          <t>No explicit facility gate — defaults feasible</t>
        </is>
      </c>
      <c r="O178" s="973" t="inlineStr">
        <is>
          <t>Modify Program is applicable to execution or persistence on engineering workstations, HMIs, servers or controllers used in Power Generation facilities.</t>
        </is>
      </c>
      <c r="P178" s="973" t="inlineStr">
        <is>
          <t>https://csrc.nist.gov/pubs/sp/800/82/r3/final</t>
        </is>
      </c>
    </row>
    <row r="179" ht="15" customHeight="1" s="508">
      <c r="A179" s="972" t="inlineStr">
        <is>
          <t>Nation State</t>
        </is>
      </c>
      <c r="B179" s="972" t="inlineStr">
        <is>
          <t>Process Manipulation</t>
        </is>
      </c>
      <c r="C179" s="972" t="inlineStr">
        <is>
          <t>T0801</t>
        </is>
      </c>
      <c r="D179" s="972" t="inlineStr">
        <is>
          <t>Monitor Process State</t>
        </is>
      </c>
      <c r="E179" s="972" t="inlineStr">
        <is>
          <t>S4</t>
        </is>
      </c>
      <c r="F179" s="972" t="inlineStr">
        <is>
          <t>Candidate enabling technique</t>
        </is>
      </c>
      <c r="G179" s="972" t="inlineStr">
        <is>
          <t>Yes</t>
        </is>
      </c>
      <c r="H179" s="972" t="inlineStr">
        <is>
          <t>Yes</t>
        </is>
      </c>
      <c r="I179" s="972" t="inlineStr">
        <is>
          <t>Yes</t>
        </is>
      </c>
      <c r="J179" s="972" t="n">
        <v>1</v>
      </c>
      <c r="K179" s="972" t="inlineStr">
        <is>
          <t>Model Mapping</t>
        </is>
      </c>
      <c r="L179" s="452" t="inlineStr">
        <is>
          <t>https://attack.mitre.org/techniques/T0801</t>
        </is>
      </c>
      <c r="M179" s="973" t="inlineStr">
        <is>
          <t>Yes</t>
        </is>
      </c>
      <c r="N179" s="973" t="inlineStr">
        <is>
          <t>No explicit facility gate — defaults feasible</t>
        </is>
      </c>
      <c r="O179" s="973" t="inlineStr">
        <is>
          <t>Monitor Process State can support discovery or interaction with process state, control assets and operational data in Power Generation environments.</t>
        </is>
      </c>
      <c r="P179" s="973" t="inlineStr">
        <is>
          <t>https://csrc.nist.gov/pubs/sp/800/82/r3/final</t>
        </is>
      </c>
    </row>
    <row r="180" ht="15" customHeight="1" s="508">
      <c r="A180" s="972" t="inlineStr">
        <is>
          <t>Nation State</t>
        </is>
      </c>
      <c r="B180" s="972" t="inlineStr">
        <is>
          <t>Process Manipulation</t>
        </is>
      </c>
      <c r="C180" s="972" t="inlineStr">
        <is>
          <t>T0846.003</t>
        </is>
      </c>
      <c r="D180" s="972" t="inlineStr">
        <is>
          <t>Multicast Discovery</t>
        </is>
      </c>
      <c r="E180" s="972" t="inlineStr">
        <is>
          <t>S4</t>
        </is>
      </c>
      <c r="F180" s="972" t="inlineStr">
        <is>
          <t>Candidate enabling technique</t>
        </is>
      </c>
      <c r="G180" s="972" t="inlineStr">
        <is>
          <t>Yes</t>
        </is>
      </c>
      <c r="H180" s="972" t="inlineStr">
        <is>
          <t>Yes</t>
        </is>
      </c>
      <c r="I180" s="972" t="inlineStr">
        <is>
          <t>Yes</t>
        </is>
      </c>
      <c r="J180" s="972" t="n">
        <v>2</v>
      </c>
      <c r="K180" s="972" t="inlineStr">
        <is>
          <t>Model Mapping</t>
        </is>
      </c>
      <c r="L180" s="452" t="inlineStr">
        <is>
          <t>https://attack.mitre.org/techniques/T0846/003</t>
        </is>
      </c>
      <c r="M180" s="973" t="inlineStr">
        <is>
          <t>Yes</t>
        </is>
      </c>
      <c r="N180" s="973" t="inlineStr">
        <is>
          <t>No explicit facility gate — defaults feasible</t>
        </is>
      </c>
      <c r="O180" s="973" t="inlineStr">
        <is>
          <t>Multicast Discovery can support discovery or interaction with process state, control assets and operational data in Power Generation environments.</t>
        </is>
      </c>
      <c r="P180" s="973" t="inlineStr">
        <is>
          <t>https://csrc.nist.gov/pubs/sp/800/82/r3/final</t>
        </is>
      </c>
    </row>
    <row r="181" ht="15" customHeight="1" s="508">
      <c r="A181" s="972" t="inlineStr">
        <is>
          <t>Nation State</t>
        </is>
      </c>
      <c r="B181" s="972" t="inlineStr">
        <is>
          <t>Process Manipulation</t>
        </is>
      </c>
      <c r="C181" s="972" t="inlineStr">
        <is>
          <t>T0834</t>
        </is>
      </c>
      <c r="D181" s="972" t="inlineStr">
        <is>
          <t>Native API</t>
        </is>
      </c>
      <c r="E181" s="972" t="inlineStr">
        <is>
          <t>S2</t>
        </is>
      </c>
      <c r="F181" s="972" t="inlineStr">
        <is>
          <t>Candidate enabling technique</t>
        </is>
      </c>
      <c r="G181" s="972" t="inlineStr">
        <is>
          <t>Yes</t>
        </is>
      </c>
      <c r="H181" s="972" t="inlineStr">
        <is>
          <t>Yes</t>
        </is>
      </c>
      <c r="I181" s="972" t="inlineStr">
        <is>
          <t>Yes</t>
        </is>
      </c>
      <c r="J181" s="972" t="n">
        <v>1</v>
      </c>
      <c r="K181" s="972" t="inlineStr">
        <is>
          <t>Model Mapping</t>
        </is>
      </c>
      <c r="L181" s="452" t="inlineStr">
        <is>
          <t>https://attack.mitre.org/techniques/T0834</t>
        </is>
      </c>
      <c r="M181" s="973" t="inlineStr">
        <is>
          <t>Yes</t>
        </is>
      </c>
      <c r="N181" s="973" t="inlineStr">
        <is>
          <t>No explicit facility gate — defaults feasible</t>
        </is>
      </c>
      <c r="O181" s="973" t="inlineStr">
        <is>
          <t>Native API is applicable to execution or persistence on engineering workstations, HMIs, servers or controllers used in Power Generation facilities.</t>
        </is>
      </c>
      <c r="P181" s="973" t="inlineStr">
        <is>
          <t>https://csrc.nist.gov/pubs/sp/800/82/r3/final</t>
        </is>
      </c>
    </row>
    <row r="182" ht="15" customHeight="1" s="508">
      <c r="A182" s="972" t="inlineStr">
        <is>
          <t>Nation State</t>
        </is>
      </c>
      <c r="B182" s="972" t="inlineStr">
        <is>
          <t>Process Manipulation</t>
        </is>
      </c>
      <c r="C182" s="972" t="inlineStr">
        <is>
          <t>T0840</t>
        </is>
      </c>
      <c r="D182" s="972" t="inlineStr">
        <is>
          <t>Network Connection Enumeration</t>
        </is>
      </c>
      <c r="E182" s="972" t="inlineStr">
        <is>
          <t>S4</t>
        </is>
      </c>
      <c r="F182" s="972" t="inlineStr">
        <is>
          <t>Candidate enabling technique</t>
        </is>
      </c>
      <c r="G182" s="972" t="inlineStr">
        <is>
          <t>Yes</t>
        </is>
      </c>
      <c r="H182" s="972" t="inlineStr">
        <is>
          <t>Yes</t>
        </is>
      </c>
      <c r="I182" s="972" t="inlineStr">
        <is>
          <t>Yes</t>
        </is>
      </c>
      <c r="J182" s="972" t="n">
        <v>1</v>
      </c>
      <c r="K182" s="972" t="inlineStr">
        <is>
          <t>Model Mapping</t>
        </is>
      </c>
      <c r="L182" s="452" t="inlineStr">
        <is>
          <t>https://attack.mitre.org/techniques/T0840</t>
        </is>
      </c>
      <c r="M182" s="973" t="inlineStr">
        <is>
          <t>Yes</t>
        </is>
      </c>
      <c r="N182" s="973" t="inlineStr">
        <is>
          <t>No explicit facility gate — defaults feasible</t>
        </is>
      </c>
      <c r="O182" s="973" t="inlineStr">
        <is>
          <t>Network Connection Enumeration can support discovery or interaction with process state, control assets and operational data in Power Generation environments.</t>
        </is>
      </c>
      <c r="P182" s="973" t="inlineStr">
        <is>
          <t>https://csrc.nist.gov/pubs/sp/800/82/r3/final</t>
        </is>
      </c>
    </row>
    <row r="183" ht="15" customHeight="1" s="508">
      <c r="A183" s="972" t="inlineStr">
        <is>
          <t>Nation State</t>
        </is>
      </c>
      <c r="B183" s="972" t="inlineStr">
        <is>
          <t>Process Manipulation</t>
        </is>
      </c>
      <c r="C183" s="972" t="inlineStr">
        <is>
          <t>T0842</t>
        </is>
      </c>
      <c r="D183" s="972" t="inlineStr">
        <is>
          <t>Network Sniffing</t>
        </is>
      </c>
      <c r="E183" s="972" t="inlineStr">
        <is>
          <t>S4</t>
        </is>
      </c>
      <c r="F183" s="972" t="inlineStr">
        <is>
          <t>Candidate enabling technique</t>
        </is>
      </c>
      <c r="G183" s="972" t="inlineStr">
        <is>
          <t>Yes</t>
        </is>
      </c>
      <c r="H183" s="972" t="inlineStr">
        <is>
          <t>Yes</t>
        </is>
      </c>
      <c r="I183" s="972" t="inlineStr">
        <is>
          <t>Yes</t>
        </is>
      </c>
      <c r="J183" s="972" t="n">
        <v>5</v>
      </c>
      <c r="K183" s="972" t="inlineStr">
        <is>
          <t>Model Mapping</t>
        </is>
      </c>
      <c r="L183" s="452" t="inlineStr">
        <is>
          <t>https://attack.mitre.org/techniques/T0842</t>
        </is>
      </c>
      <c r="M183" s="973" t="inlineStr">
        <is>
          <t>Yes</t>
        </is>
      </c>
      <c r="N183" s="973" t="inlineStr">
        <is>
          <t>No explicit facility gate — defaults feasible</t>
        </is>
      </c>
      <c r="O183" s="973" t="inlineStr">
        <is>
          <t>Network Sniffing can support discovery or interaction with process state, control assets and operational data in Power Generation environments.</t>
        </is>
      </c>
      <c r="P183" s="973" t="inlineStr">
        <is>
          <t>https://csrc.nist.gov/pubs/sp/800/82/r3/final</t>
        </is>
      </c>
    </row>
    <row r="184" ht="15" customHeight="1" s="508">
      <c r="A184" s="972" t="inlineStr">
        <is>
          <t>Nation State</t>
        </is>
      </c>
      <c r="B184" s="972" t="inlineStr">
        <is>
          <t>Process Manipulation</t>
        </is>
      </c>
      <c r="C184" s="972" t="inlineStr">
        <is>
          <t>T0843.002</t>
        </is>
      </c>
      <c r="D184" s="972" t="inlineStr">
        <is>
          <t>Online Edit</t>
        </is>
      </c>
      <c r="E184" s="972" t="inlineStr">
        <is>
          <t>S5</t>
        </is>
      </c>
      <c r="F184" s="972" t="inlineStr">
        <is>
          <t>Supporting / impact</t>
        </is>
      </c>
      <c r="G184" s="972" t="inlineStr">
        <is>
          <t>Yes</t>
        </is>
      </c>
      <c r="H184" s="972" t="inlineStr">
        <is>
          <t>Yes</t>
        </is>
      </c>
      <c r="I184" s="972" t="inlineStr">
        <is>
          <t>Yes</t>
        </is>
      </c>
      <c r="J184" s="972" t="n">
        <v>10</v>
      </c>
      <c r="K184" s="972" t="inlineStr">
        <is>
          <t>RESTAGED v1.2: In the Process Manipulation scenario this technique directly implements the adverse outcome, so it is staged S5 rather than inheriting its ATT&amp;CK tactic. CRQ stage is scenario-specific.</t>
        </is>
      </c>
      <c r="L184" s="452" t="inlineStr">
        <is>
          <t>https://attack.mitre.org/techniques/T0843/002</t>
        </is>
      </c>
      <c r="M184" s="973" t="inlineStr">
        <is>
          <t>Yes</t>
        </is>
      </c>
      <c r="N184" s="973" t="inlineStr">
        <is>
          <t>No explicit facility gate — defaults feasible</t>
        </is>
      </c>
      <c r="O184" s="973" t="inlineStr">
        <is>
          <t>Online Edit can support movement toward or within plant/control zones; actual reachability is governed by the assessed facility architecture.</t>
        </is>
      </c>
      <c r="P184" s="973" t="inlineStr">
        <is>
          <t>https://csrc.nist.gov/pubs/sp/800/82/r3/final</t>
        </is>
      </c>
    </row>
    <row r="185" ht="15" customHeight="1" s="508">
      <c r="A185" s="972" t="inlineStr">
        <is>
          <t>Nation State</t>
        </is>
      </c>
      <c r="B185" s="972" t="inlineStr">
        <is>
          <t>Process Manipulation</t>
        </is>
      </c>
      <c r="C185" s="972" t="inlineStr">
        <is>
          <t>T0861</t>
        </is>
      </c>
      <c r="D185" s="972" t="inlineStr">
        <is>
          <t>Point &amp; Tag Identification</t>
        </is>
      </c>
      <c r="E185" s="972" t="inlineStr">
        <is>
          <t>S4</t>
        </is>
      </c>
      <c r="F185" s="972" t="inlineStr">
        <is>
          <t>Candidate enabling technique</t>
        </is>
      </c>
      <c r="G185" s="972" t="inlineStr">
        <is>
          <t>Yes</t>
        </is>
      </c>
      <c r="H185" s="972" t="inlineStr">
        <is>
          <t>Yes</t>
        </is>
      </c>
      <c r="I185" s="972" t="inlineStr">
        <is>
          <t>Yes</t>
        </is>
      </c>
      <c r="J185" s="972" t="n">
        <v>8</v>
      </c>
      <c r="K185" s="972" t="inlineStr">
        <is>
          <t>Model Mapping</t>
        </is>
      </c>
      <c r="L185" s="452" t="inlineStr">
        <is>
          <t>https://attack.mitre.org/techniques/T0861</t>
        </is>
      </c>
      <c r="M185" s="973" t="inlineStr">
        <is>
          <t>Yes</t>
        </is>
      </c>
      <c r="N185" s="973" t="inlineStr">
        <is>
          <t>No explicit facility gate — defaults feasible</t>
        </is>
      </c>
      <c r="O185" s="973" t="inlineStr">
        <is>
          <t>Point &amp; Tag Identification can support discovery or interaction with process state, control assets and operational data in Power Generation environments.</t>
        </is>
      </c>
      <c r="P185" s="973" t="inlineStr">
        <is>
          <t>https://csrc.nist.gov/pubs/sp/800/82/r3/final</t>
        </is>
      </c>
    </row>
    <row r="186" ht="15" customHeight="1" s="508">
      <c r="A186" s="972" t="inlineStr">
        <is>
          <t>Nation State</t>
        </is>
      </c>
      <c r="B186" s="972" t="inlineStr">
        <is>
          <t>Process Manipulation</t>
        </is>
      </c>
      <c r="C186" s="972" t="inlineStr">
        <is>
          <t>T0846.001</t>
        </is>
      </c>
      <c r="D186" s="972" t="inlineStr">
        <is>
          <t>Port Scan</t>
        </is>
      </c>
      <c r="E186" s="972" t="inlineStr">
        <is>
          <t>S4</t>
        </is>
      </c>
      <c r="F186" s="972" t="inlineStr">
        <is>
          <t>Candidate enabling technique</t>
        </is>
      </c>
      <c r="G186" s="972" t="inlineStr">
        <is>
          <t>Yes</t>
        </is>
      </c>
      <c r="H186" s="972" t="inlineStr">
        <is>
          <t>Yes</t>
        </is>
      </c>
      <c r="I186" s="972" t="inlineStr">
        <is>
          <t>Yes</t>
        </is>
      </c>
      <c r="J186" s="972" t="n">
        <v>3</v>
      </c>
      <c r="K186" s="972" t="inlineStr">
        <is>
          <t>Model Mapping</t>
        </is>
      </c>
      <c r="L186" s="452" t="inlineStr">
        <is>
          <t>https://attack.mitre.org/techniques/T0846/001</t>
        </is>
      </c>
      <c r="M186" s="973" t="inlineStr">
        <is>
          <t>Yes</t>
        </is>
      </c>
      <c r="N186" s="973" t="inlineStr">
        <is>
          <t>No explicit facility gate — defaults feasible</t>
        </is>
      </c>
      <c r="O186" s="973" t="inlineStr">
        <is>
          <t>Port Scan can support discovery or interaction with process state, control assets and operational data in Power Generation environments.</t>
        </is>
      </c>
      <c r="P186" s="973" t="inlineStr">
        <is>
          <t>https://csrc.nist.gov/pubs/sp/800/82/r3/final</t>
        </is>
      </c>
    </row>
    <row r="187" ht="15" customHeight="1" s="508">
      <c r="A187" s="972" t="inlineStr">
        <is>
          <t>Nation State</t>
        </is>
      </c>
      <c r="B187" s="972" t="inlineStr">
        <is>
          <t>Process Manipulation</t>
        </is>
      </c>
      <c r="C187" s="972" t="inlineStr">
        <is>
          <t>T0843.003</t>
        </is>
      </c>
      <c r="D187" s="972" t="inlineStr">
        <is>
          <t>Program Append</t>
        </is>
      </c>
      <c r="E187" s="972" t="inlineStr">
        <is>
          <t>S3</t>
        </is>
      </c>
      <c r="F187" s="972" t="inlineStr">
        <is>
          <t>Candidate enabling technique</t>
        </is>
      </c>
      <c r="G187" s="972" t="inlineStr">
        <is>
          <t>Yes</t>
        </is>
      </c>
      <c r="H187" s="972" t="inlineStr">
        <is>
          <t>Yes</t>
        </is>
      </c>
      <c r="I187" s="972" t="inlineStr">
        <is>
          <t>Yes</t>
        </is>
      </c>
      <c r="J187" s="972" t="n">
        <v>10</v>
      </c>
      <c r="K187" s="972" t="inlineStr">
        <is>
          <t>Model Mapping</t>
        </is>
      </c>
      <c r="L187" s="452" t="inlineStr">
        <is>
          <t>https://attack.mitre.org/techniques/T0843/003</t>
        </is>
      </c>
      <c r="M187" s="973" t="inlineStr">
        <is>
          <t>Yes</t>
        </is>
      </c>
      <c r="N187" s="973" t="inlineStr">
        <is>
          <t>No explicit facility gate — defaults feasible</t>
        </is>
      </c>
      <c r="O187" s="973" t="inlineStr">
        <is>
          <t>Program Append can support movement toward or within plant/control zones; actual reachability is governed by the assessed facility architecture.</t>
        </is>
      </c>
      <c r="P187" s="973" t="inlineStr">
        <is>
          <t>https://csrc.nist.gov/pubs/sp/800/82/r3/final</t>
        </is>
      </c>
    </row>
    <row r="188" ht="15" customHeight="1" s="508">
      <c r="A188" s="972" t="inlineStr">
        <is>
          <t>Nation State</t>
        </is>
      </c>
      <c r="B188" s="972" t="inlineStr">
        <is>
          <t>Process Manipulation</t>
        </is>
      </c>
      <c r="C188" s="972" t="inlineStr">
        <is>
          <t>T0845</t>
        </is>
      </c>
      <c r="D188" s="972" t="inlineStr">
        <is>
          <t>Program Upload</t>
        </is>
      </c>
      <c r="E188" s="972" t="inlineStr">
        <is>
          <t>S4</t>
        </is>
      </c>
      <c r="F188" s="972" t="inlineStr">
        <is>
          <t>Candidate enabling technique</t>
        </is>
      </c>
      <c r="G188" s="972" t="inlineStr">
        <is>
          <t>Yes</t>
        </is>
      </c>
      <c r="H188" s="972" t="inlineStr">
        <is>
          <t>Yes</t>
        </is>
      </c>
      <c r="I188" s="972" t="inlineStr">
        <is>
          <t>Yes</t>
        </is>
      </c>
      <c r="J188" s="972" t="n">
        <v>8</v>
      </c>
      <c r="K188" s="972" t="inlineStr">
        <is>
          <t>Model Mapping</t>
        </is>
      </c>
      <c r="L188" s="452" t="inlineStr">
        <is>
          <t>https://attack.mitre.org/techniques/T0845</t>
        </is>
      </c>
      <c r="M188" s="973" t="inlineStr">
        <is>
          <t>Yes</t>
        </is>
      </c>
      <c r="N188" s="973" t="inlineStr">
        <is>
          <t>No explicit facility gate — defaults feasible</t>
        </is>
      </c>
      <c r="O188" s="973" t="inlineStr">
        <is>
          <t>Program Upload can support discovery or interaction with process state, control assets and operational data in Power Generation environments.</t>
        </is>
      </c>
      <c r="P188" s="973" t="inlineStr">
        <is>
          <t>https://csrc.nist.gov/pubs/sp/800/82/r3/final</t>
        </is>
      </c>
    </row>
    <row r="189" ht="15" customHeight="1" s="508">
      <c r="A189" s="972" t="inlineStr">
        <is>
          <t>Nation State</t>
        </is>
      </c>
      <c r="B189" s="972" t="inlineStr">
        <is>
          <t>Process Manipulation</t>
        </is>
      </c>
      <c r="C189" s="972" t="inlineStr">
        <is>
          <t>T0886</t>
        </is>
      </c>
      <c r="D189" s="972" t="inlineStr">
        <is>
          <t>Remote Services</t>
        </is>
      </c>
      <c r="E189" s="972" t="inlineStr">
        <is>
          <t>S1</t>
        </is>
      </c>
      <c r="F189" s="972" t="inlineStr">
        <is>
          <t>Candidate enabling technique</t>
        </is>
      </c>
      <c r="G189" s="972" t="inlineStr">
        <is>
          <t>Yes</t>
        </is>
      </c>
      <c r="H189" s="972" t="inlineStr">
        <is>
          <t>Yes</t>
        </is>
      </c>
      <c r="I189" s="972" t="inlineStr">
        <is>
          <t>Yes</t>
        </is>
      </c>
      <c r="J189" s="972" t="n">
        <v>9</v>
      </c>
      <c r="K189" s="972" t="inlineStr">
        <is>
          <t>Model Mapping</t>
        </is>
      </c>
      <c r="L189" s="452" t="inlineStr">
        <is>
          <t>https://attack.mitre.org/techniques/T0886</t>
        </is>
      </c>
      <c r="M189" s="973" t="inlineStr">
        <is>
          <t>Yes</t>
        </is>
      </c>
      <c r="N189" s="973" t="inlineStr">
        <is>
          <t>REMOTE_OR_ITOT — Remote path or IT-OT connection</t>
        </is>
      </c>
      <c r="O189" s="973" t="inlineStr">
        <is>
          <t>The Remote Services route is credible for Power Generation OT when the enabling access condition exists; existing facility gates determine remote, internet, transient, supply-chain or wireless feasibility.</t>
        </is>
      </c>
      <c r="P189" s="973" t="inlineStr">
        <is>
          <t>https://csrc.nist.gov/pubs/sp/800/82/r3/final</t>
        </is>
      </c>
    </row>
    <row r="190" ht="15" customHeight="1" s="508">
      <c r="A190" s="972" t="inlineStr">
        <is>
          <t>Nation State</t>
        </is>
      </c>
      <c r="B190" s="972" t="inlineStr">
        <is>
          <t>Process Manipulation</t>
        </is>
      </c>
      <c r="C190" s="972" t="inlineStr">
        <is>
          <t>T0888</t>
        </is>
      </c>
      <c r="D190" s="972" t="inlineStr">
        <is>
          <t>Remote System Information Discovery</t>
        </is>
      </c>
      <c r="E190" s="972" t="inlineStr">
        <is>
          <t>S4</t>
        </is>
      </c>
      <c r="F190" s="972" t="inlineStr">
        <is>
          <t>Candidate enabling technique</t>
        </is>
      </c>
      <c r="G190" s="972" t="inlineStr">
        <is>
          <t>Yes</t>
        </is>
      </c>
      <c r="H190" s="972" t="inlineStr">
        <is>
          <t>Yes</t>
        </is>
      </c>
      <c r="I190" s="972" t="inlineStr">
        <is>
          <t>Yes</t>
        </is>
      </c>
      <c r="J190" s="972" t="n">
        <v>1</v>
      </c>
      <c r="K190" s="972" t="inlineStr">
        <is>
          <t>Model Mapping</t>
        </is>
      </c>
      <c r="L190" s="452" t="inlineStr">
        <is>
          <t>https://attack.mitre.org/techniques/T0888</t>
        </is>
      </c>
      <c r="M190" s="973" t="inlineStr">
        <is>
          <t>Yes</t>
        </is>
      </c>
      <c r="N190" s="973" t="inlineStr">
        <is>
          <t>No explicit facility gate — defaults feasible</t>
        </is>
      </c>
      <c r="O190" s="973" t="inlineStr">
        <is>
          <t>Remote System Information Discovery can support discovery or interaction with process state, control assets and operational data in Power Generation environments.</t>
        </is>
      </c>
      <c r="P190" s="973" t="inlineStr">
        <is>
          <t>https://csrc.nist.gov/pubs/sp/800/82/r3/final</t>
        </is>
      </c>
    </row>
    <row r="191" ht="15" customHeight="1" s="508">
      <c r="A191" s="972" t="inlineStr">
        <is>
          <t>Nation State</t>
        </is>
      </c>
      <c r="B191" s="972" t="inlineStr">
        <is>
          <t>Process Manipulation</t>
        </is>
      </c>
      <c r="C191" s="972" t="inlineStr">
        <is>
          <t>T0847</t>
        </is>
      </c>
      <c r="D191" s="972" t="inlineStr">
        <is>
          <t>Replication Through Removable Media</t>
        </is>
      </c>
      <c r="E191" s="972" t="inlineStr">
        <is>
          <t>S1</t>
        </is>
      </c>
      <c r="F191" s="972" t="inlineStr">
        <is>
          <t>Candidate enabling technique</t>
        </is>
      </c>
      <c r="G191" s="972" t="inlineStr">
        <is>
          <t>Yes</t>
        </is>
      </c>
      <c r="H191" s="972" t="inlineStr">
        <is>
          <t>Yes</t>
        </is>
      </c>
      <c r="I191" s="972" t="inlineStr">
        <is>
          <t>Yes</t>
        </is>
      </c>
      <c r="J191" s="972" t="n">
        <v>3</v>
      </c>
      <c r="K191" s="972" t="inlineStr">
        <is>
          <t>Model Mapping</t>
        </is>
      </c>
      <c r="L191" s="452" t="inlineStr">
        <is>
          <t>https://attack.mitre.org/techniques/T0847</t>
        </is>
      </c>
      <c r="M191" s="973" t="inlineStr">
        <is>
          <t>Yes</t>
        </is>
      </c>
      <c r="N191" s="973" t="inlineStr">
        <is>
          <t>TRANSIENT_REQUIRED — Not None</t>
        </is>
      </c>
      <c r="O191" s="973" t="inlineStr">
        <is>
          <t>The Replication Through Removable Media route is credible for Power Generation OT when the enabling access condition exists; existing facility gates determine remote, internet, transient, supply-chain or wireless feasibility.</t>
        </is>
      </c>
      <c r="P191" s="973" t="inlineStr">
        <is>
          <t>https://csrc.nist.gov/pubs/sp/800/82/r3/final</t>
        </is>
      </c>
    </row>
    <row r="192" ht="15" customHeight="1" s="508">
      <c r="A192" s="972" t="inlineStr">
        <is>
          <t>Nation State</t>
        </is>
      </c>
      <c r="B192" s="972" t="inlineStr">
        <is>
          <t>Process Manipulation</t>
        </is>
      </c>
      <c r="C192" s="972" t="inlineStr">
        <is>
          <t>T1692.002</t>
        </is>
      </c>
      <c r="D192" s="972" t="inlineStr">
        <is>
          <t>Reporting Message</t>
        </is>
      </c>
      <c r="E192" s="972" t="inlineStr">
        <is>
          <t>S5</t>
        </is>
      </c>
      <c r="F192" s="972" t="inlineStr">
        <is>
          <t>Supporting / impact</t>
        </is>
      </c>
      <c r="G192" s="972" t="inlineStr">
        <is>
          <t>Yes</t>
        </is>
      </c>
      <c r="H192" s="972" t="inlineStr">
        <is>
          <t>Yes</t>
        </is>
      </c>
      <c r="I192" s="972" t="inlineStr">
        <is>
          <t>Yes</t>
        </is>
      </c>
      <c r="J192" s="972" t="n">
        <v>5</v>
      </c>
      <c r="K192" s="972" t="inlineStr">
        <is>
          <t>Model Mapping</t>
        </is>
      </c>
      <c r="L192" s="452" t="inlineStr">
        <is>
          <t>https://attack.mitre.org/techniques/T1692/002</t>
        </is>
      </c>
      <c r="M192" s="973" t="inlineStr">
        <is>
          <t>Yes</t>
        </is>
      </c>
      <c r="N192" s="973" t="inlineStr">
        <is>
          <t>No explicit facility gate — defaults feasible</t>
        </is>
      </c>
      <c r="O192" s="973" t="inlineStr">
        <is>
          <t>Reporting Message is an ATT&amp;CK for ICS impact or response-inhibition technique that can support one or more governed adverse scenarios; scenario role remains controlled on 09.</t>
        </is>
      </c>
      <c r="P192" s="973" t="inlineStr">
        <is>
          <t>https://csrc.nist.gov/pubs/sp/800/82/r3/final</t>
        </is>
      </c>
    </row>
    <row r="193" ht="15" customHeight="1" s="508">
      <c r="A193" s="972" t="inlineStr">
        <is>
          <t>Nation State</t>
        </is>
      </c>
      <c r="B193" s="972" t="inlineStr">
        <is>
          <t>Process Manipulation</t>
        </is>
      </c>
      <c r="C193" s="972" t="inlineStr">
        <is>
          <t>T0848</t>
        </is>
      </c>
      <c r="D193" s="972" t="inlineStr">
        <is>
          <t>Rogue Master</t>
        </is>
      </c>
      <c r="E193" s="972" t="inlineStr">
        <is>
          <t>S5</t>
        </is>
      </c>
      <c r="F193" s="972" t="inlineStr">
        <is>
          <t>Supporting / impact</t>
        </is>
      </c>
      <c r="G193" s="972" t="inlineStr">
        <is>
          <t>Yes</t>
        </is>
      </c>
      <c r="H193" s="972" t="inlineStr">
        <is>
          <t>Yes</t>
        </is>
      </c>
      <c r="I193" s="972" t="inlineStr">
        <is>
          <t>Yes</t>
        </is>
      </c>
      <c r="J193" s="972" t="n">
        <v>5</v>
      </c>
      <c r="K193" s="972" t="inlineStr">
        <is>
          <t>RESTAGED v1.2: In the Process Manipulation scenario this technique directly implements the adverse outcome, so it is staged S5 rather than inheriting its ATT&amp;CK tactic. CRQ stage is scenario-specific.</t>
        </is>
      </c>
      <c r="L193" s="452" t="inlineStr">
        <is>
          <t>https://attack.mitre.org/techniques/T0848</t>
        </is>
      </c>
      <c r="M193" s="973" t="inlineStr">
        <is>
          <t>Yes</t>
        </is>
      </c>
      <c r="N193" s="973" t="inlineStr">
        <is>
          <t>No explicit facility gate — defaults feasible</t>
        </is>
      </c>
      <c r="O193" s="973" t="inlineStr">
        <is>
          <t>The Rogue Master route is credible for Power Generation OT when the enabling access condition exists; existing facility gates determine remote, internet, transient, supply-chain or wireless feasibility.</t>
        </is>
      </c>
      <c r="P193" s="973" t="inlineStr">
        <is>
          <t>https://csrc.nist.gov/pubs/sp/800/82/r3/final</t>
        </is>
      </c>
    </row>
    <row r="194" ht="15" customHeight="1" s="508">
      <c r="A194" s="972" t="inlineStr">
        <is>
          <t>Nation State</t>
        </is>
      </c>
      <c r="B194" s="972" t="inlineStr">
        <is>
          <t>Process Manipulation</t>
        </is>
      </c>
      <c r="C194" s="972" t="inlineStr">
        <is>
          <t>T0852</t>
        </is>
      </c>
      <c r="D194" s="972" t="inlineStr">
        <is>
          <t>Screen Capture</t>
        </is>
      </c>
      <c r="E194" s="972" t="inlineStr">
        <is>
          <t>S4</t>
        </is>
      </c>
      <c r="F194" s="972" t="inlineStr">
        <is>
          <t>Candidate enabling technique</t>
        </is>
      </c>
      <c r="G194" s="972" t="inlineStr">
        <is>
          <t>Yes</t>
        </is>
      </c>
      <c r="H194" s="972" t="inlineStr">
        <is>
          <t>Yes</t>
        </is>
      </c>
      <c r="I194" s="972" t="inlineStr">
        <is>
          <t>Yes</t>
        </is>
      </c>
      <c r="J194" s="972" t="n">
        <v>1</v>
      </c>
      <c r="K194" s="972" t="inlineStr">
        <is>
          <t>Model Mapping</t>
        </is>
      </c>
      <c r="L194" s="452" t="inlineStr">
        <is>
          <t>https://attack.mitre.org/techniques/T0852</t>
        </is>
      </c>
      <c r="M194" s="973" t="inlineStr">
        <is>
          <t>Yes</t>
        </is>
      </c>
      <c r="N194" s="973" t="inlineStr">
        <is>
          <t>No explicit facility gate — defaults feasible</t>
        </is>
      </c>
      <c r="O194" s="973" t="inlineStr">
        <is>
          <t>Screen Capture can support discovery or interaction with process state, control assets and operational data in Power Generation environments.</t>
        </is>
      </c>
      <c r="P194" s="973" t="inlineStr">
        <is>
          <t>https://csrc.nist.gov/pubs/sp/800/82/r3/final</t>
        </is>
      </c>
    </row>
    <row r="195" ht="15" customHeight="1" s="508">
      <c r="A195" s="972" t="inlineStr">
        <is>
          <t>Nation State</t>
        </is>
      </c>
      <c r="B195" s="972" t="inlineStr">
        <is>
          <t>Process Manipulation</t>
        </is>
      </c>
      <c r="C195" s="972" t="inlineStr">
        <is>
          <t>T0853</t>
        </is>
      </c>
      <c r="D195" s="972" t="inlineStr">
        <is>
          <t>Scripting</t>
        </is>
      </c>
      <c r="E195" s="972" t="inlineStr">
        <is>
          <t>S2</t>
        </is>
      </c>
      <c r="F195" s="972" t="inlineStr">
        <is>
          <t>Candidate enabling technique</t>
        </is>
      </c>
      <c r="G195" s="972" t="inlineStr">
        <is>
          <t>Yes</t>
        </is>
      </c>
      <c r="H195" s="972" t="inlineStr">
        <is>
          <t>Yes</t>
        </is>
      </c>
      <c r="I195" s="972" t="inlineStr">
        <is>
          <t>Yes</t>
        </is>
      </c>
      <c r="J195" s="972" t="n">
        <v>3</v>
      </c>
      <c r="K195" s="972" t="inlineStr">
        <is>
          <t>Model Mapping</t>
        </is>
      </c>
      <c r="L195" s="452" t="inlineStr">
        <is>
          <t>https://attack.mitre.org/techniques/T0853</t>
        </is>
      </c>
      <c r="M195" s="973" t="inlineStr">
        <is>
          <t>Yes</t>
        </is>
      </c>
      <c r="N195" s="973" t="inlineStr">
        <is>
          <t>No explicit facility gate — defaults feasible</t>
        </is>
      </c>
      <c r="O195" s="973" t="inlineStr">
        <is>
          <t>Scripting is applicable to execution or persistence on engineering workstations, HMIs, servers or controllers used in Power Generation facilities.</t>
        </is>
      </c>
      <c r="P195" s="973" t="inlineStr">
        <is>
          <t>https://csrc.nist.gov/pubs/sp/800/82/r3/final</t>
        </is>
      </c>
    </row>
    <row r="196" ht="15" customHeight="1" s="508">
      <c r="A196" s="972" t="inlineStr">
        <is>
          <t>Nation State</t>
        </is>
      </c>
      <c r="B196" s="972" t="inlineStr">
        <is>
          <t>Process Manipulation</t>
        </is>
      </c>
      <c r="C196" s="972" t="inlineStr">
        <is>
          <t>T0873.001</t>
        </is>
      </c>
      <c r="D196" s="972" t="inlineStr">
        <is>
          <t>Siemens Project File Format</t>
        </is>
      </c>
      <c r="E196" s="972" t="inlineStr">
        <is>
          <t>S2</t>
        </is>
      </c>
      <c r="F196" s="972" t="inlineStr">
        <is>
          <t>Candidate enabling technique</t>
        </is>
      </c>
      <c r="G196" s="972" t="inlineStr">
        <is>
          <t>Yes</t>
        </is>
      </c>
      <c r="H196" s="972" t="inlineStr">
        <is>
          <t>Yes</t>
        </is>
      </c>
      <c r="I196" s="972" t="inlineStr">
        <is>
          <t>Yes</t>
        </is>
      </c>
      <c r="J196" s="972" t="n">
        <v>4</v>
      </c>
      <c r="K196" s="972" t="inlineStr">
        <is>
          <t>Model Mapping</t>
        </is>
      </c>
      <c r="L196" s="452" t="inlineStr">
        <is>
          <t>https://attack.mitre.org/techniques/T0873/001</t>
        </is>
      </c>
      <c r="M196" s="973" t="inlineStr">
        <is>
          <t>Yes</t>
        </is>
      </c>
      <c r="N196" s="973" t="inlineStr">
        <is>
          <t>No explicit facility gate — defaults feasible</t>
        </is>
      </c>
      <c r="O196" s="973" t="inlineStr">
        <is>
          <t>Siemens Project File Format is applicable to execution or persistence on engineering workstations, HMIs, servers or controllers used in Power Generation facilities.</t>
        </is>
      </c>
      <c r="P196" s="973" t="inlineStr">
        <is>
          <t>https://csrc.nist.gov/pubs/sp/800/82/r3/final</t>
        </is>
      </c>
    </row>
    <row r="197" ht="15" customHeight="1" s="508">
      <c r="A197" s="972" t="inlineStr">
        <is>
          <t>Nation State</t>
        </is>
      </c>
      <c r="B197" s="972" t="inlineStr">
        <is>
          <t>Process Manipulation</t>
        </is>
      </c>
      <c r="C197" s="972" t="inlineStr">
        <is>
          <t>T0865</t>
        </is>
      </c>
      <c r="D197" s="972" t="inlineStr">
        <is>
          <t>Spearphishing Attachment</t>
        </is>
      </c>
      <c r="E197" s="972" t="inlineStr">
        <is>
          <t>S1</t>
        </is>
      </c>
      <c r="F197" s="972" t="inlineStr">
        <is>
          <t>Candidate enabling technique</t>
        </is>
      </c>
      <c r="G197" s="972" t="inlineStr">
        <is>
          <t>Yes</t>
        </is>
      </c>
      <c r="H197" s="972" t="inlineStr">
        <is>
          <t>Yes</t>
        </is>
      </c>
      <c r="I197" s="972" t="inlineStr">
        <is>
          <t>Yes</t>
        </is>
      </c>
      <c r="J197" s="972" t="n">
        <v>4</v>
      </c>
      <c r="K197" s="972" t="inlineStr">
        <is>
          <t>Model Mapping</t>
        </is>
      </c>
      <c r="L197" s="452" t="inlineStr">
        <is>
          <t>https://attack.mitre.org/techniques/T0865</t>
        </is>
      </c>
      <c r="M197" s="973" t="inlineStr">
        <is>
          <t>Yes</t>
        </is>
      </c>
      <c r="N197" s="973" t="inlineStr">
        <is>
          <t>No explicit facility gate — defaults feasible</t>
        </is>
      </c>
      <c r="O197" s="973" t="inlineStr">
        <is>
          <t>The Spearphishing Attachment route is credible for Power Generation OT when the enabling access condition exists; existing facility gates determine remote, internet, transient, supply-chain or wireless feasibility.</t>
        </is>
      </c>
      <c r="P197" s="973" t="inlineStr">
        <is>
          <t>https://csrc.nist.gov/pubs/sp/800/82/r3/final</t>
        </is>
      </c>
    </row>
    <row r="198" ht="15" customHeight="1" s="508">
      <c r="A198" s="972" t="inlineStr">
        <is>
          <t>Nation State</t>
        </is>
      </c>
      <c r="B198" s="972" t="inlineStr">
        <is>
          <t>Process Manipulation</t>
        </is>
      </c>
      <c r="C198" s="972" t="inlineStr">
        <is>
          <t>T0869</t>
        </is>
      </c>
      <c r="D198" s="972" t="inlineStr">
        <is>
          <t>Standard Application Layer Protocol</t>
        </is>
      </c>
      <c r="E198" s="972" t="inlineStr">
        <is>
          <t>S3</t>
        </is>
      </c>
      <c r="F198" s="972" t="inlineStr">
        <is>
          <t>Candidate enabling technique</t>
        </is>
      </c>
      <c r="G198" s="972" t="inlineStr">
        <is>
          <t>Yes</t>
        </is>
      </c>
      <c r="H198" s="972" t="inlineStr">
        <is>
          <t>Yes</t>
        </is>
      </c>
      <c r="I198" s="972" t="inlineStr">
        <is>
          <t>Yes</t>
        </is>
      </c>
      <c r="J198" s="972" t="n">
        <v>3</v>
      </c>
      <c r="K198" s="972" t="inlineStr">
        <is>
          <t>Model Mapping</t>
        </is>
      </c>
      <c r="L198" s="452" t="inlineStr">
        <is>
          <t>https://attack.mitre.org/techniques/T0869</t>
        </is>
      </c>
      <c r="M198" s="973" t="inlineStr">
        <is>
          <t>Yes</t>
        </is>
      </c>
      <c r="N198" s="973" t="inlineStr">
        <is>
          <t>No explicit facility gate — defaults feasible</t>
        </is>
      </c>
      <c r="O198" s="973" t="inlineStr">
        <is>
          <t>Standard Application Layer Protocol can support movement toward or within plant/control zones; actual reachability is governed by the assessed facility architecture.</t>
        </is>
      </c>
      <c r="P198" s="973" t="inlineStr">
        <is>
          <t>https://csrc.nist.gov/pubs/sp/800/82/r3/final</t>
        </is>
      </c>
    </row>
    <row r="199" ht="15" customHeight="1" s="508">
      <c r="A199" s="972" t="inlineStr">
        <is>
          <t>Nation State</t>
        </is>
      </c>
      <c r="B199" s="972" t="inlineStr">
        <is>
          <t>Process Manipulation</t>
        </is>
      </c>
      <c r="C199" s="972" t="inlineStr">
        <is>
          <t>T0862</t>
        </is>
      </c>
      <c r="D199" s="972" t="inlineStr">
        <is>
          <t>Supply Chain Compromise</t>
        </is>
      </c>
      <c r="E199" s="972" t="inlineStr">
        <is>
          <t>S1</t>
        </is>
      </c>
      <c r="F199" s="972" t="inlineStr">
        <is>
          <t>Candidate enabling technique</t>
        </is>
      </c>
      <c r="G199" s="972" t="inlineStr">
        <is>
          <t>Yes</t>
        </is>
      </c>
      <c r="H199" s="972" t="inlineStr">
        <is>
          <t>Yes</t>
        </is>
      </c>
      <c r="I199" s="972" t="inlineStr">
        <is>
          <t>Yes</t>
        </is>
      </c>
      <c r="J199" s="972" t="n">
        <v>5</v>
      </c>
      <c r="K199" s="972" t="inlineStr">
        <is>
          <t>Model Mapping</t>
        </is>
      </c>
      <c r="L199" s="452" t="inlineStr">
        <is>
          <t>https://attack.mitre.org/techniques/T0862</t>
        </is>
      </c>
      <c r="M199" s="973" t="inlineStr">
        <is>
          <t>Yes</t>
        </is>
      </c>
      <c r="N199" s="973" t="inlineStr">
        <is>
          <t>SUPPLY_CHAIN — Yes</t>
        </is>
      </c>
      <c r="O199" s="973" t="inlineStr">
        <is>
          <t>The Supply Chain Compromise route is credible for Power Generation OT when the enabling access condition exists; existing facility gates determine remote, internet, transient, supply-chain or wireless feasibility.</t>
        </is>
      </c>
      <c r="P199" s="973" t="inlineStr">
        <is>
          <t>https://csrc.nist.gov/pubs/sp/800/82/r3/final</t>
        </is>
      </c>
    </row>
    <row r="200" ht="15" customHeight="1" s="508">
      <c r="A200" s="972" t="inlineStr">
        <is>
          <t>Nation State</t>
        </is>
      </c>
      <c r="B200" s="972" t="inlineStr">
        <is>
          <t>Process Manipulation</t>
        </is>
      </c>
      <c r="C200" s="972" t="inlineStr">
        <is>
          <t>T0894</t>
        </is>
      </c>
      <c r="D200" s="972" t="inlineStr">
        <is>
          <t>System Binary Proxy Execution</t>
        </is>
      </c>
      <c r="E200" s="972" t="inlineStr">
        <is>
          <t>S2</t>
        </is>
      </c>
      <c r="F200" s="972" t="inlineStr">
        <is>
          <t>Candidate enabling technique</t>
        </is>
      </c>
      <c r="G200" s="972" t="inlineStr">
        <is>
          <t>Yes</t>
        </is>
      </c>
      <c r="H200" s="972" t="inlineStr">
        <is>
          <t>Yes</t>
        </is>
      </c>
      <c r="I200" s="972" t="inlineStr">
        <is>
          <t>Yes</t>
        </is>
      </c>
      <c r="J200" s="972" t="n">
        <v>1</v>
      </c>
      <c r="K200" s="972" t="inlineStr">
        <is>
          <t>Model Mapping</t>
        </is>
      </c>
      <c r="L200" s="452" t="inlineStr">
        <is>
          <t>https://attack.mitre.org/techniques/T0894</t>
        </is>
      </c>
      <c r="M200" s="973" t="inlineStr">
        <is>
          <t>Yes</t>
        </is>
      </c>
      <c r="N200" s="973" t="inlineStr">
        <is>
          <t>No explicit facility gate — defaults feasible</t>
        </is>
      </c>
      <c r="O200" s="973" t="inlineStr">
        <is>
          <t>System Binary Proxy Execution is applicable to execution or persistence on engineering workstations, HMIs, servers or controllers used in Power Generation facilities.</t>
        </is>
      </c>
      <c r="P200" s="973" t="inlineStr">
        <is>
          <t>https://csrc.nist.gov/pubs/sp/800/82/r3/final</t>
        </is>
      </c>
    </row>
    <row r="201" ht="15" customHeight="1" s="508">
      <c r="A201" s="972" t="inlineStr">
        <is>
          <t>Nation State</t>
        </is>
      </c>
      <c r="B201" s="972" t="inlineStr">
        <is>
          <t>Process Manipulation</t>
        </is>
      </c>
      <c r="C201" s="972" t="inlineStr">
        <is>
          <t>T0864</t>
        </is>
      </c>
      <c r="D201" s="972" t="inlineStr">
        <is>
          <t>Transient Cyber Asset</t>
        </is>
      </c>
      <c r="E201" s="972" t="inlineStr">
        <is>
          <t>S1</t>
        </is>
      </c>
      <c r="F201" s="972" t="inlineStr">
        <is>
          <t>Candidate enabling technique</t>
        </is>
      </c>
      <c r="G201" s="972" t="inlineStr">
        <is>
          <t>Yes</t>
        </is>
      </c>
      <c r="H201" s="972" t="inlineStr">
        <is>
          <t>Yes</t>
        </is>
      </c>
      <c r="I201" s="972" t="inlineStr">
        <is>
          <t>Yes</t>
        </is>
      </c>
      <c r="J201" s="972" t="n">
        <v>5</v>
      </c>
      <c r="K201" s="972" t="inlineStr">
        <is>
          <t>Model Mapping</t>
        </is>
      </c>
      <c r="L201" s="452" t="inlineStr">
        <is>
          <t>https://attack.mitre.org/techniques/T0864</t>
        </is>
      </c>
      <c r="M201" s="973" t="inlineStr">
        <is>
          <t>Yes</t>
        </is>
      </c>
      <c r="N201" s="973" t="inlineStr">
        <is>
          <t>TRANSIENT_REQUIRED — Not None</t>
        </is>
      </c>
      <c r="O201" s="973" t="inlineStr">
        <is>
          <t>The Transient Cyber Asset route is credible for Power Generation OT when the enabling access condition exists; existing facility gates determine remote, internet, transient, supply-chain or wireless feasibility.</t>
        </is>
      </c>
      <c r="P201" s="973" t="inlineStr">
        <is>
          <t>https://csrc.nist.gov/pubs/sp/800/82/r3/final</t>
        </is>
      </c>
    </row>
    <row r="202" ht="15" customHeight="1" s="508">
      <c r="A202" s="972" t="inlineStr">
        <is>
          <t>Nation State</t>
        </is>
      </c>
      <c r="B202" s="972" t="inlineStr">
        <is>
          <t>Process Manipulation</t>
        </is>
      </c>
      <c r="C202" s="972" t="inlineStr">
        <is>
          <t>T0863</t>
        </is>
      </c>
      <c r="D202" s="972" t="inlineStr">
        <is>
          <t>User Execution</t>
        </is>
      </c>
      <c r="E202" s="972" t="inlineStr">
        <is>
          <t>S2</t>
        </is>
      </c>
      <c r="F202" s="972" t="inlineStr">
        <is>
          <t>Candidate enabling technique</t>
        </is>
      </c>
      <c r="G202" s="972" t="inlineStr">
        <is>
          <t>Yes</t>
        </is>
      </c>
      <c r="H202" s="972" t="inlineStr">
        <is>
          <t>Yes</t>
        </is>
      </c>
      <c r="I202" s="972" t="inlineStr">
        <is>
          <t>Yes</t>
        </is>
      </c>
      <c r="J202" s="972" t="n">
        <v>6</v>
      </c>
      <c r="K202" s="972" t="inlineStr">
        <is>
          <t>Model Mapping</t>
        </is>
      </c>
      <c r="L202" s="452" t="inlineStr">
        <is>
          <t>https://attack.mitre.org/techniques/T0863</t>
        </is>
      </c>
      <c r="M202" s="973" t="inlineStr">
        <is>
          <t>Yes</t>
        </is>
      </c>
      <c r="N202" s="973" t="inlineStr">
        <is>
          <t>No explicit facility gate — defaults feasible</t>
        </is>
      </c>
      <c r="O202" s="973" t="inlineStr">
        <is>
          <t>User Execution is applicable to execution or persistence on engineering workstations, HMIs, servers or controllers used in Power Generation facilities.</t>
        </is>
      </c>
      <c r="P202" s="973" t="inlineStr">
        <is>
          <t>https://csrc.nist.gov/pubs/sp/800/82/r3/final</t>
        </is>
      </c>
    </row>
    <row r="203" ht="15" customHeight="1" s="508">
      <c r="A203" s="972" t="inlineStr">
        <is>
          <t>Nation State</t>
        </is>
      </c>
      <c r="B203" s="972" t="inlineStr">
        <is>
          <t>Process Manipulation</t>
        </is>
      </c>
      <c r="C203" s="972" t="inlineStr">
        <is>
          <t>T0859</t>
        </is>
      </c>
      <c r="D203" s="972" t="inlineStr">
        <is>
          <t>Valid Accounts</t>
        </is>
      </c>
      <c r="E203" s="972" t="inlineStr">
        <is>
          <t>S3</t>
        </is>
      </c>
      <c r="F203" s="972" t="inlineStr">
        <is>
          <t>Candidate enabling technique</t>
        </is>
      </c>
      <c r="G203" s="972" t="inlineStr">
        <is>
          <t>Yes</t>
        </is>
      </c>
      <c r="H203" s="972" t="inlineStr">
        <is>
          <t>Yes</t>
        </is>
      </c>
      <c r="I203" s="972" t="inlineStr">
        <is>
          <t>Yes</t>
        </is>
      </c>
      <c r="J203" s="972" t="n">
        <v>10</v>
      </c>
      <c r="K203" s="972" t="inlineStr">
        <is>
          <t>Model Mapping</t>
        </is>
      </c>
      <c r="L203" s="452" t="inlineStr">
        <is>
          <t>https://attack.mitre.org/techniques/T0859</t>
        </is>
      </c>
      <c r="M203" s="973" t="inlineStr">
        <is>
          <t>Yes</t>
        </is>
      </c>
      <c r="N203" s="973" t="inlineStr">
        <is>
          <t>No explicit facility gate — defaults feasible</t>
        </is>
      </c>
      <c r="O203" s="973" t="inlineStr">
        <is>
          <t>Valid Accounts can support movement toward or within plant/control zones; actual reachability is governed by the assessed facility architecture.</t>
        </is>
      </c>
      <c r="P203" s="973" t="inlineStr">
        <is>
          <t>https://csrc.nist.gov/pubs/sp/800/82/r3/final</t>
        </is>
      </c>
    </row>
    <row r="204" ht="15" customHeight="1" s="508">
      <c r="A204" s="972" t="inlineStr">
        <is>
          <t>Nation State</t>
        </is>
      </c>
      <c r="B204" s="972" t="inlineStr">
        <is>
          <t>Process Manipulation</t>
        </is>
      </c>
      <c r="C204" s="972" t="inlineStr">
        <is>
          <t>T0860</t>
        </is>
      </c>
      <c r="D204" s="972" t="inlineStr">
        <is>
          <t>Wireless Compromise</t>
        </is>
      </c>
      <c r="E204" s="972" t="inlineStr">
        <is>
          <t>S1</t>
        </is>
      </c>
      <c r="F204" s="972" t="inlineStr">
        <is>
          <t>Candidate enabling technique</t>
        </is>
      </c>
      <c r="G204" s="972" t="inlineStr">
        <is>
          <t>Yes</t>
        </is>
      </c>
      <c r="H204" s="972" t="inlineStr">
        <is>
          <t>No</t>
        </is>
      </c>
      <c r="I204" s="972" t="inlineStr">
        <is>
          <t>No</t>
        </is>
      </c>
      <c r="J204" s="972" t="n">
        <v>4</v>
      </c>
      <c r="K204" s="972" t="inlineStr">
        <is>
          <t>Model Mapping</t>
        </is>
      </c>
      <c r="L204" s="452" t="inlineStr">
        <is>
          <t>https://attack.mitre.org/techniques/T0860</t>
        </is>
      </c>
      <c r="M204" s="973" t="inlineStr">
        <is>
          <t>Yes</t>
        </is>
      </c>
      <c r="N204" s="973" t="inlineStr">
        <is>
          <t>WIRELESS — Yes</t>
        </is>
      </c>
      <c r="O204" s="973" t="inlineStr">
        <is>
          <t>The Wireless Compromise route is credible for Power Generation OT when the enabling access condition exists; existing facility gates determine remote, internet, transient, supply-chain or wireless feasibility.</t>
        </is>
      </c>
      <c r="P204" s="973" t="inlineStr">
        <is>
          <t>https://csrc.nist.gov/pubs/sp/800/82/r3/final</t>
        </is>
      </c>
    </row>
    <row r="205" ht="15" customHeight="1" s="508">
      <c r="A205" s="972" t="inlineStr">
        <is>
          <t>Nation State</t>
        </is>
      </c>
      <c r="B205" s="972" t="inlineStr">
        <is>
          <t>Process Manipulation</t>
        </is>
      </c>
      <c r="C205" s="972" t="inlineStr">
        <is>
          <t>T0887</t>
        </is>
      </c>
      <c r="D205" s="972" t="inlineStr">
        <is>
          <t>Wireless Sniffing</t>
        </is>
      </c>
      <c r="E205" s="972" t="inlineStr">
        <is>
          <t>S4</t>
        </is>
      </c>
      <c r="F205" s="972" t="inlineStr">
        <is>
          <t>Candidate enabling technique</t>
        </is>
      </c>
      <c r="G205" s="972" t="inlineStr">
        <is>
          <t>Yes</t>
        </is>
      </c>
      <c r="H205" s="972" t="inlineStr">
        <is>
          <t>No</t>
        </is>
      </c>
      <c r="I205" s="972" t="inlineStr">
        <is>
          <t>No</t>
        </is>
      </c>
      <c r="J205" s="972" t="n">
        <v>2</v>
      </c>
      <c r="K205" s="972" t="inlineStr">
        <is>
          <t>Model Mapping</t>
        </is>
      </c>
      <c r="L205" s="452" t="inlineStr">
        <is>
          <t>https://attack.mitre.org/techniques/T0887</t>
        </is>
      </c>
      <c r="M205" s="973" t="inlineStr">
        <is>
          <t>Yes</t>
        </is>
      </c>
      <c r="N205" s="973" t="inlineStr">
        <is>
          <t>WIRELESS — Yes</t>
        </is>
      </c>
      <c r="O205" s="973" t="inlineStr">
        <is>
          <t>Wireless Sniffing can support discovery or interaction with process state, control assets and operational data in Power Generation environments.</t>
        </is>
      </c>
      <c r="P205" s="973" t="inlineStr">
        <is>
          <t>https://csrc.nist.gov/pubs/sp/800/82/r3/final</t>
        </is>
      </c>
    </row>
    <row r="206" ht="15" customHeight="1" s="508">
      <c r="A206" s="972" t="inlineStr">
        <is>
          <t>Nation State</t>
        </is>
      </c>
      <c r="B206" s="972" t="inlineStr">
        <is>
          <t>Safety System Compromise</t>
        </is>
      </c>
      <c r="C206" s="972" t="inlineStr">
        <is>
          <t>T0800</t>
        </is>
      </c>
      <c r="D206" s="972" t="inlineStr">
        <is>
          <t>Activate Firmware Update Mode</t>
        </is>
      </c>
      <c r="E206" s="972" t="inlineStr">
        <is>
          <t>S5</t>
        </is>
      </c>
      <c r="F206" s="972" t="inlineStr">
        <is>
          <t>Scenario-defining</t>
        </is>
      </c>
      <c r="G206" s="972" t="inlineStr">
        <is>
          <t>Yes</t>
        </is>
      </c>
      <c r="H206" s="972" t="inlineStr">
        <is>
          <t>Yes</t>
        </is>
      </c>
      <c r="I206" s="972" t="inlineStr">
        <is>
          <t>Yes</t>
        </is>
      </c>
      <c r="J206" s="972" t="n">
        <v>8</v>
      </c>
      <c r="K206" s="972" t="inlineStr">
        <is>
          <t>Model Mapping</t>
        </is>
      </c>
      <c r="L206" s="452" t="inlineStr">
        <is>
          <t>https://attack.mitre.org/techniques/T0800</t>
        </is>
      </c>
      <c r="M206" s="973" t="inlineStr">
        <is>
          <t>Yes</t>
        </is>
      </c>
      <c r="N206" s="973" t="inlineStr">
        <is>
          <t>No explicit facility gate — defaults feasible</t>
        </is>
      </c>
      <c r="O206" s="973" t="inlineStr">
        <is>
          <t>Activate Firmware Update Mode is an ATT&amp;CK for ICS impact or response-inhibition technique that can support one or more governed adverse scenarios; scenario role remains controlled on 09.</t>
        </is>
      </c>
      <c r="P206" s="973" t="inlineStr">
        <is>
          <t>https://csrc.nist.gov/pubs/sp/800/82/r3/final</t>
        </is>
      </c>
    </row>
    <row r="207" ht="15" customHeight="1" s="508">
      <c r="A207" s="972" t="inlineStr">
        <is>
          <t>Nation State</t>
        </is>
      </c>
      <c r="B207" s="972" t="inlineStr">
        <is>
          <t>Safety System Compromise</t>
        </is>
      </c>
      <c r="C207" s="972" t="inlineStr">
        <is>
          <t>T0830</t>
        </is>
      </c>
      <c r="D207" s="972" t="inlineStr">
        <is>
          <t>Adversary-in-the-Middle</t>
        </is>
      </c>
      <c r="E207" s="972" t="inlineStr">
        <is>
          <t>S4</t>
        </is>
      </c>
      <c r="F207" s="972" t="inlineStr">
        <is>
          <t>Candidate enabling technique</t>
        </is>
      </c>
      <c r="G207" s="972" t="inlineStr">
        <is>
          <t>Yes</t>
        </is>
      </c>
      <c r="H207" s="972" t="inlineStr">
        <is>
          <t>Yes</t>
        </is>
      </c>
      <c r="I207" s="972" t="inlineStr">
        <is>
          <t>Yes</t>
        </is>
      </c>
      <c r="J207" s="972" t="n">
        <v>8</v>
      </c>
      <c r="K207" s="972" t="inlineStr">
        <is>
          <t>Model Mapping</t>
        </is>
      </c>
      <c r="L207" s="452" t="inlineStr">
        <is>
          <t>https://attack.mitre.org/techniques/T0830</t>
        </is>
      </c>
      <c r="M207" s="973" t="inlineStr">
        <is>
          <t>Yes</t>
        </is>
      </c>
      <c r="N207" s="973" t="inlineStr">
        <is>
          <t>No explicit facility gate — defaults feasible</t>
        </is>
      </c>
      <c r="O207" s="973" t="inlineStr">
        <is>
          <t>Adversary-in-the-Middle can support discovery or interaction with process state, control assets and operational data in Power Generation environments.</t>
        </is>
      </c>
      <c r="P207" s="973" t="inlineStr">
        <is>
          <t>https://csrc.nist.gov/pubs/sp/800/82/r3/final</t>
        </is>
      </c>
    </row>
    <row r="208" ht="15" customHeight="1" s="508">
      <c r="A208" s="972" t="inlineStr">
        <is>
          <t>Nation State</t>
        </is>
      </c>
      <c r="B208" s="972" t="inlineStr">
        <is>
          <t>Safety System Compromise</t>
        </is>
      </c>
      <c r="C208" s="972" t="inlineStr">
        <is>
          <t>T0878</t>
        </is>
      </c>
      <c r="D208" s="972" t="inlineStr">
        <is>
          <t>Alarm Suppression</t>
        </is>
      </c>
      <c r="E208" s="972" t="inlineStr">
        <is>
          <t>S5</t>
        </is>
      </c>
      <c r="F208" s="972" t="inlineStr">
        <is>
          <t>Scenario-defining</t>
        </is>
      </c>
      <c r="G208" s="972" t="inlineStr">
        <is>
          <t>Yes</t>
        </is>
      </c>
      <c r="H208" s="972" t="inlineStr">
        <is>
          <t>Yes</t>
        </is>
      </c>
      <c r="I208" s="972" t="inlineStr">
        <is>
          <t>Yes</t>
        </is>
      </c>
      <c r="J208" s="972" t="n">
        <v>4</v>
      </c>
      <c r="K208" s="972" t="inlineStr">
        <is>
          <t>Model Mapping</t>
        </is>
      </c>
      <c r="L208" s="452" t="inlineStr">
        <is>
          <t>https://attack.mitre.org/techniques/T0878</t>
        </is>
      </c>
      <c r="M208" s="973" t="inlineStr">
        <is>
          <t>Yes</t>
        </is>
      </c>
      <c r="N208" s="973" t="inlineStr">
        <is>
          <t>No explicit facility gate — defaults feasible</t>
        </is>
      </c>
      <c r="O208" s="973" t="inlineStr">
        <is>
          <t>Alarm Suppression is an ATT&amp;CK for ICS impact or response-inhibition technique that can support one or more governed adverse scenarios; scenario role remains controlled on 09.</t>
        </is>
      </c>
      <c r="P208" s="973" t="inlineStr">
        <is>
          <t>https://csrc.nist.gov/pubs/sp/800/82/r3/final</t>
        </is>
      </c>
    </row>
    <row r="209" ht="15" customHeight="1" s="508">
      <c r="A209" s="972" t="inlineStr">
        <is>
          <t>Nation State</t>
        </is>
      </c>
      <c r="B209" s="972" t="inlineStr">
        <is>
          <t>Safety System Compromise</t>
        </is>
      </c>
      <c r="C209" s="972" t="inlineStr">
        <is>
          <t>T0802</t>
        </is>
      </c>
      <c r="D209" s="972" t="inlineStr">
        <is>
          <t>Automated Collection</t>
        </is>
      </c>
      <c r="E209" s="972" t="inlineStr">
        <is>
          <t>S4</t>
        </is>
      </c>
      <c r="F209" s="972" t="inlineStr">
        <is>
          <t>Candidate enabling technique</t>
        </is>
      </c>
      <c r="G209" s="972" t="inlineStr">
        <is>
          <t>Yes</t>
        </is>
      </c>
      <c r="H209" s="972" t="inlineStr">
        <is>
          <t>Yes</t>
        </is>
      </c>
      <c r="I209" s="972" t="inlineStr">
        <is>
          <t>Yes</t>
        </is>
      </c>
      <c r="J209" s="972" t="n">
        <v>2</v>
      </c>
      <c r="K209" s="972" t="inlineStr">
        <is>
          <t>Model Mapping</t>
        </is>
      </c>
      <c r="L209" s="452" t="inlineStr">
        <is>
          <t>https://attack.mitre.org/techniques/T0802</t>
        </is>
      </c>
      <c r="M209" s="973" t="inlineStr">
        <is>
          <t>Yes</t>
        </is>
      </c>
      <c r="N209" s="973" t="inlineStr">
        <is>
          <t>No explicit facility gate — defaults feasible</t>
        </is>
      </c>
      <c r="O209" s="973" t="inlineStr">
        <is>
          <t>Automated Collection can support discovery or interaction with process state, control assets and operational data in Power Generation environments.</t>
        </is>
      </c>
      <c r="P209" s="973" t="inlineStr">
        <is>
          <t>https://csrc.nist.gov/pubs/sp/800/82/r3/final</t>
        </is>
      </c>
    </row>
    <row r="210" ht="15" customHeight="1" s="508">
      <c r="A210" s="972" t="inlineStr">
        <is>
          <t>Nation State</t>
        </is>
      </c>
      <c r="B210" s="972" t="inlineStr">
        <is>
          <t>Safety System Compromise</t>
        </is>
      </c>
      <c r="C210" s="972" t="inlineStr">
        <is>
          <t>T0895</t>
        </is>
      </c>
      <c r="D210" s="972" t="inlineStr">
        <is>
          <t>Autorun Image</t>
        </is>
      </c>
      <c r="E210" s="972" t="inlineStr">
        <is>
          <t>S2</t>
        </is>
      </c>
      <c r="F210" s="972" t="inlineStr">
        <is>
          <t>Candidate enabling technique</t>
        </is>
      </c>
      <c r="G210" s="972" t="inlineStr">
        <is>
          <t>Yes</t>
        </is>
      </c>
      <c r="H210" s="972" t="inlineStr">
        <is>
          <t>Yes</t>
        </is>
      </c>
      <c r="I210" s="972" t="inlineStr">
        <is>
          <t>Yes</t>
        </is>
      </c>
      <c r="J210" s="972" t="n">
        <v>1</v>
      </c>
      <c r="K210" s="972" t="inlineStr">
        <is>
          <t>Model Mapping</t>
        </is>
      </c>
      <c r="L210" s="452" t="inlineStr">
        <is>
          <t>https://attack.mitre.org/techniques/T0895</t>
        </is>
      </c>
      <c r="M210" s="973" t="inlineStr">
        <is>
          <t>Yes</t>
        </is>
      </c>
      <c r="N210" s="973" t="inlineStr">
        <is>
          <t>No explicit facility gate — defaults feasible</t>
        </is>
      </c>
      <c r="O210" s="973" t="inlineStr">
        <is>
          <t>Autorun Image is applicable to execution or persistence on engineering workstations, HMIs, servers or controllers used in Power Generation facilities.</t>
        </is>
      </c>
      <c r="P210" s="973" t="inlineStr">
        <is>
          <t>https://csrc.nist.gov/pubs/sp/800/82/r3/final</t>
        </is>
      </c>
    </row>
    <row r="211" ht="15" customHeight="1" s="508">
      <c r="A211" s="972" t="inlineStr">
        <is>
          <t>Nation State</t>
        </is>
      </c>
      <c r="B211" s="972" t="inlineStr">
        <is>
          <t>Safety System Compromise</t>
        </is>
      </c>
      <c r="C211" s="972" t="inlineStr">
        <is>
          <t>T0846.002</t>
        </is>
      </c>
      <c r="D211" s="972" t="inlineStr">
        <is>
          <t>Broadcast Discovery</t>
        </is>
      </c>
      <c r="E211" s="972" t="inlineStr">
        <is>
          <t>S4</t>
        </is>
      </c>
      <c r="F211" s="972" t="inlineStr">
        <is>
          <t>Candidate enabling technique</t>
        </is>
      </c>
      <c r="G211" s="972" t="inlineStr">
        <is>
          <t>Yes</t>
        </is>
      </c>
      <c r="H211" s="972" t="inlineStr">
        <is>
          <t>Yes</t>
        </is>
      </c>
      <c r="I211" s="972" t="inlineStr">
        <is>
          <t>Yes</t>
        </is>
      </c>
      <c r="J211" s="972" t="n">
        <v>2</v>
      </c>
      <c r="K211" s="972" t="inlineStr">
        <is>
          <t>Model Mapping</t>
        </is>
      </c>
      <c r="L211" s="452" t="inlineStr">
        <is>
          <t>https://attack.mitre.org/techniques/T0846/002</t>
        </is>
      </c>
      <c r="M211" s="973" t="inlineStr">
        <is>
          <t>Yes</t>
        </is>
      </c>
      <c r="N211" s="973" t="inlineStr">
        <is>
          <t>No explicit facility gate — defaults feasible</t>
        </is>
      </c>
      <c r="O211" s="973" t="inlineStr">
        <is>
          <t>Broadcast Discovery can support discovery or interaction with process state, control assets and operational data in Power Generation environments.</t>
        </is>
      </c>
      <c r="P211" s="973" t="inlineStr">
        <is>
          <t>https://csrc.nist.gov/pubs/sp/800/82/r3/final</t>
        </is>
      </c>
    </row>
    <row r="212" ht="15" customHeight="1" s="508">
      <c r="A212" s="972" t="inlineStr">
        <is>
          <t>Nation State</t>
        </is>
      </c>
      <c r="B212" s="972" t="inlineStr">
        <is>
          <t>Safety System Compromise</t>
        </is>
      </c>
      <c r="C212" s="972" t="inlineStr">
        <is>
          <t>T0892</t>
        </is>
      </c>
      <c r="D212" s="972" t="inlineStr">
        <is>
          <t>Change Credential</t>
        </is>
      </c>
      <c r="E212" s="972" t="inlineStr">
        <is>
          <t>S5</t>
        </is>
      </c>
      <c r="F212" s="972" t="inlineStr">
        <is>
          <t>Supporting / impact</t>
        </is>
      </c>
      <c r="G212" s="972" t="inlineStr">
        <is>
          <t>Yes</t>
        </is>
      </c>
      <c r="H212" s="972" t="inlineStr">
        <is>
          <t>Yes</t>
        </is>
      </c>
      <c r="I212" s="972" t="inlineStr">
        <is>
          <t>Yes</t>
        </is>
      </c>
      <c r="J212" s="972" t="n">
        <v>3</v>
      </c>
      <c r="K212" s="972" t="inlineStr">
        <is>
          <t>Model Mapping</t>
        </is>
      </c>
      <c r="L212" s="452" t="inlineStr">
        <is>
          <t>https://attack.mitre.org/techniques/T0892</t>
        </is>
      </c>
      <c r="M212" s="973" t="inlineStr">
        <is>
          <t>Yes</t>
        </is>
      </c>
      <c r="N212" s="973" t="inlineStr">
        <is>
          <t>No explicit facility gate — defaults feasible</t>
        </is>
      </c>
      <c r="O212" s="973" t="inlineStr">
        <is>
          <t>Change Credential is an ATT&amp;CK for ICS impact or response-inhibition technique that can support one or more governed adverse scenarios; scenario role remains controlled on 09.</t>
        </is>
      </c>
      <c r="P212" s="973" t="inlineStr">
        <is>
          <t>https://csrc.nist.gov/pubs/sp/800/82/r3/final</t>
        </is>
      </c>
    </row>
    <row r="213" ht="15" customHeight="1" s="508">
      <c r="A213" s="972" t="inlineStr">
        <is>
          <t>Nation State</t>
        </is>
      </c>
      <c r="B213" s="972" t="inlineStr">
        <is>
          <t>Safety System Compromise</t>
        </is>
      </c>
      <c r="C213" s="972" t="inlineStr">
        <is>
          <t>T0858</t>
        </is>
      </c>
      <c r="D213" s="972" t="inlineStr">
        <is>
          <t>Change Operating Mode</t>
        </is>
      </c>
      <c r="E213" s="972" t="inlineStr">
        <is>
          <t>S2</t>
        </is>
      </c>
      <c r="F213" s="972" t="inlineStr">
        <is>
          <t>Candidate enabling technique</t>
        </is>
      </c>
      <c r="G213" s="972" t="inlineStr">
        <is>
          <t>Yes</t>
        </is>
      </c>
      <c r="H213" s="972" t="inlineStr">
        <is>
          <t>Yes</t>
        </is>
      </c>
      <c r="I213" s="972" t="inlineStr">
        <is>
          <t>Yes</t>
        </is>
      </c>
      <c r="J213" s="972" t="n">
        <v>7</v>
      </c>
      <c r="K213" s="972" t="inlineStr">
        <is>
          <t>Model Mapping</t>
        </is>
      </c>
      <c r="L213" s="452" t="inlineStr">
        <is>
          <t>https://attack.mitre.org/techniques/T0858</t>
        </is>
      </c>
      <c r="M213" s="973" t="inlineStr">
        <is>
          <t>Yes</t>
        </is>
      </c>
      <c r="N213" s="973" t="inlineStr">
        <is>
          <t>No explicit facility gate — defaults feasible</t>
        </is>
      </c>
      <c r="O213" s="973" t="inlineStr">
        <is>
          <t>Change Operating Mode is applicable to execution or persistence on engineering workstations, HMIs, servers or controllers used in Power Generation facilities.</t>
        </is>
      </c>
      <c r="P213" s="973" t="inlineStr">
        <is>
          <t>https://csrc.nist.gov/pubs/sp/800/82/r3/final</t>
        </is>
      </c>
    </row>
    <row r="214" ht="15" customHeight="1" s="508">
      <c r="A214" s="972" t="inlineStr">
        <is>
          <t>Nation State</t>
        </is>
      </c>
      <c r="B214" s="972" t="inlineStr">
        <is>
          <t>Safety System Compromise</t>
        </is>
      </c>
      <c r="C214" s="972" t="inlineStr">
        <is>
          <t>T0807</t>
        </is>
      </c>
      <c r="D214" s="972" t="inlineStr">
        <is>
          <t>Command-Line Interface</t>
        </is>
      </c>
      <c r="E214" s="972" t="inlineStr">
        <is>
          <t>S2</t>
        </is>
      </c>
      <c r="F214" s="972" t="inlineStr">
        <is>
          <t>Candidate enabling technique</t>
        </is>
      </c>
      <c r="G214" s="972" t="inlineStr">
        <is>
          <t>Yes</t>
        </is>
      </c>
      <c r="H214" s="972" t="inlineStr">
        <is>
          <t>Yes</t>
        </is>
      </c>
      <c r="I214" s="972" t="inlineStr">
        <is>
          <t>Yes</t>
        </is>
      </c>
      <c r="J214" s="972" t="n">
        <v>2</v>
      </c>
      <c r="K214" s="972" t="inlineStr">
        <is>
          <t>Model Mapping</t>
        </is>
      </c>
      <c r="L214" s="452" t="inlineStr">
        <is>
          <t>https://attack.mitre.org/techniques/T0807</t>
        </is>
      </c>
      <c r="M214" s="973" t="inlineStr">
        <is>
          <t>Yes</t>
        </is>
      </c>
      <c r="N214" s="973" t="inlineStr">
        <is>
          <t>No explicit facility gate — defaults feasible</t>
        </is>
      </c>
      <c r="O214" s="973" t="inlineStr">
        <is>
          <t>Command-Line Interface is applicable to execution or persistence on engineering workstations, HMIs, servers or controllers used in Power Generation facilities.</t>
        </is>
      </c>
      <c r="P214" s="973" t="inlineStr">
        <is>
          <t>https://csrc.nist.gov/pubs/sp/800/82/r3/final</t>
        </is>
      </c>
    </row>
    <row r="215" ht="15" customHeight="1" s="508">
      <c r="A215" s="972" t="inlineStr">
        <is>
          <t>Nation State</t>
        </is>
      </c>
      <c r="B215" s="972" t="inlineStr">
        <is>
          <t>Safety System Compromise</t>
        </is>
      </c>
      <c r="C215" s="972" t="inlineStr">
        <is>
          <t>T0885</t>
        </is>
      </c>
      <c r="D215" s="972" t="inlineStr">
        <is>
          <t>Commonly Used Port</t>
        </is>
      </c>
      <c r="E215" s="972" t="inlineStr">
        <is>
          <t>S3</t>
        </is>
      </c>
      <c r="F215" s="972" t="inlineStr">
        <is>
          <t>Candidate enabling technique</t>
        </is>
      </c>
      <c r="G215" s="972" t="inlineStr">
        <is>
          <t>Yes</t>
        </is>
      </c>
      <c r="H215" s="972" t="inlineStr">
        <is>
          <t>Yes</t>
        </is>
      </c>
      <c r="I215" s="972" t="inlineStr">
        <is>
          <t>Yes</t>
        </is>
      </c>
      <c r="J215" s="972" t="n">
        <v>4</v>
      </c>
      <c r="K215" s="972" t="inlineStr">
        <is>
          <t>Model Mapping</t>
        </is>
      </c>
      <c r="L215" s="452" t="inlineStr">
        <is>
          <t>https://attack.mitre.org/techniques/T0885</t>
        </is>
      </c>
      <c r="M215" s="973" t="inlineStr">
        <is>
          <t>Yes</t>
        </is>
      </c>
      <c r="N215" s="973" t="inlineStr">
        <is>
          <t>No explicit facility gate — defaults feasible</t>
        </is>
      </c>
      <c r="O215" s="973" t="inlineStr">
        <is>
          <t>Commonly Used Port can support movement toward or within plant/control zones; actual reachability is governed by the assessed facility architecture.</t>
        </is>
      </c>
      <c r="P215" s="973" t="inlineStr">
        <is>
          <t>https://csrc.nist.gov/pubs/sp/800/82/r3/final</t>
        </is>
      </c>
    </row>
    <row r="216" ht="15" customHeight="1" s="508">
      <c r="A216" s="972" t="inlineStr">
        <is>
          <t>Nation State</t>
        </is>
      </c>
      <c r="B216" s="972" t="inlineStr">
        <is>
          <t>Safety System Compromise</t>
        </is>
      </c>
      <c r="C216" s="972" t="inlineStr">
        <is>
          <t>T0884</t>
        </is>
      </c>
      <c r="D216" s="972" t="inlineStr">
        <is>
          <t>Connection Proxy</t>
        </is>
      </c>
      <c r="E216" s="972" t="inlineStr">
        <is>
          <t>S3</t>
        </is>
      </c>
      <c r="F216" s="972" t="inlineStr">
        <is>
          <t>Candidate enabling technique</t>
        </is>
      </c>
      <c r="G216" s="972" t="inlineStr">
        <is>
          <t>Yes</t>
        </is>
      </c>
      <c r="H216" s="972" t="inlineStr">
        <is>
          <t>Yes</t>
        </is>
      </c>
      <c r="I216" s="972" t="inlineStr">
        <is>
          <t>Yes</t>
        </is>
      </c>
      <c r="J216" s="972" t="n">
        <v>4</v>
      </c>
      <c r="K216" s="972" t="inlineStr">
        <is>
          <t>Model Mapping</t>
        </is>
      </c>
      <c r="L216" s="452" t="inlineStr">
        <is>
          <t>https://attack.mitre.org/techniques/T0884</t>
        </is>
      </c>
      <c r="M216" s="973" t="inlineStr">
        <is>
          <t>Yes</t>
        </is>
      </c>
      <c r="N216" s="973" t="inlineStr">
        <is>
          <t>No explicit facility gate — defaults feasible</t>
        </is>
      </c>
      <c r="O216" s="973" t="inlineStr">
        <is>
          <t>Connection Proxy can support movement toward or within plant/control zones; actual reachability is governed by the assessed facility architecture.</t>
        </is>
      </c>
      <c r="P216" s="973" t="inlineStr">
        <is>
          <t>https://csrc.nist.gov/pubs/sp/800/82/r3/final</t>
        </is>
      </c>
    </row>
    <row r="217" ht="15" customHeight="1" s="508">
      <c r="A217" s="972" t="inlineStr">
        <is>
          <t>Nation State</t>
        </is>
      </c>
      <c r="B217" s="972" t="inlineStr">
        <is>
          <t>Safety System Compromise</t>
        </is>
      </c>
      <c r="C217" s="972" t="inlineStr">
        <is>
          <t>T0811</t>
        </is>
      </c>
      <c r="D217" s="972" t="inlineStr">
        <is>
          <t>Data from Information Repositories</t>
        </is>
      </c>
      <c r="E217" s="972" t="inlineStr">
        <is>
          <t>S4</t>
        </is>
      </c>
      <c r="F217" s="972" t="inlineStr">
        <is>
          <t>Candidate enabling technique</t>
        </is>
      </c>
      <c r="G217" s="972" t="inlineStr">
        <is>
          <t>Yes</t>
        </is>
      </c>
      <c r="H217" s="972" t="inlineStr">
        <is>
          <t>Yes</t>
        </is>
      </c>
      <c r="I217" s="972" t="inlineStr">
        <is>
          <t>Yes</t>
        </is>
      </c>
      <c r="J217" s="972" t="n">
        <v>6</v>
      </c>
      <c r="K217" s="972" t="inlineStr">
        <is>
          <t>Model Mapping</t>
        </is>
      </c>
      <c r="L217" s="452" t="inlineStr">
        <is>
          <t>https://attack.mitre.org/techniques/T0811</t>
        </is>
      </c>
      <c r="M217" s="973" t="inlineStr">
        <is>
          <t>Yes</t>
        </is>
      </c>
      <c r="N217" s="973" t="inlineStr">
        <is>
          <t>No explicit facility gate — defaults feasible</t>
        </is>
      </c>
      <c r="O217" s="973" t="inlineStr">
        <is>
          <t>Data from Information Repositories can support discovery or interaction with process state, control assets and operational data in Power Generation environments.</t>
        </is>
      </c>
      <c r="P217" s="973" t="inlineStr">
        <is>
          <t>https://csrc.nist.gov/pubs/sp/800/82/r3/final</t>
        </is>
      </c>
    </row>
    <row r="218" ht="15" customHeight="1" s="508">
      <c r="A218" s="972" t="inlineStr">
        <is>
          <t>Nation State</t>
        </is>
      </c>
      <c r="B218" s="972" t="inlineStr">
        <is>
          <t>Safety System Compromise</t>
        </is>
      </c>
      <c r="C218" s="972" t="inlineStr">
        <is>
          <t>T0893</t>
        </is>
      </c>
      <c r="D218" s="972" t="inlineStr">
        <is>
          <t>Data from Local System</t>
        </is>
      </c>
      <c r="E218" s="972" t="inlineStr">
        <is>
          <t>S4</t>
        </is>
      </c>
      <c r="F218" s="972" t="inlineStr">
        <is>
          <t>Candidate enabling technique</t>
        </is>
      </c>
      <c r="G218" s="972" t="inlineStr">
        <is>
          <t>Yes</t>
        </is>
      </c>
      <c r="H218" s="972" t="inlineStr">
        <is>
          <t>Yes</t>
        </is>
      </c>
      <c r="I218" s="972" t="inlineStr">
        <is>
          <t>Yes</t>
        </is>
      </c>
      <c r="J218" s="972" t="n">
        <v>4</v>
      </c>
      <c r="K218" s="972" t="inlineStr">
        <is>
          <t>Model Mapping</t>
        </is>
      </c>
      <c r="L218" s="452" t="inlineStr">
        <is>
          <t>https://attack.mitre.org/techniques/T0893</t>
        </is>
      </c>
      <c r="M218" s="973" t="inlineStr">
        <is>
          <t>Yes</t>
        </is>
      </c>
      <c r="N218" s="973" t="inlineStr">
        <is>
          <t>No explicit facility gate — defaults feasible</t>
        </is>
      </c>
      <c r="O218" s="973" t="inlineStr">
        <is>
          <t>Data from Local System can support discovery or interaction with process state, control assets and operational data in Power Generation environments.</t>
        </is>
      </c>
      <c r="P218" s="973" t="inlineStr">
        <is>
          <t>https://csrc.nist.gov/pubs/sp/800/82/r3/final</t>
        </is>
      </c>
    </row>
    <row r="219" ht="15" customHeight="1" s="508">
      <c r="A219" s="972" t="inlineStr">
        <is>
          <t>Nation State</t>
        </is>
      </c>
      <c r="B219" s="972" t="inlineStr">
        <is>
          <t>Safety System Compromise</t>
        </is>
      </c>
      <c r="C219" s="972" t="inlineStr">
        <is>
          <t>T1694.001</t>
        </is>
      </c>
      <c r="D219" s="972" t="inlineStr">
        <is>
          <t>Default Credentials</t>
        </is>
      </c>
      <c r="E219" s="972" t="inlineStr">
        <is>
          <t>S3</t>
        </is>
      </c>
      <c r="F219" s="972" t="inlineStr">
        <is>
          <t>Candidate enabling technique</t>
        </is>
      </c>
      <c r="G219" s="972" t="inlineStr">
        <is>
          <t>Yes</t>
        </is>
      </c>
      <c r="H219" s="972" t="inlineStr">
        <is>
          <t>Yes</t>
        </is>
      </c>
      <c r="I219" s="972" t="inlineStr">
        <is>
          <t>Yes</t>
        </is>
      </c>
      <c r="J219" s="972" t="n">
        <v>2</v>
      </c>
      <c r="K219" s="972" t="inlineStr">
        <is>
          <t>Model Mapping</t>
        </is>
      </c>
      <c r="L219" s="452" t="inlineStr">
        <is>
          <t>https://attack.mitre.org/techniques/T1694/001</t>
        </is>
      </c>
      <c r="M219" s="973" t="inlineStr">
        <is>
          <t>Yes</t>
        </is>
      </c>
      <c r="N219" s="973" t="inlineStr">
        <is>
          <t>No explicit facility gate — defaults feasible</t>
        </is>
      </c>
      <c r="O219" s="973" t="inlineStr">
        <is>
          <t>Default Credentials can support movement toward or within plant/control zones; actual reachability is governed by the assessed facility architecture.</t>
        </is>
      </c>
      <c r="P219" s="973" t="inlineStr">
        <is>
          <t>https://csrc.nist.gov/pubs/sp/800/82/r3/final</t>
        </is>
      </c>
    </row>
    <row r="220" ht="15" customHeight="1" s="508">
      <c r="A220" s="972" t="inlineStr">
        <is>
          <t>Nation State</t>
        </is>
      </c>
      <c r="B220" s="972" t="inlineStr">
        <is>
          <t>Safety System Compromise</t>
        </is>
      </c>
      <c r="C220" s="972" t="inlineStr">
        <is>
          <t>T0868</t>
        </is>
      </c>
      <c r="D220" s="972" t="inlineStr">
        <is>
          <t>Detect Operating Mode</t>
        </is>
      </c>
      <c r="E220" s="972" t="inlineStr">
        <is>
          <t>S4</t>
        </is>
      </c>
      <c r="F220" s="972" t="inlineStr">
        <is>
          <t>Candidate enabling technique</t>
        </is>
      </c>
      <c r="G220" s="972" t="inlineStr">
        <is>
          <t>Yes</t>
        </is>
      </c>
      <c r="H220" s="972" t="inlineStr">
        <is>
          <t>Yes</t>
        </is>
      </c>
      <c r="I220" s="972" t="inlineStr">
        <is>
          <t>Yes</t>
        </is>
      </c>
      <c r="J220" s="972" t="n">
        <v>8</v>
      </c>
      <c r="K220" s="972" t="inlineStr">
        <is>
          <t>Model Mapping</t>
        </is>
      </c>
      <c r="L220" s="452" t="inlineStr">
        <is>
          <t>https://attack.mitre.org/techniques/T0868</t>
        </is>
      </c>
      <c r="M220" s="973" t="inlineStr">
        <is>
          <t>Yes</t>
        </is>
      </c>
      <c r="N220" s="973" t="inlineStr">
        <is>
          <t>No explicit facility gate — defaults feasible</t>
        </is>
      </c>
      <c r="O220" s="973" t="inlineStr">
        <is>
          <t>Detect Operating Mode can support discovery or interaction with process state, control assets and operational data in Power Generation environments.</t>
        </is>
      </c>
      <c r="P220" s="973" t="inlineStr">
        <is>
          <t>https://csrc.nist.gov/pubs/sp/800/82/r3/final</t>
        </is>
      </c>
    </row>
    <row r="221" ht="15" customHeight="1" s="508">
      <c r="A221" s="972" t="inlineStr">
        <is>
          <t>Nation State</t>
        </is>
      </c>
      <c r="B221" s="972" t="inlineStr">
        <is>
          <t>Safety System Compromise</t>
        </is>
      </c>
      <c r="C221" s="972" t="inlineStr">
        <is>
          <t>T0843.001</t>
        </is>
      </c>
      <c r="D221" s="972" t="inlineStr">
        <is>
          <t>Download All</t>
        </is>
      </c>
      <c r="E221" s="972" t="inlineStr">
        <is>
          <t>S3</t>
        </is>
      </c>
      <c r="F221" s="972" t="inlineStr">
        <is>
          <t>Candidate enabling technique</t>
        </is>
      </c>
      <c r="G221" s="972" t="inlineStr">
        <is>
          <t>Yes</t>
        </is>
      </c>
      <c r="H221" s="972" t="inlineStr">
        <is>
          <t>Yes</t>
        </is>
      </c>
      <c r="I221" s="972" t="inlineStr">
        <is>
          <t>Yes</t>
        </is>
      </c>
      <c r="J221" s="972" t="n">
        <v>10</v>
      </c>
      <c r="K221" s="972" t="inlineStr">
        <is>
          <t>Model Mapping</t>
        </is>
      </c>
      <c r="L221" s="452" t="inlineStr">
        <is>
          <t>https://attack.mitre.org/techniques/T0843/001</t>
        </is>
      </c>
      <c r="M221" s="973" t="inlineStr">
        <is>
          <t>Yes</t>
        </is>
      </c>
      <c r="N221" s="973" t="inlineStr">
        <is>
          <t>No explicit facility gate — defaults feasible</t>
        </is>
      </c>
      <c r="O221" s="973" t="inlineStr">
        <is>
          <t>Download All can support movement toward or within plant/control zones; actual reachability is governed by the assessed facility architecture.</t>
        </is>
      </c>
      <c r="P221" s="973" t="inlineStr">
        <is>
          <t>https://csrc.nist.gov/pubs/sp/800/82/r3/final</t>
        </is>
      </c>
    </row>
    <row r="222" ht="15" customHeight="1" s="508">
      <c r="A222" s="972" t="inlineStr">
        <is>
          <t>Nation State</t>
        </is>
      </c>
      <c r="B222" s="972" t="inlineStr">
        <is>
          <t>Safety System Compromise</t>
        </is>
      </c>
      <c r="C222" s="972" t="inlineStr">
        <is>
          <t>T0817</t>
        </is>
      </c>
      <c r="D222" s="972" t="inlineStr">
        <is>
          <t>Drive-by Compromise</t>
        </is>
      </c>
      <c r="E222" s="972" t="inlineStr">
        <is>
          <t>S1</t>
        </is>
      </c>
      <c r="F222" s="972" t="inlineStr">
        <is>
          <t>Candidate enabling technique</t>
        </is>
      </c>
      <c r="G222" s="972" t="inlineStr">
        <is>
          <t>Yes</t>
        </is>
      </c>
      <c r="H222" s="972" t="inlineStr">
        <is>
          <t>Yes</t>
        </is>
      </c>
      <c r="I222" s="972" t="inlineStr">
        <is>
          <t>Yes</t>
        </is>
      </c>
      <c r="J222" s="972" t="n">
        <v>4</v>
      </c>
      <c r="K222" s="972" t="inlineStr">
        <is>
          <t>Model Mapping</t>
        </is>
      </c>
      <c r="L222" s="452" t="inlineStr">
        <is>
          <t>https://attack.mitre.org/techniques/T0817</t>
        </is>
      </c>
      <c r="M222" s="973" t="inlineStr">
        <is>
          <t>Yes</t>
        </is>
      </c>
      <c r="N222" s="973" t="inlineStr">
        <is>
          <t>No explicit facility gate — defaults feasible</t>
        </is>
      </c>
      <c r="O222" s="973" t="inlineStr">
        <is>
          <t>The Drive-by Compromise route is credible for Power Generation OT when the enabling access condition exists; existing facility gates determine remote, internet, transient, supply-chain or wireless feasibility.</t>
        </is>
      </c>
      <c r="P222" s="973" t="inlineStr">
        <is>
          <t>https://csrc.nist.gov/pubs/sp/800/82/r3/final</t>
        </is>
      </c>
    </row>
    <row r="223" ht="15" customHeight="1" s="508">
      <c r="A223" s="972" t="inlineStr">
        <is>
          <t>Nation State</t>
        </is>
      </c>
      <c r="B223" s="972" t="inlineStr">
        <is>
          <t>Safety System Compromise</t>
        </is>
      </c>
      <c r="C223" s="972" t="inlineStr">
        <is>
          <t>T1695.002</t>
        </is>
      </c>
      <c r="D223" s="972" t="inlineStr">
        <is>
          <t>Ethernet</t>
        </is>
      </c>
      <c r="E223" s="972" t="inlineStr">
        <is>
          <t>S5</t>
        </is>
      </c>
      <c r="F223" s="972" t="inlineStr">
        <is>
          <t>Supporting / impact</t>
        </is>
      </c>
      <c r="G223" s="972" t="inlineStr">
        <is>
          <t>Yes</t>
        </is>
      </c>
      <c r="H223" s="972" t="inlineStr">
        <is>
          <t>Yes</t>
        </is>
      </c>
      <c r="I223" s="972" t="inlineStr">
        <is>
          <t>Yes</t>
        </is>
      </c>
      <c r="J223" s="972" t="n">
        <v>3</v>
      </c>
      <c r="K223" s="972" t="inlineStr">
        <is>
          <t>Model Mapping</t>
        </is>
      </c>
      <c r="L223" s="452" t="inlineStr">
        <is>
          <t>https://attack.mitre.org/techniques/T1695/002</t>
        </is>
      </c>
      <c r="M223" s="973" t="inlineStr">
        <is>
          <t>Yes</t>
        </is>
      </c>
      <c r="N223" s="973" t="inlineStr">
        <is>
          <t>No explicit facility gate — defaults feasible</t>
        </is>
      </c>
      <c r="O223" s="973" t="inlineStr">
        <is>
          <t>Ethernet is an ATT&amp;CK for ICS impact or response-inhibition technique that can support one or more governed adverse scenarios; scenario role remains controlled on 09.</t>
        </is>
      </c>
      <c r="P223" s="973" t="inlineStr">
        <is>
          <t>https://csrc.nist.gov/pubs/sp/800/82/r3/final</t>
        </is>
      </c>
    </row>
    <row r="224" ht="15" customHeight="1" s="508">
      <c r="A224" s="972" t="inlineStr">
        <is>
          <t>Nation State</t>
        </is>
      </c>
      <c r="B224" s="972" t="inlineStr">
        <is>
          <t>Safety System Compromise</t>
        </is>
      </c>
      <c r="C224" s="972" t="inlineStr">
        <is>
          <t>T0871</t>
        </is>
      </c>
      <c r="D224" s="972" t="inlineStr">
        <is>
          <t>Execution through API</t>
        </is>
      </c>
      <c r="E224" s="972" t="inlineStr">
        <is>
          <t>S2</t>
        </is>
      </c>
      <c r="F224" s="972" t="inlineStr">
        <is>
          <t>Candidate enabling technique</t>
        </is>
      </c>
      <c r="G224" s="972" t="inlineStr">
        <is>
          <t>Yes</t>
        </is>
      </c>
      <c r="H224" s="972" t="inlineStr">
        <is>
          <t>Yes</t>
        </is>
      </c>
      <c r="I224" s="972" t="inlineStr">
        <is>
          <t>Yes</t>
        </is>
      </c>
      <c r="J224" s="972" t="n">
        <v>4</v>
      </c>
      <c r="K224" s="972" t="inlineStr">
        <is>
          <t>Model Mapping</t>
        </is>
      </c>
      <c r="L224" s="452" t="inlineStr">
        <is>
          <t>https://attack.mitre.org/techniques/T0871</t>
        </is>
      </c>
      <c r="M224" s="973" t="inlineStr">
        <is>
          <t>Yes</t>
        </is>
      </c>
      <c r="N224" s="973" t="inlineStr">
        <is>
          <t>No explicit facility gate — defaults feasible</t>
        </is>
      </c>
      <c r="O224" s="973" t="inlineStr">
        <is>
          <t>Execution through API is applicable to execution or persistence on engineering workstations, HMIs, servers or controllers used in Power Generation facilities.</t>
        </is>
      </c>
      <c r="P224" s="973" t="inlineStr">
        <is>
          <t>https://csrc.nist.gov/pubs/sp/800/82/r3/final</t>
        </is>
      </c>
    </row>
    <row r="225" ht="15" customHeight="1" s="508">
      <c r="A225" s="972" t="inlineStr">
        <is>
          <t>Nation State</t>
        </is>
      </c>
      <c r="B225" s="972" t="inlineStr">
        <is>
          <t>Safety System Compromise</t>
        </is>
      </c>
      <c r="C225" s="972" t="inlineStr">
        <is>
          <t>T0819</t>
        </is>
      </c>
      <c r="D225" s="972" t="inlineStr">
        <is>
          <t>Exploit Public-Facing Application</t>
        </is>
      </c>
      <c r="E225" s="972" t="inlineStr">
        <is>
          <t>S1</t>
        </is>
      </c>
      <c r="F225" s="972" t="inlineStr">
        <is>
          <t>Candidate enabling technique</t>
        </is>
      </c>
      <c r="G225" s="972" t="inlineStr">
        <is>
          <t>Yes</t>
        </is>
      </c>
      <c r="H225" s="972" t="inlineStr">
        <is>
          <t>Yes</t>
        </is>
      </c>
      <c r="I225" s="972" t="inlineStr">
        <is>
          <t>Yes</t>
        </is>
      </c>
      <c r="J225" s="972" t="n">
        <v>6</v>
      </c>
      <c r="K225" s="972" t="inlineStr">
        <is>
          <t>Model Mapping</t>
        </is>
      </c>
      <c r="L225" s="452" t="inlineStr">
        <is>
          <t>https://attack.mitre.org/techniques/T0819</t>
        </is>
      </c>
      <c r="M225" s="973" t="inlineStr">
        <is>
          <t>Yes</t>
        </is>
      </c>
      <c r="N225" s="973" t="inlineStr">
        <is>
          <t>No explicit facility gate — defaults feasible</t>
        </is>
      </c>
      <c r="O225" s="973" t="inlineStr">
        <is>
          <t>The Exploit Public-Facing Application route is credible for Power Generation OT when the enabling access condition exists; existing facility gates determine remote, internet, transient, supply-chain or wireless feasibility.</t>
        </is>
      </c>
      <c r="P225" s="973" t="inlineStr">
        <is>
          <t>https://csrc.nist.gov/pubs/sp/800/82/r3/final</t>
        </is>
      </c>
    </row>
    <row r="226" ht="15" customHeight="1" s="508">
      <c r="A226" s="972" t="inlineStr">
        <is>
          <t>Nation State</t>
        </is>
      </c>
      <c r="B226" s="972" t="inlineStr">
        <is>
          <t>Safety System Compromise</t>
        </is>
      </c>
      <c r="C226" s="972" t="inlineStr">
        <is>
          <t>T0820</t>
        </is>
      </c>
      <c r="D226" s="972" t="inlineStr">
        <is>
          <t>Exploitation for Evasion</t>
        </is>
      </c>
      <c r="E226" s="972" t="inlineStr">
        <is>
          <t>S2</t>
        </is>
      </c>
      <c r="F226" s="972" t="inlineStr">
        <is>
          <t>Candidate enabling technique</t>
        </is>
      </c>
      <c r="G226" s="972" t="inlineStr">
        <is>
          <t>Yes</t>
        </is>
      </c>
      <c r="H226" s="972" t="inlineStr">
        <is>
          <t>Yes</t>
        </is>
      </c>
      <c r="I226" s="972" t="inlineStr">
        <is>
          <t>Yes</t>
        </is>
      </c>
      <c r="J226" s="972" t="n">
        <v>4</v>
      </c>
      <c r="K226" s="972" t="inlineStr">
        <is>
          <t>Model Mapping</t>
        </is>
      </c>
      <c r="L226" s="452" t="inlineStr">
        <is>
          <t>https://attack.mitre.org/techniques/T0820</t>
        </is>
      </c>
      <c r="M226" s="973" t="inlineStr">
        <is>
          <t>Yes</t>
        </is>
      </c>
      <c r="N226" s="973" t="inlineStr">
        <is>
          <t>No explicit facility gate — defaults feasible</t>
        </is>
      </c>
      <c r="O226" s="973" t="inlineStr">
        <is>
          <t>Exploitation for Evasion is applicable to execution or persistence on engineering workstations, HMIs, servers or controllers used in Power Generation facilities.</t>
        </is>
      </c>
      <c r="P226" s="973" t="inlineStr">
        <is>
          <t>https://csrc.nist.gov/pubs/sp/800/82/r3/final</t>
        </is>
      </c>
    </row>
    <row r="227" ht="15" customHeight="1" s="508">
      <c r="A227" s="972" t="inlineStr">
        <is>
          <t>Nation State</t>
        </is>
      </c>
      <c r="B227" s="972" t="inlineStr">
        <is>
          <t>Safety System Compromise</t>
        </is>
      </c>
      <c r="C227" s="972" t="inlineStr">
        <is>
          <t>T0890</t>
        </is>
      </c>
      <c r="D227" s="972" t="inlineStr">
        <is>
          <t>Exploitation for Privilege Escalation</t>
        </is>
      </c>
      <c r="E227" s="972" t="inlineStr">
        <is>
          <t>S2</t>
        </is>
      </c>
      <c r="F227" s="972" t="inlineStr">
        <is>
          <t>Candidate enabling technique</t>
        </is>
      </c>
      <c r="G227" s="972" t="inlineStr">
        <is>
          <t>Yes</t>
        </is>
      </c>
      <c r="H227" s="972" t="inlineStr">
        <is>
          <t>Yes</t>
        </is>
      </c>
      <c r="I227" s="972" t="inlineStr">
        <is>
          <t>Yes</t>
        </is>
      </c>
      <c r="J227" s="972" t="n">
        <v>4</v>
      </c>
      <c r="K227" s="972" t="inlineStr">
        <is>
          <t>Model Mapping</t>
        </is>
      </c>
      <c r="L227" s="452" t="inlineStr">
        <is>
          <t>https://attack.mitre.org/techniques/T0890</t>
        </is>
      </c>
      <c r="M227" s="973" t="inlineStr">
        <is>
          <t>Yes</t>
        </is>
      </c>
      <c r="N227" s="973" t="inlineStr">
        <is>
          <t>No explicit facility gate — defaults feasible</t>
        </is>
      </c>
      <c r="O227" s="973" t="inlineStr">
        <is>
          <t>Exploitation for Privilege Escalation is applicable to execution or persistence on engineering workstations, HMIs, servers or controllers used in Power Generation facilities.</t>
        </is>
      </c>
      <c r="P227" s="973" t="inlineStr">
        <is>
          <t>https://csrc.nist.gov/pubs/sp/800/82/r3/final</t>
        </is>
      </c>
    </row>
    <row r="228" ht="15" customHeight="1" s="508">
      <c r="A228" s="972" t="inlineStr">
        <is>
          <t>Nation State</t>
        </is>
      </c>
      <c r="B228" s="972" t="inlineStr">
        <is>
          <t>Safety System Compromise</t>
        </is>
      </c>
      <c r="C228" s="972" t="inlineStr">
        <is>
          <t>T0866</t>
        </is>
      </c>
      <c r="D228" s="972" t="inlineStr">
        <is>
          <t>Exploitation of Remote Services</t>
        </is>
      </c>
      <c r="E228" s="972" t="inlineStr">
        <is>
          <t>S1</t>
        </is>
      </c>
      <c r="F228" s="972" t="inlineStr">
        <is>
          <t>Candidate enabling technique</t>
        </is>
      </c>
      <c r="G228" s="972" t="inlineStr">
        <is>
          <t>Yes</t>
        </is>
      </c>
      <c r="H228" s="972" t="inlineStr">
        <is>
          <t>Yes</t>
        </is>
      </c>
      <c r="I228" s="972" t="inlineStr">
        <is>
          <t>Yes</t>
        </is>
      </c>
      <c r="J228" s="972" t="n">
        <v>8</v>
      </c>
      <c r="K228" s="972" t="inlineStr">
        <is>
          <t>Model Mapping</t>
        </is>
      </c>
      <c r="L228" s="452" t="inlineStr">
        <is>
          <t>https://attack.mitre.org/techniques/T0866</t>
        </is>
      </c>
      <c r="M228" s="973" t="inlineStr">
        <is>
          <t>Yes</t>
        </is>
      </c>
      <c r="N228" s="973" t="inlineStr">
        <is>
          <t>REMOTE_OR_ITOT — Remote path or IT-OT connection</t>
        </is>
      </c>
      <c r="O228" s="973" t="inlineStr">
        <is>
          <t>The Exploitation of Remote Services route is credible for Power Generation OT when the enabling access condition exists; existing facility gates determine remote, internet, transient, supply-chain or wireless feasibility.</t>
        </is>
      </c>
      <c r="P228" s="973" t="inlineStr">
        <is>
          <t>https://csrc.nist.gov/pubs/sp/800/82/r3/final</t>
        </is>
      </c>
    </row>
    <row r="229" ht="15" customHeight="1" s="508">
      <c r="A229" s="972" t="inlineStr">
        <is>
          <t>Nation State</t>
        </is>
      </c>
      <c r="B229" s="972" t="inlineStr">
        <is>
          <t>Safety System Compromise</t>
        </is>
      </c>
      <c r="C229" s="972" t="inlineStr">
        <is>
          <t>T0822</t>
        </is>
      </c>
      <c r="D229" s="972" t="inlineStr">
        <is>
          <t>External Remote Services</t>
        </is>
      </c>
      <c r="E229" s="972" t="inlineStr">
        <is>
          <t>S1</t>
        </is>
      </c>
      <c r="F229" s="972" t="inlineStr">
        <is>
          <t>Candidate enabling technique</t>
        </is>
      </c>
      <c r="G229" s="972" t="inlineStr">
        <is>
          <t>Yes</t>
        </is>
      </c>
      <c r="H229" s="972" t="inlineStr">
        <is>
          <t>Yes</t>
        </is>
      </c>
      <c r="I229" s="972" t="inlineStr">
        <is>
          <t>Yes</t>
        </is>
      </c>
      <c r="J229" s="972" t="n">
        <v>7</v>
      </c>
      <c r="K229" s="972" t="inlineStr">
        <is>
          <t>Model Mapping</t>
        </is>
      </c>
      <c r="L229" s="452" t="inlineStr">
        <is>
          <t>https://attack.mitre.org/techniques/T0822</t>
        </is>
      </c>
      <c r="M229" s="973" t="inlineStr">
        <is>
          <t>Yes</t>
        </is>
      </c>
      <c r="N229" s="973" t="inlineStr">
        <is>
          <t>REMOTE_REQUIRED — Not None</t>
        </is>
      </c>
      <c r="O229" s="973" t="inlineStr">
        <is>
          <t>The External Remote Services route is credible for Power Generation OT when the enabling access condition exists; existing facility gates determine remote, internet, transient, supply-chain or wireless feasibility.</t>
        </is>
      </c>
      <c r="P229" s="973" t="inlineStr">
        <is>
          <t>https://csrc.nist.gov/pubs/sp/800/82/r3/final</t>
        </is>
      </c>
    </row>
    <row r="230" ht="15" customHeight="1" s="508">
      <c r="A230" s="972" t="inlineStr">
        <is>
          <t>Nation State</t>
        </is>
      </c>
      <c r="B230" s="972" t="inlineStr">
        <is>
          <t>Safety System Compromise</t>
        </is>
      </c>
      <c r="C230" s="972" t="inlineStr">
        <is>
          <t>T0823</t>
        </is>
      </c>
      <c r="D230" s="972" t="inlineStr">
        <is>
          <t>Graphical User Interface</t>
        </is>
      </c>
      <c r="E230" s="972" t="inlineStr">
        <is>
          <t>S2</t>
        </is>
      </c>
      <c r="F230" s="972" t="inlineStr">
        <is>
          <t>Candidate enabling technique</t>
        </is>
      </c>
      <c r="G230" s="972" t="inlineStr">
        <is>
          <t>Yes</t>
        </is>
      </c>
      <c r="H230" s="972" t="inlineStr">
        <is>
          <t>Yes</t>
        </is>
      </c>
      <c r="I230" s="972" t="inlineStr">
        <is>
          <t>Yes</t>
        </is>
      </c>
      <c r="J230" s="972" t="n">
        <v>1</v>
      </c>
      <c r="K230" s="972" t="inlineStr">
        <is>
          <t>Model Mapping</t>
        </is>
      </c>
      <c r="L230" s="452" t="inlineStr">
        <is>
          <t>https://attack.mitre.org/techniques/T0823</t>
        </is>
      </c>
      <c r="M230" s="973" t="inlineStr">
        <is>
          <t>Yes</t>
        </is>
      </c>
      <c r="N230" s="973" t="inlineStr">
        <is>
          <t>No explicit facility gate — defaults feasible</t>
        </is>
      </c>
      <c r="O230" s="973" t="inlineStr">
        <is>
          <t>Graphical User Interface is applicable to execution or persistence on engineering workstations, HMIs, servers or controllers used in Power Generation facilities.</t>
        </is>
      </c>
      <c r="P230" s="973" t="inlineStr">
        <is>
          <t>https://csrc.nist.gov/pubs/sp/800/82/r3/final</t>
        </is>
      </c>
    </row>
    <row r="231" ht="15" customHeight="1" s="508">
      <c r="A231" s="972" t="inlineStr">
        <is>
          <t>Nation State</t>
        </is>
      </c>
      <c r="B231" s="972" t="inlineStr">
        <is>
          <t>Safety System Compromise</t>
        </is>
      </c>
      <c r="C231" s="972" t="inlineStr">
        <is>
          <t>T1694.002</t>
        </is>
      </c>
      <c r="D231" s="972" t="inlineStr">
        <is>
          <t>Hardcoded Credentials</t>
        </is>
      </c>
      <c r="E231" s="972" t="inlineStr">
        <is>
          <t>S3</t>
        </is>
      </c>
      <c r="F231" s="972" t="inlineStr">
        <is>
          <t>Candidate enabling technique</t>
        </is>
      </c>
      <c r="G231" s="972" t="inlineStr">
        <is>
          <t>Yes</t>
        </is>
      </c>
      <c r="H231" s="972" t="inlineStr">
        <is>
          <t>Yes</t>
        </is>
      </c>
      <c r="I231" s="972" t="inlineStr">
        <is>
          <t>Yes</t>
        </is>
      </c>
      <c r="J231" s="972" t="n">
        <v>1</v>
      </c>
      <c r="K231" s="972" t="inlineStr">
        <is>
          <t>Model Mapping</t>
        </is>
      </c>
      <c r="L231" s="452" t="inlineStr">
        <is>
          <t>https://attack.mitre.org/techniques/T1694/002</t>
        </is>
      </c>
      <c r="M231" s="973" t="inlineStr">
        <is>
          <t>Yes</t>
        </is>
      </c>
      <c r="N231" s="973" t="inlineStr">
        <is>
          <t>No explicit facility gate — defaults feasible</t>
        </is>
      </c>
      <c r="O231" s="973" t="inlineStr">
        <is>
          <t>Hardcoded Credentials can support movement toward or within plant/control zones; actual reachability is governed by the assessed facility architecture.</t>
        </is>
      </c>
      <c r="P231" s="973" t="inlineStr">
        <is>
          <t>https://csrc.nist.gov/pubs/sp/800/82/r3/final</t>
        </is>
      </c>
    </row>
    <row r="232" ht="15" customHeight="1" s="508">
      <c r="A232" s="972" t="inlineStr">
        <is>
          <t>Nation State</t>
        </is>
      </c>
      <c r="B232" s="972" t="inlineStr">
        <is>
          <t>Safety System Compromise</t>
        </is>
      </c>
      <c r="C232" s="972" t="inlineStr">
        <is>
          <t>T0874</t>
        </is>
      </c>
      <c r="D232" s="972" t="inlineStr">
        <is>
          <t>Hooking</t>
        </is>
      </c>
      <c r="E232" s="972" t="inlineStr">
        <is>
          <t>S2</t>
        </is>
      </c>
      <c r="F232" s="972" t="inlineStr">
        <is>
          <t>Candidate enabling technique</t>
        </is>
      </c>
      <c r="G232" s="972" t="inlineStr">
        <is>
          <t>Yes</t>
        </is>
      </c>
      <c r="H232" s="972" t="inlineStr">
        <is>
          <t>Yes</t>
        </is>
      </c>
      <c r="I232" s="972" t="inlineStr">
        <is>
          <t>Yes</t>
        </is>
      </c>
      <c r="J232" s="972" t="n">
        <v>2</v>
      </c>
      <c r="K232" s="972" t="inlineStr">
        <is>
          <t>Model Mapping</t>
        </is>
      </c>
      <c r="L232" s="452" t="inlineStr">
        <is>
          <t>https://attack.mitre.org/techniques/T0874</t>
        </is>
      </c>
      <c r="M232" s="973" t="inlineStr">
        <is>
          <t>Yes</t>
        </is>
      </c>
      <c r="N232" s="973" t="inlineStr">
        <is>
          <t>No explicit facility gate — defaults feasible</t>
        </is>
      </c>
      <c r="O232" s="973" t="inlineStr">
        <is>
          <t>Hooking is applicable to execution or persistence on engineering workstations, HMIs, servers or controllers used in Power Generation facilities.</t>
        </is>
      </c>
      <c r="P232" s="973" t="inlineStr">
        <is>
          <t>https://csrc.nist.gov/pubs/sp/800/82/r3/final</t>
        </is>
      </c>
    </row>
    <row r="233" ht="15" customHeight="1" s="508">
      <c r="A233" s="972" t="inlineStr">
        <is>
          <t>Nation State</t>
        </is>
      </c>
      <c r="B233" s="972" t="inlineStr">
        <is>
          <t>Safety System Compromise</t>
        </is>
      </c>
      <c r="C233" s="972" t="inlineStr">
        <is>
          <t>T0877</t>
        </is>
      </c>
      <c r="D233" s="972" t="inlineStr">
        <is>
          <t>I/O Image</t>
        </is>
      </c>
      <c r="E233" s="972" t="inlineStr">
        <is>
          <t>S4</t>
        </is>
      </c>
      <c r="F233" s="972" t="inlineStr">
        <is>
          <t>Candidate enabling technique</t>
        </is>
      </c>
      <c r="G233" s="972" t="inlineStr">
        <is>
          <t>Yes</t>
        </is>
      </c>
      <c r="H233" s="972" t="inlineStr">
        <is>
          <t>Yes</t>
        </is>
      </c>
      <c r="I233" s="972" t="inlineStr">
        <is>
          <t>Yes</t>
        </is>
      </c>
      <c r="J233" s="972" t="n">
        <v>1</v>
      </c>
      <c r="K233" s="972" t="inlineStr">
        <is>
          <t>Model Mapping</t>
        </is>
      </c>
      <c r="L233" s="452" t="inlineStr">
        <is>
          <t>https://attack.mitre.org/techniques/T0877</t>
        </is>
      </c>
      <c r="M233" s="973" t="inlineStr">
        <is>
          <t>Yes</t>
        </is>
      </c>
      <c r="N233" s="973" t="inlineStr">
        <is>
          <t>No explicit facility gate — defaults feasible</t>
        </is>
      </c>
      <c r="O233" s="973" t="inlineStr">
        <is>
          <t>I/O Image can support discovery or interaction with process state, control assets and operational data in Power Generation environments.</t>
        </is>
      </c>
      <c r="P233" s="973" t="inlineStr">
        <is>
          <t>https://csrc.nist.gov/pubs/sp/800/82/r3/final</t>
        </is>
      </c>
    </row>
    <row r="234" ht="15" customHeight="1" s="508">
      <c r="A234" s="972" t="inlineStr">
        <is>
          <t>Nation State</t>
        </is>
      </c>
      <c r="B234" s="972" t="inlineStr">
        <is>
          <t>Safety System Compromise</t>
        </is>
      </c>
      <c r="C234" s="972" t="inlineStr">
        <is>
          <t>T0872</t>
        </is>
      </c>
      <c r="D234" s="972" t="inlineStr">
        <is>
          <t>Indicator Removal on Host</t>
        </is>
      </c>
      <c r="E234" s="972" t="inlineStr">
        <is>
          <t>S2</t>
        </is>
      </c>
      <c r="F234" s="972" t="inlineStr">
        <is>
          <t>Candidate enabling technique</t>
        </is>
      </c>
      <c r="G234" s="972" t="inlineStr">
        <is>
          <t>Yes</t>
        </is>
      </c>
      <c r="H234" s="972" t="inlineStr">
        <is>
          <t>Yes</t>
        </is>
      </c>
      <c r="I234" s="972" t="inlineStr">
        <is>
          <t>Yes</t>
        </is>
      </c>
      <c r="J234" s="972" t="n">
        <v>1</v>
      </c>
      <c r="K234" s="972" t="inlineStr">
        <is>
          <t>Model Mapping</t>
        </is>
      </c>
      <c r="L234" s="452" t="inlineStr">
        <is>
          <t>https://attack.mitre.org/techniques/T0872</t>
        </is>
      </c>
      <c r="M234" s="973" t="inlineStr">
        <is>
          <t>Yes</t>
        </is>
      </c>
      <c r="N234" s="973" t="inlineStr">
        <is>
          <t>No explicit facility gate — defaults feasible</t>
        </is>
      </c>
      <c r="O234" s="973" t="inlineStr">
        <is>
          <t>Indicator Removal on Host is applicable to execution or persistence on engineering workstations, HMIs, servers or controllers used in Power Generation facilities.</t>
        </is>
      </c>
      <c r="P234" s="973" t="inlineStr">
        <is>
          <t>https://csrc.nist.gov/pubs/sp/800/82/r3/final</t>
        </is>
      </c>
    </row>
    <row r="235" ht="15" customHeight="1" s="508">
      <c r="A235" s="972" t="inlineStr">
        <is>
          <t>Nation State</t>
        </is>
      </c>
      <c r="B235" s="972" t="inlineStr">
        <is>
          <t>Safety System Compromise</t>
        </is>
      </c>
      <c r="C235" s="972" t="inlineStr">
        <is>
          <t>T0883</t>
        </is>
      </c>
      <c r="D235" s="972" t="inlineStr">
        <is>
          <t>Internet Accessible Device</t>
        </is>
      </c>
      <c r="E235" s="972" t="inlineStr">
        <is>
          <t>S1</t>
        </is>
      </c>
      <c r="F235" s="972" t="inlineStr">
        <is>
          <t>Candidate enabling technique</t>
        </is>
      </c>
      <c r="G235" s="972" t="inlineStr">
        <is>
          <t>Yes</t>
        </is>
      </c>
      <c r="H235" s="972" t="inlineStr">
        <is>
          <t>No</t>
        </is>
      </c>
      <c r="I235" s="972" t="inlineStr">
        <is>
          <t>No</t>
        </is>
      </c>
      <c r="J235" s="972" t="n">
        <v>1</v>
      </c>
      <c r="K235" s="972" t="inlineStr">
        <is>
          <t>Model Mapping</t>
        </is>
      </c>
      <c r="L235" s="452" t="inlineStr">
        <is>
          <t>https://attack.mitre.org/techniques/T0883</t>
        </is>
      </c>
      <c r="M235" s="973" t="inlineStr">
        <is>
          <t>Yes</t>
        </is>
      </c>
      <c r="N235" s="973" t="inlineStr">
        <is>
          <t>INTERNET_OT — Yes</t>
        </is>
      </c>
      <c r="O235" s="973" t="inlineStr">
        <is>
          <t>The Internet Accessible Device route is credible for Power Generation OT when the enabling access condition exists; existing facility gates determine remote, internet, transient, supply-chain or wireless feasibility.</t>
        </is>
      </c>
      <c r="P235" s="973" t="inlineStr">
        <is>
          <t>https://csrc.nist.gov/pubs/sp/800/82/r3/final</t>
        </is>
      </c>
    </row>
    <row r="236" ht="15" customHeight="1" s="508">
      <c r="A236" s="972" t="inlineStr">
        <is>
          <t>Nation State</t>
        </is>
      </c>
      <c r="B236" s="972" t="inlineStr">
        <is>
          <t>Safety System Compromise</t>
        </is>
      </c>
      <c r="C236" s="972" t="inlineStr">
        <is>
          <t>T0867</t>
        </is>
      </c>
      <c r="D236" s="972" t="inlineStr">
        <is>
          <t>Lateral Tool Transfer</t>
        </is>
      </c>
      <c r="E236" s="972" t="inlineStr">
        <is>
          <t>S3</t>
        </is>
      </c>
      <c r="F236" s="972" t="inlineStr">
        <is>
          <t>Candidate enabling technique</t>
        </is>
      </c>
      <c r="G236" s="972" t="inlineStr">
        <is>
          <t>Yes</t>
        </is>
      </c>
      <c r="H236" s="972" t="inlineStr">
        <is>
          <t>Yes</t>
        </is>
      </c>
      <c r="I236" s="972" t="inlineStr">
        <is>
          <t>Yes</t>
        </is>
      </c>
      <c r="J236" s="972" t="n">
        <v>1</v>
      </c>
      <c r="K236" s="972" t="inlineStr">
        <is>
          <t>Model Mapping</t>
        </is>
      </c>
      <c r="L236" s="452" t="inlineStr">
        <is>
          <t>https://attack.mitre.org/techniques/T0867</t>
        </is>
      </c>
      <c r="M236" s="973" t="inlineStr">
        <is>
          <t>Yes</t>
        </is>
      </c>
      <c r="N236" s="973" t="inlineStr">
        <is>
          <t>No explicit facility gate — defaults feasible</t>
        </is>
      </c>
      <c r="O236" s="973" t="inlineStr">
        <is>
          <t>Lateral Tool Transfer can support movement toward or within plant/control zones; actual reachability is governed by the assessed facility architecture.</t>
        </is>
      </c>
      <c r="P236" s="973" t="inlineStr">
        <is>
          <t>https://csrc.nist.gov/pubs/sp/800/82/r3/final</t>
        </is>
      </c>
    </row>
    <row r="237" ht="15" customHeight="1" s="508">
      <c r="A237" s="972" t="inlineStr">
        <is>
          <t>Nation State</t>
        </is>
      </c>
      <c r="B237" s="972" t="inlineStr">
        <is>
          <t>Safety System Compromise</t>
        </is>
      </c>
      <c r="C237" s="972" t="inlineStr">
        <is>
          <t>T0880</t>
        </is>
      </c>
      <c r="D237" s="972" t="inlineStr">
        <is>
          <t>Loss of Safety</t>
        </is>
      </c>
      <c r="E237" s="972" t="inlineStr">
        <is>
          <t>S5</t>
        </is>
      </c>
      <c r="F237" s="972" t="inlineStr">
        <is>
          <t>Scenario-defining</t>
        </is>
      </c>
      <c r="G237" s="972" t="inlineStr">
        <is>
          <t>Yes</t>
        </is>
      </c>
      <c r="H237" s="972" t="inlineStr">
        <is>
          <t>Yes</t>
        </is>
      </c>
      <c r="I237" s="972" t="inlineStr">
        <is>
          <t>Yes</t>
        </is>
      </c>
      <c r="J237" s="972" t="n">
        <v>2</v>
      </c>
      <c r="K237" s="972" t="inlineStr">
        <is>
          <t>Model Mapping</t>
        </is>
      </c>
      <c r="L237" s="452" t="inlineStr">
        <is>
          <t>https://attack.mitre.org/techniques/T0880</t>
        </is>
      </c>
      <c r="M237" s="973" t="inlineStr">
        <is>
          <t>Yes</t>
        </is>
      </c>
      <c r="N237" s="973" t="inlineStr">
        <is>
          <t>No explicit facility gate — defaults feasible</t>
        </is>
      </c>
      <c r="O237" s="973" t="inlineStr">
        <is>
          <t>Loss of Safety is an ATT&amp;CK for ICS impact or response-inhibition technique that can support one or more governed adverse scenarios; scenario role remains controlled on 09.</t>
        </is>
      </c>
      <c r="P237" s="973" t="inlineStr">
        <is>
          <t>https://csrc.nist.gov/pubs/sp/800/82/r3/final</t>
        </is>
      </c>
    </row>
    <row r="238" ht="15" customHeight="1" s="508">
      <c r="A238" s="972" t="inlineStr">
        <is>
          <t>Nation State</t>
        </is>
      </c>
      <c r="B238" s="972" t="inlineStr">
        <is>
          <t>Safety System Compromise</t>
        </is>
      </c>
      <c r="C238" s="972" t="inlineStr">
        <is>
          <t>T0835</t>
        </is>
      </c>
      <c r="D238" s="972" t="inlineStr">
        <is>
          <t>Manipulate I/O Image</t>
        </is>
      </c>
      <c r="E238" s="972" t="inlineStr">
        <is>
          <t>S5</t>
        </is>
      </c>
      <c r="F238" s="972" t="inlineStr">
        <is>
          <t>Supporting / impact</t>
        </is>
      </c>
      <c r="G238" s="972" t="inlineStr">
        <is>
          <t>Yes</t>
        </is>
      </c>
      <c r="H238" s="972" t="inlineStr">
        <is>
          <t>Yes</t>
        </is>
      </c>
      <c r="I238" s="972" t="inlineStr">
        <is>
          <t>Yes</t>
        </is>
      </c>
      <c r="J238" s="972" t="n">
        <v>1</v>
      </c>
      <c r="K238" s="972" t="inlineStr">
        <is>
          <t>Model Mapping</t>
        </is>
      </c>
      <c r="L238" s="452" t="inlineStr">
        <is>
          <t>https://attack.mitre.org/techniques/T0835</t>
        </is>
      </c>
      <c r="M238" s="973" t="inlineStr">
        <is>
          <t>Yes</t>
        </is>
      </c>
      <c r="N238" s="973" t="inlineStr">
        <is>
          <t>No explicit facility gate — defaults feasible</t>
        </is>
      </c>
      <c r="O238" s="973" t="inlineStr">
        <is>
          <t>Manipulate I/O Image is an ATT&amp;CK for ICS impact or response-inhibition technique that can support one or more governed adverse scenarios; scenario role remains controlled on 09.</t>
        </is>
      </c>
      <c r="P238" s="973" t="inlineStr">
        <is>
          <t>https://csrc.nist.gov/pubs/sp/800/82/r3/final</t>
        </is>
      </c>
    </row>
    <row r="239" ht="15" customHeight="1" s="508">
      <c r="A239" s="972" t="inlineStr">
        <is>
          <t>Nation State</t>
        </is>
      </c>
      <c r="B239" s="972" t="inlineStr">
        <is>
          <t>Safety System Compromise</t>
        </is>
      </c>
      <c r="C239" s="972" t="inlineStr">
        <is>
          <t>T0849</t>
        </is>
      </c>
      <c r="D239" s="972" t="inlineStr">
        <is>
          <t>Masquerading</t>
        </is>
      </c>
      <c r="E239" s="972" t="inlineStr">
        <is>
          <t>S2</t>
        </is>
      </c>
      <c r="F239" s="972" t="inlineStr">
        <is>
          <t>Candidate enabling technique</t>
        </is>
      </c>
      <c r="G239" s="972" t="inlineStr">
        <is>
          <t>Yes</t>
        </is>
      </c>
      <c r="H239" s="972" t="inlineStr">
        <is>
          <t>Yes</t>
        </is>
      </c>
      <c r="I239" s="972" t="inlineStr">
        <is>
          <t>Yes</t>
        </is>
      </c>
      <c r="J239" s="972" t="n">
        <v>3</v>
      </c>
      <c r="K239" s="972" t="inlineStr">
        <is>
          <t>Model Mapping</t>
        </is>
      </c>
      <c r="L239" s="452" t="inlineStr">
        <is>
          <t>https://attack.mitre.org/techniques/T0849</t>
        </is>
      </c>
      <c r="M239" s="973" t="inlineStr">
        <is>
          <t>Yes</t>
        </is>
      </c>
      <c r="N239" s="973" t="inlineStr">
        <is>
          <t>No explicit facility gate — defaults feasible</t>
        </is>
      </c>
      <c r="O239" s="973" t="inlineStr">
        <is>
          <t>Masquerading is applicable to execution or persistence on engineering workstations, HMIs, servers or controllers used in Power Generation facilities.</t>
        </is>
      </c>
      <c r="P239" s="973" t="inlineStr">
        <is>
          <t>https://csrc.nist.gov/pubs/sp/800/82/r3/final</t>
        </is>
      </c>
    </row>
    <row r="240" ht="15" customHeight="1" s="508">
      <c r="A240" s="972" t="inlineStr">
        <is>
          <t>Nation State</t>
        </is>
      </c>
      <c r="B240" s="972" t="inlineStr">
        <is>
          <t>Safety System Compromise</t>
        </is>
      </c>
      <c r="C240" s="972" t="inlineStr">
        <is>
          <t>T0838</t>
        </is>
      </c>
      <c r="D240" s="972" t="inlineStr">
        <is>
          <t>Modify Alarm Settings</t>
        </is>
      </c>
      <c r="E240" s="972" t="inlineStr">
        <is>
          <t>S5</t>
        </is>
      </c>
      <c r="F240" s="972" t="inlineStr">
        <is>
          <t>Scenario-defining</t>
        </is>
      </c>
      <c r="G240" s="972" t="inlineStr">
        <is>
          <t>Yes</t>
        </is>
      </c>
      <c r="H240" s="972" t="inlineStr">
        <is>
          <t>Yes</t>
        </is>
      </c>
      <c r="I240" s="972" t="inlineStr">
        <is>
          <t>Yes</t>
        </is>
      </c>
      <c r="J240" s="972" t="n">
        <v>7</v>
      </c>
      <c r="K240" s="972" t="inlineStr">
        <is>
          <t>Model Mapping</t>
        </is>
      </c>
      <c r="L240" s="452" t="inlineStr">
        <is>
          <t>https://attack.mitre.org/techniques/T0838</t>
        </is>
      </c>
      <c r="M240" s="973" t="inlineStr">
        <is>
          <t>Yes</t>
        </is>
      </c>
      <c r="N240" s="973" t="inlineStr">
        <is>
          <t>No explicit facility gate — defaults feasible</t>
        </is>
      </c>
      <c r="O240" s="973" t="inlineStr">
        <is>
          <t>Modify Alarm Settings is an ATT&amp;CK for ICS impact or response-inhibition technique that can support one or more governed adverse scenarios; scenario role remains controlled on 09.</t>
        </is>
      </c>
      <c r="P240" s="973" t="inlineStr">
        <is>
          <t>https://csrc.nist.gov/pubs/sp/800/82/r3/final</t>
        </is>
      </c>
    </row>
    <row r="241" ht="15" customHeight="1" s="508">
      <c r="A241" s="972" t="inlineStr">
        <is>
          <t>Nation State</t>
        </is>
      </c>
      <c r="B241" s="972" t="inlineStr">
        <is>
          <t>Safety System Compromise</t>
        </is>
      </c>
      <c r="C241" s="972" t="inlineStr">
        <is>
          <t>T0821</t>
        </is>
      </c>
      <c r="D241" s="972" t="inlineStr">
        <is>
          <t>Modify Controller Tasking</t>
        </is>
      </c>
      <c r="E241" s="972" t="inlineStr">
        <is>
          <t>S2</t>
        </is>
      </c>
      <c r="F241" s="972" t="inlineStr">
        <is>
          <t>Candidate enabling technique</t>
        </is>
      </c>
      <c r="G241" s="972" t="inlineStr">
        <is>
          <t>Yes</t>
        </is>
      </c>
      <c r="H241" s="972" t="inlineStr">
        <is>
          <t>Yes</t>
        </is>
      </c>
      <c r="I241" s="972" t="inlineStr">
        <is>
          <t>Yes</t>
        </is>
      </c>
      <c r="J241" s="972" t="n">
        <v>4</v>
      </c>
      <c r="K241" s="972" t="inlineStr">
        <is>
          <t>Model Mapping</t>
        </is>
      </c>
      <c r="L241" s="452" t="inlineStr">
        <is>
          <t>https://attack.mitre.org/techniques/T0821</t>
        </is>
      </c>
      <c r="M241" s="973" t="inlineStr">
        <is>
          <t>Yes</t>
        </is>
      </c>
      <c r="N241" s="973" t="inlineStr">
        <is>
          <t>No explicit facility gate — defaults feasible</t>
        </is>
      </c>
      <c r="O241" s="973" t="inlineStr">
        <is>
          <t>Modify Controller Tasking is applicable to execution or persistence on engineering workstations, HMIs, servers or controllers used in Power Generation facilities.</t>
        </is>
      </c>
      <c r="P241" s="973" t="inlineStr">
        <is>
          <t>https://csrc.nist.gov/pubs/sp/800/82/r3/final</t>
        </is>
      </c>
    </row>
    <row r="242" ht="15" customHeight="1" s="508">
      <c r="A242" s="972" t="inlineStr">
        <is>
          <t>Nation State</t>
        </is>
      </c>
      <c r="B242" s="972" t="inlineStr">
        <is>
          <t>Safety System Compromise</t>
        </is>
      </c>
      <c r="C242" s="972" t="inlineStr">
        <is>
          <t>T0889</t>
        </is>
      </c>
      <c r="D242" s="972" t="inlineStr">
        <is>
          <t>Modify Program</t>
        </is>
      </c>
      <c r="E242" s="972" t="inlineStr">
        <is>
          <t>S2</t>
        </is>
      </c>
      <c r="F242" s="972" t="inlineStr">
        <is>
          <t>Candidate enabling technique</t>
        </is>
      </c>
      <c r="G242" s="972" t="inlineStr">
        <is>
          <t>Yes</t>
        </is>
      </c>
      <c r="H242" s="972" t="inlineStr">
        <is>
          <t>Yes</t>
        </is>
      </c>
      <c r="I242" s="972" t="inlineStr">
        <is>
          <t>Yes</t>
        </is>
      </c>
      <c r="J242" s="972" t="n">
        <v>4</v>
      </c>
      <c r="K242" s="972" t="inlineStr">
        <is>
          <t>Model Mapping</t>
        </is>
      </c>
      <c r="L242" s="452" t="inlineStr">
        <is>
          <t>https://attack.mitre.org/techniques/T0889</t>
        </is>
      </c>
      <c r="M242" s="973" t="inlineStr">
        <is>
          <t>Yes</t>
        </is>
      </c>
      <c r="N242" s="973" t="inlineStr">
        <is>
          <t>No explicit facility gate — defaults feasible</t>
        </is>
      </c>
      <c r="O242" s="973" t="inlineStr">
        <is>
          <t>Modify Program is applicable to execution or persistence on engineering workstations, HMIs, servers or controllers used in Power Generation facilities.</t>
        </is>
      </c>
      <c r="P242" s="973" t="inlineStr">
        <is>
          <t>https://csrc.nist.gov/pubs/sp/800/82/r3/final</t>
        </is>
      </c>
    </row>
    <row r="243" ht="15" customHeight="1" s="508">
      <c r="A243" s="972" t="inlineStr">
        <is>
          <t>Nation State</t>
        </is>
      </c>
      <c r="B243" s="972" t="inlineStr">
        <is>
          <t>Safety System Compromise</t>
        </is>
      </c>
      <c r="C243" s="972" t="inlineStr">
        <is>
          <t>T0801</t>
        </is>
      </c>
      <c r="D243" s="972" t="inlineStr">
        <is>
          <t>Monitor Process State</t>
        </is>
      </c>
      <c r="E243" s="972" t="inlineStr">
        <is>
          <t>S4</t>
        </is>
      </c>
      <c r="F243" s="972" t="inlineStr">
        <is>
          <t>Candidate enabling technique</t>
        </is>
      </c>
      <c r="G243" s="972" t="inlineStr">
        <is>
          <t>Yes</t>
        </is>
      </c>
      <c r="H243" s="972" t="inlineStr">
        <is>
          <t>Yes</t>
        </is>
      </c>
      <c r="I243" s="972" t="inlineStr">
        <is>
          <t>Yes</t>
        </is>
      </c>
      <c r="J243" s="972" t="n">
        <v>1</v>
      </c>
      <c r="K243" s="972" t="inlineStr">
        <is>
          <t>Model Mapping</t>
        </is>
      </c>
      <c r="L243" s="452" t="inlineStr">
        <is>
          <t>https://attack.mitre.org/techniques/T0801</t>
        </is>
      </c>
      <c r="M243" s="973" t="inlineStr">
        <is>
          <t>Yes</t>
        </is>
      </c>
      <c r="N243" s="973" t="inlineStr">
        <is>
          <t>No explicit facility gate — defaults feasible</t>
        </is>
      </c>
      <c r="O243" s="973" t="inlineStr">
        <is>
          <t>Monitor Process State can support discovery or interaction with process state, control assets and operational data in Power Generation environments.</t>
        </is>
      </c>
      <c r="P243" s="973" t="inlineStr">
        <is>
          <t>https://csrc.nist.gov/pubs/sp/800/82/r3/final</t>
        </is>
      </c>
    </row>
    <row r="244" ht="15" customHeight="1" s="508">
      <c r="A244" s="972" t="inlineStr">
        <is>
          <t>Nation State</t>
        </is>
      </c>
      <c r="B244" s="972" t="inlineStr">
        <is>
          <t>Safety System Compromise</t>
        </is>
      </c>
      <c r="C244" s="972" t="inlineStr">
        <is>
          <t>T0846.003</t>
        </is>
      </c>
      <c r="D244" s="972" t="inlineStr">
        <is>
          <t>Multicast Discovery</t>
        </is>
      </c>
      <c r="E244" s="972" t="inlineStr">
        <is>
          <t>S4</t>
        </is>
      </c>
      <c r="F244" s="972" t="inlineStr">
        <is>
          <t>Candidate enabling technique</t>
        </is>
      </c>
      <c r="G244" s="972" t="inlineStr">
        <is>
          <t>Yes</t>
        </is>
      </c>
      <c r="H244" s="972" t="inlineStr">
        <is>
          <t>Yes</t>
        </is>
      </c>
      <c r="I244" s="972" t="inlineStr">
        <is>
          <t>Yes</t>
        </is>
      </c>
      <c r="J244" s="972" t="n">
        <v>2</v>
      </c>
      <c r="K244" s="972" t="inlineStr">
        <is>
          <t>Model Mapping</t>
        </is>
      </c>
      <c r="L244" s="452" t="inlineStr">
        <is>
          <t>https://attack.mitre.org/techniques/T0846/003</t>
        </is>
      </c>
      <c r="M244" s="973" t="inlineStr">
        <is>
          <t>Yes</t>
        </is>
      </c>
      <c r="N244" s="973" t="inlineStr">
        <is>
          <t>No explicit facility gate — defaults feasible</t>
        </is>
      </c>
      <c r="O244" s="973" t="inlineStr">
        <is>
          <t>Multicast Discovery can support discovery or interaction with process state, control assets and operational data in Power Generation environments.</t>
        </is>
      </c>
      <c r="P244" s="973" t="inlineStr">
        <is>
          <t>https://csrc.nist.gov/pubs/sp/800/82/r3/final</t>
        </is>
      </c>
    </row>
    <row r="245" ht="15" customHeight="1" s="508">
      <c r="A245" s="972" t="inlineStr">
        <is>
          <t>Nation State</t>
        </is>
      </c>
      <c r="B245" s="972" t="inlineStr">
        <is>
          <t>Safety System Compromise</t>
        </is>
      </c>
      <c r="C245" s="972" t="inlineStr">
        <is>
          <t>T0834</t>
        </is>
      </c>
      <c r="D245" s="972" t="inlineStr">
        <is>
          <t>Native API</t>
        </is>
      </c>
      <c r="E245" s="972" t="inlineStr">
        <is>
          <t>S2</t>
        </is>
      </c>
      <c r="F245" s="972" t="inlineStr">
        <is>
          <t>Candidate enabling technique</t>
        </is>
      </c>
      <c r="G245" s="972" t="inlineStr">
        <is>
          <t>Yes</t>
        </is>
      </c>
      <c r="H245" s="972" t="inlineStr">
        <is>
          <t>Yes</t>
        </is>
      </c>
      <c r="I245" s="972" t="inlineStr">
        <is>
          <t>Yes</t>
        </is>
      </c>
      <c r="J245" s="972" t="n">
        <v>1</v>
      </c>
      <c r="K245" s="972" t="inlineStr">
        <is>
          <t>Model Mapping</t>
        </is>
      </c>
      <c r="L245" s="452" t="inlineStr">
        <is>
          <t>https://attack.mitre.org/techniques/T0834</t>
        </is>
      </c>
      <c r="M245" s="973" t="inlineStr">
        <is>
          <t>Yes</t>
        </is>
      </c>
      <c r="N245" s="973" t="inlineStr">
        <is>
          <t>No explicit facility gate — defaults feasible</t>
        </is>
      </c>
      <c r="O245" s="973" t="inlineStr">
        <is>
          <t>Native API is applicable to execution or persistence on engineering workstations, HMIs, servers or controllers used in Power Generation facilities.</t>
        </is>
      </c>
      <c r="P245" s="973" t="inlineStr">
        <is>
          <t>https://csrc.nist.gov/pubs/sp/800/82/r3/final</t>
        </is>
      </c>
    </row>
    <row r="246" ht="15" customHeight="1" s="508">
      <c r="A246" s="972" t="inlineStr">
        <is>
          <t>Nation State</t>
        </is>
      </c>
      <c r="B246" s="972" t="inlineStr">
        <is>
          <t>Safety System Compromise</t>
        </is>
      </c>
      <c r="C246" s="972" t="inlineStr">
        <is>
          <t>T0840</t>
        </is>
      </c>
      <c r="D246" s="972" t="inlineStr">
        <is>
          <t>Network Connection Enumeration</t>
        </is>
      </c>
      <c r="E246" s="972" t="inlineStr">
        <is>
          <t>S4</t>
        </is>
      </c>
      <c r="F246" s="972" t="inlineStr">
        <is>
          <t>Candidate enabling technique</t>
        </is>
      </c>
      <c r="G246" s="972" t="inlineStr">
        <is>
          <t>Yes</t>
        </is>
      </c>
      <c r="H246" s="972" t="inlineStr">
        <is>
          <t>Yes</t>
        </is>
      </c>
      <c r="I246" s="972" t="inlineStr">
        <is>
          <t>Yes</t>
        </is>
      </c>
      <c r="J246" s="972" t="n">
        <v>1</v>
      </c>
      <c r="K246" s="972" t="inlineStr">
        <is>
          <t>Model Mapping</t>
        </is>
      </c>
      <c r="L246" s="452" t="inlineStr">
        <is>
          <t>https://attack.mitre.org/techniques/T0840</t>
        </is>
      </c>
      <c r="M246" s="973" t="inlineStr">
        <is>
          <t>Yes</t>
        </is>
      </c>
      <c r="N246" s="973" t="inlineStr">
        <is>
          <t>No explicit facility gate — defaults feasible</t>
        </is>
      </c>
      <c r="O246" s="973" t="inlineStr">
        <is>
          <t>Network Connection Enumeration can support discovery or interaction with process state, control assets and operational data in Power Generation environments.</t>
        </is>
      </c>
      <c r="P246" s="973" t="inlineStr">
        <is>
          <t>https://csrc.nist.gov/pubs/sp/800/82/r3/final</t>
        </is>
      </c>
    </row>
    <row r="247" ht="15" customHeight="1" s="508">
      <c r="A247" s="972" t="inlineStr">
        <is>
          <t>Nation State</t>
        </is>
      </c>
      <c r="B247" s="972" t="inlineStr">
        <is>
          <t>Safety System Compromise</t>
        </is>
      </c>
      <c r="C247" s="972" t="inlineStr">
        <is>
          <t>T0842</t>
        </is>
      </c>
      <c r="D247" s="972" t="inlineStr">
        <is>
          <t>Network Sniffing</t>
        </is>
      </c>
      <c r="E247" s="972" t="inlineStr">
        <is>
          <t>S4</t>
        </is>
      </c>
      <c r="F247" s="972" t="inlineStr">
        <is>
          <t>Candidate enabling technique</t>
        </is>
      </c>
      <c r="G247" s="972" t="inlineStr">
        <is>
          <t>Yes</t>
        </is>
      </c>
      <c r="H247" s="972" t="inlineStr">
        <is>
          <t>Yes</t>
        </is>
      </c>
      <c r="I247" s="972" t="inlineStr">
        <is>
          <t>Yes</t>
        </is>
      </c>
      <c r="J247" s="972" t="n">
        <v>5</v>
      </c>
      <c r="K247" s="972" t="inlineStr">
        <is>
          <t>Model Mapping</t>
        </is>
      </c>
      <c r="L247" s="452" t="inlineStr">
        <is>
          <t>https://attack.mitre.org/techniques/T0842</t>
        </is>
      </c>
      <c r="M247" s="973" t="inlineStr">
        <is>
          <t>Yes</t>
        </is>
      </c>
      <c r="N247" s="973" t="inlineStr">
        <is>
          <t>No explicit facility gate — defaults feasible</t>
        </is>
      </c>
      <c r="O247" s="973" t="inlineStr">
        <is>
          <t>Network Sniffing can support discovery or interaction with process state, control assets and operational data in Power Generation environments.</t>
        </is>
      </c>
      <c r="P247" s="973" t="inlineStr">
        <is>
          <t>https://csrc.nist.gov/pubs/sp/800/82/r3/final</t>
        </is>
      </c>
    </row>
    <row r="248" ht="15" customHeight="1" s="508">
      <c r="A248" s="972" t="inlineStr">
        <is>
          <t>Nation State</t>
        </is>
      </c>
      <c r="B248" s="972" t="inlineStr">
        <is>
          <t>Safety System Compromise</t>
        </is>
      </c>
      <c r="C248" s="972" t="inlineStr">
        <is>
          <t>T0843.002</t>
        </is>
      </c>
      <c r="D248" s="972" t="inlineStr">
        <is>
          <t>Online Edit</t>
        </is>
      </c>
      <c r="E248" s="972" t="inlineStr">
        <is>
          <t>S3</t>
        </is>
      </c>
      <c r="F248" s="972" t="inlineStr">
        <is>
          <t>Candidate enabling technique</t>
        </is>
      </c>
      <c r="G248" s="972" t="inlineStr">
        <is>
          <t>Yes</t>
        </is>
      </c>
      <c r="H248" s="972" t="inlineStr">
        <is>
          <t>Yes</t>
        </is>
      </c>
      <c r="I248" s="972" t="inlineStr">
        <is>
          <t>Yes</t>
        </is>
      </c>
      <c r="J248" s="972" t="n">
        <v>10</v>
      </c>
      <c r="K248" s="972" t="inlineStr">
        <is>
          <t>Model Mapping</t>
        </is>
      </c>
      <c r="L248" s="452" t="inlineStr">
        <is>
          <t>https://attack.mitre.org/techniques/T0843/002</t>
        </is>
      </c>
      <c r="M248" s="973" t="inlineStr">
        <is>
          <t>Yes</t>
        </is>
      </c>
      <c r="N248" s="973" t="inlineStr">
        <is>
          <t>No explicit facility gate — defaults feasible</t>
        </is>
      </c>
      <c r="O248" s="973" t="inlineStr">
        <is>
          <t>Online Edit can support movement toward or within plant/control zones; actual reachability is governed by the assessed facility architecture.</t>
        </is>
      </c>
      <c r="P248" s="973" t="inlineStr">
        <is>
          <t>https://csrc.nist.gov/pubs/sp/800/82/r3/final</t>
        </is>
      </c>
    </row>
    <row r="249" ht="15" customHeight="1" s="508">
      <c r="A249" s="972" t="inlineStr">
        <is>
          <t>Nation State</t>
        </is>
      </c>
      <c r="B249" s="972" t="inlineStr">
        <is>
          <t>Safety System Compromise</t>
        </is>
      </c>
      <c r="C249" s="972" t="inlineStr">
        <is>
          <t>T0861</t>
        </is>
      </c>
      <c r="D249" s="972" t="inlineStr">
        <is>
          <t>Point &amp; Tag Identification</t>
        </is>
      </c>
      <c r="E249" s="972" t="inlineStr">
        <is>
          <t>S4</t>
        </is>
      </c>
      <c r="F249" s="972" t="inlineStr">
        <is>
          <t>Candidate enabling technique</t>
        </is>
      </c>
      <c r="G249" s="972" t="inlineStr">
        <is>
          <t>Yes</t>
        </is>
      </c>
      <c r="H249" s="972" t="inlineStr">
        <is>
          <t>Yes</t>
        </is>
      </c>
      <c r="I249" s="972" t="inlineStr">
        <is>
          <t>Yes</t>
        </is>
      </c>
      <c r="J249" s="972" t="n">
        <v>8</v>
      </c>
      <c r="K249" s="972" t="inlineStr">
        <is>
          <t>Model Mapping</t>
        </is>
      </c>
      <c r="L249" s="452" t="inlineStr">
        <is>
          <t>https://attack.mitre.org/techniques/T0861</t>
        </is>
      </c>
      <c r="M249" s="973" t="inlineStr">
        <is>
          <t>Yes</t>
        </is>
      </c>
      <c r="N249" s="973" t="inlineStr">
        <is>
          <t>No explicit facility gate — defaults feasible</t>
        </is>
      </c>
      <c r="O249" s="973" t="inlineStr">
        <is>
          <t>Point &amp; Tag Identification can support discovery or interaction with process state, control assets and operational data in Power Generation environments.</t>
        </is>
      </c>
      <c r="P249" s="973" t="inlineStr">
        <is>
          <t>https://csrc.nist.gov/pubs/sp/800/82/r3/final</t>
        </is>
      </c>
    </row>
    <row r="250" ht="15" customHeight="1" s="508">
      <c r="A250" s="972" t="inlineStr">
        <is>
          <t>Nation State</t>
        </is>
      </c>
      <c r="B250" s="972" t="inlineStr">
        <is>
          <t>Safety System Compromise</t>
        </is>
      </c>
      <c r="C250" s="972" t="inlineStr">
        <is>
          <t>T0846.001</t>
        </is>
      </c>
      <c r="D250" s="972" t="inlineStr">
        <is>
          <t>Port Scan</t>
        </is>
      </c>
      <c r="E250" s="972" t="inlineStr">
        <is>
          <t>S4</t>
        </is>
      </c>
      <c r="F250" s="972" t="inlineStr">
        <is>
          <t>Candidate enabling technique</t>
        </is>
      </c>
      <c r="G250" s="972" t="inlineStr">
        <is>
          <t>Yes</t>
        </is>
      </c>
      <c r="H250" s="972" t="inlineStr">
        <is>
          <t>Yes</t>
        </is>
      </c>
      <c r="I250" s="972" t="inlineStr">
        <is>
          <t>Yes</t>
        </is>
      </c>
      <c r="J250" s="972" t="n">
        <v>3</v>
      </c>
      <c r="K250" s="972" t="inlineStr">
        <is>
          <t>Model Mapping</t>
        </is>
      </c>
      <c r="L250" s="452" t="inlineStr">
        <is>
          <t>https://attack.mitre.org/techniques/T0846/001</t>
        </is>
      </c>
      <c r="M250" s="973" t="inlineStr">
        <is>
          <t>Yes</t>
        </is>
      </c>
      <c r="N250" s="973" t="inlineStr">
        <is>
          <t>No explicit facility gate — defaults feasible</t>
        </is>
      </c>
      <c r="O250" s="973" t="inlineStr">
        <is>
          <t>Port Scan can support discovery or interaction with process state, control assets and operational data in Power Generation environments.</t>
        </is>
      </c>
      <c r="P250" s="973" t="inlineStr">
        <is>
          <t>https://csrc.nist.gov/pubs/sp/800/82/r3/final</t>
        </is>
      </c>
    </row>
    <row r="251" ht="15" customHeight="1" s="508">
      <c r="A251" s="972" t="inlineStr">
        <is>
          <t>Nation State</t>
        </is>
      </c>
      <c r="B251" s="972" t="inlineStr">
        <is>
          <t>Safety System Compromise</t>
        </is>
      </c>
      <c r="C251" s="972" t="inlineStr">
        <is>
          <t>T0843.003</t>
        </is>
      </c>
      <c r="D251" s="972" t="inlineStr">
        <is>
          <t>Program Append</t>
        </is>
      </c>
      <c r="E251" s="972" t="inlineStr">
        <is>
          <t>S3</t>
        </is>
      </c>
      <c r="F251" s="972" t="inlineStr">
        <is>
          <t>Candidate enabling technique</t>
        </is>
      </c>
      <c r="G251" s="972" t="inlineStr">
        <is>
          <t>Yes</t>
        </is>
      </c>
      <c r="H251" s="972" t="inlineStr">
        <is>
          <t>Yes</t>
        </is>
      </c>
      <c r="I251" s="972" t="inlineStr">
        <is>
          <t>Yes</t>
        </is>
      </c>
      <c r="J251" s="972" t="n">
        <v>10</v>
      </c>
      <c r="K251" s="972" t="inlineStr">
        <is>
          <t>Model Mapping</t>
        </is>
      </c>
      <c r="L251" s="452" t="inlineStr">
        <is>
          <t>https://attack.mitre.org/techniques/T0843/003</t>
        </is>
      </c>
      <c r="M251" s="973" t="inlineStr">
        <is>
          <t>Yes</t>
        </is>
      </c>
      <c r="N251" s="973" t="inlineStr">
        <is>
          <t>No explicit facility gate — defaults feasible</t>
        </is>
      </c>
      <c r="O251" s="973" t="inlineStr">
        <is>
          <t>Program Append can support movement toward or within plant/control zones; actual reachability is governed by the assessed facility architecture.</t>
        </is>
      </c>
      <c r="P251" s="973" t="inlineStr">
        <is>
          <t>https://csrc.nist.gov/pubs/sp/800/82/r3/final</t>
        </is>
      </c>
    </row>
    <row r="252" ht="15" customHeight="1" s="508">
      <c r="A252" s="972" t="inlineStr">
        <is>
          <t>Nation State</t>
        </is>
      </c>
      <c r="B252" s="972" t="inlineStr">
        <is>
          <t>Safety System Compromise</t>
        </is>
      </c>
      <c r="C252" s="972" t="inlineStr">
        <is>
          <t>T0845</t>
        </is>
      </c>
      <c r="D252" s="972" t="inlineStr">
        <is>
          <t>Program Upload</t>
        </is>
      </c>
      <c r="E252" s="972" t="inlineStr">
        <is>
          <t>S4</t>
        </is>
      </c>
      <c r="F252" s="972" t="inlineStr">
        <is>
          <t>Candidate enabling technique</t>
        </is>
      </c>
      <c r="G252" s="972" t="inlineStr">
        <is>
          <t>Yes</t>
        </is>
      </c>
      <c r="H252" s="972" t="inlineStr">
        <is>
          <t>Yes</t>
        </is>
      </c>
      <c r="I252" s="972" t="inlineStr">
        <is>
          <t>Yes</t>
        </is>
      </c>
      <c r="J252" s="972" t="n">
        <v>8</v>
      </c>
      <c r="K252" s="972" t="inlineStr">
        <is>
          <t>Model Mapping</t>
        </is>
      </c>
      <c r="L252" s="452" t="inlineStr">
        <is>
          <t>https://attack.mitre.org/techniques/T0845</t>
        </is>
      </c>
      <c r="M252" s="973" t="inlineStr">
        <is>
          <t>Yes</t>
        </is>
      </c>
      <c r="N252" s="973" t="inlineStr">
        <is>
          <t>No explicit facility gate — defaults feasible</t>
        </is>
      </c>
      <c r="O252" s="973" t="inlineStr">
        <is>
          <t>Program Upload can support discovery or interaction with process state, control assets and operational data in Power Generation environments.</t>
        </is>
      </c>
      <c r="P252" s="973" t="inlineStr">
        <is>
          <t>https://csrc.nist.gov/pubs/sp/800/82/r3/final</t>
        </is>
      </c>
    </row>
    <row r="253" ht="15" customHeight="1" s="508">
      <c r="A253" s="972" t="inlineStr">
        <is>
          <t>Nation State</t>
        </is>
      </c>
      <c r="B253" s="972" t="inlineStr">
        <is>
          <t>Safety System Compromise</t>
        </is>
      </c>
      <c r="C253" s="972" t="inlineStr">
        <is>
          <t>T0886</t>
        </is>
      </c>
      <c r="D253" s="972" t="inlineStr">
        <is>
          <t>Remote Services</t>
        </is>
      </c>
      <c r="E253" s="972" t="inlineStr">
        <is>
          <t>S1</t>
        </is>
      </c>
      <c r="F253" s="972" t="inlineStr">
        <is>
          <t>Candidate enabling technique</t>
        </is>
      </c>
      <c r="G253" s="972" t="inlineStr">
        <is>
          <t>Yes</t>
        </is>
      </c>
      <c r="H253" s="972" t="inlineStr">
        <is>
          <t>Yes</t>
        </is>
      </c>
      <c r="I253" s="972" t="inlineStr">
        <is>
          <t>Yes</t>
        </is>
      </c>
      <c r="J253" s="972" t="n">
        <v>9</v>
      </c>
      <c r="K253" s="972" t="inlineStr">
        <is>
          <t>Model Mapping</t>
        </is>
      </c>
      <c r="L253" s="452" t="inlineStr">
        <is>
          <t>https://attack.mitre.org/techniques/T0886</t>
        </is>
      </c>
      <c r="M253" s="973" t="inlineStr">
        <is>
          <t>Yes</t>
        </is>
      </c>
      <c r="N253" s="973" t="inlineStr">
        <is>
          <t>REMOTE_OR_ITOT — Remote path or IT-OT connection</t>
        </is>
      </c>
      <c r="O253" s="973" t="inlineStr">
        <is>
          <t>The Remote Services route is credible for Power Generation OT when the enabling access condition exists; existing facility gates determine remote, internet, transient, supply-chain or wireless feasibility.</t>
        </is>
      </c>
      <c r="P253" s="973" t="inlineStr">
        <is>
          <t>https://csrc.nist.gov/pubs/sp/800/82/r3/final</t>
        </is>
      </c>
    </row>
    <row r="254" ht="15" customHeight="1" s="508">
      <c r="A254" s="972" t="inlineStr">
        <is>
          <t>Nation State</t>
        </is>
      </c>
      <c r="B254" s="972" t="inlineStr">
        <is>
          <t>Safety System Compromise</t>
        </is>
      </c>
      <c r="C254" s="972" t="inlineStr">
        <is>
          <t>T0888</t>
        </is>
      </c>
      <c r="D254" s="972" t="inlineStr">
        <is>
          <t>Remote System Information Discovery</t>
        </is>
      </c>
      <c r="E254" s="972" t="inlineStr">
        <is>
          <t>S4</t>
        </is>
      </c>
      <c r="F254" s="972" t="inlineStr">
        <is>
          <t>Candidate enabling technique</t>
        </is>
      </c>
      <c r="G254" s="972" t="inlineStr">
        <is>
          <t>Yes</t>
        </is>
      </c>
      <c r="H254" s="972" t="inlineStr">
        <is>
          <t>Yes</t>
        </is>
      </c>
      <c r="I254" s="972" t="inlineStr">
        <is>
          <t>Yes</t>
        </is>
      </c>
      <c r="J254" s="972" t="n">
        <v>1</v>
      </c>
      <c r="K254" s="972" t="inlineStr">
        <is>
          <t>Model Mapping</t>
        </is>
      </c>
      <c r="L254" s="452" t="inlineStr">
        <is>
          <t>https://attack.mitre.org/techniques/T0888</t>
        </is>
      </c>
      <c r="M254" s="973" t="inlineStr">
        <is>
          <t>Yes</t>
        </is>
      </c>
      <c r="N254" s="973" t="inlineStr">
        <is>
          <t>No explicit facility gate — defaults feasible</t>
        </is>
      </c>
      <c r="O254" s="973" t="inlineStr">
        <is>
          <t>Remote System Information Discovery can support discovery or interaction with process state, control assets and operational data in Power Generation environments.</t>
        </is>
      </c>
      <c r="P254" s="973" t="inlineStr">
        <is>
          <t>https://csrc.nist.gov/pubs/sp/800/82/r3/final</t>
        </is>
      </c>
    </row>
    <row r="255" ht="15" customHeight="1" s="508">
      <c r="A255" s="972" t="inlineStr">
        <is>
          <t>Nation State</t>
        </is>
      </c>
      <c r="B255" s="972" t="inlineStr">
        <is>
          <t>Safety System Compromise</t>
        </is>
      </c>
      <c r="C255" s="972" t="inlineStr">
        <is>
          <t>T0847</t>
        </is>
      </c>
      <c r="D255" s="972" t="inlineStr">
        <is>
          <t>Replication Through Removable Media</t>
        </is>
      </c>
      <c r="E255" s="972" t="inlineStr">
        <is>
          <t>S1</t>
        </is>
      </c>
      <c r="F255" s="972" t="inlineStr">
        <is>
          <t>Candidate enabling technique</t>
        </is>
      </c>
      <c r="G255" s="972" t="inlineStr">
        <is>
          <t>Yes</t>
        </is>
      </c>
      <c r="H255" s="972" t="inlineStr">
        <is>
          <t>Yes</t>
        </is>
      </c>
      <c r="I255" s="972" t="inlineStr">
        <is>
          <t>Yes</t>
        </is>
      </c>
      <c r="J255" s="972" t="n">
        <v>3</v>
      </c>
      <c r="K255" s="972" t="inlineStr">
        <is>
          <t>Model Mapping</t>
        </is>
      </c>
      <c r="L255" s="452" t="inlineStr">
        <is>
          <t>https://attack.mitre.org/techniques/T0847</t>
        </is>
      </c>
      <c r="M255" s="973" t="inlineStr">
        <is>
          <t>Yes</t>
        </is>
      </c>
      <c r="N255" s="973" t="inlineStr">
        <is>
          <t>TRANSIENT_REQUIRED — Not None</t>
        </is>
      </c>
      <c r="O255" s="973" t="inlineStr">
        <is>
          <t>The Replication Through Removable Media route is credible for Power Generation OT when the enabling access condition exists; existing facility gates determine remote, internet, transient, supply-chain or wireless feasibility.</t>
        </is>
      </c>
      <c r="P255" s="973" t="inlineStr">
        <is>
          <t>https://csrc.nist.gov/pubs/sp/800/82/r3/final</t>
        </is>
      </c>
    </row>
    <row r="256" ht="15" customHeight="1" s="508">
      <c r="A256" s="972" t="inlineStr">
        <is>
          <t>Nation State</t>
        </is>
      </c>
      <c r="B256" s="972" t="inlineStr">
        <is>
          <t>Safety System Compromise</t>
        </is>
      </c>
      <c r="C256" s="972" t="inlineStr">
        <is>
          <t>T1691.002</t>
        </is>
      </c>
      <c r="D256" s="972" t="inlineStr">
        <is>
          <t>Reporting Message</t>
        </is>
      </c>
      <c r="E256" s="972" t="inlineStr">
        <is>
          <t>S5</t>
        </is>
      </c>
      <c r="F256" s="972" t="inlineStr">
        <is>
          <t>Supporting / impact</t>
        </is>
      </c>
      <c r="G256" s="972" t="inlineStr">
        <is>
          <t>Yes</t>
        </is>
      </c>
      <c r="H256" s="972" t="inlineStr">
        <is>
          <t>Yes</t>
        </is>
      </c>
      <c r="I256" s="972" t="inlineStr">
        <is>
          <t>Yes</t>
        </is>
      </c>
      <c r="J256" s="972" t="n">
        <v>3</v>
      </c>
      <c r="K256" s="972" t="inlineStr">
        <is>
          <t>Model Mapping</t>
        </is>
      </c>
      <c r="L256" s="452" t="inlineStr">
        <is>
          <t>https://attack.mitre.org/techniques/T1691/002</t>
        </is>
      </c>
      <c r="M256" s="973" t="inlineStr">
        <is>
          <t>Yes</t>
        </is>
      </c>
      <c r="N256" s="973" t="inlineStr">
        <is>
          <t>No explicit facility gate — defaults feasible</t>
        </is>
      </c>
      <c r="O256" s="973" t="inlineStr">
        <is>
          <t>Reporting Message is an ATT&amp;CK for ICS impact or response-inhibition technique that can support one or more governed adverse scenarios; scenario role remains controlled on 09.</t>
        </is>
      </c>
      <c r="P256" s="973" t="inlineStr">
        <is>
          <t>https://csrc.nist.gov/pubs/sp/800/82/r3/final</t>
        </is>
      </c>
    </row>
    <row r="257" ht="15" customHeight="1" s="508">
      <c r="A257" s="972" t="inlineStr">
        <is>
          <t>Nation State</t>
        </is>
      </c>
      <c r="B257" s="972" t="inlineStr">
        <is>
          <t>Safety System Compromise</t>
        </is>
      </c>
      <c r="C257" s="972" t="inlineStr">
        <is>
          <t>T0848</t>
        </is>
      </c>
      <c r="D257" s="972" t="inlineStr">
        <is>
          <t>Rogue Master</t>
        </is>
      </c>
      <c r="E257" s="972" t="inlineStr">
        <is>
          <t>S1</t>
        </is>
      </c>
      <c r="F257" s="972" t="inlineStr">
        <is>
          <t>Candidate enabling technique</t>
        </is>
      </c>
      <c r="G257" s="972" t="inlineStr">
        <is>
          <t>Yes</t>
        </is>
      </c>
      <c r="H257" s="972" t="inlineStr">
        <is>
          <t>Yes</t>
        </is>
      </c>
      <c r="I257" s="972" t="inlineStr">
        <is>
          <t>Yes</t>
        </is>
      </c>
      <c r="J257" s="972" t="n">
        <v>5</v>
      </c>
      <c r="K257" s="972" t="inlineStr">
        <is>
          <t>Model Mapping</t>
        </is>
      </c>
      <c r="L257" s="452" t="inlineStr">
        <is>
          <t>https://attack.mitre.org/techniques/T0848</t>
        </is>
      </c>
      <c r="M257" s="973" t="inlineStr">
        <is>
          <t>Yes</t>
        </is>
      </c>
      <c r="N257" s="973" t="inlineStr">
        <is>
          <t>No explicit facility gate — defaults feasible</t>
        </is>
      </c>
      <c r="O257" s="973" t="inlineStr">
        <is>
          <t>The Rogue Master route is credible for Power Generation OT when the enabling access condition exists; existing facility gates determine remote, internet, transient, supply-chain or wireless feasibility.</t>
        </is>
      </c>
      <c r="P257" s="973" t="inlineStr">
        <is>
          <t>https://csrc.nist.gov/pubs/sp/800/82/r3/final</t>
        </is>
      </c>
    </row>
    <row r="258" ht="15" customHeight="1" s="508">
      <c r="A258" s="972" t="inlineStr">
        <is>
          <t>Nation State</t>
        </is>
      </c>
      <c r="B258" s="972" t="inlineStr">
        <is>
          <t>Safety System Compromise</t>
        </is>
      </c>
      <c r="C258" s="972" t="inlineStr">
        <is>
          <t>T0851</t>
        </is>
      </c>
      <c r="D258" s="972" t="inlineStr">
        <is>
          <t>Rootkit</t>
        </is>
      </c>
      <c r="E258" s="972" t="inlineStr">
        <is>
          <t>S2</t>
        </is>
      </c>
      <c r="F258" s="972" t="inlineStr">
        <is>
          <t>Candidate enabling technique</t>
        </is>
      </c>
      <c r="G258" s="972" t="inlineStr">
        <is>
          <t>Yes</t>
        </is>
      </c>
      <c r="H258" s="972" t="inlineStr">
        <is>
          <t>Yes</t>
        </is>
      </c>
      <c r="I258" s="972" t="inlineStr">
        <is>
          <t>Yes</t>
        </is>
      </c>
      <c r="J258" s="972" t="n">
        <v>2</v>
      </c>
      <c r="K258" s="972" t="inlineStr">
        <is>
          <t>RECLASSIFIED v1.2: Rootkit hides malware and connections through OS manipulation — an evasion technique, not a safety-system outcome.</t>
        </is>
      </c>
      <c r="L258" s="452" t="inlineStr">
        <is>
          <t>https://attack.mitre.org/techniques/T0851</t>
        </is>
      </c>
      <c r="M258" s="973" t="inlineStr">
        <is>
          <t>Yes</t>
        </is>
      </c>
      <c r="N258" s="973" t="inlineStr">
        <is>
          <t>No explicit facility gate — defaults feasible</t>
        </is>
      </c>
      <c r="O258" s="973" t="inlineStr">
        <is>
          <t>Rootkit is an ATT&amp;CK for ICS impact or response-inhibition technique that can support one or more governed adverse scenarios; scenario role remains controlled on 09.</t>
        </is>
      </c>
      <c r="P258" s="973" t="inlineStr">
        <is>
          <t>https://csrc.nist.gov/pubs/sp/800/82/r3/final</t>
        </is>
      </c>
    </row>
    <row r="259" ht="15" customHeight="1" s="508">
      <c r="A259" s="972" t="inlineStr">
        <is>
          <t>Nation State</t>
        </is>
      </c>
      <c r="B259" s="972" t="inlineStr">
        <is>
          <t>Safety System Compromise</t>
        </is>
      </c>
      <c r="C259" s="972" t="inlineStr">
        <is>
          <t>T0852</t>
        </is>
      </c>
      <c r="D259" s="972" t="inlineStr">
        <is>
          <t>Screen Capture</t>
        </is>
      </c>
      <c r="E259" s="972" t="inlineStr">
        <is>
          <t>S4</t>
        </is>
      </c>
      <c r="F259" s="972" t="inlineStr">
        <is>
          <t>Candidate enabling technique</t>
        </is>
      </c>
      <c r="G259" s="972" t="inlineStr">
        <is>
          <t>Yes</t>
        </is>
      </c>
      <c r="H259" s="972" t="inlineStr">
        <is>
          <t>Yes</t>
        </is>
      </c>
      <c r="I259" s="972" t="inlineStr">
        <is>
          <t>Yes</t>
        </is>
      </c>
      <c r="J259" s="972" t="n">
        <v>1</v>
      </c>
      <c r="K259" s="972" t="inlineStr">
        <is>
          <t>Model Mapping</t>
        </is>
      </c>
      <c r="L259" s="452" t="inlineStr">
        <is>
          <t>https://attack.mitre.org/techniques/T0852</t>
        </is>
      </c>
      <c r="M259" s="973" t="inlineStr">
        <is>
          <t>Yes</t>
        </is>
      </c>
      <c r="N259" s="973" t="inlineStr">
        <is>
          <t>No explicit facility gate — defaults feasible</t>
        </is>
      </c>
      <c r="O259" s="973" t="inlineStr">
        <is>
          <t>Screen Capture can support discovery or interaction with process state, control assets and operational data in Power Generation environments.</t>
        </is>
      </c>
      <c r="P259" s="973" t="inlineStr">
        <is>
          <t>https://csrc.nist.gov/pubs/sp/800/82/r3/final</t>
        </is>
      </c>
    </row>
    <row r="260" ht="15" customHeight="1" s="508">
      <c r="A260" s="972" t="inlineStr">
        <is>
          <t>Nation State</t>
        </is>
      </c>
      <c r="B260" s="972" t="inlineStr">
        <is>
          <t>Safety System Compromise</t>
        </is>
      </c>
      <c r="C260" s="972" t="inlineStr">
        <is>
          <t>T0853</t>
        </is>
      </c>
      <c r="D260" s="972" t="inlineStr">
        <is>
          <t>Scripting</t>
        </is>
      </c>
      <c r="E260" s="972" t="inlineStr">
        <is>
          <t>S2</t>
        </is>
      </c>
      <c r="F260" s="972" t="inlineStr">
        <is>
          <t>Candidate enabling technique</t>
        </is>
      </c>
      <c r="G260" s="972" t="inlineStr">
        <is>
          <t>Yes</t>
        </is>
      </c>
      <c r="H260" s="972" t="inlineStr">
        <is>
          <t>Yes</t>
        </is>
      </c>
      <c r="I260" s="972" t="inlineStr">
        <is>
          <t>Yes</t>
        </is>
      </c>
      <c r="J260" s="972" t="n">
        <v>3</v>
      </c>
      <c r="K260" s="972" t="inlineStr">
        <is>
          <t>Model Mapping</t>
        </is>
      </c>
      <c r="L260" s="452" t="inlineStr">
        <is>
          <t>https://attack.mitre.org/techniques/T0853</t>
        </is>
      </c>
      <c r="M260" s="973" t="inlineStr">
        <is>
          <t>Yes</t>
        </is>
      </c>
      <c r="N260" s="973" t="inlineStr">
        <is>
          <t>No explicit facility gate — defaults feasible</t>
        </is>
      </c>
      <c r="O260" s="973" t="inlineStr">
        <is>
          <t>Scripting is applicable to execution or persistence on engineering workstations, HMIs, servers or controllers used in Power Generation facilities.</t>
        </is>
      </c>
      <c r="P260" s="973" t="inlineStr">
        <is>
          <t>https://csrc.nist.gov/pubs/sp/800/82/r3/final</t>
        </is>
      </c>
    </row>
    <row r="261" ht="15" customHeight="1" s="508">
      <c r="A261" s="972" t="inlineStr">
        <is>
          <t>Nation State</t>
        </is>
      </c>
      <c r="B261" s="972" t="inlineStr">
        <is>
          <t>Safety System Compromise</t>
        </is>
      </c>
      <c r="C261" s="972" t="inlineStr">
        <is>
          <t>T1695.001</t>
        </is>
      </c>
      <c r="D261" s="972" t="inlineStr">
        <is>
          <t>Serial COM</t>
        </is>
      </c>
      <c r="E261" s="972" t="inlineStr">
        <is>
          <t>S5</t>
        </is>
      </c>
      <c r="F261" s="972" t="inlineStr">
        <is>
          <t>Supporting / impact</t>
        </is>
      </c>
      <c r="G261" s="972" t="inlineStr">
        <is>
          <t>Yes</t>
        </is>
      </c>
      <c r="H261" s="972" t="inlineStr">
        <is>
          <t>Yes</t>
        </is>
      </c>
      <c r="I261" s="972" t="inlineStr">
        <is>
          <t>Yes</t>
        </is>
      </c>
      <c r="J261" s="972" t="n">
        <v>3</v>
      </c>
      <c r="K261" s="972" t="inlineStr">
        <is>
          <t>Model Mapping</t>
        </is>
      </c>
      <c r="L261" s="452" t="inlineStr">
        <is>
          <t>https://attack.mitre.org/techniques/T1695/001</t>
        </is>
      </c>
      <c r="M261" s="973" t="inlineStr">
        <is>
          <t>Yes</t>
        </is>
      </c>
      <c r="N261" s="973" t="inlineStr">
        <is>
          <t>No explicit facility gate — defaults feasible</t>
        </is>
      </c>
      <c r="O261" s="973" t="inlineStr">
        <is>
          <t>Serial COM is an ATT&amp;CK for ICS impact or response-inhibition technique that can support one or more governed adverse scenarios; scenario role remains controlled on 09.</t>
        </is>
      </c>
      <c r="P261" s="973" t="inlineStr">
        <is>
          <t>https://csrc.nist.gov/pubs/sp/800/82/r3/final</t>
        </is>
      </c>
    </row>
    <row r="262" ht="15" customHeight="1" s="508">
      <c r="A262" s="972" t="inlineStr">
        <is>
          <t>Nation State</t>
        </is>
      </c>
      <c r="B262" s="972" t="inlineStr">
        <is>
          <t>Safety System Compromise</t>
        </is>
      </c>
      <c r="C262" s="972" t="inlineStr">
        <is>
          <t>T0873.001</t>
        </is>
      </c>
      <c r="D262" s="972" t="inlineStr">
        <is>
          <t>Siemens Project File Format</t>
        </is>
      </c>
      <c r="E262" s="972" t="inlineStr">
        <is>
          <t>S2</t>
        </is>
      </c>
      <c r="F262" s="972" t="inlineStr">
        <is>
          <t>Candidate enabling technique</t>
        </is>
      </c>
      <c r="G262" s="972" t="inlineStr">
        <is>
          <t>Yes</t>
        </is>
      </c>
      <c r="H262" s="972" t="inlineStr">
        <is>
          <t>Yes</t>
        </is>
      </c>
      <c r="I262" s="972" t="inlineStr">
        <is>
          <t>Yes</t>
        </is>
      </c>
      <c r="J262" s="972" t="n">
        <v>4</v>
      </c>
      <c r="K262" s="972" t="inlineStr">
        <is>
          <t>Model Mapping</t>
        </is>
      </c>
      <c r="L262" s="452" t="inlineStr">
        <is>
          <t>https://attack.mitre.org/techniques/T0873/001</t>
        </is>
      </c>
      <c r="M262" s="973" t="inlineStr">
        <is>
          <t>Yes</t>
        </is>
      </c>
      <c r="N262" s="973" t="inlineStr">
        <is>
          <t>No explicit facility gate — defaults feasible</t>
        </is>
      </c>
      <c r="O262" s="973" t="inlineStr">
        <is>
          <t>Siemens Project File Format is applicable to execution or persistence on engineering workstations, HMIs, servers or controllers used in Power Generation facilities.</t>
        </is>
      </c>
      <c r="P262" s="973" t="inlineStr">
        <is>
          <t>https://csrc.nist.gov/pubs/sp/800/82/r3/final</t>
        </is>
      </c>
    </row>
    <row r="263" ht="15" customHeight="1" s="508">
      <c r="A263" s="972" t="inlineStr">
        <is>
          <t>Nation State</t>
        </is>
      </c>
      <c r="B263" s="972" t="inlineStr">
        <is>
          <t>Safety System Compromise</t>
        </is>
      </c>
      <c r="C263" s="972" t="inlineStr">
        <is>
          <t>T0865</t>
        </is>
      </c>
      <c r="D263" s="972" t="inlineStr">
        <is>
          <t>Spearphishing Attachment</t>
        </is>
      </c>
      <c r="E263" s="972" t="inlineStr">
        <is>
          <t>S1</t>
        </is>
      </c>
      <c r="F263" s="972" t="inlineStr">
        <is>
          <t>Candidate enabling technique</t>
        </is>
      </c>
      <c r="G263" s="972" t="inlineStr">
        <is>
          <t>Yes</t>
        </is>
      </c>
      <c r="H263" s="972" t="inlineStr">
        <is>
          <t>Yes</t>
        </is>
      </c>
      <c r="I263" s="972" t="inlineStr">
        <is>
          <t>Yes</t>
        </is>
      </c>
      <c r="J263" s="972" t="n">
        <v>4</v>
      </c>
      <c r="K263" s="972" t="inlineStr">
        <is>
          <t>Model Mapping</t>
        </is>
      </c>
      <c r="L263" s="452" t="inlineStr">
        <is>
          <t>https://attack.mitre.org/techniques/T0865</t>
        </is>
      </c>
      <c r="M263" s="973" t="inlineStr">
        <is>
          <t>Yes</t>
        </is>
      </c>
      <c r="N263" s="973" t="inlineStr">
        <is>
          <t>No explicit facility gate — defaults feasible</t>
        </is>
      </c>
      <c r="O263" s="973" t="inlineStr">
        <is>
          <t>The Spearphishing Attachment route is credible for Power Generation OT when the enabling access condition exists; existing facility gates determine remote, internet, transient, supply-chain or wireless feasibility.</t>
        </is>
      </c>
      <c r="P263" s="973" t="inlineStr">
        <is>
          <t>https://csrc.nist.gov/pubs/sp/800/82/r3/final</t>
        </is>
      </c>
    </row>
    <row r="264" ht="15" customHeight="1" s="508">
      <c r="A264" s="972" t="inlineStr">
        <is>
          <t>Nation State</t>
        </is>
      </c>
      <c r="B264" s="972" t="inlineStr">
        <is>
          <t>Safety System Compromise</t>
        </is>
      </c>
      <c r="C264" s="972" t="inlineStr">
        <is>
          <t>T0869</t>
        </is>
      </c>
      <c r="D264" s="972" t="inlineStr">
        <is>
          <t>Standard Application Layer Protocol</t>
        </is>
      </c>
      <c r="E264" s="972" t="inlineStr">
        <is>
          <t>S3</t>
        </is>
      </c>
      <c r="F264" s="972" t="inlineStr">
        <is>
          <t>Candidate enabling technique</t>
        </is>
      </c>
      <c r="G264" s="972" t="inlineStr">
        <is>
          <t>Yes</t>
        </is>
      </c>
      <c r="H264" s="972" t="inlineStr">
        <is>
          <t>Yes</t>
        </is>
      </c>
      <c r="I264" s="972" t="inlineStr">
        <is>
          <t>Yes</t>
        </is>
      </c>
      <c r="J264" s="972" t="n">
        <v>3</v>
      </c>
      <c r="K264" s="972" t="inlineStr">
        <is>
          <t>Model Mapping</t>
        </is>
      </c>
      <c r="L264" s="452" t="inlineStr">
        <is>
          <t>https://attack.mitre.org/techniques/T0869</t>
        </is>
      </c>
      <c r="M264" s="973" t="inlineStr">
        <is>
          <t>Yes</t>
        </is>
      </c>
      <c r="N264" s="973" t="inlineStr">
        <is>
          <t>No explicit facility gate — defaults feasible</t>
        </is>
      </c>
      <c r="O264" s="973" t="inlineStr">
        <is>
          <t>Standard Application Layer Protocol can support movement toward or within plant/control zones; actual reachability is governed by the assessed facility architecture.</t>
        </is>
      </c>
      <c r="P264" s="973" t="inlineStr">
        <is>
          <t>https://csrc.nist.gov/pubs/sp/800/82/r3/final</t>
        </is>
      </c>
    </row>
    <row r="265" ht="15" customHeight="1" s="508">
      <c r="A265" s="972" t="inlineStr">
        <is>
          <t>Nation State</t>
        </is>
      </c>
      <c r="B265" s="972" t="inlineStr">
        <is>
          <t>Safety System Compromise</t>
        </is>
      </c>
      <c r="C265" s="972" t="inlineStr">
        <is>
          <t>T0862</t>
        </is>
      </c>
      <c r="D265" s="972" t="inlineStr">
        <is>
          <t>Supply Chain Compromise</t>
        </is>
      </c>
      <c r="E265" s="972" t="inlineStr">
        <is>
          <t>S1</t>
        </is>
      </c>
      <c r="F265" s="972" t="inlineStr">
        <is>
          <t>Candidate enabling technique</t>
        </is>
      </c>
      <c r="G265" s="972" t="inlineStr">
        <is>
          <t>Yes</t>
        </is>
      </c>
      <c r="H265" s="972" t="inlineStr">
        <is>
          <t>Yes</t>
        </is>
      </c>
      <c r="I265" s="972" t="inlineStr">
        <is>
          <t>Yes</t>
        </is>
      </c>
      <c r="J265" s="972" t="n">
        <v>5</v>
      </c>
      <c r="K265" s="972" t="inlineStr">
        <is>
          <t>Model Mapping</t>
        </is>
      </c>
      <c r="L265" s="452" t="inlineStr">
        <is>
          <t>https://attack.mitre.org/techniques/T0862</t>
        </is>
      </c>
      <c r="M265" s="973" t="inlineStr">
        <is>
          <t>Yes</t>
        </is>
      </c>
      <c r="N265" s="973" t="inlineStr">
        <is>
          <t>SUPPLY_CHAIN — Yes</t>
        </is>
      </c>
      <c r="O265" s="973" t="inlineStr">
        <is>
          <t>The Supply Chain Compromise route is credible for Power Generation OT when the enabling access condition exists; existing facility gates determine remote, internet, transient, supply-chain or wireless feasibility.</t>
        </is>
      </c>
      <c r="P265" s="973" t="inlineStr">
        <is>
          <t>https://csrc.nist.gov/pubs/sp/800/82/r3/final</t>
        </is>
      </c>
    </row>
    <row r="266" ht="15" customHeight="1" s="508">
      <c r="A266" s="972" t="inlineStr">
        <is>
          <t>Nation State</t>
        </is>
      </c>
      <c r="B266" s="972" t="inlineStr">
        <is>
          <t>Safety System Compromise</t>
        </is>
      </c>
      <c r="C266" s="972" t="inlineStr">
        <is>
          <t>T0894</t>
        </is>
      </c>
      <c r="D266" s="972" t="inlineStr">
        <is>
          <t>System Binary Proxy Execution</t>
        </is>
      </c>
      <c r="E266" s="972" t="inlineStr">
        <is>
          <t>S2</t>
        </is>
      </c>
      <c r="F266" s="972" t="inlineStr">
        <is>
          <t>Candidate enabling technique</t>
        </is>
      </c>
      <c r="G266" s="972" t="inlineStr">
        <is>
          <t>Yes</t>
        </is>
      </c>
      <c r="H266" s="972" t="inlineStr">
        <is>
          <t>Yes</t>
        </is>
      </c>
      <c r="I266" s="972" t="inlineStr">
        <is>
          <t>Yes</t>
        </is>
      </c>
      <c r="J266" s="972" t="n">
        <v>1</v>
      </c>
      <c r="K266" s="972" t="inlineStr">
        <is>
          <t>Model Mapping</t>
        </is>
      </c>
      <c r="L266" s="452" t="inlineStr">
        <is>
          <t>https://attack.mitre.org/techniques/T0894</t>
        </is>
      </c>
      <c r="M266" s="973" t="inlineStr">
        <is>
          <t>Yes</t>
        </is>
      </c>
      <c r="N266" s="973" t="inlineStr">
        <is>
          <t>No explicit facility gate — defaults feasible</t>
        </is>
      </c>
      <c r="O266" s="973" t="inlineStr">
        <is>
          <t>System Binary Proxy Execution is applicable to execution or persistence on engineering workstations, HMIs, servers or controllers used in Power Generation facilities.</t>
        </is>
      </c>
      <c r="P266" s="973" t="inlineStr">
        <is>
          <t>https://csrc.nist.gov/pubs/sp/800/82/r3/final</t>
        </is>
      </c>
    </row>
    <row r="267" ht="15" customHeight="1" s="508">
      <c r="A267" s="972" t="inlineStr">
        <is>
          <t>Nation State</t>
        </is>
      </c>
      <c r="B267" s="972" t="inlineStr">
        <is>
          <t>Safety System Compromise</t>
        </is>
      </c>
      <c r="C267" s="972" t="inlineStr">
        <is>
          <t>T0864</t>
        </is>
      </c>
      <c r="D267" s="972" t="inlineStr">
        <is>
          <t>Transient Cyber Asset</t>
        </is>
      </c>
      <c r="E267" s="972" t="inlineStr">
        <is>
          <t>S1</t>
        </is>
      </c>
      <c r="F267" s="972" t="inlineStr">
        <is>
          <t>Candidate enabling technique</t>
        </is>
      </c>
      <c r="G267" s="972" t="inlineStr">
        <is>
          <t>Yes</t>
        </is>
      </c>
      <c r="H267" s="972" t="inlineStr">
        <is>
          <t>Yes</t>
        </is>
      </c>
      <c r="I267" s="972" t="inlineStr">
        <is>
          <t>Yes</t>
        </is>
      </c>
      <c r="J267" s="972" t="n">
        <v>5</v>
      </c>
      <c r="K267" s="972" t="inlineStr">
        <is>
          <t>Model Mapping</t>
        </is>
      </c>
      <c r="L267" s="452" t="inlineStr">
        <is>
          <t>https://attack.mitre.org/techniques/T0864</t>
        </is>
      </c>
      <c r="M267" s="973" t="inlineStr">
        <is>
          <t>Yes</t>
        </is>
      </c>
      <c r="N267" s="973" t="inlineStr">
        <is>
          <t>TRANSIENT_REQUIRED — Not None</t>
        </is>
      </c>
      <c r="O267" s="973" t="inlineStr">
        <is>
          <t>The Transient Cyber Asset route is credible for Power Generation OT when the enabling access condition exists; existing facility gates determine remote, internet, transient, supply-chain or wireless feasibility.</t>
        </is>
      </c>
      <c r="P267" s="973" t="inlineStr">
        <is>
          <t>https://csrc.nist.gov/pubs/sp/800/82/r3/final</t>
        </is>
      </c>
    </row>
    <row r="268" ht="15" customHeight="1" s="508">
      <c r="A268" s="972" t="inlineStr">
        <is>
          <t>Nation State</t>
        </is>
      </c>
      <c r="B268" s="972" t="inlineStr">
        <is>
          <t>Safety System Compromise</t>
        </is>
      </c>
      <c r="C268" s="972" t="inlineStr">
        <is>
          <t>T0863</t>
        </is>
      </c>
      <c r="D268" s="972" t="inlineStr">
        <is>
          <t>User Execution</t>
        </is>
      </c>
      <c r="E268" s="972" t="inlineStr">
        <is>
          <t>S2</t>
        </is>
      </c>
      <c r="F268" s="972" t="inlineStr">
        <is>
          <t>Candidate enabling technique</t>
        </is>
      </c>
      <c r="G268" s="972" t="inlineStr">
        <is>
          <t>Yes</t>
        </is>
      </c>
      <c r="H268" s="972" t="inlineStr">
        <is>
          <t>Yes</t>
        </is>
      </c>
      <c r="I268" s="972" t="inlineStr">
        <is>
          <t>Yes</t>
        </is>
      </c>
      <c r="J268" s="972" t="n">
        <v>6</v>
      </c>
      <c r="K268" s="972" t="inlineStr">
        <is>
          <t>Model Mapping</t>
        </is>
      </c>
      <c r="L268" s="452" t="inlineStr">
        <is>
          <t>https://attack.mitre.org/techniques/T0863</t>
        </is>
      </c>
      <c r="M268" s="973" t="inlineStr">
        <is>
          <t>Yes</t>
        </is>
      </c>
      <c r="N268" s="973" t="inlineStr">
        <is>
          <t>No explicit facility gate — defaults feasible</t>
        </is>
      </c>
      <c r="O268" s="973" t="inlineStr">
        <is>
          <t>User Execution is applicable to execution or persistence on engineering workstations, HMIs, servers or controllers used in Power Generation facilities.</t>
        </is>
      </c>
      <c r="P268" s="973" t="inlineStr">
        <is>
          <t>https://csrc.nist.gov/pubs/sp/800/82/r3/final</t>
        </is>
      </c>
    </row>
    <row r="269" ht="15" customHeight="1" s="508">
      <c r="A269" s="972" t="inlineStr">
        <is>
          <t>Nation State</t>
        </is>
      </c>
      <c r="B269" s="972" t="inlineStr">
        <is>
          <t>Safety System Compromise</t>
        </is>
      </c>
      <c r="C269" s="972" t="inlineStr">
        <is>
          <t>T0859</t>
        </is>
      </c>
      <c r="D269" s="972" t="inlineStr">
        <is>
          <t>Valid Accounts</t>
        </is>
      </c>
      <c r="E269" s="972" t="inlineStr">
        <is>
          <t>S3</t>
        </is>
      </c>
      <c r="F269" s="972" t="inlineStr">
        <is>
          <t>Candidate enabling technique</t>
        </is>
      </c>
      <c r="G269" s="972" t="inlineStr">
        <is>
          <t>Yes</t>
        </is>
      </c>
      <c r="H269" s="972" t="inlineStr">
        <is>
          <t>Yes</t>
        </is>
      </c>
      <c r="I269" s="972" t="inlineStr">
        <is>
          <t>Yes</t>
        </is>
      </c>
      <c r="J269" s="972" t="n">
        <v>10</v>
      </c>
      <c r="K269" s="972" t="inlineStr">
        <is>
          <t>Model Mapping</t>
        </is>
      </c>
      <c r="L269" s="452" t="inlineStr">
        <is>
          <t>https://attack.mitre.org/techniques/T0859</t>
        </is>
      </c>
      <c r="M269" s="973" t="inlineStr">
        <is>
          <t>Yes</t>
        </is>
      </c>
      <c r="N269" s="973" t="inlineStr">
        <is>
          <t>No explicit facility gate — defaults feasible</t>
        </is>
      </c>
      <c r="O269" s="973" t="inlineStr">
        <is>
          <t>Valid Accounts can support movement toward or within plant/control zones; actual reachability is governed by the assessed facility architecture.</t>
        </is>
      </c>
      <c r="P269" s="973" t="inlineStr">
        <is>
          <t>https://csrc.nist.gov/pubs/sp/800/82/r3/final</t>
        </is>
      </c>
    </row>
    <row r="270" ht="15" customHeight="1" s="508">
      <c r="A270" s="972" t="inlineStr">
        <is>
          <t>Nation State</t>
        </is>
      </c>
      <c r="B270" s="972" t="inlineStr">
        <is>
          <t>Safety System Compromise</t>
        </is>
      </c>
      <c r="C270" s="972" t="inlineStr">
        <is>
          <t>T1695.003</t>
        </is>
      </c>
      <c r="D270" s="972" t="inlineStr">
        <is>
          <t>Wi-Fi</t>
        </is>
      </c>
      <c r="E270" s="972" t="inlineStr">
        <is>
          <t>S5</t>
        </is>
      </c>
      <c r="F270" s="972" t="inlineStr">
        <is>
          <t>Supporting / impact</t>
        </is>
      </c>
      <c r="G270" s="972" t="inlineStr">
        <is>
          <t>Yes</t>
        </is>
      </c>
      <c r="H270" s="972" t="inlineStr">
        <is>
          <t>No</t>
        </is>
      </c>
      <c r="I270" s="972" t="inlineStr">
        <is>
          <t>No</t>
        </is>
      </c>
      <c r="J270" s="972" t="n">
        <v>3</v>
      </c>
      <c r="K270" s="972" t="inlineStr">
        <is>
          <t>Model Mapping</t>
        </is>
      </c>
      <c r="L270" s="452" t="inlineStr">
        <is>
          <t>https://attack.mitre.org/techniques/T1695/003</t>
        </is>
      </c>
      <c r="M270" s="973" t="inlineStr">
        <is>
          <t>Yes</t>
        </is>
      </c>
      <c r="N270" s="973" t="inlineStr">
        <is>
          <t>WIRELESS — Yes</t>
        </is>
      </c>
      <c r="O270" s="973" t="inlineStr">
        <is>
          <t>Wi-Fi is an ATT&amp;CK for ICS impact or response-inhibition technique that can support one or more governed adverse scenarios; scenario role remains controlled on 09.</t>
        </is>
      </c>
      <c r="P270" s="973" t="inlineStr">
        <is>
          <t>https://csrc.nist.gov/pubs/sp/800/82/r3/final</t>
        </is>
      </c>
    </row>
    <row r="271" ht="15" customHeight="1" s="508">
      <c r="A271" s="972" t="inlineStr">
        <is>
          <t>Nation State</t>
        </is>
      </c>
      <c r="B271" s="972" t="inlineStr">
        <is>
          <t>Safety System Compromise</t>
        </is>
      </c>
      <c r="C271" s="972" t="inlineStr">
        <is>
          <t>T0860</t>
        </is>
      </c>
      <c r="D271" s="972" t="inlineStr">
        <is>
          <t>Wireless Compromise</t>
        </is>
      </c>
      <c r="E271" s="972" t="inlineStr">
        <is>
          <t>S1</t>
        </is>
      </c>
      <c r="F271" s="972" t="inlineStr">
        <is>
          <t>Candidate enabling technique</t>
        </is>
      </c>
      <c r="G271" s="972" t="inlineStr">
        <is>
          <t>Yes</t>
        </is>
      </c>
      <c r="H271" s="972" t="inlineStr">
        <is>
          <t>No</t>
        </is>
      </c>
      <c r="I271" s="972" t="inlineStr">
        <is>
          <t>No</t>
        </is>
      </c>
      <c r="J271" s="972" t="n">
        <v>4</v>
      </c>
      <c r="K271" s="972" t="inlineStr">
        <is>
          <t>Model Mapping</t>
        </is>
      </c>
      <c r="L271" s="452" t="inlineStr">
        <is>
          <t>https://attack.mitre.org/techniques/T0860</t>
        </is>
      </c>
      <c r="M271" s="973" t="inlineStr">
        <is>
          <t>Yes</t>
        </is>
      </c>
      <c r="N271" s="973" t="inlineStr">
        <is>
          <t>WIRELESS — Yes</t>
        </is>
      </c>
      <c r="O271" s="973" t="inlineStr">
        <is>
          <t>The Wireless Compromise route is credible for Power Generation OT when the enabling access condition exists; existing facility gates determine remote, internet, transient, supply-chain or wireless feasibility.</t>
        </is>
      </c>
      <c r="P271" s="973" t="inlineStr">
        <is>
          <t>https://csrc.nist.gov/pubs/sp/800/82/r3/final</t>
        </is>
      </c>
    </row>
    <row r="272" ht="15" customHeight="1" s="508">
      <c r="A272" s="972" t="inlineStr">
        <is>
          <t>Nation State</t>
        </is>
      </c>
      <c r="B272" s="972" t="inlineStr">
        <is>
          <t>Safety System Compromise</t>
        </is>
      </c>
      <c r="C272" s="972" t="inlineStr">
        <is>
          <t>T0887</t>
        </is>
      </c>
      <c r="D272" s="972" t="inlineStr">
        <is>
          <t>Wireless Sniffing</t>
        </is>
      </c>
      <c r="E272" s="972" t="inlineStr">
        <is>
          <t>S4</t>
        </is>
      </c>
      <c r="F272" s="972" t="inlineStr">
        <is>
          <t>Candidate enabling technique</t>
        </is>
      </c>
      <c r="G272" s="972" t="inlineStr">
        <is>
          <t>Yes</t>
        </is>
      </c>
      <c r="H272" s="972" t="inlineStr">
        <is>
          <t>No</t>
        </is>
      </c>
      <c r="I272" s="972" t="inlineStr">
        <is>
          <t>No</t>
        </is>
      </c>
      <c r="J272" s="972" t="n">
        <v>2</v>
      </c>
      <c r="K272" s="972" t="inlineStr">
        <is>
          <t>Model Mapping</t>
        </is>
      </c>
      <c r="L272" s="452" t="inlineStr">
        <is>
          <t>https://attack.mitre.org/techniques/T0887</t>
        </is>
      </c>
      <c r="M272" s="973" t="inlineStr">
        <is>
          <t>Yes</t>
        </is>
      </c>
      <c r="N272" s="973" t="inlineStr">
        <is>
          <t>WIRELESS — Yes</t>
        </is>
      </c>
      <c r="O272" s="973" t="inlineStr">
        <is>
          <t>Wireless Sniffing can support discovery or interaction with process state, control assets and operational data in Power Generation environments.</t>
        </is>
      </c>
      <c r="P272" s="973" t="inlineStr">
        <is>
          <t>https://csrc.nist.gov/pubs/sp/800/82/r3/final</t>
        </is>
      </c>
    </row>
    <row r="273" ht="15" customHeight="1" s="508">
      <c r="A273" s="972" t="inlineStr">
        <is>
          <t>Nation State</t>
        </is>
      </c>
      <c r="B273" s="972" t="inlineStr">
        <is>
          <t>Safety System Compromise</t>
        </is>
      </c>
      <c r="C273" s="972" t="inlineStr">
        <is>
          <t>T0837</t>
        </is>
      </c>
      <c r="D273" s="972" t="inlineStr">
        <is>
          <t>Loss of Protection</t>
        </is>
      </c>
      <c r="E273" s="972" t="inlineStr">
        <is>
          <t>S5</t>
        </is>
      </c>
      <c r="F273" s="972" t="inlineStr">
        <is>
          <t>Scenario-defining</t>
        </is>
      </c>
      <c r="G273" s="972" t="inlineStr">
        <is>
          <t>Yes</t>
        </is>
      </c>
      <c r="H273" s="972" t="inlineStr">
        <is>
          <t>Yes</t>
        </is>
      </c>
      <c r="I273" s="972" t="inlineStr">
        <is>
          <t>Yes</t>
        </is>
      </c>
      <c r="J273" s="972" t="n">
        <v>0</v>
      </c>
      <c r="K273" s="972" t="inlineStr">
        <is>
          <t>ADDED v1.2: Loss of Protection compromises protective functions designed to prevent faults, abnormal conditions and equipment damage.</t>
        </is>
      </c>
      <c r="L273" s="452" t="inlineStr">
        <is>
          <t>https://attack.mitre.org/techniques/T0837</t>
        </is>
      </c>
      <c r="M273" s="973" t="inlineStr">
        <is>
          <t>Yes</t>
        </is>
      </c>
      <c r="N273" s="973" t="inlineStr">
        <is>
          <t>No explicit facility gate — defaults feasible</t>
        </is>
      </c>
      <c r="O273" s="973" t="inlineStr">
        <is>
          <t>Loss of Protection is an ATT&amp;CK for ICS impact or response-inhibition technique that can support one or more governed adverse scenarios; scenario role remains controlled on 09.</t>
        </is>
      </c>
      <c r="P273" s="973" t="inlineStr">
        <is>
          <t>https://csrc.nist.gov/pubs/sp/800/82/r3/final</t>
        </is>
      </c>
    </row>
    <row r="274" ht="15" customHeight="1" s="508">
      <c r="A274" s="972" t="inlineStr">
        <is>
          <t>Nation State</t>
        </is>
      </c>
      <c r="B274" s="972" t="inlineStr">
        <is>
          <t>Destructive or Integrity Attack</t>
        </is>
      </c>
      <c r="C274" s="972" t="inlineStr">
        <is>
          <t>T0800</t>
        </is>
      </c>
      <c r="D274" s="972" t="inlineStr">
        <is>
          <t>Activate Firmware Update Mode</t>
        </is>
      </c>
      <c r="E274" s="972" t="inlineStr">
        <is>
          <t>S5</t>
        </is>
      </c>
      <c r="F274" s="972" t="inlineStr">
        <is>
          <t>Supporting / impact</t>
        </is>
      </c>
      <c r="G274" s="972" t="inlineStr">
        <is>
          <t>Yes</t>
        </is>
      </c>
      <c r="H274" s="972" t="inlineStr">
        <is>
          <t>Yes</t>
        </is>
      </c>
      <c r="I274" s="972" t="inlineStr">
        <is>
          <t>Yes</t>
        </is>
      </c>
      <c r="J274" s="972" t="n">
        <v>8</v>
      </c>
      <c r="K274" s="972" t="inlineStr">
        <is>
          <t>RECLASSIFIED v1.2: Activate Firmware Update Mode denies normal functionality but does not itself imply destructive or integrity compromise.</t>
        </is>
      </c>
      <c r="L274" s="452" t="inlineStr">
        <is>
          <t>https://attack.mitre.org/techniques/T0800</t>
        </is>
      </c>
      <c r="M274" s="973" t="inlineStr">
        <is>
          <t>Yes</t>
        </is>
      </c>
      <c r="N274" s="973" t="inlineStr">
        <is>
          <t>No explicit facility gate — defaults feasible</t>
        </is>
      </c>
      <c r="O274" s="973" t="inlineStr">
        <is>
          <t>Activate Firmware Update Mode is an ATT&amp;CK for ICS impact or response-inhibition technique that can support one or more governed adverse scenarios; scenario role remains controlled on 09.</t>
        </is>
      </c>
      <c r="P274" s="973" t="inlineStr">
        <is>
          <t>https://csrc.nist.gov/pubs/sp/800/82/r3/final</t>
        </is>
      </c>
    </row>
    <row r="275" ht="15" customHeight="1" s="508">
      <c r="A275" s="972" t="inlineStr">
        <is>
          <t>Nation State</t>
        </is>
      </c>
      <c r="B275" s="972" t="inlineStr">
        <is>
          <t>Destructive or Integrity Attack</t>
        </is>
      </c>
      <c r="C275" s="972" t="inlineStr">
        <is>
          <t>T0830</t>
        </is>
      </c>
      <c r="D275" s="972" t="inlineStr">
        <is>
          <t>Adversary-in-the-Middle</t>
        </is>
      </c>
      <c r="E275" s="972" t="inlineStr">
        <is>
          <t>S4</t>
        </is>
      </c>
      <c r="F275" s="972" t="inlineStr">
        <is>
          <t>Candidate enabling technique</t>
        </is>
      </c>
      <c r="G275" s="972" t="inlineStr">
        <is>
          <t>Yes</t>
        </is>
      </c>
      <c r="H275" s="972" t="inlineStr">
        <is>
          <t>Yes</t>
        </is>
      </c>
      <c r="I275" s="972" t="inlineStr">
        <is>
          <t>Yes</t>
        </is>
      </c>
      <c r="J275" s="972" t="n">
        <v>8</v>
      </c>
      <c r="K275" s="972" t="inlineStr">
        <is>
          <t>Model Mapping</t>
        </is>
      </c>
      <c r="L275" s="452" t="inlineStr">
        <is>
          <t>https://attack.mitre.org/techniques/T0830</t>
        </is>
      </c>
      <c r="M275" s="973" t="inlineStr">
        <is>
          <t>Yes</t>
        </is>
      </c>
      <c r="N275" s="973" t="inlineStr">
        <is>
          <t>No explicit facility gate — defaults feasible</t>
        </is>
      </c>
      <c r="O275" s="973" t="inlineStr">
        <is>
          <t>Adversary-in-the-Middle can support discovery or interaction with process state, control assets and operational data in Power Generation environments.</t>
        </is>
      </c>
      <c r="P275" s="973" t="inlineStr">
        <is>
          <t>https://csrc.nist.gov/pubs/sp/800/82/r3/final</t>
        </is>
      </c>
    </row>
    <row r="276" ht="15" customHeight="1" s="508">
      <c r="A276" s="972" t="inlineStr">
        <is>
          <t>Nation State</t>
        </is>
      </c>
      <c r="B276" s="972" t="inlineStr">
        <is>
          <t>Destructive or Integrity Attack</t>
        </is>
      </c>
      <c r="C276" s="972" t="inlineStr">
        <is>
          <t>T0802</t>
        </is>
      </c>
      <c r="D276" s="972" t="inlineStr">
        <is>
          <t>Automated Collection</t>
        </is>
      </c>
      <c r="E276" s="972" t="inlineStr">
        <is>
          <t>S4</t>
        </is>
      </c>
      <c r="F276" s="972" t="inlineStr">
        <is>
          <t>Candidate enabling technique</t>
        </is>
      </c>
      <c r="G276" s="972" t="inlineStr">
        <is>
          <t>Yes</t>
        </is>
      </c>
      <c r="H276" s="972" t="inlineStr">
        <is>
          <t>Yes</t>
        </is>
      </c>
      <c r="I276" s="972" t="inlineStr">
        <is>
          <t>Yes</t>
        </is>
      </c>
      <c r="J276" s="972" t="n">
        <v>2</v>
      </c>
      <c r="K276" s="972" t="inlineStr">
        <is>
          <t>Model Mapping</t>
        </is>
      </c>
      <c r="L276" s="452" t="inlineStr">
        <is>
          <t>https://attack.mitre.org/techniques/T0802</t>
        </is>
      </c>
      <c r="M276" s="973" t="inlineStr">
        <is>
          <t>Yes</t>
        </is>
      </c>
      <c r="N276" s="973" t="inlineStr">
        <is>
          <t>No explicit facility gate — defaults feasible</t>
        </is>
      </c>
      <c r="O276" s="973" t="inlineStr">
        <is>
          <t>Automated Collection can support discovery or interaction with process state, control assets and operational data in Power Generation environments.</t>
        </is>
      </c>
      <c r="P276" s="973" t="inlineStr">
        <is>
          <t>https://csrc.nist.gov/pubs/sp/800/82/r3/final</t>
        </is>
      </c>
    </row>
    <row r="277" ht="15" customHeight="1" s="508">
      <c r="A277" s="972" t="inlineStr">
        <is>
          <t>Nation State</t>
        </is>
      </c>
      <c r="B277" s="972" t="inlineStr">
        <is>
          <t>Destructive or Integrity Attack</t>
        </is>
      </c>
      <c r="C277" s="972" t="inlineStr">
        <is>
          <t>T0895</t>
        </is>
      </c>
      <c r="D277" s="972" t="inlineStr">
        <is>
          <t>Autorun Image</t>
        </is>
      </c>
      <c r="E277" s="972" t="inlineStr">
        <is>
          <t>S2</t>
        </is>
      </c>
      <c r="F277" s="972" t="inlineStr">
        <is>
          <t>Candidate enabling technique</t>
        </is>
      </c>
      <c r="G277" s="972" t="inlineStr">
        <is>
          <t>Yes</t>
        </is>
      </c>
      <c r="H277" s="972" t="inlineStr">
        <is>
          <t>Yes</t>
        </is>
      </c>
      <c r="I277" s="972" t="inlineStr">
        <is>
          <t>Yes</t>
        </is>
      </c>
      <c r="J277" s="972" t="n">
        <v>1</v>
      </c>
      <c r="K277" s="972" t="inlineStr">
        <is>
          <t>Model Mapping</t>
        </is>
      </c>
      <c r="L277" s="452" t="inlineStr">
        <is>
          <t>https://attack.mitre.org/techniques/T0895</t>
        </is>
      </c>
      <c r="M277" s="973" t="inlineStr">
        <is>
          <t>Yes</t>
        </is>
      </c>
      <c r="N277" s="973" t="inlineStr">
        <is>
          <t>No explicit facility gate — defaults feasible</t>
        </is>
      </c>
      <c r="O277" s="973" t="inlineStr">
        <is>
          <t>Autorun Image is applicable to execution or persistence on engineering workstations, HMIs, servers or controllers used in Power Generation facilities.</t>
        </is>
      </c>
      <c r="P277" s="973" t="inlineStr">
        <is>
          <t>https://csrc.nist.gov/pubs/sp/800/82/r3/final</t>
        </is>
      </c>
    </row>
    <row r="278" ht="15" customHeight="1" s="508">
      <c r="A278" s="972" t="inlineStr">
        <is>
          <t>Nation State</t>
        </is>
      </c>
      <c r="B278" s="972" t="inlineStr">
        <is>
          <t>Destructive or Integrity Attack</t>
        </is>
      </c>
      <c r="C278" s="972" t="inlineStr">
        <is>
          <t>T0846.002</t>
        </is>
      </c>
      <c r="D278" s="972" t="inlineStr">
        <is>
          <t>Broadcast Discovery</t>
        </is>
      </c>
      <c r="E278" s="972" t="inlineStr">
        <is>
          <t>S4</t>
        </is>
      </c>
      <c r="F278" s="972" t="inlineStr">
        <is>
          <t>Candidate enabling technique</t>
        </is>
      </c>
      <c r="G278" s="972" t="inlineStr">
        <is>
          <t>Yes</t>
        </is>
      </c>
      <c r="H278" s="972" t="inlineStr">
        <is>
          <t>Yes</t>
        </is>
      </c>
      <c r="I278" s="972" t="inlineStr">
        <is>
          <t>Yes</t>
        </is>
      </c>
      <c r="J278" s="972" t="n">
        <v>2</v>
      </c>
      <c r="K278" s="972" t="inlineStr">
        <is>
          <t>Model Mapping</t>
        </is>
      </c>
      <c r="L278" s="452" t="inlineStr">
        <is>
          <t>https://attack.mitre.org/techniques/T0846/002</t>
        </is>
      </c>
      <c r="M278" s="973" t="inlineStr">
        <is>
          <t>Yes</t>
        </is>
      </c>
      <c r="N278" s="973" t="inlineStr">
        <is>
          <t>No explicit facility gate — defaults feasible</t>
        </is>
      </c>
      <c r="O278" s="973" t="inlineStr">
        <is>
          <t>Broadcast Discovery can support discovery or interaction with process state, control assets and operational data in Power Generation environments.</t>
        </is>
      </c>
      <c r="P278" s="973" t="inlineStr">
        <is>
          <t>https://csrc.nist.gov/pubs/sp/800/82/r3/final</t>
        </is>
      </c>
    </row>
    <row r="279" ht="15" customHeight="1" s="508">
      <c r="A279" s="972" t="inlineStr">
        <is>
          <t>Nation State</t>
        </is>
      </c>
      <c r="B279" s="972" t="inlineStr">
        <is>
          <t>Destructive or Integrity Attack</t>
        </is>
      </c>
      <c r="C279" s="972" t="inlineStr">
        <is>
          <t>T0858</t>
        </is>
      </c>
      <c r="D279" s="972" t="inlineStr">
        <is>
          <t>Change Operating Mode</t>
        </is>
      </c>
      <c r="E279" s="972" t="inlineStr">
        <is>
          <t>S2</t>
        </is>
      </c>
      <c r="F279" s="972" t="inlineStr">
        <is>
          <t>Candidate enabling technique</t>
        </is>
      </c>
      <c r="G279" s="972" t="inlineStr">
        <is>
          <t>Yes</t>
        </is>
      </c>
      <c r="H279" s="972" t="inlineStr">
        <is>
          <t>Yes</t>
        </is>
      </c>
      <c r="I279" s="972" t="inlineStr">
        <is>
          <t>Yes</t>
        </is>
      </c>
      <c r="J279" s="972" t="n">
        <v>7</v>
      </c>
      <c r="K279" s="972" t="inlineStr">
        <is>
          <t>Model Mapping</t>
        </is>
      </c>
      <c r="L279" s="452" t="inlineStr">
        <is>
          <t>https://attack.mitre.org/techniques/T0858</t>
        </is>
      </c>
      <c r="M279" s="973" t="inlineStr">
        <is>
          <t>Yes</t>
        </is>
      </c>
      <c r="N279" s="973" t="inlineStr">
        <is>
          <t>No explicit facility gate — defaults feasible</t>
        </is>
      </c>
      <c r="O279" s="973" t="inlineStr">
        <is>
          <t>Change Operating Mode is applicable to execution or persistence on engineering workstations, HMIs, servers or controllers used in Power Generation facilities.</t>
        </is>
      </c>
      <c r="P279" s="973" t="inlineStr">
        <is>
          <t>https://csrc.nist.gov/pubs/sp/800/82/r3/final</t>
        </is>
      </c>
    </row>
    <row r="280" ht="15" customHeight="1" s="508">
      <c r="A280" s="972" t="inlineStr">
        <is>
          <t>Nation State</t>
        </is>
      </c>
      <c r="B280" s="972" t="inlineStr">
        <is>
          <t>Destructive or Integrity Attack</t>
        </is>
      </c>
      <c r="C280" s="972" t="inlineStr">
        <is>
          <t>T0807</t>
        </is>
      </c>
      <c r="D280" s="972" t="inlineStr">
        <is>
          <t>Command-Line Interface</t>
        </is>
      </c>
      <c r="E280" s="972" t="inlineStr">
        <is>
          <t>S2</t>
        </is>
      </c>
      <c r="F280" s="972" t="inlineStr">
        <is>
          <t>Candidate enabling technique</t>
        </is>
      </c>
      <c r="G280" s="972" t="inlineStr">
        <is>
          <t>Yes</t>
        </is>
      </c>
      <c r="H280" s="972" t="inlineStr">
        <is>
          <t>Yes</t>
        </is>
      </c>
      <c r="I280" s="972" t="inlineStr">
        <is>
          <t>Yes</t>
        </is>
      </c>
      <c r="J280" s="972" t="n">
        <v>2</v>
      </c>
      <c r="K280" s="972" t="inlineStr">
        <is>
          <t>Model Mapping</t>
        </is>
      </c>
      <c r="L280" s="452" t="inlineStr">
        <is>
          <t>https://attack.mitre.org/techniques/T0807</t>
        </is>
      </c>
      <c r="M280" s="973" t="inlineStr">
        <is>
          <t>Yes</t>
        </is>
      </c>
      <c r="N280" s="973" t="inlineStr">
        <is>
          <t>No explicit facility gate — defaults feasible</t>
        </is>
      </c>
      <c r="O280" s="973" t="inlineStr">
        <is>
          <t>Command-Line Interface is applicable to execution or persistence on engineering workstations, HMIs, servers or controllers used in Power Generation facilities.</t>
        </is>
      </c>
      <c r="P280" s="973" t="inlineStr">
        <is>
          <t>https://csrc.nist.gov/pubs/sp/800/82/r3/final</t>
        </is>
      </c>
    </row>
    <row r="281" ht="15" customHeight="1" s="508">
      <c r="A281" s="972" t="inlineStr">
        <is>
          <t>Nation State</t>
        </is>
      </c>
      <c r="B281" s="972" t="inlineStr">
        <is>
          <t>Destructive or Integrity Attack</t>
        </is>
      </c>
      <c r="C281" s="972" t="inlineStr">
        <is>
          <t>T0885</t>
        </is>
      </c>
      <c r="D281" s="972" t="inlineStr">
        <is>
          <t>Commonly Used Port</t>
        </is>
      </c>
      <c r="E281" s="972" t="inlineStr">
        <is>
          <t>S3</t>
        </is>
      </c>
      <c r="F281" s="972" t="inlineStr">
        <is>
          <t>Candidate enabling technique</t>
        </is>
      </c>
      <c r="G281" s="972" t="inlineStr">
        <is>
          <t>Yes</t>
        </is>
      </c>
      <c r="H281" s="972" t="inlineStr">
        <is>
          <t>Yes</t>
        </is>
      </c>
      <c r="I281" s="972" t="inlineStr">
        <is>
          <t>Yes</t>
        </is>
      </c>
      <c r="J281" s="972" t="n">
        <v>4</v>
      </c>
      <c r="K281" s="972" t="inlineStr">
        <is>
          <t>Model Mapping</t>
        </is>
      </c>
      <c r="L281" s="452" t="inlineStr">
        <is>
          <t>https://attack.mitre.org/techniques/T0885</t>
        </is>
      </c>
      <c r="M281" s="973" t="inlineStr">
        <is>
          <t>Yes</t>
        </is>
      </c>
      <c r="N281" s="973" t="inlineStr">
        <is>
          <t>No explicit facility gate — defaults feasible</t>
        </is>
      </c>
      <c r="O281" s="973" t="inlineStr">
        <is>
          <t>Commonly Used Port can support movement toward or within plant/control zones; actual reachability is governed by the assessed facility architecture.</t>
        </is>
      </c>
      <c r="P281" s="973" t="inlineStr">
        <is>
          <t>https://csrc.nist.gov/pubs/sp/800/82/r3/final</t>
        </is>
      </c>
    </row>
    <row r="282" ht="15" customHeight="1" s="508">
      <c r="A282" s="972" t="inlineStr">
        <is>
          <t>Nation State</t>
        </is>
      </c>
      <c r="B282" s="972" t="inlineStr">
        <is>
          <t>Destructive or Integrity Attack</t>
        </is>
      </c>
      <c r="C282" s="972" t="inlineStr">
        <is>
          <t>T0884</t>
        </is>
      </c>
      <c r="D282" s="972" t="inlineStr">
        <is>
          <t>Connection Proxy</t>
        </is>
      </c>
      <c r="E282" s="972" t="inlineStr">
        <is>
          <t>S3</t>
        </is>
      </c>
      <c r="F282" s="972" t="inlineStr">
        <is>
          <t>Candidate enabling technique</t>
        </is>
      </c>
      <c r="G282" s="972" t="inlineStr">
        <is>
          <t>Yes</t>
        </is>
      </c>
      <c r="H282" s="972" t="inlineStr">
        <is>
          <t>Yes</t>
        </is>
      </c>
      <c r="I282" s="972" t="inlineStr">
        <is>
          <t>Yes</t>
        </is>
      </c>
      <c r="J282" s="972" t="n">
        <v>4</v>
      </c>
      <c r="K282" s="972" t="inlineStr">
        <is>
          <t>Model Mapping</t>
        </is>
      </c>
      <c r="L282" s="452" t="inlineStr">
        <is>
          <t>https://attack.mitre.org/techniques/T0884</t>
        </is>
      </c>
      <c r="M282" s="973" t="inlineStr">
        <is>
          <t>Yes</t>
        </is>
      </c>
      <c r="N282" s="973" t="inlineStr">
        <is>
          <t>No explicit facility gate — defaults feasible</t>
        </is>
      </c>
      <c r="O282" s="973" t="inlineStr">
        <is>
          <t>Connection Proxy can support movement toward or within plant/control zones; actual reachability is governed by the assessed facility architecture.</t>
        </is>
      </c>
      <c r="P282" s="973" t="inlineStr">
        <is>
          <t>https://csrc.nist.gov/pubs/sp/800/82/r3/final</t>
        </is>
      </c>
    </row>
    <row r="283" ht="15" customHeight="1" s="508">
      <c r="A283" s="972" t="inlineStr">
        <is>
          <t>Nation State</t>
        </is>
      </c>
      <c r="B283" s="972" t="inlineStr">
        <is>
          <t>Destructive or Integrity Attack</t>
        </is>
      </c>
      <c r="C283" s="972" t="inlineStr">
        <is>
          <t>T0809</t>
        </is>
      </c>
      <c r="D283" s="972" t="inlineStr">
        <is>
          <t>Data Destruction</t>
        </is>
      </c>
      <c r="E283" s="972" t="inlineStr">
        <is>
          <t>S5</t>
        </is>
      </c>
      <c r="F283" s="972" t="inlineStr">
        <is>
          <t>Scenario-defining</t>
        </is>
      </c>
      <c r="G283" s="972" t="inlineStr">
        <is>
          <t>Yes</t>
        </is>
      </c>
      <c r="H283" s="972" t="inlineStr">
        <is>
          <t>Yes</t>
        </is>
      </c>
      <c r="I283" s="972" t="inlineStr">
        <is>
          <t>Yes</t>
        </is>
      </c>
      <c r="J283" s="972" t="n">
        <v>3</v>
      </c>
      <c r="K283" s="972" t="inlineStr">
        <is>
          <t>Model Mapping</t>
        </is>
      </c>
      <c r="L283" s="452" t="inlineStr">
        <is>
          <t>https://attack.mitre.org/techniques/T0809</t>
        </is>
      </c>
      <c r="M283" s="973" t="inlineStr">
        <is>
          <t>Yes</t>
        </is>
      </c>
      <c r="N283" s="973" t="inlineStr">
        <is>
          <t>No explicit facility gate — defaults feasible</t>
        </is>
      </c>
      <c r="O283" s="973" t="inlineStr">
        <is>
          <t>Data Destruction is an ATT&amp;CK for ICS impact or response-inhibition technique that can support one or more governed adverse scenarios; scenario role remains controlled on 09.</t>
        </is>
      </c>
      <c r="P283" s="973" t="inlineStr">
        <is>
          <t>https://csrc.nist.gov/pubs/sp/800/82/r3/final</t>
        </is>
      </c>
    </row>
    <row r="284" ht="15" customHeight="1" s="508">
      <c r="A284" s="972" t="inlineStr">
        <is>
          <t>Nation State</t>
        </is>
      </c>
      <c r="B284" s="972" t="inlineStr">
        <is>
          <t>Destructive or Integrity Attack</t>
        </is>
      </c>
      <c r="C284" s="972" t="inlineStr">
        <is>
          <t>T0811</t>
        </is>
      </c>
      <c r="D284" s="972" t="inlineStr">
        <is>
          <t>Data from Information Repositories</t>
        </is>
      </c>
      <c r="E284" s="972" t="inlineStr">
        <is>
          <t>S4</t>
        </is>
      </c>
      <c r="F284" s="972" t="inlineStr">
        <is>
          <t>Candidate enabling technique</t>
        </is>
      </c>
      <c r="G284" s="972" t="inlineStr">
        <is>
          <t>Yes</t>
        </is>
      </c>
      <c r="H284" s="972" t="inlineStr">
        <is>
          <t>Yes</t>
        </is>
      </c>
      <c r="I284" s="972" t="inlineStr">
        <is>
          <t>Yes</t>
        </is>
      </c>
      <c r="J284" s="972" t="n">
        <v>6</v>
      </c>
      <c r="K284" s="972" t="inlineStr">
        <is>
          <t>Model Mapping</t>
        </is>
      </c>
      <c r="L284" s="452" t="inlineStr">
        <is>
          <t>https://attack.mitre.org/techniques/T0811</t>
        </is>
      </c>
      <c r="M284" s="973" t="inlineStr">
        <is>
          <t>Yes</t>
        </is>
      </c>
      <c r="N284" s="973" t="inlineStr">
        <is>
          <t>No explicit facility gate — defaults feasible</t>
        </is>
      </c>
      <c r="O284" s="973" t="inlineStr">
        <is>
          <t>Data from Information Repositories can support discovery or interaction with process state, control assets and operational data in Power Generation environments.</t>
        </is>
      </c>
      <c r="P284" s="973" t="inlineStr">
        <is>
          <t>https://csrc.nist.gov/pubs/sp/800/82/r3/final</t>
        </is>
      </c>
    </row>
    <row r="285" ht="15" customHeight="1" s="508">
      <c r="A285" s="972" t="inlineStr">
        <is>
          <t>Nation State</t>
        </is>
      </c>
      <c r="B285" s="972" t="inlineStr">
        <is>
          <t>Destructive or Integrity Attack</t>
        </is>
      </c>
      <c r="C285" s="972" t="inlineStr">
        <is>
          <t>T0893</t>
        </is>
      </c>
      <c r="D285" s="972" t="inlineStr">
        <is>
          <t>Data from Local System</t>
        </is>
      </c>
      <c r="E285" s="972" t="inlineStr">
        <is>
          <t>S4</t>
        </is>
      </c>
      <c r="F285" s="972" t="inlineStr">
        <is>
          <t>Candidate enabling technique</t>
        </is>
      </c>
      <c r="G285" s="972" t="inlineStr">
        <is>
          <t>Yes</t>
        </is>
      </c>
      <c r="H285" s="972" t="inlineStr">
        <is>
          <t>Yes</t>
        </is>
      </c>
      <c r="I285" s="972" t="inlineStr">
        <is>
          <t>Yes</t>
        </is>
      </c>
      <c r="J285" s="972" t="n">
        <v>4</v>
      </c>
      <c r="K285" s="972" t="inlineStr">
        <is>
          <t>Model Mapping</t>
        </is>
      </c>
      <c r="L285" s="452" t="inlineStr">
        <is>
          <t>https://attack.mitre.org/techniques/T0893</t>
        </is>
      </c>
      <c r="M285" s="973" t="inlineStr">
        <is>
          <t>Yes</t>
        </is>
      </c>
      <c r="N285" s="973" t="inlineStr">
        <is>
          <t>No explicit facility gate — defaults feasible</t>
        </is>
      </c>
      <c r="O285" s="973" t="inlineStr">
        <is>
          <t>Data from Local System can support discovery or interaction with process state, control assets and operational data in Power Generation environments.</t>
        </is>
      </c>
      <c r="P285" s="973" t="inlineStr">
        <is>
          <t>https://csrc.nist.gov/pubs/sp/800/82/r3/final</t>
        </is>
      </c>
    </row>
    <row r="286" ht="15" customHeight="1" s="508">
      <c r="A286" s="972" t="inlineStr">
        <is>
          <t>Nation State</t>
        </is>
      </c>
      <c r="B286" s="972" t="inlineStr">
        <is>
          <t>Destructive or Integrity Attack</t>
        </is>
      </c>
      <c r="C286" s="972" t="inlineStr">
        <is>
          <t>T1694.001</t>
        </is>
      </c>
      <c r="D286" s="972" t="inlineStr">
        <is>
          <t>Default Credentials</t>
        </is>
      </c>
      <c r="E286" s="972" t="inlineStr">
        <is>
          <t>S3</t>
        </is>
      </c>
      <c r="F286" s="972" t="inlineStr">
        <is>
          <t>Candidate enabling technique</t>
        </is>
      </c>
      <c r="G286" s="972" t="inlineStr">
        <is>
          <t>Yes</t>
        </is>
      </c>
      <c r="H286" s="972" t="inlineStr">
        <is>
          <t>Yes</t>
        </is>
      </c>
      <c r="I286" s="972" t="inlineStr">
        <is>
          <t>Yes</t>
        </is>
      </c>
      <c r="J286" s="972" t="n">
        <v>2</v>
      </c>
      <c r="K286" s="972" t="inlineStr">
        <is>
          <t>Model Mapping</t>
        </is>
      </c>
      <c r="L286" s="452" t="inlineStr">
        <is>
          <t>https://attack.mitre.org/techniques/T1694/001</t>
        </is>
      </c>
      <c r="M286" s="973" t="inlineStr">
        <is>
          <t>Yes</t>
        </is>
      </c>
      <c r="N286" s="973" t="inlineStr">
        <is>
          <t>No explicit facility gate — defaults feasible</t>
        </is>
      </c>
      <c r="O286" s="973" t="inlineStr">
        <is>
          <t>Default Credentials can support movement toward or within plant/control zones; actual reachability is governed by the assessed facility architecture.</t>
        </is>
      </c>
      <c r="P286" s="973" t="inlineStr">
        <is>
          <t>https://csrc.nist.gov/pubs/sp/800/82/r3/final</t>
        </is>
      </c>
    </row>
    <row r="287" ht="15" customHeight="1" s="508">
      <c r="A287" s="972" t="inlineStr">
        <is>
          <t>Nation State</t>
        </is>
      </c>
      <c r="B287" s="972" t="inlineStr">
        <is>
          <t>Destructive or Integrity Attack</t>
        </is>
      </c>
      <c r="C287" s="972" t="inlineStr">
        <is>
          <t>T0868</t>
        </is>
      </c>
      <c r="D287" s="972" t="inlineStr">
        <is>
          <t>Detect Operating Mode</t>
        </is>
      </c>
      <c r="E287" s="972" t="inlineStr">
        <is>
          <t>S4</t>
        </is>
      </c>
      <c r="F287" s="972" t="inlineStr">
        <is>
          <t>Candidate enabling technique</t>
        </is>
      </c>
      <c r="G287" s="972" t="inlineStr">
        <is>
          <t>Yes</t>
        </is>
      </c>
      <c r="H287" s="972" t="inlineStr">
        <is>
          <t>Yes</t>
        </is>
      </c>
      <c r="I287" s="972" t="inlineStr">
        <is>
          <t>Yes</t>
        </is>
      </c>
      <c r="J287" s="972" t="n">
        <v>8</v>
      </c>
      <c r="K287" s="972" t="inlineStr">
        <is>
          <t>Model Mapping</t>
        </is>
      </c>
      <c r="L287" s="452" t="inlineStr">
        <is>
          <t>https://attack.mitre.org/techniques/T0868</t>
        </is>
      </c>
      <c r="M287" s="973" t="inlineStr">
        <is>
          <t>Yes</t>
        </is>
      </c>
      <c r="N287" s="973" t="inlineStr">
        <is>
          <t>No explicit facility gate — defaults feasible</t>
        </is>
      </c>
      <c r="O287" s="973" t="inlineStr">
        <is>
          <t>Detect Operating Mode can support discovery or interaction with process state, control assets and operational data in Power Generation environments.</t>
        </is>
      </c>
      <c r="P287" s="973" t="inlineStr">
        <is>
          <t>https://csrc.nist.gov/pubs/sp/800/82/r3/final</t>
        </is>
      </c>
    </row>
    <row r="288" ht="15" customHeight="1" s="508">
      <c r="A288" s="972" t="inlineStr">
        <is>
          <t>Nation State</t>
        </is>
      </c>
      <c r="B288" s="972" t="inlineStr">
        <is>
          <t>Destructive or Integrity Attack</t>
        </is>
      </c>
      <c r="C288" s="972" t="inlineStr">
        <is>
          <t>T0843.001</t>
        </is>
      </c>
      <c r="D288" s="972" t="inlineStr">
        <is>
          <t>Download All</t>
        </is>
      </c>
      <c r="E288" s="972" t="inlineStr">
        <is>
          <t>S3</t>
        </is>
      </c>
      <c r="F288" s="972" t="inlineStr">
        <is>
          <t>Candidate enabling technique</t>
        </is>
      </c>
      <c r="G288" s="972" t="inlineStr">
        <is>
          <t>Yes</t>
        </is>
      </c>
      <c r="H288" s="972" t="inlineStr">
        <is>
          <t>Yes</t>
        </is>
      </c>
      <c r="I288" s="972" t="inlineStr">
        <is>
          <t>Yes</t>
        </is>
      </c>
      <c r="J288" s="972" t="n">
        <v>10</v>
      </c>
      <c r="K288" s="972" t="inlineStr">
        <is>
          <t>Model Mapping</t>
        </is>
      </c>
      <c r="L288" s="452" t="inlineStr">
        <is>
          <t>https://attack.mitre.org/techniques/T0843/001</t>
        </is>
      </c>
      <c r="M288" s="973" t="inlineStr">
        <is>
          <t>Yes</t>
        </is>
      </c>
      <c r="N288" s="973" t="inlineStr">
        <is>
          <t>No explicit facility gate — defaults feasible</t>
        </is>
      </c>
      <c r="O288" s="973" t="inlineStr">
        <is>
          <t>Download All can support movement toward or within plant/control zones; actual reachability is governed by the assessed facility architecture.</t>
        </is>
      </c>
      <c r="P288" s="973" t="inlineStr">
        <is>
          <t>https://csrc.nist.gov/pubs/sp/800/82/r3/final</t>
        </is>
      </c>
    </row>
    <row r="289" ht="15" customHeight="1" s="508">
      <c r="A289" s="972" t="inlineStr">
        <is>
          <t>Nation State</t>
        </is>
      </c>
      <c r="B289" s="972" t="inlineStr">
        <is>
          <t>Destructive or Integrity Attack</t>
        </is>
      </c>
      <c r="C289" s="972" t="inlineStr">
        <is>
          <t>T0817</t>
        </is>
      </c>
      <c r="D289" s="972" t="inlineStr">
        <is>
          <t>Drive-by Compromise</t>
        </is>
      </c>
      <c r="E289" s="972" t="inlineStr">
        <is>
          <t>S1</t>
        </is>
      </c>
      <c r="F289" s="972" t="inlineStr">
        <is>
          <t>Candidate enabling technique</t>
        </is>
      </c>
      <c r="G289" s="972" t="inlineStr">
        <is>
          <t>Yes</t>
        </is>
      </c>
      <c r="H289" s="972" t="inlineStr">
        <is>
          <t>Yes</t>
        </is>
      </c>
      <c r="I289" s="972" t="inlineStr">
        <is>
          <t>Yes</t>
        </is>
      </c>
      <c r="J289" s="972" t="n">
        <v>4</v>
      </c>
      <c r="K289" s="972" t="inlineStr">
        <is>
          <t>Model Mapping</t>
        </is>
      </c>
      <c r="L289" s="452" t="inlineStr">
        <is>
          <t>https://attack.mitre.org/techniques/T0817</t>
        </is>
      </c>
      <c r="M289" s="973" t="inlineStr">
        <is>
          <t>Yes</t>
        </is>
      </c>
      <c r="N289" s="973" t="inlineStr">
        <is>
          <t>No explicit facility gate — defaults feasible</t>
        </is>
      </c>
      <c r="O289" s="973" t="inlineStr">
        <is>
          <t>The Drive-by Compromise route is credible for Power Generation OT when the enabling access condition exists; existing facility gates determine remote, internet, transient, supply-chain or wireless feasibility.</t>
        </is>
      </c>
      <c r="P289" s="973" t="inlineStr">
        <is>
          <t>https://csrc.nist.gov/pubs/sp/800/82/r3/final</t>
        </is>
      </c>
    </row>
    <row r="290" ht="15" customHeight="1" s="508">
      <c r="A290" s="972" t="inlineStr">
        <is>
          <t>Nation State</t>
        </is>
      </c>
      <c r="B290" s="972" t="inlineStr">
        <is>
          <t>Destructive or Integrity Attack</t>
        </is>
      </c>
      <c r="C290" s="972" t="inlineStr">
        <is>
          <t>T0871</t>
        </is>
      </c>
      <c r="D290" s="972" t="inlineStr">
        <is>
          <t>Execution through API</t>
        </is>
      </c>
      <c r="E290" s="972" t="inlineStr">
        <is>
          <t>S2</t>
        </is>
      </c>
      <c r="F290" s="972" t="inlineStr">
        <is>
          <t>Candidate enabling technique</t>
        </is>
      </c>
      <c r="G290" s="972" t="inlineStr">
        <is>
          <t>Yes</t>
        </is>
      </c>
      <c r="H290" s="972" t="inlineStr">
        <is>
          <t>Yes</t>
        </is>
      </c>
      <c r="I290" s="972" t="inlineStr">
        <is>
          <t>Yes</t>
        </is>
      </c>
      <c r="J290" s="972" t="n">
        <v>4</v>
      </c>
      <c r="K290" s="972" t="inlineStr">
        <is>
          <t>Model Mapping</t>
        </is>
      </c>
      <c r="L290" s="452" t="inlineStr">
        <is>
          <t>https://attack.mitre.org/techniques/T0871</t>
        </is>
      </c>
      <c r="M290" s="973" t="inlineStr">
        <is>
          <t>Yes</t>
        </is>
      </c>
      <c r="N290" s="973" t="inlineStr">
        <is>
          <t>No explicit facility gate — defaults feasible</t>
        </is>
      </c>
      <c r="O290" s="973" t="inlineStr">
        <is>
          <t>Execution through API is applicable to execution or persistence on engineering workstations, HMIs, servers or controllers used in Power Generation facilities.</t>
        </is>
      </c>
      <c r="P290" s="973" t="inlineStr">
        <is>
          <t>https://csrc.nist.gov/pubs/sp/800/82/r3/final</t>
        </is>
      </c>
    </row>
    <row r="291" ht="15" customHeight="1" s="508">
      <c r="A291" s="972" t="inlineStr">
        <is>
          <t>Nation State</t>
        </is>
      </c>
      <c r="B291" s="972" t="inlineStr">
        <is>
          <t>Destructive or Integrity Attack</t>
        </is>
      </c>
      <c r="C291" s="972" t="inlineStr">
        <is>
          <t>T0819</t>
        </is>
      </c>
      <c r="D291" s="972" t="inlineStr">
        <is>
          <t>Exploit Public-Facing Application</t>
        </is>
      </c>
      <c r="E291" s="972" t="inlineStr">
        <is>
          <t>S1</t>
        </is>
      </c>
      <c r="F291" s="972" t="inlineStr">
        <is>
          <t>Candidate enabling technique</t>
        </is>
      </c>
      <c r="G291" s="972" t="inlineStr">
        <is>
          <t>Yes</t>
        </is>
      </c>
      <c r="H291" s="972" t="inlineStr">
        <is>
          <t>Yes</t>
        </is>
      </c>
      <c r="I291" s="972" t="inlineStr">
        <is>
          <t>Yes</t>
        </is>
      </c>
      <c r="J291" s="972" t="n">
        <v>6</v>
      </c>
      <c r="K291" s="972" t="inlineStr">
        <is>
          <t>Model Mapping</t>
        </is>
      </c>
      <c r="L291" s="452" t="inlineStr">
        <is>
          <t>https://attack.mitre.org/techniques/T0819</t>
        </is>
      </c>
      <c r="M291" s="973" t="inlineStr">
        <is>
          <t>Yes</t>
        </is>
      </c>
      <c r="N291" s="973" t="inlineStr">
        <is>
          <t>No explicit facility gate — defaults feasible</t>
        </is>
      </c>
      <c r="O291" s="973" t="inlineStr">
        <is>
          <t>The Exploit Public-Facing Application route is credible for Power Generation OT when the enabling access condition exists; existing facility gates determine remote, internet, transient, supply-chain or wireless feasibility.</t>
        </is>
      </c>
      <c r="P291" s="973" t="inlineStr">
        <is>
          <t>https://csrc.nist.gov/pubs/sp/800/82/r3/final</t>
        </is>
      </c>
    </row>
    <row r="292" ht="15" customHeight="1" s="508">
      <c r="A292" s="972" t="inlineStr">
        <is>
          <t>Nation State</t>
        </is>
      </c>
      <c r="B292" s="972" t="inlineStr">
        <is>
          <t>Destructive or Integrity Attack</t>
        </is>
      </c>
      <c r="C292" s="972" t="inlineStr">
        <is>
          <t>T0820</t>
        </is>
      </c>
      <c r="D292" s="972" t="inlineStr">
        <is>
          <t>Exploitation for Evasion</t>
        </is>
      </c>
      <c r="E292" s="972" t="inlineStr">
        <is>
          <t>S2</t>
        </is>
      </c>
      <c r="F292" s="972" t="inlineStr">
        <is>
          <t>Candidate enabling technique</t>
        </is>
      </c>
      <c r="G292" s="972" t="inlineStr">
        <is>
          <t>Yes</t>
        </is>
      </c>
      <c r="H292" s="972" t="inlineStr">
        <is>
          <t>Yes</t>
        </is>
      </c>
      <c r="I292" s="972" t="inlineStr">
        <is>
          <t>Yes</t>
        </is>
      </c>
      <c r="J292" s="972" t="n">
        <v>4</v>
      </c>
      <c r="K292" s="972" t="inlineStr">
        <is>
          <t>Model Mapping</t>
        </is>
      </c>
      <c r="L292" s="452" t="inlineStr">
        <is>
          <t>https://attack.mitre.org/techniques/T0820</t>
        </is>
      </c>
      <c r="M292" s="973" t="inlineStr">
        <is>
          <t>Yes</t>
        </is>
      </c>
      <c r="N292" s="973" t="inlineStr">
        <is>
          <t>No explicit facility gate — defaults feasible</t>
        </is>
      </c>
      <c r="O292" s="973" t="inlineStr">
        <is>
          <t>Exploitation for Evasion is applicable to execution or persistence on engineering workstations, HMIs, servers or controllers used in Power Generation facilities.</t>
        </is>
      </c>
      <c r="P292" s="973" t="inlineStr">
        <is>
          <t>https://csrc.nist.gov/pubs/sp/800/82/r3/final</t>
        </is>
      </c>
    </row>
    <row r="293" ht="15" customHeight="1" s="508">
      <c r="A293" s="972" t="inlineStr">
        <is>
          <t>Nation State</t>
        </is>
      </c>
      <c r="B293" s="972" t="inlineStr">
        <is>
          <t>Destructive or Integrity Attack</t>
        </is>
      </c>
      <c r="C293" s="972" t="inlineStr">
        <is>
          <t>T0890</t>
        </is>
      </c>
      <c r="D293" s="972" t="inlineStr">
        <is>
          <t>Exploitation for Privilege Escalation</t>
        </is>
      </c>
      <c r="E293" s="972" t="inlineStr">
        <is>
          <t>S2</t>
        </is>
      </c>
      <c r="F293" s="972" t="inlineStr">
        <is>
          <t>Candidate enabling technique</t>
        </is>
      </c>
      <c r="G293" s="972" t="inlineStr">
        <is>
          <t>Yes</t>
        </is>
      </c>
      <c r="H293" s="972" t="inlineStr">
        <is>
          <t>Yes</t>
        </is>
      </c>
      <c r="I293" s="972" t="inlineStr">
        <is>
          <t>Yes</t>
        </is>
      </c>
      <c r="J293" s="972" t="n">
        <v>4</v>
      </c>
      <c r="K293" s="972" t="inlineStr">
        <is>
          <t>Model Mapping</t>
        </is>
      </c>
      <c r="L293" s="452" t="inlineStr">
        <is>
          <t>https://attack.mitre.org/techniques/T0890</t>
        </is>
      </c>
      <c r="M293" s="973" t="inlineStr">
        <is>
          <t>Yes</t>
        </is>
      </c>
      <c r="N293" s="973" t="inlineStr">
        <is>
          <t>No explicit facility gate — defaults feasible</t>
        </is>
      </c>
      <c r="O293" s="973" t="inlineStr">
        <is>
          <t>Exploitation for Privilege Escalation is applicable to execution or persistence on engineering workstations, HMIs, servers or controllers used in Power Generation facilities.</t>
        </is>
      </c>
      <c r="P293" s="973" t="inlineStr">
        <is>
          <t>https://csrc.nist.gov/pubs/sp/800/82/r3/final</t>
        </is>
      </c>
    </row>
    <row r="294" ht="15" customHeight="1" s="508">
      <c r="A294" s="972" t="inlineStr">
        <is>
          <t>Nation State</t>
        </is>
      </c>
      <c r="B294" s="972" t="inlineStr">
        <is>
          <t>Destructive or Integrity Attack</t>
        </is>
      </c>
      <c r="C294" s="972" t="inlineStr">
        <is>
          <t>T0866</t>
        </is>
      </c>
      <c r="D294" s="972" t="inlineStr">
        <is>
          <t>Exploitation of Remote Services</t>
        </is>
      </c>
      <c r="E294" s="972" t="inlineStr">
        <is>
          <t>S1</t>
        </is>
      </c>
      <c r="F294" s="972" t="inlineStr">
        <is>
          <t>Candidate enabling technique</t>
        </is>
      </c>
      <c r="G294" s="972" t="inlineStr">
        <is>
          <t>Yes</t>
        </is>
      </c>
      <c r="H294" s="972" t="inlineStr">
        <is>
          <t>Yes</t>
        </is>
      </c>
      <c r="I294" s="972" t="inlineStr">
        <is>
          <t>Yes</t>
        </is>
      </c>
      <c r="J294" s="972" t="n">
        <v>8</v>
      </c>
      <c r="K294" s="972" t="inlineStr">
        <is>
          <t>Model Mapping</t>
        </is>
      </c>
      <c r="L294" s="452" t="inlineStr">
        <is>
          <t>https://attack.mitre.org/techniques/T0866</t>
        </is>
      </c>
      <c r="M294" s="973" t="inlineStr">
        <is>
          <t>Yes</t>
        </is>
      </c>
      <c r="N294" s="973" t="inlineStr">
        <is>
          <t>REMOTE_OR_ITOT — Remote path or IT-OT connection</t>
        </is>
      </c>
      <c r="O294" s="973" t="inlineStr">
        <is>
          <t>The Exploitation of Remote Services route is credible for Power Generation OT when the enabling access condition exists; existing facility gates determine remote, internet, transient, supply-chain or wireless feasibility.</t>
        </is>
      </c>
      <c r="P294" s="973" t="inlineStr">
        <is>
          <t>https://csrc.nist.gov/pubs/sp/800/82/r3/final</t>
        </is>
      </c>
    </row>
    <row r="295" ht="15" customHeight="1" s="508">
      <c r="A295" s="972" t="inlineStr">
        <is>
          <t>Nation State</t>
        </is>
      </c>
      <c r="B295" s="972" t="inlineStr">
        <is>
          <t>Destructive or Integrity Attack</t>
        </is>
      </c>
      <c r="C295" s="972" t="inlineStr">
        <is>
          <t>T0822</t>
        </is>
      </c>
      <c r="D295" s="972" t="inlineStr">
        <is>
          <t>External Remote Services</t>
        </is>
      </c>
      <c r="E295" s="972" t="inlineStr">
        <is>
          <t>S1</t>
        </is>
      </c>
      <c r="F295" s="972" t="inlineStr">
        <is>
          <t>Candidate enabling technique</t>
        </is>
      </c>
      <c r="G295" s="972" t="inlineStr">
        <is>
          <t>Yes</t>
        </is>
      </c>
      <c r="H295" s="972" t="inlineStr">
        <is>
          <t>Yes</t>
        </is>
      </c>
      <c r="I295" s="972" t="inlineStr">
        <is>
          <t>Yes</t>
        </is>
      </c>
      <c r="J295" s="972" t="n">
        <v>7</v>
      </c>
      <c r="K295" s="972" t="inlineStr">
        <is>
          <t>Model Mapping</t>
        </is>
      </c>
      <c r="L295" s="452" t="inlineStr">
        <is>
          <t>https://attack.mitre.org/techniques/T0822</t>
        </is>
      </c>
      <c r="M295" s="973" t="inlineStr">
        <is>
          <t>Yes</t>
        </is>
      </c>
      <c r="N295" s="973" t="inlineStr">
        <is>
          <t>REMOTE_REQUIRED — Not None</t>
        </is>
      </c>
      <c r="O295" s="973" t="inlineStr">
        <is>
          <t>The External Remote Services route is credible for Power Generation OT when the enabling access condition exists; existing facility gates determine remote, internet, transient, supply-chain or wireless feasibility.</t>
        </is>
      </c>
      <c r="P295" s="973" t="inlineStr">
        <is>
          <t>https://csrc.nist.gov/pubs/sp/800/82/r3/final</t>
        </is>
      </c>
    </row>
    <row r="296" ht="15" customHeight="1" s="508">
      <c r="A296" s="972" t="inlineStr">
        <is>
          <t>Nation State</t>
        </is>
      </c>
      <c r="B296" s="972" t="inlineStr">
        <is>
          <t>Destructive or Integrity Attack</t>
        </is>
      </c>
      <c r="C296" s="972" t="inlineStr">
        <is>
          <t>T0823</t>
        </is>
      </c>
      <c r="D296" s="972" t="inlineStr">
        <is>
          <t>Graphical User Interface</t>
        </is>
      </c>
      <c r="E296" s="972" t="inlineStr">
        <is>
          <t>S2</t>
        </is>
      </c>
      <c r="F296" s="972" t="inlineStr">
        <is>
          <t>Candidate enabling technique</t>
        </is>
      </c>
      <c r="G296" s="972" t="inlineStr">
        <is>
          <t>Yes</t>
        </is>
      </c>
      <c r="H296" s="972" t="inlineStr">
        <is>
          <t>Yes</t>
        </is>
      </c>
      <c r="I296" s="972" t="inlineStr">
        <is>
          <t>Yes</t>
        </is>
      </c>
      <c r="J296" s="972" t="n">
        <v>1</v>
      </c>
      <c r="K296" s="972" t="inlineStr">
        <is>
          <t>Model Mapping</t>
        </is>
      </c>
      <c r="L296" s="452" t="inlineStr">
        <is>
          <t>https://attack.mitre.org/techniques/T0823</t>
        </is>
      </c>
      <c r="M296" s="973" t="inlineStr">
        <is>
          <t>Yes</t>
        </is>
      </c>
      <c r="N296" s="973" t="inlineStr">
        <is>
          <t>No explicit facility gate — defaults feasible</t>
        </is>
      </c>
      <c r="O296" s="973" t="inlineStr">
        <is>
          <t>Graphical User Interface is applicable to execution or persistence on engineering workstations, HMIs, servers or controllers used in Power Generation facilities.</t>
        </is>
      </c>
      <c r="P296" s="973" t="inlineStr">
        <is>
          <t>https://csrc.nist.gov/pubs/sp/800/82/r3/final</t>
        </is>
      </c>
    </row>
    <row r="297" ht="15" customHeight="1" s="508">
      <c r="A297" s="972" t="inlineStr">
        <is>
          <t>Nation State</t>
        </is>
      </c>
      <c r="B297" s="972" t="inlineStr">
        <is>
          <t>Destructive or Integrity Attack</t>
        </is>
      </c>
      <c r="C297" s="972" t="inlineStr">
        <is>
          <t>T1694.002</t>
        </is>
      </c>
      <c r="D297" s="972" t="inlineStr">
        <is>
          <t>Hardcoded Credentials</t>
        </is>
      </c>
      <c r="E297" s="972" t="inlineStr">
        <is>
          <t>S3</t>
        </is>
      </c>
      <c r="F297" s="972" t="inlineStr">
        <is>
          <t>Candidate enabling technique</t>
        </is>
      </c>
      <c r="G297" s="972" t="inlineStr">
        <is>
          <t>Yes</t>
        </is>
      </c>
      <c r="H297" s="972" t="inlineStr">
        <is>
          <t>Yes</t>
        </is>
      </c>
      <c r="I297" s="972" t="inlineStr">
        <is>
          <t>Yes</t>
        </is>
      </c>
      <c r="J297" s="972" t="n">
        <v>1</v>
      </c>
      <c r="K297" s="972" t="inlineStr">
        <is>
          <t>Model Mapping</t>
        </is>
      </c>
      <c r="L297" s="452" t="inlineStr">
        <is>
          <t>https://attack.mitre.org/techniques/T1694/002</t>
        </is>
      </c>
      <c r="M297" s="973" t="inlineStr">
        <is>
          <t>Yes</t>
        </is>
      </c>
      <c r="N297" s="973" t="inlineStr">
        <is>
          <t>No explicit facility gate — defaults feasible</t>
        </is>
      </c>
      <c r="O297" s="973" t="inlineStr">
        <is>
          <t>Hardcoded Credentials can support movement toward or within plant/control zones; actual reachability is governed by the assessed facility architecture.</t>
        </is>
      </c>
      <c r="P297" s="973" t="inlineStr">
        <is>
          <t>https://csrc.nist.gov/pubs/sp/800/82/r3/final</t>
        </is>
      </c>
    </row>
    <row r="298" ht="15" customHeight="1" s="508">
      <c r="A298" s="972" t="inlineStr">
        <is>
          <t>Nation State</t>
        </is>
      </c>
      <c r="B298" s="972" t="inlineStr">
        <is>
          <t>Destructive or Integrity Attack</t>
        </is>
      </c>
      <c r="C298" s="972" t="inlineStr">
        <is>
          <t>T0874</t>
        </is>
      </c>
      <c r="D298" s="972" t="inlineStr">
        <is>
          <t>Hooking</t>
        </is>
      </c>
      <c r="E298" s="972" t="inlineStr">
        <is>
          <t>S2</t>
        </is>
      </c>
      <c r="F298" s="972" t="inlineStr">
        <is>
          <t>Candidate enabling technique</t>
        </is>
      </c>
      <c r="G298" s="972" t="inlineStr">
        <is>
          <t>Yes</t>
        </is>
      </c>
      <c r="H298" s="972" t="inlineStr">
        <is>
          <t>Yes</t>
        </is>
      </c>
      <c r="I298" s="972" t="inlineStr">
        <is>
          <t>Yes</t>
        </is>
      </c>
      <c r="J298" s="972" t="n">
        <v>2</v>
      </c>
      <c r="K298" s="972" t="inlineStr">
        <is>
          <t>Model Mapping</t>
        </is>
      </c>
      <c r="L298" s="452" t="inlineStr">
        <is>
          <t>https://attack.mitre.org/techniques/T0874</t>
        </is>
      </c>
      <c r="M298" s="973" t="inlineStr">
        <is>
          <t>Yes</t>
        </is>
      </c>
      <c r="N298" s="973" t="inlineStr">
        <is>
          <t>No explicit facility gate — defaults feasible</t>
        </is>
      </c>
      <c r="O298" s="973" t="inlineStr">
        <is>
          <t>Hooking is applicable to execution or persistence on engineering workstations, HMIs, servers or controllers used in Power Generation facilities.</t>
        </is>
      </c>
      <c r="P298" s="973" t="inlineStr">
        <is>
          <t>https://csrc.nist.gov/pubs/sp/800/82/r3/final</t>
        </is>
      </c>
    </row>
    <row r="299" ht="15" customHeight="1" s="508">
      <c r="A299" s="972" t="inlineStr">
        <is>
          <t>Nation State</t>
        </is>
      </c>
      <c r="B299" s="972" t="inlineStr">
        <is>
          <t>Destructive or Integrity Attack</t>
        </is>
      </c>
      <c r="C299" s="972" t="inlineStr">
        <is>
          <t>T0877</t>
        </is>
      </c>
      <c r="D299" s="972" t="inlineStr">
        <is>
          <t>I/O Image</t>
        </is>
      </c>
      <c r="E299" s="972" t="inlineStr">
        <is>
          <t>S4</t>
        </is>
      </c>
      <c r="F299" s="972" t="inlineStr">
        <is>
          <t>Candidate enabling technique</t>
        </is>
      </c>
      <c r="G299" s="972" t="inlineStr">
        <is>
          <t>Yes</t>
        </is>
      </c>
      <c r="H299" s="972" t="inlineStr">
        <is>
          <t>Yes</t>
        </is>
      </c>
      <c r="I299" s="972" t="inlineStr">
        <is>
          <t>Yes</t>
        </is>
      </c>
      <c r="J299" s="972" t="n">
        <v>1</v>
      </c>
      <c r="K299" s="972" t="inlineStr">
        <is>
          <t>Model Mapping</t>
        </is>
      </c>
      <c r="L299" s="452" t="inlineStr">
        <is>
          <t>https://attack.mitre.org/techniques/T0877</t>
        </is>
      </c>
      <c r="M299" s="973" t="inlineStr">
        <is>
          <t>Yes</t>
        </is>
      </c>
      <c r="N299" s="973" t="inlineStr">
        <is>
          <t>No explicit facility gate — defaults feasible</t>
        </is>
      </c>
      <c r="O299" s="973" t="inlineStr">
        <is>
          <t>I/O Image can support discovery or interaction with process state, control assets and operational data in Power Generation environments.</t>
        </is>
      </c>
      <c r="P299" s="973" t="inlineStr">
        <is>
          <t>https://csrc.nist.gov/pubs/sp/800/82/r3/final</t>
        </is>
      </c>
    </row>
    <row r="300" ht="15" customHeight="1" s="508">
      <c r="A300" s="972" t="inlineStr">
        <is>
          <t>Nation State</t>
        </is>
      </c>
      <c r="B300" s="972" t="inlineStr">
        <is>
          <t>Destructive or Integrity Attack</t>
        </is>
      </c>
      <c r="C300" s="972" t="inlineStr">
        <is>
          <t>T0872</t>
        </is>
      </c>
      <c r="D300" s="972" t="inlineStr">
        <is>
          <t>Indicator Removal on Host</t>
        </is>
      </c>
      <c r="E300" s="972" t="inlineStr">
        <is>
          <t>S2</t>
        </is>
      </c>
      <c r="F300" s="972" t="inlineStr">
        <is>
          <t>Candidate enabling technique</t>
        </is>
      </c>
      <c r="G300" s="972" t="inlineStr">
        <is>
          <t>Yes</t>
        </is>
      </c>
      <c r="H300" s="972" t="inlineStr">
        <is>
          <t>Yes</t>
        </is>
      </c>
      <c r="I300" s="972" t="inlineStr">
        <is>
          <t>Yes</t>
        </is>
      </c>
      <c r="J300" s="972" t="n">
        <v>1</v>
      </c>
      <c r="K300" s="972" t="inlineStr">
        <is>
          <t>Model Mapping</t>
        </is>
      </c>
      <c r="L300" s="452" t="inlineStr">
        <is>
          <t>https://attack.mitre.org/techniques/T0872</t>
        </is>
      </c>
      <c r="M300" s="973" t="inlineStr">
        <is>
          <t>Yes</t>
        </is>
      </c>
      <c r="N300" s="973" t="inlineStr">
        <is>
          <t>No explicit facility gate — defaults feasible</t>
        </is>
      </c>
      <c r="O300" s="973" t="inlineStr">
        <is>
          <t>Indicator Removal on Host is applicable to execution or persistence on engineering workstations, HMIs, servers or controllers used in Power Generation facilities.</t>
        </is>
      </c>
      <c r="P300" s="973" t="inlineStr">
        <is>
          <t>https://csrc.nist.gov/pubs/sp/800/82/r3/final</t>
        </is>
      </c>
    </row>
    <row r="301" ht="15" customHeight="1" s="508">
      <c r="A301" s="972" t="inlineStr">
        <is>
          <t>Nation State</t>
        </is>
      </c>
      <c r="B301" s="972" t="inlineStr">
        <is>
          <t>Destructive or Integrity Attack</t>
        </is>
      </c>
      <c r="C301" s="972" t="inlineStr">
        <is>
          <t>T0883</t>
        </is>
      </c>
      <c r="D301" s="972" t="inlineStr">
        <is>
          <t>Internet Accessible Device</t>
        </is>
      </c>
      <c r="E301" s="972" t="inlineStr">
        <is>
          <t>S1</t>
        </is>
      </c>
      <c r="F301" s="972" t="inlineStr">
        <is>
          <t>Candidate enabling technique</t>
        </is>
      </c>
      <c r="G301" s="972" t="inlineStr">
        <is>
          <t>Yes</t>
        </is>
      </c>
      <c r="H301" s="972" t="inlineStr">
        <is>
          <t>No</t>
        </is>
      </c>
      <c r="I301" s="972" t="inlineStr">
        <is>
          <t>No</t>
        </is>
      </c>
      <c r="J301" s="972" t="n">
        <v>1</v>
      </c>
      <c r="K301" s="972" t="inlineStr">
        <is>
          <t>Model Mapping</t>
        </is>
      </c>
      <c r="L301" s="452" t="inlineStr">
        <is>
          <t>https://attack.mitre.org/techniques/T0883</t>
        </is>
      </c>
      <c r="M301" s="973" t="inlineStr">
        <is>
          <t>Yes</t>
        </is>
      </c>
      <c r="N301" s="973" t="inlineStr">
        <is>
          <t>INTERNET_OT — Yes</t>
        </is>
      </c>
      <c r="O301" s="973" t="inlineStr">
        <is>
          <t>The Internet Accessible Device route is credible for Power Generation OT when the enabling access condition exists; existing facility gates determine remote, internet, transient, supply-chain or wireless feasibility.</t>
        </is>
      </c>
      <c r="P301" s="973" t="inlineStr">
        <is>
          <t>https://csrc.nist.gov/pubs/sp/800/82/r3/final</t>
        </is>
      </c>
    </row>
    <row r="302" ht="15" customHeight="1" s="508">
      <c r="A302" s="972" t="inlineStr">
        <is>
          <t>Nation State</t>
        </is>
      </c>
      <c r="B302" s="972" t="inlineStr">
        <is>
          <t>Destructive or Integrity Attack</t>
        </is>
      </c>
      <c r="C302" s="972" t="inlineStr">
        <is>
          <t>T0867</t>
        </is>
      </c>
      <c r="D302" s="972" t="inlineStr">
        <is>
          <t>Lateral Tool Transfer</t>
        </is>
      </c>
      <c r="E302" s="972" t="inlineStr">
        <is>
          <t>S3</t>
        </is>
      </c>
      <c r="F302" s="972" t="inlineStr">
        <is>
          <t>Candidate enabling technique</t>
        </is>
      </c>
      <c r="G302" s="972" t="inlineStr">
        <is>
          <t>Yes</t>
        </is>
      </c>
      <c r="H302" s="972" t="inlineStr">
        <is>
          <t>Yes</t>
        </is>
      </c>
      <c r="I302" s="972" t="inlineStr">
        <is>
          <t>Yes</t>
        </is>
      </c>
      <c r="J302" s="972" t="n">
        <v>1</v>
      </c>
      <c r="K302" s="972" t="inlineStr">
        <is>
          <t>Model Mapping</t>
        </is>
      </c>
      <c r="L302" s="452" t="inlineStr">
        <is>
          <t>https://attack.mitre.org/techniques/T0867</t>
        </is>
      </c>
      <c r="M302" s="973" t="inlineStr">
        <is>
          <t>Yes</t>
        </is>
      </c>
      <c r="N302" s="973" t="inlineStr">
        <is>
          <t>No explicit facility gate — defaults feasible</t>
        </is>
      </c>
      <c r="O302" s="973" t="inlineStr">
        <is>
          <t>Lateral Tool Transfer can support movement toward or within plant/control zones; actual reachability is governed by the assessed facility architecture.</t>
        </is>
      </c>
      <c r="P302" s="973" t="inlineStr">
        <is>
          <t>https://csrc.nist.gov/pubs/sp/800/82/r3/final</t>
        </is>
      </c>
    </row>
    <row r="303" ht="15" customHeight="1" s="508">
      <c r="A303" s="972" t="inlineStr">
        <is>
          <t>Nation State</t>
        </is>
      </c>
      <c r="B303" s="972" t="inlineStr">
        <is>
          <t>Destructive or Integrity Attack</t>
        </is>
      </c>
      <c r="C303" s="972" t="inlineStr">
        <is>
          <t>T0849</t>
        </is>
      </c>
      <c r="D303" s="972" t="inlineStr">
        <is>
          <t>Masquerading</t>
        </is>
      </c>
      <c r="E303" s="972" t="inlineStr">
        <is>
          <t>S2</t>
        </is>
      </c>
      <c r="F303" s="972" t="inlineStr">
        <is>
          <t>Candidate enabling technique</t>
        </is>
      </c>
      <c r="G303" s="972" t="inlineStr">
        <is>
          <t>Yes</t>
        </is>
      </c>
      <c r="H303" s="972" t="inlineStr">
        <is>
          <t>Yes</t>
        </is>
      </c>
      <c r="I303" s="972" t="inlineStr">
        <is>
          <t>Yes</t>
        </is>
      </c>
      <c r="J303" s="972" t="n">
        <v>3</v>
      </c>
      <c r="K303" s="972" t="inlineStr">
        <is>
          <t>Model Mapping</t>
        </is>
      </c>
      <c r="L303" s="452" t="inlineStr">
        <is>
          <t>https://attack.mitre.org/techniques/T0849</t>
        </is>
      </c>
      <c r="M303" s="973" t="inlineStr">
        <is>
          <t>Yes</t>
        </is>
      </c>
      <c r="N303" s="973" t="inlineStr">
        <is>
          <t>No explicit facility gate — defaults feasible</t>
        </is>
      </c>
      <c r="O303" s="973" t="inlineStr">
        <is>
          <t>Masquerading is applicable to execution or persistence on engineering workstations, HMIs, servers or controllers used in Power Generation facilities.</t>
        </is>
      </c>
      <c r="P303" s="973" t="inlineStr">
        <is>
          <t>https://csrc.nist.gov/pubs/sp/800/82/r3/final</t>
        </is>
      </c>
    </row>
    <row r="304" ht="15" customHeight="1" s="508">
      <c r="A304" s="972" t="inlineStr">
        <is>
          <t>Nation State</t>
        </is>
      </c>
      <c r="B304" s="972" t="inlineStr">
        <is>
          <t>Destructive or Integrity Attack</t>
        </is>
      </c>
      <c r="C304" s="972" t="inlineStr">
        <is>
          <t>T0821</t>
        </is>
      </c>
      <c r="D304" s="972" t="inlineStr">
        <is>
          <t>Modify Controller Tasking</t>
        </is>
      </c>
      <c r="E304" s="972" t="inlineStr">
        <is>
          <t>S5</t>
        </is>
      </c>
      <c r="F304" s="972" t="inlineStr">
        <is>
          <t>Supporting / impact</t>
        </is>
      </c>
      <c r="G304" s="972" t="inlineStr">
        <is>
          <t>Yes</t>
        </is>
      </c>
      <c r="H304" s="972" t="inlineStr">
        <is>
          <t>Yes</t>
        </is>
      </c>
      <c r="I304" s="972" t="inlineStr">
        <is>
          <t>Yes</t>
        </is>
      </c>
      <c r="J304" s="972" t="n">
        <v>4</v>
      </c>
      <c r="K304" s="972" t="inlineStr">
        <is>
          <t>STRENGTHENED v1.2: Modify Controller Tasking as a persistent integrity compromise.</t>
        </is>
      </c>
      <c r="L304" s="452" t="inlineStr">
        <is>
          <t>https://attack.mitre.org/techniques/T0821</t>
        </is>
      </c>
      <c r="M304" s="973" t="inlineStr">
        <is>
          <t>Yes</t>
        </is>
      </c>
      <c r="N304" s="973" t="inlineStr">
        <is>
          <t>No explicit facility gate — defaults feasible</t>
        </is>
      </c>
      <c r="O304" s="973" t="inlineStr">
        <is>
          <t>Modify Controller Tasking is applicable to execution or persistence on engineering workstations, HMIs, servers or controllers used in Power Generation facilities.</t>
        </is>
      </c>
      <c r="P304" s="973" t="inlineStr">
        <is>
          <t>https://csrc.nist.gov/pubs/sp/800/82/r3/final</t>
        </is>
      </c>
    </row>
    <row r="305" ht="15" customHeight="1" s="508">
      <c r="A305" s="972" t="inlineStr">
        <is>
          <t>Nation State</t>
        </is>
      </c>
      <c r="B305" s="972" t="inlineStr">
        <is>
          <t>Destructive or Integrity Attack</t>
        </is>
      </c>
      <c r="C305" s="972" t="inlineStr">
        <is>
          <t>T0889</t>
        </is>
      </c>
      <c r="D305" s="972" t="inlineStr">
        <is>
          <t>Modify Program</t>
        </is>
      </c>
      <c r="E305" s="972" t="inlineStr">
        <is>
          <t>S5</t>
        </is>
      </c>
      <c r="F305" s="972" t="inlineStr">
        <is>
          <t>Supporting / impact</t>
        </is>
      </c>
      <c r="G305" s="972" t="inlineStr">
        <is>
          <t>Yes</t>
        </is>
      </c>
      <c r="H305" s="972" t="inlineStr">
        <is>
          <t>Yes</t>
        </is>
      </c>
      <c r="I305" s="972" t="inlineStr">
        <is>
          <t>Yes</t>
        </is>
      </c>
      <c r="J305" s="972" t="n">
        <v>4</v>
      </c>
      <c r="K305" s="972" t="inlineStr">
        <is>
          <t>STRENGTHENED v1.2: Modify Program where the modification is destructive or a persistent integrity compromise.</t>
        </is>
      </c>
      <c r="L305" s="452" t="inlineStr">
        <is>
          <t>https://attack.mitre.org/techniques/T0889</t>
        </is>
      </c>
      <c r="M305" s="973" t="inlineStr">
        <is>
          <t>Yes</t>
        </is>
      </c>
      <c r="N305" s="973" t="inlineStr">
        <is>
          <t>No explicit facility gate — defaults feasible</t>
        </is>
      </c>
      <c r="O305" s="973" t="inlineStr">
        <is>
          <t>Modify Program is applicable to execution or persistence on engineering workstations, HMIs, servers or controllers used in Power Generation facilities.</t>
        </is>
      </c>
      <c r="P305" s="973" t="inlineStr">
        <is>
          <t>https://csrc.nist.gov/pubs/sp/800/82/r3/final</t>
        </is>
      </c>
    </row>
    <row r="306" ht="15" customHeight="1" s="508">
      <c r="A306" s="972" t="inlineStr">
        <is>
          <t>Nation State</t>
        </is>
      </c>
      <c r="B306" s="972" t="inlineStr">
        <is>
          <t>Destructive or Integrity Attack</t>
        </is>
      </c>
      <c r="C306" s="972" t="inlineStr">
        <is>
          <t>T1693.002</t>
        </is>
      </c>
      <c r="D306" s="972" t="inlineStr">
        <is>
          <t>Module Firmware</t>
        </is>
      </c>
      <c r="E306" s="972" t="inlineStr">
        <is>
          <t>S5</t>
        </is>
      </c>
      <c r="F306" s="972" t="inlineStr">
        <is>
          <t>Scenario-defining</t>
        </is>
      </c>
      <c r="G306" s="972" t="inlineStr">
        <is>
          <t>Yes</t>
        </is>
      </c>
      <c r="H306" s="972" t="inlineStr">
        <is>
          <t>Yes</t>
        </is>
      </c>
      <c r="I306" s="972" t="inlineStr">
        <is>
          <t>Yes</t>
        </is>
      </c>
      <c r="J306" s="972" t="n">
        <v>12</v>
      </c>
      <c r="K306" s="972" t="inlineStr">
        <is>
          <t>Model Mapping</t>
        </is>
      </c>
      <c r="L306" s="452" t="inlineStr">
        <is>
          <t>https://attack.mitre.org/techniques/T1693/002</t>
        </is>
      </c>
      <c r="M306" s="973" t="inlineStr">
        <is>
          <t>Yes</t>
        </is>
      </c>
      <c r="N306" s="973" t="inlineStr">
        <is>
          <t>No explicit facility gate — defaults feasible</t>
        </is>
      </c>
      <c r="O306" s="973" t="inlineStr">
        <is>
          <t>Module Firmware is an ATT&amp;CK for ICS impact or response-inhibition technique that can support one or more governed adverse scenarios; scenario role remains controlled on 09.</t>
        </is>
      </c>
      <c r="P306" s="973" t="inlineStr">
        <is>
          <t>https://csrc.nist.gov/pubs/sp/800/82/r3/final</t>
        </is>
      </c>
    </row>
    <row r="307" ht="15" customHeight="1" s="508">
      <c r="A307" s="972" t="inlineStr">
        <is>
          <t>Nation State</t>
        </is>
      </c>
      <c r="B307" s="972" t="inlineStr">
        <is>
          <t>Destructive or Integrity Attack</t>
        </is>
      </c>
      <c r="C307" s="972" t="inlineStr">
        <is>
          <t>T0801</t>
        </is>
      </c>
      <c r="D307" s="972" t="inlineStr">
        <is>
          <t>Monitor Process State</t>
        </is>
      </c>
      <c r="E307" s="972" t="inlineStr">
        <is>
          <t>S4</t>
        </is>
      </c>
      <c r="F307" s="972" t="inlineStr">
        <is>
          <t>Candidate enabling technique</t>
        </is>
      </c>
      <c r="G307" s="972" t="inlineStr">
        <is>
          <t>Yes</t>
        </is>
      </c>
      <c r="H307" s="972" t="inlineStr">
        <is>
          <t>Yes</t>
        </is>
      </c>
      <c r="I307" s="972" t="inlineStr">
        <is>
          <t>Yes</t>
        </is>
      </c>
      <c r="J307" s="972" t="n">
        <v>1</v>
      </c>
      <c r="K307" s="972" t="inlineStr">
        <is>
          <t>Model Mapping</t>
        </is>
      </c>
      <c r="L307" s="452" t="inlineStr">
        <is>
          <t>https://attack.mitre.org/techniques/T0801</t>
        </is>
      </c>
      <c r="M307" s="973" t="inlineStr">
        <is>
          <t>Yes</t>
        </is>
      </c>
      <c r="N307" s="973" t="inlineStr">
        <is>
          <t>No explicit facility gate — defaults feasible</t>
        </is>
      </c>
      <c r="O307" s="973" t="inlineStr">
        <is>
          <t>Monitor Process State can support discovery or interaction with process state, control assets and operational data in Power Generation environments.</t>
        </is>
      </c>
      <c r="P307" s="973" t="inlineStr">
        <is>
          <t>https://csrc.nist.gov/pubs/sp/800/82/r3/final</t>
        </is>
      </c>
    </row>
    <row r="308" ht="15" customHeight="1" s="508">
      <c r="A308" s="972" t="inlineStr">
        <is>
          <t>Nation State</t>
        </is>
      </c>
      <c r="B308" s="972" t="inlineStr">
        <is>
          <t>Destructive or Integrity Attack</t>
        </is>
      </c>
      <c r="C308" s="972" t="inlineStr">
        <is>
          <t>T0846.003</t>
        </is>
      </c>
      <c r="D308" s="972" t="inlineStr">
        <is>
          <t>Multicast Discovery</t>
        </is>
      </c>
      <c r="E308" s="972" t="inlineStr">
        <is>
          <t>S4</t>
        </is>
      </c>
      <c r="F308" s="972" t="inlineStr">
        <is>
          <t>Candidate enabling technique</t>
        </is>
      </c>
      <c r="G308" s="972" t="inlineStr">
        <is>
          <t>Yes</t>
        </is>
      </c>
      <c r="H308" s="972" t="inlineStr">
        <is>
          <t>Yes</t>
        </is>
      </c>
      <c r="I308" s="972" t="inlineStr">
        <is>
          <t>Yes</t>
        </is>
      </c>
      <c r="J308" s="972" t="n">
        <v>2</v>
      </c>
      <c r="K308" s="972" t="inlineStr">
        <is>
          <t>Model Mapping</t>
        </is>
      </c>
      <c r="L308" s="452" t="inlineStr">
        <is>
          <t>https://attack.mitre.org/techniques/T0846/003</t>
        </is>
      </c>
      <c r="M308" s="973" t="inlineStr">
        <is>
          <t>Yes</t>
        </is>
      </c>
      <c r="N308" s="973" t="inlineStr">
        <is>
          <t>No explicit facility gate — defaults feasible</t>
        </is>
      </c>
      <c r="O308" s="973" t="inlineStr">
        <is>
          <t>Multicast Discovery can support discovery or interaction with process state, control assets and operational data in Power Generation environments.</t>
        </is>
      </c>
      <c r="P308" s="973" t="inlineStr">
        <is>
          <t>https://csrc.nist.gov/pubs/sp/800/82/r3/final</t>
        </is>
      </c>
    </row>
    <row r="309" ht="15" customHeight="1" s="508">
      <c r="A309" s="972" t="inlineStr">
        <is>
          <t>Nation State</t>
        </is>
      </c>
      <c r="B309" s="972" t="inlineStr">
        <is>
          <t>Destructive or Integrity Attack</t>
        </is>
      </c>
      <c r="C309" s="972" t="inlineStr">
        <is>
          <t>T0834</t>
        </is>
      </c>
      <c r="D309" s="972" t="inlineStr">
        <is>
          <t>Native API</t>
        </is>
      </c>
      <c r="E309" s="972" t="inlineStr">
        <is>
          <t>S2</t>
        </is>
      </c>
      <c r="F309" s="972" t="inlineStr">
        <is>
          <t>Candidate enabling technique</t>
        </is>
      </c>
      <c r="G309" s="972" t="inlineStr">
        <is>
          <t>Yes</t>
        </is>
      </c>
      <c r="H309" s="972" t="inlineStr">
        <is>
          <t>Yes</t>
        </is>
      </c>
      <c r="I309" s="972" t="inlineStr">
        <is>
          <t>Yes</t>
        </is>
      </c>
      <c r="J309" s="972" t="n">
        <v>1</v>
      </c>
      <c r="K309" s="972" t="inlineStr">
        <is>
          <t>Model Mapping</t>
        </is>
      </c>
      <c r="L309" s="452" t="inlineStr">
        <is>
          <t>https://attack.mitre.org/techniques/T0834</t>
        </is>
      </c>
      <c r="M309" s="973" t="inlineStr">
        <is>
          <t>Yes</t>
        </is>
      </c>
      <c r="N309" s="973" t="inlineStr">
        <is>
          <t>No explicit facility gate — defaults feasible</t>
        </is>
      </c>
      <c r="O309" s="973" t="inlineStr">
        <is>
          <t>Native API is applicable to execution or persistence on engineering workstations, HMIs, servers or controllers used in Power Generation facilities.</t>
        </is>
      </c>
      <c r="P309" s="973" t="inlineStr">
        <is>
          <t>https://csrc.nist.gov/pubs/sp/800/82/r3/final</t>
        </is>
      </c>
    </row>
    <row r="310" ht="15" customHeight="1" s="508">
      <c r="A310" s="972" t="inlineStr">
        <is>
          <t>Nation State</t>
        </is>
      </c>
      <c r="B310" s="972" t="inlineStr">
        <is>
          <t>Destructive or Integrity Attack</t>
        </is>
      </c>
      <c r="C310" s="972" t="inlineStr">
        <is>
          <t>T0840</t>
        </is>
      </c>
      <c r="D310" s="972" t="inlineStr">
        <is>
          <t>Network Connection Enumeration</t>
        </is>
      </c>
      <c r="E310" s="972" t="inlineStr">
        <is>
          <t>S4</t>
        </is>
      </c>
      <c r="F310" s="972" t="inlineStr">
        <is>
          <t>Candidate enabling technique</t>
        </is>
      </c>
      <c r="G310" s="972" t="inlineStr">
        <is>
          <t>Yes</t>
        </is>
      </c>
      <c r="H310" s="972" t="inlineStr">
        <is>
          <t>Yes</t>
        </is>
      </c>
      <c r="I310" s="972" t="inlineStr">
        <is>
          <t>Yes</t>
        </is>
      </c>
      <c r="J310" s="972" t="n">
        <v>1</v>
      </c>
      <c r="K310" s="972" t="inlineStr">
        <is>
          <t>Model Mapping</t>
        </is>
      </c>
      <c r="L310" s="452" t="inlineStr">
        <is>
          <t>https://attack.mitre.org/techniques/T0840</t>
        </is>
      </c>
      <c r="M310" s="973" t="inlineStr">
        <is>
          <t>Yes</t>
        </is>
      </c>
      <c r="N310" s="973" t="inlineStr">
        <is>
          <t>No explicit facility gate — defaults feasible</t>
        </is>
      </c>
      <c r="O310" s="973" t="inlineStr">
        <is>
          <t>Network Connection Enumeration can support discovery or interaction with process state, control assets and operational data in Power Generation environments.</t>
        </is>
      </c>
      <c r="P310" s="973" t="inlineStr">
        <is>
          <t>https://csrc.nist.gov/pubs/sp/800/82/r3/final</t>
        </is>
      </c>
    </row>
    <row r="311" ht="15" customHeight="1" s="508">
      <c r="A311" s="972" t="inlineStr">
        <is>
          <t>Nation State</t>
        </is>
      </c>
      <c r="B311" s="972" t="inlineStr">
        <is>
          <t>Destructive or Integrity Attack</t>
        </is>
      </c>
      <c r="C311" s="972" t="inlineStr">
        <is>
          <t>T0842</t>
        </is>
      </c>
      <c r="D311" s="972" t="inlineStr">
        <is>
          <t>Network Sniffing</t>
        </is>
      </c>
      <c r="E311" s="972" t="inlineStr">
        <is>
          <t>S4</t>
        </is>
      </c>
      <c r="F311" s="972" t="inlineStr">
        <is>
          <t>Candidate enabling technique</t>
        </is>
      </c>
      <c r="G311" s="972" t="inlineStr">
        <is>
          <t>Yes</t>
        </is>
      </c>
      <c r="H311" s="972" t="inlineStr">
        <is>
          <t>Yes</t>
        </is>
      </c>
      <c r="I311" s="972" t="inlineStr">
        <is>
          <t>Yes</t>
        </is>
      </c>
      <c r="J311" s="972" t="n">
        <v>5</v>
      </c>
      <c r="K311" s="972" t="inlineStr">
        <is>
          <t>Model Mapping</t>
        </is>
      </c>
      <c r="L311" s="452" t="inlineStr">
        <is>
          <t>https://attack.mitre.org/techniques/T0842</t>
        </is>
      </c>
      <c r="M311" s="973" t="inlineStr">
        <is>
          <t>Yes</t>
        </is>
      </c>
      <c r="N311" s="973" t="inlineStr">
        <is>
          <t>No explicit facility gate — defaults feasible</t>
        </is>
      </c>
      <c r="O311" s="973" t="inlineStr">
        <is>
          <t>Network Sniffing can support discovery or interaction with process state, control assets and operational data in Power Generation environments.</t>
        </is>
      </c>
      <c r="P311" s="973" t="inlineStr">
        <is>
          <t>https://csrc.nist.gov/pubs/sp/800/82/r3/final</t>
        </is>
      </c>
    </row>
    <row r="312" ht="15" customHeight="1" s="508">
      <c r="A312" s="972" t="inlineStr">
        <is>
          <t>Nation State</t>
        </is>
      </c>
      <c r="B312" s="972" t="inlineStr">
        <is>
          <t>Destructive or Integrity Attack</t>
        </is>
      </c>
      <c r="C312" s="972" t="inlineStr">
        <is>
          <t>T0843.002</t>
        </is>
      </c>
      <c r="D312" s="972" t="inlineStr">
        <is>
          <t>Online Edit</t>
        </is>
      </c>
      <c r="E312" s="972" t="inlineStr">
        <is>
          <t>S3</t>
        </is>
      </c>
      <c r="F312" s="972" t="inlineStr">
        <is>
          <t>Candidate enabling technique</t>
        </is>
      </c>
      <c r="G312" s="972" t="inlineStr">
        <is>
          <t>Yes</t>
        </is>
      </c>
      <c r="H312" s="972" t="inlineStr">
        <is>
          <t>Yes</t>
        </is>
      </c>
      <c r="I312" s="972" t="inlineStr">
        <is>
          <t>Yes</t>
        </is>
      </c>
      <c r="J312" s="972" t="n">
        <v>10</v>
      </c>
      <c r="K312" s="972" t="inlineStr">
        <is>
          <t>Model Mapping</t>
        </is>
      </c>
      <c r="L312" s="452" t="inlineStr">
        <is>
          <t>https://attack.mitre.org/techniques/T0843/002</t>
        </is>
      </c>
      <c r="M312" s="973" t="inlineStr">
        <is>
          <t>Yes</t>
        </is>
      </c>
      <c r="N312" s="973" t="inlineStr">
        <is>
          <t>No explicit facility gate — defaults feasible</t>
        </is>
      </c>
      <c r="O312" s="973" t="inlineStr">
        <is>
          <t>Online Edit can support movement toward or within plant/control zones; actual reachability is governed by the assessed facility architecture.</t>
        </is>
      </c>
      <c r="P312" s="973" t="inlineStr">
        <is>
          <t>https://csrc.nist.gov/pubs/sp/800/82/r3/final</t>
        </is>
      </c>
    </row>
    <row r="313" ht="15" customHeight="1" s="508">
      <c r="A313" s="972" t="inlineStr">
        <is>
          <t>Nation State</t>
        </is>
      </c>
      <c r="B313" s="972" t="inlineStr">
        <is>
          <t>Destructive or Integrity Attack</t>
        </is>
      </c>
      <c r="C313" s="972" t="inlineStr">
        <is>
          <t>T0861</t>
        </is>
      </c>
      <c r="D313" s="972" t="inlineStr">
        <is>
          <t>Point &amp; Tag Identification</t>
        </is>
      </c>
      <c r="E313" s="972" t="inlineStr">
        <is>
          <t>S4</t>
        </is>
      </c>
      <c r="F313" s="972" t="inlineStr">
        <is>
          <t>Candidate enabling technique</t>
        </is>
      </c>
      <c r="G313" s="972" t="inlineStr">
        <is>
          <t>Yes</t>
        </is>
      </c>
      <c r="H313" s="972" t="inlineStr">
        <is>
          <t>Yes</t>
        </is>
      </c>
      <c r="I313" s="972" t="inlineStr">
        <is>
          <t>Yes</t>
        </is>
      </c>
      <c r="J313" s="972" t="n">
        <v>8</v>
      </c>
      <c r="K313" s="972" t="inlineStr">
        <is>
          <t>Model Mapping</t>
        </is>
      </c>
      <c r="L313" s="452" t="inlineStr">
        <is>
          <t>https://attack.mitre.org/techniques/T0861</t>
        </is>
      </c>
      <c r="M313" s="973" t="inlineStr">
        <is>
          <t>Yes</t>
        </is>
      </c>
      <c r="N313" s="973" t="inlineStr">
        <is>
          <t>No explicit facility gate — defaults feasible</t>
        </is>
      </c>
      <c r="O313" s="973" t="inlineStr">
        <is>
          <t>Point &amp; Tag Identification can support discovery or interaction with process state, control assets and operational data in Power Generation environments.</t>
        </is>
      </c>
      <c r="P313" s="973" t="inlineStr">
        <is>
          <t>https://csrc.nist.gov/pubs/sp/800/82/r3/final</t>
        </is>
      </c>
    </row>
    <row r="314" ht="15" customHeight="1" s="508">
      <c r="A314" s="972" t="inlineStr">
        <is>
          <t>Nation State</t>
        </is>
      </c>
      <c r="B314" s="972" t="inlineStr">
        <is>
          <t>Destructive or Integrity Attack</t>
        </is>
      </c>
      <c r="C314" s="972" t="inlineStr">
        <is>
          <t>T0846.001</t>
        </is>
      </c>
      <c r="D314" s="972" t="inlineStr">
        <is>
          <t>Port Scan</t>
        </is>
      </c>
      <c r="E314" s="972" t="inlineStr">
        <is>
          <t>S4</t>
        </is>
      </c>
      <c r="F314" s="972" t="inlineStr">
        <is>
          <t>Candidate enabling technique</t>
        </is>
      </c>
      <c r="G314" s="972" t="inlineStr">
        <is>
          <t>Yes</t>
        </is>
      </c>
      <c r="H314" s="972" t="inlineStr">
        <is>
          <t>Yes</t>
        </is>
      </c>
      <c r="I314" s="972" t="inlineStr">
        <is>
          <t>Yes</t>
        </is>
      </c>
      <c r="J314" s="972" t="n">
        <v>3</v>
      </c>
      <c r="K314" s="972" t="inlineStr">
        <is>
          <t>Model Mapping</t>
        </is>
      </c>
      <c r="L314" s="452" t="inlineStr">
        <is>
          <t>https://attack.mitre.org/techniques/T0846/001</t>
        </is>
      </c>
      <c r="M314" s="973" t="inlineStr">
        <is>
          <t>Yes</t>
        </is>
      </c>
      <c r="N314" s="973" t="inlineStr">
        <is>
          <t>No explicit facility gate — defaults feasible</t>
        </is>
      </c>
      <c r="O314" s="973" t="inlineStr">
        <is>
          <t>Port Scan can support discovery or interaction with process state, control assets and operational data in Power Generation environments.</t>
        </is>
      </c>
      <c r="P314" s="973" t="inlineStr">
        <is>
          <t>https://csrc.nist.gov/pubs/sp/800/82/r3/final</t>
        </is>
      </c>
    </row>
    <row r="315" ht="15" customHeight="1" s="508">
      <c r="A315" s="972" t="inlineStr">
        <is>
          <t>Nation State</t>
        </is>
      </c>
      <c r="B315" s="972" t="inlineStr">
        <is>
          <t>Destructive or Integrity Attack</t>
        </is>
      </c>
      <c r="C315" s="972" t="inlineStr">
        <is>
          <t>T0843.003</t>
        </is>
      </c>
      <c r="D315" s="972" t="inlineStr">
        <is>
          <t>Program Append</t>
        </is>
      </c>
      <c r="E315" s="972" t="inlineStr">
        <is>
          <t>S3</t>
        </is>
      </c>
      <c r="F315" s="972" t="inlineStr">
        <is>
          <t>Candidate enabling technique</t>
        </is>
      </c>
      <c r="G315" s="972" t="inlineStr">
        <is>
          <t>Yes</t>
        </is>
      </c>
      <c r="H315" s="972" t="inlineStr">
        <is>
          <t>Yes</t>
        </is>
      </c>
      <c r="I315" s="972" t="inlineStr">
        <is>
          <t>Yes</t>
        </is>
      </c>
      <c r="J315" s="972" t="n">
        <v>10</v>
      </c>
      <c r="K315" s="972" t="inlineStr">
        <is>
          <t>Model Mapping</t>
        </is>
      </c>
      <c r="L315" s="452" t="inlineStr">
        <is>
          <t>https://attack.mitre.org/techniques/T0843/003</t>
        </is>
      </c>
      <c r="M315" s="973" t="inlineStr">
        <is>
          <t>Yes</t>
        </is>
      </c>
      <c r="N315" s="973" t="inlineStr">
        <is>
          <t>No explicit facility gate — defaults feasible</t>
        </is>
      </c>
      <c r="O315" s="973" t="inlineStr">
        <is>
          <t>Program Append can support movement toward or within plant/control zones; actual reachability is governed by the assessed facility architecture.</t>
        </is>
      </c>
      <c r="P315" s="973" t="inlineStr">
        <is>
          <t>https://csrc.nist.gov/pubs/sp/800/82/r3/final</t>
        </is>
      </c>
    </row>
    <row r="316" ht="15" customHeight="1" s="508">
      <c r="A316" s="972" t="inlineStr">
        <is>
          <t>Nation State</t>
        </is>
      </c>
      <c r="B316" s="972" t="inlineStr">
        <is>
          <t>Destructive or Integrity Attack</t>
        </is>
      </c>
      <c r="C316" s="972" t="inlineStr">
        <is>
          <t>T0845</t>
        </is>
      </c>
      <c r="D316" s="972" t="inlineStr">
        <is>
          <t>Program Upload</t>
        </is>
      </c>
      <c r="E316" s="972" t="inlineStr">
        <is>
          <t>S4</t>
        </is>
      </c>
      <c r="F316" s="972" t="inlineStr">
        <is>
          <t>Candidate enabling technique</t>
        </is>
      </c>
      <c r="G316" s="972" t="inlineStr">
        <is>
          <t>Yes</t>
        </is>
      </c>
      <c r="H316" s="972" t="inlineStr">
        <is>
          <t>Yes</t>
        </is>
      </c>
      <c r="I316" s="972" t="inlineStr">
        <is>
          <t>Yes</t>
        </is>
      </c>
      <c r="J316" s="972" t="n">
        <v>8</v>
      </c>
      <c r="K316" s="972" t="inlineStr">
        <is>
          <t>Model Mapping</t>
        </is>
      </c>
      <c r="L316" s="452" t="inlineStr">
        <is>
          <t>https://attack.mitre.org/techniques/T0845</t>
        </is>
      </c>
      <c r="M316" s="973" t="inlineStr">
        <is>
          <t>Yes</t>
        </is>
      </c>
      <c r="N316" s="973" t="inlineStr">
        <is>
          <t>No explicit facility gate — defaults feasible</t>
        </is>
      </c>
      <c r="O316" s="973" t="inlineStr">
        <is>
          <t>Program Upload can support discovery or interaction with process state, control assets and operational data in Power Generation environments.</t>
        </is>
      </c>
      <c r="P316" s="973" t="inlineStr">
        <is>
          <t>https://csrc.nist.gov/pubs/sp/800/82/r3/final</t>
        </is>
      </c>
    </row>
    <row r="317" ht="15" customHeight="1" s="508">
      <c r="A317" s="972" t="inlineStr">
        <is>
          <t>Nation State</t>
        </is>
      </c>
      <c r="B317" s="972" t="inlineStr">
        <is>
          <t>Destructive or Integrity Attack</t>
        </is>
      </c>
      <c r="C317" s="972" t="inlineStr">
        <is>
          <t>T0886</t>
        </is>
      </c>
      <c r="D317" s="972" t="inlineStr">
        <is>
          <t>Remote Services</t>
        </is>
      </c>
      <c r="E317" s="972" t="inlineStr">
        <is>
          <t>S1</t>
        </is>
      </c>
      <c r="F317" s="972" t="inlineStr">
        <is>
          <t>Candidate enabling technique</t>
        </is>
      </c>
      <c r="G317" s="972" t="inlineStr">
        <is>
          <t>Yes</t>
        </is>
      </c>
      <c r="H317" s="972" t="inlineStr">
        <is>
          <t>Yes</t>
        </is>
      </c>
      <c r="I317" s="972" t="inlineStr">
        <is>
          <t>Yes</t>
        </is>
      </c>
      <c r="J317" s="972" t="n">
        <v>9</v>
      </c>
      <c r="K317" s="972" t="inlineStr">
        <is>
          <t>Model Mapping</t>
        </is>
      </c>
      <c r="L317" s="452" t="inlineStr">
        <is>
          <t>https://attack.mitre.org/techniques/T0886</t>
        </is>
      </c>
      <c r="M317" s="973" t="inlineStr">
        <is>
          <t>Yes</t>
        </is>
      </c>
      <c r="N317" s="973" t="inlineStr">
        <is>
          <t>REMOTE_OR_ITOT — Remote path or IT-OT connection</t>
        </is>
      </c>
      <c r="O317" s="973" t="inlineStr">
        <is>
          <t>The Remote Services route is credible for Power Generation OT when the enabling access condition exists; existing facility gates determine remote, internet, transient, supply-chain or wireless feasibility.</t>
        </is>
      </c>
      <c r="P317" s="973" t="inlineStr">
        <is>
          <t>https://csrc.nist.gov/pubs/sp/800/82/r3/final</t>
        </is>
      </c>
    </row>
    <row r="318" ht="15" customHeight="1" s="508">
      <c r="A318" s="972" t="inlineStr">
        <is>
          <t>Nation State</t>
        </is>
      </c>
      <c r="B318" s="972" t="inlineStr">
        <is>
          <t>Destructive or Integrity Attack</t>
        </is>
      </c>
      <c r="C318" s="972" t="inlineStr">
        <is>
          <t>T0888</t>
        </is>
      </c>
      <c r="D318" s="972" t="inlineStr">
        <is>
          <t>Remote System Information Discovery</t>
        </is>
      </c>
      <c r="E318" s="972" t="inlineStr">
        <is>
          <t>S4</t>
        </is>
      </c>
      <c r="F318" s="972" t="inlineStr">
        <is>
          <t>Candidate enabling technique</t>
        </is>
      </c>
      <c r="G318" s="972" t="inlineStr">
        <is>
          <t>Yes</t>
        </is>
      </c>
      <c r="H318" s="972" t="inlineStr">
        <is>
          <t>Yes</t>
        </is>
      </c>
      <c r="I318" s="972" t="inlineStr">
        <is>
          <t>Yes</t>
        </is>
      </c>
      <c r="J318" s="972" t="n">
        <v>1</v>
      </c>
      <c r="K318" s="972" t="inlineStr">
        <is>
          <t>Model Mapping</t>
        </is>
      </c>
      <c r="L318" s="452" t="inlineStr">
        <is>
          <t>https://attack.mitre.org/techniques/T0888</t>
        </is>
      </c>
      <c r="M318" s="973" t="inlineStr">
        <is>
          <t>Yes</t>
        </is>
      </c>
      <c r="N318" s="973" t="inlineStr">
        <is>
          <t>No explicit facility gate — defaults feasible</t>
        </is>
      </c>
      <c r="O318" s="973" t="inlineStr">
        <is>
          <t>Remote System Information Discovery can support discovery or interaction with process state, control assets and operational data in Power Generation environments.</t>
        </is>
      </c>
      <c r="P318" s="973" t="inlineStr">
        <is>
          <t>https://csrc.nist.gov/pubs/sp/800/82/r3/final</t>
        </is>
      </c>
    </row>
    <row r="319" ht="15" customHeight="1" s="508">
      <c r="A319" s="972" t="inlineStr">
        <is>
          <t>Nation State</t>
        </is>
      </c>
      <c r="B319" s="972" t="inlineStr">
        <is>
          <t>Destructive or Integrity Attack</t>
        </is>
      </c>
      <c r="C319" s="972" t="inlineStr">
        <is>
          <t>T0847</t>
        </is>
      </c>
      <c r="D319" s="972" t="inlineStr">
        <is>
          <t>Replication Through Removable Media</t>
        </is>
      </c>
      <c r="E319" s="972" t="inlineStr">
        <is>
          <t>S1</t>
        </is>
      </c>
      <c r="F319" s="972" t="inlineStr">
        <is>
          <t>Candidate enabling technique</t>
        </is>
      </c>
      <c r="G319" s="972" t="inlineStr">
        <is>
          <t>Yes</t>
        </is>
      </c>
      <c r="H319" s="972" t="inlineStr">
        <is>
          <t>Yes</t>
        </is>
      </c>
      <c r="I319" s="972" t="inlineStr">
        <is>
          <t>Yes</t>
        </is>
      </c>
      <c r="J319" s="972" t="n">
        <v>3</v>
      </c>
      <c r="K319" s="972" t="inlineStr">
        <is>
          <t>Model Mapping</t>
        </is>
      </c>
      <c r="L319" s="452" t="inlineStr">
        <is>
          <t>https://attack.mitre.org/techniques/T0847</t>
        </is>
      </c>
      <c r="M319" s="973" t="inlineStr">
        <is>
          <t>Yes</t>
        </is>
      </c>
      <c r="N319" s="973" t="inlineStr">
        <is>
          <t>TRANSIENT_REQUIRED — Not None</t>
        </is>
      </c>
      <c r="O319" s="973" t="inlineStr">
        <is>
          <t>The Replication Through Removable Media route is credible for Power Generation OT when the enabling access condition exists; existing facility gates determine remote, internet, transient, supply-chain or wireless feasibility.</t>
        </is>
      </c>
      <c r="P319" s="973" t="inlineStr">
        <is>
          <t>https://csrc.nist.gov/pubs/sp/800/82/r3/final</t>
        </is>
      </c>
    </row>
    <row r="320" ht="15" customHeight="1" s="508">
      <c r="A320" s="972" t="inlineStr">
        <is>
          <t>Nation State</t>
        </is>
      </c>
      <c r="B320" s="972" t="inlineStr">
        <is>
          <t>Destructive or Integrity Attack</t>
        </is>
      </c>
      <c r="C320" s="972" t="inlineStr">
        <is>
          <t>T0848</t>
        </is>
      </c>
      <c r="D320" s="972" t="inlineStr">
        <is>
          <t>Rogue Master</t>
        </is>
      </c>
      <c r="E320" s="972" t="inlineStr">
        <is>
          <t>S1</t>
        </is>
      </c>
      <c r="F320" s="972" t="inlineStr">
        <is>
          <t>Candidate enabling technique</t>
        </is>
      </c>
      <c r="G320" s="972" t="inlineStr">
        <is>
          <t>Yes</t>
        </is>
      </c>
      <c r="H320" s="972" t="inlineStr">
        <is>
          <t>Yes</t>
        </is>
      </c>
      <c r="I320" s="972" t="inlineStr">
        <is>
          <t>Yes</t>
        </is>
      </c>
      <c r="J320" s="972" t="n">
        <v>5</v>
      </c>
      <c r="K320" s="972" t="inlineStr">
        <is>
          <t>Model Mapping</t>
        </is>
      </c>
      <c r="L320" s="452" t="inlineStr">
        <is>
          <t>https://attack.mitre.org/techniques/T0848</t>
        </is>
      </c>
      <c r="M320" s="973" t="inlineStr">
        <is>
          <t>Yes</t>
        </is>
      </c>
      <c r="N320" s="973" t="inlineStr">
        <is>
          <t>No explicit facility gate — defaults feasible</t>
        </is>
      </c>
      <c r="O320" s="973" t="inlineStr">
        <is>
          <t>The Rogue Master route is credible for Power Generation OT when the enabling access condition exists; existing facility gates determine remote, internet, transient, supply-chain or wireless feasibility.</t>
        </is>
      </c>
      <c r="P320" s="973" t="inlineStr">
        <is>
          <t>https://csrc.nist.gov/pubs/sp/800/82/r3/final</t>
        </is>
      </c>
    </row>
    <row r="321" ht="15" customHeight="1" s="508">
      <c r="A321" s="972" t="inlineStr">
        <is>
          <t>Nation State</t>
        </is>
      </c>
      <c r="B321" s="972" t="inlineStr">
        <is>
          <t>Destructive or Integrity Attack</t>
        </is>
      </c>
      <c r="C321" s="972" t="inlineStr">
        <is>
          <t>T0851</t>
        </is>
      </c>
      <c r="D321" s="972" t="inlineStr">
        <is>
          <t>Rootkit</t>
        </is>
      </c>
      <c r="E321" s="972" t="inlineStr">
        <is>
          <t>S2</t>
        </is>
      </c>
      <c r="F321" s="972" t="inlineStr">
        <is>
          <t>Candidate enabling technique</t>
        </is>
      </c>
      <c r="G321" s="972" t="inlineStr">
        <is>
          <t>Yes</t>
        </is>
      </c>
      <c r="H321" s="972" t="inlineStr">
        <is>
          <t>Yes</t>
        </is>
      </c>
      <c r="I321" s="972" t="inlineStr">
        <is>
          <t>Yes</t>
        </is>
      </c>
      <c r="J321" s="972" t="n">
        <v>2</v>
      </c>
      <c r="K321" s="972" t="inlineStr">
        <is>
          <t>RECLASSIFIED v1.2: As above: evasion, not a destructive or integrity outcome.</t>
        </is>
      </c>
      <c r="L321" s="452" t="inlineStr">
        <is>
          <t>https://attack.mitre.org/techniques/T0851</t>
        </is>
      </c>
      <c r="M321" s="973" t="inlineStr">
        <is>
          <t>Yes</t>
        </is>
      </c>
      <c r="N321" s="973" t="inlineStr">
        <is>
          <t>No explicit facility gate — defaults feasible</t>
        </is>
      </c>
      <c r="O321" s="973" t="inlineStr">
        <is>
          <t>Rootkit is an ATT&amp;CK for ICS impact or response-inhibition technique that can support one or more governed adverse scenarios; scenario role remains controlled on 09.</t>
        </is>
      </c>
      <c r="P321" s="973" t="inlineStr">
        <is>
          <t>https://csrc.nist.gov/pubs/sp/800/82/r3/final</t>
        </is>
      </c>
    </row>
    <row r="322" ht="15" customHeight="1" s="508">
      <c r="A322" s="972" t="inlineStr">
        <is>
          <t>Nation State</t>
        </is>
      </c>
      <c r="B322" s="972" t="inlineStr">
        <is>
          <t>Destructive or Integrity Attack</t>
        </is>
      </c>
      <c r="C322" s="972" t="inlineStr">
        <is>
          <t>T0852</t>
        </is>
      </c>
      <c r="D322" s="972" t="inlineStr">
        <is>
          <t>Screen Capture</t>
        </is>
      </c>
      <c r="E322" s="972" t="inlineStr">
        <is>
          <t>S4</t>
        </is>
      </c>
      <c r="F322" s="972" t="inlineStr">
        <is>
          <t>Candidate enabling technique</t>
        </is>
      </c>
      <c r="G322" s="972" t="inlineStr">
        <is>
          <t>Yes</t>
        </is>
      </c>
      <c r="H322" s="972" t="inlineStr">
        <is>
          <t>Yes</t>
        </is>
      </c>
      <c r="I322" s="972" t="inlineStr">
        <is>
          <t>Yes</t>
        </is>
      </c>
      <c r="J322" s="972" t="n">
        <v>1</v>
      </c>
      <c r="K322" s="972" t="inlineStr">
        <is>
          <t>Model Mapping</t>
        </is>
      </c>
      <c r="L322" s="452" t="inlineStr">
        <is>
          <t>https://attack.mitre.org/techniques/T0852</t>
        </is>
      </c>
      <c r="M322" s="973" t="inlineStr">
        <is>
          <t>Yes</t>
        </is>
      </c>
      <c r="N322" s="973" t="inlineStr">
        <is>
          <t>No explicit facility gate — defaults feasible</t>
        </is>
      </c>
      <c r="O322" s="973" t="inlineStr">
        <is>
          <t>Screen Capture can support discovery or interaction with process state, control assets and operational data in Power Generation environments.</t>
        </is>
      </c>
      <c r="P322" s="973" t="inlineStr">
        <is>
          <t>https://csrc.nist.gov/pubs/sp/800/82/r3/final</t>
        </is>
      </c>
    </row>
    <row r="323" ht="15" customHeight="1" s="508">
      <c r="A323" s="972" t="inlineStr">
        <is>
          <t>Nation State</t>
        </is>
      </c>
      <c r="B323" s="972" t="inlineStr">
        <is>
          <t>Destructive or Integrity Attack</t>
        </is>
      </c>
      <c r="C323" s="972" t="inlineStr">
        <is>
          <t>T0853</t>
        </is>
      </c>
      <c r="D323" s="972" t="inlineStr">
        <is>
          <t>Scripting</t>
        </is>
      </c>
      <c r="E323" s="972" t="inlineStr">
        <is>
          <t>S2</t>
        </is>
      </c>
      <c r="F323" s="972" t="inlineStr">
        <is>
          <t>Candidate enabling technique</t>
        </is>
      </c>
      <c r="G323" s="972" t="inlineStr">
        <is>
          <t>Yes</t>
        </is>
      </c>
      <c r="H323" s="972" t="inlineStr">
        <is>
          <t>Yes</t>
        </is>
      </c>
      <c r="I323" s="972" t="inlineStr">
        <is>
          <t>Yes</t>
        </is>
      </c>
      <c r="J323" s="972" t="n">
        <v>3</v>
      </c>
      <c r="K323" s="972" t="inlineStr">
        <is>
          <t>Model Mapping</t>
        </is>
      </c>
      <c r="L323" s="452" t="inlineStr">
        <is>
          <t>https://attack.mitre.org/techniques/T0853</t>
        </is>
      </c>
      <c r="M323" s="973" t="inlineStr">
        <is>
          <t>Yes</t>
        </is>
      </c>
      <c r="N323" s="973" t="inlineStr">
        <is>
          <t>No explicit facility gate — defaults feasible</t>
        </is>
      </c>
      <c r="O323" s="973" t="inlineStr">
        <is>
          <t>Scripting is applicable to execution or persistence on engineering workstations, HMIs, servers or controllers used in Power Generation facilities.</t>
        </is>
      </c>
      <c r="P323" s="973" t="inlineStr">
        <is>
          <t>https://csrc.nist.gov/pubs/sp/800/82/r3/final</t>
        </is>
      </c>
    </row>
    <row r="324" ht="15" customHeight="1" s="508">
      <c r="A324" s="972" t="inlineStr">
        <is>
          <t>Nation State</t>
        </is>
      </c>
      <c r="B324" s="972" t="inlineStr">
        <is>
          <t>Destructive or Integrity Attack</t>
        </is>
      </c>
      <c r="C324" s="972" t="inlineStr">
        <is>
          <t>T0873.001</t>
        </is>
      </c>
      <c r="D324" s="972" t="inlineStr">
        <is>
          <t>Siemens Project File Format</t>
        </is>
      </c>
      <c r="E324" s="972" t="inlineStr">
        <is>
          <t>S2</t>
        </is>
      </c>
      <c r="F324" s="972" t="inlineStr">
        <is>
          <t>Candidate enabling technique</t>
        </is>
      </c>
      <c r="G324" s="972" t="inlineStr">
        <is>
          <t>Yes</t>
        </is>
      </c>
      <c r="H324" s="972" t="inlineStr">
        <is>
          <t>Yes</t>
        </is>
      </c>
      <c r="I324" s="972" t="inlineStr">
        <is>
          <t>Yes</t>
        </is>
      </c>
      <c r="J324" s="972" t="n">
        <v>4</v>
      </c>
      <c r="K324" s="972" t="inlineStr">
        <is>
          <t>Model Mapping</t>
        </is>
      </c>
      <c r="L324" s="452" t="inlineStr">
        <is>
          <t>https://attack.mitre.org/techniques/T0873/001</t>
        </is>
      </c>
      <c r="M324" s="973" t="inlineStr">
        <is>
          <t>Yes</t>
        </is>
      </c>
      <c r="N324" s="973" t="inlineStr">
        <is>
          <t>No explicit facility gate — defaults feasible</t>
        </is>
      </c>
      <c r="O324" s="973" t="inlineStr">
        <is>
          <t>Siemens Project File Format is applicable to execution or persistence on engineering workstations, HMIs, servers or controllers used in Power Generation facilities.</t>
        </is>
      </c>
      <c r="P324" s="973" t="inlineStr">
        <is>
          <t>https://csrc.nist.gov/pubs/sp/800/82/r3/final</t>
        </is>
      </c>
    </row>
    <row r="325" ht="15" customHeight="1" s="508">
      <c r="A325" s="972" t="inlineStr">
        <is>
          <t>Nation State</t>
        </is>
      </c>
      <c r="B325" s="972" t="inlineStr">
        <is>
          <t>Destructive or Integrity Attack</t>
        </is>
      </c>
      <c r="C325" s="972" t="inlineStr">
        <is>
          <t>T0865</t>
        </is>
      </c>
      <c r="D325" s="972" t="inlineStr">
        <is>
          <t>Spearphishing Attachment</t>
        </is>
      </c>
      <c r="E325" s="972" t="inlineStr">
        <is>
          <t>S1</t>
        </is>
      </c>
      <c r="F325" s="972" t="inlineStr">
        <is>
          <t>Candidate enabling technique</t>
        </is>
      </c>
      <c r="G325" s="972" t="inlineStr">
        <is>
          <t>Yes</t>
        </is>
      </c>
      <c r="H325" s="972" t="inlineStr">
        <is>
          <t>Yes</t>
        </is>
      </c>
      <c r="I325" s="972" t="inlineStr">
        <is>
          <t>Yes</t>
        </is>
      </c>
      <c r="J325" s="972" t="n">
        <v>4</v>
      </c>
      <c r="K325" s="972" t="inlineStr">
        <is>
          <t>Model Mapping</t>
        </is>
      </c>
      <c r="L325" s="452" t="inlineStr">
        <is>
          <t>https://attack.mitre.org/techniques/T0865</t>
        </is>
      </c>
      <c r="M325" s="973" t="inlineStr">
        <is>
          <t>Yes</t>
        </is>
      </c>
      <c r="N325" s="973" t="inlineStr">
        <is>
          <t>No explicit facility gate — defaults feasible</t>
        </is>
      </c>
      <c r="O325" s="973" t="inlineStr">
        <is>
          <t>The Spearphishing Attachment route is credible for Power Generation OT when the enabling access condition exists; existing facility gates determine remote, internet, transient, supply-chain or wireless feasibility.</t>
        </is>
      </c>
      <c r="P325" s="973" t="inlineStr">
        <is>
          <t>https://csrc.nist.gov/pubs/sp/800/82/r3/final</t>
        </is>
      </c>
    </row>
    <row r="326" ht="15" customHeight="1" s="508">
      <c r="A326" s="972" t="inlineStr">
        <is>
          <t>Nation State</t>
        </is>
      </c>
      <c r="B326" s="972" t="inlineStr">
        <is>
          <t>Destructive or Integrity Attack</t>
        </is>
      </c>
      <c r="C326" s="972" t="inlineStr">
        <is>
          <t>T0869</t>
        </is>
      </c>
      <c r="D326" s="972" t="inlineStr">
        <is>
          <t>Standard Application Layer Protocol</t>
        </is>
      </c>
      <c r="E326" s="972" t="inlineStr">
        <is>
          <t>S3</t>
        </is>
      </c>
      <c r="F326" s="972" t="inlineStr">
        <is>
          <t>Candidate enabling technique</t>
        </is>
      </c>
      <c r="G326" s="972" t="inlineStr">
        <is>
          <t>Yes</t>
        </is>
      </c>
      <c r="H326" s="972" t="inlineStr">
        <is>
          <t>Yes</t>
        </is>
      </c>
      <c r="I326" s="972" t="inlineStr">
        <is>
          <t>Yes</t>
        </is>
      </c>
      <c r="J326" s="972" t="n">
        <v>3</v>
      </c>
      <c r="K326" s="972" t="inlineStr">
        <is>
          <t>Model Mapping</t>
        </is>
      </c>
      <c r="L326" s="452" t="inlineStr">
        <is>
          <t>https://attack.mitre.org/techniques/T0869</t>
        </is>
      </c>
      <c r="M326" s="973" t="inlineStr">
        <is>
          <t>Yes</t>
        </is>
      </c>
      <c r="N326" s="973" t="inlineStr">
        <is>
          <t>No explicit facility gate — defaults feasible</t>
        </is>
      </c>
      <c r="O326" s="973" t="inlineStr">
        <is>
          <t>Standard Application Layer Protocol can support movement toward or within plant/control zones; actual reachability is governed by the assessed facility architecture.</t>
        </is>
      </c>
      <c r="P326" s="973" t="inlineStr">
        <is>
          <t>https://csrc.nist.gov/pubs/sp/800/82/r3/final</t>
        </is>
      </c>
    </row>
    <row r="327" ht="15" customHeight="1" s="508">
      <c r="A327" s="972" t="inlineStr">
        <is>
          <t>Nation State</t>
        </is>
      </c>
      <c r="B327" s="972" t="inlineStr">
        <is>
          <t>Destructive or Integrity Attack</t>
        </is>
      </c>
      <c r="C327" s="972" t="inlineStr">
        <is>
          <t>T0862</t>
        </is>
      </c>
      <c r="D327" s="972" t="inlineStr">
        <is>
          <t>Supply Chain Compromise</t>
        </is>
      </c>
      <c r="E327" s="972" t="inlineStr">
        <is>
          <t>S1</t>
        </is>
      </c>
      <c r="F327" s="972" t="inlineStr">
        <is>
          <t>Candidate enabling technique</t>
        </is>
      </c>
      <c r="G327" s="972" t="inlineStr">
        <is>
          <t>Yes</t>
        </is>
      </c>
      <c r="H327" s="972" t="inlineStr">
        <is>
          <t>Yes</t>
        </is>
      </c>
      <c r="I327" s="972" t="inlineStr">
        <is>
          <t>Yes</t>
        </is>
      </c>
      <c r="J327" s="972" t="n">
        <v>5</v>
      </c>
      <c r="K327" s="972" t="inlineStr">
        <is>
          <t>Model Mapping</t>
        </is>
      </c>
      <c r="L327" s="452" t="inlineStr">
        <is>
          <t>https://attack.mitre.org/techniques/T0862</t>
        </is>
      </c>
      <c r="M327" s="973" t="inlineStr">
        <is>
          <t>Yes</t>
        </is>
      </c>
      <c r="N327" s="973" t="inlineStr">
        <is>
          <t>SUPPLY_CHAIN — Yes</t>
        </is>
      </c>
      <c r="O327" s="973" t="inlineStr">
        <is>
          <t>The Supply Chain Compromise route is credible for Power Generation OT when the enabling access condition exists; existing facility gates determine remote, internet, transient, supply-chain or wireless feasibility.</t>
        </is>
      </c>
      <c r="P327" s="973" t="inlineStr">
        <is>
          <t>https://csrc.nist.gov/pubs/sp/800/82/r3/final</t>
        </is>
      </c>
    </row>
    <row r="328" ht="15" customHeight="1" s="508">
      <c r="A328" s="972" t="inlineStr">
        <is>
          <t>Nation State</t>
        </is>
      </c>
      <c r="B328" s="972" t="inlineStr">
        <is>
          <t>Destructive or Integrity Attack</t>
        </is>
      </c>
      <c r="C328" s="972" t="inlineStr">
        <is>
          <t>T0894</t>
        </is>
      </c>
      <c r="D328" s="972" t="inlineStr">
        <is>
          <t>System Binary Proxy Execution</t>
        </is>
      </c>
      <c r="E328" s="972" t="inlineStr">
        <is>
          <t>S2</t>
        </is>
      </c>
      <c r="F328" s="972" t="inlineStr">
        <is>
          <t>Candidate enabling technique</t>
        </is>
      </c>
      <c r="G328" s="972" t="inlineStr">
        <is>
          <t>Yes</t>
        </is>
      </c>
      <c r="H328" s="972" t="inlineStr">
        <is>
          <t>Yes</t>
        </is>
      </c>
      <c r="I328" s="972" t="inlineStr">
        <is>
          <t>Yes</t>
        </is>
      </c>
      <c r="J328" s="972" t="n">
        <v>1</v>
      </c>
      <c r="K328" s="972" t="inlineStr">
        <is>
          <t>Model Mapping</t>
        </is>
      </c>
      <c r="L328" s="452" t="inlineStr">
        <is>
          <t>https://attack.mitre.org/techniques/T0894</t>
        </is>
      </c>
      <c r="M328" s="973" t="inlineStr">
        <is>
          <t>Yes</t>
        </is>
      </c>
      <c r="N328" s="973" t="inlineStr">
        <is>
          <t>No explicit facility gate — defaults feasible</t>
        </is>
      </c>
      <c r="O328" s="973" t="inlineStr">
        <is>
          <t>System Binary Proxy Execution is applicable to execution or persistence on engineering workstations, HMIs, servers or controllers used in Power Generation facilities.</t>
        </is>
      </c>
      <c r="P328" s="973" t="inlineStr">
        <is>
          <t>https://csrc.nist.gov/pubs/sp/800/82/r3/final</t>
        </is>
      </c>
    </row>
    <row r="329" ht="15" customHeight="1" s="508">
      <c r="A329" s="972" t="inlineStr">
        <is>
          <t>Nation State</t>
        </is>
      </c>
      <c r="B329" s="972" t="inlineStr">
        <is>
          <t>Destructive or Integrity Attack</t>
        </is>
      </c>
      <c r="C329" s="972" t="inlineStr">
        <is>
          <t>T1693.001</t>
        </is>
      </c>
      <c r="D329" s="972" t="inlineStr">
        <is>
          <t>System Firmware</t>
        </is>
      </c>
      <c r="E329" s="972" t="inlineStr">
        <is>
          <t>S5</t>
        </is>
      </c>
      <c r="F329" s="972" t="inlineStr">
        <is>
          <t>Scenario-defining</t>
        </is>
      </c>
      <c r="G329" s="972" t="inlineStr">
        <is>
          <t>Yes</t>
        </is>
      </c>
      <c r="H329" s="972" t="inlineStr">
        <is>
          <t>Yes</t>
        </is>
      </c>
      <c r="I329" s="972" t="inlineStr">
        <is>
          <t>Yes</t>
        </is>
      </c>
      <c r="J329" s="972" t="n">
        <v>13</v>
      </c>
      <c r="K329" s="972" t="inlineStr">
        <is>
          <t>Model Mapping</t>
        </is>
      </c>
      <c r="L329" s="452" t="inlineStr">
        <is>
          <t>https://attack.mitre.org/techniques/T1693/001</t>
        </is>
      </c>
      <c r="M329" s="973" t="inlineStr">
        <is>
          <t>Yes</t>
        </is>
      </c>
      <c r="N329" s="973" t="inlineStr">
        <is>
          <t>No explicit facility gate — defaults feasible</t>
        </is>
      </c>
      <c r="O329" s="973" t="inlineStr">
        <is>
          <t>System Firmware is an ATT&amp;CK for ICS impact or response-inhibition technique that can support one or more governed adverse scenarios; scenario role remains controlled on 09.</t>
        </is>
      </c>
      <c r="P329" s="973" t="inlineStr">
        <is>
          <t>https://csrc.nist.gov/pubs/sp/800/82/r3/final</t>
        </is>
      </c>
    </row>
    <row r="330" ht="15" customHeight="1" s="508">
      <c r="A330" s="972" t="inlineStr">
        <is>
          <t>Nation State</t>
        </is>
      </c>
      <c r="B330" s="972" t="inlineStr">
        <is>
          <t>Destructive or Integrity Attack</t>
        </is>
      </c>
      <c r="C330" s="972" t="inlineStr">
        <is>
          <t>T0864</t>
        </is>
      </c>
      <c r="D330" s="972" t="inlineStr">
        <is>
          <t>Transient Cyber Asset</t>
        </is>
      </c>
      <c r="E330" s="972" t="inlineStr">
        <is>
          <t>S1</t>
        </is>
      </c>
      <c r="F330" s="972" t="inlineStr">
        <is>
          <t>Candidate enabling technique</t>
        </is>
      </c>
      <c r="G330" s="972" t="inlineStr">
        <is>
          <t>Yes</t>
        </is>
      </c>
      <c r="H330" s="972" t="inlineStr">
        <is>
          <t>Yes</t>
        </is>
      </c>
      <c r="I330" s="972" t="inlineStr">
        <is>
          <t>Yes</t>
        </is>
      </c>
      <c r="J330" s="972" t="n">
        <v>5</v>
      </c>
      <c r="K330" s="972" t="inlineStr">
        <is>
          <t>Model Mapping</t>
        </is>
      </c>
      <c r="L330" s="452" t="inlineStr">
        <is>
          <t>https://attack.mitre.org/techniques/T0864</t>
        </is>
      </c>
      <c r="M330" s="973" t="inlineStr">
        <is>
          <t>Yes</t>
        </is>
      </c>
      <c r="N330" s="973" t="inlineStr">
        <is>
          <t>TRANSIENT_REQUIRED — Not None</t>
        </is>
      </c>
      <c r="O330" s="973" t="inlineStr">
        <is>
          <t>The Transient Cyber Asset route is credible for Power Generation OT when the enabling access condition exists; existing facility gates determine remote, internet, transient, supply-chain or wireless feasibility.</t>
        </is>
      </c>
      <c r="P330" s="973" t="inlineStr">
        <is>
          <t>https://csrc.nist.gov/pubs/sp/800/82/r3/final</t>
        </is>
      </c>
    </row>
    <row r="331" ht="15" customHeight="1" s="508">
      <c r="A331" s="972" t="inlineStr">
        <is>
          <t>Nation State</t>
        </is>
      </c>
      <c r="B331" s="972" t="inlineStr">
        <is>
          <t>Destructive or Integrity Attack</t>
        </is>
      </c>
      <c r="C331" s="972" t="inlineStr">
        <is>
          <t>T0863</t>
        </is>
      </c>
      <c r="D331" s="972" t="inlineStr">
        <is>
          <t>User Execution</t>
        </is>
      </c>
      <c r="E331" s="972" t="inlineStr">
        <is>
          <t>S2</t>
        </is>
      </c>
      <c r="F331" s="972" t="inlineStr">
        <is>
          <t>Candidate enabling technique</t>
        </is>
      </c>
      <c r="G331" s="972" t="inlineStr">
        <is>
          <t>Yes</t>
        </is>
      </c>
      <c r="H331" s="972" t="inlineStr">
        <is>
          <t>Yes</t>
        </is>
      </c>
      <c r="I331" s="972" t="inlineStr">
        <is>
          <t>Yes</t>
        </is>
      </c>
      <c r="J331" s="972" t="n">
        <v>6</v>
      </c>
      <c r="K331" s="972" t="inlineStr">
        <is>
          <t>Model Mapping</t>
        </is>
      </c>
      <c r="L331" s="452" t="inlineStr">
        <is>
          <t>https://attack.mitre.org/techniques/T0863</t>
        </is>
      </c>
      <c r="M331" s="973" t="inlineStr">
        <is>
          <t>Yes</t>
        </is>
      </c>
      <c r="N331" s="973" t="inlineStr">
        <is>
          <t>No explicit facility gate — defaults feasible</t>
        </is>
      </c>
      <c r="O331" s="973" t="inlineStr">
        <is>
          <t>User Execution is applicable to execution or persistence on engineering workstations, HMIs, servers or controllers used in Power Generation facilities.</t>
        </is>
      </c>
      <c r="P331" s="973" t="inlineStr">
        <is>
          <t>https://csrc.nist.gov/pubs/sp/800/82/r3/final</t>
        </is>
      </c>
    </row>
    <row r="332" ht="15" customHeight="1" s="508">
      <c r="A332" s="972" t="inlineStr">
        <is>
          <t>Nation State</t>
        </is>
      </c>
      <c r="B332" s="972" t="inlineStr">
        <is>
          <t>Destructive or Integrity Attack</t>
        </is>
      </c>
      <c r="C332" s="972" t="inlineStr">
        <is>
          <t>T0859</t>
        </is>
      </c>
      <c r="D332" s="972" t="inlineStr">
        <is>
          <t>Valid Accounts</t>
        </is>
      </c>
      <c r="E332" s="972" t="inlineStr">
        <is>
          <t>S3</t>
        </is>
      </c>
      <c r="F332" s="972" t="inlineStr">
        <is>
          <t>Candidate enabling technique</t>
        </is>
      </c>
      <c r="G332" s="972" t="inlineStr">
        <is>
          <t>Yes</t>
        </is>
      </c>
      <c r="H332" s="972" t="inlineStr">
        <is>
          <t>Yes</t>
        </is>
      </c>
      <c r="I332" s="972" t="inlineStr">
        <is>
          <t>Yes</t>
        </is>
      </c>
      <c r="J332" s="972" t="n">
        <v>10</v>
      </c>
      <c r="K332" s="972" t="inlineStr">
        <is>
          <t>Model Mapping</t>
        </is>
      </c>
      <c r="L332" s="452" t="inlineStr">
        <is>
          <t>https://attack.mitre.org/techniques/T0859</t>
        </is>
      </c>
      <c r="M332" s="973" t="inlineStr">
        <is>
          <t>Yes</t>
        </is>
      </c>
      <c r="N332" s="973" t="inlineStr">
        <is>
          <t>No explicit facility gate — defaults feasible</t>
        </is>
      </c>
      <c r="O332" s="973" t="inlineStr">
        <is>
          <t>Valid Accounts can support movement toward or within plant/control zones; actual reachability is governed by the assessed facility architecture.</t>
        </is>
      </c>
      <c r="P332" s="973" t="inlineStr">
        <is>
          <t>https://csrc.nist.gov/pubs/sp/800/82/r3/final</t>
        </is>
      </c>
    </row>
    <row r="333" ht="15" customHeight="1" s="508">
      <c r="A333" s="972" t="inlineStr">
        <is>
          <t>Nation State</t>
        </is>
      </c>
      <c r="B333" s="972" t="inlineStr">
        <is>
          <t>Destructive or Integrity Attack</t>
        </is>
      </c>
      <c r="C333" s="972" t="inlineStr">
        <is>
          <t>T0860</t>
        </is>
      </c>
      <c r="D333" s="972" t="inlineStr">
        <is>
          <t>Wireless Compromise</t>
        </is>
      </c>
      <c r="E333" s="972" t="inlineStr">
        <is>
          <t>S1</t>
        </is>
      </c>
      <c r="F333" s="972" t="inlineStr">
        <is>
          <t>Candidate enabling technique</t>
        </is>
      </c>
      <c r="G333" s="972" t="inlineStr">
        <is>
          <t>Yes</t>
        </is>
      </c>
      <c r="H333" s="972" t="inlineStr">
        <is>
          <t>No</t>
        </is>
      </c>
      <c r="I333" s="972" t="inlineStr">
        <is>
          <t>No</t>
        </is>
      </c>
      <c r="J333" s="972" t="n">
        <v>4</v>
      </c>
      <c r="K333" s="972" t="inlineStr">
        <is>
          <t>Model Mapping</t>
        </is>
      </c>
      <c r="L333" s="452" t="inlineStr">
        <is>
          <t>https://attack.mitre.org/techniques/T0860</t>
        </is>
      </c>
      <c r="M333" s="973" t="inlineStr">
        <is>
          <t>Yes</t>
        </is>
      </c>
      <c r="N333" s="973" t="inlineStr">
        <is>
          <t>WIRELESS — Yes</t>
        </is>
      </c>
      <c r="O333" s="973" t="inlineStr">
        <is>
          <t>The Wireless Compromise route is credible for Power Generation OT when the enabling access condition exists; existing facility gates determine remote, internet, transient, supply-chain or wireless feasibility.</t>
        </is>
      </c>
      <c r="P333" s="973" t="inlineStr">
        <is>
          <t>https://csrc.nist.gov/pubs/sp/800/82/r3/final</t>
        </is>
      </c>
    </row>
    <row r="334" ht="15" customHeight="1" s="508">
      <c r="A334" s="972" t="inlineStr">
        <is>
          <t>Nation State</t>
        </is>
      </c>
      <c r="B334" s="972" t="inlineStr">
        <is>
          <t>Destructive or Integrity Attack</t>
        </is>
      </c>
      <c r="C334" s="972" t="inlineStr">
        <is>
          <t>T0887</t>
        </is>
      </c>
      <c r="D334" s="972" t="inlineStr">
        <is>
          <t>Wireless Sniffing</t>
        </is>
      </c>
      <c r="E334" s="972" t="inlineStr">
        <is>
          <t>S4</t>
        </is>
      </c>
      <c r="F334" s="972" t="inlineStr">
        <is>
          <t>Candidate enabling technique</t>
        </is>
      </c>
      <c r="G334" s="972" t="inlineStr">
        <is>
          <t>Yes</t>
        </is>
      </c>
      <c r="H334" s="972" t="inlineStr">
        <is>
          <t>No</t>
        </is>
      </c>
      <c r="I334" s="972" t="inlineStr">
        <is>
          <t>No</t>
        </is>
      </c>
      <c r="J334" s="972" t="n">
        <v>2</v>
      </c>
      <c r="K334" s="972" t="inlineStr">
        <is>
          <t>Model Mapping</t>
        </is>
      </c>
      <c r="L334" s="452" t="inlineStr">
        <is>
          <t>https://attack.mitre.org/techniques/T0887</t>
        </is>
      </c>
      <c r="M334" s="973" t="inlineStr">
        <is>
          <t>Yes</t>
        </is>
      </c>
      <c r="N334" s="973" t="inlineStr">
        <is>
          <t>WIRELESS — Yes</t>
        </is>
      </c>
      <c r="O334" s="973" t="inlineStr">
        <is>
          <t>Wireless Sniffing can support discovery or interaction with process state, control assets and operational data in Power Generation environments.</t>
        </is>
      </c>
      <c r="P334" s="973" t="inlineStr">
        <is>
          <t>https://csrc.nist.gov/pubs/sp/800/82/r3/final</t>
        </is>
      </c>
    </row>
    <row r="335" ht="15" customHeight="1" s="508">
      <c r="A335" s="972" t="inlineStr">
        <is>
          <t>Nation State</t>
        </is>
      </c>
      <c r="B335" s="972" t="inlineStr">
        <is>
          <t>Destructive or Integrity Attack</t>
        </is>
      </c>
      <c r="C335" s="972" t="inlineStr">
        <is>
          <t>T0879</t>
        </is>
      </c>
      <c r="D335" s="972" t="inlineStr">
        <is>
          <t>Damage to Property</t>
        </is>
      </c>
      <c r="E335" s="972" t="inlineStr">
        <is>
          <t>S5</t>
        </is>
      </c>
      <c r="F335" s="972" t="inlineStr">
        <is>
          <t>Supporting / impact</t>
        </is>
      </c>
      <c r="G335" s="972" t="inlineStr">
        <is>
          <t>Yes</t>
        </is>
      </c>
      <c r="H335" s="972" t="inlineStr">
        <is>
          <t>Yes</t>
        </is>
      </c>
      <c r="I335" s="972" t="inlineStr">
        <is>
          <t>Yes</t>
        </is>
      </c>
      <c r="J335" s="972" t="n">
        <v>3</v>
      </c>
      <c r="K335" s="972" t="inlineStr">
        <is>
          <t>ADDED v1.2: Damage to Property — destruction of infrastructure, operational equipment and surrounding environment.</t>
        </is>
      </c>
      <c r="L335" s="452" t="inlineStr">
        <is>
          <t>https://attack.mitre.org/techniques/T0879</t>
        </is>
      </c>
      <c r="M335" s="973" t="inlineStr">
        <is>
          <t>Yes</t>
        </is>
      </c>
      <c r="N335" s="973" t="inlineStr">
        <is>
          <t>No explicit facility gate — defaults feasible</t>
        </is>
      </c>
      <c r="O335" s="973" t="inlineStr">
        <is>
          <t>Damage to Property is an ATT&amp;CK for ICS impact or response-inhibition technique that can support one or more governed adverse scenarios; scenario role remains controlled on 09.</t>
        </is>
      </c>
      <c r="P335" s="973" t="inlineStr">
        <is>
          <t>https://csrc.nist.gov/pubs/sp/800/82/r3/final</t>
        </is>
      </c>
    </row>
    <row r="336" ht="15" customHeight="1" s="508">
      <c r="A336" s="972" t="inlineStr">
        <is>
          <t>Nation State</t>
        </is>
      </c>
      <c r="B336" s="972" t="inlineStr">
        <is>
          <t>Destructive or Integrity Attack</t>
        </is>
      </c>
      <c r="C336" s="972" t="inlineStr">
        <is>
          <t>T0836</t>
        </is>
      </c>
      <c r="D336" s="972" t="inlineStr">
        <is>
          <t>Modify Parameter</t>
        </is>
      </c>
      <c r="E336" s="972" t="inlineStr">
        <is>
          <t>S5</t>
        </is>
      </c>
      <c r="F336" s="972" t="inlineStr">
        <is>
          <t>Supporting / impact</t>
        </is>
      </c>
      <c r="G336" s="972" t="inlineStr">
        <is>
          <t>Yes</t>
        </is>
      </c>
      <c r="H336" s="972" t="inlineStr">
        <is>
          <t>Yes</t>
        </is>
      </c>
      <c r="I336" s="972" t="inlineStr">
        <is>
          <t>Yes</t>
        </is>
      </c>
      <c r="J336" s="972" t="n">
        <v>4</v>
      </c>
      <c r="K336" s="972" t="inlineStr">
        <is>
          <t>ADDED v1.2: Modify Parameter where the purpose is destructive.</t>
        </is>
      </c>
      <c r="L336" s="452" t="inlineStr">
        <is>
          <t>https://attack.mitre.org/techniques/T0836</t>
        </is>
      </c>
      <c r="M336" s="973" t="inlineStr">
        <is>
          <t>Yes</t>
        </is>
      </c>
      <c r="N336" s="973" t="inlineStr">
        <is>
          <t>No explicit facility gate — defaults feasible</t>
        </is>
      </c>
      <c r="O336" s="973" t="inlineStr">
        <is>
          <t>Modify Parameter is an ATT&amp;CK for ICS impact or response-inhibition technique that can support one or more governed adverse scenarios; scenario role remains controlled on 09.</t>
        </is>
      </c>
      <c r="P336" s="973" t="inlineStr">
        <is>
          <t>https://csrc.nist.gov/pubs/sp/800/82/r3/final</t>
        </is>
      </c>
    </row>
    <row r="337" ht="15" customHeight="1" s="508">
      <c r="A337" s="972" t="inlineStr">
        <is>
          <t>Cybercriminal</t>
        </is>
      </c>
      <c r="B337" s="972" t="inlineStr">
        <is>
          <t>Operational Disruption</t>
        </is>
      </c>
      <c r="C337" s="972" t="inlineStr">
        <is>
          <t>T0830</t>
        </is>
      </c>
      <c r="D337" s="972" t="inlineStr">
        <is>
          <t>Adversary-in-the-Middle</t>
        </is>
      </c>
      <c r="E337" s="972" t="inlineStr">
        <is>
          <t>S4</t>
        </is>
      </c>
      <c r="F337" s="972" t="inlineStr">
        <is>
          <t>Candidate enabling technique</t>
        </is>
      </c>
      <c r="G337" s="972" t="inlineStr">
        <is>
          <t>Yes</t>
        </is>
      </c>
      <c r="H337" s="972" t="inlineStr">
        <is>
          <t>Yes</t>
        </is>
      </c>
      <c r="I337" s="972" t="inlineStr">
        <is>
          <t>Yes</t>
        </is>
      </c>
      <c r="J337" s="972" t="n">
        <v>8</v>
      </c>
      <c r="K337" s="972" t="inlineStr">
        <is>
          <t>Model Mapping</t>
        </is>
      </c>
      <c r="L337" s="452" t="inlineStr">
        <is>
          <t>https://attack.mitre.org/techniques/T0830</t>
        </is>
      </c>
      <c r="M337" s="973" t="inlineStr">
        <is>
          <t>Yes</t>
        </is>
      </c>
      <c r="N337" s="973" t="inlineStr">
        <is>
          <t>No explicit facility gate — defaults feasible</t>
        </is>
      </c>
      <c r="O337" s="973" t="inlineStr">
        <is>
          <t>Adversary-in-the-Middle can support discovery or interaction with process state, control assets and operational data in Power Generation environments.</t>
        </is>
      </c>
      <c r="P337" s="973" t="inlineStr">
        <is>
          <t>https://csrc.nist.gov/pubs/sp/800/82/r3/final</t>
        </is>
      </c>
    </row>
    <row r="338" ht="15" customHeight="1" s="508">
      <c r="A338" s="972" t="inlineStr">
        <is>
          <t>Cybercriminal</t>
        </is>
      </c>
      <c r="B338" s="972" t="inlineStr">
        <is>
          <t>Operational Disruption</t>
        </is>
      </c>
      <c r="C338" s="972" t="inlineStr">
        <is>
          <t>T0802</t>
        </is>
      </c>
      <c r="D338" s="972" t="inlineStr">
        <is>
          <t>Automated Collection</t>
        </is>
      </c>
      <c r="E338" s="972" t="inlineStr">
        <is>
          <t>S4</t>
        </is>
      </c>
      <c r="F338" s="972" t="inlineStr">
        <is>
          <t>Candidate enabling technique</t>
        </is>
      </c>
      <c r="G338" s="972" t="inlineStr">
        <is>
          <t>Yes</t>
        </is>
      </c>
      <c r="H338" s="972" t="inlineStr">
        <is>
          <t>Yes</t>
        </is>
      </c>
      <c r="I338" s="972" t="inlineStr">
        <is>
          <t>Yes</t>
        </is>
      </c>
      <c r="J338" s="972" t="n">
        <v>2</v>
      </c>
      <c r="K338" s="972" t="inlineStr">
        <is>
          <t>Model Mapping</t>
        </is>
      </c>
      <c r="L338" s="452" t="inlineStr">
        <is>
          <t>https://attack.mitre.org/techniques/T0802</t>
        </is>
      </c>
      <c r="M338" s="973" t="inlineStr">
        <is>
          <t>Yes</t>
        </is>
      </c>
      <c r="N338" s="973" t="inlineStr">
        <is>
          <t>No explicit facility gate — defaults feasible</t>
        </is>
      </c>
      <c r="O338" s="973" t="inlineStr">
        <is>
          <t>Automated Collection can support discovery or interaction with process state, control assets and operational data in Power Generation environments.</t>
        </is>
      </c>
      <c r="P338" s="973" t="inlineStr">
        <is>
          <t>https://csrc.nist.gov/pubs/sp/800/82/r3/final</t>
        </is>
      </c>
    </row>
    <row r="339" ht="15" customHeight="1" s="508">
      <c r="A339" s="972" t="inlineStr">
        <is>
          <t>Cybercriminal</t>
        </is>
      </c>
      <c r="B339" s="972" t="inlineStr">
        <is>
          <t>Operational Disruption</t>
        </is>
      </c>
      <c r="C339" s="972" t="inlineStr">
        <is>
          <t>T0895</t>
        </is>
      </c>
      <c r="D339" s="972" t="inlineStr">
        <is>
          <t>Autorun Image</t>
        </is>
      </c>
      <c r="E339" s="972" t="inlineStr">
        <is>
          <t>S2</t>
        </is>
      </c>
      <c r="F339" s="972" t="inlineStr">
        <is>
          <t>Candidate enabling technique</t>
        </is>
      </c>
      <c r="G339" s="972" t="inlineStr">
        <is>
          <t>Yes</t>
        </is>
      </c>
      <c r="H339" s="972" t="inlineStr">
        <is>
          <t>Yes</t>
        </is>
      </c>
      <c r="I339" s="972" t="inlineStr">
        <is>
          <t>Yes</t>
        </is>
      </c>
      <c r="J339" s="972" t="n">
        <v>1</v>
      </c>
      <c r="K339" s="972" t="inlineStr">
        <is>
          <t>Model Mapping</t>
        </is>
      </c>
      <c r="L339" s="452" t="inlineStr">
        <is>
          <t>https://attack.mitre.org/techniques/T0895</t>
        </is>
      </c>
      <c r="M339" s="973" t="inlineStr">
        <is>
          <t>Yes</t>
        </is>
      </c>
      <c r="N339" s="973" t="inlineStr">
        <is>
          <t>No explicit facility gate — defaults feasible</t>
        </is>
      </c>
      <c r="O339" s="973" t="inlineStr">
        <is>
          <t>Autorun Image is applicable to execution or persistence on engineering workstations, HMIs, servers or controllers used in Power Generation facilities.</t>
        </is>
      </c>
      <c r="P339" s="973" t="inlineStr">
        <is>
          <t>https://csrc.nist.gov/pubs/sp/800/82/r3/final</t>
        </is>
      </c>
    </row>
    <row r="340" ht="15" customHeight="1" s="508">
      <c r="A340" s="972" t="inlineStr">
        <is>
          <t>Cybercriminal</t>
        </is>
      </c>
      <c r="B340" s="972" t="inlineStr">
        <is>
          <t>Operational Disruption</t>
        </is>
      </c>
      <c r="C340" s="972" t="inlineStr">
        <is>
          <t>T0846.002</t>
        </is>
      </c>
      <c r="D340" s="972" t="inlineStr">
        <is>
          <t>Broadcast Discovery</t>
        </is>
      </c>
      <c r="E340" s="972" t="inlineStr">
        <is>
          <t>S4</t>
        </is>
      </c>
      <c r="F340" s="972" t="inlineStr">
        <is>
          <t>Candidate enabling technique</t>
        </is>
      </c>
      <c r="G340" s="972" t="inlineStr">
        <is>
          <t>Yes</t>
        </is>
      </c>
      <c r="H340" s="972" t="inlineStr">
        <is>
          <t>Yes</t>
        </is>
      </c>
      <c r="I340" s="972" t="inlineStr">
        <is>
          <t>Yes</t>
        </is>
      </c>
      <c r="J340" s="972" t="n">
        <v>2</v>
      </c>
      <c r="K340" s="972" t="inlineStr">
        <is>
          <t>Model Mapping</t>
        </is>
      </c>
      <c r="L340" s="452" t="inlineStr">
        <is>
          <t>https://attack.mitre.org/techniques/T0846/002</t>
        </is>
      </c>
      <c r="M340" s="973" t="inlineStr">
        <is>
          <t>Yes</t>
        </is>
      </c>
      <c r="N340" s="973" t="inlineStr">
        <is>
          <t>No explicit facility gate — defaults feasible</t>
        </is>
      </c>
      <c r="O340" s="973" t="inlineStr">
        <is>
          <t>Broadcast Discovery can support discovery or interaction with process state, control assets and operational data in Power Generation environments.</t>
        </is>
      </c>
      <c r="P340" s="973" t="inlineStr">
        <is>
          <t>https://csrc.nist.gov/pubs/sp/800/82/r3/final</t>
        </is>
      </c>
    </row>
    <row r="341" ht="15" customHeight="1" s="508">
      <c r="A341" s="972" t="inlineStr">
        <is>
          <t>Cybercriminal</t>
        </is>
      </c>
      <c r="B341" s="972" t="inlineStr">
        <is>
          <t>Operational Disruption</t>
        </is>
      </c>
      <c r="C341" s="972" t="inlineStr">
        <is>
          <t>T0858</t>
        </is>
      </c>
      <c r="D341" s="972" t="inlineStr">
        <is>
          <t>Change Operating Mode</t>
        </is>
      </c>
      <c r="E341" s="972" t="inlineStr">
        <is>
          <t>S2</t>
        </is>
      </c>
      <c r="F341" s="972" t="inlineStr">
        <is>
          <t>Candidate enabling technique</t>
        </is>
      </c>
      <c r="G341" s="972" t="inlineStr">
        <is>
          <t>Yes</t>
        </is>
      </c>
      <c r="H341" s="972" t="inlineStr">
        <is>
          <t>Yes</t>
        </is>
      </c>
      <c r="I341" s="972" t="inlineStr">
        <is>
          <t>Yes</t>
        </is>
      </c>
      <c r="J341" s="972" t="n">
        <v>7</v>
      </c>
      <c r="K341" s="972" t="inlineStr">
        <is>
          <t>Model Mapping</t>
        </is>
      </c>
      <c r="L341" s="452" t="inlineStr">
        <is>
          <t>https://attack.mitre.org/techniques/T0858</t>
        </is>
      </c>
      <c r="M341" s="973" t="inlineStr">
        <is>
          <t>Yes</t>
        </is>
      </c>
      <c r="N341" s="973" t="inlineStr">
        <is>
          <t>No explicit facility gate — defaults feasible</t>
        </is>
      </c>
      <c r="O341" s="973" t="inlineStr">
        <is>
          <t>Change Operating Mode is applicable to execution or persistence on engineering workstations, HMIs, servers or controllers used in Power Generation facilities.</t>
        </is>
      </c>
      <c r="P341" s="973" t="inlineStr">
        <is>
          <t>https://csrc.nist.gov/pubs/sp/800/82/r3/final</t>
        </is>
      </c>
    </row>
    <row r="342" ht="15" customHeight="1" s="508">
      <c r="A342" s="972" t="inlineStr">
        <is>
          <t>Cybercriminal</t>
        </is>
      </c>
      <c r="B342" s="972" t="inlineStr">
        <is>
          <t>Operational Disruption</t>
        </is>
      </c>
      <c r="C342" s="972" t="inlineStr">
        <is>
          <t>T0807</t>
        </is>
      </c>
      <c r="D342" s="972" t="inlineStr">
        <is>
          <t>Command-Line Interface</t>
        </is>
      </c>
      <c r="E342" s="972" t="inlineStr">
        <is>
          <t>S2</t>
        </is>
      </c>
      <c r="F342" s="972" t="inlineStr">
        <is>
          <t>Candidate enabling technique</t>
        </is>
      </c>
      <c r="G342" s="972" t="inlineStr">
        <is>
          <t>Yes</t>
        </is>
      </c>
      <c r="H342" s="972" t="inlineStr">
        <is>
          <t>Yes</t>
        </is>
      </c>
      <c r="I342" s="972" t="inlineStr">
        <is>
          <t>Yes</t>
        </is>
      </c>
      <c r="J342" s="972" t="n">
        <v>2</v>
      </c>
      <c r="K342" s="972" t="inlineStr">
        <is>
          <t>Model Mapping</t>
        </is>
      </c>
      <c r="L342" s="452" t="inlineStr">
        <is>
          <t>https://attack.mitre.org/techniques/T0807</t>
        </is>
      </c>
      <c r="M342" s="973" t="inlineStr">
        <is>
          <t>Yes</t>
        </is>
      </c>
      <c r="N342" s="973" t="inlineStr">
        <is>
          <t>No explicit facility gate — defaults feasible</t>
        </is>
      </c>
      <c r="O342" s="973" t="inlineStr">
        <is>
          <t>Command-Line Interface is applicable to execution or persistence on engineering workstations, HMIs, servers or controllers used in Power Generation facilities.</t>
        </is>
      </c>
      <c r="P342" s="973" t="inlineStr">
        <is>
          <t>https://csrc.nist.gov/pubs/sp/800/82/r3/final</t>
        </is>
      </c>
    </row>
    <row r="343" ht="15" customHeight="1" s="508">
      <c r="A343" s="972" t="inlineStr">
        <is>
          <t>Cybercriminal</t>
        </is>
      </c>
      <c r="B343" s="972" t="inlineStr">
        <is>
          <t>Operational Disruption</t>
        </is>
      </c>
      <c r="C343" s="972" t="inlineStr">
        <is>
          <t>T0885</t>
        </is>
      </c>
      <c r="D343" s="972" t="inlineStr">
        <is>
          <t>Commonly Used Port</t>
        </is>
      </c>
      <c r="E343" s="972" t="inlineStr">
        <is>
          <t>S3</t>
        </is>
      </c>
      <c r="F343" s="972" t="inlineStr">
        <is>
          <t>Candidate enabling technique</t>
        </is>
      </c>
      <c r="G343" s="972" t="inlineStr">
        <is>
          <t>Yes</t>
        </is>
      </c>
      <c r="H343" s="972" t="inlineStr">
        <is>
          <t>Yes</t>
        </is>
      </c>
      <c r="I343" s="972" t="inlineStr">
        <is>
          <t>Yes</t>
        </is>
      </c>
      <c r="J343" s="972" t="n">
        <v>4</v>
      </c>
      <c r="K343" s="972" t="inlineStr">
        <is>
          <t>Model Mapping</t>
        </is>
      </c>
      <c r="L343" s="452" t="inlineStr">
        <is>
          <t>https://attack.mitre.org/techniques/T0885</t>
        </is>
      </c>
      <c r="M343" s="973" t="inlineStr">
        <is>
          <t>Yes</t>
        </is>
      </c>
      <c r="N343" s="973" t="inlineStr">
        <is>
          <t>No explicit facility gate — defaults feasible</t>
        </is>
      </c>
      <c r="O343" s="973" t="inlineStr">
        <is>
          <t>Commonly Used Port can support movement toward or within plant/control zones; actual reachability is governed by the assessed facility architecture.</t>
        </is>
      </c>
      <c r="P343" s="973" t="inlineStr">
        <is>
          <t>https://csrc.nist.gov/pubs/sp/800/82/r3/final</t>
        </is>
      </c>
    </row>
    <row r="344" ht="15" customHeight="1" s="508">
      <c r="A344" s="972" t="inlineStr">
        <is>
          <t>Cybercriminal</t>
        </is>
      </c>
      <c r="B344" s="972" t="inlineStr">
        <is>
          <t>Operational Disruption</t>
        </is>
      </c>
      <c r="C344" s="972" t="inlineStr">
        <is>
          <t>T0884</t>
        </is>
      </c>
      <c r="D344" s="972" t="inlineStr">
        <is>
          <t>Connection Proxy</t>
        </is>
      </c>
      <c r="E344" s="972" t="inlineStr">
        <is>
          <t>S3</t>
        </is>
      </c>
      <c r="F344" s="972" t="inlineStr">
        <is>
          <t>Candidate enabling technique</t>
        </is>
      </c>
      <c r="G344" s="972" t="inlineStr">
        <is>
          <t>Yes</t>
        </is>
      </c>
      <c r="H344" s="972" t="inlineStr">
        <is>
          <t>Yes</t>
        </is>
      </c>
      <c r="I344" s="972" t="inlineStr">
        <is>
          <t>Yes</t>
        </is>
      </c>
      <c r="J344" s="972" t="n">
        <v>4</v>
      </c>
      <c r="K344" s="972" t="inlineStr">
        <is>
          <t>Model Mapping</t>
        </is>
      </c>
      <c r="L344" s="452" t="inlineStr">
        <is>
          <t>https://attack.mitre.org/techniques/T0884</t>
        </is>
      </c>
      <c r="M344" s="973" t="inlineStr">
        <is>
          <t>Yes</t>
        </is>
      </c>
      <c r="N344" s="973" t="inlineStr">
        <is>
          <t>No explicit facility gate — defaults feasible</t>
        </is>
      </c>
      <c r="O344" s="973" t="inlineStr">
        <is>
          <t>Connection Proxy can support movement toward or within plant/control zones; actual reachability is governed by the assessed facility architecture.</t>
        </is>
      </c>
      <c r="P344" s="973" t="inlineStr">
        <is>
          <t>https://csrc.nist.gov/pubs/sp/800/82/r3/final</t>
        </is>
      </c>
    </row>
    <row r="345" ht="15" customHeight="1" s="508">
      <c r="A345" s="972" t="inlineStr">
        <is>
          <t>Cybercriminal</t>
        </is>
      </c>
      <c r="B345" s="972" t="inlineStr">
        <is>
          <t>Operational Disruption</t>
        </is>
      </c>
      <c r="C345" s="972" t="inlineStr">
        <is>
          <t>T0811</t>
        </is>
      </c>
      <c r="D345" s="972" t="inlineStr">
        <is>
          <t>Data from Information Repositories</t>
        </is>
      </c>
      <c r="E345" s="972" t="inlineStr">
        <is>
          <t>S4</t>
        </is>
      </c>
      <c r="F345" s="972" t="inlineStr">
        <is>
          <t>Candidate enabling technique</t>
        </is>
      </c>
      <c r="G345" s="972" t="inlineStr">
        <is>
          <t>Yes</t>
        </is>
      </c>
      <c r="H345" s="972" t="inlineStr">
        <is>
          <t>Yes</t>
        </is>
      </c>
      <c r="I345" s="972" t="inlineStr">
        <is>
          <t>Yes</t>
        </is>
      </c>
      <c r="J345" s="972" t="n">
        <v>6</v>
      </c>
      <c r="K345" s="972" t="inlineStr">
        <is>
          <t>Model Mapping</t>
        </is>
      </c>
      <c r="L345" s="452" t="inlineStr">
        <is>
          <t>https://attack.mitre.org/techniques/T0811</t>
        </is>
      </c>
      <c r="M345" s="973" t="inlineStr">
        <is>
          <t>Yes</t>
        </is>
      </c>
      <c r="N345" s="973" t="inlineStr">
        <is>
          <t>No explicit facility gate — defaults feasible</t>
        </is>
      </c>
      <c r="O345" s="973" t="inlineStr">
        <is>
          <t>Data from Information Repositories can support discovery or interaction with process state, control assets and operational data in Power Generation environments.</t>
        </is>
      </c>
      <c r="P345" s="973" t="inlineStr">
        <is>
          <t>https://csrc.nist.gov/pubs/sp/800/82/r3/final</t>
        </is>
      </c>
    </row>
    <row r="346" ht="15" customHeight="1" s="508">
      <c r="A346" s="972" t="inlineStr">
        <is>
          <t>Cybercriminal</t>
        </is>
      </c>
      <c r="B346" s="972" t="inlineStr">
        <is>
          <t>Operational Disruption</t>
        </is>
      </c>
      <c r="C346" s="972" t="inlineStr">
        <is>
          <t>T0893</t>
        </is>
      </c>
      <c r="D346" s="972" t="inlineStr">
        <is>
          <t>Data from Local System</t>
        </is>
      </c>
      <c r="E346" s="972" t="inlineStr">
        <is>
          <t>S4</t>
        </is>
      </c>
      <c r="F346" s="972" t="inlineStr">
        <is>
          <t>Candidate enabling technique</t>
        </is>
      </c>
      <c r="G346" s="972" t="inlineStr">
        <is>
          <t>Yes</t>
        </is>
      </c>
      <c r="H346" s="972" t="inlineStr">
        <is>
          <t>Yes</t>
        </is>
      </c>
      <c r="I346" s="972" t="inlineStr">
        <is>
          <t>Yes</t>
        </is>
      </c>
      <c r="J346" s="972" t="n">
        <v>4</v>
      </c>
      <c r="K346" s="972" t="inlineStr">
        <is>
          <t>Model Mapping</t>
        </is>
      </c>
      <c r="L346" s="452" t="inlineStr">
        <is>
          <t>https://attack.mitre.org/techniques/T0893</t>
        </is>
      </c>
      <c r="M346" s="973" t="inlineStr">
        <is>
          <t>Yes</t>
        </is>
      </c>
      <c r="N346" s="973" t="inlineStr">
        <is>
          <t>No explicit facility gate — defaults feasible</t>
        </is>
      </c>
      <c r="O346" s="973" t="inlineStr">
        <is>
          <t>Data from Local System can support discovery or interaction with process state, control assets and operational data in Power Generation environments.</t>
        </is>
      </c>
      <c r="P346" s="973" t="inlineStr">
        <is>
          <t>https://csrc.nist.gov/pubs/sp/800/82/r3/final</t>
        </is>
      </c>
    </row>
    <row r="347" ht="15" customHeight="1" s="508">
      <c r="A347" s="972" t="inlineStr">
        <is>
          <t>Cybercriminal</t>
        </is>
      </c>
      <c r="B347" s="972" t="inlineStr">
        <is>
          <t>Operational Disruption</t>
        </is>
      </c>
      <c r="C347" s="972" t="inlineStr">
        <is>
          <t>T1694.001</t>
        </is>
      </c>
      <c r="D347" s="972" t="inlineStr">
        <is>
          <t>Default Credentials</t>
        </is>
      </c>
      <c r="E347" s="972" t="inlineStr">
        <is>
          <t>S3</t>
        </is>
      </c>
      <c r="F347" s="972" t="inlineStr">
        <is>
          <t>Candidate enabling technique</t>
        </is>
      </c>
      <c r="G347" s="972" t="inlineStr">
        <is>
          <t>Yes</t>
        </is>
      </c>
      <c r="H347" s="972" t="inlineStr">
        <is>
          <t>Yes</t>
        </is>
      </c>
      <c r="I347" s="972" t="inlineStr">
        <is>
          <t>Yes</t>
        </is>
      </c>
      <c r="J347" s="972" t="n">
        <v>2</v>
      </c>
      <c r="K347" s="972" t="inlineStr">
        <is>
          <t>Model Mapping</t>
        </is>
      </c>
      <c r="L347" s="452" t="inlineStr">
        <is>
          <t>https://attack.mitre.org/techniques/T1694/001</t>
        </is>
      </c>
      <c r="M347" s="973" t="inlineStr">
        <is>
          <t>Yes</t>
        </is>
      </c>
      <c r="N347" s="973" t="inlineStr">
        <is>
          <t>No explicit facility gate — defaults feasible</t>
        </is>
      </c>
      <c r="O347" s="973" t="inlineStr">
        <is>
          <t>Default Credentials can support movement toward or within plant/control zones; actual reachability is governed by the assessed facility architecture.</t>
        </is>
      </c>
      <c r="P347" s="973" t="inlineStr">
        <is>
          <t>https://csrc.nist.gov/pubs/sp/800/82/r3/final</t>
        </is>
      </c>
    </row>
    <row r="348" ht="15" customHeight="1" s="508">
      <c r="A348" s="972" t="inlineStr">
        <is>
          <t>Cybercriminal</t>
        </is>
      </c>
      <c r="B348" s="972" t="inlineStr">
        <is>
          <t>Operational Disruption</t>
        </is>
      </c>
      <c r="C348" s="972" t="inlineStr">
        <is>
          <t>T0814</t>
        </is>
      </c>
      <c r="D348" s="972" t="inlineStr">
        <is>
          <t>Denial of Service</t>
        </is>
      </c>
      <c r="E348" s="972" t="inlineStr">
        <is>
          <t>S5</t>
        </is>
      </c>
      <c r="F348" s="972" t="inlineStr">
        <is>
          <t>Scenario-defining</t>
        </is>
      </c>
      <c r="G348" s="972" t="inlineStr">
        <is>
          <t>Yes</t>
        </is>
      </c>
      <c r="H348" s="972" t="inlineStr">
        <is>
          <t>Yes</t>
        </is>
      </c>
      <c r="I348" s="972" t="inlineStr">
        <is>
          <t>Yes</t>
        </is>
      </c>
      <c r="J348" s="972" t="n">
        <v>1</v>
      </c>
      <c r="K348" s="972" t="inlineStr">
        <is>
          <t>Model Mapping</t>
        </is>
      </c>
      <c r="L348" s="452" t="inlineStr">
        <is>
          <t>https://attack.mitre.org/techniques/T0814</t>
        </is>
      </c>
      <c r="M348" s="973" t="inlineStr">
        <is>
          <t>Yes</t>
        </is>
      </c>
      <c r="N348" s="973" t="inlineStr">
        <is>
          <t>No explicit facility gate — defaults feasible</t>
        </is>
      </c>
      <c r="O348" s="973" t="inlineStr">
        <is>
          <t>Denial of Service is an ATT&amp;CK for ICS impact or response-inhibition technique that can support one or more governed adverse scenarios; scenario role remains controlled on 09.</t>
        </is>
      </c>
      <c r="P348" s="973" t="inlineStr">
        <is>
          <t>https://csrc.nist.gov/pubs/sp/800/82/r3/final</t>
        </is>
      </c>
    </row>
    <row r="349" ht="15" customHeight="1" s="508">
      <c r="A349" s="972" t="inlineStr">
        <is>
          <t>Cybercriminal</t>
        </is>
      </c>
      <c r="B349" s="972" t="inlineStr">
        <is>
          <t>Operational Disruption</t>
        </is>
      </c>
      <c r="C349" s="972" t="inlineStr">
        <is>
          <t>T0868</t>
        </is>
      </c>
      <c r="D349" s="972" t="inlineStr">
        <is>
          <t>Detect Operating Mode</t>
        </is>
      </c>
      <c r="E349" s="972" t="inlineStr">
        <is>
          <t>S4</t>
        </is>
      </c>
      <c r="F349" s="972" t="inlineStr">
        <is>
          <t>Candidate enabling technique</t>
        </is>
      </c>
      <c r="G349" s="972" t="inlineStr">
        <is>
          <t>Yes</t>
        </is>
      </c>
      <c r="H349" s="972" t="inlineStr">
        <is>
          <t>Yes</t>
        </is>
      </c>
      <c r="I349" s="972" t="inlineStr">
        <is>
          <t>Yes</t>
        </is>
      </c>
      <c r="J349" s="972" t="n">
        <v>8</v>
      </c>
      <c r="K349" s="972" t="inlineStr">
        <is>
          <t>Model Mapping</t>
        </is>
      </c>
      <c r="L349" s="452" t="inlineStr">
        <is>
          <t>https://attack.mitre.org/techniques/T0868</t>
        </is>
      </c>
      <c r="M349" s="973" t="inlineStr">
        <is>
          <t>Yes</t>
        </is>
      </c>
      <c r="N349" s="973" t="inlineStr">
        <is>
          <t>No explicit facility gate — defaults feasible</t>
        </is>
      </c>
      <c r="O349" s="973" t="inlineStr">
        <is>
          <t>Detect Operating Mode can support discovery or interaction with process state, control assets and operational data in Power Generation environments.</t>
        </is>
      </c>
      <c r="P349" s="973" t="inlineStr">
        <is>
          <t>https://csrc.nist.gov/pubs/sp/800/82/r3/final</t>
        </is>
      </c>
    </row>
    <row r="350" ht="15" customHeight="1" s="508">
      <c r="A350" s="972" t="inlineStr">
        <is>
          <t>Cybercriminal</t>
        </is>
      </c>
      <c r="B350" s="972" t="inlineStr">
        <is>
          <t>Operational Disruption</t>
        </is>
      </c>
      <c r="C350" s="972" t="inlineStr">
        <is>
          <t>T0816</t>
        </is>
      </c>
      <c r="D350" s="972" t="inlineStr">
        <is>
          <t>Device Restart/Shutdown</t>
        </is>
      </c>
      <c r="E350" s="972" t="inlineStr">
        <is>
          <t>S5</t>
        </is>
      </c>
      <c r="F350" s="972" t="inlineStr">
        <is>
          <t>Scenario-defining</t>
        </is>
      </c>
      <c r="G350" s="972" t="inlineStr">
        <is>
          <t>Yes</t>
        </is>
      </c>
      <c r="H350" s="972" t="inlineStr">
        <is>
          <t>Yes</t>
        </is>
      </c>
      <c r="I350" s="972" t="inlineStr">
        <is>
          <t>Yes</t>
        </is>
      </c>
      <c r="J350" s="972" t="n">
        <v>9</v>
      </c>
      <c r="K350" s="972" t="inlineStr">
        <is>
          <t>Model Mapping</t>
        </is>
      </c>
      <c r="L350" s="452" t="inlineStr">
        <is>
          <t>https://attack.mitre.org/techniques/T0816</t>
        </is>
      </c>
      <c r="M350" s="973" t="inlineStr">
        <is>
          <t>Yes</t>
        </is>
      </c>
      <c r="N350" s="973" t="inlineStr">
        <is>
          <t>No explicit facility gate — defaults feasible</t>
        </is>
      </c>
      <c r="O350" s="973" t="inlineStr">
        <is>
          <t>Device Restart/Shutdown is an ATT&amp;CK for ICS impact or response-inhibition technique that can support one or more governed adverse scenarios; scenario role remains controlled on 09.</t>
        </is>
      </c>
      <c r="P350" s="973" t="inlineStr">
        <is>
          <t>https://csrc.nist.gov/pubs/sp/800/82/r3/final</t>
        </is>
      </c>
    </row>
    <row r="351" ht="15" customHeight="1" s="508">
      <c r="A351" s="972" t="inlineStr">
        <is>
          <t>Cybercriminal</t>
        </is>
      </c>
      <c r="B351" s="972" t="inlineStr">
        <is>
          <t>Operational Disruption</t>
        </is>
      </c>
      <c r="C351" s="972" t="inlineStr">
        <is>
          <t>T0843.001</t>
        </is>
      </c>
      <c r="D351" s="972" t="inlineStr">
        <is>
          <t>Download All</t>
        </is>
      </c>
      <c r="E351" s="972" t="inlineStr">
        <is>
          <t>S3</t>
        </is>
      </c>
      <c r="F351" s="972" t="inlineStr">
        <is>
          <t>Candidate enabling technique</t>
        </is>
      </c>
      <c r="G351" s="972" t="inlineStr">
        <is>
          <t>Yes</t>
        </is>
      </c>
      <c r="H351" s="972" t="inlineStr">
        <is>
          <t>Yes</t>
        </is>
      </c>
      <c r="I351" s="972" t="inlineStr">
        <is>
          <t>Yes</t>
        </is>
      </c>
      <c r="J351" s="972" t="n">
        <v>10</v>
      </c>
      <c r="K351" s="972" t="inlineStr">
        <is>
          <t>Model Mapping</t>
        </is>
      </c>
      <c r="L351" s="452" t="inlineStr">
        <is>
          <t>https://attack.mitre.org/techniques/T0843/001</t>
        </is>
      </c>
      <c r="M351" s="973" t="inlineStr">
        <is>
          <t>Yes</t>
        </is>
      </c>
      <c r="N351" s="973" t="inlineStr">
        <is>
          <t>No explicit facility gate — defaults feasible</t>
        </is>
      </c>
      <c r="O351" s="973" t="inlineStr">
        <is>
          <t>Download All can support movement toward or within plant/control zones; actual reachability is governed by the assessed facility architecture.</t>
        </is>
      </c>
      <c r="P351" s="973" t="inlineStr">
        <is>
          <t>https://csrc.nist.gov/pubs/sp/800/82/r3/final</t>
        </is>
      </c>
    </row>
    <row r="352" ht="15" customHeight="1" s="508">
      <c r="A352" s="972" t="inlineStr">
        <is>
          <t>Cybercriminal</t>
        </is>
      </c>
      <c r="B352" s="972" t="inlineStr">
        <is>
          <t>Operational Disruption</t>
        </is>
      </c>
      <c r="C352" s="972" t="inlineStr">
        <is>
          <t>T0817</t>
        </is>
      </c>
      <c r="D352" s="972" t="inlineStr">
        <is>
          <t>Drive-by Compromise</t>
        </is>
      </c>
      <c r="E352" s="972" t="inlineStr">
        <is>
          <t>S1</t>
        </is>
      </c>
      <c r="F352" s="972" t="inlineStr">
        <is>
          <t>Candidate enabling technique</t>
        </is>
      </c>
      <c r="G352" s="972" t="inlineStr">
        <is>
          <t>Yes</t>
        </is>
      </c>
      <c r="H352" s="972" t="inlineStr">
        <is>
          <t>Yes</t>
        </is>
      </c>
      <c r="I352" s="972" t="inlineStr">
        <is>
          <t>Yes</t>
        </is>
      </c>
      <c r="J352" s="972" t="n">
        <v>4</v>
      </c>
      <c r="K352" s="972" t="inlineStr">
        <is>
          <t>Model Mapping</t>
        </is>
      </c>
      <c r="L352" s="452" t="inlineStr">
        <is>
          <t>https://attack.mitre.org/techniques/T0817</t>
        </is>
      </c>
      <c r="M352" s="973" t="inlineStr">
        <is>
          <t>Yes</t>
        </is>
      </c>
      <c r="N352" s="973" t="inlineStr">
        <is>
          <t>No explicit facility gate — defaults feasible</t>
        </is>
      </c>
      <c r="O352" s="973" t="inlineStr">
        <is>
          <t>The Drive-by Compromise route is credible for Power Generation OT when the enabling access condition exists; existing facility gates determine remote, internet, transient, supply-chain or wireless feasibility.</t>
        </is>
      </c>
      <c r="P352" s="973" t="inlineStr">
        <is>
          <t>https://csrc.nist.gov/pubs/sp/800/82/r3/final</t>
        </is>
      </c>
    </row>
    <row r="353" ht="15" customHeight="1" s="508">
      <c r="A353" s="972" t="inlineStr">
        <is>
          <t>Cybercriminal</t>
        </is>
      </c>
      <c r="B353" s="972" t="inlineStr">
        <is>
          <t>Operational Disruption</t>
        </is>
      </c>
      <c r="C353" s="972" t="inlineStr">
        <is>
          <t>T0871</t>
        </is>
      </c>
      <c r="D353" s="972" t="inlineStr">
        <is>
          <t>Execution through API</t>
        </is>
      </c>
      <c r="E353" s="972" t="inlineStr">
        <is>
          <t>S2</t>
        </is>
      </c>
      <c r="F353" s="972" t="inlineStr">
        <is>
          <t>Candidate enabling technique</t>
        </is>
      </c>
      <c r="G353" s="972" t="inlineStr">
        <is>
          <t>Yes</t>
        </is>
      </c>
      <c r="H353" s="972" t="inlineStr">
        <is>
          <t>Yes</t>
        </is>
      </c>
      <c r="I353" s="972" t="inlineStr">
        <is>
          <t>Yes</t>
        </is>
      </c>
      <c r="J353" s="972" t="n">
        <v>4</v>
      </c>
      <c r="K353" s="972" t="inlineStr">
        <is>
          <t>Model Mapping</t>
        </is>
      </c>
      <c r="L353" s="452" t="inlineStr">
        <is>
          <t>https://attack.mitre.org/techniques/T0871</t>
        </is>
      </c>
      <c r="M353" s="973" t="inlineStr">
        <is>
          <t>Yes</t>
        </is>
      </c>
      <c r="N353" s="973" t="inlineStr">
        <is>
          <t>No explicit facility gate — defaults feasible</t>
        </is>
      </c>
      <c r="O353" s="973" t="inlineStr">
        <is>
          <t>Execution through API is applicable to execution or persistence on engineering workstations, HMIs, servers or controllers used in Power Generation facilities.</t>
        </is>
      </c>
      <c r="P353" s="973" t="inlineStr">
        <is>
          <t>https://csrc.nist.gov/pubs/sp/800/82/r3/final</t>
        </is>
      </c>
    </row>
    <row r="354" ht="15" customHeight="1" s="508">
      <c r="A354" s="972" t="inlineStr">
        <is>
          <t>Cybercriminal</t>
        </is>
      </c>
      <c r="B354" s="972" t="inlineStr">
        <is>
          <t>Operational Disruption</t>
        </is>
      </c>
      <c r="C354" s="972" t="inlineStr">
        <is>
          <t>T0819</t>
        </is>
      </c>
      <c r="D354" s="972" t="inlineStr">
        <is>
          <t>Exploit Public-Facing Application</t>
        </is>
      </c>
      <c r="E354" s="972" t="inlineStr">
        <is>
          <t>S1</t>
        </is>
      </c>
      <c r="F354" s="972" t="inlineStr">
        <is>
          <t>Candidate enabling technique</t>
        </is>
      </c>
      <c r="G354" s="972" t="inlineStr">
        <is>
          <t>Yes</t>
        </is>
      </c>
      <c r="H354" s="972" t="inlineStr">
        <is>
          <t>Yes</t>
        </is>
      </c>
      <c r="I354" s="972" t="inlineStr">
        <is>
          <t>Yes</t>
        </is>
      </c>
      <c r="J354" s="972" t="n">
        <v>6</v>
      </c>
      <c r="K354" s="972" t="inlineStr">
        <is>
          <t>Model Mapping</t>
        </is>
      </c>
      <c r="L354" s="452" t="inlineStr">
        <is>
          <t>https://attack.mitre.org/techniques/T0819</t>
        </is>
      </c>
      <c r="M354" s="973" t="inlineStr">
        <is>
          <t>Yes</t>
        </is>
      </c>
      <c r="N354" s="973" t="inlineStr">
        <is>
          <t>No explicit facility gate — defaults feasible</t>
        </is>
      </c>
      <c r="O354" s="973" t="inlineStr">
        <is>
          <t>The Exploit Public-Facing Application route is credible for Power Generation OT when the enabling access condition exists; existing facility gates determine remote, internet, transient, supply-chain or wireless feasibility.</t>
        </is>
      </c>
      <c r="P354" s="973" t="inlineStr">
        <is>
          <t>https://csrc.nist.gov/pubs/sp/800/82/r3/final</t>
        </is>
      </c>
    </row>
    <row r="355" ht="15" customHeight="1" s="508">
      <c r="A355" s="972" t="inlineStr">
        <is>
          <t>Cybercriminal</t>
        </is>
      </c>
      <c r="B355" s="972" t="inlineStr">
        <is>
          <t>Operational Disruption</t>
        </is>
      </c>
      <c r="C355" s="972" t="inlineStr">
        <is>
          <t>T0820</t>
        </is>
      </c>
      <c r="D355" s="972" t="inlineStr">
        <is>
          <t>Exploitation for Evasion</t>
        </is>
      </c>
      <c r="E355" s="972" t="inlineStr">
        <is>
          <t>S2</t>
        </is>
      </c>
      <c r="F355" s="972" t="inlineStr">
        <is>
          <t>Candidate enabling technique</t>
        </is>
      </c>
      <c r="G355" s="972" t="inlineStr">
        <is>
          <t>Yes</t>
        </is>
      </c>
      <c r="H355" s="972" t="inlineStr">
        <is>
          <t>Yes</t>
        </is>
      </c>
      <c r="I355" s="972" t="inlineStr">
        <is>
          <t>Yes</t>
        </is>
      </c>
      <c r="J355" s="972" t="n">
        <v>4</v>
      </c>
      <c r="K355" s="972" t="inlineStr">
        <is>
          <t>Model Mapping</t>
        </is>
      </c>
      <c r="L355" s="452" t="inlineStr">
        <is>
          <t>https://attack.mitre.org/techniques/T0820</t>
        </is>
      </c>
      <c r="M355" s="973" t="inlineStr">
        <is>
          <t>Yes</t>
        </is>
      </c>
      <c r="N355" s="973" t="inlineStr">
        <is>
          <t>No explicit facility gate — defaults feasible</t>
        </is>
      </c>
      <c r="O355" s="973" t="inlineStr">
        <is>
          <t>Exploitation for Evasion is applicable to execution or persistence on engineering workstations, HMIs, servers or controllers used in Power Generation facilities.</t>
        </is>
      </c>
      <c r="P355" s="973" t="inlineStr">
        <is>
          <t>https://csrc.nist.gov/pubs/sp/800/82/r3/final</t>
        </is>
      </c>
    </row>
    <row r="356" ht="15" customHeight="1" s="508">
      <c r="A356" s="972" t="inlineStr">
        <is>
          <t>Cybercriminal</t>
        </is>
      </c>
      <c r="B356" s="972" t="inlineStr">
        <is>
          <t>Operational Disruption</t>
        </is>
      </c>
      <c r="C356" s="972" t="inlineStr">
        <is>
          <t>T0890</t>
        </is>
      </c>
      <c r="D356" s="972" t="inlineStr">
        <is>
          <t>Exploitation for Privilege Escalation</t>
        </is>
      </c>
      <c r="E356" s="972" t="inlineStr">
        <is>
          <t>S2</t>
        </is>
      </c>
      <c r="F356" s="972" t="inlineStr">
        <is>
          <t>Candidate enabling technique</t>
        </is>
      </c>
      <c r="G356" s="972" t="inlineStr">
        <is>
          <t>Yes</t>
        </is>
      </c>
      <c r="H356" s="972" t="inlineStr">
        <is>
          <t>Yes</t>
        </is>
      </c>
      <c r="I356" s="972" t="inlineStr">
        <is>
          <t>Yes</t>
        </is>
      </c>
      <c r="J356" s="972" t="n">
        <v>4</v>
      </c>
      <c r="K356" s="972" t="inlineStr">
        <is>
          <t>Model Mapping</t>
        </is>
      </c>
      <c r="L356" s="452" t="inlineStr">
        <is>
          <t>https://attack.mitre.org/techniques/T0890</t>
        </is>
      </c>
      <c r="M356" s="973" t="inlineStr">
        <is>
          <t>Yes</t>
        </is>
      </c>
      <c r="N356" s="973" t="inlineStr">
        <is>
          <t>No explicit facility gate — defaults feasible</t>
        </is>
      </c>
      <c r="O356" s="973" t="inlineStr">
        <is>
          <t>Exploitation for Privilege Escalation is applicable to execution or persistence on engineering workstations, HMIs, servers or controllers used in Power Generation facilities.</t>
        </is>
      </c>
      <c r="P356" s="973" t="inlineStr">
        <is>
          <t>https://csrc.nist.gov/pubs/sp/800/82/r3/final</t>
        </is>
      </c>
    </row>
    <row r="357" ht="15" customHeight="1" s="508">
      <c r="A357" s="972" t="inlineStr">
        <is>
          <t>Cybercriminal</t>
        </is>
      </c>
      <c r="B357" s="972" t="inlineStr">
        <is>
          <t>Operational Disruption</t>
        </is>
      </c>
      <c r="C357" s="972" t="inlineStr">
        <is>
          <t>T0866</t>
        </is>
      </c>
      <c r="D357" s="972" t="inlineStr">
        <is>
          <t>Exploitation of Remote Services</t>
        </is>
      </c>
      <c r="E357" s="972" t="inlineStr">
        <is>
          <t>S1</t>
        </is>
      </c>
      <c r="F357" s="972" t="inlineStr">
        <is>
          <t>Candidate enabling technique</t>
        </is>
      </c>
      <c r="G357" s="972" t="inlineStr">
        <is>
          <t>Yes</t>
        </is>
      </c>
      <c r="H357" s="972" t="inlineStr">
        <is>
          <t>Yes</t>
        </is>
      </c>
      <c r="I357" s="972" t="inlineStr">
        <is>
          <t>Yes</t>
        </is>
      </c>
      <c r="J357" s="972" t="n">
        <v>8</v>
      </c>
      <c r="K357" s="972" t="inlineStr">
        <is>
          <t>Model Mapping</t>
        </is>
      </c>
      <c r="L357" s="452" t="inlineStr">
        <is>
          <t>https://attack.mitre.org/techniques/T0866</t>
        </is>
      </c>
      <c r="M357" s="973" t="inlineStr">
        <is>
          <t>Yes</t>
        </is>
      </c>
      <c r="N357" s="973" t="inlineStr">
        <is>
          <t>REMOTE_OR_ITOT — Remote path or IT-OT connection</t>
        </is>
      </c>
      <c r="O357" s="973" t="inlineStr">
        <is>
          <t>The Exploitation of Remote Services route is credible for Power Generation OT when the enabling access condition exists; existing facility gates determine remote, internet, transient, supply-chain or wireless feasibility.</t>
        </is>
      </c>
      <c r="P357" s="973" t="inlineStr">
        <is>
          <t>https://csrc.nist.gov/pubs/sp/800/82/r3/final</t>
        </is>
      </c>
    </row>
    <row r="358" ht="15" customHeight="1" s="508">
      <c r="A358" s="972" t="inlineStr">
        <is>
          <t>Cybercriminal</t>
        </is>
      </c>
      <c r="B358" s="972" t="inlineStr">
        <is>
          <t>Operational Disruption</t>
        </is>
      </c>
      <c r="C358" s="972" t="inlineStr">
        <is>
          <t>T0822</t>
        </is>
      </c>
      <c r="D358" s="972" t="inlineStr">
        <is>
          <t>External Remote Services</t>
        </is>
      </c>
      <c r="E358" s="972" t="inlineStr">
        <is>
          <t>S1</t>
        </is>
      </c>
      <c r="F358" s="972" t="inlineStr">
        <is>
          <t>Candidate enabling technique</t>
        </is>
      </c>
      <c r="G358" s="972" t="inlineStr">
        <is>
          <t>Yes</t>
        </is>
      </c>
      <c r="H358" s="972" t="inlineStr">
        <is>
          <t>Yes</t>
        </is>
      </c>
      <c r="I358" s="972" t="inlineStr">
        <is>
          <t>Yes</t>
        </is>
      </c>
      <c r="J358" s="972" t="n">
        <v>7</v>
      </c>
      <c r="K358" s="972" t="inlineStr">
        <is>
          <t>Model Mapping</t>
        </is>
      </c>
      <c r="L358" s="452" t="inlineStr">
        <is>
          <t>https://attack.mitre.org/techniques/T0822</t>
        </is>
      </c>
      <c r="M358" s="973" t="inlineStr">
        <is>
          <t>Yes</t>
        </is>
      </c>
      <c r="N358" s="973" t="inlineStr">
        <is>
          <t>REMOTE_REQUIRED — Not None</t>
        </is>
      </c>
      <c r="O358" s="973" t="inlineStr">
        <is>
          <t>The External Remote Services route is credible for Power Generation OT when the enabling access condition exists; existing facility gates determine remote, internet, transient, supply-chain or wireless feasibility.</t>
        </is>
      </c>
      <c r="P358" s="973" t="inlineStr">
        <is>
          <t>https://csrc.nist.gov/pubs/sp/800/82/r3/final</t>
        </is>
      </c>
    </row>
    <row r="359" ht="15" customHeight="1" s="508">
      <c r="A359" s="972" t="inlineStr">
        <is>
          <t>Cybercriminal</t>
        </is>
      </c>
      <c r="B359" s="972" t="inlineStr">
        <is>
          <t>Operational Disruption</t>
        </is>
      </c>
      <c r="C359" s="972" t="inlineStr">
        <is>
          <t>T0823</t>
        </is>
      </c>
      <c r="D359" s="972" t="inlineStr">
        <is>
          <t>Graphical User Interface</t>
        </is>
      </c>
      <c r="E359" s="972" t="inlineStr">
        <is>
          <t>S2</t>
        </is>
      </c>
      <c r="F359" s="972" t="inlineStr">
        <is>
          <t>Candidate enabling technique</t>
        </is>
      </c>
      <c r="G359" s="972" t="inlineStr">
        <is>
          <t>Yes</t>
        </is>
      </c>
      <c r="H359" s="972" t="inlineStr">
        <is>
          <t>Yes</t>
        </is>
      </c>
      <c r="I359" s="972" t="inlineStr">
        <is>
          <t>Yes</t>
        </is>
      </c>
      <c r="J359" s="972" t="n">
        <v>1</v>
      </c>
      <c r="K359" s="972" t="inlineStr">
        <is>
          <t>Model Mapping</t>
        </is>
      </c>
      <c r="L359" s="452" t="inlineStr">
        <is>
          <t>https://attack.mitre.org/techniques/T0823</t>
        </is>
      </c>
      <c r="M359" s="973" t="inlineStr">
        <is>
          <t>Yes</t>
        </is>
      </c>
      <c r="N359" s="973" t="inlineStr">
        <is>
          <t>No explicit facility gate — defaults feasible</t>
        </is>
      </c>
      <c r="O359" s="973" t="inlineStr">
        <is>
          <t>Graphical User Interface is applicable to execution or persistence on engineering workstations, HMIs, servers or controllers used in Power Generation facilities.</t>
        </is>
      </c>
      <c r="P359" s="973" t="inlineStr">
        <is>
          <t>https://csrc.nist.gov/pubs/sp/800/82/r3/final</t>
        </is>
      </c>
    </row>
    <row r="360" ht="15" customHeight="1" s="508">
      <c r="A360" s="972" t="inlineStr">
        <is>
          <t>Cybercriminal</t>
        </is>
      </c>
      <c r="B360" s="972" t="inlineStr">
        <is>
          <t>Operational Disruption</t>
        </is>
      </c>
      <c r="C360" s="972" t="inlineStr">
        <is>
          <t>T1694.002</t>
        </is>
      </c>
      <c r="D360" s="972" t="inlineStr">
        <is>
          <t>Hardcoded Credentials</t>
        </is>
      </c>
      <c r="E360" s="972" t="inlineStr">
        <is>
          <t>S3</t>
        </is>
      </c>
      <c r="F360" s="972" t="inlineStr">
        <is>
          <t>Candidate enabling technique</t>
        </is>
      </c>
      <c r="G360" s="972" t="inlineStr">
        <is>
          <t>Yes</t>
        </is>
      </c>
      <c r="H360" s="972" t="inlineStr">
        <is>
          <t>Yes</t>
        </is>
      </c>
      <c r="I360" s="972" t="inlineStr">
        <is>
          <t>Yes</t>
        </is>
      </c>
      <c r="J360" s="972" t="n">
        <v>1</v>
      </c>
      <c r="K360" s="972" t="inlineStr">
        <is>
          <t>Model Mapping</t>
        </is>
      </c>
      <c r="L360" s="452" t="inlineStr">
        <is>
          <t>https://attack.mitre.org/techniques/T1694/002</t>
        </is>
      </c>
      <c r="M360" s="973" t="inlineStr">
        <is>
          <t>Yes</t>
        </is>
      </c>
      <c r="N360" s="973" t="inlineStr">
        <is>
          <t>No explicit facility gate — defaults feasible</t>
        </is>
      </c>
      <c r="O360" s="973" t="inlineStr">
        <is>
          <t>Hardcoded Credentials can support movement toward or within plant/control zones; actual reachability is governed by the assessed facility architecture.</t>
        </is>
      </c>
      <c r="P360" s="973" t="inlineStr">
        <is>
          <t>https://csrc.nist.gov/pubs/sp/800/82/r3/final</t>
        </is>
      </c>
    </row>
    <row r="361" ht="15" customHeight="1" s="508">
      <c r="A361" s="972" t="inlineStr">
        <is>
          <t>Cybercriminal</t>
        </is>
      </c>
      <c r="B361" s="972" t="inlineStr">
        <is>
          <t>Operational Disruption</t>
        </is>
      </c>
      <c r="C361" s="972" t="inlineStr">
        <is>
          <t>T0874</t>
        </is>
      </c>
      <c r="D361" s="972" t="inlineStr">
        <is>
          <t>Hooking</t>
        </is>
      </c>
      <c r="E361" s="972" t="inlineStr">
        <is>
          <t>S2</t>
        </is>
      </c>
      <c r="F361" s="972" t="inlineStr">
        <is>
          <t>Candidate enabling technique</t>
        </is>
      </c>
      <c r="G361" s="972" t="inlineStr">
        <is>
          <t>Yes</t>
        </is>
      </c>
      <c r="H361" s="972" t="inlineStr">
        <is>
          <t>Yes</t>
        </is>
      </c>
      <c r="I361" s="972" t="inlineStr">
        <is>
          <t>Yes</t>
        </is>
      </c>
      <c r="J361" s="972" t="n">
        <v>2</v>
      </c>
      <c r="K361" s="972" t="inlineStr">
        <is>
          <t>Model Mapping</t>
        </is>
      </c>
      <c r="L361" s="452" t="inlineStr">
        <is>
          <t>https://attack.mitre.org/techniques/T0874</t>
        </is>
      </c>
      <c r="M361" s="973" t="inlineStr">
        <is>
          <t>Yes</t>
        </is>
      </c>
      <c r="N361" s="973" t="inlineStr">
        <is>
          <t>No explicit facility gate — defaults feasible</t>
        </is>
      </c>
      <c r="O361" s="973" t="inlineStr">
        <is>
          <t>Hooking is applicable to execution or persistence on engineering workstations, HMIs, servers or controllers used in Power Generation facilities.</t>
        </is>
      </c>
      <c r="P361" s="973" t="inlineStr">
        <is>
          <t>https://csrc.nist.gov/pubs/sp/800/82/r3/final</t>
        </is>
      </c>
    </row>
    <row r="362" ht="15" customHeight="1" s="508">
      <c r="A362" s="972" t="inlineStr">
        <is>
          <t>Cybercriminal</t>
        </is>
      </c>
      <c r="B362" s="972" t="inlineStr">
        <is>
          <t>Operational Disruption</t>
        </is>
      </c>
      <c r="C362" s="972" t="inlineStr">
        <is>
          <t>T0877</t>
        </is>
      </c>
      <c r="D362" s="972" t="inlineStr">
        <is>
          <t>I/O Image</t>
        </is>
      </c>
      <c r="E362" s="972" t="inlineStr">
        <is>
          <t>S4</t>
        </is>
      </c>
      <c r="F362" s="972" t="inlineStr">
        <is>
          <t>Candidate enabling technique</t>
        </is>
      </c>
      <c r="G362" s="972" t="inlineStr">
        <is>
          <t>Yes</t>
        </is>
      </c>
      <c r="H362" s="972" t="inlineStr">
        <is>
          <t>Yes</t>
        </is>
      </c>
      <c r="I362" s="972" t="inlineStr">
        <is>
          <t>Yes</t>
        </is>
      </c>
      <c r="J362" s="972" t="n">
        <v>1</v>
      </c>
      <c r="K362" s="972" t="inlineStr">
        <is>
          <t>Model Mapping</t>
        </is>
      </c>
      <c r="L362" s="452" t="inlineStr">
        <is>
          <t>https://attack.mitre.org/techniques/T0877</t>
        </is>
      </c>
      <c r="M362" s="973" t="inlineStr">
        <is>
          <t>Yes</t>
        </is>
      </c>
      <c r="N362" s="973" t="inlineStr">
        <is>
          <t>No explicit facility gate — defaults feasible</t>
        </is>
      </c>
      <c r="O362" s="973" t="inlineStr">
        <is>
          <t>I/O Image can support discovery or interaction with process state, control assets and operational data in Power Generation environments.</t>
        </is>
      </c>
      <c r="P362" s="973" t="inlineStr">
        <is>
          <t>https://csrc.nist.gov/pubs/sp/800/82/r3/final</t>
        </is>
      </c>
    </row>
    <row r="363" ht="15" customHeight="1" s="508">
      <c r="A363" s="972" t="inlineStr">
        <is>
          <t>Cybercriminal</t>
        </is>
      </c>
      <c r="B363" s="972" t="inlineStr">
        <is>
          <t>Operational Disruption</t>
        </is>
      </c>
      <c r="C363" s="972" t="inlineStr">
        <is>
          <t>T0872</t>
        </is>
      </c>
      <c r="D363" s="972" t="inlineStr">
        <is>
          <t>Indicator Removal on Host</t>
        </is>
      </c>
      <c r="E363" s="972" t="inlineStr">
        <is>
          <t>S2</t>
        </is>
      </c>
      <c r="F363" s="972" t="inlineStr">
        <is>
          <t>Candidate enabling technique</t>
        </is>
      </c>
      <c r="G363" s="972" t="inlineStr">
        <is>
          <t>Yes</t>
        </is>
      </c>
      <c r="H363" s="972" t="inlineStr">
        <is>
          <t>Yes</t>
        </is>
      </c>
      <c r="I363" s="972" t="inlineStr">
        <is>
          <t>Yes</t>
        </is>
      </c>
      <c r="J363" s="972" t="n">
        <v>1</v>
      </c>
      <c r="K363" s="972" t="inlineStr">
        <is>
          <t>Model Mapping</t>
        </is>
      </c>
      <c r="L363" s="452" t="inlineStr">
        <is>
          <t>https://attack.mitre.org/techniques/T0872</t>
        </is>
      </c>
      <c r="M363" s="973" t="inlineStr">
        <is>
          <t>Yes</t>
        </is>
      </c>
      <c r="N363" s="973" t="inlineStr">
        <is>
          <t>No explicit facility gate — defaults feasible</t>
        </is>
      </c>
      <c r="O363" s="973" t="inlineStr">
        <is>
          <t>Indicator Removal on Host is applicable to execution or persistence on engineering workstations, HMIs, servers or controllers used in Power Generation facilities.</t>
        </is>
      </c>
      <c r="P363" s="973" t="inlineStr">
        <is>
          <t>https://csrc.nist.gov/pubs/sp/800/82/r3/final</t>
        </is>
      </c>
    </row>
    <row r="364" ht="15" customHeight="1" s="508">
      <c r="A364" s="972" t="inlineStr">
        <is>
          <t>Cybercriminal</t>
        </is>
      </c>
      <c r="B364" s="972" t="inlineStr">
        <is>
          <t>Operational Disruption</t>
        </is>
      </c>
      <c r="C364" s="972" t="inlineStr">
        <is>
          <t>T0883</t>
        </is>
      </c>
      <c r="D364" s="972" t="inlineStr">
        <is>
          <t>Internet Accessible Device</t>
        </is>
      </c>
      <c r="E364" s="972" t="inlineStr">
        <is>
          <t>S1</t>
        </is>
      </c>
      <c r="F364" s="972" t="inlineStr">
        <is>
          <t>Candidate enabling technique</t>
        </is>
      </c>
      <c r="G364" s="972" t="inlineStr">
        <is>
          <t>Yes</t>
        </is>
      </c>
      <c r="H364" s="972" t="inlineStr">
        <is>
          <t>No</t>
        </is>
      </c>
      <c r="I364" s="972" t="inlineStr">
        <is>
          <t>No</t>
        </is>
      </c>
      <c r="J364" s="972" t="n">
        <v>1</v>
      </c>
      <c r="K364" s="972" t="inlineStr">
        <is>
          <t>Model Mapping</t>
        </is>
      </c>
      <c r="L364" s="452" t="inlineStr">
        <is>
          <t>https://attack.mitre.org/techniques/T0883</t>
        </is>
      </c>
      <c r="M364" s="973" t="inlineStr">
        <is>
          <t>Yes</t>
        </is>
      </c>
      <c r="N364" s="973" t="inlineStr">
        <is>
          <t>INTERNET_OT — Yes</t>
        </is>
      </c>
      <c r="O364" s="973" t="inlineStr">
        <is>
          <t>The Internet Accessible Device route is credible for Power Generation OT when the enabling access condition exists; existing facility gates determine remote, internet, transient, supply-chain or wireless feasibility.</t>
        </is>
      </c>
      <c r="P364" s="973" t="inlineStr">
        <is>
          <t>https://csrc.nist.gov/pubs/sp/800/82/r3/final</t>
        </is>
      </c>
    </row>
    <row r="365" ht="15" customHeight="1" s="508">
      <c r="A365" s="972" t="inlineStr">
        <is>
          <t>Cybercriminal</t>
        </is>
      </c>
      <c r="B365" s="972" t="inlineStr">
        <is>
          <t>Operational Disruption</t>
        </is>
      </c>
      <c r="C365" s="972" t="inlineStr">
        <is>
          <t>T0867</t>
        </is>
      </c>
      <c r="D365" s="972" t="inlineStr">
        <is>
          <t>Lateral Tool Transfer</t>
        </is>
      </c>
      <c r="E365" s="972" t="inlineStr">
        <is>
          <t>S3</t>
        </is>
      </c>
      <c r="F365" s="972" t="inlineStr">
        <is>
          <t>Candidate enabling technique</t>
        </is>
      </c>
      <c r="G365" s="972" t="inlineStr">
        <is>
          <t>Yes</t>
        </is>
      </c>
      <c r="H365" s="972" t="inlineStr">
        <is>
          <t>Yes</t>
        </is>
      </c>
      <c r="I365" s="972" t="inlineStr">
        <is>
          <t>Yes</t>
        </is>
      </c>
      <c r="J365" s="972" t="n">
        <v>1</v>
      </c>
      <c r="K365" s="972" t="inlineStr">
        <is>
          <t>Model Mapping</t>
        </is>
      </c>
      <c r="L365" s="452" t="inlineStr">
        <is>
          <t>https://attack.mitre.org/techniques/T0867</t>
        </is>
      </c>
      <c r="M365" s="973" t="inlineStr">
        <is>
          <t>Yes</t>
        </is>
      </c>
      <c r="N365" s="973" t="inlineStr">
        <is>
          <t>No explicit facility gate — defaults feasible</t>
        </is>
      </c>
      <c r="O365" s="973" t="inlineStr">
        <is>
          <t>Lateral Tool Transfer can support movement toward or within plant/control zones; actual reachability is governed by the assessed facility architecture.</t>
        </is>
      </c>
      <c r="P365" s="973" t="inlineStr">
        <is>
          <t>https://csrc.nist.gov/pubs/sp/800/82/r3/final</t>
        </is>
      </c>
    </row>
    <row r="366" ht="15" customHeight="1" s="508">
      <c r="A366" s="972" t="inlineStr">
        <is>
          <t>Cybercriminal</t>
        </is>
      </c>
      <c r="B366" s="972" t="inlineStr">
        <is>
          <t>Operational Disruption</t>
        </is>
      </c>
      <c r="C366" s="972" t="inlineStr">
        <is>
          <t>T0826</t>
        </is>
      </c>
      <c r="D366" s="972" t="inlineStr">
        <is>
          <t>Loss of Availability</t>
        </is>
      </c>
      <c r="E366" s="972" t="inlineStr">
        <is>
          <t>S5</t>
        </is>
      </c>
      <c r="F366" s="972" t="inlineStr">
        <is>
          <t>Scenario-defining</t>
        </is>
      </c>
      <c r="G366" s="972" t="inlineStr">
        <is>
          <t>Yes</t>
        </is>
      </c>
      <c r="H366" s="972" t="inlineStr">
        <is>
          <t>Yes</t>
        </is>
      </c>
      <c r="I366" s="972" t="inlineStr">
        <is>
          <t>Yes</t>
        </is>
      </c>
      <c r="J366" s="972" t="n">
        <v>3</v>
      </c>
      <c r="K366" s="972" t="inlineStr">
        <is>
          <t>Model Mapping</t>
        </is>
      </c>
      <c r="L366" s="452" t="inlineStr">
        <is>
          <t>https://attack.mitre.org/techniques/T0826</t>
        </is>
      </c>
      <c r="M366" s="973" t="inlineStr">
        <is>
          <t>Yes</t>
        </is>
      </c>
      <c r="N366" s="973" t="inlineStr">
        <is>
          <t>No explicit facility gate — defaults feasible</t>
        </is>
      </c>
      <c r="O366" s="973" t="inlineStr">
        <is>
          <t>Loss of Availability is an ATT&amp;CK for ICS impact or response-inhibition technique that can support one or more governed adverse scenarios; scenario role remains controlled on 09.</t>
        </is>
      </c>
      <c r="P366" s="973" t="inlineStr">
        <is>
          <t>https://csrc.nist.gov/pubs/sp/800/82/r3/final</t>
        </is>
      </c>
    </row>
    <row r="367" ht="15" customHeight="1" s="508">
      <c r="A367" s="972" t="inlineStr">
        <is>
          <t>Cybercriminal</t>
        </is>
      </c>
      <c r="B367" s="972" t="inlineStr">
        <is>
          <t>Operational Disruption</t>
        </is>
      </c>
      <c r="C367" s="972" t="inlineStr">
        <is>
          <t>T0849</t>
        </is>
      </c>
      <c r="D367" s="972" t="inlineStr">
        <is>
          <t>Masquerading</t>
        </is>
      </c>
      <c r="E367" s="972" t="inlineStr">
        <is>
          <t>S2</t>
        </is>
      </c>
      <c r="F367" s="972" t="inlineStr">
        <is>
          <t>Candidate enabling technique</t>
        </is>
      </c>
      <c r="G367" s="972" t="inlineStr">
        <is>
          <t>Yes</t>
        </is>
      </c>
      <c r="H367" s="972" t="inlineStr">
        <is>
          <t>Yes</t>
        </is>
      </c>
      <c r="I367" s="972" t="inlineStr">
        <is>
          <t>Yes</t>
        </is>
      </c>
      <c r="J367" s="972" t="n">
        <v>3</v>
      </c>
      <c r="K367" s="972" t="inlineStr">
        <is>
          <t>Model Mapping</t>
        </is>
      </c>
      <c r="L367" s="452" t="inlineStr">
        <is>
          <t>https://attack.mitre.org/techniques/T0849</t>
        </is>
      </c>
      <c r="M367" s="973" t="inlineStr">
        <is>
          <t>Yes</t>
        </is>
      </c>
      <c r="N367" s="973" t="inlineStr">
        <is>
          <t>No explicit facility gate — defaults feasible</t>
        </is>
      </c>
      <c r="O367" s="973" t="inlineStr">
        <is>
          <t>Masquerading is applicable to execution or persistence on engineering workstations, HMIs, servers or controllers used in Power Generation facilities.</t>
        </is>
      </c>
      <c r="P367" s="973" t="inlineStr">
        <is>
          <t>https://csrc.nist.gov/pubs/sp/800/82/r3/final</t>
        </is>
      </c>
    </row>
    <row r="368" ht="15" customHeight="1" s="508">
      <c r="A368" s="972" t="inlineStr">
        <is>
          <t>Cybercriminal</t>
        </is>
      </c>
      <c r="B368" s="972" t="inlineStr">
        <is>
          <t>Operational Disruption</t>
        </is>
      </c>
      <c r="C368" s="972" t="inlineStr">
        <is>
          <t>T0821</t>
        </is>
      </c>
      <c r="D368" s="972" t="inlineStr">
        <is>
          <t>Modify Controller Tasking</t>
        </is>
      </c>
      <c r="E368" s="972" t="inlineStr">
        <is>
          <t>S2</t>
        </is>
      </c>
      <c r="F368" s="972" t="inlineStr">
        <is>
          <t>Candidate enabling technique</t>
        </is>
      </c>
      <c r="G368" s="972" t="inlineStr">
        <is>
          <t>Yes</t>
        </is>
      </c>
      <c r="H368" s="972" t="inlineStr">
        <is>
          <t>Yes</t>
        </is>
      </c>
      <c r="I368" s="972" t="inlineStr">
        <is>
          <t>Yes</t>
        </is>
      </c>
      <c r="J368" s="972" t="n">
        <v>4</v>
      </c>
      <c r="K368" s="972" t="inlineStr">
        <is>
          <t>Model Mapping</t>
        </is>
      </c>
      <c r="L368" s="452" t="inlineStr">
        <is>
          <t>https://attack.mitre.org/techniques/T0821</t>
        </is>
      </c>
      <c r="M368" s="973" t="inlineStr">
        <is>
          <t>Yes</t>
        </is>
      </c>
      <c r="N368" s="973" t="inlineStr">
        <is>
          <t>No explicit facility gate — defaults feasible</t>
        </is>
      </c>
      <c r="O368" s="973" t="inlineStr">
        <is>
          <t>Modify Controller Tasking is applicable to execution or persistence on engineering workstations, HMIs, servers or controllers used in Power Generation facilities.</t>
        </is>
      </c>
      <c r="P368" s="973" t="inlineStr">
        <is>
          <t>https://csrc.nist.gov/pubs/sp/800/82/r3/final</t>
        </is>
      </c>
    </row>
    <row r="369" ht="15" customHeight="1" s="508">
      <c r="A369" s="972" t="inlineStr">
        <is>
          <t>Cybercriminal</t>
        </is>
      </c>
      <c r="B369" s="972" t="inlineStr">
        <is>
          <t>Operational Disruption</t>
        </is>
      </c>
      <c r="C369" s="972" t="inlineStr">
        <is>
          <t>T0889</t>
        </is>
      </c>
      <c r="D369" s="972" t="inlineStr">
        <is>
          <t>Modify Program</t>
        </is>
      </c>
      <c r="E369" s="972" t="inlineStr">
        <is>
          <t>S2</t>
        </is>
      </c>
      <c r="F369" s="972" t="inlineStr">
        <is>
          <t>Candidate enabling technique</t>
        </is>
      </c>
      <c r="G369" s="972" t="inlineStr">
        <is>
          <t>Yes</t>
        </is>
      </c>
      <c r="H369" s="972" t="inlineStr">
        <is>
          <t>Yes</t>
        </is>
      </c>
      <c r="I369" s="972" t="inlineStr">
        <is>
          <t>Yes</t>
        </is>
      </c>
      <c r="J369" s="972" t="n">
        <v>4</v>
      </c>
      <c r="K369" s="972" t="inlineStr">
        <is>
          <t>Model Mapping</t>
        </is>
      </c>
      <c r="L369" s="452" t="inlineStr">
        <is>
          <t>https://attack.mitre.org/techniques/T0889</t>
        </is>
      </c>
      <c r="M369" s="973" t="inlineStr">
        <is>
          <t>Yes</t>
        </is>
      </c>
      <c r="N369" s="973" t="inlineStr">
        <is>
          <t>No explicit facility gate — defaults feasible</t>
        </is>
      </c>
      <c r="O369" s="973" t="inlineStr">
        <is>
          <t>Modify Program is applicable to execution or persistence on engineering workstations, HMIs, servers or controllers used in Power Generation facilities.</t>
        </is>
      </c>
      <c r="P369" s="973" t="inlineStr">
        <is>
          <t>https://csrc.nist.gov/pubs/sp/800/82/r3/final</t>
        </is>
      </c>
    </row>
    <row r="370" ht="15" customHeight="1" s="508">
      <c r="A370" s="972" t="inlineStr">
        <is>
          <t>Cybercriminal</t>
        </is>
      </c>
      <c r="B370" s="972" t="inlineStr">
        <is>
          <t>Operational Disruption</t>
        </is>
      </c>
      <c r="C370" s="972" t="inlineStr">
        <is>
          <t>T0801</t>
        </is>
      </c>
      <c r="D370" s="972" t="inlineStr">
        <is>
          <t>Monitor Process State</t>
        </is>
      </c>
      <c r="E370" s="972" t="inlineStr">
        <is>
          <t>S4</t>
        </is>
      </c>
      <c r="F370" s="972" t="inlineStr">
        <is>
          <t>Candidate enabling technique</t>
        </is>
      </c>
      <c r="G370" s="972" t="inlineStr">
        <is>
          <t>Yes</t>
        </is>
      </c>
      <c r="H370" s="972" t="inlineStr">
        <is>
          <t>Yes</t>
        </is>
      </c>
      <c r="I370" s="972" t="inlineStr">
        <is>
          <t>Yes</t>
        </is>
      </c>
      <c r="J370" s="972" t="n">
        <v>1</v>
      </c>
      <c r="K370" s="972" t="inlineStr">
        <is>
          <t>Model Mapping</t>
        </is>
      </c>
      <c r="L370" s="452" t="inlineStr">
        <is>
          <t>https://attack.mitre.org/techniques/T0801</t>
        </is>
      </c>
      <c r="M370" s="973" t="inlineStr">
        <is>
          <t>Yes</t>
        </is>
      </c>
      <c r="N370" s="973" t="inlineStr">
        <is>
          <t>No explicit facility gate — defaults feasible</t>
        </is>
      </c>
      <c r="O370" s="973" t="inlineStr">
        <is>
          <t>Monitor Process State can support discovery or interaction with process state, control assets and operational data in Power Generation environments.</t>
        </is>
      </c>
      <c r="P370" s="973" t="inlineStr">
        <is>
          <t>https://csrc.nist.gov/pubs/sp/800/82/r3/final</t>
        </is>
      </c>
    </row>
    <row r="371" ht="15" customHeight="1" s="508">
      <c r="A371" s="972" t="inlineStr">
        <is>
          <t>Cybercriminal</t>
        </is>
      </c>
      <c r="B371" s="972" t="inlineStr">
        <is>
          <t>Operational Disruption</t>
        </is>
      </c>
      <c r="C371" s="972" t="inlineStr">
        <is>
          <t>T0846.003</t>
        </is>
      </c>
      <c r="D371" s="972" t="inlineStr">
        <is>
          <t>Multicast Discovery</t>
        </is>
      </c>
      <c r="E371" s="972" t="inlineStr">
        <is>
          <t>S4</t>
        </is>
      </c>
      <c r="F371" s="972" t="inlineStr">
        <is>
          <t>Candidate enabling technique</t>
        </is>
      </c>
      <c r="G371" s="972" t="inlineStr">
        <is>
          <t>Yes</t>
        </is>
      </c>
      <c r="H371" s="972" t="inlineStr">
        <is>
          <t>Yes</t>
        </is>
      </c>
      <c r="I371" s="972" t="inlineStr">
        <is>
          <t>Yes</t>
        </is>
      </c>
      <c r="J371" s="972" t="n">
        <v>2</v>
      </c>
      <c r="K371" s="972" t="inlineStr">
        <is>
          <t>Model Mapping</t>
        </is>
      </c>
      <c r="L371" s="452" t="inlineStr">
        <is>
          <t>https://attack.mitre.org/techniques/T0846/003</t>
        </is>
      </c>
      <c r="M371" s="973" t="inlineStr">
        <is>
          <t>Yes</t>
        </is>
      </c>
      <c r="N371" s="973" t="inlineStr">
        <is>
          <t>No explicit facility gate — defaults feasible</t>
        </is>
      </c>
      <c r="O371" s="973" t="inlineStr">
        <is>
          <t>Multicast Discovery can support discovery or interaction with process state, control assets and operational data in Power Generation environments.</t>
        </is>
      </c>
      <c r="P371" s="973" t="inlineStr">
        <is>
          <t>https://csrc.nist.gov/pubs/sp/800/82/r3/final</t>
        </is>
      </c>
    </row>
    <row r="372" ht="15" customHeight="1" s="508">
      <c r="A372" s="972" t="inlineStr">
        <is>
          <t>Cybercriminal</t>
        </is>
      </c>
      <c r="B372" s="972" t="inlineStr">
        <is>
          <t>Operational Disruption</t>
        </is>
      </c>
      <c r="C372" s="972" t="inlineStr">
        <is>
          <t>T0834</t>
        </is>
      </c>
      <c r="D372" s="972" t="inlineStr">
        <is>
          <t>Native API</t>
        </is>
      </c>
      <c r="E372" s="972" t="inlineStr">
        <is>
          <t>S2</t>
        </is>
      </c>
      <c r="F372" s="972" t="inlineStr">
        <is>
          <t>Candidate enabling technique</t>
        </is>
      </c>
      <c r="G372" s="972" t="inlineStr">
        <is>
          <t>Yes</t>
        </is>
      </c>
      <c r="H372" s="972" t="inlineStr">
        <is>
          <t>Yes</t>
        </is>
      </c>
      <c r="I372" s="972" t="inlineStr">
        <is>
          <t>Yes</t>
        </is>
      </c>
      <c r="J372" s="972" t="n">
        <v>1</v>
      </c>
      <c r="K372" s="972" t="inlineStr">
        <is>
          <t>Model Mapping</t>
        </is>
      </c>
      <c r="L372" s="452" t="inlineStr">
        <is>
          <t>https://attack.mitre.org/techniques/T0834</t>
        </is>
      </c>
      <c r="M372" s="973" t="inlineStr">
        <is>
          <t>Yes</t>
        </is>
      </c>
      <c r="N372" s="973" t="inlineStr">
        <is>
          <t>No explicit facility gate — defaults feasible</t>
        </is>
      </c>
      <c r="O372" s="973" t="inlineStr">
        <is>
          <t>Native API is applicable to execution or persistence on engineering workstations, HMIs, servers or controllers used in Power Generation facilities.</t>
        </is>
      </c>
      <c r="P372" s="973" t="inlineStr">
        <is>
          <t>https://csrc.nist.gov/pubs/sp/800/82/r3/final</t>
        </is>
      </c>
    </row>
    <row r="373" ht="15" customHeight="1" s="508">
      <c r="A373" s="972" t="inlineStr">
        <is>
          <t>Cybercriminal</t>
        </is>
      </c>
      <c r="B373" s="972" t="inlineStr">
        <is>
          <t>Operational Disruption</t>
        </is>
      </c>
      <c r="C373" s="972" t="inlineStr">
        <is>
          <t>T0840</t>
        </is>
      </c>
      <c r="D373" s="972" t="inlineStr">
        <is>
          <t>Network Connection Enumeration</t>
        </is>
      </c>
      <c r="E373" s="972" t="inlineStr">
        <is>
          <t>S4</t>
        </is>
      </c>
      <c r="F373" s="972" t="inlineStr">
        <is>
          <t>Candidate enabling technique</t>
        </is>
      </c>
      <c r="G373" s="972" t="inlineStr">
        <is>
          <t>Yes</t>
        </is>
      </c>
      <c r="H373" s="972" t="inlineStr">
        <is>
          <t>Yes</t>
        </is>
      </c>
      <c r="I373" s="972" t="inlineStr">
        <is>
          <t>Yes</t>
        </is>
      </c>
      <c r="J373" s="972" t="n">
        <v>1</v>
      </c>
      <c r="K373" s="972" t="inlineStr">
        <is>
          <t>Model Mapping</t>
        </is>
      </c>
      <c r="L373" s="452" t="inlineStr">
        <is>
          <t>https://attack.mitre.org/techniques/T0840</t>
        </is>
      </c>
      <c r="M373" s="973" t="inlineStr">
        <is>
          <t>Yes</t>
        </is>
      </c>
      <c r="N373" s="973" t="inlineStr">
        <is>
          <t>No explicit facility gate — defaults feasible</t>
        </is>
      </c>
      <c r="O373" s="973" t="inlineStr">
        <is>
          <t>Network Connection Enumeration can support discovery or interaction with process state, control assets and operational data in Power Generation environments.</t>
        </is>
      </c>
      <c r="P373" s="973" t="inlineStr">
        <is>
          <t>https://csrc.nist.gov/pubs/sp/800/82/r3/final</t>
        </is>
      </c>
    </row>
    <row r="374" ht="15" customHeight="1" s="508">
      <c r="A374" s="972" t="inlineStr">
        <is>
          <t>Cybercriminal</t>
        </is>
      </c>
      <c r="B374" s="972" t="inlineStr">
        <is>
          <t>Operational Disruption</t>
        </is>
      </c>
      <c r="C374" s="972" t="inlineStr">
        <is>
          <t>T0842</t>
        </is>
      </c>
      <c r="D374" s="972" t="inlineStr">
        <is>
          <t>Network Sniffing</t>
        </is>
      </c>
      <c r="E374" s="972" t="inlineStr">
        <is>
          <t>S4</t>
        </is>
      </c>
      <c r="F374" s="972" t="inlineStr">
        <is>
          <t>Candidate enabling technique</t>
        </is>
      </c>
      <c r="G374" s="972" t="inlineStr">
        <is>
          <t>Yes</t>
        </is>
      </c>
      <c r="H374" s="972" t="inlineStr">
        <is>
          <t>Yes</t>
        </is>
      </c>
      <c r="I374" s="972" t="inlineStr">
        <is>
          <t>Yes</t>
        </is>
      </c>
      <c r="J374" s="972" t="n">
        <v>5</v>
      </c>
      <c r="K374" s="972" t="inlineStr">
        <is>
          <t>Model Mapping</t>
        </is>
      </c>
      <c r="L374" s="452" t="inlineStr">
        <is>
          <t>https://attack.mitre.org/techniques/T0842</t>
        </is>
      </c>
      <c r="M374" s="973" t="inlineStr">
        <is>
          <t>Yes</t>
        </is>
      </c>
      <c r="N374" s="973" t="inlineStr">
        <is>
          <t>No explicit facility gate — defaults feasible</t>
        </is>
      </c>
      <c r="O374" s="973" t="inlineStr">
        <is>
          <t>Network Sniffing can support discovery or interaction with process state, control assets and operational data in Power Generation environments.</t>
        </is>
      </c>
      <c r="P374" s="973" t="inlineStr">
        <is>
          <t>https://csrc.nist.gov/pubs/sp/800/82/r3/final</t>
        </is>
      </c>
    </row>
    <row r="375" ht="15" customHeight="1" s="508">
      <c r="A375" s="972" t="inlineStr">
        <is>
          <t>Cybercriminal</t>
        </is>
      </c>
      <c r="B375" s="972" t="inlineStr">
        <is>
          <t>Operational Disruption</t>
        </is>
      </c>
      <c r="C375" s="972" t="inlineStr">
        <is>
          <t>T0843.002</t>
        </is>
      </c>
      <c r="D375" s="972" t="inlineStr">
        <is>
          <t>Online Edit</t>
        </is>
      </c>
      <c r="E375" s="972" t="inlineStr">
        <is>
          <t>S3</t>
        </is>
      </c>
      <c r="F375" s="972" t="inlineStr">
        <is>
          <t>Candidate enabling technique</t>
        </is>
      </c>
      <c r="G375" s="972" t="inlineStr">
        <is>
          <t>Yes</t>
        </is>
      </c>
      <c r="H375" s="972" t="inlineStr">
        <is>
          <t>Yes</t>
        </is>
      </c>
      <c r="I375" s="972" t="inlineStr">
        <is>
          <t>Yes</t>
        </is>
      </c>
      <c r="J375" s="972" t="n">
        <v>10</v>
      </c>
      <c r="K375" s="972" t="inlineStr">
        <is>
          <t>Model Mapping</t>
        </is>
      </c>
      <c r="L375" s="452" t="inlineStr">
        <is>
          <t>https://attack.mitre.org/techniques/T0843/002</t>
        </is>
      </c>
      <c r="M375" s="973" t="inlineStr">
        <is>
          <t>Yes</t>
        </is>
      </c>
      <c r="N375" s="973" t="inlineStr">
        <is>
          <t>No explicit facility gate — defaults feasible</t>
        </is>
      </c>
      <c r="O375" s="973" t="inlineStr">
        <is>
          <t>Online Edit can support movement toward or within plant/control zones; actual reachability is governed by the assessed facility architecture.</t>
        </is>
      </c>
      <c r="P375" s="973" t="inlineStr">
        <is>
          <t>https://csrc.nist.gov/pubs/sp/800/82/r3/final</t>
        </is>
      </c>
    </row>
    <row r="376" ht="15" customHeight="1" s="508">
      <c r="A376" s="972" t="inlineStr">
        <is>
          <t>Cybercriminal</t>
        </is>
      </c>
      <c r="B376" s="972" t="inlineStr">
        <is>
          <t>Operational Disruption</t>
        </is>
      </c>
      <c r="C376" s="972" t="inlineStr">
        <is>
          <t>T0861</t>
        </is>
      </c>
      <c r="D376" s="972" t="inlineStr">
        <is>
          <t>Point &amp; Tag Identification</t>
        </is>
      </c>
      <c r="E376" s="972" t="inlineStr">
        <is>
          <t>S4</t>
        </is>
      </c>
      <c r="F376" s="972" t="inlineStr">
        <is>
          <t>Candidate enabling technique</t>
        </is>
      </c>
      <c r="G376" s="972" t="inlineStr">
        <is>
          <t>Yes</t>
        </is>
      </c>
      <c r="H376" s="972" t="inlineStr">
        <is>
          <t>Yes</t>
        </is>
      </c>
      <c r="I376" s="972" t="inlineStr">
        <is>
          <t>Yes</t>
        </is>
      </c>
      <c r="J376" s="972" t="n">
        <v>8</v>
      </c>
      <c r="K376" s="972" t="inlineStr">
        <is>
          <t>Model Mapping</t>
        </is>
      </c>
      <c r="L376" s="452" t="inlineStr">
        <is>
          <t>https://attack.mitre.org/techniques/T0861</t>
        </is>
      </c>
      <c r="M376" s="973" t="inlineStr">
        <is>
          <t>Yes</t>
        </is>
      </c>
      <c r="N376" s="973" t="inlineStr">
        <is>
          <t>No explicit facility gate — defaults feasible</t>
        </is>
      </c>
      <c r="O376" s="973" t="inlineStr">
        <is>
          <t>Point &amp; Tag Identification can support discovery or interaction with process state, control assets and operational data in Power Generation environments.</t>
        </is>
      </c>
      <c r="P376" s="973" t="inlineStr">
        <is>
          <t>https://csrc.nist.gov/pubs/sp/800/82/r3/final</t>
        </is>
      </c>
    </row>
    <row r="377" ht="15" customHeight="1" s="508">
      <c r="A377" s="972" t="inlineStr">
        <is>
          <t>Cybercriminal</t>
        </is>
      </c>
      <c r="B377" s="972" t="inlineStr">
        <is>
          <t>Operational Disruption</t>
        </is>
      </c>
      <c r="C377" s="972" t="inlineStr">
        <is>
          <t>T0846.001</t>
        </is>
      </c>
      <c r="D377" s="972" t="inlineStr">
        <is>
          <t>Port Scan</t>
        </is>
      </c>
      <c r="E377" s="972" t="inlineStr">
        <is>
          <t>S4</t>
        </is>
      </c>
      <c r="F377" s="972" t="inlineStr">
        <is>
          <t>Candidate enabling technique</t>
        </is>
      </c>
      <c r="G377" s="972" t="inlineStr">
        <is>
          <t>Yes</t>
        </is>
      </c>
      <c r="H377" s="972" t="inlineStr">
        <is>
          <t>Yes</t>
        </is>
      </c>
      <c r="I377" s="972" t="inlineStr">
        <is>
          <t>Yes</t>
        </is>
      </c>
      <c r="J377" s="972" t="n">
        <v>3</v>
      </c>
      <c r="K377" s="972" t="inlineStr">
        <is>
          <t>Model Mapping</t>
        </is>
      </c>
      <c r="L377" s="452" t="inlineStr">
        <is>
          <t>https://attack.mitre.org/techniques/T0846/001</t>
        </is>
      </c>
      <c r="M377" s="973" t="inlineStr">
        <is>
          <t>Yes</t>
        </is>
      </c>
      <c r="N377" s="973" t="inlineStr">
        <is>
          <t>No explicit facility gate — defaults feasible</t>
        </is>
      </c>
      <c r="O377" s="973" t="inlineStr">
        <is>
          <t>Port Scan can support discovery or interaction with process state, control assets and operational data in Power Generation environments.</t>
        </is>
      </c>
      <c r="P377" s="973" t="inlineStr">
        <is>
          <t>https://csrc.nist.gov/pubs/sp/800/82/r3/final</t>
        </is>
      </c>
    </row>
    <row r="378" ht="15" customHeight="1" s="508">
      <c r="A378" s="972" t="inlineStr">
        <is>
          <t>Cybercriminal</t>
        </is>
      </c>
      <c r="B378" s="972" t="inlineStr">
        <is>
          <t>Operational Disruption</t>
        </is>
      </c>
      <c r="C378" s="972" t="inlineStr">
        <is>
          <t>T0843.003</t>
        </is>
      </c>
      <c r="D378" s="972" t="inlineStr">
        <is>
          <t>Program Append</t>
        </is>
      </c>
      <c r="E378" s="972" t="inlineStr">
        <is>
          <t>S3</t>
        </is>
      </c>
      <c r="F378" s="972" t="inlineStr">
        <is>
          <t>Candidate enabling technique</t>
        </is>
      </c>
      <c r="G378" s="972" t="inlineStr">
        <is>
          <t>Yes</t>
        </is>
      </c>
      <c r="H378" s="972" t="inlineStr">
        <is>
          <t>Yes</t>
        </is>
      </c>
      <c r="I378" s="972" t="inlineStr">
        <is>
          <t>Yes</t>
        </is>
      </c>
      <c r="J378" s="972" t="n">
        <v>10</v>
      </c>
      <c r="K378" s="972" t="inlineStr">
        <is>
          <t>Model Mapping</t>
        </is>
      </c>
      <c r="L378" s="452" t="inlineStr">
        <is>
          <t>https://attack.mitre.org/techniques/T0843/003</t>
        </is>
      </c>
      <c r="M378" s="973" t="inlineStr">
        <is>
          <t>Yes</t>
        </is>
      </c>
      <c r="N378" s="973" t="inlineStr">
        <is>
          <t>No explicit facility gate — defaults feasible</t>
        </is>
      </c>
      <c r="O378" s="973" t="inlineStr">
        <is>
          <t>Program Append can support movement toward or within plant/control zones; actual reachability is governed by the assessed facility architecture.</t>
        </is>
      </c>
      <c r="P378" s="973" t="inlineStr">
        <is>
          <t>https://csrc.nist.gov/pubs/sp/800/82/r3/final</t>
        </is>
      </c>
    </row>
    <row r="379" ht="15" customHeight="1" s="508">
      <c r="A379" s="972" t="inlineStr">
        <is>
          <t>Cybercriminal</t>
        </is>
      </c>
      <c r="B379" s="972" t="inlineStr">
        <is>
          <t>Operational Disruption</t>
        </is>
      </c>
      <c r="C379" s="972" t="inlineStr">
        <is>
          <t>T0845</t>
        </is>
      </c>
      <c r="D379" s="972" t="inlineStr">
        <is>
          <t>Program Upload</t>
        </is>
      </c>
      <c r="E379" s="972" t="inlineStr">
        <is>
          <t>S4</t>
        </is>
      </c>
      <c r="F379" s="972" t="inlineStr">
        <is>
          <t>Candidate enabling technique</t>
        </is>
      </c>
      <c r="G379" s="972" t="inlineStr">
        <is>
          <t>Yes</t>
        </is>
      </c>
      <c r="H379" s="972" t="inlineStr">
        <is>
          <t>Yes</t>
        </is>
      </c>
      <c r="I379" s="972" t="inlineStr">
        <is>
          <t>Yes</t>
        </is>
      </c>
      <c r="J379" s="972" t="n">
        <v>8</v>
      </c>
      <c r="K379" s="972" t="inlineStr">
        <is>
          <t>Model Mapping</t>
        </is>
      </c>
      <c r="L379" s="452" t="inlineStr">
        <is>
          <t>https://attack.mitre.org/techniques/T0845</t>
        </is>
      </c>
      <c r="M379" s="973" t="inlineStr">
        <is>
          <t>Yes</t>
        </is>
      </c>
      <c r="N379" s="973" t="inlineStr">
        <is>
          <t>No explicit facility gate — defaults feasible</t>
        </is>
      </c>
      <c r="O379" s="973" t="inlineStr">
        <is>
          <t>Program Upload can support discovery or interaction with process state, control assets and operational data in Power Generation environments.</t>
        </is>
      </c>
      <c r="P379" s="973" t="inlineStr">
        <is>
          <t>https://csrc.nist.gov/pubs/sp/800/82/r3/final</t>
        </is>
      </c>
    </row>
    <row r="380" ht="15" customHeight="1" s="508">
      <c r="A380" s="972" t="inlineStr">
        <is>
          <t>Cybercriminal</t>
        </is>
      </c>
      <c r="B380" s="972" t="inlineStr">
        <is>
          <t>Operational Disruption</t>
        </is>
      </c>
      <c r="C380" s="972" t="inlineStr">
        <is>
          <t>T0886</t>
        </is>
      </c>
      <c r="D380" s="972" t="inlineStr">
        <is>
          <t>Remote Services</t>
        </is>
      </c>
      <c r="E380" s="972" t="inlineStr">
        <is>
          <t>S1</t>
        </is>
      </c>
      <c r="F380" s="972" t="inlineStr">
        <is>
          <t>Candidate enabling technique</t>
        </is>
      </c>
      <c r="G380" s="972" t="inlineStr">
        <is>
          <t>Yes</t>
        </is>
      </c>
      <c r="H380" s="972" t="inlineStr">
        <is>
          <t>Yes</t>
        </is>
      </c>
      <c r="I380" s="972" t="inlineStr">
        <is>
          <t>Yes</t>
        </is>
      </c>
      <c r="J380" s="972" t="n">
        <v>9</v>
      </c>
      <c r="K380" s="972" t="inlineStr">
        <is>
          <t>Model Mapping</t>
        </is>
      </c>
      <c r="L380" s="452" t="inlineStr">
        <is>
          <t>https://attack.mitre.org/techniques/T0886</t>
        </is>
      </c>
      <c r="M380" s="973" t="inlineStr">
        <is>
          <t>Yes</t>
        </is>
      </c>
      <c r="N380" s="973" t="inlineStr">
        <is>
          <t>REMOTE_OR_ITOT — Remote path or IT-OT connection</t>
        </is>
      </c>
      <c r="O380" s="973" t="inlineStr">
        <is>
          <t>The Remote Services route is credible for Power Generation OT when the enabling access condition exists; existing facility gates determine remote, internet, transient, supply-chain or wireless feasibility.</t>
        </is>
      </c>
      <c r="P380" s="973" t="inlineStr">
        <is>
          <t>https://csrc.nist.gov/pubs/sp/800/82/r3/final</t>
        </is>
      </c>
    </row>
    <row r="381" ht="15" customHeight="1" s="508">
      <c r="A381" s="972" t="inlineStr">
        <is>
          <t>Cybercriminal</t>
        </is>
      </c>
      <c r="B381" s="972" t="inlineStr">
        <is>
          <t>Operational Disruption</t>
        </is>
      </c>
      <c r="C381" s="972" t="inlineStr">
        <is>
          <t>T0888</t>
        </is>
      </c>
      <c r="D381" s="972" t="inlineStr">
        <is>
          <t>Remote System Information Discovery</t>
        </is>
      </c>
      <c r="E381" s="972" t="inlineStr">
        <is>
          <t>S4</t>
        </is>
      </c>
      <c r="F381" s="972" t="inlineStr">
        <is>
          <t>Candidate enabling technique</t>
        </is>
      </c>
      <c r="G381" s="972" t="inlineStr">
        <is>
          <t>Yes</t>
        </is>
      </c>
      <c r="H381" s="972" t="inlineStr">
        <is>
          <t>Yes</t>
        </is>
      </c>
      <c r="I381" s="972" t="inlineStr">
        <is>
          <t>Yes</t>
        </is>
      </c>
      <c r="J381" s="972" t="n">
        <v>1</v>
      </c>
      <c r="K381" s="972" t="inlineStr">
        <is>
          <t>Model Mapping</t>
        </is>
      </c>
      <c r="L381" s="452" t="inlineStr">
        <is>
          <t>https://attack.mitre.org/techniques/T0888</t>
        </is>
      </c>
      <c r="M381" s="973" t="inlineStr">
        <is>
          <t>Yes</t>
        </is>
      </c>
      <c r="N381" s="973" t="inlineStr">
        <is>
          <t>No explicit facility gate — defaults feasible</t>
        </is>
      </c>
      <c r="O381" s="973" t="inlineStr">
        <is>
          <t>Remote System Information Discovery can support discovery or interaction with process state, control assets and operational data in Power Generation environments.</t>
        </is>
      </c>
      <c r="P381" s="973" t="inlineStr">
        <is>
          <t>https://csrc.nist.gov/pubs/sp/800/82/r3/final</t>
        </is>
      </c>
    </row>
    <row r="382" ht="15" customHeight="1" s="508">
      <c r="A382" s="972" t="inlineStr">
        <is>
          <t>Cybercriminal</t>
        </is>
      </c>
      <c r="B382" s="972" t="inlineStr">
        <is>
          <t>Operational Disruption</t>
        </is>
      </c>
      <c r="C382" s="972" t="inlineStr">
        <is>
          <t>T0847</t>
        </is>
      </c>
      <c r="D382" s="972" t="inlineStr">
        <is>
          <t>Replication Through Removable Media</t>
        </is>
      </c>
      <c r="E382" s="972" t="inlineStr">
        <is>
          <t>S1</t>
        </is>
      </c>
      <c r="F382" s="972" t="inlineStr">
        <is>
          <t>Candidate enabling technique</t>
        </is>
      </c>
      <c r="G382" s="972" t="inlineStr">
        <is>
          <t>Yes</t>
        </is>
      </c>
      <c r="H382" s="972" t="inlineStr">
        <is>
          <t>Yes</t>
        </is>
      </c>
      <c r="I382" s="972" t="inlineStr">
        <is>
          <t>Yes</t>
        </is>
      </c>
      <c r="J382" s="972" t="n">
        <v>3</v>
      </c>
      <c r="K382" s="972" t="inlineStr">
        <is>
          <t>Model Mapping</t>
        </is>
      </c>
      <c r="L382" s="452" t="inlineStr">
        <is>
          <t>https://attack.mitre.org/techniques/T0847</t>
        </is>
      </c>
      <c r="M382" s="973" t="inlineStr">
        <is>
          <t>Yes</t>
        </is>
      </c>
      <c r="N382" s="973" t="inlineStr">
        <is>
          <t>TRANSIENT_REQUIRED — Not None</t>
        </is>
      </c>
      <c r="O382" s="973" t="inlineStr">
        <is>
          <t>The Replication Through Removable Media route is credible for Power Generation OT when the enabling access condition exists; existing facility gates determine remote, internet, transient, supply-chain or wireless feasibility.</t>
        </is>
      </c>
      <c r="P382" s="973" t="inlineStr">
        <is>
          <t>https://csrc.nist.gov/pubs/sp/800/82/r3/final</t>
        </is>
      </c>
    </row>
    <row r="383" ht="15" customHeight="1" s="508">
      <c r="A383" s="972" t="inlineStr">
        <is>
          <t>Cybercriminal</t>
        </is>
      </c>
      <c r="B383" s="972" t="inlineStr">
        <is>
          <t>Operational Disruption</t>
        </is>
      </c>
      <c r="C383" s="972" t="inlineStr">
        <is>
          <t>T0848</t>
        </is>
      </c>
      <c r="D383" s="972" t="inlineStr">
        <is>
          <t>Rogue Master</t>
        </is>
      </c>
      <c r="E383" s="972" t="inlineStr">
        <is>
          <t>S1</t>
        </is>
      </c>
      <c r="F383" s="972" t="inlineStr">
        <is>
          <t>Candidate enabling technique</t>
        </is>
      </c>
      <c r="G383" s="972" t="inlineStr">
        <is>
          <t>Yes</t>
        </is>
      </c>
      <c r="H383" s="972" t="inlineStr">
        <is>
          <t>Yes</t>
        </is>
      </c>
      <c r="I383" s="972" t="inlineStr">
        <is>
          <t>Yes</t>
        </is>
      </c>
      <c r="J383" s="972" t="n">
        <v>5</v>
      </c>
      <c r="K383" s="972" t="inlineStr">
        <is>
          <t>Model Mapping</t>
        </is>
      </c>
      <c r="L383" s="452" t="inlineStr">
        <is>
          <t>https://attack.mitre.org/techniques/T0848</t>
        </is>
      </c>
      <c r="M383" s="973" t="inlineStr">
        <is>
          <t>Yes</t>
        </is>
      </c>
      <c r="N383" s="973" t="inlineStr">
        <is>
          <t>No explicit facility gate — defaults feasible</t>
        </is>
      </c>
      <c r="O383" s="973" t="inlineStr">
        <is>
          <t>The Rogue Master route is credible for Power Generation OT when the enabling access condition exists; existing facility gates determine remote, internet, transient, supply-chain or wireless feasibility.</t>
        </is>
      </c>
      <c r="P383" s="973" t="inlineStr">
        <is>
          <t>https://csrc.nist.gov/pubs/sp/800/82/r3/final</t>
        </is>
      </c>
    </row>
    <row r="384" ht="15" customHeight="1" s="508">
      <c r="A384" s="972" t="inlineStr">
        <is>
          <t>Cybercriminal</t>
        </is>
      </c>
      <c r="B384" s="972" t="inlineStr">
        <is>
          <t>Operational Disruption</t>
        </is>
      </c>
      <c r="C384" s="972" t="inlineStr">
        <is>
          <t>T0852</t>
        </is>
      </c>
      <c r="D384" s="972" t="inlineStr">
        <is>
          <t>Screen Capture</t>
        </is>
      </c>
      <c r="E384" s="972" t="inlineStr">
        <is>
          <t>S4</t>
        </is>
      </c>
      <c r="F384" s="972" t="inlineStr">
        <is>
          <t>Candidate enabling technique</t>
        </is>
      </c>
      <c r="G384" s="972" t="inlineStr">
        <is>
          <t>Yes</t>
        </is>
      </c>
      <c r="H384" s="972" t="inlineStr">
        <is>
          <t>Yes</t>
        </is>
      </c>
      <c r="I384" s="972" t="inlineStr">
        <is>
          <t>Yes</t>
        </is>
      </c>
      <c r="J384" s="972" t="n">
        <v>1</v>
      </c>
      <c r="K384" s="972" t="inlineStr">
        <is>
          <t>Model Mapping</t>
        </is>
      </c>
      <c r="L384" s="452" t="inlineStr">
        <is>
          <t>https://attack.mitre.org/techniques/T0852</t>
        </is>
      </c>
      <c r="M384" s="973" t="inlineStr">
        <is>
          <t>Yes</t>
        </is>
      </c>
      <c r="N384" s="973" t="inlineStr">
        <is>
          <t>No explicit facility gate — defaults feasible</t>
        </is>
      </c>
      <c r="O384" s="973" t="inlineStr">
        <is>
          <t>Screen Capture can support discovery or interaction with process state, control assets and operational data in Power Generation environments.</t>
        </is>
      </c>
      <c r="P384" s="973" t="inlineStr">
        <is>
          <t>https://csrc.nist.gov/pubs/sp/800/82/r3/final</t>
        </is>
      </c>
    </row>
    <row r="385" ht="15" customHeight="1" s="508">
      <c r="A385" s="972" t="inlineStr">
        <is>
          <t>Cybercriminal</t>
        </is>
      </c>
      <c r="B385" s="972" t="inlineStr">
        <is>
          <t>Operational Disruption</t>
        </is>
      </c>
      <c r="C385" s="972" t="inlineStr">
        <is>
          <t>T0853</t>
        </is>
      </c>
      <c r="D385" s="972" t="inlineStr">
        <is>
          <t>Scripting</t>
        </is>
      </c>
      <c r="E385" s="972" t="inlineStr">
        <is>
          <t>S2</t>
        </is>
      </c>
      <c r="F385" s="972" t="inlineStr">
        <is>
          <t>Candidate enabling technique</t>
        </is>
      </c>
      <c r="G385" s="972" t="inlineStr">
        <is>
          <t>Yes</t>
        </is>
      </c>
      <c r="H385" s="972" t="inlineStr">
        <is>
          <t>Yes</t>
        </is>
      </c>
      <c r="I385" s="972" t="inlineStr">
        <is>
          <t>Yes</t>
        </is>
      </c>
      <c r="J385" s="972" t="n">
        <v>3</v>
      </c>
      <c r="K385" s="972" t="inlineStr">
        <is>
          <t>Model Mapping</t>
        </is>
      </c>
      <c r="L385" s="452" t="inlineStr">
        <is>
          <t>https://attack.mitre.org/techniques/T0853</t>
        </is>
      </c>
      <c r="M385" s="973" t="inlineStr">
        <is>
          <t>Yes</t>
        </is>
      </c>
      <c r="N385" s="973" t="inlineStr">
        <is>
          <t>No explicit facility gate — defaults feasible</t>
        </is>
      </c>
      <c r="O385" s="973" t="inlineStr">
        <is>
          <t>Scripting is applicable to execution or persistence on engineering workstations, HMIs, servers or controllers used in Power Generation facilities.</t>
        </is>
      </c>
      <c r="P385" s="973" t="inlineStr">
        <is>
          <t>https://csrc.nist.gov/pubs/sp/800/82/r3/final</t>
        </is>
      </c>
    </row>
    <row r="386" ht="15" customHeight="1" s="508">
      <c r="A386" s="972" t="inlineStr">
        <is>
          <t>Cybercriminal</t>
        </is>
      </c>
      <c r="B386" s="972" t="inlineStr">
        <is>
          <t>Operational Disruption</t>
        </is>
      </c>
      <c r="C386" s="972" t="inlineStr">
        <is>
          <t>T0881</t>
        </is>
      </c>
      <c r="D386" s="972" t="inlineStr">
        <is>
          <t>Service Stop</t>
        </is>
      </c>
      <c r="E386" s="972" t="inlineStr">
        <is>
          <t>S5</t>
        </is>
      </c>
      <c r="F386" s="972" t="inlineStr">
        <is>
          <t>Scenario-defining</t>
        </is>
      </c>
      <c r="G386" s="972" t="inlineStr">
        <is>
          <t>Yes</t>
        </is>
      </c>
      <c r="H386" s="972" t="inlineStr">
        <is>
          <t>Yes</t>
        </is>
      </c>
      <c r="I386" s="972" t="inlineStr">
        <is>
          <t>Yes</t>
        </is>
      </c>
      <c r="J386" s="972" t="n">
        <v>4</v>
      </c>
      <c r="K386" s="972" t="inlineStr">
        <is>
          <t>Model Mapping</t>
        </is>
      </c>
      <c r="L386" s="452" t="inlineStr">
        <is>
          <t>https://attack.mitre.org/techniques/T0881</t>
        </is>
      </c>
      <c r="M386" s="973" t="inlineStr">
        <is>
          <t>Yes</t>
        </is>
      </c>
      <c r="N386" s="973" t="inlineStr">
        <is>
          <t>No explicit facility gate — defaults feasible</t>
        </is>
      </c>
      <c r="O386" s="973" t="inlineStr">
        <is>
          <t>Service Stop is an ATT&amp;CK for ICS impact or response-inhibition technique that can support one or more governed adverse scenarios; scenario role remains controlled on 09.</t>
        </is>
      </c>
      <c r="P386" s="973" t="inlineStr">
        <is>
          <t>https://csrc.nist.gov/pubs/sp/800/82/r3/final</t>
        </is>
      </c>
    </row>
    <row r="387" ht="15" customHeight="1" s="508">
      <c r="A387" s="972" t="inlineStr">
        <is>
          <t>Cybercriminal</t>
        </is>
      </c>
      <c r="B387" s="972" t="inlineStr">
        <is>
          <t>Operational Disruption</t>
        </is>
      </c>
      <c r="C387" s="972" t="inlineStr">
        <is>
          <t>T0873.001</t>
        </is>
      </c>
      <c r="D387" s="972" t="inlineStr">
        <is>
          <t>Siemens Project File Format</t>
        </is>
      </c>
      <c r="E387" s="972" t="inlineStr">
        <is>
          <t>S2</t>
        </is>
      </c>
      <c r="F387" s="972" t="inlineStr">
        <is>
          <t>Candidate enabling technique</t>
        </is>
      </c>
      <c r="G387" s="972" t="inlineStr">
        <is>
          <t>Yes</t>
        </is>
      </c>
      <c r="H387" s="972" t="inlineStr">
        <is>
          <t>Yes</t>
        </is>
      </c>
      <c r="I387" s="972" t="inlineStr">
        <is>
          <t>Yes</t>
        </is>
      </c>
      <c r="J387" s="972" t="n">
        <v>4</v>
      </c>
      <c r="K387" s="972" t="inlineStr">
        <is>
          <t>Model Mapping</t>
        </is>
      </c>
      <c r="L387" s="452" t="inlineStr">
        <is>
          <t>https://attack.mitre.org/techniques/T0873/001</t>
        </is>
      </c>
      <c r="M387" s="973" t="inlineStr">
        <is>
          <t>Yes</t>
        </is>
      </c>
      <c r="N387" s="973" t="inlineStr">
        <is>
          <t>No explicit facility gate — defaults feasible</t>
        </is>
      </c>
      <c r="O387" s="973" t="inlineStr">
        <is>
          <t>Siemens Project File Format is applicable to execution or persistence on engineering workstations, HMIs, servers or controllers used in Power Generation facilities.</t>
        </is>
      </c>
      <c r="P387" s="973" t="inlineStr">
        <is>
          <t>https://csrc.nist.gov/pubs/sp/800/82/r3/final</t>
        </is>
      </c>
    </row>
    <row r="388" ht="15" customHeight="1" s="508">
      <c r="A388" s="972" t="inlineStr">
        <is>
          <t>Cybercriminal</t>
        </is>
      </c>
      <c r="B388" s="972" t="inlineStr">
        <is>
          <t>Operational Disruption</t>
        </is>
      </c>
      <c r="C388" s="972" t="inlineStr">
        <is>
          <t>T0865</t>
        </is>
      </c>
      <c r="D388" s="972" t="inlineStr">
        <is>
          <t>Spearphishing Attachment</t>
        </is>
      </c>
      <c r="E388" s="972" t="inlineStr">
        <is>
          <t>S1</t>
        </is>
      </c>
      <c r="F388" s="972" t="inlineStr">
        <is>
          <t>Candidate enabling technique</t>
        </is>
      </c>
      <c r="G388" s="972" t="inlineStr">
        <is>
          <t>Yes</t>
        </is>
      </c>
      <c r="H388" s="972" t="inlineStr">
        <is>
          <t>Yes</t>
        </is>
      </c>
      <c r="I388" s="972" t="inlineStr">
        <is>
          <t>Yes</t>
        </is>
      </c>
      <c r="J388" s="972" t="n">
        <v>4</v>
      </c>
      <c r="K388" s="972" t="inlineStr">
        <is>
          <t>Model Mapping</t>
        </is>
      </c>
      <c r="L388" s="452" t="inlineStr">
        <is>
          <t>https://attack.mitre.org/techniques/T0865</t>
        </is>
      </c>
      <c r="M388" s="973" t="inlineStr">
        <is>
          <t>Yes</t>
        </is>
      </c>
      <c r="N388" s="973" t="inlineStr">
        <is>
          <t>No explicit facility gate — defaults feasible</t>
        </is>
      </c>
      <c r="O388" s="973" t="inlineStr">
        <is>
          <t>The Spearphishing Attachment route is credible for Power Generation OT when the enabling access condition exists; existing facility gates determine remote, internet, transient, supply-chain or wireless feasibility.</t>
        </is>
      </c>
      <c r="P388" s="973" t="inlineStr">
        <is>
          <t>https://csrc.nist.gov/pubs/sp/800/82/r3/final</t>
        </is>
      </c>
    </row>
    <row r="389" ht="15" customHeight="1" s="508">
      <c r="A389" s="972" t="inlineStr">
        <is>
          <t>Cybercriminal</t>
        </is>
      </c>
      <c r="B389" s="972" t="inlineStr">
        <is>
          <t>Operational Disruption</t>
        </is>
      </c>
      <c r="C389" s="972" t="inlineStr">
        <is>
          <t>T0869</t>
        </is>
      </c>
      <c r="D389" s="972" t="inlineStr">
        <is>
          <t>Standard Application Layer Protocol</t>
        </is>
      </c>
      <c r="E389" s="972" t="inlineStr">
        <is>
          <t>S3</t>
        </is>
      </c>
      <c r="F389" s="972" t="inlineStr">
        <is>
          <t>Candidate enabling technique</t>
        </is>
      </c>
      <c r="G389" s="972" t="inlineStr">
        <is>
          <t>Yes</t>
        </is>
      </c>
      <c r="H389" s="972" t="inlineStr">
        <is>
          <t>Yes</t>
        </is>
      </c>
      <c r="I389" s="972" t="inlineStr">
        <is>
          <t>Yes</t>
        </is>
      </c>
      <c r="J389" s="972" t="n">
        <v>3</v>
      </c>
      <c r="K389" s="972" t="inlineStr">
        <is>
          <t>Model Mapping</t>
        </is>
      </c>
      <c r="L389" s="452" t="inlineStr">
        <is>
          <t>https://attack.mitre.org/techniques/T0869</t>
        </is>
      </c>
      <c r="M389" s="973" t="inlineStr">
        <is>
          <t>Yes</t>
        </is>
      </c>
      <c r="N389" s="973" t="inlineStr">
        <is>
          <t>No explicit facility gate — defaults feasible</t>
        </is>
      </c>
      <c r="O389" s="973" t="inlineStr">
        <is>
          <t>Standard Application Layer Protocol can support movement toward or within plant/control zones; actual reachability is governed by the assessed facility architecture.</t>
        </is>
      </c>
      <c r="P389" s="973" t="inlineStr">
        <is>
          <t>https://csrc.nist.gov/pubs/sp/800/82/r3/final</t>
        </is>
      </c>
    </row>
    <row r="390" ht="15" customHeight="1" s="508">
      <c r="A390" s="972" t="inlineStr">
        <is>
          <t>Cybercriminal</t>
        </is>
      </c>
      <c r="B390" s="972" t="inlineStr">
        <is>
          <t>Operational Disruption</t>
        </is>
      </c>
      <c r="C390" s="972" t="inlineStr">
        <is>
          <t>T0862</t>
        </is>
      </c>
      <c r="D390" s="972" t="inlineStr">
        <is>
          <t>Supply Chain Compromise</t>
        </is>
      </c>
      <c r="E390" s="972" t="inlineStr">
        <is>
          <t>S1</t>
        </is>
      </c>
      <c r="F390" s="972" t="inlineStr">
        <is>
          <t>Candidate enabling technique</t>
        </is>
      </c>
      <c r="G390" s="972" t="inlineStr">
        <is>
          <t>Yes</t>
        </is>
      </c>
      <c r="H390" s="972" t="inlineStr">
        <is>
          <t>Yes</t>
        </is>
      </c>
      <c r="I390" s="972" t="inlineStr">
        <is>
          <t>Yes</t>
        </is>
      </c>
      <c r="J390" s="972" t="n">
        <v>5</v>
      </c>
      <c r="K390" s="972" t="inlineStr">
        <is>
          <t>Model Mapping</t>
        </is>
      </c>
      <c r="L390" s="452" t="inlineStr">
        <is>
          <t>https://attack.mitre.org/techniques/T0862</t>
        </is>
      </c>
      <c r="M390" s="973" t="inlineStr">
        <is>
          <t>Yes</t>
        </is>
      </c>
      <c r="N390" s="973" t="inlineStr">
        <is>
          <t>SUPPLY_CHAIN — Yes</t>
        </is>
      </c>
      <c r="O390" s="973" t="inlineStr">
        <is>
          <t>The Supply Chain Compromise route is credible for Power Generation OT when the enabling access condition exists; existing facility gates determine remote, internet, transient, supply-chain or wireless feasibility.</t>
        </is>
      </c>
      <c r="P390" s="973" t="inlineStr">
        <is>
          <t>https://csrc.nist.gov/pubs/sp/800/82/r3/final</t>
        </is>
      </c>
    </row>
    <row r="391" ht="15" customHeight="1" s="508">
      <c r="A391" s="972" t="inlineStr">
        <is>
          <t>Cybercriminal</t>
        </is>
      </c>
      <c r="B391" s="972" t="inlineStr">
        <is>
          <t>Operational Disruption</t>
        </is>
      </c>
      <c r="C391" s="972" t="inlineStr">
        <is>
          <t>T0894</t>
        </is>
      </c>
      <c r="D391" s="972" t="inlineStr">
        <is>
          <t>System Binary Proxy Execution</t>
        </is>
      </c>
      <c r="E391" s="972" t="inlineStr">
        <is>
          <t>S2</t>
        </is>
      </c>
      <c r="F391" s="972" t="inlineStr">
        <is>
          <t>Candidate enabling technique</t>
        </is>
      </c>
      <c r="G391" s="972" t="inlineStr">
        <is>
          <t>Yes</t>
        </is>
      </c>
      <c r="H391" s="972" t="inlineStr">
        <is>
          <t>Yes</t>
        </is>
      </c>
      <c r="I391" s="972" t="inlineStr">
        <is>
          <t>Yes</t>
        </is>
      </c>
      <c r="J391" s="972" t="n">
        <v>1</v>
      </c>
      <c r="K391" s="972" t="inlineStr">
        <is>
          <t>Model Mapping</t>
        </is>
      </c>
      <c r="L391" s="452" t="inlineStr">
        <is>
          <t>https://attack.mitre.org/techniques/T0894</t>
        </is>
      </c>
      <c r="M391" s="973" t="inlineStr">
        <is>
          <t>Yes</t>
        </is>
      </c>
      <c r="N391" s="973" t="inlineStr">
        <is>
          <t>No explicit facility gate — defaults feasible</t>
        </is>
      </c>
      <c r="O391" s="973" t="inlineStr">
        <is>
          <t>System Binary Proxy Execution is applicable to execution or persistence on engineering workstations, HMIs, servers or controllers used in Power Generation facilities.</t>
        </is>
      </c>
      <c r="P391" s="973" t="inlineStr">
        <is>
          <t>https://csrc.nist.gov/pubs/sp/800/82/r3/final</t>
        </is>
      </c>
    </row>
    <row r="392" ht="15" customHeight="1" s="508">
      <c r="A392" s="972" t="inlineStr">
        <is>
          <t>Cybercriminal</t>
        </is>
      </c>
      <c r="B392" s="972" t="inlineStr">
        <is>
          <t>Operational Disruption</t>
        </is>
      </c>
      <c r="C392" s="972" t="inlineStr">
        <is>
          <t>T0864</t>
        </is>
      </c>
      <c r="D392" s="972" t="inlineStr">
        <is>
          <t>Transient Cyber Asset</t>
        </is>
      </c>
      <c r="E392" s="972" t="inlineStr">
        <is>
          <t>S1</t>
        </is>
      </c>
      <c r="F392" s="972" t="inlineStr">
        <is>
          <t>Candidate enabling technique</t>
        </is>
      </c>
      <c r="G392" s="972" t="inlineStr">
        <is>
          <t>Yes</t>
        </is>
      </c>
      <c r="H392" s="972" t="inlineStr">
        <is>
          <t>Yes</t>
        </is>
      </c>
      <c r="I392" s="972" t="inlineStr">
        <is>
          <t>Yes</t>
        </is>
      </c>
      <c r="J392" s="972" t="n">
        <v>5</v>
      </c>
      <c r="K392" s="972" t="inlineStr">
        <is>
          <t>Model Mapping</t>
        </is>
      </c>
      <c r="L392" s="452" t="inlineStr">
        <is>
          <t>https://attack.mitre.org/techniques/T0864</t>
        </is>
      </c>
      <c r="M392" s="973" t="inlineStr">
        <is>
          <t>Yes</t>
        </is>
      </c>
      <c r="N392" s="973" t="inlineStr">
        <is>
          <t>TRANSIENT_REQUIRED — Not None</t>
        </is>
      </c>
      <c r="O392" s="973" t="inlineStr">
        <is>
          <t>The Transient Cyber Asset route is credible for Power Generation OT when the enabling access condition exists; existing facility gates determine remote, internet, transient, supply-chain or wireless feasibility.</t>
        </is>
      </c>
      <c r="P392" s="973" t="inlineStr">
        <is>
          <t>https://csrc.nist.gov/pubs/sp/800/82/r3/final</t>
        </is>
      </c>
    </row>
    <row r="393" ht="15" customHeight="1" s="508">
      <c r="A393" s="972" t="inlineStr">
        <is>
          <t>Cybercriminal</t>
        </is>
      </c>
      <c r="B393" s="972" t="inlineStr">
        <is>
          <t>Operational Disruption</t>
        </is>
      </c>
      <c r="C393" s="972" t="inlineStr">
        <is>
          <t>T0863</t>
        </is>
      </c>
      <c r="D393" s="972" t="inlineStr">
        <is>
          <t>User Execution</t>
        </is>
      </c>
      <c r="E393" s="972" t="inlineStr">
        <is>
          <t>S2</t>
        </is>
      </c>
      <c r="F393" s="972" t="inlineStr">
        <is>
          <t>Candidate enabling technique</t>
        </is>
      </c>
      <c r="G393" s="972" t="inlineStr">
        <is>
          <t>Yes</t>
        </is>
      </c>
      <c r="H393" s="972" t="inlineStr">
        <is>
          <t>Yes</t>
        </is>
      </c>
      <c r="I393" s="972" t="inlineStr">
        <is>
          <t>Yes</t>
        </is>
      </c>
      <c r="J393" s="972" t="n">
        <v>6</v>
      </c>
      <c r="K393" s="972" t="inlineStr">
        <is>
          <t>Model Mapping</t>
        </is>
      </c>
      <c r="L393" s="452" t="inlineStr">
        <is>
          <t>https://attack.mitre.org/techniques/T0863</t>
        </is>
      </c>
      <c r="M393" s="973" t="inlineStr">
        <is>
          <t>Yes</t>
        </is>
      </c>
      <c r="N393" s="973" t="inlineStr">
        <is>
          <t>No explicit facility gate — defaults feasible</t>
        </is>
      </c>
      <c r="O393" s="973" t="inlineStr">
        <is>
          <t>User Execution is applicable to execution or persistence on engineering workstations, HMIs, servers or controllers used in Power Generation facilities.</t>
        </is>
      </c>
      <c r="P393" s="973" t="inlineStr">
        <is>
          <t>https://csrc.nist.gov/pubs/sp/800/82/r3/final</t>
        </is>
      </c>
    </row>
    <row r="394" ht="15" customHeight="1" s="508">
      <c r="A394" s="972" t="inlineStr">
        <is>
          <t>Cybercriminal</t>
        </is>
      </c>
      <c r="B394" s="972" t="inlineStr">
        <is>
          <t>Operational Disruption</t>
        </is>
      </c>
      <c r="C394" s="972" t="inlineStr">
        <is>
          <t>T0859</t>
        </is>
      </c>
      <c r="D394" s="972" t="inlineStr">
        <is>
          <t>Valid Accounts</t>
        </is>
      </c>
      <c r="E394" s="972" t="inlineStr">
        <is>
          <t>S3</t>
        </is>
      </c>
      <c r="F394" s="972" t="inlineStr">
        <is>
          <t>Candidate enabling technique</t>
        </is>
      </c>
      <c r="G394" s="972" t="inlineStr">
        <is>
          <t>Yes</t>
        </is>
      </c>
      <c r="H394" s="972" t="inlineStr">
        <is>
          <t>Yes</t>
        </is>
      </c>
      <c r="I394" s="972" t="inlineStr">
        <is>
          <t>Yes</t>
        </is>
      </c>
      <c r="J394" s="972" t="n">
        <v>10</v>
      </c>
      <c r="K394" s="972" t="inlineStr">
        <is>
          <t>Model Mapping</t>
        </is>
      </c>
      <c r="L394" s="452" t="inlineStr">
        <is>
          <t>https://attack.mitre.org/techniques/T0859</t>
        </is>
      </c>
      <c r="M394" s="973" t="inlineStr">
        <is>
          <t>Yes</t>
        </is>
      </c>
      <c r="N394" s="973" t="inlineStr">
        <is>
          <t>No explicit facility gate — defaults feasible</t>
        </is>
      </c>
      <c r="O394" s="973" t="inlineStr">
        <is>
          <t>Valid Accounts can support movement toward or within plant/control zones; actual reachability is governed by the assessed facility architecture.</t>
        </is>
      </c>
      <c r="P394" s="973" t="inlineStr">
        <is>
          <t>https://csrc.nist.gov/pubs/sp/800/82/r3/final</t>
        </is>
      </c>
    </row>
    <row r="395" ht="15" customHeight="1" s="508">
      <c r="A395" s="972" t="inlineStr">
        <is>
          <t>Cybercriminal</t>
        </is>
      </c>
      <c r="B395" s="972" t="inlineStr">
        <is>
          <t>Operational Disruption</t>
        </is>
      </c>
      <c r="C395" s="972" t="inlineStr">
        <is>
          <t>T0860</t>
        </is>
      </c>
      <c r="D395" s="972" t="inlineStr">
        <is>
          <t>Wireless Compromise</t>
        </is>
      </c>
      <c r="E395" s="972" t="inlineStr">
        <is>
          <t>S1</t>
        </is>
      </c>
      <c r="F395" s="972" t="inlineStr">
        <is>
          <t>Candidate enabling technique</t>
        </is>
      </c>
      <c r="G395" s="972" t="inlineStr">
        <is>
          <t>Yes</t>
        </is>
      </c>
      <c r="H395" s="972" t="inlineStr">
        <is>
          <t>No</t>
        </is>
      </c>
      <c r="I395" s="972" t="inlineStr">
        <is>
          <t>No</t>
        </is>
      </c>
      <c r="J395" s="972" t="n">
        <v>4</v>
      </c>
      <c r="K395" s="972" t="inlineStr">
        <is>
          <t>Model Mapping</t>
        </is>
      </c>
      <c r="L395" s="452" t="inlineStr">
        <is>
          <t>https://attack.mitre.org/techniques/T0860</t>
        </is>
      </c>
      <c r="M395" s="973" t="inlineStr">
        <is>
          <t>Yes</t>
        </is>
      </c>
      <c r="N395" s="973" t="inlineStr">
        <is>
          <t>WIRELESS — Yes</t>
        </is>
      </c>
      <c r="O395" s="973" t="inlineStr">
        <is>
          <t>The Wireless Compromise route is credible for Power Generation OT when the enabling access condition exists; existing facility gates determine remote, internet, transient, supply-chain or wireless feasibility.</t>
        </is>
      </c>
      <c r="P395" s="973" t="inlineStr">
        <is>
          <t>https://csrc.nist.gov/pubs/sp/800/82/r3/final</t>
        </is>
      </c>
    </row>
    <row r="396" ht="15" customHeight="1" s="508">
      <c r="A396" s="972" t="inlineStr">
        <is>
          <t>Cybercriminal</t>
        </is>
      </c>
      <c r="B396" s="972" t="inlineStr">
        <is>
          <t>Operational Disruption</t>
        </is>
      </c>
      <c r="C396" s="972" t="inlineStr">
        <is>
          <t>T0887</t>
        </is>
      </c>
      <c r="D396" s="972" t="inlineStr">
        <is>
          <t>Wireless Sniffing</t>
        </is>
      </c>
      <c r="E396" s="972" t="inlineStr">
        <is>
          <t>S4</t>
        </is>
      </c>
      <c r="F396" s="972" t="inlineStr">
        <is>
          <t>Candidate enabling technique</t>
        </is>
      </c>
      <c r="G396" s="972" t="inlineStr">
        <is>
          <t>Yes</t>
        </is>
      </c>
      <c r="H396" s="972" t="inlineStr">
        <is>
          <t>No</t>
        </is>
      </c>
      <c r="I396" s="972" t="inlineStr">
        <is>
          <t>No</t>
        </is>
      </c>
      <c r="J396" s="972" t="n">
        <v>2</v>
      </c>
      <c r="K396" s="972" t="inlineStr">
        <is>
          <t>Model Mapping</t>
        </is>
      </c>
      <c r="L396" s="452" t="inlineStr">
        <is>
          <t>https://attack.mitre.org/techniques/T0887</t>
        </is>
      </c>
      <c r="M396" s="973" t="inlineStr">
        <is>
          <t>Yes</t>
        </is>
      </c>
      <c r="N396" s="973" t="inlineStr">
        <is>
          <t>WIRELESS — Yes</t>
        </is>
      </c>
      <c r="O396" s="973" t="inlineStr">
        <is>
          <t>Wireless Sniffing can support discovery or interaction with process state, control assets and operational data in Power Generation environments.</t>
        </is>
      </c>
      <c r="P396" s="973" t="inlineStr">
        <is>
          <t>https://csrc.nist.gov/pubs/sp/800/82/r3/final</t>
        </is>
      </c>
    </row>
    <row r="397" ht="15" customHeight="1" s="508">
      <c r="A397" s="972" t="inlineStr">
        <is>
          <t>Cybercriminal</t>
        </is>
      </c>
      <c r="B397" s="972" t="inlineStr">
        <is>
          <t>Operational Disruption</t>
        </is>
      </c>
      <c r="C397" s="972" t="inlineStr">
        <is>
          <t>T1695</t>
        </is>
      </c>
      <c r="D397" s="972" t="inlineStr">
        <is>
          <t>Block Communications</t>
        </is>
      </c>
      <c r="E397" s="972" t="inlineStr">
        <is>
          <t>S5</t>
        </is>
      </c>
      <c r="F397" s="972" t="inlineStr">
        <is>
          <t>Supporting / impact</t>
        </is>
      </c>
      <c r="G397" s="972" t="inlineStr">
        <is>
          <t>Yes</t>
        </is>
      </c>
      <c r="H397" s="972" t="inlineStr">
        <is>
          <t>Yes</t>
        </is>
      </c>
      <c r="I397" s="972" t="inlineStr">
        <is>
          <t>Yes</t>
        </is>
      </c>
      <c r="J397" s="972" t="n">
        <v>3</v>
      </c>
      <c r="K397" s="972" t="inlineStr">
        <is>
          <t>ADDED v1.2: Blocking OT communications disrupts process and operations.</t>
        </is>
      </c>
      <c r="L397" s="452" t="inlineStr">
        <is>
          <t>https://attack.mitre.org/techniques/T1695</t>
        </is>
      </c>
      <c r="M397" s="973" t="inlineStr">
        <is>
          <t>Yes</t>
        </is>
      </c>
      <c r="N397" s="973" t="inlineStr">
        <is>
          <t>No explicit facility gate — defaults feasible</t>
        </is>
      </c>
      <c r="O397" s="973" t="inlineStr">
        <is>
          <t>Block Communications is an ATT&amp;CK for ICS impact or response-inhibition technique that can support one or more governed adverse scenarios; scenario role remains controlled on 09.</t>
        </is>
      </c>
      <c r="P397" s="973" t="inlineStr">
        <is>
          <t>https://csrc.nist.gov/pubs/sp/800/82/r3/final</t>
        </is>
      </c>
    </row>
    <row r="398" ht="15" customHeight="1" s="508">
      <c r="A398" s="972" t="inlineStr">
        <is>
          <t>Cybercriminal</t>
        </is>
      </c>
      <c r="B398" s="972" t="inlineStr">
        <is>
          <t>Operational Disruption</t>
        </is>
      </c>
      <c r="C398" s="972" t="inlineStr">
        <is>
          <t>T1691.001</t>
        </is>
      </c>
      <c r="D398" s="972" t="inlineStr">
        <is>
          <t>Command Message</t>
        </is>
      </c>
      <c r="E398" s="972" t="inlineStr">
        <is>
          <t>S5</t>
        </is>
      </c>
      <c r="F398" s="972" t="inlineStr">
        <is>
          <t>Supporting / impact</t>
        </is>
      </c>
      <c r="G398" s="972" t="inlineStr">
        <is>
          <t>Yes</t>
        </is>
      </c>
      <c r="H398" s="972" t="inlineStr">
        <is>
          <t>Yes</t>
        </is>
      </c>
      <c r="I398" s="972" t="inlineStr">
        <is>
          <t>Yes</t>
        </is>
      </c>
      <c r="J398" s="972" t="n">
        <v>3</v>
      </c>
      <c r="K398" s="972" t="inlineStr">
        <is>
          <t>ADDED v1.2: Blocked command messages interrupt normal operation.</t>
        </is>
      </c>
      <c r="L398" s="452" t="inlineStr">
        <is>
          <t>https://attack.mitre.org/techniques/T1691/001</t>
        </is>
      </c>
      <c r="M398" s="973" t="inlineStr">
        <is>
          <t>Yes</t>
        </is>
      </c>
      <c r="N398" s="973" t="inlineStr">
        <is>
          <t>No explicit facility gate — defaults feasible</t>
        </is>
      </c>
      <c r="O398" s="973" t="inlineStr">
        <is>
          <t>Command Message is an ATT&amp;CK for ICS impact or response-inhibition technique that can support one or more governed adverse scenarios; scenario role remains controlled on 09.</t>
        </is>
      </c>
      <c r="P398" s="973" t="inlineStr">
        <is>
          <t>https://csrc.nist.gov/pubs/sp/800/82/r3/final</t>
        </is>
      </c>
    </row>
    <row r="399" ht="15" customHeight="1" s="508">
      <c r="A399" s="972" t="inlineStr">
        <is>
          <t>Cybercriminal</t>
        </is>
      </c>
      <c r="B399" s="972" t="inlineStr">
        <is>
          <t>Operational Disruption</t>
        </is>
      </c>
      <c r="C399" s="972" t="inlineStr">
        <is>
          <t>T0800</t>
        </is>
      </c>
      <c r="D399" s="972" t="inlineStr">
        <is>
          <t>Activate Firmware Update Mode</t>
        </is>
      </c>
      <c r="E399" s="972" t="inlineStr">
        <is>
          <t>S5</t>
        </is>
      </c>
      <c r="F399" s="972" t="inlineStr">
        <is>
          <t>Supporting / impact</t>
        </is>
      </c>
      <c r="G399" s="972" t="inlineStr">
        <is>
          <t>Yes</t>
        </is>
      </c>
      <c r="H399" s="972" t="inlineStr">
        <is>
          <t>Yes</t>
        </is>
      </c>
      <c r="I399" s="972" t="inlineStr">
        <is>
          <t>Yes</t>
        </is>
      </c>
      <c r="J399" s="972" t="n">
        <v>8</v>
      </c>
      <c r="K399" s="972" t="inlineStr">
        <is>
          <t>ADDED v1.2: Firmware update mode denies expected device functionality.</t>
        </is>
      </c>
      <c r="L399" s="452" t="inlineStr">
        <is>
          <t>https://attack.mitre.org/techniques/T0800</t>
        </is>
      </c>
      <c r="M399" s="973" t="inlineStr">
        <is>
          <t>Yes</t>
        </is>
      </c>
      <c r="N399" s="973" t="inlineStr">
        <is>
          <t>No explicit facility gate — defaults feasible</t>
        </is>
      </c>
      <c r="O399" s="973" t="inlineStr">
        <is>
          <t>Activate Firmware Update Mode is an ATT&amp;CK for ICS impact or response-inhibition technique that can support one or more governed adverse scenarios; scenario role remains controlled on 09.</t>
        </is>
      </c>
      <c r="P399" s="973" t="inlineStr">
        <is>
          <t>https://csrc.nist.gov/pubs/sp/800/82/r3/final</t>
        </is>
      </c>
    </row>
    <row r="400" ht="15" customHeight="1" s="508">
      <c r="A400" s="972" t="inlineStr">
        <is>
          <t>Cybercriminal</t>
        </is>
      </c>
      <c r="B400" s="972" t="inlineStr">
        <is>
          <t>Loss of Control or Visibility</t>
        </is>
      </c>
      <c r="C400" s="972" t="inlineStr">
        <is>
          <t>T0830</t>
        </is>
      </c>
      <c r="D400" s="972" t="inlineStr">
        <is>
          <t>Adversary-in-the-Middle</t>
        </is>
      </c>
      <c r="E400" s="972" t="inlineStr">
        <is>
          <t>S4</t>
        </is>
      </c>
      <c r="F400" s="972" t="inlineStr">
        <is>
          <t>Candidate enabling technique</t>
        </is>
      </c>
      <c r="G400" s="972" t="inlineStr">
        <is>
          <t>Yes</t>
        </is>
      </c>
      <c r="H400" s="972" t="inlineStr">
        <is>
          <t>Yes</t>
        </is>
      </c>
      <c r="I400" s="972" t="inlineStr">
        <is>
          <t>Yes</t>
        </is>
      </c>
      <c r="J400" s="972" t="n">
        <v>8</v>
      </c>
      <c r="K400" s="972" t="inlineStr">
        <is>
          <t>Model Mapping</t>
        </is>
      </c>
      <c r="L400" s="452" t="inlineStr">
        <is>
          <t>https://attack.mitre.org/techniques/T0830</t>
        </is>
      </c>
      <c r="M400" s="973" t="inlineStr">
        <is>
          <t>Yes</t>
        </is>
      </c>
      <c r="N400" s="973" t="inlineStr">
        <is>
          <t>No explicit facility gate — defaults feasible</t>
        </is>
      </c>
      <c r="O400" s="973" t="inlineStr">
        <is>
          <t>Adversary-in-the-Middle can support discovery or interaction with process state, control assets and operational data in Power Generation environments.</t>
        </is>
      </c>
      <c r="P400" s="973" t="inlineStr">
        <is>
          <t>https://csrc.nist.gov/pubs/sp/800/82/r3/final</t>
        </is>
      </c>
    </row>
    <row r="401" ht="15" customHeight="1" s="508">
      <c r="A401" s="972" t="inlineStr">
        <is>
          <t>Cybercriminal</t>
        </is>
      </c>
      <c r="B401" s="972" t="inlineStr">
        <is>
          <t>Loss of Control or Visibility</t>
        </is>
      </c>
      <c r="C401" s="972" t="inlineStr">
        <is>
          <t>T0802</t>
        </is>
      </c>
      <c r="D401" s="972" t="inlineStr">
        <is>
          <t>Automated Collection</t>
        </is>
      </c>
      <c r="E401" s="972" t="inlineStr">
        <is>
          <t>S4</t>
        </is>
      </c>
      <c r="F401" s="972" t="inlineStr">
        <is>
          <t>Candidate enabling technique</t>
        </is>
      </c>
      <c r="G401" s="972" t="inlineStr">
        <is>
          <t>Yes</t>
        </is>
      </c>
      <c r="H401" s="972" t="inlineStr">
        <is>
          <t>Yes</t>
        </is>
      </c>
      <c r="I401" s="972" t="inlineStr">
        <is>
          <t>Yes</t>
        </is>
      </c>
      <c r="J401" s="972" t="n">
        <v>2</v>
      </c>
      <c r="K401" s="972" t="inlineStr">
        <is>
          <t>Model Mapping</t>
        </is>
      </c>
      <c r="L401" s="452" t="inlineStr">
        <is>
          <t>https://attack.mitre.org/techniques/T0802</t>
        </is>
      </c>
      <c r="M401" s="973" t="inlineStr">
        <is>
          <t>Yes</t>
        </is>
      </c>
      <c r="N401" s="973" t="inlineStr">
        <is>
          <t>No explicit facility gate — defaults feasible</t>
        </is>
      </c>
      <c r="O401" s="973" t="inlineStr">
        <is>
          <t>Automated Collection can support discovery or interaction with process state, control assets and operational data in Power Generation environments.</t>
        </is>
      </c>
      <c r="P401" s="973" t="inlineStr">
        <is>
          <t>https://csrc.nist.gov/pubs/sp/800/82/r3/final</t>
        </is>
      </c>
    </row>
    <row r="402" ht="15" customHeight="1" s="508">
      <c r="A402" s="972" t="inlineStr">
        <is>
          <t>Cybercriminal</t>
        </is>
      </c>
      <c r="B402" s="972" t="inlineStr">
        <is>
          <t>Loss of Control or Visibility</t>
        </is>
      </c>
      <c r="C402" s="972" t="inlineStr">
        <is>
          <t>T0895</t>
        </is>
      </c>
      <c r="D402" s="972" t="inlineStr">
        <is>
          <t>Autorun Image</t>
        </is>
      </c>
      <c r="E402" s="972" t="inlineStr">
        <is>
          <t>S2</t>
        </is>
      </c>
      <c r="F402" s="972" t="inlineStr">
        <is>
          <t>Candidate enabling technique</t>
        </is>
      </c>
      <c r="G402" s="972" t="inlineStr">
        <is>
          <t>Yes</t>
        </is>
      </c>
      <c r="H402" s="972" t="inlineStr">
        <is>
          <t>Yes</t>
        </is>
      </c>
      <c r="I402" s="972" t="inlineStr">
        <is>
          <t>Yes</t>
        </is>
      </c>
      <c r="J402" s="972" t="n">
        <v>1</v>
      </c>
      <c r="K402" s="972" t="inlineStr">
        <is>
          <t>Model Mapping</t>
        </is>
      </c>
      <c r="L402" s="452" t="inlineStr">
        <is>
          <t>https://attack.mitre.org/techniques/T0895</t>
        </is>
      </c>
      <c r="M402" s="973" t="inlineStr">
        <is>
          <t>Yes</t>
        </is>
      </c>
      <c r="N402" s="973" t="inlineStr">
        <is>
          <t>No explicit facility gate — defaults feasible</t>
        </is>
      </c>
      <c r="O402" s="973" t="inlineStr">
        <is>
          <t>Autorun Image is applicable to execution or persistence on engineering workstations, HMIs, servers or controllers used in Power Generation facilities.</t>
        </is>
      </c>
      <c r="P402" s="973" t="inlineStr">
        <is>
          <t>https://csrc.nist.gov/pubs/sp/800/82/r3/final</t>
        </is>
      </c>
    </row>
    <row r="403" ht="15" customHeight="1" s="508">
      <c r="A403" s="972" t="inlineStr">
        <is>
          <t>Cybercriminal</t>
        </is>
      </c>
      <c r="B403" s="972" t="inlineStr">
        <is>
          <t>Loss of Control or Visibility</t>
        </is>
      </c>
      <c r="C403" s="972" t="inlineStr">
        <is>
          <t>T0846.002</t>
        </is>
      </c>
      <c r="D403" s="972" t="inlineStr">
        <is>
          <t>Broadcast Discovery</t>
        </is>
      </c>
      <c r="E403" s="972" t="inlineStr">
        <is>
          <t>S4</t>
        </is>
      </c>
      <c r="F403" s="972" t="inlineStr">
        <is>
          <t>Candidate enabling technique</t>
        </is>
      </c>
      <c r="G403" s="972" t="inlineStr">
        <is>
          <t>Yes</t>
        </is>
      </c>
      <c r="H403" s="972" t="inlineStr">
        <is>
          <t>Yes</t>
        </is>
      </c>
      <c r="I403" s="972" t="inlineStr">
        <is>
          <t>Yes</t>
        </is>
      </c>
      <c r="J403" s="972" t="n">
        <v>2</v>
      </c>
      <c r="K403" s="972" t="inlineStr">
        <is>
          <t>Model Mapping</t>
        </is>
      </c>
      <c r="L403" s="452" t="inlineStr">
        <is>
          <t>https://attack.mitre.org/techniques/T0846/002</t>
        </is>
      </c>
      <c r="M403" s="973" t="inlineStr">
        <is>
          <t>Yes</t>
        </is>
      </c>
      <c r="N403" s="973" t="inlineStr">
        <is>
          <t>No explicit facility gate — defaults feasible</t>
        </is>
      </c>
      <c r="O403" s="973" t="inlineStr">
        <is>
          <t>Broadcast Discovery can support discovery or interaction with process state, control assets and operational data in Power Generation environments.</t>
        </is>
      </c>
      <c r="P403" s="973" t="inlineStr">
        <is>
          <t>https://csrc.nist.gov/pubs/sp/800/82/r3/final</t>
        </is>
      </c>
    </row>
    <row r="404" ht="15" customHeight="1" s="508">
      <c r="A404" s="972" t="inlineStr">
        <is>
          <t>Cybercriminal</t>
        </is>
      </c>
      <c r="B404" s="972" t="inlineStr">
        <is>
          <t>Loss of Control or Visibility</t>
        </is>
      </c>
      <c r="C404" s="972" t="inlineStr">
        <is>
          <t>T0858</t>
        </is>
      </c>
      <c r="D404" s="972" t="inlineStr">
        <is>
          <t>Change Operating Mode</t>
        </is>
      </c>
      <c r="E404" s="972" t="inlineStr">
        <is>
          <t>S2</t>
        </is>
      </c>
      <c r="F404" s="972" t="inlineStr">
        <is>
          <t>Candidate enabling technique</t>
        </is>
      </c>
      <c r="G404" s="972" t="inlineStr">
        <is>
          <t>Yes</t>
        </is>
      </c>
      <c r="H404" s="972" t="inlineStr">
        <is>
          <t>Yes</t>
        </is>
      </c>
      <c r="I404" s="972" t="inlineStr">
        <is>
          <t>Yes</t>
        </is>
      </c>
      <c r="J404" s="972" t="n">
        <v>7</v>
      </c>
      <c r="K404" s="972" t="inlineStr">
        <is>
          <t>Model Mapping</t>
        </is>
      </c>
      <c r="L404" s="452" t="inlineStr">
        <is>
          <t>https://attack.mitre.org/techniques/T0858</t>
        </is>
      </c>
      <c r="M404" s="973" t="inlineStr">
        <is>
          <t>Yes</t>
        </is>
      </c>
      <c r="N404" s="973" t="inlineStr">
        <is>
          <t>No explicit facility gate — defaults feasible</t>
        </is>
      </c>
      <c r="O404" s="973" t="inlineStr">
        <is>
          <t>Change Operating Mode is applicable to execution or persistence on engineering workstations, HMIs, servers or controllers used in Power Generation facilities.</t>
        </is>
      </c>
      <c r="P404" s="973" t="inlineStr">
        <is>
          <t>https://csrc.nist.gov/pubs/sp/800/82/r3/final</t>
        </is>
      </c>
    </row>
    <row r="405" ht="15" customHeight="1" s="508">
      <c r="A405" s="972" t="inlineStr">
        <is>
          <t>Cybercriminal</t>
        </is>
      </c>
      <c r="B405" s="972" t="inlineStr">
        <is>
          <t>Loss of Control or Visibility</t>
        </is>
      </c>
      <c r="C405" s="972" t="inlineStr">
        <is>
          <t>T0807</t>
        </is>
      </c>
      <c r="D405" s="972" t="inlineStr">
        <is>
          <t>Command-Line Interface</t>
        </is>
      </c>
      <c r="E405" s="972" t="inlineStr">
        <is>
          <t>S2</t>
        </is>
      </c>
      <c r="F405" s="972" t="inlineStr">
        <is>
          <t>Candidate enabling technique</t>
        </is>
      </c>
      <c r="G405" s="972" t="inlineStr">
        <is>
          <t>Yes</t>
        </is>
      </c>
      <c r="H405" s="972" t="inlineStr">
        <is>
          <t>Yes</t>
        </is>
      </c>
      <c r="I405" s="972" t="inlineStr">
        <is>
          <t>Yes</t>
        </is>
      </c>
      <c r="J405" s="972" t="n">
        <v>2</v>
      </c>
      <c r="K405" s="972" t="inlineStr">
        <is>
          <t>Model Mapping</t>
        </is>
      </c>
      <c r="L405" s="452" t="inlineStr">
        <is>
          <t>https://attack.mitre.org/techniques/T0807</t>
        </is>
      </c>
      <c r="M405" s="973" t="inlineStr">
        <is>
          <t>Yes</t>
        </is>
      </c>
      <c r="N405" s="973" t="inlineStr">
        <is>
          <t>No explicit facility gate — defaults feasible</t>
        </is>
      </c>
      <c r="O405" s="973" t="inlineStr">
        <is>
          <t>Command-Line Interface is applicable to execution or persistence on engineering workstations, HMIs, servers or controllers used in Power Generation facilities.</t>
        </is>
      </c>
      <c r="P405" s="973" t="inlineStr">
        <is>
          <t>https://csrc.nist.gov/pubs/sp/800/82/r3/final</t>
        </is>
      </c>
    </row>
    <row r="406" ht="15" customHeight="1" s="508">
      <c r="A406" s="972" t="inlineStr">
        <is>
          <t>Cybercriminal</t>
        </is>
      </c>
      <c r="B406" s="972" t="inlineStr">
        <is>
          <t>Loss of Control or Visibility</t>
        </is>
      </c>
      <c r="C406" s="972" t="inlineStr">
        <is>
          <t>T0885</t>
        </is>
      </c>
      <c r="D406" s="972" t="inlineStr">
        <is>
          <t>Commonly Used Port</t>
        </is>
      </c>
      <c r="E406" s="972" t="inlineStr">
        <is>
          <t>S3</t>
        </is>
      </c>
      <c r="F406" s="972" t="inlineStr">
        <is>
          <t>Candidate enabling technique</t>
        </is>
      </c>
      <c r="G406" s="972" t="inlineStr">
        <is>
          <t>Yes</t>
        </is>
      </c>
      <c r="H406" s="972" t="inlineStr">
        <is>
          <t>Yes</t>
        </is>
      </c>
      <c r="I406" s="972" t="inlineStr">
        <is>
          <t>Yes</t>
        </is>
      </c>
      <c r="J406" s="972" t="n">
        <v>4</v>
      </c>
      <c r="K406" s="972" t="inlineStr">
        <is>
          <t>Model Mapping</t>
        </is>
      </c>
      <c r="L406" s="452" t="inlineStr">
        <is>
          <t>https://attack.mitre.org/techniques/T0885</t>
        </is>
      </c>
      <c r="M406" s="973" t="inlineStr">
        <is>
          <t>Yes</t>
        </is>
      </c>
      <c r="N406" s="973" t="inlineStr">
        <is>
          <t>No explicit facility gate — defaults feasible</t>
        </is>
      </c>
      <c r="O406" s="973" t="inlineStr">
        <is>
          <t>Commonly Used Port can support movement toward or within plant/control zones; actual reachability is governed by the assessed facility architecture.</t>
        </is>
      </c>
      <c r="P406" s="973" t="inlineStr">
        <is>
          <t>https://csrc.nist.gov/pubs/sp/800/82/r3/final</t>
        </is>
      </c>
    </row>
    <row r="407" ht="15" customHeight="1" s="508">
      <c r="A407" s="972" t="inlineStr">
        <is>
          <t>Cybercriminal</t>
        </is>
      </c>
      <c r="B407" s="972" t="inlineStr">
        <is>
          <t>Loss of Control or Visibility</t>
        </is>
      </c>
      <c r="C407" s="972" t="inlineStr">
        <is>
          <t>T0884</t>
        </is>
      </c>
      <c r="D407" s="972" t="inlineStr">
        <is>
          <t>Connection Proxy</t>
        </is>
      </c>
      <c r="E407" s="972" t="inlineStr">
        <is>
          <t>S3</t>
        </is>
      </c>
      <c r="F407" s="972" t="inlineStr">
        <is>
          <t>Candidate enabling technique</t>
        </is>
      </c>
      <c r="G407" s="972" t="inlineStr">
        <is>
          <t>Yes</t>
        </is>
      </c>
      <c r="H407" s="972" t="inlineStr">
        <is>
          <t>Yes</t>
        </is>
      </c>
      <c r="I407" s="972" t="inlineStr">
        <is>
          <t>Yes</t>
        </is>
      </c>
      <c r="J407" s="972" t="n">
        <v>4</v>
      </c>
      <c r="K407" s="972" t="inlineStr">
        <is>
          <t>Model Mapping</t>
        </is>
      </c>
      <c r="L407" s="452" t="inlineStr">
        <is>
          <t>https://attack.mitre.org/techniques/T0884</t>
        </is>
      </c>
      <c r="M407" s="973" t="inlineStr">
        <is>
          <t>Yes</t>
        </is>
      </c>
      <c r="N407" s="973" t="inlineStr">
        <is>
          <t>No explicit facility gate — defaults feasible</t>
        </is>
      </c>
      <c r="O407" s="973" t="inlineStr">
        <is>
          <t>Connection Proxy can support movement toward or within plant/control zones; actual reachability is governed by the assessed facility architecture.</t>
        </is>
      </c>
      <c r="P407" s="973" t="inlineStr">
        <is>
          <t>https://csrc.nist.gov/pubs/sp/800/82/r3/final</t>
        </is>
      </c>
    </row>
    <row r="408" ht="15" customHeight="1" s="508">
      <c r="A408" s="972" t="inlineStr">
        <is>
          <t>Cybercriminal</t>
        </is>
      </c>
      <c r="B408" s="972" t="inlineStr">
        <is>
          <t>Loss of Control or Visibility</t>
        </is>
      </c>
      <c r="C408" s="972" t="inlineStr">
        <is>
          <t>T0811</t>
        </is>
      </c>
      <c r="D408" s="972" t="inlineStr">
        <is>
          <t>Data from Information Repositories</t>
        </is>
      </c>
      <c r="E408" s="972" t="inlineStr">
        <is>
          <t>S4</t>
        </is>
      </c>
      <c r="F408" s="972" t="inlineStr">
        <is>
          <t>Candidate enabling technique</t>
        </is>
      </c>
      <c r="G408" s="972" t="inlineStr">
        <is>
          <t>Yes</t>
        </is>
      </c>
      <c r="H408" s="972" t="inlineStr">
        <is>
          <t>Yes</t>
        </is>
      </c>
      <c r="I408" s="972" t="inlineStr">
        <is>
          <t>Yes</t>
        </is>
      </c>
      <c r="J408" s="972" t="n">
        <v>6</v>
      </c>
      <c r="K408" s="972" t="inlineStr">
        <is>
          <t>Model Mapping</t>
        </is>
      </c>
      <c r="L408" s="452" t="inlineStr">
        <is>
          <t>https://attack.mitre.org/techniques/T0811</t>
        </is>
      </c>
      <c r="M408" s="973" t="inlineStr">
        <is>
          <t>Yes</t>
        </is>
      </c>
      <c r="N408" s="973" t="inlineStr">
        <is>
          <t>No explicit facility gate — defaults feasible</t>
        </is>
      </c>
      <c r="O408" s="973" t="inlineStr">
        <is>
          <t>Data from Information Repositories can support discovery or interaction with process state, control assets and operational data in Power Generation environments.</t>
        </is>
      </c>
      <c r="P408" s="973" t="inlineStr">
        <is>
          <t>https://csrc.nist.gov/pubs/sp/800/82/r3/final</t>
        </is>
      </c>
    </row>
    <row r="409" ht="15" customHeight="1" s="508">
      <c r="A409" s="972" t="inlineStr">
        <is>
          <t>Cybercriminal</t>
        </is>
      </c>
      <c r="B409" s="972" t="inlineStr">
        <is>
          <t>Loss of Control or Visibility</t>
        </is>
      </c>
      <c r="C409" s="972" t="inlineStr">
        <is>
          <t>T0893</t>
        </is>
      </c>
      <c r="D409" s="972" t="inlineStr">
        <is>
          <t>Data from Local System</t>
        </is>
      </c>
      <c r="E409" s="972" t="inlineStr">
        <is>
          <t>S4</t>
        </is>
      </c>
      <c r="F409" s="972" t="inlineStr">
        <is>
          <t>Candidate enabling technique</t>
        </is>
      </c>
      <c r="G409" s="972" t="inlineStr">
        <is>
          <t>Yes</t>
        </is>
      </c>
      <c r="H409" s="972" t="inlineStr">
        <is>
          <t>Yes</t>
        </is>
      </c>
      <c r="I409" s="972" t="inlineStr">
        <is>
          <t>Yes</t>
        </is>
      </c>
      <c r="J409" s="972" t="n">
        <v>4</v>
      </c>
      <c r="K409" s="972" t="inlineStr">
        <is>
          <t>Model Mapping</t>
        </is>
      </c>
      <c r="L409" s="452" t="inlineStr">
        <is>
          <t>https://attack.mitre.org/techniques/T0893</t>
        </is>
      </c>
      <c r="M409" s="973" t="inlineStr">
        <is>
          <t>Yes</t>
        </is>
      </c>
      <c r="N409" s="973" t="inlineStr">
        <is>
          <t>No explicit facility gate — defaults feasible</t>
        </is>
      </c>
      <c r="O409" s="973" t="inlineStr">
        <is>
          <t>Data from Local System can support discovery or interaction with process state, control assets and operational data in Power Generation environments.</t>
        </is>
      </c>
      <c r="P409" s="973" t="inlineStr">
        <is>
          <t>https://csrc.nist.gov/pubs/sp/800/82/r3/final</t>
        </is>
      </c>
    </row>
    <row r="410" ht="15" customHeight="1" s="508">
      <c r="A410" s="972" t="inlineStr">
        <is>
          <t>Cybercriminal</t>
        </is>
      </c>
      <c r="B410" s="972" t="inlineStr">
        <is>
          <t>Loss of Control or Visibility</t>
        </is>
      </c>
      <c r="C410" s="972" t="inlineStr">
        <is>
          <t>T1694.001</t>
        </is>
      </c>
      <c r="D410" s="972" t="inlineStr">
        <is>
          <t>Default Credentials</t>
        </is>
      </c>
      <c r="E410" s="972" t="inlineStr">
        <is>
          <t>S3</t>
        </is>
      </c>
      <c r="F410" s="972" t="inlineStr">
        <is>
          <t>Candidate enabling technique</t>
        </is>
      </c>
      <c r="G410" s="972" t="inlineStr">
        <is>
          <t>Yes</t>
        </is>
      </c>
      <c r="H410" s="972" t="inlineStr">
        <is>
          <t>Yes</t>
        </is>
      </c>
      <c r="I410" s="972" t="inlineStr">
        <is>
          <t>Yes</t>
        </is>
      </c>
      <c r="J410" s="972" t="n">
        <v>2</v>
      </c>
      <c r="K410" s="972" t="inlineStr">
        <is>
          <t>Model Mapping</t>
        </is>
      </c>
      <c r="L410" s="452" t="inlineStr">
        <is>
          <t>https://attack.mitre.org/techniques/T1694/001</t>
        </is>
      </c>
      <c r="M410" s="973" t="inlineStr">
        <is>
          <t>Yes</t>
        </is>
      </c>
      <c r="N410" s="973" t="inlineStr">
        <is>
          <t>No explicit facility gate — defaults feasible</t>
        </is>
      </c>
      <c r="O410" s="973" t="inlineStr">
        <is>
          <t>Default Credentials can support movement toward or within plant/control zones; actual reachability is governed by the assessed facility architecture.</t>
        </is>
      </c>
      <c r="P410" s="973" t="inlineStr">
        <is>
          <t>https://csrc.nist.gov/pubs/sp/800/82/r3/final</t>
        </is>
      </c>
    </row>
    <row r="411" ht="15" customHeight="1" s="508">
      <c r="A411" s="972" t="inlineStr">
        <is>
          <t>Cybercriminal</t>
        </is>
      </c>
      <c r="B411" s="972" t="inlineStr">
        <is>
          <t>Loss of Control or Visibility</t>
        </is>
      </c>
      <c r="C411" s="972" t="inlineStr">
        <is>
          <t>T0813</t>
        </is>
      </c>
      <c r="D411" s="972" t="inlineStr">
        <is>
          <t>Denial of Control</t>
        </is>
      </c>
      <c r="E411" s="972" t="inlineStr">
        <is>
          <t>S5</t>
        </is>
      </c>
      <c r="F411" s="972" t="inlineStr">
        <is>
          <t>Scenario-defining</t>
        </is>
      </c>
      <c r="G411" s="972" t="inlineStr">
        <is>
          <t>Yes</t>
        </is>
      </c>
      <c r="H411" s="972" t="inlineStr">
        <is>
          <t>Yes</t>
        </is>
      </c>
      <c r="I411" s="972" t="inlineStr">
        <is>
          <t>Yes</t>
        </is>
      </c>
      <c r="J411" s="972" t="n">
        <v>3</v>
      </c>
      <c r="K411" s="972" t="inlineStr">
        <is>
          <t>Model Mapping</t>
        </is>
      </c>
      <c r="L411" s="452" t="inlineStr">
        <is>
          <t>https://attack.mitre.org/techniques/T0813</t>
        </is>
      </c>
      <c r="M411" s="973" t="inlineStr">
        <is>
          <t>Yes</t>
        </is>
      </c>
      <c r="N411" s="973" t="inlineStr">
        <is>
          <t>No explicit facility gate — defaults feasible</t>
        </is>
      </c>
      <c r="O411" s="973" t="inlineStr">
        <is>
          <t>Denial of Control is an ATT&amp;CK for ICS impact or response-inhibition technique that can support one or more governed adverse scenarios; scenario role remains controlled on 09.</t>
        </is>
      </c>
      <c r="P411" s="973" t="inlineStr">
        <is>
          <t>https://csrc.nist.gov/pubs/sp/800/82/r3/final</t>
        </is>
      </c>
    </row>
    <row r="412" ht="15" customHeight="1" s="508">
      <c r="A412" s="972" t="inlineStr">
        <is>
          <t>Cybercriminal</t>
        </is>
      </c>
      <c r="B412" s="972" t="inlineStr">
        <is>
          <t>Loss of Control or Visibility</t>
        </is>
      </c>
      <c r="C412" s="972" t="inlineStr">
        <is>
          <t>T0815</t>
        </is>
      </c>
      <c r="D412" s="972" t="inlineStr">
        <is>
          <t>Denial of View</t>
        </is>
      </c>
      <c r="E412" s="972" t="inlineStr">
        <is>
          <t>S5</t>
        </is>
      </c>
      <c r="F412" s="972" t="inlineStr">
        <is>
          <t>Scenario-defining</t>
        </is>
      </c>
      <c r="G412" s="972" t="inlineStr">
        <is>
          <t>Yes</t>
        </is>
      </c>
      <c r="H412" s="972" t="inlineStr">
        <is>
          <t>Yes</t>
        </is>
      </c>
      <c r="I412" s="972" t="inlineStr">
        <is>
          <t>Yes</t>
        </is>
      </c>
      <c r="J412" s="972" t="n">
        <v>3</v>
      </c>
      <c r="K412" s="972" t="inlineStr">
        <is>
          <t>Model Mapping</t>
        </is>
      </c>
      <c r="L412" s="452" t="inlineStr">
        <is>
          <t>https://attack.mitre.org/techniques/T0815</t>
        </is>
      </c>
      <c r="M412" s="973" t="inlineStr">
        <is>
          <t>Yes</t>
        </is>
      </c>
      <c r="N412" s="973" t="inlineStr">
        <is>
          <t>No explicit facility gate — defaults feasible</t>
        </is>
      </c>
      <c r="O412" s="973" t="inlineStr">
        <is>
          <t>Denial of View is an ATT&amp;CK for ICS impact or response-inhibition technique that can support one or more governed adverse scenarios; scenario role remains controlled on 09.</t>
        </is>
      </c>
      <c r="P412" s="973" t="inlineStr">
        <is>
          <t>https://csrc.nist.gov/pubs/sp/800/82/r3/final</t>
        </is>
      </c>
    </row>
    <row r="413" ht="15" customHeight="1" s="508">
      <c r="A413" s="972" t="inlineStr">
        <is>
          <t>Cybercriminal</t>
        </is>
      </c>
      <c r="B413" s="972" t="inlineStr">
        <is>
          <t>Loss of Control or Visibility</t>
        </is>
      </c>
      <c r="C413" s="972" t="inlineStr">
        <is>
          <t>T0868</t>
        </is>
      </c>
      <c r="D413" s="972" t="inlineStr">
        <is>
          <t>Detect Operating Mode</t>
        </is>
      </c>
      <c r="E413" s="972" t="inlineStr">
        <is>
          <t>S4</t>
        </is>
      </c>
      <c r="F413" s="972" t="inlineStr">
        <is>
          <t>Candidate enabling technique</t>
        </is>
      </c>
      <c r="G413" s="972" t="inlineStr">
        <is>
          <t>Yes</t>
        </is>
      </c>
      <c r="H413" s="972" t="inlineStr">
        <is>
          <t>Yes</t>
        </is>
      </c>
      <c r="I413" s="972" t="inlineStr">
        <is>
          <t>Yes</t>
        </is>
      </c>
      <c r="J413" s="972" t="n">
        <v>8</v>
      </c>
      <c r="K413" s="972" t="inlineStr">
        <is>
          <t>Model Mapping</t>
        </is>
      </c>
      <c r="L413" s="452" t="inlineStr">
        <is>
          <t>https://attack.mitre.org/techniques/T0868</t>
        </is>
      </c>
      <c r="M413" s="973" t="inlineStr">
        <is>
          <t>Yes</t>
        </is>
      </c>
      <c r="N413" s="973" t="inlineStr">
        <is>
          <t>No explicit facility gate — defaults feasible</t>
        </is>
      </c>
      <c r="O413" s="973" t="inlineStr">
        <is>
          <t>Detect Operating Mode can support discovery or interaction with process state, control assets and operational data in Power Generation environments.</t>
        </is>
      </c>
      <c r="P413" s="973" t="inlineStr">
        <is>
          <t>https://csrc.nist.gov/pubs/sp/800/82/r3/final</t>
        </is>
      </c>
    </row>
    <row r="414" ht="15" customHeight="1" s="508">
      <c r="A414" s="972" t="inlineStr">
        <is>
          <t>Cybercriminal</t>
        </is>
      </c>
      <c r="B414" s="972" t="inlineStr">
        <is>
          <t>Loss of Control or Visibility</t>
        </is>
      </c>
      <c r="C414" s="972" t="inlineStr">
        <is>
          <t>T0843.001</t>
        </is>
      </c>
      <c r="D414" s="972" t="inlineStr">
        <is>
          <t>Download All</t>
        </is>
      </c>
      <c r="E414" s="972" t="inlineStr">
        <is>
          <t>S3</t>
        </is>
      </c>
      <c r="F414" s="972" t="inlineStr">
        <is>
          <t>Candidate enabling technique</t>
        </is>
      </c>
      <c r="G414" s="972" t="inlineStr">
        <is>
          <t>Yes</t>
        </is>
      </c>
      <c r="H414" s="972" t="inlineStr">
        <is>
          <t>Yes</t>
        </is>
      </c>
      <c r="I414" s="972" t="inlineStr">
        <is>
          <t>Yes</t>
        </is>
      </c>
      <c r="J414" s="972" t="n">
        <v>10</v>
      </c>
      <c r="K414" s="972" t="inlineStr">
        <is>
          <t>Model Mapping</t>
        </is>
      </c>
      <c r="L414" s="452" t="inlineStr">
        <is>
          <t>https://attack.mitre.org/techniques/T0843/001</t>
        </is>
      </c>
      <c r="M414" s="973" t="inlineStr">
        <is>
          <t>Yes</t>
        </is>
      </c>
      <c r="N414" s="973" t="inlineStr">
        <is>
          <t>No explicit facility gate — defaults feasible</t>
        </is>
      </c>
      <c r="O414" s="973" t="inlineStr">
        <is>
          <t>Download All can support movement toward or within plant/control zones; actual reachability is governed by the assessed facility architecture.</t>
        </is>
      </c>
      <c r="P414" s="973" t="inlineStr">
        <is>
          <t>https://csrc.nist.gov/pubs/sp/800/82/r3/final</t>
        </is>
      </c>
    </row>
    <row r="415" ht="15" customHeight="1" s="508">
      <c r="A415" s="972" t="inlineStr">
        <is>
          <t>Cybercriminal</t>
        </is>
      </c>
      <c r="B415" s="972" t="inlineStr">
        <is>
          <t>Loss of Control or Visibility</t>
        </is>
      </c>
      <c r="C415" s="972" t="inlineStr">
        <is>
          <t>T0817</t>
        </is>
      </c>
      <c r="D415" s="972" t="inlineStr">
        <is>
          <t>Drive-by Compromise</t>
        </is>
      </c>
      <c r="E415" s="972" t="inlineStr">
        <is>
          <t>S1</t>
        </is>
      </c>
      <c r="F415" s="972" t="inlineStr">
        <is>
          <t>Candidate enabling technique</t>
        </is>
      </c>
      <c r="G415" s="972" t="inlineStr">
        <is>
          <t>Yes</t>
        </is>
      </c>
      <c r="H415" s="972" t="inlineStr">
        <is>
          <t>Yes</t>
        </is>
      </c>
      <c r="I415" s="972" t="inlineStr">
        <is>
          <t>Yes</t>
        </is>
      </c>
      <c r="J415" s="972" t="n">
        <v>4</v>
      </c>
      <c r="K415" s="972" t="inlineStr">
        <is>
          <t>Model Mapping</t>
        </is>
      </c>
      <c r="L415" s="452" t="inlineStr">
        <is>
          <t>https://attack.mitre.org/techniques/T0817</t>
        </is>
      </c>
      <c r="M415" s="973" t="inlineStr">
        <is>
          <t>Yes</t>
        </is>
      </c>
      <c r="N415" s="973" t="inlineStr">
        <is>
          <t>No explicit facility gate — defaults feasible</t>
        </is>
      </c>
      <c r="O415" s="973" t="inlineStr">
        <is>
          <t>The Drive-by Compromise route is credible for Power Generation OT when the enabling access condition exists; existing facility gates determine remote, internet, transient, supply-chain or wireless feasibility.</t>
        </is>
      </c>
      <c r="P415" s="973" t="inlineStr">
        <is>
          <t>https://csrc.nist.gov/pubs/sp/800/82/r3/final</t>
        </is>
      </c>
    </row>
    <row r="416" ht="15" customHeight="1" s="508">
      <c r="A416" s="972" t="inlineStr">
        <is>
          <t>Cybercriminal</t>
        </is>
      </c>
      <c r="B416" s="972" t="inlineStr">
        <is>
          <t>Loss of Control or Visibility</t>
        </is>
      </c>
      <c r="C416" s="972" t="inlineStr">
        <is>
          <t>T0871</t>
        </is>
      </c>
      <c r="D416" s="972" t="inlineStr">
        <is>
          <t>Execution through API</t>
        </is>
      </c>
      <c r="E416" s="972" t="inlineStr">
        <is>
          <t>S2</t>
        </is>
      </c>
      <c r="F416" s="972" t="inlineStr">
        <is>
          <t>Candidate enabling technique</t>
        </is>
      </c>
      <c r="G416" s="972" t="inlineStr">
        <is>
          <t>Yes</t>
        </is>
      </c>
      <c r="H416" s="972" t="inlineStr">
        <is>
          <t>Yes</t>
        </is>
      </c>
      <c r="I416" s="972" t="inlineStr">
        <is>
          <t>Yes</t>
        </is>
      </c>
      <c r="J416" s="972" t="n">
        <v>4</v>
      </c>
      <c r="K416" s="972" t="inlineStr">
        <is>
          <t>Model Mapping</t>
        </is>
      </c>
      <c r="L416" s="452" t="inlineStr">
        <is>
          <t>https://attack.mitre.org/techniques/T0871</t>
        </is>
      </c>
      <c r="M416" s="973" t="inlineStr">
        <is>
          <t>Yes</t>
        </is>
      </c>
      <c r="N416" s="973" t="inlineStr">
        <is>
          <t>No explicit facility gate — defaults feasible</t>
        </is>
      </c>
      <c r="O416" s="973" t="inlineStr">
        <is>
          <t>Execution through API is applicable to execution or persistence on engineering workstations, HMIs, servers or controllers used in Power Generation facilities.</t>
        </is>
      </c>
      <c r="P416" s="973" t="inlineStr">
        <is>
          <t>https://csrc.nist.gov/pubs/sp/800/82/r3/final</t>
        </is>
      </c>
    </row>
    <row r="417" ht="15" customHeight="1" s="508">
      <c r="A417" s="972" t="inlineStr">
        <is>
          <t>Cybercriminal</t>
        </is>
      </c>
      <c r="B417" s="972" t="inlineStr">
        <is>
          <t>Loss of Control or Visibility</t>
        </is>
      </c>
      <c r="C417" s="972" t="inlineStr">
        <is>
          <t>T0819</t>
        </is>
      </c>
      <c r="D417" s="972" t="inlineStr">
        <is>
          <t>Exploit Public-Facing Application</t>
        </is>
      </c>
      <c r="E417" s="972" t="inlineStr">
        <is>
          <t>S1</t>
        </is>
      </c>
      <c r="F417" s="972" t="inlineStr">
        <is>
          <t>Candidate enabling technique</t>
        </is>
      </c>
      <c r="G417" s="972" t="inlineStr">
        <is>
          <t>Yes</t>
        </is>
      </c>
      <c r="H417" s="972" t="inlineStr">
        <is>
          <t>Yes</t>
        </is>
      </c>
      <c r="I417" s="972" t="inlineStr">
        <is>
          <t>Yes</t>
        </is>
      </c>
      <c r="J417" s="972" t="n">
        <v>6</v>
      </c>
      <c r="K417" s="972" t="inlineStr">
        <is>
          <t>Model Mapping</t>
        </is>
      </c>
      <c r="L417" s="452" t="inlineStr">
        <is>
          <t>https://attack.mitre.org/techniques/T0819</t>
        </is>
      </c>
      <c r="M417" s="973" t="inlineStr">
        <is>
          <t>Yes</t>
        </is>
      </c>
      <c r="N417" s="973" t="inlineStr">
        <is>
          <t>No explicit facility gate — defaults feasible</t>
        </is>
      </c>
      <c r="O417" s="973" t="inlineStr">
        <is>
          <t>The Exploit Public-Facing Application route is credible for Power Generation OT when the enabling access condition exists; existing facility gates determine remote, internet, transient, supply-chain or wireless feasibility.</t>
        </is>
      </c>
      <c r="P417" s="973" t="inlineStr">
        <is>
          <t>https://csrc.nist.gov/pubs/sp/800/82/r3/final</t>
        </is>
      </c>
    </row>
    <row r="418" ht="15" customHeight="1" s="508">
      <c r="A418" s="972" t="inlineStr">
        <is>
          <t>Cybercriminal</t>
        </is>
      </c>
      <c r="B418" s="972" t="inlineStr">
        <is>
          <t>Loss of Control or Visibility</t>
        </is>
      </c>
      <c r="C418" s="972" t="inlineStr">
        <is>
          <t>T0820</t>
        </is>
      </c>
      <c r="D418" s="972" t="inlineStr">
        <is>
          <t>Exploitation for Evasion</t>
        </is>
      </c>
      <c r="E418" s="972" t="inlineStr">
        <is>
          <t>S2</t>
        </is>
      </c>
      <c r="F418" s="972" t="inlineStr">
        <is>
          <t>Candidate enabling technique</t>
        </is>
      </c>
      <c r="G418" s="972" t="inlineStr">
        <is>
          <t>Yes</t>
        </is>
      </c>
      <c r="H418" s="972" t="inlineStr">
        <is>
          <t>Yes</t>
        </is>
      </c>
      <c r="I418" s="972" t="inlineStr">
        <is>
          <t>Yes</t>
        </is>
      </c>
      <c r="J418" s="972" t="n">
        <v>4</v>
      </c>
      <c r="K418" s="972" t="inlineStr">
        <is>
          <t>Model Mapping</t>
        </is>
      </c>
      <c r="L418" s="452" t="inlineStr">
        <is>
          <t>https://attack.mitre.org/techniques/T0820</t>
        </is>
      </c>
      <c r="M418" s="973" t="inlineStr">
        <is>
          <t>Yes</t>
        </is>
      </c>
      <c r="N418" s="973" t="inlineStr">
        <is>
          <t>No explicit facility gate — defaults feasible</t>
        </is>
      </c>
      <c r="O418" s="973" t="inlineStr">
        <is>
          <t>Exploitation for Evasion is applicable to execution or persistence on engineering workstations, HMIs, servers or controllers used in Power Generation facilities.</t>
        </is>
      </c>
      <c r="P418" s="973" t="inlineStr">
        <is>
          <t>https://csrc.nist.gov/pubs/sp/800/82/r3/final</t>
        </is>
      </c>
    </row>
    <row r="419" ht="15" customHeight="1" s="508">
      <c r="A419" s="972" t="inlineStr">
        <is>
          <t>Cybercriminal</t>
        </is>
      </c>
      <c r="B419" s="972" t="inlineStr">
        <is>
          <t>Loss of Control or Visibility</t>
        </is>
      </c>
      <c r="C419" s="972" t="inlineStr">
        <is>
          <t>T0890</t>
        </is>
      </c>
      <c r="D419" s="972" t="inlineStr">
        <is>
          <t>Exploitation for Privilege Escalation</t>
        </is>
      </c>
      <c r="E419" s="972" t="inlineStr">
        <is>
          <t>S2</t>
        </is>
      </c>
      <c r="F419" s="972" t="inlineStr">
        <is>
          <t>Candidate enabling technique</t>
        </is>
      </c>
      <c r="G419" s="972" t="inlineStr">
        <is>
          <t>Yes</t>
        </is>
      </c>
      <c r="H419" s="972" t="inlineStr">
        <is>
          <t>Yes</t>
        </is>
      </c>
      <c r="I419" s="972" t="inlineStr">
        <is>
          <t>Yes</t>
        </is>
      </c>
      <c r="J419" s="972" t="n">
        <v>4</v>
      </c>
      <c r="K419" s="972" t="inlineStr">
        <is>
          <t>Model Mapping</t>
        </is>
      </c>
      <c r="L419" s="452" t="inlineStr">
        <is>
          <t>https://attack.mitre.org/techniques/T0890</t>
        </is>
      </c>
      <c r="M419" s="973" t="inlineStr">
        <is>
          <t>Yes</t>
        </is>
      </c>
      <c r="N419" s="973" t="inlineStr">
        <is>
          <t>No explicit facility gate — defaults feasible</t>
        </is>
      </c>
      <c r="O419" s="973" t="inlineStr">
        <is>
          <t>Exploitation for Privilege Escalation is applicable to execution or persistence on engineering workstations, HMIs, servers or controllers used in Power Generation facilities.</t>
        </is>
      </c>
      <c r="P419" s="973" t="inlineStr">
        <is>
          <t>https://csrc.nist.gov/pubs/sp/800/82/r3/final</t>
        </is>
      </c>
    </row>
    <row r="420" ht="15" customHeight="1" s="508">
      <c r="A420" s="972" t="inlineStr">
        <is>
          <t>Cybercriminal</t>
        </is>
      </c>
      <c r="B420" s="972" t="inlineStr">
        <is>
          <t>Loss of Control or Visibility</t>
        </is>
      </c>
      <c r="C420" s="972" t="inlineStr">
        <is>
          <t>T0866</t>
        </is>
      </c>
      <c r="D420" s="972" t="inlineStr">
        <is>
          <t>Exploitation of Remote Services</t>
        </is>
      </c>
      <c r="E420" s="972" t="inlineStr">
        <is>
          <t>S1</t>
        </is>
      </c>
      <c r="F420" s="972" t="inlineStr">
        <is>
          <t>Candidate enabling technique</t>
        </is>
      </c>
      <c r="G420" s="972" t="inlineStr">
        <is>
          <t>Yes</t>
        </is>
      </c>
      <c r="H420" s="972" t="inlineStr">
        <is>
          <t>Yes</t>
        </is>
      </c>
      <c r="I420" s="972" t="inlineStr">
        <is>
          <t>Yes</t>
        </is>
      </c>
      <c r="J420" s="972" t="n">
        <v>8</v>
      </c>
      <c r="K420" s="972" t="inlineStr">
        <is>
          <t>Model Mapping</t>
        </is>
      </c>
      <c r="L420" s="452" t="inlineStr">
        <is>
          <t>https://attack.mitre.org/techniques/T0866</t>
        </is>
      </c>
      <c r="M420" s="973" t="inlineStr">
        <is>
          <t>Yes</t>
        </is>
      </c>
      <c r="N420" s="973" t="inlineStr">
        <is>
          <t>REMOTE_OR_ITOT — Remote path or IT-OT connection</t>
        </is>
      </c>
      <c r="O420" s="973" t="inlineStr">
        <is>
          <t>The Exploitation of Remote Services route is credible for Power Generation OT when the enabling access condition exists; existing facility gates determine remote, internet, transient, supply-chain or wireless feasibility.</t>
        </is>
      </c>
      <c r="P420" s="973" t="inlineStr">
        <is>
          <t>https://csrc.nist.gov/pubs/sp/800/82/r3/final</t>
        </is>
      </c>
    </row>
    <row r="421" ht="15" customHeight="1" s="508">
      <c r="A421" s="972" t="inlineStr">
        <is>
          <t>Cybercriminal</t>
        </is>
      </c>
      <c r="B421" s="972" t="inlineStr">
        <is>
          <t>Loss of Control or Visibility</t>
        </is>
      </c>
      <c r="C421" s="972" t="inlineStr">
        <is>
          <t>T0822</t>
        </is>
      </c>
      <c r="D421" s="972" t="inlineStr">
        <is>
          <t>External Remote Services</t>
        </is>
      </c>
      <c r="E421" s="972" t="inlineStr">
        <is>
          <t>S1</t>
        </is>
      </c>
      <c r="F421" s="972" t="inlineStr">
        <is>
          <t>Candidate enabling technique</t>
        </is>
      </c>
      <c r="G421" s="972" t="inlineStr">
        <is>
          <t>Yes</t>
        </is>
      </c>
      <c r="H421" s="972" t="inlineStr">
        <is>
          <t>Yes</t>
        </is>
      </c>
      <c r="I421" s="972" t="inlineStr">
        <is>
          <t>Yes</t>
        </is>
      </c>
      <c r="J421" s="972" t="n">
        <v>7</v>
      </c>
      <c r="K421" s="972" t="inlineStr">
        <is>
          <t>Model Mapping</t>
        </is>
      </c>
      <c r="L421" s="452" t="inlineStr">
        <is>
          <t>https://attack.mitre.org/techniques/T0822</t>
        </is>
      </c>
      <c r="M421" s="973" t="inlineStr">
        <is>
          <t>Yes</t>
        </is>
      </c>
      <c r="N421" s="973" t="inlineStr">
        <is>
          <t>REMOTE_REQUIRED — Not None</t>
        </is>
      </c>
      <c r="O421" s="973" t="inlineStr">
        <is>
          <t>The External Remote Services route is credible for Power Generation OT when the enabling access condition exists; existing facility gates determine remote, internet, transient, supply-chain or wireless feasibility.</t>
        </is>
      </c>
      <c r="P421" s="973" t="inlineStr">
        <is>
          <t>https://csrc.nist.gov/pubs/sp/800/82/r3/final</t>
        </is>
      </c>
    </row>
    <row r="422" ht="15" customHeight="1" s="508">
      <c r="A422" s="972" t="inlineStr">
        <is>
          <t>Cybercriminal</t>
        </is>
      </c>
      <c r="B422" s="972" t="inlineStr">
        <is>
          <t>Loss of Control or Visibility</t>
        </is>
      </c>
      <c r="C422" s="972" t="inlineStr">
        <is>
          <t>T0823</t>
        </is>
      </c>
      <c r="D422" s="972" t="inlineStr">
        <is>
          <t>Graphical User Interface</t>
        </is>
      </c>
      <c r="E422" s="972" t="inlineStr">
        <is>
          <t>S2</t>
        </is>
      </c>
      <c r="F422" s="972" t="inlineStr">
        <is>
          <t>Candidate enabling technique</t>
        </is>
      </c>
      <c r="G422" s="972" t="inlineStr">
        <is>
          <t>Yes</t>
        </is>
      </c>
      <c r="H422" s="972" t="inlineStr">
        <is>
          <t>Yes</t>
        </is>
      </c>
      <c r="I422" s="972" t="inlineStr">
        <is>
          <t>Yes</t>
        </is>
      </c>
      <c r="J422" s="972" t="n">
        <v>1</v>
      </c>
      <c r="K422" s="972" t="inlineStr">
        <is>
          <t>Model Mapping</t>
        </is>
      </c>
      <c r="L422" s="452" t="inlineStr">
        <is>
          <t>https://attack.mitre.org/techniques/T0823</t>
        </is>
      </c>
      <c r="M422" s="973" t="inlineStr">
        <is>
          <t>Yes</t>
        </is>
      </c>
      <c r="N422" s="973" t="inlineStr">
        <is>
          <t>No explicit facility gate — defaults feasible</t>
        </is>
      </c>
      <c r="O422" s="973" t="inlineStr">
        <is>
          <t>Graphical User Interface is applicable to execution or persistence on engineering workstations, HMIs, servers or controllers used in Power Generation facilities.</t>
        </is>
      </c>
      <c r="P422" s="973" t="inlineStr">
        <is>
          <t>https://csrc.nist.gov/pubs/sp/800/82/r3/final</t>
        </is>
      </c>
    </row>
    <row r="423" ht="15" customHeight="1" s="508">
      <c r="A423" s="972" t="inlineStr">
        <is>
          <t>Cybercriminal</t>
        </is>
      </c>
      <c r="B423" s="972" t="inlineStr">
        <is>
          <t>Loss of Control or Visibility</t>
        </is>
      </c>
      <c r="C423" s="972" t="inlineStr">
        <is>
          <t>T1694.002</t>
        </is>
      </c>
      <c r="D423" s="972" t="inlineStr">
        <is>
          <t>Hardcoded Credentials</t>
        </is>
      </c>
      <c r="E423" s="972" t="inlineStr">
        <is>
          <t>S3</t>
        </is>
      </c>
      <c r="F423" s="972" t="inlineStr">
        <is>
          <t>Candidate enabling technique</t>
        </is>
      </c>
      <c r="G423" s="972" t="inlineStr">
        <is>
          <t>Yes</t>
        </is>
      </c>
      <c r="H423" s="972" t="inlineStr">
        <is>
          <t>Yes</t>
        </is>
      </c>
      <c r="I423" s="972" t="inlineStr">
        <is>
          <t>Yes</t>
        </is>
      </c>
      <c r="J423" s="972" t="n">
        <v>1</v>
      </c>
      <c r="K423" s="972" t="inlineStr">
        <is>
          <t>Model Mapping</t>
        </is>
      </c>
      <c r="L423" s="452" t="inlineStr">
        <is>
          <t>https://attack.mitre.org/techniques/T1694/002</t>
        </is>
      </c>
      <c r="M423" s="973" t="inlineStr">
        <is>
          <t>Yes</t>
        </is>
      </c>
      <c r="N423" s="973" t="inlineStr">
        <is>
          <t>No explicit facility gate — defaults feasible</t>
        </is>
      </c>
      <c r="O423" s="973" t="inlineStr">
        <is>
          <t>Hardcoded Credentials can support movement toward or within plant/control zones; actual reachability is governed by the assessed facility architecture.</t>
        </is>
      </c>
      <c r="P423" s="973" t="inlineStr">
        <is>
          <t>https://csrc.nist.gov/pubs/sp/800/82/r3/final</t>
        </is>
      </c>
    </row>
    <row r="424" ht="15" customHeight="1" s="508">
      <c r="A424" s="972" t="inlineStr">
        <is>
          <t>Cybercriminal</t>
        </is>
      </c>
      <c r="B424" s="972" t="inlineStr">
        <is>
          <t>Loss of Control or Visibility</t>
        </is>
      </c>
      <c r="C424" s="972" t="inlineStr">
        <is>
          <t>T0874</t>
        </is>
      </c>
      <c r="D424" s="972" t="inlineStr">
        <is>
          <t>Hooking</t>
        </is>
      </c>
      <c r="E424" s="972" t="inlineStr">
        <is>
          <t>S2</t>
        </is>
      </c>
      <c r="F424" s="972" t="inlineStr">
        <is>
          <t>Candidate enabling technique</t>
        </is>
      </c>
      <c r="G424" s="972" t="inlineStr">
        <is>
          <t>Yes</t>
        </is>
      </c>
      <c r="H424" s="972" t="inlineStr">
        <is>
          <t>Yes</t>
        </is>
      </c>
      <c r="I424" s="972" t="inlineStr">
        <is>
          <t>Yes</t>
        </is>
      </c>
      <c r="J424" s="972" t="n">
        <v>2</v>
      </c>
      <c r="K424" s="972" t="inlineStr">
        <is>
          <t>Model Mapping</t>
        </is>
      </c>
      <c r="L424" s="452" t="inlineStr">
        <is>
          <t>https://attack.mitre.org/techniques/T0874</t>
        </is>
      </c>
      <c r="M424" s="973" t="inlineStr">
        <is>
          <t>Yes</t>
        </is>
      </c>
      <c r="N424" s="973" t="inlineStr">
        <is>
          <t>No explicit facility gate — defaults feasible</t>
        </is>
      </c>
      <c r="O424" s="973" t="inlineStr">
        <is>
          <t>Hooking is applicable to execution or persistence on engineering workstations, HMIs, servers or controllers used in Power Generation facilities.</t>
        </is>
      </c>
      <c r="P424" s="973" t="inlineStr">
        <is>
          <t>https://csrc.nist.gov/pubs/sp/800/82/r3/final</t>
        </is>
      </c>
    </row>
    <row r="425" ht="15" customHeight="1" s="508">
      <c r="A425" s="972" t="inlineStr">
        <is>
          <t>Cybercriminal</t>
        </is>
      </c>
      <c r="B425" s="972" t="inlineStr">
        <is>
          <t>Loss of Control or Visibility</t>
        </is>
      </c>
      <c r="C425" s="972" t="inlineStr">
        <is>
          <t>T0877</t>
        </is>
      </c>
      <c r="D425" s="972" t="inlineStr">
        <is>
          <t>I/O Image</t>
        </is>
      </c>
      <c r="E425" s="972" t="inlineStr">
        <is>
          <t>S4</t>
        </is>
      </c>
      <c r="F425" s="972" t="inlineStr">
        <is>
          <t>Candidate enabling technique</t>
        </is>
      </c>
      <c r="G425" s="972" t="inlineStr">
        <is>
          <t>Yes</t>
        </is>
      </c>
      <c r="H425" s="972" t="inlineStr">
        <is>
          <t>Yes</t>
        </is>
      </c>
      <c r="I425" s="972" t="inlineStr">
        <is>
          <t>Yes</t>
        </is>
      </c>
      <c r="J425" s="972" t="n">
        <v>1</v>
      </c>
      <c r="K425" s="972" t="inlineStr">
        <is>
          <t>Model Mapping</t>
        </is>
      </c>
      <c r="L425" s="452" t="inlineStr">
        <is>
          <t>https://attack.mitre.org/techniques/T0877</t>
        </is>
      </c>
      <c r="M425" s="973" t="inlineStr">
        <is>
          <t>Yes</t>
        </is>
      </c>
      <c r="N425" s="973" t="inlineStr">
        <is>
          <t>No explicit facility gate — defaults feasible</t>
        </is>
      </c>
      <c r="O425" s="973" t="inlineStr">
        <is>
          <t>I/O Image can support discovery or interaction with process state, control assets and operational data in Power Generation environments.</t>
        </is>
      </c>
      <c r="P425" s="973" t="inlineStr">
        <is>
          <t>https://csrc.nist.gov/pubs/sp/800/82/r3/final</t>
        </is>
      </c>
    </row>
    <row r="426" ht="15" customHeight="1" s="508">
      <c r="A426" s="972" t="inlineStr">
        <is>
          <t>Cybercriminal</t>
        </is>
      </c>
      <c r="B426" s="972" t="inlineStr">
        <is>
          <t>Loss of Control or Visibility</t>
        </is>
      </c>
      <c r="C426" s="972" t="inlineStr">
        <is>
          <t>T0872</t>
        </is>
      </c>
      <c r="D426" s="972" t="inlineStr">
        <is>
          <t>Indicator Removal on Host</t>
        </is>
      </c>
      <c r="E426" s="972" t="inlineStr">
        <is>
          <t>S2</t>
        </is>
      </c>
      <c r="F426" s="972" t="inlineStr">
        <is>
          <t>Candidate enabling technique</t>
        </is>
      </c>
      <c r="G426" s="972" t="inlineStr">
        <is>
          <t>Yes</t>
        </is>
      </c>
      <c r="H426" s="972" t="inlineStr">
        <is>
          <t>Yes</t>
        </is>
      </c>
      <c r="I426" s="972" t="inlineStr">
        <is>
          <t>Yes</t>
        </is>
      </c>
      <c r="J426" s="972" t="n">
        <v>1</v>
      </c>
      <c r="K426" s="972" t="inlineStr">
        <is>
          <t>Model Mapping</t>
        </is>
      </c>
      <c r="L426" s="452" t="inlineStr">
        <is>
          <t>https://attack.mitre.org/techniques/T0872</t>
        </is>
      </c>
      <c r="M426" s="973" t="inlineStr">
        <is>
          <t>Yes</t>
        </is>
      </c>
      <c r="N426" s="973" t="inlineStr">
        <is>
          <t>No explicit facility gate — defaults feasible</t>
        </is>
      </c>
      <c r="O426" s="973" t="inlineStr">
        <is>
          <t>Indicator Removal on Host is applicable to execution or persistence on engineering workstations, HMIs, servers or controllers used in Power Generation facilities.</t>
        </is>
      </c>
      <c r="P426" s="973" t="inlineStr">
        <is>
          <t>https://csrc.nist.gov/pubs/sp/800/82/r3/final</t>
        </is>
      </c>
    </row>
    <row r="427" ht="15" customHeight="1" s="508">
      <c r="A427" s="972" t="inlineStr">
        <is>
          <t>Cybercriminal</t>
        </is>
      </c>
      <c r="B427" s="972" t="inlineStr">
        <is>
          <t>Loss of Control or Visibility</t>
        </is>
      </c>
      <c r="C427" s="972" t="inlineStr">
        <is>
          <t>T0883</t>
        </is>
      </c>
      <c r="D427" s="972" t="inlineStr">
        <is>
          <t>Internet Accessible Device</t>
        </is>
      </c>
      <c r="E427" s="972" t="inlineStr">
        <is>
          <t>S1</t>
        </is>
      </c>
      <c r="F427" s="972" t="inlineStr">
        <is>
          <t>Candidate enabling technique</t>
        </is>
      </c>
      <c r="G427" s="972" t="inlineStr">
        <is>
          <t>Yes</t>
        </is>
      </c>
      <c r="H427" s="972" t="inlineStr">
        <is>
          <t>No</t>
        </is>
      </c>
      <c r="I427" s="972" t="inlineStr">
        <is>
          <t>No</t>
        </is>
      </c>
      <c r="J427" s="972" t="n">
        <v>1</v>
      </c>
      <c r="K427" s="972" t="inlineStr">
        <is>
          <t>Model Mapping</t>
        </is>
      </c>
      <c r="L427" s="452" t="inlineStr">
        <is>
          <t>https://attack.mitre.org/techniques/T0883</t>
        </is>
      </c>
      <c r="M427" s="973" t="inlineStr">
        <is>
          <t>Yes</t>
        </is>
      </c>
      <c r="N427" s="973" t="inlineStr">
        <is>
          <t>INTERNET_OT — Yes</t>
        </is>
      </c>
      <c r="O427" s="973" t="inlineStr">
        <is>
          <t>The Internet Accessible Device route is credible for Power Generation OT when the enabling access condition exists; existing facility gates determine remote, internet, transient, supply-chain or wireless feasibility.</t>
        </is>
      </c>
      <c r="P427" s="973" t="inlineStr">
        <is>
          <t>https://csrc.nist.gov/pubs/sp/800/82/r3/final</t>
        </is>
      </c>
    </row>
    <row r="428" ht="15" customHeight="1" s="508">
      <c r="A428" s="972" t="inlineStr">
        <is>
          <t>Cybercriminal</t>
        </is>
      </c>
      <c r="B428" s="972" t="inlineStr">
        <is>
          <t>Loss of Control or Visibility</t>
        </is>
      </c>
      <c r="C428" s="972" t="inlineStr">
        <is>
          <t>T0867</t>
        </is>
      </c>
      <c r="D428" s="972" t="inlineStr">
        <is>
          <t>Lateral Tool Transfer</t>
        </is>
      </c>
      <c r="E428" s="972" t="inlineStr">
        <is>
          <t>S3</t>
        </is>
      </c>
      <c r="F428" s="972" t="inlineStr">
        <is>
          <t>Candidate enabling technique</t>
        </is>
      </c>
      <c r="G428" s="972" t="inlineStr">
        <is>
          <t>Yes</t>
        </is>
      </c>
      <c r="H428" s="972" t="inlineStr">
        <is>
          <t>Yes</t>
        </is>
      </c>
      <c r="I428" s="972" t="inlineStr">
        <is>
          <t>Yes</t>
        </is>
      </c>
      <c r="J428" s="972" t="n">
        <v>1</v>
      </c>
      <c r="K428" s="972" t="inlineStr">
        <is>
          <t>Model Mapping</t>
        </is>
      </c>
      <c r="L428" s="452" t="inlineStr">
        <is>
          <t>https://attack.mitre.org/techniques/T0867</t>
        </is>
      </c>
      <c r="M428" s="973" t="inlineStr">
        <is>
          <t>Yes</t>
        </is>
      </c>
      <c r="N428" s="973" t="inlineStr">
        <is>
          <t>No explicit facility gate — defaults feasible</t>
        </is>
      </c>
      <c r="O428" s="973" t="inlineStr">
        <is>
          <t>Lateral Tool Transfer can support movement toward or within plant/control zones; actual reachability is governed by the assessed facility architecture.</t>
        </is>
      </c>
      <c r="P428" s="973" t="inlineStr">
        <is>
          <t>https://csrc.nist.gov/pubs/sp/800/82/r3/final</t>
        </is>
      </c>
    </row>
    <row r="429" ht="15" customHeight="1" s="508">
      <c r="A429" s="972" t="inlineStr">
        <is>
          <t>Cybercriminal</t>
        </is>
      </c>
      <c r="B429" s="972" t="inlineStr">
        <is>
          <t>Loss of Control or Visibility</t>
        </is>
      </c>
      <c r="C429" s="972" t="inlineStr">
        <is>
          <t>T0827</t>
        </is>
      </c>
      <c r="D429" s="972" t="inlineStr">
        <is>
          <t>Loss of Control</t>
        </is>
      </c>
      <c r="E429" s="972" t="inlineStr">
        <is>
          <t>S5</t>
        </is>
      </c>
      <c r="F429" s="972" t="inlineStr">
        <is>
          <t>Scenario-defining</t>
        </is>
      </c>
      <c r="G429" s="972" t="inlineStr">
        <is>
          <t>Yes</t>
        </is>
      </c>
      <c r="H429" s="972" t="inlineStr">
        <is>
          <t>Yes</t>
        </is>
      </c>
      <c r="I429" s="972" t="inlineStr">
        <is>
          <t>Yes</t>
        </is>
      </c>
      <c r="J429" s="972" t="n">
        <v>3</v>
      </c>
      <c r="K429" s="972" t="inlineStr">
        <is>
          <t>Model Mapping</t>
        </is>
      </c>
      <c r="L429" s="452" t="inlineStr">
        <is>
          <t>https://attack.mitre.org/techniques/T0827</t>
        </is>
      </c>
      <c r="M429" s="973" t="inlineStr">
        <is>
          <t>Yes</t>
        </is>
      </c>
      <c r="N429" s="973" t="inlineStr">
        <is>
          <t>No explicit facility gate — defaults feasible</t>
        </is>
      </c>
      <c r="O429" s="973" t="inlineStr">
        <is>
          <t>Loss of Control is an ATT&amp;CK for ICS impact or response-inhibition technique that can support one or more governed adverse scenarios; scenario role remains controlled on 09.</t>
        </is>
      </c>
      <c r="P429" s="973" t="inlineStr">
        <is>
          <t>https://csrc.nist.gov/pubs/sp/800/82/r3/final</t>
        </is>
      </c>
    </row>
    <row r="430" ht="15" customHeight="1" s="508">
      <c r="A430" s="972" t="inlineStr">
        <is>
          <t>Cybercriminal</t>
        </is>
      </c>
      <c r="B430" s="972" t="inlineStr">
        <is>
          <t>Loss of Control or Visibility</t>
        </is>
      </c>
      <c r="C430" s="972" t="inlineStr">
        <is>
          <t>T0829</t>
        </is>
      </c>
      <c r="D430" s="972" t="inlineStr">
        <is>
          <t>Loss of View</t>
        </is>
      </c>
      <c r="E430" s="972" t="inlineStr">
        <is>
          <t>S5</t>
        </is>
      </c>
      <c r="F430" s="972" t="inlineStr">
        <is>
          <t>Scenario-defining</t>
        </is>
      </c>
      <c r="G430" s="972" t="inlineStr">
        <is>
          <t>Yes</t>
        </is>
      </c>
      <c r="H430" s="972" t="inlineStr">
        <is>
          <t>Yes</t>
        </is>
      </c>
      <c r="I430" s="972" t="inlineStr">
        <is>
          <t>Yes</t>
        </is>
      </c>
      <c r="J430" s="972" t="n">
        <v>3</v>
      </c>
      <c r="K430" s="972" t="inlineStr">
        <is>
          <t>Model Mapping</t>
        </is>
      </c>
      <c r="L430" s="452" t="inlineStr">
        <is>
          <t>https://attack.mitre.org/techniques/T0829</t>
        </is>
      </c>
      <c r="M430" s="973" t="inlineStr">
        <is>
          <t>Yes</t>
        </is>
      </c>
      <c r="N430" s="973" t="inlineStr">
        <is>
          <t>No explicit facility gate — defaults feasible</t>
        </is>
      </c>
      <c r="O430" s="973" t="inlineStr">
        <is>
          <t>Loss of View is an ATT&amp;CK for ICS impact or response-inhibition technique that can support one or more governed adverse scenarios; scenario role remains controlled on 09.</t>
        </is>
      </c>
      <c r="P430" s="973" t="inlineStr">
        <is>
          <t>https://csrc.nist.gov/pubs/sp/800/82/r3/final</t>
        </is>
      </c>
    </row>
    <row r="431" ht="15" customHeight="1" s="508">
      <c r="A431" s="972" t="inlineStr">
        <is>
          <t>Cybercriminal</t>
        </is>
      </c>
      <c r="B431" s="972" t="inlineStr">
        <is>
          <t>Loss of Control or Visibility</t>
        </is>
      </c>
      <c r="C431" s="972" t="inlineStr">
        <is>
          <t>T0849</t>
        </is>
      </c>
      <c r="D431" s="972" t="inlineStr">
        <is>
          <t>Masquerading</t>
        </is>
      </c>
      <c r="E431" s="972" t="inlineStr">
        <is>
          <t>S2</t>
        </is>
      </c>
      <c r="F431" s="972" t="inlineStr">
        <is>
          <t>Candidate enabling technique</t>
        </is>
      </c>
      <c r="G431" s="972" t="inlineStr">
        <is>
          <t>Yes</t>
        </is>
      </c>
      <c r="H431" s="972" t="inlineStr">
        <is>
          <t>Yes</t>
        </is>
      </c>
      <c r="I431" s="972" t="inlineStr">
        <is>
          <t>Yes</t>
        </is>
      </c>
      <c r="J431" s="972" t="n">
        <v>3</v>
      </c>
      <c r="K431" s="972" t="inlineStr">
        <is>
          <t>Model Mapping</t>
        </is>
      </c>
      <c r="L431" s="452" t="inlineStr">
        <is>
          <t>https://attack.mitre.org/techniques/T0849</t>
        </is>
      </c>
      <c r="M431" s="973" t="inlineStr">
        <is>
          <t>Yes</t>
        </is>
      </c>
      <c r="N431" s="973" t="inlineStr">
        <is>
          <t>No explicit facility gate — defaults feasible</t>
        </is>
      </c>
      <c r="O431" s="973" t="inlineStr">
        <is>
          <t>Masquerading is applicable to execution or persistence on engineering workstations, HMIs, servers or controllers used in Power Generation facilities.</t>
        </is>
      </c>
      <c r="P431" s="973" t="inlineStr">
        <is>
          <t>https://csrc.nist.gov/pubs/sp/800/82/r3/final</t>
        </is>
      </c>
    </row>
    <row r="432" ht="15" customHeight="1" s="508">
      <c r="A432" s="972" t="inlineStr">
        <is>
          <t>Cybercriminal</t>
        </is>
      </c>
      <c r="B432" s="972" t="inlineStr">
        <is>
          <t>Loss of Control or Visibility</t>
        </is>
      </c>
      <c r="C432" s="972" t="inlineStr">
        <is>
          <t>T0821</t>
        </is>
      </c>
      <c r="D432" s="972" t="inlineStr">
        <is>
          <t>Modify Controller Tasking</t>
        </is>
      </c>
      <c r="E432" s="972" t="inlineStr">
        <is>
          <t>S2</t>
        </is>
      </c>
      <c r="F432" s="972" t="inlineStr">
        <is>
          <t>Candidate enabling technique</t>
        </is>
      </c>
      <c r="G432" s="972" t="inlineStr">
        <is>
          <t>Yes</t>
        </is>
      </c>
      <c r="H432" s="972" t="inlineStr">
        <is>
          <t>Yes</t>
        </is>
      </c>
      <c r="I432" s="972" t="inlineStr">
        <is>
          <t>Yes</t>
        </is>
      </c>
      <c r="J432" s="972" t="n">
        <v>4</v>
      </c>
      <c r="K432" s="972" t="inlineStr">
        <is>
          <t>Model Mapping</t>
        </is>
      </c>
      <c r="L432" s="452" t="inlineStr">
        <is>
          <t>https://attack.mitre.org/techniques/T0821</t>
        </is>
      </c>
      <c r="M432" s="973" t="inlineStr">
        <is>
          <t>Yes</t>
        </is>
      </c>
      <c r="N432" s="973" t="inlineStr">
        <is>
          <t>No explicit facility gate — defaults feasible</t>
        </is>
      </c>
      <c r="O432" s="973" t="inlineStr">
        <is>
          <t>Modify Controller Tasking is applicable to execution or persistence on engineering workstations, HMIs, servers or controllers used in Power Generation facilities.</t>
        </is>
      </c>
      <c r="P432" s="973" t="inlineStr">
        <is>
          <t>https://csrc.nist.gov/pubs/sp/800/82/r3/final</t>
        </is>
      </c>
    </row>
    <row r="433" ht="15" customHeight="1" s="508">
      <c r="A433" s="972" t="inlineStr">
        <is>
          <t>Cybercriminal</t>
        </is>
      </c>
      <c r="B433" s="972" t="inlineStr">
        <is>
          <t>Loss of Control or Visibility</t>
        </is>
      </c>
      <c r="C433" s="972" t="inlineStr">
        <is>
          <t>T0889</t>
        </is>
      </c>
      <c r="D433" s="972" t="inlineStr">
        <is>
          <t>Modify Program</t>
        </is>
      </c>
      <c r="E433" s="972" t="inlineStr">
        <is>
          <t>S2</t>
        </is>
      </c>
      <c r="F433" s="972" t="inlineStr">
        <is>
          <t>Candidate enabling technique</t>
        </is>
      </c>
      <c r="G433" s="972" t="inlineStr">
        <is>
          <t>Yes</t>
        </is>
      </c>
      <c r="H433" s="972" t="inlineStr">
        <is>
          <t>Yes</t>
        </is>
      </c>
      <c r="I433" s="972" t="inlineStr">
        <is>
          <t>Yes</t>
        </is>
      </c>
      <c r="J433" s="972" t="n">
        <v>4</v>
      </c>
      <c r="K433" s="972" t="inlineStr">
        <is>
          <t>Model Mapping</t>
        </is>
      </c>
      <c r="L433" s="452" t="inlineStr">
        <is>
          <t>https://attack.mitre.org/techniques/T0889</t>
        </is>
      </c>
      <c r="M433" s="973" t="inlineStr">
        <is>
          <t>Yes</t>
        </is>
      </c>
      <c r="N433" s="973" t="inlineStr">
        <is>
          <t>No explicit facility gate — defaults feasible</t>
        </is>
      </c>
      <c r="O433" s="973" t="inlineStr">
        <is>
          <t>Modify Program is applicable to execution or persistence on engineering workstations, HMIs, servers or controllers used in Power Generation facilities.</t>
        </is>
      </c>
      <c r="P433" s="973" t="inlineStr">
        <is>
          <t>https://csrc.nist.gov/pubs/sp/800/82/r3/final</t>
        </is>
      </c>
    </row>
    <row r="434" ht="15" customHeight="1" s="508">
      <c r="A434" s="972" t="inlineStr">
        <is>
          <t>Cybercriminal</t>
        </is>
      </c>
      <c r="B434" s="972" t="inlineStr">
        <is>
          <t>Loss of Control or Visibility</t>
        </is>
      </c>
      <c r="C434" s="972" t="inlineStr">
        <is>
          <t>T0801</t>
        </is>
      </c>
      <c r="D434" s="972" t="inlineStr">
        <is>
          <t>Monitor Process State</t>
        </is>
      </c>
      <c r="E434" s="972" t="inlineStr">
        <is>
          <t>S4</t>
        </is>
      </c>
      <c r="F434" s="972" t="inlineStr">
        <is>
          <t>Candidate enabling technique</t>
        </is>
      </c>
      <c r="G434" s="972" t="inlineStr">
        <is>
          <t>Yes</t>
        </is>
      </c>
      <c r="H434" s="972" t="inlineStr">
        <is>
          <t>Yes</t>
        </is>
      </c>
      <c r="I434" s="972" t="inlineStr">
        <is>
          <t>Yes</t>
        </is>
      </c>
      <c r="J434" s="972" t="n">
        <v>1</v>
      </c>
      <c r="K434" s="972" t="inlineStr">
        <is>
          <t>Model Mapping</t>
        </is>
      </c>
      <c r="L434" s="452" t="inlineStr">
        <is>
          <t>https://attack.mitre.org/techniques/T0801</t>
        </is>
      </c>
      <c r="M434" s="973" t="inlineStr">
        <is>
          <t>Yes</t>
        </is>
      </c>
      <c r="N434" s="973" t="inlineStr">
        <is>
          <t>No explicit facility gate — defaults feasible</t>
        </is>
      </c>
      <c r="O434" s="973" t="inlineStr">
        <is>
          <t>Monitor Process State can support discovery or interaction with process state, control assets and operational data in Power Generation environments.</t>
        </is>
      </c>
      <c r="P434" s="973" t="inlineStr">
        <is>
          <t>https://csrc.nist.gov/pubs/sp/800/82/r3/final</t>
        </is>
      </c>
    </row>
    <row r="435" ht="15" customHeight="1" s="508">
      <c r="A435" s="972" t="inlineStr">
        <is>
          <t>Cybercriminal</t>
        </is>
      </c>
      <c r="B435" s="972" t="inlineStr">
        <is>
          <t>Loss of Control or Visibility</t>
        </is>
      </c>
      <c r="C435" s="972" t="inlineStr">
        <is>
          <t>T0846.003</t>
        </is>
      </c>
      <c r="D435" s="972" t="inlineStr">
        <is>
          <t>Multicast Discovery</t>
        </is>
      </c>
      <c r="E435" s="972" t="inlineStr">
        <is>
          <t>S4</t>
        </is>
      </c>
      <c r="F435" s="972" t="inlineStr">
        <is>
          <t>Candidate enabling technique</t>
        </is>
      </c>
      <c r="G435" s="972" t="inlineStr">
        <is>
          <t>Yes</t>
        </is>
      </c>
      <c r="H435" s="972" t="inlineStr">
        <is>
          <t>Yes</t>
        </is>
      </c>
      <c r="I435" s="972" t="inlineStr">
        <is>
          <t>Yes</t>
        </is>
      </c>
      <c r="J435" s="972" t="n">
        <v>2</v>
      </c>
      <c r="K435" s="972" t="inlineStr">
        <is>
          <t>Model Mapping</t>
        </is>
      </c>
      <c r="L435" s="452" t="inlineStr">
        <is>
          <t>https://attack.mitre.org/techniques/T0846/003</t>
        </is>
      </c>
      <c r="M435" s="973" t="inlineStr">
        <is>
          <t>Yes</t>
        </is>
      </c>
      <c r="N435" s="973" t="inlineStr">
        <is>
          <t>No explicit facility gate — defaults feasible</t>
        </is>
      </c>
      <c r="O435" s="973" t="inlineStr">
        <is>
          <t>Multicast Discovery can support discovery or interaction with process state, control assets and operational data in Power Generation environments.</t>
        </is>
      </c>
      <c r="P435" s="973" t="inlineStr">
        <is>
          <t>https://csrc.nist.gov/pubs/sp/800/82/r3/final</t>
        </is>
      </c>
    </row>
    <row r="436" ht="15" customHeight="1" s="508">
      <c r="A436" s="972" t="inlineStr">
        <is>
          <t>Cybercriminal</t>
        </is>
      </c>
      <c r="B436" s="972" t="inlineStr">
        <is>
          <t>Loss of Control or Visibility</t>
        </is>
      </c>
      <c r="C436" s="972" t="inlineStr">
        <is>
          <t>T0834</t>
        </is>
      </c>
      <c r="D436" s="972" t="inlineStr">
        <is>
          <t>Native API</t>
        </is>
      </c>
      <c r="E436" s="972" t="inlineStr">
        <is>
          <t>S2</t>
        </is>
      </c>
      <c r="F436" s="972" t="inlineStr">
        <is>
          <t>Candidate enabling technique</t>
        </is>
      </c>
      <c r="G436" s="972" t="inlineStr">
        <is>
          <t>Yes</t>
        </is>
      </c>
      <c r="H436" s="972" t="inlineStr">
        <is>
          <t>Yes</t>
        </is>
      </c>
      <c r="I436" s="972" t="inlineStr">
        <is>
          <t>Yes</t>
        </is>
      </c>
      <c r="J436" s="972" t="n">
        <v>1</v>
      </c>
      <c r="K436" s="972" t="inlineStr">
        <is>
          <t>Model Mapping</t>
        </is>
      </c>
      <c r="L436" s="452" t="inlineStr">
        <is>
          <t>https://attack.mitre.org/techniques/T0834</t>
        </is>
      </c>
      <c r="M436" s="973" t="inlineStr">
        <is>
          <t>Yes</t>
        </is>
      </c>
      <c r="N436" s="973" t="inlineStr">
        <is>
          <t>No explicit facility gate — defaults feasible</t>
        </is>
      </c>
      <c r="O436" s="973" t="inlineStr">
        <is>
          <t>Native API is applicable to execution or persistence on engineering workstations, HMIs, servers or controllers used in Power Generation facilities.</t>
        </is>
      </c>
      <c r="P436" s="973" t="inlineStr">
        <is>
          <t>https://csrc.nist.gov/pubs/sp/800/82/r3/final</t>
        </is>
      </c>
    </row>
    <row r="437" ht="15" customHeight="1" s="508">
      <c r="A437" s="972" t="inlineStr">
        <is>
          <t>Cybercriminal</t>
        </is>
      </c>
      <c r="B437" s="972" t="inlineStr">
        <is>
          <t>Loss of Control or Visibility</t>
        </is>
      </c>
      <c r="C437" s="972" t="inlineStr">
        <is>
          <t>T0840</t>
        </is>
      </c>
      <c r="D437" s="972" t="inlineStr">
        <is>
          <t>Network Connection Enumeration</t>
        </is>
      </c>
      <c r="E437" s="972" t="inlineStr">
        <is>
          <t>S4</t>
        </is>
      </c>
      <c r="F437" s="972" t="inlineStr">
        <is>
          <t>Candidate enabling technique</t>
        </is>
      </c>
      <c r="G437" s="972" t="inlineStr">
        <is>
          <t>Yes</t>
        </is>
      </c>
      <c r="H437" s="972" t="inlineStr">
        <is>
          <t>Yes</t>
        </is>
      </c>
      <c r="I437" s="972" t="inlineStr">
        <is>
          <t>Yes</t>
        </is>
      </c>
      <c r="J437" s="972" t="n">
        <v>1</v>
      </c>
      <c r="K437" s="972" t="inlineStr">
        <is>
          <t>Model Mapping</t>
        </is>
      </c>
      <c r="L437" s="452" t="inlineStr">
        <is>
          <t>https://attack.mitre.org/techniques/T0840</t>
        </is>
      </c>
      <c r="M437" s="973" t="inlineStr">
        <is>
          <t>Yes</t>
        </is>
      </c>
      <c r="N437" s="973" t="inlineStr">
        <is>
          <t>No explicit facility gate — defaults feasible</t>
        </is>
      </c>
      <c r="O437" s="973" t="inlineStr">
        <is>
          <t>Network Connection Enumeration can support discovery or interaction with process state, control assets and operational data in Power Generation environments.</t>
        </is>
      </c>
      <c r="P437" s="973" t="inlineStr">
        <is>
          <t>https://csrc.nist.gov/pubs/sp/800/82/r3/final</t>
        </is>
      </c>
    </row>
    <row r="438" ht="15" customHeight="1" s="508">
      <c r="A438" s="972" t="inlineStr">
        <is>
          <t>Cybercriminal</t>
        </is>
      </c>
      <c r="B438" s="972" t="inlineStr">
        <is>
          <t>Loss of Control or Visibility</t>
        </is>
      </c>
      <c r="C438" s="972" t="inlineStr">
        <is>
          <t>T0842</t>
        </is>
      </c>
      <c r="D438" s="972" t="inlineStr">
        <is>
          <t>Network Sniffing</t>
        </is>
      </c>
      <c r="E438" s="972" t="inlineStr">
        <is>
          <t>S4</t>
        </is>
      </c>
      <c r="F438" s="972" t="inlineStr">
        <is>
          <t>Candidate enabling technique</t>
        </is>
      </c>
      <c r="G438" s="972" t="inlineStr">
        <is>
          <t>Yes</t>
        </is>
      </c>
      <c r="H438" s="972" t="inlineStr">
        <is>
          <t>Yes</t>
        </is>
      </c>
      <c r="I438" s="972" t="inlineStr">
        <is>
          <t>Yes</t>
        </is>
      </c>
      <c r="J438" s="972" t="n">
        <v>5</v>
      </c>
      <c r="K438" s="972" t="inlineStr">
        <is>
          <t>Model Mapping</t>
        </is>
      </c>
      <c r="L438" s="452" t="inlineStr">
        <is>
          <t>https://attack.mitre.org/techniques/T0842</t>
        </is>
      </c>
      <c r="M438" s="973" t="inlineStr">
        <is>
          <t>Yes</t>
        </is>
      </c>
      <c r="N438" s="973" t="inlineStr">
        <is>
          <t>No explicit facility gate — defaults feasible</t>
        </is>
      </c>
      <c r="O438" s="973" t="inlineStr">
        <is>
          <t>Network Sniffing can support discovery or interaction with process state, control assets and operational data in Power Generation environments.</t>
        </is>
      </c>
      <c r="P438" s="973" t="inlineStr">
        <is>
          <t>https://csrc.nist.gov/pubs/sp/800/82/r3/final</t>
        </is>
      </c>
    </row>
    <row r="439" ht="15" customHeight="1" s="508">
      <c r="A439" s="972" t="inlineStr">
        <is>
          <t>Cybercriminal</t>
        </is>
      </c>
      <c r="B439" s="972" t="inlineStr">
        <is>
          <t>Loss of Control or Visibility</t>
        </is>
      </c>
      <c r="C439" s="972" t="inlineStr">
        <is>
          <t>T0843.002</t>
        </is>
      </c>
      <c r="D439" s="972" t="inlineStr">
        <is>
          <t>Online Edit</t>
        </is>
      </c>
      <c r="E439" s="972" t="inlineStr">
        <is>
          <t>S3</t>
        </is>
      </c>
      <c r="F439" s="972" t="inlineStr">
        <is>
          <t>Candidate enabling technique</t>
        </is>
      </c>
      <c r="G439" s="972" t="inlineStr">
        <is>
          <t>Yes</t>
        </is>
      </c>
      <c r="H439" s="972" t="inlineStr">
        <is>
          <t>Yes</t>
        </is>
      </c>
      <c r="I439" s="972" t="inlineStr">
        <is>
          <t>Yes</t>
        </is>
      </c>
      <c r="J439" s="972" t="n">
        <v>10</v>
      </c>
      <c r="K439" s="972" t="inlineStr">
        <is>
          <t>Model Mapping</t>
        </is>
      </c>
      <c r="L439" s="452" t="inlineStr">
        <is>
          <t>https://attack.mitre.org/techniques/T0843/002</t>
        </is>
      </c>
      <c r="M439" s="973" t="inlineStr">
        <is>
          <t>Yes</t>
        </is>
      </c>
      <c r="N439" s="973" t="inlineStr">
        <is>
          <t>No explicit facility gate — defaults feasible</t>
        </is>
      </c>
      <c r="O439" s="973" t="inlineStr">
        <is>
          <t>Online Edit can support movement toward or within plant/control zones; actual reachability is governed by the assessed facility architecture.</t>
        </is>
      </c>
      <c r="P439" s="973" t="inlineStr">
        <is>
          <t>https://csrc.nist.gov/pubs/sp/800/82/r3/final</t>
        </is>
      </c>
    </row>
    <row r="440" ht="15" customHeight="1" s="508">
      <c r="A440" s="972" t="inlineStr">
        <is>
          <t>Cybercriminal</t>
        </is>
      </c>
      <c r="B440" s="972" t="inlineStr">
        <is>
          <t>Loss of Control or Visibility</t>
        </is>
      </c>
      <c r="C440" s="972" t="inlineStr">
        <is>
          <t>T0861</t>
        </is>
      </c>
      <c r="D440" s="972" t="inlineStr">
        <is>
          <t>Point &amp; Tag Identification</t>
        </is>
      </c>
      <c r="E440" s="972" t="inlineStr">
        <is>
          <t>S4</t>
        </is>
      </c>
      <c r="F440" s="972" t="inlineStr">
        <is>
          <t>Candidate enabling technique</t>
        </is>
      </c>
      <c r="G440" s="972" t="inlineStr">
        <is>
          <t>Yes</t>
        </is>
      </c>
      <c r="H440" s="972" t="inlineStr">
        <is>
          <t>Yes</t>
        </is>
      </c>
      <c r="I440" s="972" t="inlineStr">
        <is>
          <t>Yes</t>
        </is>
      </c>
      <c r="J440" s="972" t="n">
        <v>8</v>
      </c>
      <c r="K440" s="972" t="inlineStr">
        <is>
          <t>Model Mapping</t>
        </is>
      </c>
      <c r="L440" s="452" t="inlineStr">
        <is>
          <t>https://attack.mitre.org/techniques/T0861</t>
        </is>
      </c>
      <c r="M440" s="973" t="inlineStr">
        <is>
          <t>Yes</t>
        </is>
      </c>
      <c r="N440" s="973" t="inlineStr">
        <is>
          <t>No explicit facility gate — defaults feasible</t>
        </is>
      </c>
      <c r="O440" s="973" t="inlineStr">
        <is>
          <t>Point &amp; Tag Identification can support discovery or interaction with process state, control assets and operational data in Power Generation environments.</t>
        </is>
      </c>
      <c r="P440" s="973" t="inlineStr">
        <is>
          <t>https://csrc.nist.gov/pubs/sp/800/82/r3/final</t>
        </is>
      </c>
    </row>
    <row r="441" ht="15" customHeight="1" s="508">
      <c r="A441" s="972" t="inlineStr">
        <is>
          <t>Cybercriminal</t>
        </is>
      </c>
      <c r="B441" s="972" t="inlineStr">
        <is>
          <t>Loss of Control or Visibility</t>
        </is>
      </c>
      <c r="C441" s="972" t="inlineStr">
        <is>
          <t>T0846.001</t>
        </is>
      </c>
      <c r="D441" s="972" t="inlineStr">
        <is>
          <t>Port Scan</t>
        </is>
      </c>
      <c r="E441" s="972" t="inlineStr">
        <is>
          <t>S4</t>
        </is>
      </c>
      <c r="F441" s="972" t="inlineStr">
        <is>
          <t>Candidate enabling technique</t>
        </is>
      </c>
      <c r="G441" s="972" t="inlineStr">
        <is>
          <t>Yes</t>
        </is>
      </c>
      <c r="H441" s="972" t="inlineStr">
        <is>
          <t>Yes</t>
        </is>
      </c>
      <c r="I441" s="972" t="inlineStr">
        <is>
          <t>Yes</t>
        </is>
      </c>
      <c r="J441" s="972" t="n">
        <v>3</v>
      </c>
      <c r="K441" s="972" t="inlineStr">
        <is>
          <t>Model Mapping</t>
        </is>
      </c>
      <c r="L441" s="452" t="inlineStr">
        <is>
          <t>https://attack.mitre.org/techniques/T0846/001</t>
        </is>
      </c>
      <c r="M441" s="973" t="inlineStr">
        <is>
          <t>Yes</t>
        </is>
      </c>
      <c r="N441" s="973" t="inlineStr">
        <is>
          <t>No explicit facility gate — defaults feasible</t>
        </is>
      </c>
      <c r="O441" s="973" t="inlineStr">
        <is>
          <t>Port Scan can support discovery or interaction with process state, control assets and operational data in Power Generation environments.</t>
        </is>
      </c>
      <c r="P441" s="973" t="inlineStr">
        <is>
          <t>https://csrc.nist.gov/pubs/sp/800/82/r3/final</t>
        </is>
      </c>
    </row>
    <row r="442" ht="15" customHeight="1" s="508">
      <c r="A442" s="972" t="inlineStr">
        <is>
          <t>Cybercriminal</t>
        </is>
      </c>
      <c r="B442" s="972" t="inlineStr">
        <is>
          <t>Loss of Control or Visibility</t>
        </is>
      </c>
      <c r="C442" s="972" t="inlineStr">
        <is>
          <t>T0843.003</t>
        </is>
      </c>
      <c r="D442" s="972" t="inlineStr">
        <is>
          <t>Program Append</t>
        </is>
      </c>
      <c r="E442" s="972" t="inlineStr">
        <is>
          <t>S3</t>
        </is>
      </c>
      <c r="F442" s="972" t="inlineStr">
        <is>
          <t>Candidate enabling technique</t>
        </is>
      </c>
      <c r="G442" s="972" t="inlineStr">
        <is>
          <t>Yes</t>
        </is>
      </c>
      <c r="H442" s="972" t="inlineStr">
        <is>
          <t>Yes</t>
        </is>
      </c>
      <c r="I442" s="972" t="inlineStr">
        <is>
          <t>Yes</t>
        </is>
      </c>
      <c r="J442" s="972" t="n">
        <v>10</v>
      </c>
      <c r="K442" s="972" t="inlineStr">
        <is>
          <t>Model Mapping</t>
        </is>
      </c>
      <c r="L442" s="452" t="inlineStr">
        <is>
          <t>https://attack.mitre.org/techniques/T0843/003</t>
        </is>
      </c>
      <c r="M442" s="973" t="inlineStr">
        <is>
          <t>Yes</t>
        </is>
      </c>
      <c r="N442" s="973" t="inlineStr">
        <is>
          <t>No explicit facility gate — defaults feasible</t>
        </is>
      </c>
      <c r="O442" s="973" t="inlineStr">
        <is>
          <t>Program Append can support movement toward or within plant/control zones; actual reachability is governed by the assessed facility architecture.</t>
        </is>
      </c>
      <c r="P442" s="973" t="inlineStr">
        <is>
          <t>https://csrc.nist.gov/pubs/sp/800/82/r3/final</t>
        </is>
      </c>
    </row>
    <row r="443" ht="15" customHeight="1" s="508">
      <c r="A443" s="972" t="inlineStr">
        <is>
          <t>Cybercriminal</t>
        </is>
      </c>
      <c r="B443" s="972" t="inlineStr">
        <is>
          <t>Loss of Control or Visibility</t>
        </is>
      </c>
      <c r="C443" s="972" t="inlineStr">
        <is>
          <t>T0845</t>
        </is>
      </c>
      <c r="D443" s="972" t="inlineStr">
        <is>
          <t>Program Upload</t>
        </is>
      </c>
      <c r="E443" s="972" t="inlineStr">
        <is>
          <t>S4</t>
        </is>
      </c>
      <c r="F443" s="972" t="inlineStr">
        <is>
          <t>Candidate enabling technique</t>
        </is>
      </c>
      <c r="G443" s="972" t="inlineStr">
        <is>
          <t>Yes</t>
        </is>
      </c>
      <c r="H443" s="972" t="inlineStr">
        <is>
          <t>Yes</t>
        </is>
      </c>
      <c r="I443" s="972" t="inlineStr">
        <is>
          <t>Yes</t>
        </is>
      </c>
      <c r="J443" s="972" t="n">
        <v>8</v>
      </c>
      <c r="K443" s="972" t="inlineStr">
        <is>
          <t>Model Mapping</t>
        </is>
      </c>
      <c r="L443" s="452" t="inlineStr">
        <is>
          <t>https://attack.mitre.org/techniques/T0845</t>
        </is>
      </c>
      <c r="M443" s="973" t="inlineStr">
        <is>
          <t>Yes</t>
        </is>
      </c>
      <c r="N443" s="973" t="inlineStr">
        <is>
          <t>No explicit facility gate — defaults feasible</t>
        </is>
      </c>
      <c r="O443" s="973" t="inlineStr">
        <is>
          <t>Program Upload can support discovery or interaction with process state, control assets and operational data in Power Generation environments.</t>
        </is>
      </c>
      <c r="P443" s="973" t="inlineStr">
        <is>
          <t>https://csrc.nist.gov/pubs/sp/800/82/r3/final</t>
        </is>
      </c>
    </row>
    <row r="444" ht="15" customHeight="1" s="508">
      <c r="A444" s="972" t="inlineStr">
        <is>
          <t>Cybercriminal</t>
        </is>
      </c>
      <c r="B444" s="972" t="inlineStr">
        <is>
          <t>Loss of Control or Visibility</t>
        </is>
      </c>
      <c r="C444" s="972" t="inlineStr">
        <is>
          <t>T0886</t>
        </is>
      </c>
      <c r="D444" s="972" t="inlineStr">
        <is>
          <t>Remote Services</t>
        </is>
      </c>
      <c r="E444" s="972" t="inlineStr">
        <is>
          <t>S1</t>
        </is>
      </c>
      <c r="F444" s="972" t="inlineStr">
        <is>
          <t>Candidate enabling technique</t>
        </is>
      </c>
      <c r="G444" s="972" t="inlineStr">
        <is>
          <t>Yes</t>
        </is>
      </c>
      <c r="H444" s="972" t="inlineStr">
        <is>
          <t>Yes</t>
        </is>
      </c>
      <c r="I444" s="972" t="inlineStr">
        <is>
          <t>Yes</t>
        </is>
      </c>
      <c r="J444" s="972" t="n">
        <v>9</v>
      </c>
      <c r="K444" s="972" t="inlineStr">
        <is>
          <t>Model Mapping</t>
        </is>
      </c>
      <c r="L444" s="452" t="inlineStr">
        <is>
          <t>https://attack.mitre.org/techniques/T0886</t>
        </is>
      </c>
      <c r="M444" s="973" t="inlineStr">
        <is>
          <t>Yes</t>
        </is>
      </c>
      <c r="N444" s="973" t="inlineStr">
        <is>
          <t>REMOTE_OR_ITOT — Remote path or IT-OT connection</t>
        </is>
      </c>
      <c r="O444" s="973" t="inlineStr">
        <is>
          <t>The Remote Services route is credible for Power Generation OT when the enabling access condition exists; existing facility gates determine remote, internet, transient, supply-chain or wireless feasibility.</t>
        </is>
      </c>
      <c r="P444" s="973" t="inlineStr">
        <is>
          <t>https://csrc.nist.gov/pubs/sp/800/82/r3/final</t>
        </is>
      </c>
    </row>
    <row r="445" ht="15" customHeight="1" s="508">
      <c r="A445" s="972" t="inlineStr">
        <is>
          <t>Cybercriminal</t>
        </is>
      </c>
      <c r="B445" s="972" t="inlineStr">
        <is>
          <t>Loss of Control or Visibility</t>
        </is>
      </c>
      <c r="C445" s="972" t="inlineStr">
        <is>
          <t>T0888</t>
        </is>
      </c>
      <c r="D445" s="972" t="inlineStr">
        <is>
          <t>Remote System Information Discovery</t>
        </is>
      </c>
      <c r="E445" s="972" t="inlineStr">
        <is>
          <t>S4</t>
        </is>
      </c>
      <c r="F445" s="972" t="inlineStr">
        <is>
          <t>Candidate enabling technique</t>
        </is>
      </c>
      <c r="G445" s="972" t="inlineStr">
        <is>
          <t>Yes</t>
        </is>
      </c>
      <c r="H445" s="972" t="inlineStr">
        <is>
          <t>Yes</t>
        </is>
      </c>
      <c r="I445" s="972" t="inlineStr">
        <is>
          <t>Yes</t>
        </is>
      </c>
      <c r="J445" s="972" t="n">
        <v>1</v>
      </c>
      <c r="K445" s="972" t="inlineStr">
        <is>
          <t>Model Mapping</t>
        </is>
      </c>
      <c r="L445" s="452" t="inlineStr">
        <is>
          <t>https://attack.mitre.org/techniques/T0888</t>
        </is>
      </c>
      <c r="M445" s="973" t="inlineStr">
        <is>
          <t>Yes</t>
        </is>
      </c>
      <c r="N445" s="973" t="inlineStr">
        <is>
          <t>No explicit facility gate — defaults feasible</t>
        </is>
      </c>
      <c r="O445" s="973" t="inlineStr">
        <is>
          <t>Remote System Information Discovery can support discovery or interaction with process state, control assets and operational data in Power Generation environments.</t>
        </is>
      </c>
      <c r="P445" s="973" t="inlineStr">
        <is>
          <t>https://csrc.nist.gov/pubs/sp/800/82/r3/final</t>
        </is>
      </c>
    </row>
    <row r="446" ht="15" customHeight="1" s="508">
      <c r="A446" s="972" t="inlineStr">
        <is>
          <t>Cybercriminal</t>
        </is>
      </c>
      <c r="B446" s="972" t="inlineStr">
        <is>
          <t>Loss of Control or Visibility</t>
        </is>
      </c>
      <c r="C446" s="972" t="inlineStr">
        <is>
          <t>T0847</t>
        </is>
      </c>
      <c r="D446" s="972" t="inlineStr">
        <is>
          <t>Replication Through Removable Media</t>
        </is>
      </c>
      <c r="E446" s="972" t="inlineStr">
        <is>
          <t>S1</t>
        </is>
      </c>
      <c r="F446" s="972" t="inlineStr">
        <is>
          <t>Candidate enabling technique</t>
        </is>
      </c>
      <c r="G446" s="972" t="inlineStr">
        <is>
          <t>Yes</t>
        </is>
      </c>
      <c r="H446" s="972" t="inlineStr">
        <is>
          <t>Yes</t>
        </is>
      </c>
      <c r="I446" s="972" t="inlineStr">
        <is>
          <t>Yes</t>
        </is>
      </c>
      <c r="J446" s="972" t="n">
        <v>3</v>
      </c>
      <c r="K446" s="972" t="inlineStr">
        <is>
          <t>Model Mapping</t>
        </is>
      </c>
      <c r="L446" s="452" t="inlineStr">
        <is>
          <t>https://attack.mitre.org/techniques/T0847</t>
        </is>
      </c>
      <c r="M446" s="973" t="inlineStr">
        <is>
          <t>Yes</t>
        </is>
      </c>
      <c r="N446" s="973" t="inlineStr">
        <is>
          <t>TRANSIENT_REQUIRED — Not None</t>
        </is>
      </c>
      <c r="O446" s="973" t="inlineStr">
        <is>
          <t>The Replication Through Removable Media route is credible for Power Generation OT when the enabling access condition exists; existing facility gates determine remote, internet, transient, supply-chain or wireless feasibility.</t>
        </is>
      </c>
      <c r="P446" s="973" t="inlineStr">
        <is>
          <t>https://csrc.nist.gov/pubs/sp/800/82/r3/final</t>
        </is>
      </c>
    </row>
    <row r="447" ht="15" customHeight="1" s="508">
      <c r="A447" s="972" t="inlineStr">
        <is>
          <t>Cybercriminal</t>
        </is>
      </c>
      <c r="B447" s="972" t="inlineStr">
        <is>
          <t>Loss of Control or Visibility</t>
        </is>
      </c>
      <c r="C447" s="972" t="inlineStr">
        <is>
          <t>T0848</t>
        </is>
      </c>
      <c r="D447" s="972" t="inlineStr">
        <is>
          <t>Rogue Master</t>
        </is>
      </c>
      <c r="E447" s="972" t="inlineStr">
        <is>
          <t>S1</t>
        </is>
      </c>
      <c r="F447" s="972" t="inlineStr">
        <is>
          <t>Candidate enabling technique</t>
        </is>
      </c>
      <c r="G447" s="972" t="inlineStr">
        <is>
          <t>Yes</t>
        </is>
      </c>
      <c r="H447" s="972" t="inlineStr">
        <is>
          <t>Yes</t>
        </is>
      </c>
      <c r="I447" s="972" t="inlineStr">
        <is>
          <t>Yes</t>
        </is>
      </c>
      <c r="J447" s="972" t="n">
        <v>5</v>
      </c>
      <c r="K447" s="972" t="inlineStr">
        <is>
          <t>Model Mapping</t>
        </is>
      </c>
      <c r="L447" s="452" t="inlineStr">
        <is>
          <t>https://attack.mitre.org/techniques/T0848</t>
        </is>
      </c>
      <c r="M447" s="973" t="inlineStr">
        <is>
          <t>Yes</t>
        </is>
      </c>
      <c r="N447" s="973" t="inlineStr">
        <is>
          <t>No explicit facility gate — defaults feasible</t>
        </is>
      </c>
      <c r="O447" s="973" t="inlineStr">
        <is>
          <t>The Rogue Master route is credible for Power Generation OT when the enabling access condition exists; existing facility gates determine remote, internet, transient, supply-chain or wireless feasibility.</t>
        </is>
      </c>
      <c r="P447" s="973" t="inlineStr">
        <is>
          <t>https://csrc.nist.gov/pubs/sp/800/82/r3/final</t>
        </is>
      </c>
    </row>
    <row r="448" ht="15" customHeight="1" s="508">
      <c r="A448" s="972" t="inlineStr">
        <is>
          <t>Cybercriminal</t>
        </is>
      </c>
      <c r="B448" s="972" t="inlineStr">
        <is>
          <t>Loss of Control or Visibility</t>
        </is>
      </c>
      <c r="C448" s="972" t="inlineStr">
        <is>
          <t>T0852</t>
        </is>
      </c>
      <c r="D448" s="972" t="inlineStr">
        <is>
          <t>Screen Capture</t>
        </is>
      </c>
      <c r="E448" s="972" t="inlineStr">
        <is>
          <t>S4</t>
        </is>
      </c>
      <c r="F448" s="972" t="inlineStr">
        <is>
          <t>Candidate enabling technique</t>
        </is>
      </c>
      <c r="G448" s="972" t="inlineStr">
        <is>
          <t>Yes</t>
        </is>
      </c>
      <c r="H448" s="972" t="inlineStr">
        <is>
          <t>Yes</t>
        </is>
      </c>
      <c r="I448" s="972" t="inlineStr">
        <is>
          <t>Yes</t>
        </is>
      </c>
      <c r="J448" s="972" t="n">
        <v>1</v>
      </c>
      <c r="K448" s="972" t="inlineStr">
        <is>
          <t>Model Mapping</t>
        </is>
      </c>
      <c r="L448" s="452" t="inlineStr">
        <is>
          <t>https://attack.mitre.org/techniques/T0852</t>
        </is>
      </c>
      <c r="M448" s="973" t="inlineStr">
        <is>
          <t>Yes</t>
        </is>
      </c>
      <c r="N448" s="973" t="inlineStr">
        <is>
          <t>No explicit facility gate — defaults feasible</t>
        </is>
      </c>
      <c r="O448" s="973" t="inlineStr">
        <is>
          <t>Screen Capture can support discovery or interaction with process state, control assets and operational data in Power Generation environments.</t>
        </is>
      </c>
      <c r="P448" s="973" t="inlineStr">
        <is>
          <t>https://csrc.nist.gov/pubs/sp/800/82/r3/final</t>
        </is>
      </c>
    </row>
    <row r="449" ht="15" customHeight="1" s="508">
      <c r="A449" s="972" t="inlineStr">
        <is>
          <t>Cybercriminal</t>
        </is>
      </c>
      <c r="B449" s="972" t="inlineStr">
        <is>
          <t>Loss of Control or Visibility</t>
        </is>
      </c>
      <c r="C449" s="972" t="inlineStr">
        <is>
          <t>T0853</t>
        </is>
      </c>
      <c r="D449" s="972" t="inlineStr">
        <is>
          <t>Scripting</t>
        </is>
      </c>
      <c r="E449" s="972" t="inlineStr">
        <is>
          <t>S2</t>
        </is>
      </c>
      <c r="F449" s="972" t="inlineStr">
        <is>
          <t>Candidate enabling technique</t>
        </is>
      </c>
      <c r="G449" s="972" t="inlineStr">
        <is>
          <t>Yes</t>
        </is>
      </c>
      <c r="H449" s="972" t="inlineStr">
        <is>
          <t>Yes</t>
        </is>
      </c>
      <c r="I449" s="972" t="inlineStr">
        <is>
          <t>Yes</t>
        </is>
      </c>
      <c r="J449" s="972" t="n">
        <v>3</v>
      </c>
      <c r="K449" s="972" t="inlineStr">
        <is>
          <t>Model Mapping</t>
        </is>
      </c>
      <c r="L449" s="452" t="inlineStr">
        <is>
          <t>https://attack.mitre.org/techniques/T0853</t>
        </is>
      </c>
      <c r="M449" s="973" t="inlineStr">
        <is>
          <t>Yes</t>
        </is>
      </c>
      <c r="N449" s="973" t="inlineStr">
        <is>
          <t>No explicit facility gate — defaults feasible</t>
        </is>
      </c>
      <c r="O449" s="973" t="inlineStr">
        <is>
          <t>Scripting is applicable to execution or persistence on engineering workstations, HMIs, servers or controllers used in Power Generation facilities.</t>
        </is>
      </c>
      <c r="P449" s="973" t="inlineStr">
        <is>
          <t>https://csrc.nist.gov/pubs/sp/800/82/r3/final</t>
        </is>
      </c>
    </row>
    <row r="450" ht="15" customHeight="1" s="508">
      <c r="A450" s="972" t="inlineStr">
        <is>
          <t>Cybercriminal</t>
        </is>
      </c>
      <c r="B450" s="972" t="inlineStr">
        <is>
          <t>Loss of Control or Visibility</t>
        </is>
      </c>
      <c r="C450" s="972" t="inlineStr">
        <is>
          <t>T0873.001</t>
        </is>
      </c>
      <c r="D450" s="972" t="inlineStr">
        <is>
          <t>Siemens Project File Format</t>
        </is>
      </c>
      <c r="E450" s="972" t="inlineStr">
        <is>
          <t>S2</t>
        </is>
      </c>
      <c r="F450" s="972" t="inlineStr">
        <is>
          <t>Candidate enabling technique</t>
        </is>
      </c>
      <c r="G450" s="972" t="inlineStr">
        <is>
          <t>Yes</t>
        </is>
      </c>
      <c r="H450" s="972" t="inlineStr">
        <is>
          <t>Yes</t>
        </is>
      </c>
      <c r="I450" s="972" t="inlineStr">
        <is>
          <t>Yes</t>
        </is>
      </c>
      <c r="J450" s="972" t="n">
        <v>4</v>
      </c>
      <c r="K450" s="972" t="inlineStr">
        <is>
          <t>Model Mapping</t>
        </is>
      </c>
      <c r="L450" s="452" t="inlineStr">
        <is>
          <t>https://attack.mitre.org/techniques/T0873/001</t>
        </is>
      </c>
      <c r="M450" s="973" t="inlineStr">
        <is>
          <t>Yes</t>
        </is>
      </c>
      <c r="N450" s="973" t="inlineStr">
        <is>
          <t>No explicit facility gate — defaults feasible</t>
        </is>
      </c>
      <c r="O450" s="973" t="inlineStr">
        <is>
          <t>Siemens Project File Format is applicable to execution or persistence on engineering workstations, HMIs, servers or controllers used in Power Generation facilities.</t>
        </is>
      </c>
      <c r="P450" s="973" t="inlineStr">
        <is>
          <t>https://csrc.nist.gov/pubs/sp/800/82/r3/final</t>
        </is>
      </c>
    </row>
    <row r="451" ht="15" customHeight="1" s="508">
      <c r="A451" s="972" t="inlineStr">
        <is>
          <t>Cybercriminal</t>
        </is>
      </c>
      <c r="B451" s="972" t="inlineStr">
        <is>
          <t>Loss of Control or Visibility</t>
        </is>
      </c>
      <c r="C451" s="972" t="inlineStr">
        <is>
          <t>T0865</t>
        </is>
      </c>
      <c r="D451" s="972" t="inlineStr">
        <is>
          <t>Spearphishing Attachment</t>
        </is>
      </c>
      <c r="E451" s="972" t="inlineStr">
        <is>
          <t>S1</t>
        </is>
      </c>
      <c r="F451" s="972" t="inlineStr">
        <is>
          <t>Candidate enabling technique</t>
        </is>
      </c>
      <c r="G451" s="972" t="inlineStr">
        <is>
          <t>Yes</t>
        </is>
      </c>
      <c r="H451" s="972" t="inlineStr">
        <is>
          <t>Yes</t>
        </is>
      </c>
      <c r="I451" s="972" t="inlineStr">
        <is>
          <t>Yes</t>
        </is>
      </c>
      <c r="J451" s="972" t="n">
        <v>4</v>
      </c>
      <c r="K451" s="972" t="inlineStr">
        <is>
          <t>Model Mapping</t>
        </is>
      </c>
      <c r="L451" s="452" t="inlineStr">
        <is>
          <t>https://attack.mitre.org/techniques/T0865</t>
        </is>
      </c>
      <c r="M451" s="973" t="inlineStr">
        <is>
          <t>Yes</t>
        </is>
      </c>
      <c r="N451" s="973" t="inlineStr">
        <is>
          <t>No explicit facility gate — defaults feasible</t>
        </is>
      </c>
      <c r="O451" s="973" t="inlineStr">
        <is>
          <t>The Spearphishing Attachment route is credible for Power Generation OT when the enabling access condition exists; existing facility gates determine remote, internet, transient, supply-chain or wireless feasibility.</t>
        </is>
      </c>
      <c r="P451" s="973" t="inlineStr">
        <is>
          <t>https://csrc.nist.gov/pubs/sp/800/82/r3/final</t>
        </is>
      </c>
    </row>
    <row r="452" ht="15" customHeight="1" s="508">
      <c r="A452" s="972" t="inlineStr">
        <is>
          <t>Cybercriminal</t>
        </is>
      </c>
      <c r="B452" s="972" t="inlineStr">
        <is>
          <t>Loss of Control or Visibility</t>
        </is>
      </c>
      <c r="C452" s="972" t="inlineStr">
        <is>
          <t>T0869</t>
        </is>
      </c>
      <c r="D452" s="972" t="inlineStr">
        <is>
          <t>Standard Application Layer Protocol</t>
        </is>
      </c>
      <c r="E452" s="972" t="inlineStr">
        <is>
          <t>S3</t>
        </is>
      </c>
      <c r="F452" s="972" t="inlineStr">
        <is>
          <t>Candidate enabling technique</t>
        </is>
      </c>
      <c r="G452" s="972" t="inlineStr">
        <is>
          <t>Yes</t>
        </is>
      </c>
      <c r="H452" s="972" t="inlineStr">
        <is>
          <t>Yes</t>
        </is>
      </c>
      <c r="I452" s="972" t="inlineStr">
        <is>
          <t>Yes</t>
        </is>
      </c>
      <c r="J452" s="972" t="n">
        <v>3</v>
      </c>
      <c r="K452" s="972" t="inlineStr">
        <is>
          <t>Model Mapping</t>
        </is>
      </c>
      <c r="L452" s="452" t="inlineStr">
        <is>
          <t>https://attack.mitre.org/techniques/T0869</t>
        </is>
      </c>
      <c r="M452" s="973" t="inlineStr">
        <is>
          <t>Yes</t>
        </is>
      </c>
      <c r="N452" s="973" t="inlineStr">
        <is>
          <t>No explicit facility gate — defaults feasible</t>
        </is>
      </c>
      <c r="O452" s="973" t="inlineStr">
        <is>
          <t>Standard Application Layer Protocol can support movement toward or within plant/control zones; actual reachability is governed by the assessed facility architecture.</t>
        </is>
      </c>
      <c r="P452" s="973" t="inlineStr">
        <is>
          <t>https://csrc.nist.gov/pubs/sp/800/82/r3/final</t>
        </is>
      </c>
    </row>
    <row r="453" ht="15" customHeight="1" s="508">
      <c r="A453" s="972" t="inlineStr">
        <is>
          <t>Cybercriminal</t>
        </is>
      </c>
      <c r="B453" s="972" t="inlineStr">
        <is>
          <t>Loss of Control or Visibility</t>
        </is>
      </c>
      <c r="C453" s="972" t="inlineStr">
        <is>
          <t>T0862</t>
        </is>
      </c>
      <c r="D453" s="972" t="inlineStr">
        <is>
          <t>Supply Chain Compromise</t>
        </is>
      </c>
      <c r="E453" s="972" t="inlineStr">
        <is>
          <t>S1</t>
        </is>
      </c>
      <c r="F453" s="972" t="inlineStr">
        <is>
          <t>Candidate enabling technique</t>
        </is>
      </c>
      <c r="G453" s="972" t="inlineStr">
        <is>
          <t>Yes</t>
        </is>
      </c>
      <c r="H453" s="972" t="inlineStr">
        <is>
          <t>Yes</t>
        </is>
      </c>
      <c r="I453" s="972" t="inlineStr">
        <is>
          <t>Yes</t>
        </is>
      </c>
      <c r="J453" s="972" t="n">
        <v>5</v>
      </c>
      <c r="K453" s="972" t="inlineStr">
        <is>
          <t>Model Mapping</t>
        </is>
      </c>
      <c r="L453" s="452" t="inlineStr">
        <is>
          <t>https://attack.mitre.org/techniques/T0862</t>
        </is>
      </c>
      <c r="M453" s="973" t="inlineStr">
        <is>
          <t>Yes</t>
        </is>
      </c>
      <c r="N453" s="973" t="inlineStr">
        <is>
          <t>SUPPLY_CHAIN — Yes</t>
        </is>
      </c>
      <c r="O453" s="973" t="inlineStr">
        <is>
          <t>The Supply Chain Compromise route is credible for Power Generation OT when the enabling access condition exists; existing facility gates determine remote, internet, transient, supply-chain or wireless feasibility.</t>
        </is>
      </c>
      <c r="P453" s="973" t="inlineStr">
        <is>
          <t>https://csrc.nist.gov/pubs/sp/800/82/r3/final</t>
        </is>
      </c>
    </row>
    <row r="454" ht="15" customHeight="1" s="508">
      <c r="A454" s="972" t="inlineStr">
        <is>
          <t>Cybercriminal</t>
        </is>
      </c>
      <c r="B454" s="972" t="inlineStr">
        <is>
          <t>Loss of Control or Visibility</t>
        </is>
      </c>
      <c r="C454" s="972" t="inlineStr">
        <is>
          <t>T0894</t>
        </is>
      </c>
      <c r="D454" s="972" t="inlineStr">
        <is>
          <t>System Binary Proxy Execution</t>
        </is>
      </c>
      <c r="E454" s="972" t="inlineStr">
        <is>
          <t>S2</t>
        </is>
      </c>
      <c r="F454" s="972" t="inlineStr">
        <is>
          <t>Candidate enabling technique</t>
        </is>
      </c>
      <c r="G454" s="972" t="inlineStr">
        <is>
          <t>Yes</t>
        </is>
      </c>
      <c r="H454" s="972" t="inlineStr">
        <is>
          <t>Yes</t>
        </is>
      </c>
      <c r="I454" s="972" t="inlineStr">
        <is>
          <t>Yes</t>
        </is>
      </c>
      <c r="J454" s="972" t="n">
        <v>1</v>
      </c>
      <c r="K454" s="972" t="inlineStr">
        <is>
          <t>Model Mapping</t>
        </is>
      </c>
      <c r="L454" s="452" t="inlineStr">
        <is>
          <t>https://attack.mitre.org/techniques/T0894</t>
        </is>
      </c>
      <c r="M454" s="973" t="inlineStr">
        <is>
          <t>Yes</t>
        </is>
      </c>
      <c r="N454" s="973" t="inlineStr">
        <is>
          <t>No explicit facility gate — defaults feasible</t>
        </is>
      </c>
      <c r="O454" s="973" t="inlineStr">
        <is>
          <t>System Binary Proxy Execution is applicable to execution or persistence on engineering workstations, HMIs, servers or controllers used in Power Generation facilities.</t>
        </is>
      </c>
      <c r="P454" s="973" t="inlineStr">
        <is>
          <t>https://csrc.nist.gov/pubs/sp/800/82/r3/final</t>
        </is>
      </c>
    </row>
    <row r="455" ht="15" customHeight="1" s="508">
      <c r="A455" s="972" t="inlineStr">
        <is>
          <t>Cybercriminal</t>
        </is>
      </c>
      <c r="B455" s="972" t="inlineStr">
        <is>
          <t>Loss of Control or Visibility</t>
        </is>
      </c>
      <c r="C455" s="972" t="inlineStr">
        <is>
          <t>T0864</t>
        </is>
      </c>
      <c r="D455" s="972" t="inlineStr">
        <is>
          <t>Transient Cyber Asset</t>
        </is>
      </c>
      <c r="E455" s="972" t="inlineStr">
        <is>
          <t>S1</t>
        </is>
      </c>
      <c r="F455" s="972" t="inlineStr">
        <is>
          <t>Candidate enabling technique</t>
        </is>
      </c>
      <c r="G455" s="972" t="inlineStr">
        <is>
          <t>Yes</t>
        </is>
      </c>
      <c r="H455" s="972" t="inlineStr">
        <is>
          <t>Yes</t>
        </is>
      </c>
      <c r="I455" s="972" t="inlineStr">
        <is>
          <t>Yes</t>
        </is>
      </c>
      <c r="J455" s="972" t="n">
        <v>5</v>
      </c>
      <c r="K455" s="972" t="inlineStr">
        <is>
          <t>Model Mapping</t>
        </is>
      </c>
      <c r="L455" s="452" t="inlineStr">
        <is>
          <t>https://attack.mitre.org/techniques/T0864</t>
        </is>
      </c>
      <c r="M455" s="973" t="inlineStr">
        <is>
          <t>Yes</t>
        </is>
      </c>
      <c r="N455" s="973" t="inlineStr">
        <is>
          <t>TRANSIENT_REQUIRED — Not None</t>
        </is>
      </c>
      <c r="O455" s="973" t="inlineStr">
        <is>
          <t>The Transient Cyber Asset route is credible for Power Generation OT when the enabling access condition exists; existing facility gates determine remote, internet, transient, supply-chain or wireless feasibility.</t>
        </is>
      </c>
      <c r="P455" s="973" t="inlineStr">
        <is>
          <t>https://csrc.nist.gov/pubs/sp/800/82/r3/final</t>
        </is>
      </c>
    </row>
    <row r="456" ht="15" customHeight="1" s="508">
      <c r="A456" s="972" t="inlineStr">
        <is>
          <t>Cybercriminal</t>
        </is>
      </c>
      <c r="B456" s="972" t="inlineStr">
        <is>
          <t>Loss of Control or Visibility</t>
        </is>
      </c>
      <c r="C456" s="972" t="inlineStr">
        <is>
          <t>T0863</t>
        </is>
      </c>
      <c r="D456" s="972" t="inlineStr">
        <is>
          <t>User Execution</t>
        </is>
      </c>
      <c r="E456" s="972" t="inlineStr">
        <is>
          <t>S2</t>
        </is>
      </c>
      <c r="F456" s="972" t="inlineStr">
        <is>
          <t>Candidate enabling technique</t>
        </is>
      </c>
      <c r="G456" s="972" t="inlineStr">
        <is>
          <t>Yes</t>
        </is>
      </c>
      <c r="H456" s="972" t="inlineStr">
        <is>
          <t>Yes</t>
        </is>
      </c>
      <c r="I456" s="972" t="inlineStr">
        <is>
          <t>Yes</t>
        </is>
      </c>
      <c r="J456" s="972" t="n">
        <v>6</v>
      </c>
      <c r="K456" s="972" t="inlineStr">
        <is>
          <t>Model Mapping</t>
        </is>
      </c>
      <c r="L456" s="452" t="inlineStr">
        <is>
          <t>https://attack.mitre.org/techniques/T0863</t>
        </is>
      </c>
      <c r="M456" s="973" t="inlineStr">
        <is>
          <t>Yes</t>
        </is>
      </c>
      <c r="N456" s="973" t="inlineStr">
        <is>
          <t>No explicit facility gate — defaults feasible</t>
        </is>
      </c>
      <c r="O456" s="973" t="inlineStr">
        <is>
          <t>User Execution is applicable to execution or persistence on engineering workstations, HMIs, servers or controllers used in Power Generation facilities.</t>
        </is>
      </c>
      <c r="P456" s="973" t="inlineStr">
        <is>
          <t>https://csrc.nist.gov/pubs/sp/800/82/r3/final</t>
        </is>
      </c>
    </row>
    <row r="457" ht="15" customHeight="1" s="508">
      <c r="A457" s="972" t="inlineStr">
        <is>
          <t>Cybercriminal</t>
        </is>
      </c>
      <c r="B457" s="972" t="inlineStr">
        <is>
          <t>Loss of Control or Visibility</t>
        </is>
      </c>
      <c r="C457" s="972" t="inlineStr">
        <is>
          <t>T0859</t>
        </is>
      </c>
      <c r="D457" s="972" t="inlineStr">
        <is>
          <t>Valid Accounts</t>
        </is>
      </c>
      <c r="E457" s="972" t="inlineStr">
        <is>
          <t>S3</t>
        </is>
      </c>
      <c r="F457" s="972" t="inlineStr">
        <is>
          <t>Candidate enabling technique</t>
        </is>
      </c>
      <c r="G457" s="972" t="inlineStr">
        <is>
          <t>Yes</t>
        </is>
      </c>
      <c r="H457" s="972" t="inlineStr">
        <is>
          <t>Yes</t>
        </is>
      </c>
      <c r="I457" s="972" t="inlineStr">
        <is>
          <t>Yes</t>
        </is>
      </c>
      <c r="J457" s="972" t="n">
        <v>10</v>
      </c>
      <c r="K457" s="972" t="inlineStr">
        <is>
          <t>Model Mapping</t>
        </is>
      </c>
      <c r="L457" s="452" t="inlineStr">
        <is>
          <t>https://attack.mitre.org/techniques/T0859</t>
        </is>
      </c>
      <c r="M457" s="973" t="inlineStr">
        <is>
          <t>Yes</t>
        </is>
      </c>
      <c r="N457" s="973" t="inlineStr">
        <is>
          <t>No explicit facility gate — defaults feasible</t>
        </is>
      </c>
      <c r="O457" s="973" t="inlineStr">
        <is>
          <t>Valid Accounts can support movement toward or within plant/control zones; actual reachability is governed by the assessed facility architecture.</t>
        </is>
      </c>
      <c r="P457" s="973" t="inlineStr">
        <is>
          <t>https://csrc.nist.gov/pubs/sp/800/82/r3/final</t>
        </is>
      </c>
    </row>
    <row r="458" ht="15" customHeight="1" s="508">
      <c r="A458" s="972" t="inlineStr">
        <is>
          <t>Cybercriminal</t>
        </is>
      </c>
      <c r="B458" s="972" t="inlineStr">
        <is>
          <t>Loss of Control or Visibility</t>
        </is>
      </c>
      <c r="C458" s="972" t="inlineStr">
        <is>
          <t>T0860</t>
        </is>
      </c>
      <c r="D458" s="972" t="inlineStr">
        <is>
          <t>Wireless Compromise</t>
        </is>
      </c>
      <c r="E458" s="972" t="inlineStr">
        <is>
          <t>S1</t>
        </is>
      </c>
      <c r="F458" s="972" t="inlineStr">
        <is>
          <t>Candidate enabling technique</t>
        </is>
      </c>
      <c r="G458" s="972" t="inlineStr">
        <is>
          <t>Yes</t>
        </is>
      </c>
      <c r="H458" s="972" t="inlineStr">
        <is>
          <t>No</t>
        </is>
      </c>
      <c r="I458" s="972" t="inlineStr">
        <is>
          <t>No</t>
        </is>
      </c>
      <c r="J458" s="972" t="n">
        <v>4</v>
      </c>
      <c r="K458" s="972" t="inlineStr">
        <is>
          <t>Model Mapping</t>
        </is>
      </c>
      <c r="L458" s="452" t="inlineStr">
        <is>
          <t>https://attack.mitre.org/techniques/T0860</t>
        </is>
      </c>
      <c r="M458" s="973" t="inlineStr">
        <is>
          <t>Yes</t>
        </is>
      </c>
      <c r="N458" s="973" t="inlineStr">
        <is>
          <t>WIRELESS — Yes</t>
        </is>
      </c>
      <c r="O458" s="973" t="inlineStr">
        <is>
          <t>The Wireless Compromise route is credible for Power Generation OT when the enabling access condition exists; existing facility gates determine remote, internet, transient, supply-chain or wireless feasibility.</t>
        </is>
      </c>
      <c r="P458" s="973" t="inlineStr">
        <is>
          <t>https://csrc.nist.gov/pubs/sp/800/82/r3/final</t>
        </is>
      </c>
    </row>
    <row r="459" ht="15" customHeight="1" s="508">
      <c r="A459" s="972" t="inlineStr">
        <is>
          <t>Cybercriminal</t>
        </is>
      </c>
      <c r="B459" s="972" t="inlineStr">
        <is>
          <t>Loss of Control or Visibility</t>
        </is>
      </c>
      <c r="C459" s="972" t="inlineStr">
        <is>
          <t>T0887</t>
        </is>
      </c>
      <c r="D459" s="972" t="inlineStr">
        <is>
          <t>Wireless Sniffing</t>
        </is>
      </c>
      <c r="E459" s="972" t="inlineStr">
        <is>
          <t>S4</t>
        </is>
      </c>
      <c r="F459" s="972" t="inlineStr">
        <is>
          <t>Candidate enabling technique</t>
        </is>
      </c>
      <c r="G459" s="972" t="inlineStr">
        <is>
          <t>Yes</t>
        </is>
      </c>
      <c r="H459" s="972" t="inlineStr">
        <is>
          <t>No</t>
        </is>
      </c>
      <c r="I459" s="972" t="inlineStr">
        <is>
          <t>No</t>
        </is>
      </c>
      <c r="J459" s="972" t="n">
        <v>2</v>
      </c>
      <c r="K459" s="972" t="inlineStr">
        <is>
          <t>Model Mapping</t>
        </is>
      </c>
      <c r="L459" s="452" t="inlineStr">
        <is>
          <t>https://attack.mitre.org/techniques/T0887</t>
        </is>
      </c>
      <c r="M459" s="973" t="inlineStr">
        <is>
          <t>Yes</t>
        </is>
      </c>
      <c r="N459" s="973" t="inlineStr">
        <is>
          <t>WIRELESS — Yes</t>
        </is>
      </c>
      <c r="O459" s="973" t="inlineStr">
        <is>
          <t>Wireless Sniffing can support discovery or interaction with process state, control assets and operational data in Power Generation environments.</t>
        </is>
      </c>
      <c r="P459" s="973" t="inlineStr">
        <is>
          <t>https://csrc.nist.gov/pubs/sp/800/82/r3/final</t>
        </is>
      </c>
    </row>
    <row r="460" ht="15" customHeight="1" s="508">
      <c r="A460" s="972" t="inlineStr">
        <is>
          <t>Cybercriminal</t>
        </is>
      </c>
      <c r="B460" s="972" t="inlineStr">
        <is>
          <t>Loss of Control or Visibility</t>
        </is>
      </c>
      <c r="C460" s="972" t="inlineStr">
        <is>
          <t>T1691.001</t>
        </is>
      </c>
      <c r="D460" s="972" t="inlineStr">
        <is>
          <t>Command Message</t>
        </is>
      </c>
      <c r="E460" s="972" t="inlineStr">
        <is>
          <t>S5</t>
        </is>
      </c>
      <c r="F460" s="972" t="inlineStr">
        <is>
          <t>Supporting / impact</t>
        </is>
      </c>
      <c r="G460" s="972" t="inlineStr">
        <is>
          <t>Yes</t>
        </is>
      </c>
      <c r="H460" s="972" t="inlineStr">
        <is>
          <t>Yes</t>
        </is>
      </c>
      <c r="I460" s="972" t="inlineStr">
        <is>
          <t>Yes</t>
        </is>
      </c>
      <c r="J460" s="972" t="n">
        <v>3</v>
      </c>
      <c r="K460" s="972" t="inlineStr">
        <is>
          <t>ADDED v1.2: Block Command Message can cause loss or denial of operator control.</t>
        </is>
      </c>
      <c r="L460" s="452" t="inlineStr">
        <is>
          <t>https://attack.mitre.org/techniques/T1691/001</t>
        </is>
      </c>
      <c r="M460" s="973" t="inlineStr">
        <is>
          <t>Yes</t>
        </is>
      </c>
      <c r="N460" s="973" t="inlineStr">
        <is>
          <t>No explicit facility gate — defaults feasible</t>
        </is>
      </c>
      <c r="O460" s="973" t="inlineStr">
        <is>
          <t>Command Message is an ATT&amp;CK for ICS impact or response-inhibition technique that can support one or more governed adverse scenarios; scenario role remains controlled on 09.</t>
        </is>
      </c>
      <c r="P460" s="973" t="inlineStr">
        <is>
          <t>https://csrc.nist.gov/pubs/sp/800/82/r3/final</t>
        </is>
      </c>
    </row>
    <row r="461" ht="15" customHeight="1" s="508">
      <c r="A461" s="972" t="inlineStr">
        <is>
          <t>Cybercriminal</t>
        </is>
      </c>
      <c r="B461" s="972" t="inlineStr">
        <is>
          <t>Loss of Control or Visibility</t>
        </is>
      </c>
      <c r="C461" s="972" t="inlineStr">
        <is>
          <t>T1691.002</t>
        </is>
      </c>
      <c r="D461" s="972" t="inlineStr">
        <is>
          <t>Reporting Message</t>
        </is>
      </c>
      <c r="E461" s="972" t="inlineStr">
        <is>
          <t>S5</t>
        </is>
      </c>
      <c r="F461" s="972" t="inlineStr">
        <is>
          <t>Supporting / impact</t>
        </is>
      </c>
      <c r="G461" s="972" t="inlineStr">
        <is>
          <t>Yes</t>
        </is>
      </c>
      <c r="H461" s="972" t="inlineStr">
        <is>
          <t>Yes</t>
        </is>
      </c>
      <c r="I461" s="972" t="inlineStr">
        <is>
          <t>Yes</t>
        </is>
      </c>
      <c r="J461" s="972" t="n">
        <v>3</v>
      </c>
      <c r="K461" s="972" t="inlineStr">
        <is>
          <t>ADDED v1.2: Block Reporting Message can cause loss of process visibility.</t>
        </is>
      </c>
      <c r="L461" s="452" t="inlineStr">
        <is>
          <t>https://attack.mitre.org/techniques/T1691/002</t>
        </is>
      </c>
      <c r="M461" s="973" t="inlineStr">
        <is>
          <t>Yes</t>
        </is>
      </c>
      <c r="N461" s="973" t="inlineStr">
        <is>
          <t>No explicit facility gate — defaults feasible</t>
        </is>
      </c>
      <c r="O461" s="973" t="inlineStr">
        <is>
          <t>Reporting Message is an ATT&amp;CK for ICS impact or response-inhibition technique that can support one or more governed adverse scenarios; scenario role remains controlled on 09.</t>
        </is>
      </c>
      <c r="P461" s="973" t="inlineStr">
        <is>
          <t>https://csrc.nist.gov/pubs/sp/800/82/r3/final</t>
        </is>
      </c>
    </row>
    <row r="462" ht="15" customHeight="1" s="508">
      <c r="A462" s="972" t="inlineStr">
        <is>
          <t>Cybercriminal</t>
        </is>
      </c>
      <c r="B462" s="972" t="inlineStr">
        <is>
          <t>Loss of Control or Visibility</t>
        </is>
      </c>
      <c r="C462" s="972" t="inlineStr">
        <is>
          <t>T1692.002</t>
        </is>
      </c>
      <c r="D462" s="972" t="inlineStr">
        <is>
          <t>Reporting Message</t>
        </is>
      </c>
      <c r="E462" s="972" t="inlineStr">
        <is>
          <t>S5</t>
        </is>
      </c>
      <c r="F462" s="972" t="inlineStr">
        <is>
          <t>Supporting / impact</t>
        </is>
      </c>
      <c r="G462" s="972" t="inlineStr">
        <is>
          <t>Yes</t>
        </is>
      </c>
      <c r="H462" s="972" t="inlineStr">
        <is>
          <t>Yes</t>
        </is>
      </c>
      <c r="I462" s="972" t="inlineStr">
        <is>
          <t>Yes</t>
        </is>
      </c>
      <c r="J462" s="972" t="n">
        <v>5</v>
      </c>
      <c r="K462" s="972" t="inlineStr">
        <is>
          <t>ADDED v1.2: Unauthorized Reporting Message falsifies process telemetry presented to operators.</t>
        </is>
      </c>
      <c r="L462" s="452" t="inlineStr">
        <is>
          <t>https://attack.mitre.org/techniques/T1692/002</t>
        </is>
      </c>
      <c r="M462" s="973" t="inlineStr">
        <is>
          <t>Yes</t>
        </is>
      </c>
      <c r="N462" s="973" t="inlineStr">
        <is>
          <t>No explicit facility gate — defaults feasible</t>
        </is>
      </c>
      <c r="O462" s="973" t="inlineStr">
        <is>
          <t>Reporting Message is an ATT&amp;CK for ICS impact or response-inhibition technique that can support one or more governed adverse scenarios; scenario role remains controlled on 09.</t>
        </is>
      </c>
      <c r="P462" s="973" t="inlineStr">
        <is>
          <t>https://csrc.nist.gov/pubs/sp/800/82/r3/final</t>
        </is>
      </c>
    </row>
    <row r="463" ht="15" customHeight="1" s="508">
      <c r="A463" s="972" t="inlineStr">
        <is>
          <t>Cybercriminal</t>
        </is>
      </c>
      <c r="B463" s="972" t="inlineStr">
        <is>
          <t>Loss of Control or Visibility</t>
        </is>
      </c>
      <c r="C463" s="972" t="inlineStr">
        <is>
          <t>T0892</t>
        </is>
      </c>
      <c r="D463" s="972" t="inlineStr">
        <is>
          <t>Change Credential</t>
        </is>
      </c>
      <c r="E463" s="972" t="inlineStr">
        <is>
          <t>S5</t>
        </is>
      </c>
      <c r="F463" s="972" t="inlineStr">
        <is>
          <t>Supporting / impact</t>
        </is>
      </c>
      <c r="G463" s="972" t="inlineStr">
        <is>
          <t>Yes</t>
        </is>
      </c>
      <c r="H463" s="972" t="inlineStr">
        <is>
          <t>Yes</t>
        </is>
      </c>
      <c r="I463" s="972" t="inlineStr">
        <is>
          <t>Yes</t>
        </is>
      </c>
      <c r="J463" s="972" t="n">
        <v>3</v>
      </c>
      <c r="K463" s="972" t="inlineStr">
        <is>
          <t>ADDED v1.2: Change Credential can prevent legitimate operator access to control systems.</t>
        </is>
      </c>
      <c r="L463" s="452" t="inlineStr">
        <is>
          <t>https://attack.mitre.org/techniques/T0892</t>
        </is>
      </c>
      <c r="M463" s="973" t="inlineStr">
        <is>
          <t>Yes</t>
        </is>
      </c>
      <c r="N463" s="973" t="inlineStr">
        <is>
          <t>No explicit facility gate — defaults feasible</t>
        </is>
      </c>
      <c r="O463" s="973" t="inlineStr">
        <is>
          <t>Change Credential is an ATT&amp;CK for ICS impact or response-inhibition technique that can support one or more governed adverse scenarios; scenario role remains controlled on 09.</t>
        </is>
      </c>
      <c r="P463" s="973" t="inlineStr">
        <is>
          <t>https://csrc.nist.gov/pubs/sp/800/82/r3/final</t>
        </is>
      </c>
    </row>
    <row r="464" ht="15" customHeight="1" s="508">
      <c r="A464" s="972" t="inlineStr">
        <is>
          <t>Cybercriminal</t>
        </is>
      </c>
      <c r="B464" s="972" t="inlineStr">
        <is>
          <t>Loss of Control or Visibility</t>
        </is>
      </c>
      <c r="C464" s="972" t="inlineStr">
        <is>
          <t>T0832</t>
        </is>
      </c>
      <c r="D464" s="972" t="inlineStr">
        <is>
          <t>Manipulation of View</t>
        </is>
      </c>
      <c r="E464" s="972" t="inlineStr">
        <is>
          <t>S5</t>
        </is>
      </c>
      <c r="F464" s="972" t="inlineStr">
        <is>
          <t>Supporting / impact</t>
        </is>
      </c>
      <c r="G464" s="972" t="inlineStr">
        <is>
          <t>Yes</t>
        </is>
      </c>
      <c r="H464" s="972" t="inlineStr">
        <is>
          <t>Yes</t>
        </is>
      </c>
      <c r="I464" s="972" t="inlineStr">
        <is>
          <t>Yes</t>
        </is>
      </c>
      <c r="J464" s="972" t="n">
        <v>3</v>
      </c>
      <c r="K464" s="972" t="inlineStr">
        <is>
          <t>ADDED v1.2: Manipulation of View — deceptive or compromised process visibility.</t>
        </is>
      </c>
      <c r="L464" s="452" t="inlineStr">
        <is>
          <t>https://attack.mitre.org/techniques/T0832</t>
        </is>
      </c>
      <c r="M464" s="973" t="inlineStr">
        <is>
          <t>Yes</t>
        </is>
      </c>
      <c r="N464" s="973" t="inlineStr">
        <is>
          <t>No explicit facility gate — defaults feasible</t>
        </is>
      </c>
      <c r="O464" s="973" t="inlineStr">
        <is>
          <t>Manipulation of View is an ATT&amp;CK for ICS impact or response-inhibition technique that can support one or more governed adverse scenarios; scenario role remains controlled on 09.</t>
        </is>
      </c>
      <c r="P464" s="973" t="inlineStr">
        <is>
          <t>https://csrc.nist.gov/pubs/sp/800/82/r3/final</t>
        </is>
      </c>
    </row>
    <row r="465" ht="15" customHeight="1" s="508">
      <c r="A465" s="972" t="inlineStr">
        <is>
          <t>Cybercriminal</t>
        </is>
      </c>
      <c r="B465" s="972" t="inlineStr">
        <is>
          <t>Process Manipulation</t>
        </is>
      </c>
      <c r="C465" s="972" t="inlineStr">
        <is>
          <t>T0830</t>
        </is>
      </c>
      <c r="D465" s="972" t="inlineStr">
        <is>
          <t>Adversary-in-the-Middle</t>
        </is>
      </c>
      <c r="E465" s="972" t="inlineStr">
        <is>
          <t>S4</t>
        </is>
      </c>
      <c r="F465" s="972" t="inlineStr">
        <is>
          <t>Candidate enabling technique</t>
        </is>
      </c>
      <c r="G465" s="972" t="inlineStr">
        <is>
          <t>Yes</t>
        </is>
      </c>
      <c r="H465" s="972" t="inlineStr">
        <is>
          <t>Yes</t>
        </is>
      </c>
      <c r="I465" s="972" t="inlineStr">
        <is>
          <t>Yes</t>
        </is>
      </c>
      <c r="J465" s="972" t="n">
        <v>8</v>
      </c>
      <c r="K465" s="972" t="inlineStr">
        <is>
          <t>Model Mapping</t>
        </is>
      </c>
      <c r="L465" s="452" t="inlineStr">
        <is>
          <t>https://attack.mitre.org/techniques/T0830</t>
        </is>
      </c>
      <c r="M465" s="973" t="inlineStr">
        <is>
          <t>Yes</t>
        </is>
      </c>
      <c r="N465" s="973" t="inlineStr">
        <is>
          <t>No explicit facility gate — defaults feasible</t>
        </is>
      </c>
      <c r="O465" s="973" t="inlineStr">
        <is>
          <t>Adversary-in-the-Middle can support discovery or interaction with process state, control assets and operational data in Power Generation environments.</t>
        </is>
      </c>
      <c r="P465" s="973" t="inlineStr">
        <is>
          <t>https://csrc.nist.gov/pubs/sp/800/82/r3/final</t>
        </is>
      </c>
    </row>
    <row r="466" ht="15" customHeight="1" s="508">
      <c r="A466" s="972" t="inlineStr">
        <is>
          <t>Cybercriminal</t>
        </is>
      </c>
      <c r="B466" s="972" t="inlineStr">
        <is>
          <t>Process Manipulation</t>
        </is>
      </c>
      <c r="C466" s="972" t="inlineStr">
        <is>
          <t>T0802</t>
        </is>
      </c>
      <c r="D466" s="972" t="inlineStr">
        <is>
          <t>Automated Collection</t>
        </is>
      </c>
      <c r="E466" s="972" t="inlineStr">
        <is>
          <t>S4</t>
        </is>
      </c>
      <c r="F466" s="972" t="inlineStr">
        <is>
          <t>Candidate enabling technique</t>
        </is>
      </c>
      <c r="G466" s="972" t="inlineStr">
        <is>
          <t>Yes</t>
        </is>
      </c>
      <c r="H466" s="972" t="inlineStr">
        <is>
          <t>Yes</t>
        </is>
      </c>
      <c r="I466" s="972" t="inlineStr">
        <is>
          <t>Yes</t>
        </is>
      </c>
      <c r="J466" s="972" t="n">
        <v>2</v>
      </c>
      <c r="K466" s="972" t="inlineStr">
        <is>
          <t>Model Mapping</t>
        </is>
      </c>
      <c r="L466" s="452" t="inlineStr">
        <is>
          <t>https://attack.mitre.org/techniques/T0802</t>
        </is>
      </c>
      <c r="M466" s="973" t="inlineStr">
        <is>
          <t>Yes</t>
        </is>
      </c>
      <c r="N466" s="973" t="inlineStr">
        <is>
          <t>No explicit facility gate — defaults feasible</t>
        </is>
      </c>
      <c r="O466" s="973" t="inlineStr">
        <is>
          <t>Automated Collection can support discovery or interaction with process state, control assets and operational data in Power Generation environments.</t>
        </is>
      </c>
      <c r="P466" s="973" t="inlineStr">
        <is>
          <t>https://csrc.nist.gov/pubs/sp/800/82/r3/final</t>
        </is>
      </c>
    </row>
    <row r="467" ht="15" customHeight="1" s="508">
      <c r="A467" s="972" t="inlineStr">
        <is>
          <t>Cybercriminal</t>
        </is>
      </c>
      <c r="B467" s="972" t="inlineStr">
        <is>
          <t>Process Manipulation</t>
        </is>
      </c>
      <c r="C467" s="972" t="inlineStr">
        <is>
          <t>T0895</t>
        </is>
      </c>
      <c r="D467" s="972" t="inlineStr">
        <is>
          <t>Autorun Image</t>
        </is>
      </c>
      <c r="E467" s="972" t="inlineStr">
        <is>
          <t>S2</t>
        </is>
      </c>
      <c r="F467" s="972" t="inlineStr">
        <is>
          <t>Candidate enabling technique</t>
        </is>
      </c>
      <c r="G467" s="972" t="inlineStr">
        <is>
          <t>Yes</t>
        </is>
      </c>
      <c r="H467" s="972" t="inlineStr">
        <is>
          <t>Yes</t>
        </is>
      </c>
      <c r="I467" s="972" t="inlineStr">
        <is>
          <t>Yes</t>
        </is>
      </c>
      <c r="J467" s="972" t="n">
        <v>1</v>
      </c>
      <c r="K467" s="972" t="inlineStr">
        <is>
          <t>Model Mapping</t>
        </is>
      </c>
      <c r="L467" s="452" t="inlineStr">
        <is>
          <t>https://attack.mitre.org/techniques/T0895</t>
        </is>
      </c>
      <c r="M467" s="973" t="inlineStr">
        <is>
          <t>Yes</t>
        </is>
      </c>
      <c r="N467" s="973" t="inlineStr">
        <is>
          <t>No explicit facility gate — defaults feasible</t>
        </is>
      </c>
      <c r="O467" s="973" t="inlineStr">
        <is>
          <t>Autorun Image is applicable to execution or persistence on engineering workstations, HMIs, servers or controllers used in Power Generation facilities.</t>
        </is>
      </c>
      <c r="P467" s="973" t="inlineStr">
        <is>
          <t>https://csrc.nist.gov/pubs/sp/800/82/r3/final</t>
        </is>
      </c>
    </row>
    <row r="468" ht="15" customHeight="1" s="508">
      <c r="A468" s="972" t="inlineStr">
        <is>
          <t>Cybercriminal</t>
        </is>
      </c>
      <c r="B468" s="972" t="inlineStr">
        <is>
          <t>Process Manipulation</t>
        </is>
      </c>
      <c r="C468" s="972" t="inlineStr">
        <is>
          <t>T0846.002</t>
        </is>
      </c>
      <c r="D468" s="972" t="inlineStr">
        <is>
          <t>Broadcast Discovery</t>
        </is>
      </c>
      <c r="E468" s="972" t="inlineStr">
        <is>
          <t>S4</t>
        </is>
      </c>
      <c r="F468" s="972" t="inlineStr">
        <is>
          <t>Candidate enabling technique</t>
        </is>
      </c>
      <c r="G468" s="972" t="inlineStr">
        <is>
          <t>Yes</t>
        </is>
      </c>
      <c r="H468" s="972" t="inlineStr">
        <is>
          <t>Yes</t>
        </is>
      </c>
      <c r="I468" s="972" t="inlineStr">
        <is>
          <t>Yes</t>
        </is>
      </c>
      <c r="J468" s="972" t="n">
        <v>2</v>
      </c>
      <c r="K468" s="972" t="inlineStr">
        <is>
          <t>Model Mapping</t>
        </is>
      </c>
      <c r="L468" s="452" t="inlineStr">
        <is>
          <t>https://attack.mitre.org/techniques/T0846/002</t>
        </is>
      </c>
      <c r="M468" s="973" t="inlineStr">
        <is>
          <t>Yes</t>
        </is>
      </c>
      <c r="N468" s="973" t="inlineStr">
        <is>
          <t>No explicit facility gate — defaults feasible</t>
        </is>
      </c>
      <c r="O468" s="973" t="inlineStr">
        <is>
          <t>Broadcast Discovery can support discovery or interaction with process state, control assets and operational data in Power Generation environments.</t>
        </is>
      </c>
      <c r="P468" s="973" t="inlineStr">
        <is>
          <t>https://csrc.nist.gov/pubs/sp/800/82/r3/final</t>
        </is>
      </c>
    </row>
    <row r="469" ht="15" customHeight="1" s="508">
      <c r="A469" s="972" t="inlineStr">
        <is>
          <t>Cybercriminal</t>
        </is>
      </c>
      <c r="B469" s="972" t="inlineStr">
        <is>
          <t>Process Manipulation</t>
        </is>
      </c>
      <c r="C469" s="972" t="inlineStr">
        <is>
          <t>T0806</t>
        </is>
      </c>
      <c r="D469" s="972" t="inlineStr">
        <is>
          <t>Brute Force I/O</t>
        </is>
      </c>
      <c r="E469" s="972" t="inlineStr">
        <is>
          <t>S5</t>
        </is>
      </c>
      <c r="F469" s="972" t="inlineStr">
        <is>
          <t>Supporting / impact</t>
        </is>
      </c>
      <c r="G469" s="972" t="inlineStr">
        <is>
          <t>Yes</t>
        </is>
      </c>
      <c r="H469" s="972" t="inlineStr">
        <is>
          <t>Yes</t>
        </is>
      </c>
      <c r="I469" s="972" t="inlineStr">
        <is>
          <t>Yes</t>
        </is>
      </c>
      <c r="J469" s="972" t="n">
        <v>4</v>
      </c>
      <c r="K469" s="972" t="inlineStr">
        <is>
          <t>Model Mapping</t>
        </is>
      </c>
      <c r="L469" s="452" t="inlineStr">
        <is>
          <t>https://attack.mitre.org/techniques/T0806</t>
        </is>
      </c>
      <c r="M469" s="973" t="inlineStr">
        <is>
          <t>Yes</t>
        </is>
      </c>
      <c r="N469" s="973" t="inlineStr">
        <is>
          <t>No explicit facility gate — defaults feasible</t>
        </is>
      </c>
      <c r="O469" s="973" t="inlineStr">
        <is>
          <t>Brute Force I/O is an ATT&amp;CK for ICS impact or response-inhibition technique that can support one or more governed adverse scenarios; scenario role remains controlled on 09.</t>
        </is>
      </c>
      <c r="P469" s="973" t="inlineStr">
        <is>
          <t>https://csrc.nist.gov/pubs/sp/800/82/r3/final</t>
        </is>
      </c>
    </row>
    <row r="470" ht="15" customHeight="1" s="508">
      <c r="A470" s="972" t="inlineStr">
        <is>
          <t>Cybercriminal</t>
        </is>
      </c>
      <c r="B470" s="972" t="inlineStr">
        <is>
          <t>Process Manipulation</t>
        </is>
      </c>
      <c r="C470" s="972" t="inlineStr">
        <is>
          <t>T0858</t>
        </is>
      </c>
      <c r="D470" s="972" t="inlineStr">
        <is>
          <t>Change Operating Mode</t>
        </is>
      </c>
      <c r="E470" s="972" t="inlineStr">
        <is>
          <t>S2</t>
        </is>
      </c>
      <c r="F470" s="972" t="inlineStr">
        <is>
          <t>Candidate enabling technique</t>
        </is>
      </c>
      <c r="G470" s="972" t="inlineStr">
        <is>
          <t>Yes</t>
        </is>
      </c>
      <c r="H470" s="972" t="inlineStr">
        <is>
          <t>Yes</t>
        </is>
      </c>
      <c r="I470" s="972" t="inlineStr">
        <is>
          <t>Yes</t>
        </is>
      </c>
      <c r="J470" s="972" t="n">
        <v>7</v>
      </c>
      <c r="K470" s="972" t="inlineStr">
        <is>
          <t>Model Mapping</t>
        </is>
      </c>
      <c r="L470" s="452" t="inlineStr">
        <is>
          <t>https://attack.mitre.org/techniques/T0858</t>
        </is>
      </c>
      <c r="M470" s="973" t="inlineStr">
        <is>
          <t>Yes</t>
        </is>
      </c>
      <c r="N470" s="973" t="inlineStr">
        <is>
          <t>No explicit facility gate — defaults feasible</t>
        </is>
      </c>
      <c r="O470" s="973" t="inlineStr">
        <is>
          <t>Change Operating Mode is applicable to execution or persistence on engineering workstations, HMIs, servers or controllers used in Power Generation facilities.</t>
        </is>
      </c>
      <c r="P470" s="973" t="inlineStr">
        <is>
          <t>https://csrc.nist.gov/pubs/sp/800/82/r3/final</t>
        </is>
      </c>
    </row>
    <row r="471" ht="15" customHeight="1" s="508">
      <c r="A471" s="972" t="inlineStr">
        <is>
          <t>Cybercriminal</t>
        </is>
      </c>
      <c r="B471" s="972" t="inlineStr">
        <is>
          <t>Process Manipulation</t>
        </is>
      </c>
      <c r="C471" s="972" t="inlineStr">
        <is>
          <t>T1692.001</t>
        </is>
      </c>
      <c r="D471" s="972" t="inlineStr">
        <is>
          <t>Command Message</t>
        </is>
      </c>
      <c r="E471" s="972" t="inlineStr">
        <is>
          <t>S5</t>
        </is>
      </c>
      <c r="F471" s="972" t="inlineStr">
        <is>
          <t>Scenario-defining</t>
        </is>
      </c>
      <c r="G471" s="972" t="inlineStr">
        <is>
          <t>Yes</t>
        </is>
      </c>
      <c r="H471" s="972" t="inlineStr">
        <is>
          <t>Yes</t>
        </is>
      </c>
      <c r="I471" s="972" t="inlineStr">
        <is>
          <t>Yes</t>
        </is>
      </c>
      <c r="J471" s="972" t="n">
        <v>6</v>
      </c>
      <c r="K471" s="972" t="inlineStr">
        <is>
          <t>Model Mapping</t>
        </is>
      </c>
      <c r="L471" s="452" t="inlineStr">
        <is>
          <t>https://attack.mitre.org/techniques/T1692/001</t>
        </is>
      </c>
      <c r="M471" s="973" t="inlineStr">
        <is>
          <t>Yes</t>
        </is>
      </c>
      <c r="N471" s="973" t="inlineStr">
        <is>
          <t>No explicit facility gate — defaults feasible</t>
        </is>
      </c>
      <c r="O471" s="973" t="inlineStr">
        <is>
          <t>Command Message is an ATT&amp;CK for ICS impact or response-inhibition technique that can support one or more governed adverse scenarios; scenario role remains controlled on 09.</t>
        </is>
      </c>
      <c r="P471" s="973" t="inlineStr">
        <is>
          <t>https://csrc.nist.gov/pubs/sp/800/82/r3/final</t>
        </is>
      </c>
    </row>
    <row r="472" ht="15" customHeight="1" s="508">
      <c r="A472" s="972" t="inlineStr">
        <is>
          <t>Cybercriminal</t>
        </is>
      </c>
      <c r="B472" s="972" t="inlineStr">
        <is>
          <t>Process Manipulation</t>
        </is>
      </c>
      <c r="C472" s="972" t="inlineStr">
        <is>
          <t>T1691.001</t>
        </is>
      </c>
      <c r="D472" s="972" t="inlineStr">
        <is>
          <t>Command Message</t>
        </is>
      </c>
      <c r="E472" s="972" t="inlineStr">
        <is>
          <t>S5</t>
        </is>
      </c>
      <c r="F472" s="972" t="inlineStr">
        <is>
          <t>Supporting / impact</t>
        </is>
      </c>
      <c r="G472" s="972" t="inlineStr">
        <is>
          <t>Yes</t>
        </is>
      </c>
      <c r="H472" s="972" t="inlineStr">
        <is>
          <t>Yes</t>
        </is>
      </c>
      <c r="I472" s="972" t="inlineStr">
        <is>
          <t>Yes</t>
        </is>
      </c>
      <c r="J472" s="972" t="n">
        <v>3</v>
      </c>
      <c r="K472" s="972" t="inlineStr">
        <is>
          <t>RECLASSIFIED v1.2: Block Command Message prevents a command reaching its target (inhibit response); it does not issue a malicious command, so it cannot define Process Manipulation.</t>
        </is>
      </c>
      <c r="L472" s="452" t="inlineStr">
        <is>
          <t>https://attack.mitre.org/techniques/T1691/001</t>
        </is>
      </c>
      <c r="M472" s="973" t="inlineStr">
        <is>
          <t>Yes</t>
        </is>
      </c>
      <c r="N472" s="973" t="inlineStr">
        <is>
          <t>No explicit facility gate — defaults feasible</t>
        </is>
      </c>
      <c r="O472" s="973" t="inlineStr">
        <is>
          <t>Command Message is an ATT&amp;CK for ICS impact or response-inhibition technique that can support one or more governed adverse scenarios; scenario role remains controlled on 09.</t>
        </is>
      </c>
      <c r="P472" s="973" t="inlineStr">
        <is>
          <t>https://csrc.nist.gov/pubs/sp/800/82/r3/final</t>
        </is>
      </c>
    </row>
    <row r="473" ht="15" customHeight="1" s="508">
      <c r="A473" s="972" t="inlineStr">
        <is>
          <t>Cybercriminal</t>
        </is>
      </c>
      <c r="B473" s="972" t="inlineStr">
        <is>
          <t>Process Manipulation</t>
        </is>
      </c>
      <c r="C473" s="972" t="inlineStr">
        <is>
          <t>T0807</t>
        </is>
      </c>
      <c r="D473" s="972" t="inlineStr">
        <is>
          <t>Command-Line Interface</t>
        </is>
      </c>
      <c r="E473" s="972" t="inlineStr">
        <is>
          <t>S2</t>
        </is>
      </c>
      <c r="F473" s="972" t="inlineStr">
        <is>
          <t>Candidate enabling technique</t>
        </is>
      </c>
      <c r="G473" s="972" t="inlineStr">
        <is>
          <t>Yes</t>
        </is>
      </c>
      <c r="H473" s="972" t="inlineStr">
        <is>
          <t>Yes</t>
        </is>
      </c>
      <c r="I473" s="972" t="inlineStr">
        <is>
          <t>Yes</t>
        </is>
      </c>
      <c r="J473" s="972" t="n">
        <v>2</v>
      </c>
      <c r="K473" s="972" t="inlineStr">
        <is>
          <t>Model Mapping</t>
        </is>
      </c>
      <c r="L473" s="452" t="inlineStr">
        <is>
          <t>https://attack.mitre.org/techniques/T0807</t>
        </is>
      </c>
      <c r="M473" s="973" t="inlineStr">
        <is>
          <t>Yes</t>
        </is>
      </c>
      <c r="N473" s="973" t="inlineStr">
        <is>
          <t>No explicit facility gate — defaults feasible</t>
        </is>
      </c>
      <c r="O473" s="973" t="inlineStr">
        <is>
          <t>Command-Line Interface is applicable to execution or persistence on engineering workstations, HMIs, servers or controllers used in Power Generation facilities.</t>
        </is>
      </c>
      <c r="P473" s="973" t="inlineStr">
        <is>
          <t>https://csrc.nist.gov/pubs/sp/800/82/r3/final</t>
        </is>
      </c>
    </row>
    <row r="474" ht="15" customHeight="1" s="508">
      <c r="A474" s="972" t="inlineStr">
        <is>
          <t>Cybercriminal</t>
        </is>
      </c>
      <c r="B474" s="972" t="inlineStr">
        <is>
          <t>Process Manipulation</t>
        </is>
      </c>
      <c r="C474" s="972" t="inlineStr">
        <is>
          <t>T0885</t>
        </is>
      </c>
      <c r="D474" s="972" t="inlineStr">
        <is>
          <t>Commonly Used Port</t>
        </is>
      </c>
      <c r="E474" s="972" t="inlineStr">
        <is>
          <t>S3</t>
        </is>
      </c>
      <c r="F474" s="972" t="inlineStr">
        <is>
          <t>Candidate enabling technique</t>
        </is>
      </c>
      <c r="G474" s="972" t="inlineStr">
        <is>
          <t>Yes</t>
        </is>
      </c>
      <c r="H474" s="972" t="inlineStr">
        <is>
          <t>Yes</t>
        </is>
      </c>
      <c r="I474" s="972" t="inlineStr">
        <is>
          <t>Yes</t>
        </is>
      </c>
      <c r="J474" s="972" t="n">
        <v>4</v>
      </c>
      <c r="K474" s="972" t="inlineStr">
        <is>
          <t>Model Mapping</t>
        </is>
      </c>
      <c r="L474" s="452" t="inlineStr">
        <is>
          <t>https://attack.mitre.org/techniques/T0885</t>
        </is>
      </c>
      <c r="M474" s="973" t="inlineStr">
        <is>
          <t>Yes</t>
        </is>
      </c>
      <c r="N474" s="973" t="inlineStr">
        <is>
          <t>No explicit facility gate — defaults feasible</t>
        </is>
      </c>
      <c r="O474" s="973" t="inlineStr">
        <is>
          <t>Commonly Used Port can support movement toward or within plant/control zones; actual reachability is governed by the assessed facility architecture.</t>
        </is>
      </c>
      <c r="P474" s="973" t="inlineStr">
        <is>
          <t>https://csrc.nist.gov/pubs/sp/800/82/r3/final</t>
        </is>
      </c>
    </row>
    <row r="475" ht="15" customHeight="1" s="508">
      <c r="A475" s="972" t="inlineStr">
        <is>
          <t>Cybercriminal</t>
        </is>
      </c>
      <c r="B475" s="972" t="inlineStr">
        <is>
          <t>Process Manipulation</t>
        </is>
      </c>
      <c r="C475" s="972" t="inlineStr">
        <is>
          <t>T0884</t>
        </is>
      </c>
      <c r="D475" s="972" t="inlineStr">
        <is>
          <t>Connection Proxy</t>
        </is>
      </c>
      <c r="E475" s="972" t="inlineStr">
        <is>
          <t>S3</t>
        </is>
      </c>
      <c r="F475" s="972" t="inlineStr">
        <is>
          <t>Candidate enabling technique</t>
        </is>
      </c>
      <c r="G475" s="972" t="inlineStr">
        <is>
          <t>Yes</t>
        </is>
      </c>
      <c r="H475" s="972" t="inlineStr">
        <is>
          <t>Yes</t>
        </is>
      </c>
      <c r="I475" s="972" t="inlineStr">
        <is>
          <t>Yes</t>
        </is>
      </c>
      <c r="J475" s="972" t="n">
        <v>4</v>
      </c>
      <c r="K475" s="972" t="inlineStr">
        <is>
          <t>Model Mapping</t>
        </is>
      </c>
      <c r="L475" s="452" t="inlineStr">
        <is>
          <t>https://attack.mitre.org/techniques/T0884</t>
        </is>
      </c>
      <c r="M475" s="973" t="inlineStr">
        <is>
          <t>Yes</t>
        </is>
      </c>
      <c r="N475" s="973" t="inlineStr">
        <is>
          <t>No explicit facility gate — defaults feasible</t>
        </is>
      </c>
      <c r="O475" s="973" t="inlineStr">
        <is>
          <t>Connection Proxy can support movement toward or within plant/control zones; actual reachability is governed by the assessed facility architecture.</t>
        </is>
      </c>
      <c r="P475" s="973" t="inlineStr">
        <is>
          <t>https://csrc.nist.gov/pubs/sp/800/82/r3/final</t>
        </is>
      </c>
    </row>
    <row r="476" ht="15" customHeight="1" s="508">
      <c r="A476" s="972" t="inlineStr">
        <is>
          <t>Cybercriminal</t>
        </is>
      </c>
      <c r="B476" s="972" t="inlineStr">
        <is>
          <t>Process Manipulation</t>
        </is>
      </c>
      <c r="C476" s="972" t="inlineStr">
        <is>
          <t>T0811</t>
        </is>
      </c>
      <c r="D476" s="972" t="inlineStr">
        <is>
          <t>Data from Information Repositories</t>
        </is>
      </c>
      <c r="E476" s="972" t="inlineStr">
        <is>
          <t>S4</t>
        </is>
      </c>
      <c r="F476" s="972" t="inlineStr">
        <is>
          <t>Candidate enabling technique</t>
        </is>
      </c>
      <c r="G476" s="972" t="inlineStr">
        <is>
          <t>Yes</t>
        </is>
      </c>
      <c r="H476" s="972" t="inlineStr">
        <is>
          <t>Yes</t>
        </is>
      </c>
      <c r="I476" s="972" t="inlineStr">
        <is>
          <t>Yes</t>
        </is>
      </c>
      <c r="J476" s="972" t="n">
        <v>6</v>
      </c>
      <c r="K476" s="972" t="inlineStr">
        <is>
          <t>Model Mapping</t>
        </is>
      </c>
      <c r="L476" s="452" t="inlineStr">
        <is>
          <t>https://attack.mitre.org/techniques/T0811</t>
        </is>
      </c>
      <c r="M476" s="973" t="inlineStr">
        <is>
          <t>Yes</t>
        </is>
      </c>
      <c r="N476" s="973" t="inlineStr">
        <is>
          <t>No explicit facility gate — defaults feasible</t>
        </is>
      </c>
      <c r="O476" s="973" t="inlineStr">
        <is>
          <t>Data from Information Repositories can support discovery or interaction with process state, control assets and operational data in Power Generation environments.</t>
        </is>
      </c>
      <c r="P476" s="973" t="inlineStr">
        <is>
          <t>https://csrc.nist.gov/pubs/sp/800/82/r3/final</t>
        </is>
      </c>
    </row>
    <row r="477" ht="15" customHeight="1" s="508">
      <c r="A477" s="972" t="inlineStr">
        <is>
          <t>Cybercriminal</t>
        </is>
      </c>
      <c r="B477" s="972" t="inlineStr">
        <is>
          <t>Process Manipulation</t>
        </is>
      </c>
      <c r="C477" s="972" t="inlineStr">
        <is>
          <t>T0893</t>
        </is>
      </c>
      <c r="D477" s="972" t="inlineStr">
        <is>
          <t>Data from Local System</t>
        </is>
      </c>
      <c r="E477" s="972" t="inlineStr">
        <is>
          <t>S4</t>
        </is>
      </c>
      <c r="F477" s="972" t="inlineStr">
        <is>
          <t>Candidate enabling technique</t>
        </is>
      </c>
      <c r="G477" s="972" t="inlineStr">
        <is>
          <t>Yes</t>
        </is>
      </c>
      <c r="H477" s="972" t="inlineStr">
        <is>
          <t>Yes</t>
        </is>
      </c>
      <c r="I477" s="972" t="inlineStr">
        <is>
          <t>Yes</t>
        </is>
      </c>
      <c r="J477" s="972" t="n">
        <v>4</v>
      </c>
      <c r="K477" s="972" t="inlineStr">
        <is>
          <t>Model Mapping</t>
        </is>
      </c>
      <c r="L477" s="452" t="inlineStr">
        <is>
          <t>https://attack.mitre.org/techniques/T0893</t>
        </is>
      </c>
      <c r="M477" s="973" t="inlineStr">
        <is>
          <t>Yes</t>
        </is>
      </c>
      <c r="N477" s="973" t="inlineStr">
        <is>
          <t>No explicit facility gate — defaults feasible</t>
        </is>
      </c>
      <c r="O477" s="973" t="inlineStr">
        <is>
          <t>Data from Local System can support discovery or interaction with process state, control assets and operational data in Power Generation environments.</t>
        </is>
      </c>
      <c r="P477" s="973" t="inlineStr">
        <is>
          <t>https://csrc.nist.gov/pubs/sp/800/82/r3/final</t>
        </is>
      </c>
    </row>
    <row r="478" ht="15" customHeight="1" s="508">
      <c r="A478" s="972" t="inlineStr">
        <is>
          <t>Cybercriminal</t>
        </is>
      </c>
      <c r="B478" s="972" t="inlineStr">
        <is>
          <t>Process Manipulation</t>
        </is>
      </c>
      <c r="C478" s="972" t="inlineStr">
        <is>
          <t>T1694.001</t>
        </is>
      </c>
      <c r="D478" s="972" t="inlineStr">
        <is>
          <t>Default Credentials</t>
        </is>
      </c>
      <c r="E478" s="972" t="inlineStr">
        <is>
          <t>S3</t>
        </is>
      </c>
      <c r="F478" s="972" t="inlineStr">
        <is>
          <t>Candidate enabling technique</t>
        </is>
      </c>
      <c r="G478" s="972" t="inlineStr">
        <is>
          <t>Yes</t>
        </is>
      </c>
      <c r="H478" s="972" t="inlineStr">
        <is>
          <t>Yes</t>
        </is>
      </c>
      <c r="I478" s="972" t="inlineStr">
        <is>
          <t>Yes</t>
        </is>
      </c>
      <c r="J478" s="972" t="n">
        <v>2</v>
      </c>
      <c r="K478" s="972" t="inlineStr">
        <is>
          <t>Model Mapping</t>
        </is>
      </c>
      <c r="L478" s="452" t="inlineStr">
        <is>
          <t>https://attack.mitre.org/techniques/T1694/001</t>
        </is>
      </c>
      <c r="M478" s="973" t="inlineStr">
        <is>
          <t>Yes</t>
        </is>
      </c>
      <c r="N478" s="973" t="inlineStr">
        <is>
          <t>No explicit facility gate — defaults feasible</t>
        </is>
      </c>
      <c r="O478" s="973" t="inlineStr">
        <is>
          <t>Default Credentials can support movement toward or within plant/control zones; actual reachability is governed by the assessed facility architecture.</t>
        </is>
      </c>
      <c r="P478" s="973" t="inlineStr">
        <is>
          <t>https://csrc.nist.gov/pubs/sp/800/82/r3/final</t>
        </is>
      </c>
    </row>
    <row r="479" ht="15" customHeight="1" s="508">
      <c r="A479" s="972" t="inlineStr">
        <is>
          <t>Cybercriminal</t>
        </is>
      </c>
      <c r="B479" s="972" t="inlineStr">
        <is>
          <t>Process Manipulation</t>
        </is>
      </c>
      <c r="C479" s="972" t="inlineStr">
        <is>
          <t>T0868</t>
        </is>
      </c>
      <c r="D479" s="972" t="inlineStr">
        <is>
          <t>Detect Operating Mode</t>
        </is>
      </c>
      <c r="E479" s="972" t="inlineStr">
        <is>
          <t>S4</t>
        </is>
      </c>
      <c r="F479" s="972" t="inlineStr">
        <is>
          <t>Candidate enabling technique</t>
        </is>
      </c>
      <c r="G479" s="972" t="inlineStr">
        <is>
          <t>Yes</t>
        </is>
      </c>
      <c r="H479" s="972" t="inlineStr">
        <is>
          <t>Yes</t>
        </is>
      </c>
      <c r="I479" s="972" t="inlineStr">
        <is>
          <t>Yes</t>
        </is>
      </c>
      <c r="J479" s="972" t="n">
        <v>8</v>
      </c>
      <c r="K479" s="972" t="inlineStr">
        <is>
          <t>Model Mapping</t>
        </is>
      </c>
      <c r="L479" s="452" t="inlineStr">
        <is>
          <t>https://attack.mitre.org/techniques/T0868</t>
        </is>
      </c>
      <c r="M479" s="973" t="inlineStr">
        <is>
          <t>Yes</t>
        </is>
      </c>
      <c r="N479" s="973" t="inlineStr">
        <is>
          <t>No explicit facility gate — defaults feasible</t>
        </is>
      </c>
      <c r="O479" s="973" t="inlineStr">
        <is>
          <t>Detect Operating Mode can support discovery or interaction with process state, control assets and operational data in Power Generation environments.</t>
        </is>
      </c>
      <c r="P479" s="973" t="inlineStr">
        <is>
          <t>https://csrc.nist.gov/pubs/sp/800/82/r3/final</t>
        </is>
      </c>
    </row>
    <row r="480" ht="15" customHeight="1" s="508">
      <c r="A480" s="972" t="inlineStr">
        <is>
          <t>Cybercriminal</t>
        </is>
      </c>
      <c r="B480" s="972" t="inlineStr">
        <is>
          <t>Process Manipulation</t>
        </is>
      </c>
      <c r="C480" s="972" t="inlineStr">
        <is>
          <t>T0843.001</t>
        </is>
      </c>
      <c r="D480" s="972" t="inlineStr">
        <is>
          <t>Download All</t>
        </is>
      </c>
      <c r="E480" s="972" t="inlineStr">
        <is>
          <t>S3</t>
        </is>
      </c>
      <c r="F480" s="972" t="inlineStr">
        <is>
          <t>Candidate enabling technique</t>
        </is>
      </c>
      <c r="G480" s="972" t="inlineStr">
        <is>
          <t>Yes</t>
        </is>
      </c>
      <c r="H480" s="972" t="inlineStr">
        <is>
          <t>Yes</t>
        </is>
      </c>
      <c r="I480" s="972" t="inlineStr">
        <is>
          <t>Yes</t>
        </is>
      </c>
      <c r="J480" s="972" t="n">
        <v>10</v>
      </c>
      <c r="K480" s="972" t="inlineStr">
        <is>
          <t>Model Mapping</t>
        </is>
      </c>
      <c r="L480" s="452" t="inlineStr">
        <is>
          <t>https://attack.mitre.org/techniques/T0843/001</t>
        </is>
      </c>
      <c r="M480" s="973" t="inlineStr">
        <is>
          <t>Yes</t>
        </is>
      </c>
      <c r="N480" s="973" t="inlineStr">
        <is>
          <t>No explicit facility gate — defaults feasible</t>
        </is>
      </c>
      <c r="O480" s="973" t="inlineStr">
        <is>
          <t>Download All can support movement toward or within plant/control zones; actual reachability is governed by the assessed facility architecture.</t>
        </is>
      </c>
      <c r="P480" s="973" t="inlineStr">
        <is>
          <t>https://csrc.nist.gov/pubs/sp/800/82/r3/final</t>
        </is>
      </c>
    </row>
    <row r="481" ht="15" customHeight="1" s="508">
      <c r="A481" s="972" t="inlineStr">
        <is>
          <t>Cybercriminal</t>
        </is>
      </c>
      <c r="B481" s="972" t="inlineStr">
        <is>
          <t>Process Manipulation</t>
        </is>
      </c>
      <c r="C481" s="972" t="inlineStr">
        <is>
          <t>T0817</t>
        </is>
      </c>
      <c r="D481" s="972" t="inlineStr">
        <is>
          <t>Drive-by Compromise</t>
        </is>
      </c>
      <c r="E481" s="972" t="inlineStr">
        <is>
          <t>S1</t>
        </is>
      </c>
      <c r="F481" s="972" t="inlineStr">
        <is>
          <t>Candidate enabling technique</t>
        </is>
      </c>
      <c r="G481" s="972" t="inlineStr">
        <is>
          <t>Yes</t>
        </is>
      </c>
      <c r="H481" s="972" t="inlineStr">
        <is>
          <t>Yes</t>
        </is>
      </c>
      <c r="I481" s="972" t="inlineStr">
        <is>
          <t>Yes</t>
        </is>
      </c>
      <c r="J481" s="972" t="n">
        <v>4</v>
      </c>
      <c r="K481" s="972" t="inlineStr">
        <is>
          <t>Model Mapping</t>
        </is>
      </c>
      <c r="L481" s="452" t="inlineStr">
        <is>
          <t>https://attack.mitre.org/techniques/T0817</t>
        </is>
      </c>
      <c r="M481" s="973" t="inlineStr">
        <is>
          <t>Yes</t>
        </is>
      </c>
      <c r="N481" s="973" t="inlineStr">
        <is>
          <t>No explicit facility gate — defaults feasible</t>
        </is>
      </c>
      <c r="O481" s="973" t="inlineStr">
        <is>
          <t>The Drive-by Compromise route is credible for Power Generation OT when the enabling access condition exists; existing facility gates determine remote, internet, transient, supply-chain or wireless feasibility.</t>
        </is>
      </c>
      <c r="P481" s="973" t="inlineStr">
        <is>
          <t>https://csrc.nist.gov/pubs/sp/800/82/r3/final</t>
        </is>
      </c>
    </row>
    <row r="482" ht="15" customHeight="1" s="508">
      <c r="A482" s="972" t="inlineStr">
        <is>
          <t>Cybercriminal</t>
        </is>
      </c>
      <c r="B482" s="972" t="inlineStr">
        <is>
          <t>Process Manipulation</t>
        </is>
      </c>
      <c r="C482" s="972" t="inlineStr">
        <is>
          <t>T0871</t>
        </is>
      </c>
      <c r="D482" s="972" t="inlineStr">
        <is>
          <t>Execution through API</t>
        </is>
      </c>
      <c r="E482" s="972" t="inlineStr">
        <is>
          <t>S2</t>
        </is>
      </c>
      <c r="F482" s="972" t="inlineStr">
        <is>
          <t>Candidate enabling technique</t>
        </is>
      </c>
      <c r="G482" s="972" t="inlineStr">
        <is>
          <t>Yes</t>
        </is>
      </c>
      <c r="H482" s="972" t="inlineStr">
        <is>
          <t>Yes</t>
        </is>
      </c>
      <c r="I482" s="972" t="inlineStr">
        <is>
          <t>Yes</t>
        </is>
      </c>
      <c r="J482" s="972" t="n">
        <v>4</v>
      </c>
      <c r="K482" s="972" t="inlineStr">
        <is>
          <t>Model Mapping</t>
        </is>
      </c>
      <c r="L482" s="452" t="inlineStr">
        <is>
          <t>https://attack.mitre.org/techniques/T0871</t>
        </is>
      </c>
      <c r="M482" s="973" t="inlineStr">
        <is>
          <t>Yes</t>
        </is>
      </c>
      <c r="N482" s="973" t="inlineStr">
        <is>
          <t>No explicit facility gate — defaults feasible</t>
        </is>
      </c>
      <c r="O482" s="973" t="inlineStr">
        <is>
          <t>Execution through API is applicable to execution or persistence on engineering workstations, HMIs, servers or controllers used in Power Generation facilities.</t>
        </is>
      </c>
      <c r="P482" s="973" t="inlineStr">
        <is>
          <t>https://csrc.nist.gov/pubs/sp/800/82/r3/final</t>
        </is>
      </c>
    </row>
    <row r="483" ht="15" customHeight="1" s="508">
      <c r="A483" s="972" t="inlineStr">
        <is>
          <t>Cybercriminal</t>
        </is>
      </c>
      <c r="B483" s="972" t="inlineStr">
        <is>
          <t>Process Manipulation</t>
        </is>
      </c>
      <c r="C483" s="972" t="inlineStr">
        <is>
          <t>T0819</t>
        </is>
      </c>
      <c r="D483" s="972" t="inlineStr">
        <is>
          <t>Exploit Public-Facing Application</t>
        </is>
      </c>
      <c r="E483" s="972" t="inlineStr">
        <is>
          <t>S1</t>
        </is>
      </c>
      <c r="F483" s="972" t="inlineStr">
        <is>
          <t>Candidate enabling technique</t>
        </is>
      </c>
      <c r="G483" s="972" t="inlineStr">
        <is>
          <t>Yes</t>
        </is>
      </c>
      <c r="H483" s="972" t="inlineStr">
        <is>
          <t>Yes</t>
        </is>
      </c>
      <c r="I483" s="972" t="inlineStr">
        <is>
          <t>Yes</t>
        </is>
      </c>
      <c r="J483" s="972" t="n">
        <v>6</v>
      </c>
      <c r="K483" s="972" t="inlineStr">
        <is>
          <t>Model Mapping</t>
        </is>
      </c>
      <c r="L483" s="452" t="inlineStr">
        <is>
          <t>https://attack.mitre.org/techniques/T0819</t>
        </is>
      </c>
      <c r="M483" s="973" t="inlineStr">
        <is>
          <t>Yes</t>
        </is>
      </c>
      <c r="N483" s="973" t="inlineStr">
        <is>
          <t>No explicit facility gate — defaults feasible</t>
        </is>
      </c>
      <c r="O483" s="973" t="inlineStr">
        <is>
          <t>The Exploit Public-Facing Application route is credible for Power Generation OT when the enabling access condition exists; existing facility gates determine remote, internet, transient, supply-chain or wireless feasibility.</t>
        </is>
      </c>
      <c r="P483" s="973" t="inlineStr">
        <is>
          <t>https://csrc.nist.gov/pubs/sp/800/82/r3/final</t>
        </is>
      </c>
    </row>
    <row r="484" ht="15" customHeight="1" s="508">
      <c r="A484" s="972" t="inlineStr">
        <is>
          <t>Cybercriminal</t>
        </is>
      </c>
      <c r="B484" s="972" t="inlineStr">
        <is>
          <t>Process Manipulation</t>
        </is>
      </c>
      <c r="C484" s="972" t="inlineStr">
        <is>
          <t>T0820</t>
        </is>
      </c>
      <c r="D484" s="972" t="inlineStr">
        <is>
          <t>Exploitation for Evasion</t>
        </is>
      </c>
      <c r="E484" s="972" t="inlineStr">
        <is>
          <t>S2</t>
        </is>
      </c>
      <c r="F484" s="972" t="inlineStr">
        <is>
          <t>Candidate enabling technique</t>
        </is>
      </c>
      <c r="G484" s="972" t="inlineStr">
        <is>
          <t>Yes</t>
        </is>
      </c>
      <c r="H484" s="972" t="inlineStr">
        <is>
          <t>Yes</t>
        </is>
      </c>
      <c r="I484" s="972" t="inlineStr">
        <is>
          <t>Yes</t>
        </is>
      </c>
      <c r="J484" s="972" t="n">
        <v>4</v>
      </c>
      <c r="K484" s="972" t="inlineStr">
        <is>
          <t>Model Mapping</t>
        </is>
      </c>
      <c r="L484" s="452" t="inlineStr">
        <is>
          <t>https://attack.mitre.org/techniques/T0820</t>
        </is>
      </c>
      <c r="M484" s="973" t="inlineStr">
        <is>
          <t>Yes</t>
        </is>
      </c>
      <c r="N484" s="973" t="inlineStr">
        <is>
          <t>No explicit facility gate — defaults feasible</t>
        </is>
      </c>
      <c r="O484" s="973" t="inlineStr">
        <is>
          <t>Exploitation for Evasion is applicable to execution or persistence on engineering workstations, HMIs, servers or controllers used in Power Generation facilities.</t>
        </is>
      </c>
      <c r="P484" s="973" t="inlineStr">
        <is>
          <t>https://csrc.nist.gov/pubs/sp/800/82/r3/final</t>
        </is>
      </c>
    </row>
    <row r="485" ht="15" customHeight="1" s="508">
      <c r="A485" s="972" t="inlineStr">
        <is>
          <t>Cybercriminal</t>
        </is>
      </c>
      <c r="B485" s="972" t="inlineStr">
        <is>
          <t>Process Manipulation</t>
        </is>
      </c>
      <c r="C485" s="972" t="inlineStr">
        <is>
          <t>T0890</t>
        </is>
      </c>
      <c r="D485" s="972" t="inlineStr">
        <is>
          <t>Exploitation for Privilege Escalation</t>
        </is>
      </c>
      <c r="E485" s="972" t="inlineStr">
        <is>
          <t>S2</t>
        </is>
      </c>
      <c r="F485" s="972" t="inlineStr">
        <is>
          <t>Candidate enabling technique</t>
        </is>
      </c>
      <c r="G485" s="972" t="inlineStr">
        <is>
          <t>Yes</t>
        </is>
      </c>
      <c r="H485" s="972" t="inlineStr">
        <is>
          <t>Yes</t>
        </is>
      </c>
      <c r="I485" s="972" t="inlineStr">
        <is>
          <t>Yes</t>
        </is>
      </c>
      <c r="J485" s="972" t="n">
        <v>4</v>
      </c>
      <c r="K485" s="972" t="inlineStr">
        <is>
          <t>Model Mapping</t>
        </is>
      </c>
      <c r="L485" s="452" t="inlineStr">
        <is>
          <t>https://attack.mitre.org/techniques/T0890</t>
        </is>
      </c>
      <c r="M485" s="973" t="inlineStr">
        <is>
          <t>Yes</t>
        </is>
      </c>
      <c r="N485" s="973" t="inlineStr">
        <is>
          <t>No explicit facility gate — defaults feasible</t>
        </is>
      </c>
      <c r="O485" s="973" t="inlineStr">
        <is>
          <t>Exploitation for Privilege Escalation is applicable to execution or persistence on engineering workstations, HMIs, servers or controllers used in Power Generation facilities.</t>
        </is>
      </c>
      <c r="P485" s="973" t="inlineStr">
        <is>
          <t>https://csrc.nist.gov/pubs/sp/800/82/r3/final</t>
        </is>
      </c>
    </row>
    <row r="486" ht="15" customHeight="1" s="508">
      <c r="A486" s="972" t="inlineStr">
        <is>
          <t>Cybercriminal</t>
        </is>
      </c>
      <c r="B486" s="972" t="inlineStr">
        <is>
          <t>Process Manipulation</t>
        </is>
      </c>
      <c r="C486" s="972" t="inlineStr">
        <is>
          <t>T0866</t>
        </is>
      </c>
      <c r="D486" s="972" t="inlineStr">
        <is>
          <t>Exploitation of Remote Services</t>
        </is>
      </c>
      <c r="E486" s="972" t="inlineStr">
        <is>
          <t>S1</t>
        </is>
      </c>
      <c r="F486" s="972" t="inlineStr">
        <is>
          <t>Candidate enabling technique</t>
        </is>
      </c>
      <c r="G486" s="972" t="inlineStr">
        <is>
          <t>Yes</t>
        </is>
      </c>
      <c r="H486" s="972" t="inlineStr">
        <is>
          <t>Yes</t>
        </is>
      </c>
      <c r="I486" s="972" t="inlineStr">
        <is>
          <t>Yes</t>
        </is>
      </c>
      <c r="J486" s="972" t="n">
        <v>8</v>
      </c>
      <c r="K486" s="972" t="inlineStr">
        <is>
          <t>Model Mapping</t>
        </is>
      </c>
      <c r="L486" s="452" t="inlineStr">
        <is>
          <t>https://attack.mitre.org/techniques/T0866</t>
        </is>
      </c>
      <c r="M486" s="973" t="inlineStr">
        <is>
          <t>Yes</t>
        </is>
      </c>
      <c r="N486" s="973" t="inlineStr">
        <is>
          <t>REMOTE_OR_ITOT — Remote path or IT-OT connection</t>
        </is>
      </c>
      <c r="O486" s="973" t="inlineStr">
        <is>
          <t>The Exploitation of Remote Services route is credible for Power Generation OT when the enabling access condition exists; existing facility gates determine remote, internet, transient, supply-chain or wireless feasibility.</t>
        </is>
      </c>
      <c r="P486" s="973" t="inlineStr">
        <is>
          <t>https://csrc.nist.gov/pubs/sp/800/82/r3/final</t>
        </is>
      </c>
    </row>
    <row r="487" ht="15" customHeight="1" s="508">
      <c r="A487" s="972" t="inlineStr">
        <is>
          <t>Cybercriminal</t>
        </is>
      </c>
      <c r="B487" s="972" t="inlineStr">
        <is>
          <t>Process Manipulation</t>
        </is>
      </c>
      <c r="C487" s="972" t="inlineStr">
        <is>
          <t>T0822</t>
        </is>
      </c>
      <c r="D487" s="972" t="inlineStr">
        <is>
          <t>External Remote Services</t>
        </is>
      </c>
      <c r="E487" s="972" t="inlineStr">
        <is>
          <t>S1</t>
        </is>
      </c>
      <c r="F487" s="972" t="inlineStr">
        <is>
          <t>Candidate enabling technique</t>
        </is>
      </c>
      <c r="G487" s="972" t="inlineStr">
        <is>
          <t>Yes</t>
        </is>
      </c>
      <c r="H487" s="972" t="inlineStr">
        <is>
          <t>Yes</t>
        </is>
      </c>
      <c r="I487" s="972" t="inlineStr">
        <is>
          <t>Yes</t>
        </is>
      </c>
      <c r="J487" s="972" t="n">
        <v>7</v>
      </c>
      <c r="K487" s="972" t="inlineStr">
        <is>
          <t>Model Mapping</t>
        </is>
      </c>
      <c r="L487" s="452" t="inlineStr">
        <is>
          <t>https://attack.mitre.org/techniques/T0822</t>
        </is>
      </c>
      <c r="M487" s="973" t="inlineStr">
        <is>
          <t>Yes</t>
        </is>
      </c>
      <c r="N487" s="973" t="inlineStr">
        <is>
          <t>REMOTE_REQUIRED — Not None</t>
        </is>
      </c>
      <c r="O487" s="973" t="inlineStr">
        <is>
          <t>The External Remote Services route is credible for Power Generation OT when the enabling access condition exists; existing facility gates determine remote, internet, transient, supply-chain or wireless feasibility.</t>
        </is>
      </c>
      <c r="P487" s="973" t="inlineStr">
        <is>
          <t>https://csrc.nist.gov/pubs/sp/800/82/r3/final</t>
        </is>
      </c>
    </row>
    <row r="488" ht="15" customHeight="1" s="508">
      <c r="A488" s="972" t="inlineStr">
        <is>
          <t>Cybercriminal</t>
        </is>
      </c>
      <c r="B488" s="972" t="inlineStr">
        <is>
          <t>Process Manipulation</t>
        </is>
      </c>
      <c r="C488" s="972" t="inlineStr">
        <is>
          <t>T0823</t>
        </is>
      </c>
      <c r="D488" s="972" t="inlineStr">
        <is>
          <t>Graphical User Interface</t>
        </is>
      </c>
      <c r="E488" s="972" t="inlineStr">
        <is>
          <t>S2</t>
        </is>
      </c>
      <c r="F488" s="972" t="inlineStr">
        <is>
          <t>Candidate enabling technique</t>
        </is>
      </c>
      <c r="G488" s="972" t="inlineStr">
        <is>
          <t>Yes</t>
        </is>
      </c>
      <c r="H488" s="972" t="inlineStr">
        <is>
          <t>Yes</t>
        </is>
      </c>
      <c r="I488" s="972" t="inlineStr">
        <is>
          <t>Yes</t>
        </is>
      </c>
      <c r="J488" s="972" t="n">
        <v>1</v>
      </c>
      <c r="K488" s="972" t="inlineStr">
        <is>
          <t>Model Mapping</t>
        </is>
      </c>
      <c r="L488" s="452" t="inlineStr">
        <is>
          <t>https://attack.mitre.org/techniques/T0823</t>
        </is>
      </c>
      <c r="M488" s="973" t="inlineStr">
        <is>
          <t>Yes</t>
        </is>
      </c>
      <c r="N488" s="973" t="inlineStr">
        <is>
          <t>No explicit facility gate — defaults feasible</t>
        </is>
      </c>
      <c r="O488" s="973" t="inlineStr">
        <is>
          <t>Graphical User Interface is applicable to execution or persistence on engineering workstations, HMIs, servers or controllers used in Power Generation facilities.</t>
        </is>
      </c>
      <c r="P488" s="973" t="inlineStr">
        <is>
          <t>https://csrc.nist.gov/pubs/sp/800/82/r3/final</t>
        </is>
      </c>
    </row>
    <row r="489" ht="15" customHeight="1" s="508">
      <c r="A489" s="972" t="inlineStr">
        <is>
          <t>Cybercriminal</t>
        </is>
      </c>
      <c r="B489" s="972" t="inlineStr">
        <is>
          <t>Process Manipulation</t>
        </is>
      </c>
      <c r="C489" s="972" t="inlineStr">
        <is>
          <t>T1694.002</t>
        </is>
      </c>
      <c r="D489" s="972" t="inlineStr">
        <is>
          <t>Hardcoded Credentials</t>
        </is>
      </c>
      <c r="E489" s="972" t="inlineStr">
        <is>
          <t>S3</t>
        </is>
      </c>
      <c r="F489" s="972" t="inlineStr">
        <is>
          <t>Candidate enabling technique</t>
        </is>
      </c>
      <c r="G489" s="972" t="inlineStr">
        <is>
          <t>Yes</t>
        </is>
      </c>
      <c r="H489" s="972" t="inlineStr">
        <is>
          <t>Yes</t>
        </is>
      </c>
      <c r="I489" s="972" t="inlineStr">
        <is>
          <t>Yes</t>
        </is>
      </c>
      <c r="J489" s="972" t="n">
        <v>1</v>
      </c>
      <c r="K489" s="972" t="inlineStr">
        <is>
          <t>Model Mapping</t>
        </is>
      </c>
      <c r="L489" s="452" t="inlineStr">
        <is>
          <t>https://attack.mitre.org/techniques/T1694/002</t>
        </is>
      </c>
      <c r="M489" s="973" t="inlineStr">
        <is>
          <t>Yes</t>
        </is>
      </c>
      <c r="N489" s="973" t="inlineStr">
        <is>
          <t>No explicit facility gate — defaults feasible</t>
        </is>
      </c>
      <c r="O489" s="973" t="inlineStr">
        <is>
          <t>Hardcoded Credentials can support movement toward or within plant/control zones; actual reachability is governed by the assessed facility architecture.</t>
        </is>
      </c>
      <c r="P489" s="973" t="inlineStr">
        <is>
          <t>https://csrc.nist.gov/pubs/sp/800/82/r3/final</t>
        </is>
      </c>
    </row>
    <row r="490" ht="15" customHeight="1" s="508">
      <c r="A490" s="972" t="inlineStr">
        <is>
          <t>Cybercriminal</t>
        </is>
      </c>
      <c r="B490" s="972" t="inlineStr">
        <is>
          <t>Process Manipulation</t>
        </is>
      </c>
      <c r="C490" s="972" t="inlineStr">
        <is>
          <t>T0874</t>
        </is>
      </c>
      <c r="D490" s="972" t="inlineStr">
        <is>
          <t>Hooking</t>
        </is>
      </c>
      <c r="E490" s="972" t="inlineStr">
        <is>
          <t>S2</t>
        </is>
      </c>
      <c r="F490" s="972" t="inlineStr">
        <is>
          <t>Candidate enabling technique</t>
        </is>
      </c>
      <c r="G490" s="972" t="inlineStr">
        <is>
          <t>Yes</t>
        </is>
      </c>
      <c r="H490" s="972" t="inlineStr">
        <is>
          <t>Yes</t>
        </is>
      </c>
      <c r="I490" s="972" t="inlineStr">
        <is>
          <t>Yes</t>
        </is>
      </c>
      <c r="J490" s="972" t="n">
        <v>2</v>
      </c>
      <c r="K490" s="972" t="inlineStr">
        <is>
          <t>Model Mapping</t>
        </is>
      </c>
      <c r="L490" s="452" t="inlineStr">
        <is>
          <t>https://attack.mitre.org/techniques/T0874</t>
        </is>
      </c>
      <c r="M490" s="973" t="inlineStr">
        <is>
          <t>Yes</t>
        </is>
      </c>
      <c r="N490" s="973" t="inlineStr">
        <is>
          <t>No explicit facility gate — defaults feasible</t>
        </is>
      </c>
      <c r="O490" s="973" t="inlineStr">
        <is>
          <t>Hooking is applicable to execution or persistence on engineering workstations, HMIs, servers or controllers used in Power Generation facilities.</t>
        </is>
      </c>
      <c r="P490" s="973" t="inlineStr">
        <is>
          <t>https://csrc.nist.gov/pubs/sp/800/82/r3/final</t>
        </is>
      </c>
    </row>
    <row r="491" ht="15" customHeight="1" s="508">
      <c r="A491" s="972" t="inlineStr">
        <is>
          <t>Cybercriminal</t>
        </is>
      </c>
      <c r="B491" s="972" t="inlineStr">
        <is>
          <t>Process Manipulation</t>
        </is>
      </c>
      <c r="C491" s="972" t="inlineStr">
        <is>
          <t>T0877</t>
        </is>
      </c>
      <c r="D491" s="972" t="inlineStr">
        <is>
          <t>I/O Image</t>
        </is>
      </c>
      <c r="E491" s="972" t="inlineStr">
        <is>
          <t>S4</t>
        </is>
      </c>
      <c r="F491" s="972" t="inlineStr">
        <is>
          <t>Candidate enabling technique</t>
        </is>
      </c>
      <c r="G491" s="972" t="inlineStr">
        <is>
          <t>Yes</t>
        </is>
      </c>
      <c r="H491" s="972" t="inlineStr">
        <is>
          <t>Yes</t>
        </is>
      </c>
      <c r="I491" s="972" t="inlineStr">
        <is>
          <t>Yes</t>
        </is>
      </c>
      <c r="J491" s="972" t="n">
        <v>1</v>
      </c>
      <c r="K491" s="972" t="inlineStr">
        <is>
          <t>Model Mapping</t>
        </is>
      </c>
      <c r="L491" s="452" t="inlineStr">
        <is>
          <t>https://attack.mitre.org/techniques/T0877</t>
        </is>
      </c>
      <c r="M491" s="973" t="inlineStr">
        <is>
          <t>Yes</t>
        </is>
      </c>
      <c r="N491" s="973" t="inlineStr">
        <is>
          <t>No explicit facility gate — defaults feasible</t>
        </is>
      </c>
      <c r="O491" s="973" t="inlineStr">
        <is>
          <t>I/O Image can support discovery or interaction with process state, control assets and operational data in Power Generation environments.</t>
        </is>
      </c>
      <c r="P491" s="973" t="inlineStr">
        <is>
          <t>https://csrc.nist.gov/pubs/sp/800/82/r3/final</t>
        </is>
      </c>
    </row>
    <row r="492" ht="15" customHeight="1" s="508">
      <c r="A492" s="972" t="inlineStr">
        <is>
          <t>Cybercriminal</t>
        </is>
      </c>
      <c r="B492" s="972" t="inlineStr">
        <is>
          <t>Process Manipulation</t>
        </is>
      </c>
      <c r="C492" s="972" t="inlineStr">
        <is>
          <t>T0872</t>
        </is>
      </c>
      <c r="D492" s="972" t="inlineStr">
        <is>
          <t>Indicator Removal on Host</t>
        </is>
      </c>
      <c r="E492" s="972" t="inlineStr">
        <is>
          <t>S2</t>
        </is>
      </c>
      <c r="F492" s="972" t="inlineStr">
        <is>
          <t>Candidate enabling technique</t>
        </is>
      </c>
      <c r="G492" s="972" t="inlineStr">
        <is>
          <t>Yes</t>
        </is>
      </c>
      <c r="H492" s="972" t="inlineStr">
        <is>
          <t>Yes</t>
        </is>
      </c>
      <c r="I492" s="972" t="inlineStr">
        <is>
          <t>Yes</t>
        </is>
      </c>
      <c r="J492" s="972" t="n">
        <v>1</v>
      </c>
      <c r="K492" s="972" t="inlineStr">
        <is>
          <t>Model Mapping</t>
        </is>
      </c>
      <c r="L492" s="452" t="inlineStr">
        <is>
          <t>https://attack.mitre.org/techniques/T0872</t>
        </is>
      </c>
      <c r="M492" s="973" t="inlineStr">
        <is>
          <t>Yes</t>
        </is>
      </c>
      <c r="N492" s="973" t="inlineStr">
        <is>
          <t>No explicit facility gate — defaults feasible</t>
        </is>
      </c>
      <c r="O492" s="973" t="inlineStr">
        <is>
          <t>Indicator Removal on Host is applicable to execution or persistence on engineering workstations, HMIs, servers or controllers used in Power Generation facilities.</t>
        </is>
      </c>
      <c r="P492" s="973" t="inlineStr">
        <is>
          <t>https://csrc.nist.gov/pubs/sp/800/82/r3/final</t>
        </is>
      </c>
    </row>
    <row r="493" ht="15" customHeight="1" s="508">
      <c r="A493" s="972" t="inlineStr">
        <is>
          <t>Cybercriminal</t>
        </is>
      </c>
      <c r="B493" s="972" t="inlineStr">
        <is>
          <t>Process Manipulation</t>
        </is>
      </c>
      <c r="C493" s="972" t="inlineStr">
        <is>
          <t>T0883</t>
        </is>
      </c>
      <c r="D493" s="972" t="inlineStr">
        <is>
          <t>Internet Accessible Device</t>
        </is>
      </c>
      <c r="E493" s="972" t="inlineStr">
        <is>
          <t>S1</t>
        </is>
      </c>
      <c r="F493" s="972" t="inlineStr">
        <is>
          <t>Candidate enabling technique</t>
        </is>
      </c>
      <c r="G493" s="972" t="inlineStr">
        <is>
          <t>Yes</t>
        </is>
      </c>
      <c r="H493" s="972" t="inlineStr">
        <is>
          <t>No</t>
        </is>
      </c>
      <c r="I493" s="972" t="inlineStr">
        <is>
          <t>No</t>
        </is>
      </c>
      <c r="J493" s="972" t="n">
        <v>1</v>
      </c>
      <c r="K493" s="972" t="inlineStr">
        <is>
          <t>Model Mapping</t>
        </is>
      </c>
      <c r="L493" s="452" t="inlineStr">
        <is>
          <t>https://attack.mitre.org/techniques/T0883</t>
        </is>
      </c>
      <c r="M493" s="973" t="inlineStr">
        <is>
          <t>Yes</t>
        </is>
      </c>
      <c r="N493" s="973" t="inlineStr">
        <is>
          <t>INTERNET_OT — Yes</t>
        </is>
      </c>
      <c r="O493" s="973" t="inlineStr">
        <is>
          <t>The Internet Accessible Device route is credible for Power Generation OT when the enabling access condition exists; existing facility gates determine remote, internet, transient, supply-chain or wireless feasibility.</t>
        </is>
      </c>
      <c r="P493" s="973" t="inlineStr">
        <is>
          <t>https://csrc.nist.gov/pubs/sp/800/82/r3/final</t>
        </is>
      </c>
    </row>
    <row r="494" ht="15" customHeight="1" s="508">
      <c r="A494" s="972" t="inlineStr">
        <is>
          <t>Cybercriminal</t>
        </is>
      </c>
      <c r="B494" s="972" t="inlineStr">
        <is>
          <t>Process Manipulation</t>
        </is>
      </c>
      <c r="C494" s="972" t="inlineStr">
        <is>
          <t>T0867</t>
        </is>
      </c>
      <c r="D494" s="972" t="inlineStr">
        <is>
          <t>Lateral Tool Transfer</t>
        </is>
      </c>
      <c r="E494" s="972" t="inlineStr">
        <is>
          <t>S3</t>
        </is>
      </c>
      <c r="F494" s="972" t="inlineStr">
        <is>
          <t>Candidate enabling technique</t>
        </is>
      </c>
      <c r="G494" s="972" t="inlineStr">
        <is>
          <t>Yes</t>
        </is>
      </c>
      <c r="H494" s="972" t="inlineStr">
        <is>
          <t>Yes</t>
        </is>
      </c>
      <c r="I494" s="972" t="inlineStr">
        <is>
          <t>Yes</t>
        </is>
      </c>
      <c r="J494" s="972" t="n">
        <v>1</v>
      </c>
      <c r="K494" s="972" t="inlineStr">
        <is>
          <t>Model Mapping</t>
        </is>
      </c>
      <c r="L494" s="452" t="inlineStr">
        <is>
          <t>https://attack.mitre.org/techniques/T0867</t>
        </is>
      </c>
      <c r="M494" s="973" t="inlineStr">
        <is>
          <t>Yes</t>
        </is>
      </c>
      <c r="N494" s="973" t="inlineStr">
        <is>
          <t>No explicit facility gate — defaults feasible</t>
        </is>
      </c>
      <c r="O494" s="973" t="inlineStr">
        <is>
          <t>Lateral Tool Transfer can support movement toward or within plant/control zones; actual reachability is governed by the assessed facility architecture.</t>
        </is>
      </c>
      <c r="P494" s="973" t="inlineStr">
        <is>
          <t>https://csrc.nist.gov/pubs/sp/800/82/r3/final</t>
        </is>
      </c>
    </row>
    <row r="495" ht="15" customHeight="1" s="508">
      <c r="A495" s="972" t="inlineStr">
        <is>
          <t>Cybercriminal</t>
        </is>
      </c>
      <c r="B495" s="972" t="inlineStr">
        <is>
          <t>Process Manipulation</t>
        </is>
      </c>
      <c r="C495" s="972" t="inlineStr">
        <is>
          <t>T0831</t>
        </is>
      </c>
      <c r="D495" s="972" t="inlineStr">
        <is>
          <t>Manipulation of Control</t>
        </is>
      </c>
      <c r="E495" s="972" t="inlineStr">
        <is>
          <t>S5</t>
        </is>
      </c>
      <c r="F495" s="972" t="inlineStr">
        <is>
          <t>Scenario-defining</t>
        </is>
      </c>
      <c r="G495" s="972" t="inlineStr">
        <is>
          <t>Yes</t>
        </is>
      </c>
      <c r="H495" s="972" t="inlineStr">
        <is>
          <t>Yes</t>
        </is>
      </c>
      <c r="I495" s="972" t="inlineStr">
        <is>
          <t>Yes</t>
        </is>
      </c>
      <c r="J495" s="972" t="n">
        <v>3</v>
      </c>
      <c r="K495" s="972" t="inlineStr">
        <is>
          <t>Model Mapping</t>
        </is>
      </c>
      <c r="L495" s="452" t="inlineStr">
        <is>
          <t>https://attack.mitre.org/techniques/T0831</t>
        </is>
      </c>
      <c r="M495" s="973" t="inlineStr">
        <is>
          <t>Yes</t>
        </is>
      </c>
      <c r="N495" s="973" t="inlineStr">
        <is>
          <t>No explicit facility gate — defaults feasible</t>
        </is>
      </c>
      <c r="O495" s="973" t="inlineStr">
        <is>
          <t>Manipulation of Control is an ATT&amp;CK for ICS impact or response-inhibition technique that can support one or more governed adverse scenarios; scenario role remains controlled on 09.</t>
        </is>
      </c>
      <c r="P495" s="973" t="inlineStr">
        <is>
          <t>https://csrc.nist.gov/pubs/sp/800/82/r3/final</t>
        </is>
      </c>
    </row>
    <row r="496" ht="15" customHeight="1" s="508">
      <c r="A496" s="972" t="inlineStr">
        <is>
          <t>Cybercriminal</t>
        </is>
      </c>
      <c r="B496" s="972" t="inlineStr">
        <is>
          <t>Process Manipulation</t>
        </is>
      </c>
      <c r="C496" s="972" t="inlineStr">
        <is>
          <t>T0849</t>
        </is>
      </c>
      <c r="D496" s="972" t="inlineStr">
        <is>
          <t>Masquerading</t>
        </is>
      </c>
      <c r="E496" s="972" t="inlineStr">
        <is>
          <t>S2</t>
        </is>
      </c>
      <c r="F496" s="972" t="inlineStr">
        <is>
          <t>Candidate enabling technique</t>
        </is>
      </c>
      <c r="G496" s="972" t="inlineStr">
        <is>
          <t>Yes</t>
        </is>
      </c>
      <c r="H496" s="972" t="inlineStr">
        <is>
          <t>Yes</t>
        </is>
      </c>
      <c r="I496" s="972" t="inlineStr">
        <is>
          <t>Yes</t>
        </is>
      </c>
      <c r="J496" s="972" t="n">
        <v>3</v>
      </c>
      <c r="K496" s="972" t="inlineStr">
        <is>
          <t>Model Mapping</t>
        </is>
      </c>
      <c r="L496" s="452" t="inlineStr">
        <is>
          <t>https://attack.mitre.org/techniques/T0849</t>
        </is>
      </c>
      <c r="M496" s="973" t="inlineStr">
        <is>
          <t>Yes</t>
        </is>
      </c>
      <c r="N496" s="973" t="inlineStr">
        <is>
          <t>No explicit facility gate — defaults feasible</t>
        </is>
      </c>
      <c r="O496" s="973" t="inlineStr">
        <is>
          <t>Masquerading is applicable to execution or persistence on engineering workstations, HMIs, servers or controllers used in Power Generation facilities.</t>
        </is>
      </c>
      <c r="P496" s="973" t="inlineStr">
        <is>
          <t>https://csrc.nist.gov/pubs/sp/800/82/r3/final</t>
        </is>
      </c>
    </row>
    <row r="497" ht="15" customHeight="1" s="508">
      <c r="A497" s="972" t="inlineStr">
        <is>
          <t>Cybercriminal</t>
        </is>
      </c>
      <c r="B497" s="972" t="inlineStr">
        <is>
          <t>Process Manipulation</t>
        </is>
      </c>
      <c r="C497" s="972" t="inlineStr">
        <is>
          <t>T0821</t>
        </is>
      </c>
      <c r="D497" s="972" t="inlineStr">
        <is>
          <t>Modify Controller Tasking</t>
        </is>
      </c>
      <c r="E497" s="972" t="inlineStr">
        <is>
          <t>S5</t>
        </is>
      </c>
      <c r="F497" s="972" t="inlineStr">
        <is>
          <t>Supporting / impact</t>
        </is>
      </c>
      <c r="G497" s="972" t="inlineStr">
        <is>
          <t>Yes</t>
        </is>
      </c>
      <c r="H497" s="972" t="inlineStr">
        <is>
          <t>Yes</t>
        </is>
      </c>
      <c r="I497" s="972" t="inlineStr">
        <is>
          <t>Yes</t>
        </is>
      </c>
      <c r="J497" s="972" t="n">
        <v>4</v>
      </c>
      <c r="K497" s="972" t="inlineStr">
        <is>
          <t>RESTAGED v1.2: In the Process Manipulation scenario this technique directly implements the adverse outcome, so it is staged S5 rather than inheriting its ATT&amp;CK tactic. CRQ stage is scenario-specific.</t>
        </is>
      </c>
      <c r="L497" s="452" t="inlineStr">
        <is>
          <t>https://attack.mitre.org/techniques/T0821</t>
        </is>
      </c>
      <c r="M497" s="973" t="inlineStr">
        <is>
          <t>Yes</t>
        </is>
      </c>
      <c r="N497" s="973" t="inlineStr">
        <is>
          <t>No explicit facility gate — defaults feasible</t>
        </is>
      </c>
      <c r="O497" s="973" t="inlineStr">
        <is>
          <t>Modify Controller Tasking is applicable to execution or persistence on engineering workstations, HMIs, servers or controllers used in Power Generation facilities.</t>
        </is>
      </c>
      <c r="P497" s="973" t="inlineStr">
        <is>
          <t>https://csrc.nist.gov/pubs/sp/800/82/r3/final</t>
        </is>
      </c>
    </row>
    <row r="498" ht="15" customHeight="1" s="508">
      <c r="A498" s="972" t="inlineStr">
        <is>
          <t>Cybercriminal</t>
        </is>
      </c>
      <c r="B498" s="972" t="inlineStr">
        <is>
          <t>Process Manipulation</t>
        </is>
      </c>
      <c r="C498" s="972" t="inlineStr">
        <is>
          <t>T0836</t>
        </is>
      </c>
      <c r="D498" s="972" t="inlineStr">
        <is>
          <t>Modify Parameter</t>
        </is>
      </c>
      <c r="E498" s="972" t="inlineStr">
        <is>
          <t>S5</t>
        </is>
      </c>
      <c r="F498" s="972" t="inlineStr">
        <is>
          <t>Scenario-defining</t>
        </is>
      </c>
      <c r="G498" s="972" t="inlineStr">
        <is>
          <t>Yes</t>
        </is>
      </c>
      <c r="H498" s="972" t="inlineStr">
        <is>
          <t>Yes</t>
        </is>
      </c>
      <c r="I498" s="972" t="inlineStr">
        <is>
          <t>Yes</t>
        </is>
      </c>
      <c r="J498" s="972" t="n">
        <v>4</v>
      </c>
      <c r="K498" s="972" t="inlineStr">
        <is>
          <t>Model Mapping</t>
        </is>
      </c>
      <c r="L498" s="452" t="inlineStr">
        <is>
          <t>https://attack.mitre.org/techniques/T0836</t>
        </is>
      </c>
      <c r="M498" s="973" t="inlineStr">
        <is>
          <t>Yes</t>
        </is>
      </c>
      <c r="N498" s="973" t="inlineStr">
        <is>
          <t>No explicit facility gate — defaults feasible</t>
        </is>
      </c>
      <c r="O498" s="973" t="inlineStr">
        <is>
          <t>Modify Parameter is an ATT&amp;CK for ICS impact or response-inhibition technique that can support one or more governed adverse scenarios; scenario role remains controlled on 09.</t>
        </is>
      </c>
      <c r="P498" s="973" t="inlineStr">
        <is>
          <t>https://csrc.nist.gov/pubs/sp/800/82/r3/final</t>
        </is>
      </c>
    </row>
    <row r="499" ht="15" customHeight="1" s="508">
      <c r="A499" s="972" t="inlineStr">
        <is>
          <t>Cybercriminal</t>
        </is>
      </c>
      <c r="B499" s="972" t="inlineStr">
        <is>
          <t>Process Manipulation</t>
        </is>
      </c>
      <c r="C499" s="972" t="inlineStr">
        <is>
          <t>T0889</t>
        </is>
      </c>
      <c r="D499" s="972" t="inlineStr">
        <is>
          <t>Modify Program</t>
        </is>
      </c>
      <c r="E499" s="972" t="inlineStr">
        <is>
          <t>S5</t>
        </is>
      </c>
      <c r="F499" s="972" t="inlineStr">
        <is>
          <t>Supporting / impact</t>
        </is>
      </c>
      <c r="G499" s="972" t="inlineStr">
        <is>
          <t>Yes</t>
        </is>
      </c>
      <c r="H499" s="972" t="inlineStr">
        <is>
          <t>Yes</t>
        </is>
      </c>
      <c r="I499" s="972" t="inlineStr">
        <is>
          <t>Yes</t>
        </is>
      </c>
      <c r="J499" s="972" t="n">
        <v>4</v>
      </c>
      <c r="K499" s="972" t="inlineStr">
        <is>
          <t>RESTAGED v1.2: In the Process Manipulation scenario this technique directly implements the adverse outcome, so it is staged S5 rather than inheriting its ATT&amp;CK tactic. CRQ stage is scenario-specific.</t>
        </is>
      </c>
      <c r="L499" s="452" t="inlineStr">
        <is>
          <t>https://attack.mitre.org/techniques/T0889</t>
        </is>
      </c>
      <c r="M499" s="973" t="inlineStr">
        <is>
          <t>Yes</t>
        </is>
      </c>
      <c r="N499" s="973" t="inlineStr">
        <is>
          <t>No explicit facility gate — defaults feasible</t>
        </is>
      </c>
      <c r="O499" s="973" t="inlineStr">
        <is>
          <t>Modify Program is applicable to execution or persistence on engineering workstations, HMIs, servers or controllers used in Power Generation facilities.</t>
        </is>
      </c>
      <c r="P499" s="973" t="inlineStr">
        <is>
          <t>https://csrc.nist.gov/pubs/sp/800/82/r3/final</t>
        </is>
      </c>
    </row>
    <row r="500" ht="15" customHeight="1" s="508">
      <c r="A500" s="972" t="inlineStr">
        <is>
          <t>Cybercriminal</t>
        </is>
      </c>
      <c r="B500" s="972" t="inlineStr">
        <is>
          <t>Process Manipulation</t>
        </is>
      </c>
      <c r="C500" s="972" t="inlineStr">
        <is>
          <t>T0801</t>
        </is>
      </c>
      <c r="D500" s="972" t="inlineStr">
        <is>
          <t>Monitor Process State</t>
        </is>
      </c>
      <c r="E500" s="972" t="inlineStr">
        <is>
          <t>S4</t>
        </is>
      </c>
      <c r="F500" s="972" t="inlineStr">
        <is>
          <t>Candidate enabling technique</t>
        </is>
      </c>
      <c r="G500" s="972" t="inlineStr">
        <is>
          <t>Yes</t>
        </is>
      </c>
      <c r="H500" s="972" t="inlineStr">
        <is>
          <t>Yes</t>
        </is>
      </c>
      <c r="I500" s="972" t="inlineStr">
        <is>
          <t>Yes</t>
        </is>
      </c>
      <c r="J500" s="972" t="n">
        <v>1</v>
      </c>
      <c r="K500" s="972" t="inlineStr">
        <is>
          <t>Model Mapping</t>
        </is>
      </c>
      <c r="L500" s="452" t="inlineStr">
        <is>
          <t>https://attack.mitre.org/techniques/T0801</t>
        </is>
      </c>
      <c r="M500" s="973" t="inlineStr">
        <is>
          <t>Yes</t>
        </is>
      </c>
      <c r="N500" s="973" t="inlineStr">
        <is>
          <t>No explicit facility gate — defaults feasible</t>
        </is>
      </c>
      <c r="O500" s="973" t="inlineStr">
        <is>
          <t>Monitor Process State can support discovery or interaction with process state, control assets and operational data in Power Generation environments.</t>
        </is>
      </c>
      <c r="P500" s="973" t="inlineStr">
        <is>
          <t>https://csrc.nist.gov/pubs/sp/800/82/r3/final</t>
        </is>
      </c>
    </row>
    <row r="501" ht="15" customHeight="1" s="508">
      <c r="A501" s="972" t="inlineStr">
        <is>
          <t>Cybercriminal</t>
        </is>
      </c>
      <c r="B501" s="972" t="inlineStr">
        <is>
          <t>Process Manipulation</t>
        </is>
      </c>
      <c r="C501" s="972" t="inlineStr">
        <is>
          <t>T0846.003</t>
        </is>
      </c>
      <c r="D501" s="972" t="inlineStr">
        <is>
          <t>Multicast Discovery</t>
        </is>
      </c>
      <c r="E501" s="972" t="inlineStr">
        <is>
          <t>S4</t>
        </is>
      </c>
      <c r="F501" s="972" t="inlineStr">
        <is>
          <t>Candidate enabling technique</t>
        </is>
      </c>
      <c r="G501" s="972" t="inlineStr">
        <is>
          <t>Yes</t>
        </is>
      </c>
      <c r="H501" s="972" t="inlineStr">
        <is>
          <t>Yes</t>
        </is>
      </c>
      <c r="I501" s="972" t="inlineStr">
        <is>
          <t>Yes</t>
        </is>
      </c>
      <c r="J501" s="972" t="n">
        <v>2</v>
      </c>
      <c r="K501" s="972" t="inlineStr">
        <is>
          <t>Model Mapping</t>
        </is>
      </c>
      <c r="L501" s="452" t="inlineStr">
        <is>
          <t>https://attack.mitre.org/techniques/T0846/003</t>
        </is>
      </c>
      <c r="M501" s="973" t="inlineStr">
        <is>
          <t>Yes</t>
        </is>
      </c>
      <c r="N501" s="973" t="inlineStr">
        <is>
          <t>No explicit facility gate — defaults feasible</t>
        </is>
      </c>
      <c r="O501" s="973" t="inlineStr">
        <is>
          <t>Multicast Discovery can support discovery or interaction with process state, control assets and operational data in Power Generation environments.</t>
        </is>
      </c>
      <c r="P501" s="973" t="inlineStr">
        <is>
          <t>https://csrc.nist.gov/pubs/sp/800/82/r3/final</t>
        </is>
      </c>
    </row>
    <row r="502" ht="15" customHeight="1" s="508">
      <c r="A502" s="972" t="inlineStr">
        <is>
          <t>Cybercriminal</t>
        </is>
      </c>
      <c r="B502" s="972" t="inlineStr">
        <is>
          <t>Process Manipulation</t>
        </is>
      </c>
      <c r="C502" s="972" t="inlineStr">
        <is>
          <t>T0834</t>
        </is>
      </c>
      <c r="D502" s="972" t="inlineStr">
        <is>
          <t>Native API</t>
        </is>
      </c>
      <c r="E502" s="972" t="inlineStr">
        <is>
          <t>S2</t>
        </is>
      </c>
      <c r="F502" s="972" t="inlineStr">
        <is>
          <t>Candidate enabling technique</t>
        </is>
      </c>
      <c r="G502" s="972" t="inlineStr">
        <is>
          <t>Yes</t>
        </is>
      </c>
      <c r="H502" s="972" t="inlineStr">
        <is>
          <t>Yes</t>
        </is>
      </c>
      <c r="I502" s="972" t="inlineStr">
        <is>
          <t>Yes</t>
        </is>
      </c>
      <c r="J502" s="972" t="n">
        <v>1</v>
      </c>
      <c r="K502" s="972" t="inlineStr">
        <is>
          <t>Model Mapping</t>
        </is>
      </c>
      <c r="L502" s="452" t="inlineStr">
        <is>
          <t>https://attack.mitre.org/techniques/T0834</t>
        </is>
      </c>
      <c r="M502" s="973" t="inlineStr">
        <is>
          <t>Yes</t>
        </is>
      </c>
      <c r="N502" s="973" t="inlineStr">
        <is>
          <t>No explicit facility gate — defaults feasible</t>
        </is>
      </c>
      <c r="O502" s="973" t="inlineStr">
        <is>
          <t>Native API is applicable to execution or persistence on engineering workstations, HMIs, servers or controllers used in Power Generation facilities.</t>
        </is>
      </c>
      <c r="P502" s="973" t="inlineStr">
        <is>
          <t>https://csrc.nist.gov/pubs/sp/800/82/r3/final</t>
        </is>
      </c>
    </row>
    <row r="503" ht="15" customHeight="1" s="508">
      <c r="A503" s="972" t="inlineStr">
        <is>
          <t>Cybercriminal</t>
        </is>
      </c>
      <c r="B503" s="972" t="inlineStr">
        <is>
          <t>Process Manipulation</t>
        </is>
      </c>
      <c r="C503" s="972" t="inlineStr">
        <is>
          <t>T0840</t>
        </is>
      </c>
      <c r="D503" s="972" t="inlineStr">
        <is>
          <t>Network Connection Enumeration</t>
        </is>
      </c>
      <c r="E503" s="972" t="inlineStr">
        <is>
          <t>S4</t>
        </is>
      </c>
      <c r="F503" s="972" t="inlineStr">
        <is>
          <t>Candidate enabling technique</t>
        </is>
      </c>
      <c r="G503" s="972" t="inlineStr">
        <is>
          <t>Yes</t>
        </is>
      </c>
      <c r="H503" s="972" t="inlineStr">
        <is>
          <t>Yes</t>
        </is>
      </c>
      <c r="I503" s="972" t="inlineStr">
        <is>
          <t>Yes</t>
        </is>
      </c>
      <c r="J503" s="972" t="n">
        <v>1</v>
      </c>
      <c r="K503" s="972" t="inlineStr">
        <is>
          <t>Model Mapping</t>
        </is>
      </c>
      <c r="L503" s="452" t="inlineStr">
        <is>
          <t>https://attack.mitre.org/techniques/T0840</t>
        </is>
      </c>
      <c r="M503" s="973" t="inlineStr">
        <is>
          <t>Yes</t>
        </is>
      </c>
      <c r="N503" s="973" t="inlineStr">
        <is>
          <t>No explicit facility gate — defaults feasible</t>
        </is>
      </c>
      <c r="O503" s="973" t="inlineStr">
        <is>
          <t>Network Connection Enumeration can support discovery or interaction with process state, control assets and operational data in Power Generation environments.</t>
        </is>
      </c>
      <c r="P503" s="973" t="inlineStr">
        <is>
          <t>https://csrc.nist.gov/pubs/sp/800/82/r3/final</t>
        </is>
      </c>
    </row>
    <row r="504" ht="15" customHeight="1" s="508">
      <c r="A504" s="972" t="inlineStr">
        <is>
          <t>Cybercriminal</t>
        </is>
      </c>
      <c r="B504" s="972" t="inlineStr">
        <is>
          <t>Process Manipulation</t>
        </is>
      </c>
      <c r="C504" s="972" t="inlineStr">
        <is>
          <t>T0842</t>
        </is>
      </c>
      <c r="D504" s="972" t="inlineStr">
        <is>
          <t>Network Sniffing</t>
        </is>
      </c>
      <c r="E504" s="972" t="inlineStr">
        <is>
          <t>S4</t>
        </is>
      </c>
      <c r="F504" s="972" t="inlineStr">
        <is>
          <t>Candidate enabling technique</t>
        </is>
      </c>
      <c r="G504" s="972" t="inlineStr">
        <is>
          <t>Yes</t>
        </is>
      </c>
      <c r="H504" s="972" t="inlineStr">
        <is>
          <t>Yes</t>
        </is>
      </c>
      <c r="I504" s="972" t="inlineStr">
        <is>
          <t>Yes</t>
        </is>
      </c>
      <c r="J504" s="972" t="n">
        <v>5</v>
      </c>
      <c r="K504" s="972" t="inlineStr">
        <is>
          <t>Model Mapping</t>
        </is>
      </c>
      <c r="L504" s="452" t="inlineStr">
        <is>
          <t>https://attack.mitre.org/techniques/T0842</t>
        </is>
      </c>
      <c r="M504" s="973" t="inlineStr">
        <is>
          <t>Yes</t>
        </is>
      </c>
      <c r="N504" s="973" t="inlineStr">
        <is>
          <t>No explicit facility gate — defaults feasible</t>
        </is>
      </c>
      <c r="O504" s="973" t="inlineStr">
        <is>
          <t>Network Sniffing can support discovery or interaction with process state, control assets and operational data in Power Generation environments.</t>
        </is>
      </c>
      <c r="P504" s="973" t="inlineStr">
        <is>
          <t>https://csrc.nist.gov/pubs/sp/800/82/r3/final</t>
        </is>
      </c>
    </row>
    <row r="505" ht="15" customHeight="1" s="508">
      <c r="A505" s="972" t="inlineStr">
        <is>
          <t>Cybercriminal</t>
        </is>
      </c>
      <c r="B505" s="972" t="inlineStr">
        <is>
          <t>Process Manipulation</t>
        </is>
      </c>
      <c r="C505" s="972" t="inlineStr">
        <is>
          <t>T0843.002</t>
        </is>
      </c>
      <c r="D505" s="972" t="inlineStr">
        <is>
          <t>Online Edit</t>
        </is>
      </c>
      <c r="E505" s="972" t="inlineStr">
        <is>
          <t>S5</t>
        </is>
      </c>
      <c r="F505" s="972" t="inlineStr">
        <is>
          <t>Supporting / impact</t>
        </is>
      </c>
      <c r="G505" s="972" t="inlineStr">
        <is>
          <t>Yes</t>
        </is>
      </c>
      <c r="H505" s="972" t="inlineStr">
        <is>
          <t>Yes</t>
        </is>
      </c>
      <c r="I505" s="972" t="inlineStr">
        <is>
          <t>Yes</t>
        </is>
      </c>
      <c r="J505" s="972" t="n">
        <v>10</v>
      </c>
      <c r="K505" s="972" t="inlineStr">
        <is>
          <t>RESTAGED v1.2: In the Process Manipulation scenario this technique directly implements the adverse outcome, so it is staged S5 rather than inheriting its ATT&amp;CK tactic. CRQ stage is scenario-specific.</t>
        </is>
      </c>
      <c r="L505" s="452" t="inlineStr">
        <is>
          <t>https://attack.mitre.org/techniques/T0843/002</t>
        </is>
      </c>
      <c r="M505" s="973" t="inlineStr">
        <is>
          <t>Yes</t>
        </is>
      </c>
      <c r="N505" s="973" t="inlineStr">
        <is>
          <t>No explicit facility gate — defaults feasible</t>
        </is>
      </c>
      <c r="O505" s="973" t="inlineStr">
        <is>
          <t>Online Edit can support movement toward or within plant/control zones; actual reachability is governed by the assessed facility architecture.</t>
        </is>
      </c>
      <c r="P505" s="973" t="inlineStr">
        <is>
          <t>https://csrc.nist.gov/pubs/sp/800/82/r3/final</t>
        </is>
      </c>
    </row>
    <row r="506" ht="15" customHeight="1" s="508">
      <c r="A506" s="972" t="inlineStr">
        <is>
          <t>Cybercriminal</t>
        </is>
      </c>
      <c r="B506" s="972" t="inlineStr">
        <is>
          <t>Process Manipulation</t>
        </is>
      </c>
      <c r="C506" s="972" t="inlineStr">
        <is>
          <t>T0861</t>
        </is>
      </c>
      <c r="D506" s="972" t="inlineStr">
        <is>
          <t>Point &amp; Tag Identification</t>
        </is>
      </c>
      <c r="E506" s="972" t="inlineStr">
        <is>
          <t>S4</t>
        </is>
      </c>
      <c r="F506" s="972" t="inlineStr">
        <is>
          <t>Candidate enabling technique</t>
        </is>
      </c>
      <c r="G506" s="972" t="inlineStr">
        <is>
          <t>Yes</t>
        </is>
      </c>
      <c r="H506" s="972" t="inlineStr">
        <is>
          <t>Yes</t>
        </is>
      </c>
      <c r="I506" s="972" t="inlineStr">
        <is>
          <t>Yes</t>
        </is>
      </c>
      <c r="J506" s="972" t="n">
        <v>8</v>
      </c>
      <c r="K506" s="972" t="inlineStr">
        <is>
          <t>Model Mapping</t>
        </is>
      </c>
      <c r="L506" s="452" t="inlineStr">
        <is>
          <t>https://attack.mitre.org/techniques/T0861</t>
        </is>
      </c>
      <c r="M506" s="973" t="inlineStr">
        <is>
          <t>Yes</t>
        </is>
      </c>
      <c r="N506" s="973" t="inlineStr">
        <is>
          <t>No explicit facility gate — defaults feasible</t>
        </is>
      </c>
      <c r="O506" s="973" t="inlineStr">
        <is>
          <t>Point &amp; Tag Identification can support discovery or interaction with process state, control assets and operational data in Power Generation environments.</t>
        </is>
      </c>
      <c r="P506" s="973" t="inlineStr">
        <is>
          <t>https://csrc.nist.gov/pubs/sp/800/82/r3/final</t>
        </is>
      </c>
    </row>
    <row r="507" ht="15" customHeight="1" s="508">
      <c r="A507" s="972" t="inlineStr">
        <is>
          <t>Cybercriminal</t>
        </is>
      </c>
      <c r="B507" s="972" t="inlineStr">
        <is>
          <t>Process Manipulation</t>
        </is>
      </c>
      <c r="C507" s="972" t="inlineStr">
        <is>
          <t>T0846.001</t>
        </is>
      </c>
      <c r="D507" s="972" t="inlineStr">
        <is>
          <t>Port Scan</t>
        </is>
      </c>
      <c r="E507" s="972" t="inlineStr">
        <is>
          <t>S4</t>
        </is>
      </c>
      <c r="F507" s="972" t="inlineStr">
        <is>
          <t>Candidate enabling technique</t>
        </is>
      </c>
      <c r="G507" s="972" t="inlineStr">
        <is>
          <t>Yes</t>
        </is>
      </c>
      <c r="H507" s="972" t="inlineStr">
        <is>
          <t>Yes</t>
        </is>
      </c>
      <c r="I507" s="972" t="inlineStr">
        <is>
          <t>Yes</t>
        </is>
      </c>
      <c r="J507" s="972" t="n">
        <v>3</v>
      </c>
      <c r="K507" s="972" t="inlineStr">
        <is>
          <t>Model Mapping</t>
        </is>
      </c>
      <c r="L507" s="452" t="inlineStr">
        <is>
          <t>https://attack.mitre.org/techniques/T0846/001</t>
        </is>
      </c>
      <c r="M507" s="973" t="inlineStr">
        <is>
          <t>Yes</t>
        </is>
      </c>
      <c r="N507" s="973" t="inlineStr">
        <is>
          <t>No explicit facility gate — defaults feasible</t>
        </is>
      </c>
      <c r="O507" s="973" t="inlineStr">
        <is>
          <t>Port Scan can support discovery or interaction with process state, control assets and operational data in Power Generation environments.</t>
        </is>
      </c>
      <c r="P507" s="973" t="inlineStr">
        <is>
          <t>https://csrc.nist.gov/pubs/sp/800/82/r3/final</t>
        </is>
      </c>
    </row>
    <row r="508" ht="15" customHeight="1" s="508">
      <c r="A508" s="972" t="inlineStr">
        <is>
          <t>Cybercriminal</t>
        </is>
      </c>
      <c r="B508" s="972" t="inlineStr">
        <is>
          <t>Process Manipulation</t>
        </is>
      </c>
      <c r="C508" s="972" t="inlineStr">
        <is>
          <t>T0843.003</t>
        </is>
      </c>
      <c r="D508" s="972" t="inlineStr">
        <is>
          <t>Program Append</t>
        </is>
      </c>
      <c r="E508" s="972" t="inlineStr">
        <is>
          <t>S3</t>
        </is>
      </c>
      <c r="F508" s="972" t="inlineStr">
        <is>
          <t>Candidate enabling technique</t>
        </is>
      </c>
      <c r="G508" s="972" t="inlineStr">
        <is>
          <t>Yes</t>
        </is>
      </c>
      <c r="H508" s="972" t="inlineStr">
        <is>
          <t>Yes</t>
        </is>
      </c>
      <c r="I508" s="972" t="inlineStr">
        <is>
          <t>Yes</t>
        </is>
      </c>
      <c r="J508" s="972" t="n">
        <v>10</v>
      </c>
      <c r="K508" s="972" t="inlineStr">
        <is>
          <t>Model Mapping</t>
        </is>
      </c>
      <c r="L508" s="452" t="inlineStr">
        <is>
          <t>https://attack.mitre.org/techniques/T0843/003</t>
        </is>
      </c>
      <c r="M508" s="973" t="inlineStr">
        <is>
          <t>Yes</t>
        </is>
      </c>
      <c r="N508" s="973" t="inlineStr">
        <is>
          <t>No explicit facility gate — defaults feasible</t>
        </is>
      </c>
      <c r="O508" s="973" t="inlineStr">
        <is>
          <t>Program Append can support movement toward or within plant/control zones; actual reachability is governed by the assessed facility architecture.</t>
        </is>
      </c>
      <c r="P508" s="973" t="inlineStr">
        <is>
          <t>https://csrc.nist.gov/pubs/sp/800/82/r3/final</t>
        </is>
      </c>
    </row>
    <row r="509" ht="15" customHeight="1" s="508">
      <c r="A509" s="972" t="inlineStr">
        <is>
          <t>Cybercriminal</t>
        </is>
      </c>
      <c r="B509" s="972" t="inlineStr">
        <is>
          <t>Process Manipulation</t>
        </is>
      </c>
      <c r="C509" s="972" t="inlineStr">
        <is>
          <t>T0845</t>
        </is>
      </c>
      <c r="D509" s="972" t="inlineStr">
        <is>
          <t>Program Upload</t>
        </is>
      </c>
      <c r="E509" s="972" t="inlineStr">
        <is>
          <t>S4</t>
        </is>
      </c>
      <c r="F509" s="972" t="inlineStr">
        <is>
          <t>Candidate enabling technique</t>
        </is>
      </c>
      <c r="G509" s="972" t="inlineStr">
        <is>
          <t>Yes</t>
        </is>
      </c>
      <c r="H509" s="972" t="inlineStr">
        <is>
          <t>Yes</t>
        </is>
      </c>
      <c r="I509" s="972" t="inlineStr">
        <is>
          <t>Yes</t>
        </is>
      </c>
      <c r="J509" s="972" t="n">
        <v>8</v>
      </c>
      <c r="K509" s="972" t="inlineStr">
        <is>
          <t>Model Mapping</t>
        </is>
      </c>
      <c r="L509" s="452" t="inlineStr">
        <is>
          <t>https://attack.mitre.org/techniques/T0845</t>
        </is>
      </c>
      <c r="M509" s="973" t="inlineStr">
        <is>
          <t>Yes</t>
        </is>
      </c>
      <c r="N509" s="973" t="inlineStr">
        <is>
          <t>No explicit facility gate — defaults feasible</t>
        </is>
      </c>
      <c r="O509" s="973" t="inlineStr">
        <is>
          <t>Program Upload can support discovery or interaction with process state, control assets and operational data in Power Generation environments.</t>
        </is>
      </c>
      <c r="P509" s="973" t="inlineStr">
        <is>
          <t>https://csrc.nist.gov/pubs/sp/800/82/r3/final</t>
        </is>
      </c>
    </row>
    <row r="510" ht="15" customHeight="1" s="508">
      <c r="A510" s="972" t="inlineStr">
        <is>
          <t>Cybercriminal</t>
        </is>
      </c>
      <c r="B510" s="972" t="inlineStr">
        <is>
          <t>Process Manipulation</t>
        </is>
      </c>
      <c r="C510" s="972" t="inlineStr">
        <is>
          <t>T0886</t>
        </is>
      </c>
      <c r="D510" s="972" t="inlineStr">
        <is>
          <t>Remote Services</t>
        </is>
      </c>
      <c r="E510" s="972" t="inlineStr">
        <is>
          <t>S1</t>
        </is>
      </c>
      <c r="F510" s="972" t="inlineStr">
        <is>
          <t>Candidate enabling technique</t>
        </is>
      </c>
      <c r="G510" s="972" t="inlineStr">
        <is>
          <t>Yes</t>
        </is>
      </c>
      <c r="H510" s="972" t="inlineStr">
        <is>
          <t>Yes</t>
        </is>
      </c>
      <c r="I510" s="972" t="inlineStr">
        <is>
          <t>Yes</t>
        </is>
      </c>
      <c r="J510" s="972" t="n">
        <v>9</v>
      </c>
      <c r="K510" s="972" t="inlineStr">
        <is>
          <t>Model Mapping</t>
        </is>
      </c>
      <c r="L510" s="452" t="inlineStr">
        <is>
          <t>https://attack.mitre.org/techniques/T0886</t>
        </is>
      </c>
      <c r="M510" s="973" t="inlineStr">
        <is>
          <t>Yes</t>
        </is>
      </c>
      <c r="N510" s="973" t="inlineStr">
        <is>
          <t>REMOTE_OR_ITOT — Remote path or IT-OT connection</t>
        </is>
      </c>
      <c r="O510" s="973" t="inlineStr">
        <is>
          <t>The Remote Services route is credible for Power Generation OT when the enabling access condition exists; existing facility gates determine remote, internet, transient, supply-chain or wireless feasibility.</t>
        </is>
      </c>
      <c r="P510" s="973" t="inlineStr">
        <is>
          <t>https://csrc.nist.gov/pubs/sp/800/82/r3/final</t>
        </is>
      </c>
    </row>
    <row r="511" ht="15" customHeight="1" s="508">
      <c r="A511" s="972" t="inlineStr">
        <is>
          <t>Cybercriminal</t>
        </is>
      </c>
      <c r="B511" s="972" t="inlineStr">
        <is>
          <t>Process Manipulation</t>
        </is>
      </c>
      <c r="C511" s="972" t="inlineStr">
        <is>
          <t>T0888</t>
        </is>
      </c>
      <c r="D511" s="972" t="inlineStr">
        <is>
          <t>Remote System Information Discovery</t>
        </is>
      </c>
      <c r="E511" s="972" t="inlineStr">
        <is>
          <t>S4</t>
        </is>
      </c>
      <c r="F511" s="972" t="inlineStr">
        <is>
          <t>Candidate enabling technique</t>
        </is>
      </c>
      <c r="G511" s="972" t="inlineStr">
        <is>
          <t>Yes</t>
        </is>
      </c>
      <c r="H511" s="972" t="inlineStr">
        <is>
          <t>Yes</t>
        </is>
      </c>
      <c r="I511" s="972" t="inlineStr">
        <is>
          <t>Yes</t>
        </is>
      </c>
      <c r="J511" s="972" t="n">
        <v>1</v>
      </c>
      <c r="K511" s="972" t="inlineStr">
        <is>
          <t>Model Mapping</t>
        </is>
      </c>
      <c r="L511" s="452" t="inlineStr">
        <is>
          <t>https://attack.mitre.org/techniques/T0888</t>
        </is>
      </c>
      <c r="M511" s="973" t="inlineStr">
        <is>
          <t>Yes</t>
        </is>
      </c>
      <c r="N511" s="973" t="inlineStr">
        <is>
          <t>No explicit facility gate — defaults feasible</t>
        </is>
      </c>
      <c r="O511" s="973" t="inlineStr">
        <is>
          <t>Remote System Information Discovery can support discovery or interaction with process state, control assets and operational data in Power Generation environments.</t>
        </is>
      </c>
      <c r="P511" s="973" t="inlineStr">
        <is>
          <t>https://csrc.nist.gov/pubs/sp/800/82/r3/final</t>
        </is>
      </c>
    </row>
    <row r="512" ht="15" customHeight="1" s="508">
      <c r="A512" s="972" t="inlineStr">
        <is>
          <t>Cybercriminal</t>
        </is>
      </c>
      <c r="B512" s="972" t="inlineStr">
        <is>
          <t>Process Manipulation</t>
        </is>
      </c>
      <c r="C512" s="972" t="inlineStr">
        <is>
          <t>T0847</t>
        </is>
      </c>
      <c r="D512" s="972" t="inlineStr">
        <is>
          <t>Replication Through Removable Media</t>
        </is>
      </c>
      <c r="E512" s="972" t="inlineStr">
        <is>
          <t>S1</t>
        </is>
      </c>
      <c r="F512" s="972" t="inlineStr">
        <is>
          <t>Candidate enabling technique</t>
        </is>
      </c>
      <c r="G512" s="972" t="inlineStr">
        <is>
          <t>Yes</t>
        </is>
      </c>
      <c r="H512" s="972" t="inlineStr">
        <is>
          <t>Yes</t>
        </is>
      </c>
      <c r="I512" s="972" t="inlineStr">
        <is>
          <t>Yes</t>
        </is>
      </c>
      <c r="J512" s="972" t="n">
        <v>3</v>
      </c>
      <c r="K512" s="972" t="inlineStr">
        <is>
          <t>Model Mapping</t>
        </is>
      </c>
      <c r="L512" s="452" t="inlineStr">
        <is>
          <t>https://attack.mitre.org/techniques/T0847</t>
        </is>
      </c>
      <c r="M512" s="973" t="inlineStr">
        <is>
          <t>Yes</t>
        </is>
      </c>
      <c r="N512" s="973" t="inlineStr">
        <is>
          <t>TRANSIENT_REQUIRED — Not None</t>
        </is>
      </c>
      <c r="O512" s="973" t="inlineStr">
        <is>
          <t>The Replication Through Removable Media route is credible for Power Generation OT when the enabling access condition exists; existing facility gates determine remote, internet, transient, supply-chain or wireless feasibility.</t>
        </is>
      </c>
      <c r="P512" s="973" t="inlineStr">
        <is>
          <t>https://csrc.nist.gov/pubs/sp/800/82/r3/final</t>
        </is>
      </c>
    </row>
    <row r="513" ht="15" customHeight="1" s="508">
      <c r="A513" s="972" t="inlineStr">
        <is>
          <t>Cybercriminal</t>
        </is>
      </c>
      <c r="B513" s="972" t="inlineStr">
        <is>
          <t>Process Manipulation</t>
        </is>
      </c>
      <c r="C513" s="972" t="inlineStr">
        <is>
          <t>T1692.002</t>
        </is>
      </c>
      <c r="D513" s="972" t="inlineStr">
        <is>
          <t>Reporting Message</t>
        </is>
      </c>
      <c r="E513" s="972" t="inlineStr">
        <is>
          <t>S5</t>
        </is>
      </c>
      <c r="F513" s="972" t="inlineStr">
        <is>
          <t>Supporting / impact</t>
        </is>
      </c>
      <c r="G513" s="972" t="inlineStr">
        <is>
          <t>Yes</t>
        </is>
      </c>
      <c r="H513" s="972" t="inlineStr">
        <is>
          <t>Yes</t>
        </is>
      </c>
      <c r="I513" s="972" t="inlineStr">
        <is>
          <t>Yes</t>
        </is>
      </c>
      <c r="J513" s="972" t="n">
        <v>5</v>
      </c>
      <c r="K513" s="972" t="inlineStr">
        <is>
          <t>Model Mapping</t>
        </is>
      </c>
      <c r="L513" s="452" t="inlineStr">
        <is>
          <t>https://attack.mitre.org/techniques/T1692/002</t>
        </is>
      </c>
      <c r="M513" s="973" t="inlineStr">
        <is>
          <t>Yes</t>
        </is>
      </c>
      <c r="N513" s="973" t="inlineStr">
        <is>
          <t>No explicit facility gate — defaults feasible</t>
        </is>
      </c>
      <c r="O513" s="973" t="inlineStr">
        <is>
          <t>Reporting Message is an ATT&amp;CK for ICS impact or response-inhibition technique that can support one or more governed adverse scenarios; scenario role remains controlled on 09.</t>
        </is>
      </c>
      <c r="P513" s="973" t="inlineStr">
        <is>
          <t>https://csrc.nist.gov/pubs/sp/800/82/r3/final</t>
        </is>
      </c>
    </row>
    <row r="514" ht="15" customHeight="1" s="508">
      <c r="A514" s="972" t="inlineStr">
        <is>
          <t>Cybercriminal</t>
        </is>
      </c>
      <c r="B514" s="972" t="inlineStr">
        <is>
          <t>Process Manipulation</t>
        </is>
      </c>
      <c r="C514" s="972" t="inlineStr">
        <is>
          <t>T0848</t>
        </is>
      </c>
      <c r="D514" s="972" t="inlineStr">
        <is>
          <t>Rogue Master</t>
        </is>
      </c>
      <c r="E514" s="972" t="inlineStr">
        <is>
          <t>S5</t>
        </is>
      </c>
      <c r="F514" s="972" t="inlineStr">
        <is>
          <t>Supporting / impact</t>
        </is>
      </c>
      <c r="G514" s="972" t="inlineStr">
        <is>
          <t>Yes</t>
        </is>
      </c>
      <c r="H514" s="972" t="inlineStr">
        <is>
          <t>Yes</t>
        </is>
      </c>
      <c r="I514" s="972" t="inlineStr">
        <is>
          <t>Yes</t>
        </is>
      </c>
      <c r="J514" s="972" t="n">
        <v>5</v>
      </c>
      <c r="K514" s="972" t="inlineStr">
        <is>
          <t>RESTAGED v1.2: In the Process Manipulation scenario this technique directly implements the adverse outcome, so it is staged S5 rather than inheriting its ATT&amp;CK tactic. CRQ stage is scenario-specific.</t>
        </is>
      </c>
      <c r="L514" s="452" t="inlineStr">
        <is>
          <t>https://attack.mitre.org/techniques/T0848</t>
        </is>
      </c>
      <c r="M514" s="973" t="inlineStr">
        <is>
          <t>Yes</t>
        </is>
      </c>
      <c r="N514" s="973" t="inlineStr">
        <is>
          <t>No explicit facility gate — defaults feasible</t>
        </is>
      </c>
      <c r="O514" s="973" t="inlineStr">
        <is>
          <t>The Rogue Master route is credible for Power Generation OT when the enabling access condition exists; existing facility gates determine remote, internet, transient, supply-chain or wireless feasibility.</t>
        </is>
      </c>
      <c r="P514" s="973" t="inlineStr">
        <is>
          <t>https://csrc.nist.gov/pubs/sp/800/82/r3/final</t>
        </is>
      </c>
    </row>
    <row r="515" ht="15" customHeight="1" s="508">
      <c r="A515" s="972" t="inlineStr">
        <is>
          <t>Cybercriminal</t>
        </is>
      </c>
      <c r="B515" s="972" t="inlineStr">
        <is>
          <t>Process Manipulation</t>
        </is>
      </c>
      <c r="C515" s="972" t="inlineStr">
        <is>
          <t>T0852</t>
        </is>
      </c>
      <c r="D515" s="972" t="inlineStr">
        <is>
          <t>Screen Capture</t>
        </is>
      </c>
      <c r="E515" s="972" t="inlineStr">
        <is>
          <t>S4</t>
        </is>
      </c>
      <c r="F515" s="972" t="inlineStr">
        <is>
          <t>Candidate enabling technique</t>
        </is>
      </c>
      <c r="G515" s="972" t="inlineStr">
        <is>
          <t>Yes</t>
        </is>
      </c>
      <c r="H515" s="972" t="inlineStr">
        <is>
          <t>Yes</t>
        </is>
      </c>
      <c r="I515" s="972" t="inlineStr">
        <is>
          <t>Yes</t>
        </is>
      </c>
      <c r="J515" s="972" t="n">
        <v>1</v>
      </c>
      <c r="K515" s="972" t="inlineStr">
        <is>
          <t>Model Mapping</t>
        </is>
      </c>
      <c r="L515" s="452" t="inlineStr">
        <is>
          <t>https://attack.mitre.org/techniques/T0852</t>
        </is>
      </c>
      <c r="M515" s="973" t="inlineStr">
        <is>
          <t>Yes</t>
        </is>
      </c>
      <c r="N515" s="973" t="inlineStr">
        <is>
          <t>No explicit facility gate — defaults feasible</t>
        </is>
      </c>
      <c r="O515" s="973" t="inlineStr">
        <is>
          <t>Screen Capture can support discovery or interaction with process state, control assets and operational data in Power Generation environments.</t>
        </is>
      </c>
      <c r="P515" s="973" t="inlineStr">
        <is>
          <t>https://csrc.nist.gov/pubs/sp/800/82/r3/final</t>
        </is>
      </c>
    </row>
    <row r="516" ht="15" customHeight="1" s="508">
      <c r="A516" s="972" t="inlineStr">
        <is>
          <t>Cybercriminal</t>
        </is>
      </c>
      <c r="B516" s="972" t="inlineStr">
        <is>
          <t>Process Manipulation</t>
        </is>
      </c>
      <c r="C516" s="972" t="inlineStr">
        <is>
          <t>T0853</t>
        </is>
      </c>
      <c r="D516" s="972" t="inlineStr">
        <is>
          <t>Scripting</t>
        </is>
      </c>
      <c r="E516" s="972" t="inlineStr">
        <is>
          <t>S2</t>
        </is>
      </c>
      <c r="F516" s="972" t="inlineStr">
        <is>
          <t>Candidate enabling technique</t>
        </is>
      </c>
      <c r="G516" s="972" t="inlineStr">
        <is>
          <t>Yes</t>
        </is>
      </c>
      <c r="H516" s="972" t="inlineStr">
        <is>
          <t>Yes</t>
        </is>
      </c>
      <c r="I516" s="972" t="inlineStr">
        <is>
          <t>Yes</t>
        </is>
      </c>
      <c r="J516" s="972" t="n">
        <v>3</v>
      </c>
      <c r="K516" s="972" t="inlineStr">
        <is>
          <t>Model Mapping</t>
        </is>
      </c>
      <c r="L516" s="452" t="inlineStr">
        <is>
          <t>https://attack.mitre.org/techniques/T0853</t>
        </is>
      </c>
      <c r="M516" s="973" t="inlineStr">
        <is>
          <t>Yes</t>
        </is>
      </c>
      <c r="N516" s="973" t="inlineStr">
        <is>
          <t>No explicit facility gate — defaults feasible</t>
        </is>
      </c>
      <c r="O516" s="973" t="inlineStr">
        <is>
          <t>Scripting is applicable to execution or persistence on engineering workstations, HMIs, servers or controllers used in Power Generation facilities.</t>
        </is>
      </c>
      <c r="P516" s="973" t="inlineStr">
        <is>
          <t>https://csrc.nist.gov/pubs/sp/800/82/r3/final</t>
        </is>
      </c>
    </row>
    <row r="517" ht="15" customHeight="1" s="508">
      <c r="A517" s="972" t="inlineStr">
        <is>
          <t>Cybercriminal</t>
        </is>
      </c>
      <c r="B517" s="972" t="inlineStr">
        <is>
          <t>Process Manipulation</t>
        </is>
      </c>
      <c r="C517" s="972" t="inlineStr">
        <is>
          <t>T0873.001</t>
        </is>
      </c>
      <c r="D517" s="972" t="inlineStr">
        <is>
          <t>Siemens Project File Format</t>
        </is>
      </c>
      <c r="E517" s="972" t="inlineStr">
        <is>
          <t>S2</t>
        </is>
      </c>
      <c r="F517" s="972" t="inlineStr">
        <is>
          <t>Candidate enabling technique</t>
        </is>
      </c>
      <c r="G517" s="972" t="inlineStr">
        <is>
          <t>Yes</t>
        </is>
      </c>
      <c r="H517" s="972" t="inlineStr">
        <is>
          <t>Yes</t>
        </is>
      </c>
      <c r="I517" s="972" t="inlineStr">
        <is>
          <t>Yes</t>
        </is>
      </c>
      <c r="J517" s="972" t="n">
        <v>4</v>
      </c>
      <c r="K517" s="972" t="inlineStr">
        <is>
          <t>Model Mapping</t>
        </is>
      </c>
      <c r="L517" s="452" t="inlineStr">
        <is>
          <t>https://attack.mitre.org/techniques/T0873/001</t>
        </is>
      </c>
      <c r="M517" s="973" t="inlineStr">
        <is>
          <t>Yes</t>
        </is>
      </c>
      <c r="N517" s="973" t="inlineStr">
        <is>
          <t>No explicit facility gate — defaults feasible</t>
        </is>
      </c>
      <c r="O517" s="973" t="inlineStr">
        <is>
          <t>Siemens Project File Format is applicable to execution or persistence on engineering workstations, HMIs, servers or controllers used in Power Generation facilities.</t>
        </is>
      </c>
      <c r="P517" s="973" t="inlineStr">
        <is>
          <t>https://csrc.nist.gov/pubs/sp/800/82/r3/final</t>
        </is>
      </c>
    </row>
    <row r="518" ht="15" customHeight="1" s="508">
      <c r="A518" s="972" t="inlineStr">
        <is>
          <t>Cybercriminal</t>
        </is>
      </c>
      <c r="B518" s="972" t="inlineStr">
        <is>
          <t>Process Manipulation</t>
        </is>
      </c>
      <c r="C518" s="972" t="inlineStr">
        <is>
          <t>T0865</t>
        </is>
      </c>
      <c r="D518" s="972" t="inlineStr">
        <is>
          <t>Spearphishing Attachment</t>
        </is>
      </c>
      <c r="E518" s="972" t="inlineStr">
        <is>
          <t>S1</t>
        </is>
      </c>
      <c r="F518" s="972" t="inlineStr">
        <is>
          <t>Candidate enabling technique</t>
        </is>
      </c>
      <c r="G518" s="972" t="inlineStr">
        <is>
          <t>Yes</t>
        </is>
      </c>
      <c r="H518" s="972" t="inlineStr">
        <is>
          <t>Yes</t>
        </is>
      </c>
      <c r="I518" s="972" t="inlineStr">
        <is>
          <t>Yes</t>
        </is>
      </c>
      <c r="J518" s="972" t="n">
        <v>4</v>
      </c>
      <c r="K518" s="972" t="inlineStr">
        <is>
          <t>Model Mapping</t>
        </is>
      </c>
      <c r="L518" s="452" t="inlineStr">
        <is>
          <t>https://attack.mitre.org/techniques/T0865</t>
        </is>
      </c>
      <c r="M518" s="973" t="inlineStr">
        <is>
          <t>Yes</t>
        </is>
      </c>
      <c r="N518" s="973" t="inlineStr">
        <is>
          <t>No explicit facility gate — defaults feasible</t>
        </is>
      </c>
      <c r="O518" s="973" t="inlineStr">
        <is>
          <t>The Spearphishing Attachment route is credible for Power Generation OT when the enabling access condition exists; existing facility gates determine remote, internet, transient, supply-chain or wireless feasibility.</t>
        </is>
      </c>
      <c r="P518" s="973" t="inlineStr">
        <is>
          <t>https://csrc.nist.gov/pubs/sp/800/82/r3/final</t>
        </is>
      </c>
    </row>
    <row r="519" ht="15" customHeight="1" s="508">
      <c r="A519" s="972" t="inlineStr">
        <is>
          <t>Cybercriminal</t>
        </is>
      </c>
      <c r="B519" s="972" t="inlineStr">
        <is>
          <t>Process Manipulation</t>
        </is>
      </c>
      <c r="C519" s="972" t="inlineStr">
        <is>
          <t>T0869</t>
        </is>
      </c>
      <c r="D519" s="972" t="inlineStr">
        <is>
          <t>Standard Application Layer Protocol</t>
        </is>
      </c>
      <c r="E519" s="972" t="inlineStr">
        <is>
          <t>S3</t>
        </is>
      </c>
      <c r="F519" s="972" t="inlineStr">
        <is>
          <t>Candidate enabling technique</t>
        </is>
      </c>
      <c r="G519" s="972" t="inlineStr">
        <is>
          <t>Yes</t>
        </is>
      </c>
      <c r="H519" s="972" t="inlineStr">
        <is>
          <t>Yes</t>
        </is>
      </c>
      <c r="I519" s="972" t="inlineStr">
        <is>
          <t>Yes</t>
        </is>
      </c>
      <c r="J519" s="972" t="n">
        <v>3</v>
      </c>
      <c r="K519" s="972" t="inlineStr">
        <is>
          <t>Model Mapping</t>
        </is>
      </c>
      <c r="L519" s="452" t="inlineStr">
        <is>
          <t>https://attack.mitre.org/techniques/T0869</t>
        </is>
      </c>
      <c r="M519" s="973" t="inlineStr">
        <is>
          <t>Yes</t>
        </is>
      </c>
      <c r="N519" s="973" t="inlineStr">
        <is>
          <t>No explicit facility gate — defaults feasible</t>
        </is>
      </c>
      <c r="O519" s="973" t="inlineStr">
        <is>
          <t>Standard Application Layer Protocol can support movement toward or within plant/control zones; actual reachability is governed by the assessed facility architecture.</t>
        </is>
      </c>
      <c r="P519" s="973" t="inlineStr">
        <is>
          <t>https://csrc.nist.gov/pubs/sp/800/82/r3/final</t>
        </is>
      </c>
    </row>
    <row r="520" ht="15" customHeight="1" s="508">
      <c r="A520" s="972" t="inlineStr">
        <is>
          <t>Cybercriminal</t>
        </is>
      </c>
      <c r="B520" s="972" t="inlineStr">
        <is>
          <t>Process Manipulation</t>
        </is>
      </c>
      <c r="C520" s="972" t="inlineStr">
        <is>
          <t>T0862</t>
        </is>
      </c>
      <c r="D520" s="972" t="inlineStr">
        <is>
          <t>Supply Chain Compromise</t>
        </is>
      </c>
      <c r="E520" s="972" t="inlineStr">
        <is>
          <t>S1</t>
        </is>
      </c>
      <c r="F520" s="972" t="inlineStr">
        <is>
          <t>Candidate enabling technique</t>
        </is>
      </c>
      <c r="G520" s="972" t="inlineStr">
        <is>
          <t>Yes</t>
        </is>
      </c>
      <c r="H520" s="972" t="inlineStr">
        <is>
          <t>Yes</t>
        </is>
      </c>
      <c r="I520" s="972" t="inlineStr">
        <is>
          <t>Yes</t>
        </is>
      </c>
      <c r="J520" s="972" t="n">
        <v>5</v>
      </c>
      <c r="K520" s="972" t="inlineStr">
        <is>
          <t>Model Mapping</t>
        </is>
      </c>
      <c r="L520" s="452" t="inlineStr">
        <is>
          <t>https://attack.mitre.org/techniques/T0862</t>
        </is>
      </c>
      <c r="M520" s="973" t="inlineStr">
        <is>
          <t>Yes</t>
        </is>
      </c>
      <c r="N520" s="973" t="inlineStr">
        <is>
          <t>SUPPLY_CHAIN — Yes</t>
        </is>
      </c>
      <c r="O520" s="973" t="inlineStr">
        <is>
          <t>The Supply Chain Compromise route is credible for Power Generation OT when the enabling access condition exists; existing facility gates determine remote, internet, transient, supply-chain or wireless feasibility.</t>
        </is>
      </c>
      <c r="P520" s="973" t="inlineStr">
        <is>
          <t>https://csrc.nist.gov/pubs/sp/800/82/r3/final</t>
        </is>
      </c>
    </row>
    <row r="521" ht="15" customHeight="1" s="508">
      <c r="A521" s="972" t="inlineStr">
        <is>
          <t>Cybercriminal</t>
        </is>
      </c>
      <c r="B521" s="972" t="inlineStr">
        <is>
          <t>Process Manipulation</t>
        </is>
      </c>
      <c r="C521" s="972" t="inlineStr">
        <is>
          <t>T0894</t>
        </is>
      </c>
      <c r="D521" s="972" t="inlineStr">
        <is>
          <t>System Binary Proxy Execution</t>
        </is>
      </c>
      <c r="E521" s="972" t="inlineStr">
        <is>
          <t>S2</t>
        </is>
      </c>
      <c r="F521" s="972" t="inlineStr">
        <is>
          <t>Candidate enabling technique</t>
        </is>
      </c>
      <c r="G521" s="972" t="inlineStr">
        <is>
          <t>Yes</t>
        </is>
      </c>
      <c r="H521" s="972" t="inlineStr">
        <is>
          <t>Yes</t>
        </is>
      </c>
      <c r="I521" s="972" t="inlineStr">
        <is>
          <t>Yes</t>
        </is>
      </c>
      <c r="J521" s="972" t="n">
        <v>1</v>
      </c>
      <c r="K521" s="972" t="inlineStr">
        <is>
          <t>Model Mapping</t>
        </is>
      </c>
      <c r="L521" s="452" t="inlineStr">
        <is>
          <t>https://attack.mitre.org/techniques/T0894</t>
        </is>
      </c>
      <c r="M521" s="973" t="inlineStr">
        <is>
          <t>Yes</t>
        </is>
      </c>
      <c r="N521" s="973" t="inlineStr">
        <is>
          <t>No explicit facility gate — defaults feasible</t>
        </is>
      </c>
      <c r="O521" s="973" t="inlineStr">
        <is>
          <t>System Binary Proxy Execution is applicable to execution or persistence on engineering workstations, HMIs, servers or controllers used in Power Generation facilities.</t>
        </is>
      </c>
      <c r="P521" s="973" t="inlineStr">
        <is>
          <t>https://csrc.nist.gov/pubs/sp/800/82/r3/final</t>
        </is>
      </c>
    </row>
    <row r="522" ht="15" customHeight="1" s="508">
      <c r="A522" s="972" t="inlineStr">
        <is>
          <t>Cybercriminal</t>
        </is>
      </c>
      <c r="B522" s="972" t="inlineStr">
        <is>
          <t>Process Manipulation</t>
        </is>
      </c>
      <c r="C522" s="972" t="inlineStr">
        <is>
          <t>T0864</t>
        </is>
      </c>
      <c r="D522" s="972" t="inlineStr">
        <is>
          <t>Transient Cyber Asset</t>
        </is>
      </c>
      <c r="E522" s="972" t="inlineStr">
        <is>
          <t>S1</t>
        </is>
      </c>
      <c r="F522" s="972" t="inlineStr">
        <is>
          <t>Candidate enabling technique</t>
        </is>
      </c>
      <c r="G522" s="972" t="inlineStr">
        <is>
          <t>Yes</t>
        </is>
      </c>
      <c r="H522" s="972" t="inlineStr">
        <is>
          <t>Yes</t>
        </is>
      </c>
      <c r="I522" s="972" t="inlineStr">
        <is>
          <t>Yes</t>
        </is>
      </c>
      <c r="J522" s="972" t="n">
        <v>5</v>
      </c>
      <c r="K522" s="972" t="inlineStr">
        <is>
          <t>Model Mapping</t>
        </is>
      </c>
      <c r="L522" s="452" t="inlineStr">
        <is>
          <t>https://attack.mitre.org/techniques/T0864</t>
        </is>
      </c>
      <c r="M522" s="973" t="inlineStr">
        <is>
          <t>Yes</t>
        </is>
      </c>
      <c r="N522" s="973" t="inlineStr">
        <is>
          <t>TRANSIENT_REQUIRED — Not None</t>
        </is>
      </c>
      <c r="O522" s="973" t="inlineStr">
        <is>
          <t>The Transient Cyber Asset route is credible for Power Generation OT when the enabling access condition exists; existing facility gates determine remote, internet, transient, supply-chain or wireless feasibility.</t>
        </is>
      </c>
      <c r="P522" s="973" t="inlineStr">
        <is>
          <t>https://csrc.nist.gov/pubs/sp/800/82/r3/final</t>
        </is>
      </c>
    </row>
    <row r="523" ht="15" customHeight="1" s="508">
      <c r="A523" s="972" t="inlineStr">
        <is>
          <t>Cybercriminal</t>
        </is>
      </c>
      <c r="B523" s="972" t="inlineStr">
        <is>
          <t>Process Manipulation</t>
        </is>
      </c>
      <c r="C523" s="972" t="inlineStr">
        <is>
          <t>T0863</t>
        </is>
      </c>
      <c r="D523" s="972" t="inlineStr">
        <is>
          <t>User Execution</t>
        </is>
      </c>
      <c r="E523" s="972" t="inlineStr">
        <is>
          <t>S2</t>
        </is>
      </c>
      <c r="F523" s="972" t="inlineStr">
        <is>
          <t>Candidate enabling technique</t>
        </is>
      </c>
      <c r="G523" s="972" t="inlineStr">
        <is>
          <t>Yes</t>
        </is>
      </c>
      <c r="H523" s="972" t="inlineStr">
        <is>
          <t>Yes</t>
        </is>
      </c>
      <c r="I523" s="972" t="inlineStr">
        <is>
          <t>Yes</t>
        </is>
      </c>
      <c r="J523" s="972" t="n">
        <v>6</v>
      </c>
      <c r="K523" s="972" t="inlineStr">
        <is>
          <t>Model Mapping</t>
        </is>
      </c>
      <c r="L523" s="452" t="inlineStr">
        <is>
          <t>https://attack.mitre.org/techniques/T0863</t>
        </is>
      </c>
      <c r="M523" s="973" t="inlineStr">
        <is>
          <t>Yes</t>
        </is>
      </c>
      <c r="N523" s="973" t="inlineStr">
        <is>
          <t>No explicit facility gate — defaults feasible</t>
        </is>
      </c>
      <c r="O523" s="973" t="inlineStr">
        <is>
          <t>User Execution is applicable to execution or persistence on engineering workstations, HMIs, servers or controllers used in Power Generation facilities.</t>
        </is>
      </c>
      <c r="P523" s="973" t="inlineStr">
        <is>
          <t>https://csrc.nist.gov/pubs/sp/800/82/r3/final</t>
        </is>
      </c>
    </row>
    <row r="524" ht="15" customHeight="1" s="508">
      <c r="A524" s="972" t="inlineStr">
        <is>
          <t>Cybercriminal</t>
        </is>
      </c>
      <c r="B524" s="972" t="inlineStr">
        <is>
          <t>Process Manipulation</t>
        </is>
      </c>
      <c r="C524" s="972" t="inlineStr">
        <is>
          <t>T0859</t>
        </is>
      </c>
      <c r="D524" s="972" t="inlineStr">
        <is>
          <t>Valid Accounts</t>
        </is>
      </c>
      <c r="E524" s="972" t="inlineStr">
        <is>
          <t>S3</t>
        </is>
      </c>
      <c r="F524" s="972" t="inlineStr">
        <is>
          <t>Candidate enabling technique</t>
        </is>
      </c>
      <c r="G524" s="972" t="inlineStr">
        <is>
          <t>Yes</t>
        </is>
      </c>
      <c r="H524" s="972" t="inlineStr">
        <is>
          <t>Yes</t>
        </is>
      </c>
      <c r="I524" s="972" t="inlineStr">
        <is>
          <t>Yes</t>
        </is>
      </c>
      <c r="J524" s="972" t="n">
        <v>10</v>
      </c>
      <c r="K524" s="972" t="inlineStr">
        <is>
          <t>Model Mapping</t>
        </is>
      </c>
      <c r="L524" s="452" t="inlineStr">
        <is>
          <t>https://attack.mitre.org/techniques/T0859</t>
        </is>
      </c>
      <c r="M524" s="973" t="inlineStr">
        <is>
          <t>Yes</t>
        </is>
      </c>
      <c r="N524" s="973" t="inlineStr">
        <is>
          <t>No explicit facility gate — defaults feasible</t>
        </is>
      </c>
      <c r="O524" s="973" t="inlineStr">
        <is>
          <t>Valid Accounts can support movement toward or within plant/control zones; actual reachability is governed by the assessed facility architecture.</t>
        </is>
      </c>
      <c r="P524" s="973" t="inlineStr">
        <is>
          <t>https://csrc.nist.gov/pubs/sp/800/82/r3/final</t>
        </is>
      </c>
    </row>
    <row r="525" ht="15" customHeight="1" s="508">
      <c r="A525" s="972" t="inlineStr">
        <is>
          <t>Cybercriminal</t>
        </is>
      </c>
      <c r="B525" s="972" t="inlineStr">
        <is>
          <t>Process Manipulation</t>
        </is>
      </c>
      <c r="C525" s="972" t="inlineStr">
        <is>
          <t>T0860</t>
        </is>
      </c>
      <c r="D525" s="972" t="inlineStr">
        <is>
          <t>Wireless Compromise</t>
        </is>
      </c>
      <c r="E525" s="972" t="inlineStr">
        <is>
          <t>S1</t>
        </is>
      </c>
      <c r="F525" s="972" t="inlineStr">
        <is>
          <t>Candidate enabling technique</t>
        </is>
      </c>
      <c r="G525" s="972" t="inlineStr">
        <is>
          <t>Yes</t>
        </is>
      </c>
      <c r="H525" s="972" t="inlineStr">
        <is>
          <t>No</t>
        </is>
      </c>
      <c r="I525" s="972" t="inlineStr">
        <is>
          <t>No</t>
        </is>
      </c>
      <c r="J525" s="972" t="n">
        <v>4</v>
      </c>
      <c r="K525" s="972" t="inlineStr">
        <is>
          <t>Model Mapping</t>
        </is>
      </c>
      <c r="L525" s="452" t="inlineStr">
        <is>
          <t>https://attack.mitre.org/techniques/T0860</t>
        </is>
      </c>
      <c r="M525" s="973" t="inlineStr">
        <is>
          <t>Yes</t>
        </is>
      </c>
      <c r="N525" s="973" t="inlineStr">
        <is>
          <t>WIRELESS — Yes</t>
        </is>
      </c>
      <c r="O525" s="973" t="inlineStr">
        <is>
          <t>The Wireless Compromise route is credible for Power Generation OT when the enabling access condition exists; existing facility gates determine remote, internet, transient, supply-chain or wireless feasibility.</t>
        </is>
      </c>
      <c r="P525" s="973" t="inlineStr">
        <is>
          <t>https://csrc.nist.gov/pubs/sp/800/82/r3/final</t>
        </is>
      </c>
    </row>
    <row r="526" ht="15" customHeight="1" s="508">
      <c r="A526" s="972" t="inlineStr">
        <is>
          <t>Cybercriminal</t>
        </is>
      </c>
      <c r="B526" s="972" t="inlineStr">
        <is>
          <t>Process Manipulation</t>
        </is>
      </c>
      <c r="C526" s="972" t="inlineStr">
        <is>
          <t>T0887</t>
        </is>
      </c>
      <c r="D526" s="972" t="inlineStr">
        <is>
          <t>Wireless Sniffing</t>
        </is>
      </c>
      <c r="E526" s="972" t="inlineStr">
        <is>
          <t>S4</t>
        </is>
      </c>
      <c r="F526" s="972" t="inlineStr">
        <is>
          <t>Candidate enabling technique</t>
        </is>
      </c>
      <c r="G526" s="972" t="inlineStr">
        <is>
          <t>Yes</t>
        </is>
      </c>
      <c r="H526" s="972" t="inlineStr">
        <is>
          <t>No</t>
        </is>
      </c>
      <c r="I526" s="972" t="inlineStr">
        <is>
          <t>No</t>
        </is>
      </c>
      <c r="J526" s="972" t="n">
        <v>2</v>
      </c>
      <c r="K526" s="972" t="inlineStr">
        <is>
          <t>Model Mapping</t>
        </is>
      </c>
      <c r="L526" s="452" t="inlineStr">
        <is>
          <t>https://attack.mitre.org/techniques/T0887</t>
        </is>
      </c>
      <c r="M526" s="973" t="inlineStr">
        <is>
          <t>Yes</t>
        </is>
      </c>
      <c r="N526" s="973" t="inlineStr">
        <is>
          <t>WIRELESS — Yes</t>
        </is>
      </c>
      <c r="O526" s="973" t="inlineStr">
        <is>
          <t>Wireless Sniffing can support discovery or interaction with process state, control assets and operational data in Power Generation environments.</t>
        </is>
      </c>
      <c r="P526" s="973" t="inlineStr">
        <is>
          <t>https://csrc.nist.gov/pubs/sp/800/82/r3/final</t>
        </is>
      </c>
    </row>
    <row r="527" ht="15" customHeight="1" s="508">
      <c r="A527" s="972" t="inlineStr">
        <is>
          <t>Cybercriminal</t>
        </is>
      </c>
      <c r="B527" s="972" t="inlineStr">
        <is>
          <t>Safety System Compromise</t>
        </is>
      </c>
      <c r="C527" s="972" t="inlineStr">
        <is>
          <t>T0800</t>
        </is>
      </c>
      <c r="D527" s="972" t="inlineStr">
        <is>
          <t>Activate Firmware Update Mode</t>
        </is>
      </c>
      <c r="E527" s="972" t="inlineStr">
        <is>
          <t>S5</t>
        </is>
      </c>
      <c r="F527" s="972" t="inlineStr">
        <is>
          <t>Scenario-defining</t>
        </is>
      </c>
      <c r="G527" s="972" t="inlineStr">
        <is>
          <t>Yes</t>
        </is>
      </c>
      <c r="H527" s="972" t="inlineStr">
        <is>
          <t>Yes</t>
        </is>
      </c>
      <c r="I527" s="972" t="inlineStr">
        <is>
          <t>Yes</t>
        </is>
      </c>
      <c r="J527" s="972" t="n">
        <v>8</v>
      </c>
      <c r="K527" s="972" t="inlineStr">
        <is>
          <t>Model Mapping</t>
        </is>
      </c>
      <c r="L527" s="452" t="inlineStr">
        <is>
          <t>https://attack.mitre.org/techniques/T0800</t>
        </is>
      </c>
      <c r="M527" s="973" t="inlineStr">
        <is>
          <t>Yes</t>
        </is>
      </c>
      <c r="N527" s="973" t="inlineStr">
        <is>
          <t>No explicit facility gate — defaults feasible</t>
        </is>
      </c>
      <c r="O527" s="973" t="inlineStr">
        <is>
          <t>Activate Firmware Update Mode is an ATT&amp;CK for ICS impact or response-inhibition technique that can support one or more governed adverse scenarios; scenario role remains controlled on 09.</t>
        </is>
      </c>
      <c r="P527" s="973" t="inlineStr">
        <is>
          <t>https://csrc.nist.gov/pubs/sp/800/82/r3/final</t>
        </is>
      </c>
    </row>
    <row r="528" ht="15" customHeight="1" s="508">
      <c r="A528" s="972" t="inlineStr">
        <is>
          <t>Cybercriminal</t>
        </is>
      </c>
      <c r="B528" s="972" t="inlineStr">
        <is>
          <t>Safety System Compromise</t>
        </is>
      </c>
      <c r="C528" s="972" t="inlineStr">
        <is>
          <t>T0830</t>
        </is>
      </c>
      <c r="D528" s="972" t="inlineStr">
        <is>
          <t>Adversary-in-the-Middle</t>
        </is>
      </c>
      <c r="E528" s="972" t="inlineStr">
        <is>
          <t>S4</t>
        </is>
      </c>
      <c r="F528" s="972" t="inlineStr">
        <is>
          <t>Candidate enabling technique</t>
        </is>
      </c>
      <c r="G528" s="972" t="inlineStr">
        <is>
          <t>Yes</t>
        </is>
      </c>
      <c r="H528" s="972" t="inlineStr">
        <is>
          <t>Yes</t>
        </is>
      </c>
      <c r="I528" s="972" t="inlineStr">
        <is>
          <t>Yes</t>
        </is>
      </c>
      <c r="J528" s="972" t="n">
        <v>8</v>
      </c>
      <c r="K528" s="972" t="inlineStr">
        <is>
          <t>Model Mapping</t>
        </is>
      </c>
      <c r="L528" s="452" t="inlineStr">
        <is>
          <t>https://attack.mitre.org/techniques/T0830</t>
        </is>
      </c>
      <c r="M528" s="973" t="inlineStr">
        <is>
          <t>Yes</t>
        </is>
      </c>
      <c r="N528" s="973" t="inlineStr">
        <is>
          <t>No explicit facility gate — defaults feasible</t>
        </is>
      </c>
      <c r="O528" s="973" t="inlineStr">
        <is>
          <t>Adversary-in-the-Middle can support discovery or interaction with process state, control assets and operational data in Power Generation environments.</t>
        </is>
      </c>
      <c r="P528" s="973" t="inlineStr">
        <is>
          <t>https://csrc.nist.gov/pubs/sp/800/82/r3/final</t>
        </is>
      </c>
    </row>
    <row r="529" ht="15" customHeight="1" s="508">
      <c r="A529" s="972" t="inlineStr">
        <is>
          <t>Cybercriminal</t>
        </is>
      </c>
      <c r="B529" s="972" t="inlineStr">
        <is>
          <t>Safety System Compromise</t>
        </is>
      </c>
      <c r="C529" s="972" t="inlineStr">
        <is>
          <t>T0878</t>
        </is>
      </c>
      <c r="D529" s="972" t="inlineStr">
        <is>
          <t>Alarm Suppression</t>
        </is>
      </c>
      <c r="E529" s="972" t="inlineStr">
        <is>
          <t>S5</t>
        </is>
      </c>
      <c r="F529" s="972" t="inlineStr">
        <is>
          <t>Scenario-defining</t>
        </is>
      </c>
      <c r="G529" s="972" t="inlineStr">
        <is>
          <t>Yes</t>
        </is>
      </c>
      <c r="H529" s="972" t="inlineStr">
        <is>
          <t>Yes</t>
        </is>
      </c>
      <c r="I529" s="972" t="inlineStr">
        <is>
          <t>Yes</t>
        </is>
      </c>
      <c r="J529" s="972" t="n">
        <v>4</v>
      </c>
      <c r="K529" s="972" t="inlineStr">
        <is>
          <t>Model Mapping</t>
        </is>
      </c>
      <c r="L529" s="452" t="inlineStr">
        <is>
          <t>https://attack.mitre.org/techniques/T0878</t>
        </is>
      </c>
      <c r="M529" s="973" t="inlineStr">
        <is>
          <t>Yes</t>
        </is>
      </c>
      <c r="N529" s="973" t="inlineStr">
        <is>
          <t>No explicit facility gate — defaults feasible</t>
        </is>
      </c>
      <c r="O529" s="973" t="inlineStr">
        <is>
          <t>Alarm Suppression is an ATT&amp;CK for ICS impact or response-inhibition technique that can support one or more governed adverse scenarios; scenario role remains controlled on 09.</t>
        </is>
      </c>
      <c r="P529" s="973" t="inlineStr">
        <is>
          <t>https://csrc.nist.gov/pubs/sp/800/82/r3/final</t>
        </is>
      </c>
    </row>
    <row r="530" ht="15" customHeight="1" s="508">
      <c r="A530" s="972" t="inlineStr">
        <is>
          <t>Cybercriminal</t>
        </is>
      </c>
      <c r="B530" s="972" t="inlineStr">
        <is>
          <t>Safety System Compromise</t>
        </is>
      </c>
      <c r="C530" s="972" t="inlineStr">
        <is>
          <t>T0802</t>
        </is>
      </c>
      <c r="D530" s="972" t="inlineStr">
        <is>
          <t>Automated Collection</t>
        </is>
      </c>
      <c r="E530" s="972" t="inlineStr">
        <is>
          <t>S4</t>
        </is>
      </c>
      <c r="F530" s="972" t="inlineStr">
        <is>
          <t>Candidate enabling technique</t>
        </is>
      </c>
      <c r="G530" s="972" t="inlineStr">
        <is>
          <t>Yes</t>
        </is>
      </c>
      <c r="H530" s="972" t="inlineStr">
        <is>
          <t>Yes</t>
        </is>
      </c>
      <c r="I530" s="972" t="inlineStr">
        <is>
          <t>Yes</t>
        </is>
      </c>
      <c r="J530" s="972" t="n">
        <v>2</v>
      </c>
      <c r="K530" s="972" t="inlineStr">
        <is>
          <t>Model Mapping</t>
        </is>
      </c>
      <c r="L530" s="452" t="inlineStr">
        <is>
          <t>https://attack.mitre.org/techniques/T0802</t>
        </is>
      </c>
      <c r="M530" s="973" t="inlineStr">
        <is>
          <t>Yes</t>
        </is>
      </c>
      <c r="N530" s="973" t="inlineStr">
        <is>
          <t>No explicit facility gate — defaults feasible</t>
        </is>
      </c>
      <c r="O530" s="973" t="inlineStr">
        <is>
          <t>Automated Collection can support discovery or interaction with process state, control assets and operational data in Power Generation environments.</t>
        </is>
      </c>
      <c r="P530" s="973" t="inlineStr">
        <is>
          <t>https://csrc.nist.gov/pubs/sp/800/82/r3/final</t>
        </is>
      </c>
    </row>
    <row r="531" ht="15" customHeight="1" s="508">
      <c r="A531" s="972" t="inlineStr">
        <is>
          <t>Cybercriminal</t>
        </is>
      </c>
      <c r="B531" s="972" t="inlineStr">
        <is>
          <t>Safety System Compromise</t>
        </is>
      </c>
      <c r="C531" s="972" t="inlineStr">
        <is>
          <t>T0895</t>
        </is>
      </c>
      <c r="D531" s="972" t="inlineStr">
        <is>
          <t>Autorun Image</t>
        </is>
      </c>
      <c r="E531" s="972" t="inlineStr">
        <is>
          <t>S2</t>
        </is>
      </c>
      <c r="F531" s="972" t="inlineStr">
        <is>
          <t>Candidate enabling technique</t>
        </is>
      </c>
      <c r="G531" s="972" t="inlineStr">
        <is>
          <t>Yes</t>
        </is>
      </c>
      <c r="H531" s="972" t="inlineStr">
        <is>
          <t>Yes</t>
        </is>
      </c>
      <c r="I531" s="972" t="inlineStr">
        <is>
          <t>Yes</t>
        </is>
      </c>
      <c r="J531" s="972" t="n">
        <v>1</v>
      </c>
      <c r="K531" s="972" t="inlineStr">
        <is>
          <t>Model Mapping</t>
        </is>
      </c>
      <c r="L531" s="452" t="inlineStr">
        <is>
          <t>https://attack.mitre.org/techniques/T0895</t>
        </is>
      </c>
      <c r="M531" s="973" t="inlineStr">
        <is>
          <t>Yes</t>
        </is>
      </c>
      <c r="N531" s="973" t="inlineStr">
        <is>
          <t>No explicit facility gate — defaults feasible</t>
        </is>
      </c>
      <c r="O531" s="973" t="inlineStr">
        <is>
          <t>Autorun Image is applicable to execution or persistence on engineering workstations, HMIs, servers or controllers used in Power Generation facilities.</t>
        </is>
      </c>
      <c r="P531" s="973" t="inlineStr">
        <is>
          <t>https://csrc.nist.gov/pubs/sp/800/82/r3/final</t>
        </is>
      </c>
    </row>
    <row r="532" ht="15" customHeight="1" s="508">
      <c r="A532" s="972" t="inlineStr">
        <is>
          <t>Cybercriminal</t>
        </is>
      </c>
      <c r="B532" s="972" t="inlineStr">
        <is>
          <t>Safety System Compromise</t>
        </is>
      </c>
      <c r="C532" s="972" t="inlineStr">
        <is>
          <t>T0846.002</t>
        </is>
      </c>
      <c r="D532" s="972" t="inlineStr">
        <is>
          <t>Broadcast Discovery</t>
        </is>
      </c>
      <c r="E532" s="972" t="inlineStr">
        <is>
          <t>S4</t>
        </is>
      </c>
      <c r="F532" s="972" t="inlineStr">
        <is>
          <t>Candidate enabling technique</t>
        </is>
      </c>
      <c r="G532" s="972" t="inlineStr">
        <is>
          <t>Yes</t>
        </is>
      </c>
      <c r="H532" s="972" t="inlineStr">
        <is>
          <t>Yes</t>
        </is>
      </c>
      <c r="I532" s="972" t="inlineStr">
        <is>
          <t>Yes</t>
        </is>
      </c>
      <c r="J532" s="972" t="n">
        <v>2</v>
      </c>
      <c r="K532" s="972" t="inlineStr">
        <is>
          <t>Model Mapping</t>
        </is>
      </c>
      <c r="L532" s="452" t="inlineStr">
        <is>
          <t>https://attack.mitre.org/techniques/T0846/002</t>
        </is>
      </c>
      <c r="M532" s="973" t="inlineStr">
        <is>
          <t>Yes</t>
        </is>
      </c>
      <c r="N532" s="973" t="inlineStr">
        <is>
          <t>No explicit facility gate — defaults feasible</t>
        </is>
      </c>
      <c r="O532" s="973" t="inlineStr">
        <is>
          <t>Broadcast Discovery can support discovery or interaction with process state, control assets and operational data in Power Generation environments.</t>
        </is>
      </c>
      <c r="P532" s="973" t="inlineStr">
        <is>
          <t>https://csrc.nist.gov/pubs/sp/800/82/r3/final</t>
        </is>
      </c>
    </row>
    <row r="533" ht="15" customHeight="1" s="508">
      <c r="A533" s="972" t="inlineStr">
        <is>
          <t>Cybercriminal</t>
        </is>
      </c>
      <c r="B533" s="972" t="inlineStr">
        <is>
          <t>Safety System Compromise</t>
        </is>
      </c>
      <c r="C533" s="972" t="inlineStr">
        <is>
          <t>T0892</t>
        </is>
      </c>
      <c r="D533" s="972" t="inlineStr">
        <is>
          <t>Change Credential</t>
        </is>
      </c>
      <c r="E533" s="972" t="inlineStr">
        <is>
          <t>S5</t>
        </is>
      </c>
      <c r="F533" s="972" t="inlineStr">
        <is>
          <t>Supporting / impact</t>
        </is>
      </c>
      <c r="G533" s="972" t="inlineStr">
        <is>
          <t>Yes</t>
        </is>
      </c>
      <c r="H533" s="972" t="inlineStr">
        <is>
          <t>Yes</t>
        </is>
      </c>
      <c r="I533" s="972" t="inlineStr">
        <is>
          <t>Yes</t>
        </is>
      </c>
      <c r="J533" s="972" t="n">
        <v>3</v>
      </c>
      <c r="K533" s="972" t="inlineStr">
        <is>
          <t>Model Mapping</t>
        </is>
      </c>
      <c r="L533" s="452" t="inlineStr">
        <is>
          <t>https://attack.mitre.org/techniques/T0892</t>
        </is>
      </c>
      <c r="M533" s="973" t="inlineStr">
        <is>
          <t>Yes</t>
        </is>
      </c>
      <c r="N533" s="973" t="inlineStr">
        <is>
          <t>No explicit facility gate — defaults feasible</t>
        </is>
      </c>
      <c r="O533" s="973" t="inlineStr">
        <is>
          <t>Change Credential is an ATT&amp;CK for ICS impact or response-inhibition technique that can support one or more governed adverse scenarios; scenario role remains controlled on 09.</t>
        </is>
      </c>
      <c r="P533" s="973" t="inlineStr">
        <is>
          <t>https://csrc.nist.gov/pubs/sp/800/82/r3/final</t>
        </is>
      </c>
    </row>
    <row r="534" ht="15" customHeight="1" s="508">
      <c r="A534" s="972" t="inlineStr">
        <is>
          <t>Cybercriminal</t>
        </is>
      </c>
      <c r="B534" s="972" t="inlineStr">
        <is>
          <t>Safety System Compromise</t>
        </is>
      </c>
      <c r="C534" s="972" t="inlineStr">
        <is>
          <t>T0858</t>
        </is>
      </c>
      <c r="D534" s="972" t="inlineStr">
        <is>
          <t>Change Operating Mode</t>
        </is>
      </c>
      <c r="E534" s="972" t="inlineStr">
        <is>
          <t>S2</t>
        </is>
      </c>
      <c r="F534" s="972" t="inlineStr">
        <is>
          <t>Candidate enabling technique</t>
        </is>
      </c>
      <c r="G534" s="972" t="inlineStr">
        <is>
          <t>Yes</t>
        </is>
      </c>
      <c r="H534" s="972" t="inlineStr">
        <is>
          <t>Yes</t>
        </is>
      </c>
      <c r="I534" s="972" t="inlineStr">
        <is>
          <t>Yes</t>
        </is>
      </c>
      <c r="J534" s="972" t="n">
        <v>7</v>
      </c>
      <c r="K534" s="972" t="inlineStr">
        <is>
          <t>Model Mapping</t>
        </is>
      </c>
      <c r="L534" s="452" t="inlineStr">
        <is>
          <t>https://attack.mitre.org/techniques/T0858</t>
        </is>
      </c>
      <c r="M534" s="973" t="inlineStr">
        <is>
          <t>Yes</t>
        </is>
      </c>
      <c r="N534" s="973" t="inlineStr">
        <is>
          <t>No explicit facility gate — defaults feasible</t>
        </is>
      </c>
      <c r="O534" s="973" t="inlineStr">
        <is>
          <t>Change Operating Mode is applicable to execution or persistence on engineering workstations, HMIs, servers or controllers used in Power Generation facilities.</t>
        </is>
      </c>
      <c r="P534" s="973" t="inlineStr">
        <is>
          <t>https://csrc.nist.gov/pubs/sp/800/82/r3/final</t>
        </is>
      </c>
    </row>
    <row r="535" ht="15" customHeight="1" s="508">
      <c r="A535" s="972" t="inlineStr">
        <is>
          <t>Cybercriminal</t>
        </is>
      </c>
      <c r="B535" s="972" t="inlineStr">
        <is>
          <t>Safety System Compromise</t>
        </is>
      </c>
      <c r="C535" s="972" t="inlineStr">
        <is>
          <t>T0807</t>
        </is>
      </c>
      <c r="D535" s="972" t="inlineStr">
        <is>
          <t>Command-Line Interface</t>
        </is>
      </c>
      <c r="E535" s="972" t="inlineStr">
        <is>
          <t>S2</t>
        </is>
      </c>
      <c r="F535" s="972" t="inlineStr">
        <is>
          <t>Candidate enabling technique</t>
        </is>
      </c>
      <c r="G535" s="972" t="inlineStr">
        <is>
          <t>Yes</t>
        </is>
      </c>
      <c r="H535" s="972" t="inlineStr">
        <is>
          <t>Yes</t>
        </is>
      </c>
      <c r="I535" s="972" t="inlineStr">
        <is>
          <t>Yes</t>
        </is>
      </c>
      <c r="J535" s="972" t="n">
        <v>2</v>
      </c>
      <c r="K535" s="972" t="inlineStr">
        <is>
          <t>Model Mapping</t>
        </is>
      </c>
      <c r="L535" s="452" t="inlineStr">
        <is>
          <t>https://attack.mitre.org/techniques/T0807</t>
        </is>
      </c>
      <c r="M535" s="973" t="inlineStr">
        <is>
          <t>Yes</t>
        </is>
      </c>
      <c r="N535" s="973" t="inlineStr">
        <is>
          <t>No explicit facility gate — defaults feasible</t>
        </is>
      </c>
      <c r="O535" s="973" t="inlineStr">
        <is>
          <t>Command-Line Interface is applicable to execution or persistence on engineering workstations, HMIs, servers or controllers used in Power Generation facilities.</t>
        </is>
      </c>
      <c r="P535" s="973" t="inlineStr">
        <is>
          <t>https://csrc.nist.gov/pubs/sp/800/82/r3/final</t>
        </is>
      </c>
    </row>
    <row r="536" ht="15" customHeight="1" s="508">
      <c r="A536" s="972" t="inlineStr">
        <is>
          <t>Cybercriminal</t>
        </is>
      </c>
      <c r="B536" s="972" t="inlineStr">
        <is>
          <t>Safety System Compromise</t>
        </is>
      </c>
      <c r="C536" s="972" t="inlineStr">
        <is>
          <t>T0885</t>
        </is>
      </c>
      <c r="D536" s="972" t="inlineStr">
        <is>
          <t>Commonly Used Port</t>
        </is>
      </c>
      <c r="E536" s="972" t="inlineStr">
        <is>
          <t>S3</t>
        </is>
      </c>
      <c r="F536" s="972" t="inlineStr">
        <is>
          <t>Candidate enabling technique</t>
        </is>
      </c>
      <c r="G536" s="972" t="inlineStr">
        <is>
          <t>Yes</t>
        </is>
      </c>
      <c r="H536" s="972" t="inlineStr">
        <is>
          <t>Yes</t>
        </is>
      </c>
      <c r="I536" s="972" t="inlineStr">
        <is>
          <t>Yes</t>
        </is>
      </c>
      <c r="J536" s="972" t="n">
        <v>4</v>
      </c>
      <c r="K536" s="972" t="inlineStr">
        <is>
          <t>Model Mapping</t>
        </is>
      </c>
      <c r="L536" s="452" t="inlineStr">
        <is>
          <t>https://attack.mitre.org/techniques/T0885</t>
        </is>
      </c>
      <c r="M536" s="973" t="inlineStr">
        <is>
          <t>Yes</t>
        </is>
      </c>
      <c r="N536" s="973" t="inlineStr">
        <is>
          <t>No explicit facility gate — defaults feasible</t>
        </is>
      </c>
      <c r="O536" s="973" t="inlineStr">
        <is>
          <t>Commonly Used Port can support movement toward or within plant/control zones; actual reachability is governed by the assessed facility architecture.</t>
        </is>
      </c>
      <c r="P536" s="973" t="inlineStr">
        <is>
          <t>https://csrc.nist.gov/pubs/sp/800/82/r3/final</t>
        </is>
      </c>
    </row>
    <row r="537" ht="15" customHeight="1" s="508">
      <c r="A537" s="972" t="inlineStr">
        <is>
          <t>Cybercriminal</t>
        </is>
      </c>
      <c r="B537" s="972" t="inlineStr">
        <is>
          <t>Safety System Compromise</t>
        </is>
      </c>
      <c r="C537" s="972" t="inlineStr">
        <is>
          <t>T0884</t>
        </is>
      </c>
      <c r="D537" s="972" t="inlineStr">
        <is>
          <t>Connection Proxy</t>
        </is>
      </c>
      <c r="E537" s="972" t="inlineStr">
        <is>
          <t>S3</t>
        </is>
      </c>
      <c r="F537" s="972" t="inlineStr">
        <is>
          <t>Candidate enabling technique</t>
        </is>
      </c>
      <c r="G537" s="972" t="inlineStr">
        <is>
          <t>Yes</t>
        </is>
      </c>
      <c r="H537" s="972" t="inlineStr">
        <is>
          <t>Yes</t>
        </is>
      </c>
      <c r="I537" s="972" t="inlineStr">
        <is>
          <t>Yes</t>
        </is>
      </c>
      <c r="J537" s="972" t="n">
        <v>4</v>
      </c>
      <c r="K537" s="972" t="inlineStr">
        <is>
          <t>Model Mapping</t>
        </is>
      </c>
      <c r="L537" s="452" t="inlineStr">
        <is>
          <t>https://attack.mitre.org/techniques/T0884</t>
        </is>
      </c>
      <c r="M537" s="973" t="inlineStr">
        <is>
          <t>Yes</t>
        </is>
      </c>
      <c r="N537" s="973" t="inlineStr">
        <is>
          <t>No explicit facility gate — defaults feasible</t>
        </is>
      </c>
      <c r="O537" s="973" t="inlineStr">
        <is>
          <t>Connection Proxy can support movement toward or within plant/control zones; actual reachability is governed by the assessed facility architecture.</t>
        </is>
      </c>
      <c r="P537" s="973" t="inlineStr">
        <is>
          <t>https://csrc.nist.gov/pubs/sp/800/82/r3/final</t>
        </is>
      </c>
    </row>
    <row r="538" ht="15" customHeight="1" s="508">
      <c r="A538" s="972" t="inlineStr">
        <is>
          <t>Cybercriminal</t>
        </is>
      </c>
      <c r="B538" s="972" t="inlineStr">
        <is>
          <t>Safety System Compromise</t>
        </is>
      </c>
      <c r="C538" s="972" t="inlineStr">
        <is>
          <t>T0811</t>
        </is>
      </c>
      <c r="D538" s="972" t="inlineStr">
        <is>
          <t>Data from Information Repositories</t>
        </is>
      </c>
      <c r="E538" s="972" t="inlineStr">
        <is>
          <t>S4</t>
        </is>
      </c>
      <c r="F538" s="972" t="inlineStr">
        <is>
          <t>Candidate enabling technique</t>
        </is>
      </c>
      <c r="G538" s="972" t="inlineStr">
        <is>
          <t>Yes</t>
        </is>
      </c>
      <c r="H538" s="972" t="inlineStr">
        <is>
          <t>Yes</t>
        </is>
      </c>
      <c r="I538" s="972" t="inlineStr">
        <is>
          <t>Yes</t>
        </is>
      </c>
      <c r="J538" s="972" t="n">
        <v>6</v>
      </c>
      <c r="K538" s="972" t="inlineStr">
        <is>
          <t>Model Mapping</t>
        </is>
      </c>
      <c r="L538" s="452" t="inlineStr">
        <is>
          <t>https://attack.mitre.org/techniques/T0811</t>
        </is>
      </c>
      <c r="M538" s="973" t="inlineStr">
        <is>
          <t>Yes</t>
        </is>
      </c>
      <c r="N538" s="973" t="inlineStr">
        <is>
          <t>No explicit facility gate — defaults feasible</t>
        </is>
      </c>
      <c r="O538" s="973" t="inlineStr">
        <is>
          <t>Data from Information Repositories can support discovery or interaction with process state, control assets and operational data in Power Generation environments.</t>
        </is>
      </c>
      <c r="P538" s="973" t="inlineStr">
        <is>
          <t>https://csrc.nist.gov/pubs/sp/800/82/r3/final</t>
        </is>
      </c>
    </row>
    <row r="539" ht="15" customHeight="1" s="508">
      <c r="A539" s="972" t="inlineStr">
        <is>
          <t>Cybercriminal</t>
        </is>
      </c>
      <c r="B539" s="972" t="inlineStr">
        <is>
          <t>Safety System Compromise</t>
        </is>
      </c>
      <c r="C539" s="972" t="inlineStr">
        <is>
          <t>T0893</t>
        </is>
      </c>
      <c r="D539" s="972" t="inlineStr">
        <is>
          <t>Data from Local System</t>
        </is>
      </c>
      <c r="E539" s="972" t="inlineStr">
        <is>
          <t>S4</t>
        </is>
      </c>
      <c r="F539" s="972" t="inlineStr">
        <is>
          <t>Candidate enabling technique</t>
        </is>
      </c>
      <c r="G539" s="972" t="inlineStr">
        <is>
          <t>Yes</t>
        </is>
      </c>
      <c r="H539" s="972" t="inlineStr">
        <is>
          <t>Yes</t>
        </is>
      </c>
      <c r="I539" s="972" t="inlineStr">
        <is>
          <t>Yes</t>
        </is>
      </c>
      <c r="J539" s="972" t="n">
        <v>4</v>
      </c>
      <c r="K539" s="972" t="inlineStr">
        <is>
          <t>Model Mapping</t>
        </is>
      </c>
      <c r="L539" s="452" t="inlineStr">
        <is>
          <t>https://attack.mitre.org/techniques/T0893</t>
        </is>
      </c>
      <c r="M539" s="973" t="inlineStr">
        <is>
          <t>Yes</t>
        </is>
      </c>
      <c r="N539" s="973" t="inlineStr">
        <is>
          <t>No explicit facility gate — defaults feasible</t>
        </is>
      </c>
      <c r="O539" s="973" t="inlineStr">
        <is>
          <t>Data from Local System can support discovery or interaction with process state, control assets and operational data in Power Generation environments.</t>
        </is>
      </c>
      <c r="P539" s="973" t="inlineStr">
        <is>
          <t>https://csrc.nist.gov/pubs/sp/800/82/r3/final</t>
        </is>
      </c>
    </row>
    <row r="540" ht="15" customHeight="1" s="508">
      <c r="A540" s="972" t="inlineStr">
        <is>
          <t>Cybercriminal</t>
        </is>
      </c>
      <c r="B540" s="972" t="inlineStr">
        <is>
          <t>Safety System Compromise</t>
        </is>
      </c>
      <c r="C540" s="972" t="inlineStr">
        <is>
          <t>T1694.001</t>
        </is>
      </c>
      <c r="D540" s="972" t="inlineStr">
        <is>
          <t>Default Credentials</t>
        </is>
      </c>
      <c r="E540" s="972" t="inlineStr">
        <is>
          <t>S3</t>
        </is>
      </c>
      <c r="F540" s="972" t="inlineStr">
        <is>
          <t>Candidate enabling technique</t>
        </is>
      </c>
      <c r="G540" s="972" t="inlineStr">
        <is>
          <t>Yes</t>
        </is>
      </c>
      <c r="H540" s="972" t="inlineStr">
        <is>
          <t>Yes</t>
        </is>
      </c>
      <c r="I540" s="972" t="inlineStr">
        <is>
          <t>Yes</t>
        </is>
      </c>
      <c r="J540" s="972" t="n">
        <v>2</v>
      </c>
      <c r="K540" s="972" t="inlineStr">
        <is>
          <t>Model Mapping</t>
        </is>
      </c>
      <c r="L540" s="452" t="inlineStr">
        <is>
          <t>https://attack.mitre.org/techniques/T1694/001</t>
        </is>
      </c>
      <c r="M540" s="973" t="inlineStr">
        <is>
          <t>Yes</t>
        </is>
      </c>
      <c r="N540" s="973" t="inlineStr">
        <is>
          <t>No explicit facility gate — defaults feasible</t>
        </is>
      </c>
      <c r="O540" s="973" t="inlineStr">
        <is>
          <t>Default Credentials can support movement toward or within plant/control zones; actual reachability is governed by the assessed facility architecture.</t>
        </is>
      </c>
      <c r="P540" s="973" t="inlineStr">
        <is>
          <t>https://csrc.nist.gov/pubs/sp/800/82/r3/final</t>
        </is>
      </c>
    </row>
    <row r="541" ht="15" customHeight="1" s="508">
      <c r="A541" s="972" t="inlineStr">
        <is>
          <t>Cybercriminal</t>
        </is>
      </c>
      <c r="B541" s="972" t="inlineStr">
        <is>
          <t>Safety System Compromise</t>
        </is>
      </c>
      <c r="C541" s="972" t="inlineStr">
        <is>
          <t>T0868</t>
        </is>
      </c>
      <c r="D541" s="972" t="inlineStr">
        <is>
          <t>Detect Operating Mode</t>
        </is>
      </c>
      <c r="E541" s="972" t="inlineStr">
        <is>
          <t>S4</t>
        </is>
      </c>
      <c r="F541" s="972" t="inlineStr">
        <is>
          <t>Candidate enabling technique</t>
        </is>
      </c>
      <c r="G541" s="972" t="inlineStr">
        <is>
          <t>Yes</t>
        </is>
      </c>
      <c r="H541" s="972" t="inlineStr">
        <is>
          <t>Yes</t>
        </is>
      </c>
      <c r="I541" s="972" t="inlineStr">
        <is>
          <t>Yes</t>
        </is>
      </c>
      <c r="J541" s="972" t="n">
        <v>8</v>
      </c>
      <c r="K541" s="972" t="inlineStr">
        <is>
          <t>Model Mapping</t>
        </is>
      </c>
      <c r="L541" s="452" t="inlineStr">
        <is>
          <t>https://attack.mitre.org/techniques/T0868</t>
        </is>
      </c>
      <c r="M541" s="973" t="inlineStr">
        <is>
          <t>Yes</t>
        </is>
      </c>
      <c r="N541" s="973" t="inlineStr">
        <is>
          <t>No explicit facility gate — defaults feasible</t>
        </is>
      </c>
      <c r="O541" s="973" t="inlineStr">
        <is>
          <t>Detect Operating Mode can support discovery or interaction with process state, control assets and operational data in Power Generation environments.</t>
        </is>
      </c>
      <c r="P541" s="973" t="inlineStr">
        <is>
          <t>https://csrc.nist.gov/pubs/sp/800/82/r3/final</t>
        </is>
      </c>
    </row>
    <row r="542" ht="15" customHeight="1" s="508">
      <c r="A542" s="972" t="inlineStr">
        <is>
          <t>Cybercriminal</t>
        </is>
      </c>
      <c r="B542" s="972" t="inlineStr">
        <is>
          <t>Safety System Compromise</t>
        </is>
      </c>
      <c r="C542" s="972" t="inlineStr">
        <is>
          <t>T0843.001</t>
        </is>
      </c>
      <c r="D542" s="972" t="inlineStr">
        <is>
          <t>Download All</t>
        </is>
      </c>
      <c r="E542" s="972" t="inlineStr">
        <is>
          <t>S3</t>
        </is>
      </c>
      <c r="F542" s="972" t="inlineStr">
        <is>
          <t>Candidate enabling technique</t>
        </is>
      </c>
      <c r="G542" s="972" t="inlineStr">
        <is>
          <t>Yes</t>
        </is>
      </c>
      <c r="H542" s="972" t="inlineStr">
        <is>
          <t>Yes</t>
        </is>
      </c>
      <c r="I542" s="972" t="inlineStr">
        <is>
          <t>Yes</t>
        </is>
      </c>
      <c r="J542" s="972" t="n">
        <v>10</v>
      </c>
      <c r="K542" s="972" t="inlineStr">
        <is>
          <t>Model Mapping</t>
        </is>
      </c>
      <c r="L542" s="452" t="inlineStr">
        <is>
          <t>https://attack.mitre.org/techniques/T0843/001</t>
        </is>
      </c>
      <c r="M542" s="973" t="inlineStr">
        <is>
          <t>Yes</t>
        </is>
      </c>
      <c r="N542" s="973" t="inlineStr">
        <is>
          <t>No explicit facility gate — defaults feasible</t>
        </is>
      </c>
      <c r="O542" s="973" t="inlineStr">
        <is>
          <t>Download All can support movement toward or within plant/control zones; actual reachability is governed by the assessed facility architecture.</t>
        </is>
      </c>
      <c r="P542" s="973" t="inlineStr">
        <is>
          <t>https://csrc.nist.gov/pubs/sp/800/82/r3/final</t>
        </is>
      </c>
    </row>
    <row r="543" ht="15" customHeight="1" s="508">
      <c r="A543" s="972" t="inlineStr">
        <is>
          <t>Cybercriminal</t>
        </is>
      </c>
      <c r="B543" s="972" t="inlineStr">
        <is>
          <t>Safety System Compromise</t>
        </is>
      </c>
      <c r="C543" s="972" t="inlineStr">
        <is>
          <t>T0817</t>
        </is>
      </c>
      <c r="D543" s="972" t="inlineStr">
        <is>
          <t>Drive-by Compromise</t>
        </is>
      </c>
      <c r="E543" s="972" t="inlineStr">
        <is>
          <t>S1</t>
        </is>
      </c>
      <c r="F543" s="972" t="inlineStr">
        <is>
          <t>Candidate enabling technique</t>
        </is>
      </c>
      <c r="G543" s="972" t="inlineStr">
        <is>
          <t>Yes</t>
        </is>
      </c>
      <c r="H543" s="972" t="inlineStr">
        <is>
          <t>Yes</t>
        </is>
      </c>
      <c r="I543" s="972" t="inlineStr">
        <is>
          <t>Yes</t>
        </is>
      </c>
      <c r="J543" s="972" t="n">
        <v>4</v>
      </c>
      <c r="K543" s="972" t="inlineStr">
        <is>
          <t>Model Mapping</t>
        </is>
      </c>
      <c r="L543" s="452" t="inlineStr">
        <is>
          <t>https://attack.mitre.org/techniques/T0817</t>
        </is>
      </c>
      <c r="M543" s="973" t="inlineStr">
        <is>
          <t>Yes</t>
        </is>
      </c>
      <c r="N543" s="973" t="inlineStr">
        <is>
          <t>No explicit facility gate — defaults feasible</t>
        </is>
      </c>
      <c r="O543" s="973" t="inlineStr">
        <is>
          <t>The Drive-by Compromise route is credible for Power Generation OT when the enabling access condition exists; existing facility gates determine remote, internet, transient, supply-chain or wireless feasibility.</t>
        </is>
      </c>
      <c r="P543" s="973" t="inlineStr">
        <is>
          <t>https://csrc.nist.gov/pubs/sp/800/82/r3/final</t>
        </is>
      </c>
    </row>
    <row r="544" ht="15" customHeight="1" s="508">
      <c r="A544" s="972" t="inlineStr">
        <is>
          <t>Cybercriminal</t>
        </is>
      </c>
      <c r="B544" s="972" t="inlineStr">
        <is>
          <t>Safety System Compromise</t>
        </is>
      </c>
      <c r="C544" s="972" t="inlineStr">
        <is>
          <t>T1695.002</t>
        </is>
      </c>
      <c r="D544" s="972" t="inlineStr">
        <is>
          <t>Ethernet</t>
        </is>
      </c>
      <c r="E544" s="972" t="inlineStr">
        <is>
          <t>S5</t>
        </is>
      </c>
      <c r="F544" s="972" t="inlineStr">
        <is>
          <t>Supporting / impact</t>
        </is>
      </c>
      <c r="G544" s="972" t="inlineStr">
        <is>
          <t>Yes</t>
        </is>
      </c>
      <c r="H544" s="972" t="inlineStr">
        <is>
          <t>Yes</t>
        </is>
      </c>
      <c r="I544" s="972" t="inlineStr">
        <is>
          <t>Yes</t>
        </is>
      </c>
      <c r="J544" s="972" t="n">
        <v>3</v>
      </c>
      <c r="K544" s="972" t="inlineStr">
        <is>
          <t>Model Mapping</t>
        </is>
      </c>
      <c r="L544" s="452" t="inlineStr">
        <is>
          <t>https://attack.mitre.org/techniques/T1695/002</t>
        </is>
      </c>
      <c r="M544" s="973" t="inlineStr">
        <is>
          <t>Yes</t>
        </is>
      </c>
      <c r="N544" s="973" t="inlineStr">
        <is>
          <t>No explicit facility gate — defaults feasible</t>
        </is>
      </c>
      <c r="O544" s="973" t="inlineStr">
        <is>
          <t>Ethernet is an ATT&amp;CK for ICS impact or response-inhibition technique that can support one or more governed adverse scenarios; scenario role remains controlled on 09.</t>
        </is>
      </c>
      <c r="P544" s="973" t="inlineStr">
        <is>
          <t>https://csrc.nist.gov/pubs/sp/800/82/r3/final</t>
        </is>
      </c>
    </row>
    <row r="545" ht="15" customHeight="1" s="508">
      <c r="A545" s="972" t="inlineStr">
        <is>
          <t>Cybercriminal</t>
        </is>
      </c>
      <c r="B545" s="972" t="inlineStr">
        <is>
          <t>Safety System Compromise</t>
        </is>
      </c>
      <c r="C545" s="972" t="inlineStr">
        <is>
          <t>T0871</t>
        </is>
      </c>
      <c r="D545" s="972" t="inlineStr">
        <is>
          <t>Execution through API</t>
        </is>
      </c>
      <c r="E545" s="972" t="inlineStr">
        <is>
          <t>S2</t>
        </is>
      </c>
      <c r="F545" s="972" t="inlineStr">
        <is>
          <t>Candidate enabling technique</t>
        </is>
      </c>
      <c r="G545" s="972" t="inlineStr">
        <is>
          <t>Yes</t>
        </is>
      </c>
      <c r="H545" s="972" t="inlineStr">
        <is>
          <t>Yes</t>
        </is>
      </c>
      <c r="I545" s="972" t="inlineStr">
        <is>
          <t>Yes</t>
        </is>
      </c>
      <c r="J545" s="972" t="n">
        <v>4</v>
      </c>
      <c r="K545" s="972" t="inlineStr">
        <is>
          <t>Model Mapping</t>
        </is>
      </c>
      <c r="L545" s="452" t="inlineStr">
        <is>
          <t>https://attack.mitre.org/techniques/T0871</t>
        </is>
      </c>
      <c r="M545" s="973" t="inlineStr">
        <is>
          <t>Yes</t>
        </is>
      </c>
      <c r="N545" s="973" t="inlineStr">
        <is>
          <t>No explicit facility gate — defaults feasible</t>
        </is>
      </c>
      <c r="O545" s="973" t="inlineStr">
        <is>
          <t>Execution through API is applicable to execution or persistence on engineering workstations, HMIs, servers or controllers used in Power Generation facilities.</t>
        </is>
      </c>
      <c r="P545" s="973" t="inlineStr">
        <is>
          <t>https://csrc.nist.gov/pubs/sp/800/82/r3/final</t>
        </is>
      </c>
    </row>
    <row r="546" ht="15" customHeight="1" s="508">
      <c r="A546" s="972" t="inlineStr">
        <is>
          <t>Cybercriminal</t>
        </is>
      </c>
      <c r="B546" s="972" t="inlineStr">
        <is>
          <t>Safety System Compromise</t>
        </is>
      </c>
      <c r="C546" s="972" t="inlineStr">
        <is>
          <t>T0819</t>
        </is>
      </c>
      <c r="D546" s="972" t="inlineStr">
        <is>
          <t>Exploit Public-Facing Application</t>
        </is>
      </c>
      <c r="E546" s="972" t="inlineStr">
        <is>
          <t>S1</t>
        </is>
      </c>
      <c r="F546" s="972" t="inlineStr">
        <is>
          <t>Candidate enabling technique</t>
        </is>
      </c>
      <c r="G546" s="972" t="inlineStr">
        <is>
          <t>Yes</t>
        </is>
      </c>
      <c r="H546" s="972" t="inlineStr">
        <is>
          <t>Yes</t>
        </is>
      </c>
      <c r="I546" s="972" t="inlineStr">
        <is>
          <t>Yes</t>
        </is>
      </c>
      <c r="J546" s="972" t="n">
        <v>6</v>
      </c>
      <c r="K546" s="972" t="inlineStr">
        <is>
          <t>Model Mapping</t>
        </is>
      </c>
      <c r="L546" s="452" t="inlineStr">
        <is>
          <t>https://attack.mitre.org/techniques/T0819</t>
        </is>
      </c>
      <c r="M546" s="973" t="inlineStr">
        <is>
          <t>Yes</t>
        </is>
      </c>
      <c r="N546" s="973" t="inlineStr">
        <is>
          <t>No explicit facility gate — defaults feasible</t>
        </is>
      </c>
      <c r="O546" s="973" t="inlineStr">
        <is>
          <t>The Exploit Public-Facing Application route is credible for Power Generation OT when the enabling access condition exists; existing facility gates determine remote, internet, transient, supply-chain or wireless feasibility.</t>
        </is>
      </c>
      <c r="P546" s="973" t="inlineStr">
        <is>
          <t>https://csrc.nist.gov/pubs/sp/800/82/r3/final</t>
        </is>
      </c>
    </row>
    <row r="547" ht="15" customHeight="1" s="508">
      <c r="A547" s="972" t="inlineStr">
        <is>
          <t>Cybercriminal</t>
        </is>
      </c>
      <c r="B547" s="972" t="inlineStr">
        <is>
          <t>Safety System Compromise</t>
        </is>
      </c>
      <c r="C547" s="972" t="inlineStr">
        <is>
          <t>T0820</t>
        </is>
      </c>
      <c r="D547" s="972" t="inlineStr">
        <is>
          <t>Exploitation for Evasion</t>
        </is>
      </c>
      <c r="E547" s="972" t="inlineStr">
        <is>
          <t>S2</t>
        </is>
      </c>
      <c r="F547" s="972" t="inlineStr">
        <is>
          <t>Candidate enabling technique</t>
        </is>
      </c>
      <c r="G547" s="972" t="inlineStr">
        <is>
          <t>Yes</t>
        </is>
      </c>
      <c r="H547" s="972" t="inlineStr">
        <is>
          <t>Yes</t>
        </is>
      </c>
      <c r="I547" s="972" t="inlineStr">
        <is>
          <t>Yes</t>
        </is>
      </c>
      <c r="J547" s="972" t="n">
        <v>4</v>
      </c>
      <c r="K547" s="972" t="inlineStr">
        <is>
          <t>Model Mapping</t>
        </is>
      </c>
      <c r="L547" s="452" t="inlineStr">
        <is>
          <t>https://attack.mitre.org/techniques/T0820</t>
        </is>
      </c>
      <c r="M547" s="973" t="inlineStr">
        <is>
          <t>Yes</t>
        </is>
      </c>
      <c r="N547" s="973" t="inlineStr">
        <is>
          <t>No explicit facility gate — defaults feasible</t>
        </is>
      </c>
      <c r="O547" s="973" t="inlineStr">
        <is>
          <t>Exploitation for Evasion is applicable to execution or persistence on engineering workstations, HMIs, servers or controllers used in Power Generation facilities.</t>
        </is>
      </c>
      <c r="P547" s="973" t="inlineStr">
        <is>
          <t>https://csrc.nist.gov/pubs/sp/800/82/r3/final</t>
        </is>
      </c>
    </row>
    <row r="548" ht="15" customHeight="1" s="508">
      <c r="A548" s="972" t="inlineStr">
        <is>
          <t>Cybercriminal</t>
        </is>
      </c>
      <c r="B548" s="972" t="inlineStr">
        <is>
          <t>Safety System Compromise</t>
        </is>
      </c>
      <c r="C548" s="972" t="inlineStr">
        <is>
          <t>T0890</t>
        </is>
      </c>
      <c r="D548" s="972" t="inlineStr">
        <is>
          <t>Exploitation for Privilege Escalation</t>
        </is>
      </c>
      <c r="E548" s="972" t="inlineStr">
        <is>
          <t>S2</t>
        </is>
      </c>
      <c r="F548" s="972" t="inlineStr">
        <is>
          <t>Candidate enabling technique</t>
        </is>
      </c>
      <c r="G548" s="972" t="inlineStr">
        <is>
          <t>Yes</t>
        </is>
      </c>
      <c r="H548" s="972" t="inlineStr">
        <is>
          <t>Yes</t>
        </is>
      </c>
      <c r="I548" s="972" t="inlineStr">
        <is>
          <t>Yes</t>
        </is>
      </c>
      <c r="J548" s="972" t="n">
        <v>4</v>
      </c>
      <c r="K548" s="972" t="inlineStr">
        <is>
          <t>Model Mapping</t>
        </is>
      </c>
      <c r="L548" s="452" t="inlineStr">
        <is>
          <t>https://attack.mitre.org/techniques/T0890</t>
        </is>
      </c>
      <c r="M548" s="973" t="inlineStr">
        <is>
          <t>Yes</t>
        </is>
      </c>
      <c r="N548" s="973" t="inlineStr">
        <is>
          <t>No explicit facility gate — defaults feasible</t>
        </is>
      </c>
      <c r="O548" s="973" t="inlineStr">
        <is>
          <t>Exploitation for Privilege Escalation is applicable to execution or persistence on engineering workstations, HMIs, servers or controllers used in Power Generation facilities.</t>
        </is>
      </c>
      <c r="P548" s="973" t="inlineStr">
        <is>
          <t>https://csrc.nist.gov/pubs/sp/800/82/r3/final</t>
        </is>
      </c>
    </row>
    <row r="549" ht="15" customHeight="1" s="508">
      <c r="A549" s="972" t="inlineStr">
        <is>
          <t>Cybercriminal</t>
        </is>
      </c>
      <c r="B549" s="972" t="inlineStr">
        <is>
          <t>Safety System Compromise</t>
        </is>
      </c>
      <c r="C549" s="972" t="inlineStr">
        <is>
          <t>T0866</t>
        </is>
      </c>
      <c r="D549" s="972" t="inlineStr">
        <is>
          <t>Exploitation of Remote Services</t>
        </is>
      </c>
      <c r="E549" s="972" t="inlineStr">
        <is>
          <t>S1</t>
        </is>
      </c>
      <c r="F549" s="972" t="inlineStr">
        <is>
          <t>Candidate enabling technique</t>
        </is>
      </c>
      <c r="G549" s="972" t="inlineStr">
        <is>
          <t>Yes</t>
        </is>
      </c>
      <c r="H549" s="972" t="inlineStr">
        <is>
          <t>Yes</t>
        </is>
      </c>
      <c r="I549" s="972" t="inlineStr">
        <is>
          <t>Yes</t>
        </is>
      </c>
      <c r="J549" s="972" t="n">
        <v>8</v>
      </c>
      <c r="K549" s="972" t="inlineStr">
        <is>
          <t>Model Mapping</t>
        </is>
      </c>
      <c r="L549" s="452" t="inlineStr">
        <is>
          <t>https://attack.mitre.org/techniques/T0866</t>
        </is>
      </c>
      <c r="M549" s="973" t="inlineStr">
        <is>
          <t>Yes</t>
        </is>
      </c>
      <c r="N549" s="973" t="inlineStr">
        <is>
          <t>REMOTE_OR_ITOT — Remote path or IT-OT connection</t>
        </is>
      </c>
      <c r="O549" s="973" t="inlineStr">
        <is>
          <t>The Exploitation of Remote Services route is credible for Power Generation OT when the enabling access condition exists; existing facility gates determine remote, internet, transient, supply-chain or wireless feasibility.</t>
        </is>
      </c>
      <c r="P549" s="973" t="inlineStr">
        <is>
          <t>https://csrc.nist.gov/pubs/sp/800/82/r3/final</t>
        </is>
      </c>
    </row>
    <row r="550" ht="15" customHeight="1" s="508">
      <c r="A550" s="972" t="inlineStr">
        <is>
          <t>Cybercriminal</t>
        </is>
      </c>
      <c r="B550" s="972" t="inlineStr">
        <is>
          <t>Safety System Compromise</t>
        </is>
      </c>
      <c r="C550" s="972" t="inlineStr">
        <is>
          <t>T0822</t>
        </is>
      </c>
      <c r="D550" s="972" t="inlineStr">
        <is>
          <t>External Remote Services</t>
        </is>
      </c>
      <c r="E550" s="972" t="inlineStr">
        <is>
          <t>S1</t>
        </is>
      </c>
      <c r="F550" s="972" t="inlineStr">
        <is>
          <t>Candidate enabling technique</t>
        </is>
      </c>
      <c r="G550" s="972" t="inlineStr">
        <is>
          <t>Yes</t>
        </is>
      </c>
      <c r="H550" s="972" t="inlineStr">
        <is>
          <t>Yes</t>
        </is>
      </c>
      <c r="I550" s="972" t="inlineStr">
        <is>
          <t>Yes</t>
        </is>
      </c>
      <c r="J550" s="972" t="n">
        <v>7</v>
      </c>
      <c r="K550" s="972" t="inlineStr">
        <is>
          <t>Model Mapping</t>
        </is>
      </c>
      <c r="L550" s="452" t="inlineStr">
        <is>
          <t>https://attack.mitre.org/techniques/T0822</t>
        </is>
      </c>
      <c r="M550" s="973" t="inlineStr">
        <is>
          <t>Yes</t>
        </is>
      </c>
      <c r="N550" s="973" t="inlineStr">
        <is>
          <t>REMOTE_REQUIRED — Not None</t>
        </is>
      </c>
      <c r="O550" s="973" t="inlineStr">
        <is>
          <t>The External Remote Services route is credible for Power Generation OT when the enabling access condition exists; existing facility gates determine remote, internet, transient, supply-chain or wireless feasibility.</t>
        </is>
      </c>
      <c r="P550" s="973" t="inlineStr">
        <is>
          <t>https://csrc.nist.gov/pubs/sp/800/82/r3/final</t>
        </is>
      </c>
    </row>
    <row r="551" ht="15" customHeight="1" s="508">
      <c r="A551" s="972" t="inlineStr">
        <is>
          <t>Cybercriminal</t>
        </is>
      </c>
      <c r="B551" s="972" t="inlineStr">
        <is>
          <t>Safety System Compromise</t>
        </is>
      </c>
      <c r="C551" s="972" t="inlineStr">
        <is>
          <t>T0823</t>
        </is>
      </c>
      <c r="D551" s="972" t="inlineStr">
        <is>
          <t>Graphical User Interface</t>
        </is>
      </c>
      <c r="E551" s="972" t="inlineStr">
        <is>
          <t>S2</t>
        </is>
      </c>
      <c r="F551" s="972" t="inlineStr">
        <is>
          <t>Candidate enabling technique</t>
        </is>
      </c>
      <c r="G551" s="972" t="inlineStr">
        <is>
          <t>Yes</t>
        </is>
      </c>
      <c r="H551" s="972" t="inlineStr">
        <is>
          <t>Yes</t>
        </is>
      </c>
      <c r="I551" s="972" t="inlineStr">
        <is>
          <t>Yes</t>
        </is>
      </c>
      <c r="J551" s="972" t="n">
        <v>1</v>
      </c>
      <c r="K551" s="972" t="inlineStr">
        <is>
          <t>Model Mapping</t>
        </is>
      </c>
      <c r="L551" s="452" t="inlineStr">
        <is>
          <t>https://attack.mitre.org/techniques/T0823</t>
        </is>
      </c>
      <c r="M551" s="973" t="inlineStr">
        <is>
          <t>Yes</t>
        </is>
      </c>
      <c r="N551" s="973" t="inlineStr">
        <is>
          <t>No explicit facility gate — defaults feasible</t>
        </is>
      </c>
      <c r="O551" s="973" t="inlineStr">
        <is>
          <t>Graphical User Interface is applicable to execution or persistence on engineering workstations, HMIs, servers or controllers used in Power Generation facilities.</t>
        </is>
      </c>
      <c r="P551" s="973" t="inlineStr">
        <is>
          <t>https://csrc.nist.gov/pubs/sp/800/82/r3/final</t>
        </is>
      </c>
    </row>
    <row r="552" ht="15" customHeight="1" s="508">
      <c r="A552" s="972" t="inlineStr">
        <is>
          <t>Cybercriminal</t>
        </is>
      </c>
      <c r="B552" s="972" t="inlineStr">
        <is>
          <t>Safety System Compromise</t>
        </is>
      </c>
      <c r="C552" s="972" t="inlineStr">
        <is>
          <t>T1694.002</t>
        </is>
      </c>
      <c r="D552" s="972" t="inlineStr">
        <is>
          <t>Hardcoded Credentials</t>
        </is>
      </c>
      <c r="E552" s="972" t="inlineStr">
        <is>
          <t>S3</t>
        </is>
      </c>
      <c r="F552" s="972" t="inlineStr">
        <is>
          <t>Candidate enabling technique</t>
        </is>
      </c>
      <c r="G552" s="972" t="inlineStr">
        <is>
          <t>Yes</t>
        </is>
      </c>
      <c r="H552" s="972" t="inlineStr">
        <is>
          <t>Yes</t>
        </is>
      </c>
      <c r="I552" s="972" t="inlineStr">
        <is>
          <t>Yes</t>
        </is>
      </c>
      <c r="J552" s="972" t="n">
        <v>1</v>
      </c>
      <c r="K552" s="972" t="inlineStr">
        <is>
          <t>Model Mapping</t>
        </is>
      </c>
      <c r="L552" s="452" t="inlineStr">
        <is>
          <t>https://attack.mitre.org/techniques/T1694/002</t>
        </is>
      </c>
      <c r="M552" s="973" t="inlineStr">
        <is>
          <t>Yes</t>
        </is>
      </c>
      <c r="N552" s="973" t="inlineStr">
        <is>
          <t>No explicit facility gate — defaults feasible</t>
        </is>
      </c>
      <c r="O552" s="973" t="inlineStr">
        <is>
          <t>Hardcoded Credentials can support movement toward or within plant/control zones; actual reachability is governed by the assessed facility architecture.</t>
        </is>
      </c>
      <c r="P552" s="973" t="inlineStr">
        <is>
          <t>https://csrc.nist.gov/pubs/sp/800/82/r3/final</t>
        </is>
      </c>
    </row>
    <row r="553" ht="15" customHeight="1" s="508">
      <c r="A553" s="972" t="inlineStr">
        <is>
          <t>Cybercriminal</t>
        </is>
      </c>
      <c r="B553" s="972" t="inlineStr">
        <is>
          <t>Safety System Compromise</t>
        </is>
      </c>
      <c r="C553" s="972" t="inlineStr">
        <is>
          <t>T0874</t>
        </is>
      </c>
      <c r="D553" s="972" t="inlineStr">
        <is>
          <t>Hooking</t>
        </is>
      </c>
      <c r="E553" s="972" t="inlineStr">
        <is>
          <t>S2</t>
        </is>
      </c>
      <c r="F553" s="972" t="inlineStr">
        <is>
          <t>Candidate enabling technique</t>
        </is>
      </c>
      <c r="G553" s="972" t="inlineStr">
        <is>
          <t>Yes</t>
        </is>
      </c>
      <c r="H553" s="972" t="inlineStr">
        <is>
          <t>Yes</t>
        </is>
      </c>
      <c r="I553" s="972" t="inlineStr">
        <is>
          <t>Yes</t>
        </is>
      </c>
      <c r="J553" s="972" t="n">
        <v>2</v>
      </c>
      <c r="K553" s="972" t="inlineStr">
        <is>
          <t>Model Mapping</t>
        </is>
      </c>
      <c r="L553" s="452" t="inlineStr">
        <is>
          <t>https://attack.mitre.org/techniques/T0874</t>
        </is>
      </c>
      <c r="M553" s="973" t="inlineStr">
        <is>
          <t>Yes</t>
        </is>
      </c>
      <c r="N553" s="973" t="inlineStr">
        <is>
          <t>No explicit facility gate — defaults feasible</t>
        </is>
      </c>
      <c r="O553" s="973" t="inlineStr">
        <is>
          <t>Hooking is applicable to execution or persistence on engineering workstations, HMIs, servers or controllers used in Power Generation facilities.</t>
        </is>
      </c>
      <c r="P553" s="973" t="inlineStr">
        <is>
          <t>https://csrc.nist.gov/pubs/sp/800/82/r3/final</t>
        </is>
      </c>
    </row>
    <row r="554" ht="15" customHeight="1" s="508">
      <c r="A554" s="972" t="inlineStr">
        <is>
          <t>Cybercriminal</t>
        </is>
      </c>
      <c r="B554" s="972" t="inlineStr">
        <is>
          <t>Safety System Compromise</t>
        </is>
      </c>
      <c r="C554" s="972" t="inlineStr">
        <is>
          <t>T0877</t>
        </is>
      </c>
      <c r="D554" s="972" t="inlineStr">
        <is>
          <t>I/O Image</t>
        </is>
      </c>
      <c r="E554" s="972" t="inlineStr">
        <is>
          <t>S4</t>
        </is>
      </c>
      <c r="F554" s="972" t="inlineStr">
        <is>
          <t>Candidate enabling technique</t>
        </is>
      </c>
      <c r="G554" s="972" t="inlineStr">
        <is>
          <t>Yes</t>
        </is>
      </c>
      <c r="H554" s="972" t="inlineStr">
        <is>
          <t>Yes</t>
        </is>
      </c>
      <c r="I554" s="972" t="inlineStr">
        <is>
          <t>Yes</t>
        </is>
      </c>
      <c r="J554" s="972" t="n">
        <v>1</v>
      </c>
      <c r="K554" s="972" t="inlineStr">
        <is>
          <t>Model Mapping</t>
        </is>
      </c>
      <c r="L554" s="452" t="inlineStr">
        <is>
          <t>https://attack.mitre.org/techniques/T0877</t>
        </is>
      </c>
      <c r="M554" s="973" t="inlineStr">
        <is>
          <t>Yes</t>
        </is>
      </c>
      <c r="N554" s="973" t="inlineStr">
        <is>
          <t>No explicit facility gate — defaults feasible</t>
        </is>
      </c>
      <c r="O554" s="973" t="inlineStr">
        <is>
          <t>I/O Image can support discovery or interaction with process state, control assets and operational data in Power Generation environments.</t>
        </is>
      </c>
      <c r="P554" s="973" t="inlineStr">
        <is>
          <t>https://csrc.nist.gov/pubs/sp/800/82/r3/final</t>
        </is>
      </c>
    </row>
    <row r="555" ht="15" customHeight="1" s="508">
      <c r="A555" s="972" t="inlineStr">
        <is>
          <t>Cybercriminal</t>
        </is>
      </c>
      <c r="B555" s="972" t="inlineStr">
        <is>
          <t>Safety System Compromise</t>
        </is>
      </c>
      <c r="C555" s="972" t="inlineStr">
        <is>
          <t>T0872</t>
        </is>
      </c>
      <c r="D555" s="972" t="inlineStr">
        <is>
          <t>Indicator Removal on Host</t>
        </is>
      </c>
      <c r="E555" s="972" t="inlineStr">
        <is>
          <t>S2</t>
        </is>
      </c>
      <c r="F555" s="972" t="inlineStr">
        <is>
          <t>Candidate enabling technique</t>
        </is>
      </c>
      <c r="G555" s="972" t="inlineStr">
        <is>
          <t>Yes</t>
        </is>
      </c>
      <c r="H555" s="972" t="inlineStr">
        <is>
          <t>Yes</t>
        </is>
      </c>
      <c r="I555" s="972" t="inlineStr">
        <is>
          <t>Yes</t>
        </is>
      </c>
      <c r="J555" s="972" t="n">
        <v>1</v>
      </c>
      <c r="K555" s="972" t="inlineStr">
        <is>
          <t>Model Mapping</t>
        </is>
      </c>
      <c r="L555" s="452" t="inlineStr">
        <is>
          <t>https://attack.mitre.org/techniques/T0872</t>
        </is>
      </c>
      <c r="M555" s="973" t="inlineStr">
        <is>
          <t>Yes</t>
        </is>
      </c>
      <c r="N555" s="973" t="inlineStr">
        <is>
          <t>No explicit facility gate — defaults feasible</t>
        </is>
      </c>
      <c r="O555" s="973" t="inlineStr">
        <is>
          <t>Indicator Removal on Host is applicable to execution or persistence on engineering workstations, HMIs, servers or controllers used in Power Generation facilities.</t>
        </is>
      </c>
      <c r="P555" s="973" t="inlineStr">
        <is>
          <t>https://csrc.nist.gov/pubs/sp/800/82/r3/final</t>
        </is>
      </c>
    </row>
    <row r="556" ht="15" customHeight="1" s="508">
      <c r="A556" s="972" t="inlineStr">
        <is>
          <t>Cybercriminal</t>
        </is>
      </c>
      <c r="B556" s="972" t="inlineStr">
        <is>
          <t>Safety System Compromise</t>
        </is>
      </c>
      <c r="C556" s="972" t="inlineStr">
        <is>
          <t>T0883</t>
        </is>
      </c>
      <c r="D556" s="972" t="inlineStr">
        <is>
          <t>Internet Accessible Device</t>
        </is>
      </c>
      <c r="E556" s="972" t="inlineStr">
        <is>
          <t>S1</t>
        </is>
      </c>
      <c r="F556" s="972" t="inlineStr">
        <is>
          <t>Candidate enabling technique</t>
        </is>
      </c>
      <c r="G556" s="972" t="inlineStr">
        <is>
          <t>Yes</t>
        </is>
      </c>
      <c r="H556" s="972" t="inlineStr">
        <is>
          <t>No</t>
        </is>
      </c>
      <c r="I556" s="972" t="inlineStr">
        <is>
          <t>No</t>
        </is>
      </c>
      <c r="J556" s="972" t="n">
        <v>1</v>
      </c>
      <c r="K556" s="972" t="inlineStr">
        <is>
          <t>Model Mapping</t>
        </is>
      </c>
      <c r="L556" s="452" t="inlineStr">
        <is>
          <t>https://attack.mitre.org/techniques/T0883</t>
        </is>
      </c>
      <c r="M556" s="973" t="inlineStr">
        <is>
          <t>Yes</t>
        </is>
      </c>
      <c r="N556" s="973" t="inlineStr">
        <is>
          <t>INTERNET_OT — Yes</t>
        </is>
      </c>
      <c r="O556" s="973" t="inlineStr">
        <is>
          <t>The Internet Accessible Device route is credible for Power Generation OT when the enabling access condition exists; existing facility gates determine remote, internet, transient, supply-chain or wireless feasibility.</t>
        </is>
      </c>
      <c r="P556" s="973" t="inlineStr">
        <is>
          <t>https://csrc.nist.gov/pubs/sp/800/82/r3/final</t>
        </is>
      </c>
    </row>
    <row r="557" ht="15" customHeight="1" s="508">
      <c r="A557" s="972" t="inlineStr">
        <is>
          <t>Cybercriminal</t>
        </is>
      </c>
      <c r="B557" s="972" t="inlineStr">
        <is>
          <t>Safety System Compromise</t>
        </is>
      </c>
      <c r="C557" s="972" t="inlineStr">
        <is>
          <t>T0867</t>
        </is>
      </c>
      <c r="D557" s="972" t="inlineStr">
        <is>
          <t>Lateral Tool Transfer</t>
        </is>
      </c>
      <c r="E557" s="972" t="inlineStr">
        <is>
          <t>S3</t>
        </is>
      </c>
      <c r="F557" s="972" t="inlineStr">
        <is>
          <t>Candidate enabling technique</t>
        </is>
      </c>
      <c r="G557" s="972" t="inlineStr">
        <is>
          <t>Yes</t>
        </is>
      </c>
      <c r="H557" s="972" t="inlineStr">
        <is>
          <t>Yes</t>
        </is>
      </c>
      <c r="I557" s="972" t="inlineStr">
        <is>
          <t>Yes</t>
        </is>
      </c>
      <c r="J557" s="972" t="n">
        <v>1</v>
      </c>
      <c r="K557" s="972" t="inlineStr">
        <is>
          <t>Model Mapping</t>
        </is>
      </c>
      <c r="L557" s="452" t="inlineStr">
        <is>
          <t>https://attack.mitre.org/techniques/T0867</t>
        </is>
      </c>
      <c r="M557" s="973" t="inlineStr">
        <is>
          <t>Yes</t>
        </is>
      </c>
      <c r="N557" s="973" t="inlineStr">
        <is>
          <t>No explicit facility gate — defaults feasible</t>
        </is>
      </c>
      <c r="O557" s="973" t="inlineStr">
        <is>
          <t>Lateral Tool Transfer can support movement toward or within plant/control zones; actual reachability is governed by the assessed facility architecture.</t>
        </is>
      </c>
      <c r="P557" s="973" t="inlineStr">
        <is>
          <t>https://csrc.nist.gov/pubs/sp/800/82/r3/final</t>
        </is>
      </c>
    </row>
    <row r="558" ht="15" customHeight="1" s="508">
      <c r="A558" s="972" t="inlineStr">
        <is>
          <t>Cybercriminal</t>
        </is>
      </c>
      <c r="B558" s="972" t="inlineStr">
        <is>
          <t>Safety System Compromise</t>
        </is>
      </c>
      <c r="C558" s="972" t="inlineStr">
        <is>
          <t>T0880</t>
        </is>
      </c>
      <c r="D558" s="972" t="inlineStr">
        <is>
          <t>Loss of Safety</t>
        </is>
      </c>
      <c r="E558" s="972" t="inlineStr">
        <is>
          <t>S5</t>
        </is>
      </c>
      <c r="F558" s="972" t="inlineStr">
        <is>
          <t>Scenario-defining</t>
        </is>
      </c>
      <c r="G558" s="972" t="inlineStr">
        <is>
          <t>Yes</t>
        </is>
      </c>
      <c r="H558" s="972" t="inlineStr">
        <is>
          <t>Yes</t>
        </is>
      </c>
      <c r="I558" s="972" t="inlineStr">
        <is>
          <t>Yes</t>
        </is>
      </c>
      <c r="J558" s="972" t="n">
        <v>2</v>
      </c>
      <c r="K558" s="972" t="inlineStr">
        <is>
          <t>Model Mapping</t>
        </is>
      </c>
      <c r="L558" s="452" t="inlineStr">
        <is>
          <t>https://attack.mitre.org/techniques/T0880</t>
        </is>
      </c>
      <c r="M558" s="973" t="inlineStr">
        <is>
          <t>Yes</t>
        </is>
      </c>
      <c r="N558" s="973" t="inlineStr">
        <is>
          <t>No explicit facility gate — defaults feasible</t>
        </is>
      </c>
      <c r="O558" s="973" t="inlineStr">
        <is>
          <t>Loss of Safety is an ATT&amp;CK for ICS impact or response-inhibition technique that can support one or more governed adverse scenarios; scenario role remains controlled on 09.</t>
        </is>
      </c>
      <c r="P558" s="973" t="inlineStr">
        <is>
          <t>https://csrc.nist.gov/pubs/sp/800/82/r3/final</t>
        </is>
      </c>
    </row>
    <row r="559" ht="15" customHeight="1" s="508">
      <c r="A559" s="972" t="inlineStr">
        <is>
          <t>Cybercriminal</t>
        </is>
      </c>
      <c r="B559" s="972" t="inlineStr">
        <is>
          <t>Safety System Compromise</t>
        </is>
      </c>
      <c r="C559" s="972" t="inlineStr">
        <is>
          <t>T0835</t>
        </is>
      </c>
      <c r="D559" s="972" t="inlineStr">
        <is>
          <t>Manipulate I/O Image</t>
        </is>
      </c>
      <c r="E559" s="972" t="inlineStr">
        <is>
          <t>S5</t>
        </is>
      </c>
      <c r="F559" s="972" t="inlineStr">
        <is>
          <t>Supporting / impact</t>
        </is>
      </c>
      <c r="G559" s="972" t="inlineStr">
        <is>
          <t>Yes</t>
        </is>
      </c>
      <c r="H559" s="972" t="inlineStr">
        <is>
          <t>Yes</t>
        </is>
      </c>
      <c r="I559" s="972" t="inlineStr">
        <is>
          <t>Yes</t>
        </is>
      </c>
      <c r="J559" s="972" t="n">
        <v>1</v>
      </c>
      <c r="K559" s="972" t="inlineStr">
        <is>
          <t>Model Mapping</t>
        </is>
      </c>
      <c r="L559" s="452" t="inlineStr">
        <is>
          <t>https://attack.mitre.org/techniques/T0835</t>
        </is>
      </c>
      <c r="M559" s="973" t="inlineStr">
        <is>
          <t>Yes</t>
        </is>
      </c>
      <c r="N559" s="973" t="inlineStr">
        <is>
          <t>No explicit facility gate — defaults feasible</t>
        </is>
      </c>
      <c r="O559" s="973" t="inlineStr">
        <is>
          <t>Manipulate I/O Image is an ATT&amp;CK for ICS impact or response-inhibition technique that can support one or more governed adverse scenarios; scenario role remains controlled on 09.</t>
        </is>
      </c>
      <c r="P559" s="973" t="inlineStr">
        <is>
          <t>https://csrc.nist.gov/pubs/sp/800/82/r3/final</t>
        </is>
      </c>
    </row>
    <row r="560" ht="15" customHeight="1" s="508">
      <c r="A560" s="972" t="inlineStr">
        <is>
          <t>Cybercriminal</t>
        </is>
      </c>
      <c r="B560" s="972" t="inlineStr">
        <is>
          <t>Safety System Compromise</t>
        </is>
      </c>
      <c r="C560" s="972" t="inlineStr">
        <is>
          <t>T0849</t>
        </is>
      </c>
      <c r="D560" s="972" t="inlineStr">
        <is>
          <t>Masquerading</t>
        </is>
      </c>
      <c r="E560" s="972" t="inlineStr">
        <is>
          <t>S2</t>
        </is>
      </c>
      <c r="F560" s="972" t="inlineStr">
        <is>
          <t>Candidate enabling technique</t>
        </is>
      </c>
      <c r="G560" s="972" t="inlineStr">
        <is>
          <t>Yes</t>
        </is>
      </c>
      <c r="H560" s="972" t="inlineStr">
        <is>
          <t>Yes</t>
        </is>
      </c>
      <c r="I560" s="972" t="inlineStr">
        <is>
          <t>Yes</t>
        </is>
      </c>
      <c r="J560" s="972" t="n">
        <v>3</v>
      </c>
      <c r="K560" s="972" t="inlineStr">
        <is>
          <t>Model Mapping</t>
        </is>
      </c>
      <c r="L560" s="452" t="inlineStr">
        <is>
          <t>https://attack.mitre.org/techniques/T0849</t>
        </is>
      </c>
      <c r="M560" s="973" t="inlineStr">
        <is>
          <t>Yes</t>
        </is>
      </c>
      <c r="N560" s="973" t="inlineStr">
        <is>
          <t>No explicit facility gate — defaults feasible</t>
        </is>
      </c>
      <c r="O560" s="973" t="inlineStr">
        <is>
          <t>Masquerading is applicable to execution or persistence on engineering workstations, HMIs, servers or controllers used in Power Generation facilities.</t>
        </is>
      </c>
      <c r="P560" s="973" t="inlineStr">
        <is>
          <t>https://csrc.nist.gov/pubs/sp/800/82/r3/final</t>
        </is>
      </c>
    </row>
    <row r="561" ht="15" customHeight="1" s="508">
      <c r="A561" s="972" t="inlineStr">
        <is>
          <t>Cybercriminal</t>
        </is>
      </c>
      <c r="B561" s="972" t="inlineStr">
        <is>
          <t>Safety System Compromise</t>
        </is>
      </c>
      <c r="C561" s="972" t="inlineStr">
        <is>
          <t>T0838</t>
        </is>
      </c>
      <c r="D561" s="972" t="inlineStr">
        <is>
          <t>Modify Alarm Settings</t>
        </is>
      </c>
      <c r="E561" s="972" t="inlineStr">
        <is>
          <t>S5</t>
        </is>
      </c>
      <c r="F561" s="972" t="inlineStr">
        <is>
          <t>Scenario-defining</t>
        </is>
      </c>
      <c r="G561" s="972" t="inlineStr">
        <is>
          <t>Yes</t>
        </is>
      </c>
      <c r="H561" s="972" t="inlineStr">
        <is>
          <t>Yes</t>
        </is>
      </c>
      <c r="I561" s="972" t="inlineStr">
        <is>
          <t>Yes</t>
        </is>
      </c>
      <c r="J561" s="972" t="n">
        <v>7</v>
      </c>
      <c r="K561" s="972" t="inlineStr">
        <is>
          <t>Model Mapping</t>
        </is>
      </c>
      <c r="L561" s="452" t="inlineStr">
        <is>
          <t>https://attack.mitre.org/techniques/T0838</t>
        </is>
      </c>
      <c r="M561" s="973" t="inlineStr">
        <is>
          <t>Yes</t>
        </is>
      </c>
      <c r="N561" s="973" t="inlineStr">
        <is>
          <t>No explicit facility gate — defaults feasible</t>
        </is>
      </c>
      <c r="O561" s="973" t="inlineStr">
        <is>
          <t>Modify Alarm Settings is an ATT&amp;CK for ICS impact or response-inhibition technique that can support one or more governed adverse scenarios; scenario role remains controlled on 09.</t>
        </is>
      </c>
      <c r="P561" s="973" t="inlineStr">
        <is>
          <t>https://csrc.nist.gov/pubs/sp/800/82/r3/final</t>
        </is>
      </c>
    </row>
    <row r="562" ht="15" customHeight="1" s="508">
      <c r="A562" s="972" t="inlineStr">
        <is>
          <t>Cybercriminal</t>
        </is>
      </c>
      <c r="B562" s="972" t="inlineStr">
        <is>
          <t>Safety System Compromise</t>
        </is>
      </c>
      <c r="C562" s="972" t="inlineStr">
        <is>
          <t>T0821</t>
        </is>
      </c>
      <c r="D562" s="972" t="inlineStr">
        <is>
          <t>Modify Controller Tasking</t>
        </is>
      </c>
      <c r="E562" s="972" t="inlineStr">
        <is>
          <t>S2</t>
        </is>
      </c>
      <c r="F562" s="972" t="inlineStr">
        <is>
          <t>Candidate enabling technique</t>
        </is>
      </c>
      <c r="G562" s="972" t="inlineStr">
        <is>
          <t>Yes</t>
        </is>
      </c>
      <c r="H562" s="972" t="inlineStr">
        <is>
          <t>Yes</t>
        </is>
      </c>
      <c r="I562" s="972" t="inlineStr">
        <is>
          <t>Yes</t>
        </is>
      </c>
      <c r="J562" s="972" t="n">
        <v>4</v>
      </c>
      <c r="K562" s="972" t="inlineStr">
        <is>
          <t>Model Mapping</t>
        </is>
      </c>
      <c r="L562" s="452" t="inlineStr">
        <is>
          <t>https://attack.mitre.org/techniques/T0821</t>
        </is>
      </c>
      <c r="M562" s="973" t="inlineStr">
        <is>
          <t>Yes</t>
        </is>
      </c>
      <c r="N562" s="973" t="inlineStr">
        <is>
          <t>No explicit facility gate — defaults feasible</t>
        </is>
      </c>
      <c r="O562" s="973" t="inlineStr">
        <is>
          <t>Modify Controller Tasking is applicable to execution or persistence on engineering workstations, HMIs, servers or controllers used in Power Generation facilities.</t>
        </is>
      </c>
      <c r="P562" s="973" t="inlineStr">
        <is>
          <t>https://csrc.nist.gov/pubs/sp/800/82/r3/final</t>
        </is>
      </c>
    </row>
    <row r="563" ht="15" customHeight="1" s="508">
      <c r="A563" s="972" t="inlineStr">
        <is>
          <t>Cybercriminal</t>
        </is>
      </c>
      <c r="B563" s="972" t="inlineStr">
        <is>
          <t>Safety System Compromise</t>
        </is>
      </c>
      <c r="C563" s="972" t="inlineStr">
        <is>
          <t>T0889</t>
        </is>
      </c>
      <c r="D563" s="972" t="inlineStr">
        <is>
          <t>Modify Program</t>
        </is>
      </c>
      <c r="E563" s="972" t="inlineStr">
        <is>
          <t>S2</t>
        </is>
      </c>
      <c r="F563" s="972" t="inlineStr">
        <is>
          <t>Candidate enabling technique</t>
        </is>
      </c>
      <c r="G563" s="972" t="inlineStr">
        <is>
          <t>Yes</t>
        </is>
      </c>
      <c r="H563" s="972" t="inlineStr">
        <is>
          <t>Yes</t>
        </is>
      </c>
      <c r="I563" s="972" t="inlineStr">
        <is>
          <t>Yes</t>
        </is>
      </c>
      <c r="J563" s="972" t="n">
        <v>4</v>
      </c>
      <c r="K563" s="972" t="inlineStr">
        <is>
          <t>Model Mapping</t>
        </is>
      </c>
      <c r="L563" s="452" t="inlineStr">
        <is>
          <t>https://attack.mitre.org/techniques/T0889</t>
        </is>
      </c>
      <c r="M563" s="973" t="inlineStr">
        <is>
          <t>Yes</t>
        </is>
      </c>
      <c r="N563" s="973" t="inlineStr">
        <is>
          <t>No explicit facility gate — defaults feasible</t>
        </is>
      </c>
      <c r="O563" s="973" t="inlineStr">
        <is>
          <t>Modify Program is applicable to execution or persistence on engineering workstations, HMIs, servers or controllers used in Power Generation facilities.</t>
        </is>
      </c>
      <c r="P563" s="973" t="inlineStr">
        <is>
          <t>https://csrc.nist.gov/pubs/sp/800/82/r3/final</t>
        </is>
      </c>
    </row>
    <row r="564" ht="15" customHeight="1" s="508">
      <c r="A564" s="972" t="inlineStr">
        <is>
          <t>Cybercriminal</t>
        </is>
      </c>
      <c r="B564" s="972" t="inlineStr">
        <is>
          <t>Safety System Compromise</t>
        </is>
      </c>
      <c r="C564" s="972" t="inlineStr">
        <is>
          <t>T0801</t>
        </is>
      </c>
      <c r="D564" s="972" t="inlineStr">
        <is>
          <t>Monitor Process State</t>
        </is>
      </c>
      <c r="E564" s="972" t="inlineStr">
        <is>
          <t>S4</t>
        </is>
      </c>
      <c r="F564" s="972" t="inlineStr">
        <is>
          <t>Candidate enabling technique</t>
        </is>
      </c>
      <c r="G564" s="972" t="inlineStr">
        <is>
          <t>Yes</t>
        </is>
      </c>
      <c r="H564" s="972" t="inlineStr">
        <is>
          <t>Yes</t>
        </is>
      </c>
      <c r="I564" s="972" t="inlineStr">
        <is>
          <t>Yes</t>
        </is>
      </c>
      <c r="J564" s="972" t="n">
        <v>1</v>
      </c>
      <c r="K564" s="972" t="inlineStr">
        <is>
          <t>Model Mapping</t>
        </is>
      </c>
      <c r="L564" s="452" t="inlineStr">
        <is>
          <t>https://attack.mitre.org/techniques/T0801</t>
        </is>
      </c>
      <c r="M564" s="973" t="inlineStr">
        <is>
          <t>Yes</t>
        </is>
      </c>
      <c r="N564" s="973" t="inlineStr">
        <is>
          <t>No explicit facility gate — defaults feasible</t>
        </is>
      </c>
      <c r="O564" s="973" t="inlineStr">
        <is>
          <t>Monitor Process State can support discovery or interaction with process state, control assets and operational data in Power Generation environments.</t>
        </is>
      </c>
      <c r="P564" s="973" t="inlineStr">
        <is>
          <t>https://csrc.nist.gov/pubs/sp/800/82/r3/final</t>
        </is>
      </c>
    </row>
    <row r="565" ht="15" customHeight="1" s="508">
      <c r="A565" s="972" t="inlineStr">
        <is>
          <t>Cybercriminal</t>
        </is>
      </c>
      <c r="B565" s="972" t="inlineStr">
        <is>
          <t>Safety System Compromise</t>
        </is>
      </c>
      <c r="C565" s="972" t="inlineStr">
        <is>
          <t>T0846.003</t>
        </is>
      </c>
      <c r="D565" s="972" t="inlineStr">
        <is>
          <t>Multicast Discovery</t>
        </is>
      </c>
      <c r="E565" s="972" t="inlineStr">
        <is>
          <t>S4</t>
        </is>
      </c>
      <c r="F565" s="972" t="inlineStr">
        <is>
          <t>Candidate enabling technique</t>
        </is>
      </c>
      <c r="G565" s="972" t="inlineStr">
        <is>
          <t>Yes</t>
        </is>
      </c>
      <c r="H565" s="972" t="inlineStr">
        <is>
          <t>Yes</t>
        </is>
      </c>
      <c r="I565" s="972" t="inlineStr">
        <is>
          <t>Yes</t>
        </is>
      </c>
      <c r="J565" s="972" t="n">
        <v>2</v>
      </c>
      <c r="K565" s="972" t="inlineStr">
        <is>
          <t>Model Mapping</t>
        </is>
      </c>
      <c r="L565" s="452" t="inlineStr">
        <is>
          <t>https://attack.mitre.org/techniques/T0846/003</t>
        </is>
      </c>
      <c r="M565" s="973" t="inlineStr">
        <is>
          <t>Yes</t>
        </is>
      </c>
      <c r="N565" s="973" t="inlineStr">
        <is>
          <t>No explicit facility gate — defaults feasible</t>
        </is>
      </c>
      <c r="O565" s="973" t="inlineStr">
        <is>
          <t>Multicast Discovery can support discovery or interaction with process state, control assets and operational data in Power Generation environments.</t>
        </is>
      </c>
      <c r="P565" s="973" t="inlineStr">
        <is>
          <t>https://csrc.nist.gov/pubs/sp/800/82/r3/final</t>
        </is>
      </c>
    </row>
    <row r="566" ht="15" customHeight="1" s="508">
      <c r="A566" s="972" t="inlineStr">
        <is>
          <t>Cybercriminal</t>
        </is>
      </c>
      <c r="B566" s="972" t="inlineStr">
        <is>
          <t>Safety System Compromise</t>
        </is>
      </c>
      <c r="C566" s="972" t="inlineStr">
        <is>
          <t>T0834</t>
        </is>
      </c>
      <c r="D566" s="972" t="inlineStr">
        <is>
          <t>Native API</t>
        </is>
      </c>
      <c r="E566" s="972" t="inlineStr">
        <is>
          <t>S2</t>
        </is>
      </c>
      <c r="F566" s="972" t="inlineStr">
        <is>
          <t>Candidate enabling technique</t>
        </is>
      </c>
      <c r="G566" s="972" t="inlineStr">
        <is>
          <t>Yes</t>
        </is>
      </c>
      <c r="H566" s="972" t="inlineStr">
        <is>
          <t>Yes</t>
        </is>
      </c>
      <c r="I566" s="972" t="inlineStr">
        <is>
          <t>Yes</t>
        </is>
      </c>
      <c r="J566" s="972" t="n">
        <v>1</v>
      </c>
      <c r="K566" s="972" t="inlineStr">
        <is>
          <t>Model Mapping</t>
        </is>
      </c>
      <c r="L566" s="452" t="inlineStr">
        <is>
          <t>https://attack.mitre.org/techniques/T0834</t>
        </is>
      </c>
      <c r="M566" s="973" t="inlineStr">
        <is>
          <t>Yes</t>
        </is>
      </c>
      <c r="N566" s="973" t="inlineStr">
        <is>
          <t>No explicit facility gate — defaults feasible</t>
        </is>
      </c>
      <c r="O566" s="973" t="inlineStr">
        <is>
          <t>Native API is applicable to execution or persistence on engineering workstations, HMIs, servers or controllers used in Power Generation facilities.</t>
        </is>
      </c>
      <c r="P566" s="973" t="inlineStr">
        <is>
          <t>https://csrc.nist.gov/pubs/sp/800/82/r3/final</t>
        </is>
      </c>
    </row>
    <row r="567" ht="15" customHeight="1" s="508">
      <c r="A567" s="972" t="inlineStr">
        <is>
          <t>Cybercriminal</t>
        </is>
      </c>
      <c r="B567" s="972" t="inlineStr">
        <is>
          <t>Safety System Compromise</t>
        </is>
      </c>
      <c r="C567" s="972" t="inlineStr">
        <is>
          <t>T0840</t>
        </is>
      </c>
      <c r="D567" s="972" t="inlineStr">
        <is>
          <t>Network Connection Enumeration</t>
        </is>
      </c>
      <c r="E567" s="972" t="inlineStr">
        <is>
          <t>S4</t>
        </is>
      </c>
      <c r="F567" s="972" t="inlineStr">
        <is>
          <t>Candidate enabling technique</t>
        </is>
      </c>
      <c r="G567" s="972" t="inlineStr">
        <is>
          <t>Yes</t>
        </is>
      </c>
      <c r="H567" s="972" t="inlineStr">
        <is>
          <t>Yes</t>
        </is>
      </c>
      <c r="I567" s="972" t="inlineStr">
        <is>
          <t>Yes</t>
        </is>
      </c>
      <c r="J567" s="972" t="n">
        <v>1</v>
      </c>
      <c r="K567" s="972" t="inlineStr">
        <is>
          <t>Model Mapping</t>
        </is>
      </c>
      <c r="L567" s="452" t="inlineStr">
        <is>
          <t>https://attack.mitre.org/techniques/T0840</t>
        </is>
      </c>
      <c r="M567" s="973" t="inlineStr">
        <is>
          <t>Yes</t>
        </is>
      </c>
      <c r="N567" s="973" t="inlineStr">
        <is>
          <t>No explicit facility gate — defaults feasible</t>
        </is>
      </c>
      <c r="O567" s="973" t="inlineStr">
        <is>
          <t>Network Connection Enumeration can support discovery or interaction with process state, control assets and operational data in Power Generation environments.</t>
        </is>
      </c>
      <c r="P567" s="973" t="inlineStr">
        <is>
          <t>https://csrc.nist.gov/pubs/sp/800/82/r3/final</t>
        </is>
      </c>
    </row>
    <row r="568" ht="15" customHeight="1" s="508">
      <c r="A568" s="972" t="inlineStr">
        <is>
          <t>Cybercriminal</t>
        </is>
      </c>
      <c r="B568" s="972" t="inlineStr">
        <is>
          <t>Safety System Compromise</t>
        </is>
      </c>
      <c r="C568" s="972" t="inlineStr">
        <is>
          <t>T0842</t>
        </is>
      </c>
      <c r="D568" s="972" t="inlineStr">
        <is>
          <t>Network Sniffing</t>
        </is>
      </c>
      <c r="E568" s="972" t="inlineStr">
        <is>
          <t>S4</t>
        </is>
      </c>
      <c r="F568" s="972" t="inlineStr">
        <is>
          <t>Candidate enabling technique</t>
        </is>
      </c>
      <c r="G568" s="972" t="inlineStr">
        <is>
          <t>Yes</t>
        </is>
      </c>
      <c r="H568" s="972" t="inlineStr">
        <is>
          <t>Yes</t>
        </is>
      </c>
      <c r="I568" s="972" t="inlineStr">
        <is>
          <t>Yes</t>
        </is>
      </c>
      <c r="J568" s="972" t="n">
        <v>5</v>
      </c>
      <c r="K568" s="972" t="inlineStr">
        <is>
          <t>Model Mapping</t>
        </is>
      </c>
      <c r="L568" s="452" t="inlineStr">
        <is>
          <t>https://attack.mitre.org/techniques/T0842</t>
        </is>
      </c>
      <c r="M568" s="973" t="inlineStr">
        <is>
          <t>Yes</t>
        </is>
      </c>
      <c r="N568" s="973" t="inlineStr">
        <is>
          <t>No explicit facility gate — defaults feasible</t>
        </is>
      </c>
      <c r="O568" s="973" t="inlineStr">
        <is>
          <t>Network Sniffing can support discovery or interaction with process state, control assets and operational data in Power Generation environments.</t>
        </is>
      </c>
      <c r="P568" s="973" t="inlineStr">
        <is>
          <t>https://csrc.nist.gov/pubs/sp/800/82/r3/final</t>
        </is>
      </c>
    </row>
    <row r="569" ht="15" customHeight="1" s="508">
      <c r="A569" s="972" t="inlineStr">
        <is>
          <t>Cybercriminal</t>
        </is>
      </c>
      <c r="B569" s="972" t="inlineStr">
        <is>
          <t>Safety System Compromise</t>
        </is>
      </c>
      <c r="C569" s="972" t="inlineStr">
        <is>
          <t>T0843.002</t>
        </is>
      </c>
      <c r="D569" s="972" t="inlineStr">
        <is>
          <t>Online Edit</t>
        </is>
      </c>
      <c r="E569" s="972" t="inlineStr">
        <is>
          <t>S3</t>
        </is>
      </c>
      <c r="F569" s="972" t="inlineStr">
        <is>
          <t>Candidate enabling technique</t>
        </is>
      </c>
      <c r="G569" s="972" t="inlineStr">
        <is>
          <t>Yes</t>
        </is>
      </c>
      <c r="H569" s="972" t="inlineStr">
        <is>
          <t>Yes</t>
        </is>
      </c>
      <c r="I569" s="972" t="inlineStr">
        <is>
          <t>Yes</t>
        </is>
      </c>
      <c r="J569" s="972" t="n">
        <v>10</v>
      </c>
      <c r="K569" s="972" t="inlineStr">
        <is>
          <t>Model Mapping</t>
        </is>
      </c>
      <c r="L569" s="452" t="inlineStr">
        <is>
          <t>https://attack.mitre.org/techniques/T0843/002</t>
        </is>
      </c>
      <c r="M569" s="973" t="inlineStr">
        <is>
          <t>Yes</t>
        </is>
      </c>
      <c r="N569" s="973" t="inlineStr">
        <is>
          <t>No explicit facility gate — defaults feasible</t>
        </is>
      </c>
      <c r="O569" s="973" t="inlineStr">
        <is>
          <t>Online Edit can support movement toward or within plant/control zones; actual reachability is governed by the assessed facility architecture.</t>
        </is>
      </c>
      <c r="P569" s="973" t="inlineStr">
        <is>
          <t>https://csrc.nist.gov/pubs/sp/800/82/r3/final</t>
        </is>
      </c>
    </row>
    <row r="570" ht="15" customHeight="1" s="508">
      <c r="A570" s="972" t="inlineStr">
        <is>
          <t>Cybercriminal</t>
        </is>
      </c>
      <c r="B570" s="972" t="inlineStr">
        <is>
          <t>Safety System Compromise</t>
        </is>
      </c>
      <c r="C570" s="972" t="inlineStr">
        <is>
          <t>T0861</t>
        </is>
      </c>
      <c r="D570" s="972" t="inlineStr">
        <is>
          <t>Point &amp; Tag Identification</t>
        </is>
      </c>
      <c r="E570" s="972" t="inlineStr">
        <is>
          <t>S4</t>
        </is>
      </c>
      <c r="F570" s="972" t="inlineStr">
        <is>
          <t>Candidate enabling technique</t>
        </is>
      </c>
      <c r="G570" s="972" t="inlineStr">
        <is>
          <t>Yes</t>
        </is>
      </c>
      <c r="H570" s="972" t="inlineStr">
        <is>
          <t>Yes</t>
        </is>
      </c>
      <c r="I570" s="972" t="inlineStr">
        <is>
          <t>Yes</t>
        </is>
      </c>
      <c r="J570" s="972" t="n">
        <v>8</v>
      </c>
      <c r="K570" s="972" t="inlineStr">
        <is>
          <t>Model Mapping</t>
        </is>
      </c>
      <c r="L570" s="452" t="inlineStr">
        <is>
          <t>https://attack.mitre.org/techniques/T0861</t>
        </is>
      </c>
      <c r="M570" s="973" t="inlineStr">
        <is>
          <t>Yes</t>
        </is>
      </c>
      <c r="N570" s="973" t="inlineStr">
        <is>
          <t>No explicit facility gate — defaults feasible</t>
        </is>
      </c>
      <c r="O570" s="973" t="inlineStr">
        <is>
          <t>Point &amp; Tag Identification can support discovery or interaction with process state, control assets and operational data in Power Generation environments.</t>
        </is>
      </c>
      <c r="P570" s="973" t="inlineStr">
        <is>
          <t>https://csrc.nist.gov/pubs/sp/800/82/r3/final</t>
        </is>
      </c>
    </row>
    <row r="571" ht="15" customHeight="1" s="508">
      <c r="A571" s="972" t="inlineStr">
        <is>
          <t>Cybercriminal</t>
        </is>
      </c>
      <c r="B571" s="972" t="inlineStr">
        <is>
          <t>Safety System Compromise</t>
        </is>
      </c>
      <c r="C571" s="972" t="inlineStr">
        <is>
          <t>T0846.001</t>
        </is>
      </c>
      <c r="D571" s="972" t="inlineStr">
        <is>
          <t>Port Scan</t>
        </is>
      </c>
      <c r="E571" s="972" t="inlineStr">
        <is>
          <t>S4</t>
        </is>
      </c>
      <c r="F571" s="972" t="inlineStr">
        <is>
          <t>Candidate enabling technique</t>
        </is>
      </c>
      <c r="G571" s="972" t="inlineStr">
        <is>
          <t>Yes</t>
        </is>
      </c>
      <c r="H571" s="972" t="inlineStr">
        <is>
          <t>Yes</t>
        </is>
      </c>
      <c r="I571" s="972" t="inlineStr">
        <is>
          <t>Yes</t>
        </is>
      </c>
      <c r="J571" s="972" t="n">
        <v>3</v>
      </c>
      <c r="K571" s="972" t="inlineStr">
        <is>
          <t>Model Mapping</t>
        </is>
      </c>
      <c r="L571" s="452" t="inlineStr">
        <is>
          <t>https://attack.mitre.org/techniques/T0846/001</t>
        </is>
      </c>
      <c r="M571" s="973" t="inlineStr">
        <is>
          <t>Yes</t>
        </is>
      </c>
      <c r="N571" s="973" t="inlineStr">
        <is>
          <t>No explicit facility gate — defaults feasible</t>
        </is>
      </c>
      <c r="O571" s="973" t="inlineStr">
        <is>
          <t>Port Scan can support discovery or interaction with process state, control assets and operational data in Power Generation environments.</t>
        </is>
      </c>
      <c r="P571" s="973" t="inlineStr">
        <is>
          <t>https://csrc.nist.gov/pubs/sp/800/82/r3/final</t>
        </is>
      </c>
    </row>
    <row r="572" ht="15" customHeight="1" s="508">
      <c r="A572" s="972" t="inlineStr">
        <is>
          <t>Cybercriminal</t>
        </is>
      </c>
      <c r="B572" s="972" t="inlineStr">
        <is>
          <t>Safety System Compromise</t>
        </is>
      </c>
      <c r="C572" s="972" t="inlineStr">
        <is>
          <t>T0843.003</t>
        </is>
      </c>
      <c r="D572" s="972" t="inlineStr">
        <is>
          <t>Program Append</t>
        </is>
      </c>
      <c r="E572" s="972" t="inlineStr">
        <is>
          <t>S3</t>
        </is>
      </c>
      <c r="F572" s="972" t="inlineStr">
        <is>
          <t>Candidate enabling technique</t>
        </is>
      </c>
      <c r="G572" s="972" t="inlineStr">
        <is>
          <t>Yes</t>
        </is>
      </c>
      <c r="H572" s="972" t="inlineStr">
        <is>
          <t>Yes</t>
        </is>
      </c>
      <c r="I572" s="972" t="inlineStr">
        <is>
          <t>Yes</t>
        </is>
      </c>
      <c r="J572" s="972" t="n">
        <v>10</v>
      </c>
      <c r="K572" s="972" t="inlineStr">
        <is>
          <t>Model Mapping</t>
        </is>
      </c>
      <c r="L572" s="452" t="inlineStr">
        <is>
          <t>https://attack.mitre.org/techniques/T0843/003</t>
        </is>
      </c>
      <c r="M572" s="973" t="inlineStr">
        <is>
          <t>Yes</t>
        </is>
      </c>
      <c r="N572" s="973" t="inlineStr">
        <is>
          <t>No explicit facility gate — defaults feasible</t>
        </is>
      </c>
      <c r="O572" s="973" t="inlineStr">
        <is>
          <t>Program Append can support movement toward or within plant/control zones; actual reachability is governed by the assessed facility architecture.</t>
        </is>
      </c>
      <c r="P572" s="973" t="inlineStr">
        <is>
          <t>https://csrc.nist.gov/pubs/sp/800/82/r3/final</t>
        </is>
      </c>
    </row>
    <row r="573" ht="15" customHeight="1" s="508">
      <c r="A573" s="972" t="inlineStr">
        <is>
          <t>Cybercriminal</t>
        </is>
      </c>
      <c r="B573" s="972" t="inlineStr">
        <is>
          <t>Safety System Compromise</t>
        </is>
      </c>
      <c r="C573" s="972" t="inlineStr">
        <is>
          <t>T0845</t>
        </is>
      </c>
      <c r="D573" s="972" t="inlineStr">
        <is>
          <t>Program Upload</t>
        </is>
      </c>
      <c r="E573" s="972" t="inlineStr">
        <is>
          <t>S4</t>
        </is>
      </c>
      <c r="F573" s="972" t="inlineStr">
        <is>
          <t>Candidate enabling technique</t>
        </is>
      </c>
      <c r="G573" s="972" t="inlineStr">
        <is>
          <t>Yes</t>
        </is>
      </c>
      <c r="H573" s="972" t="inlineStr">
        <is>
          <t>Yes</t>
        </is>
      </c>
      <c r="I573" s="972" t="inlineStr">
        <is>
          <t>Yes</t>
        </is>
      </c>
      <c r="J573" s="972" t="n">
        <v>8</v>
      </c>
      <c r="K573" s="972" t="inlineStr">
        <is>
          <t>Model Mapping</t>
        </is>
      </c>
      <c r="L573" s="452" t="inlineStr">
        <is>
          <t>https://attack.mitre.org/techniques/T0845</t>
        </is>
      </c>
      <c r="M573" s="973" t="inlineStr">
        <is>
          <t>Yes</t>
        </is>
      </c>
      <c r="N573" s="973" t="inlineStr">
        <is>
          <t>No explicit facility gate — defaults feasible</t>
        </is>
      </c>
      <c r="O573" s="973" t="inlineStr">
        <is>
          <t>Program Upload can support discovery or interaction with process state, control assets and operational data in Power Generation environments.</t>
        </is>
      </c>
      <c r="P573" s="973" t="inlineStr">
        <is>
          <t>https://csrc.nist.gov/pubs/sp/800/82/r3/final</t>
        </is>
      </c>
    </row>
    <row r="574" ht="15" customHeight="1" s="508">
      <c r="A574" s="972" t="inlineStr">
        <is>
          <t>Cybercriminal</t>
        </is>
      </c>
      <c r="B574" s="972" t="inlineStr">
        <is>
          <t>Safety System Compromise</t>
        </is>
      </c>
      <c r="C574" s="972" t="inlineStr">
        <is>
          <t>T0886</t>
        </is>
      </c>
      <c r="D574" s="972" t="inlineStr">
        <is>
          <t>Remote Services</t>
        </is>
      </c>
      <c r="E574" s="972" t="inlineStr">
        <is>
          <t>S1</t>
        </is>
      </c>
      <c r="F574" s="972" t="inlineStr">
        <is>
          <t>Candidate enabling technique</t>
        </is>
      </c>
      <c r="G574" s="972" t="inlineStr">
        <is>
          <t>Yes</t>
        </is>
      </c>
      <c r="H574" s="972" t="inlineStr">
        <is>
          <t>Yes</t>
        </is>
      </c>
      <c r="I574" s="972" t="inlineStr">
        <is>
          <t>Yes</t>
        </is>
      </c>
      <c r="J574" s="972" t="n">
        <v>9</v>
      </c>
      <c r="K574" s="972" t="inlineStr">
        <is>
          <t>Model Mapping</t>
        </is>
      </c>
      <c r="L574" s="452" t="inlineStr">
        <is>
          <t>https://attack.mitre.org/techniques/T0886</t>
        </is>
      </c>
      <c r="M574" s="973" t="inlineStr">
        <is>
          <t>Yes</t>
        </is>
      </c>
      <c r="N574" s="973" t="inlineStr">
        <is>
          <t>REMOTE_OR_ITOT — Remote path or IT-OT connection</t>
        </is>
      </c>
      <c r="O574" s="973" t="inlineStr">
        <is>
          <t>The Remote Services route is credible for Power Generation OT when the enabling access condition exists; existing facility gates determine remote, internet, transient, supply-chain or wireless feasibility.</t>
        </is>
      </c>
      <c r="P574" s="973" t="inlineStr">
        <is>
          <t>https://csrc.nist.gov/pubs/sp/800/82/r3/final</t>
        </is>
      </c>
    </row>
    <row r="575" ht="15" customHeight="1" s="508">
      <c r="A575" s="972" t="inlineStr">
        <is>
          <t>Cybercriminal</t>
        </is>
      </c>
      <c r="B575" s="972" t="inlineStr">
        <is>
          <t>Safety System Compromise</t>
        </is>
      </c>
      <c r="C575" s="972" t="inlineStr">
        <is>
          <t>T0888</t>
        </is>
      </c>
      <c r="D575" s="972" t="inlineStr">
        <is>
          <t>Remote System Information Discovery</t>
        </is>
      </c>
      <c r="E575" s="972" t="inlineStr">
        <is>
          <t>S4</t>
        </is>
      </c>
      <c r="F575" s="972" t="inlineStr">
        <is>
          <t>Candidate enabling technique</t>
        </is>
      </c>
      <c r="G575" s="972" t="inlineStr">
        <is>
          <t>Yes</t>
        </is>
      </c>
      <c r="H575" s="972" t="inlineStr">
        <is>
          <t>Yes</t>
        </is>
      </c>
      <c r="I575" s="972" t="inlineStr">
        <is>
          <t>Yes</t>
        </is>
      </c>
      <c r="J575" s="972" t="n">
        <v>1</v>
      </c>
      <c r="K575" s="972" t="inlineStr">
        <is>
          <t>Model Mapping</t>
        </is>
      </c>
      <c r="L575" s="452" t="inlineStr">
        <is>
          <t>https://attack.mitre.org/techniques/T0888</t>
        </is>
      </c>
      <c r="M575" s="973" t="inlineStr">
        <is>
          <t>Yes</t>
        </is>
      </c>
      <c r="N575" s="973" t="inlineStr">
        <is>
          <t>No explicit facility gate — defaults feasible</t>
        </is>
      </c>
      <c r="O575" s="973" t="inlineStr">
        <is>
          <t>Remote System Information Discovery can support discovery or interaction with process state, control assets and operational data in Power Generation environments.</t>
        </is>
      </c>
      <c r="P575" s="973" t="inlineStr">
        <is>
          <t>https://csrc.nist.gov/pubs/sp/800/82/r3/final</t>
        </is>
      </c>
    </row>
    <row r="576" ht="15" customHeight="1" s="508">
      <c r="A576" s="972" t="inlineStr">
        <is>
          <t>Cybercriminal</t>
        </is>
      </c>
      <c r="B576" s="972" t="inlineStr">
        <is>
          <t>Safety System Compromise</t>
        </is>
      </c>
      <c r="C576" s="972" t="inlineStr">
        <is>
          <t>T0847</t>
        </is>
      </c>
      <c r="D576" s="972" t="inlineStr">
        <is>
          <t>Replication Through Removable Media</t>
        </is>
      </c>
      <c r="E576" s="972" t="inlineStr">
        <is>
          <t>S1</t>
        </is>
      </c>
      <c r="F576" s="972" t="inlineStr">
        <is>
          <t>Candidate enabling technique</t>
        </is>
      </c>
      <c r="G576" s="972" t="inlineStr">
        <is>
          <t>Yes</t>
        </is>
      </c>
      <c r="H576" s="972" t="inlineStr">
        <is>
          <t>Yes</t>
        </is>
      </c>
      <c r="I576" s="972" t="inlineStr">
        <is>
          <t>Yes</t>
        </is>
      </c>
      <c r="J576" s="972" t="n">
        <v>3</v>
      </c>
      <c r="K576" s="972" t="inlineStr">
        <is>
          <t>Model Mapping</t>
        </is>
      </c>
      <c r="L576" s="452" t="inlineStr">
        <is>
          <t>https://attack.mitre.org/techniques/T0847</t>
        </is>
      </c>
      <c r="M576" s="973" t="inlineStr">
        <is>
          <t>Yes</t>
        </is>
      </c>
      <c r="N576" s="973" t="inlineStr">
        <is>
          <t>TRANSIENT_REQUIRED — Not None</t>
        </is>
      </c>
      <c r="O576" s="973" t="inlineStr">
        <is>
          <t>The Replication Through Removable Media route is credible for Power Generation OT when the enabling access condition exists; existing facility gates determine remote, internet, transient, supply-chain or wireless feasibility.</t>
        </is>
      </c>
      <c r="P576" s="973" t="inlineStr">
        <is>
          <t>https://csrc.nist.gov/pubs/sp/800/82/r3/final</t>
        </is>
      </c>
    </row>
    <row r="577" ht="15" customHeight="1" s="508">
      <c r="A577" s="972" t="inlineStr">
        <is>
          <t>Cybercriminal</t>
        </is>
      </c>
      <c r="B577" s="972" t="inlineStr">
        <is>
          <t>Safety System Compromise</t>
        </is>
      </c>
      <c r="C577" s="972" t="inlineStr">
        <is>
          <t>T1691.002</t>
        </is>
      </c>
      <c r="D577" s="972" t="inlineStr">
        <is>
          <t>Reporting Message</t>
        </is>
      </c>
      <c r="E577" s="972" t="inlineStr">
        <is>
          <t>S5</t>
        </is>
      </c>
      <c r="F577" s="972" t="inlineStr">
        <is>
          <t>Supporting / impact</t>
        </is>
      </c>
      <c r="G577" s="972" t="inlineStr">
        <is>
          <t>Yes</t>
        </is>
      </c>
      <c r="H577" s="972" t="inlineStr">
        <is>
          <t>Yes</t>
        </is>
      </c>
      <c r="I577" s="972" t="inlineStr">
        <is>
          <t>Yes</t>
        </is>
      </c>
      <c r="J577" s="972" t="n">
        <v>3</v>
      </c>
      <c r="K577" s="972" t="inlineStr">
        <is>
          <t>Model Mapping</t>
        </is>
      </c>
      <c r="L577" s="452" t="inlineStr">
        <is>
          <t>https://attack.mitre.org/techniques/T1691/002</t>
        </is>
      </c>
      <c r="M577" s="973" t="inlineStr">
        <is>
          <t>Yes</t>
        </is>
      </c>
      <c r="N577" s="973" t="inlineStr">
        <is>
          <t>No explicit facility gate — defaults feasible</t>
        </is>
      </c>
      <c r="O577" s="973" t="inlineStr">
        <is>
          <t>Reporting Message is an ATT&amp;CK for ICS impact or response-inhibition technique that can support one or more governed adverse scenarios; scenario role remains controlled on 09.</t>
        </is>
      </c>
      <c r="P577" s="973" t="inlineStr">
        <is>
          <t>https://csrc.nist.gov/pubs/sp/800/82/r3/final</t>
        </is>
      </c>
    </row>
    <row r="578" ht="15" customHeight="1" s="508">
      <c r="A578" s="972" t="inlineStr">
        <is>
          <t>Cybercriminal</t>
        </is>
      </c>
      <c r="B578" s="972" t="inlineStr">
        <is>
          <t>Safety System Compromise</t>
        </is>
      </c>
      <c r="C578" s="972" t="inlineStr">
        <is>
          <t>T0848</t>
        </is>
      </c>
      <c r="D578" s="972" t="inlineStr">
        <is>
          <t>Rogue Master</t>
        </is>
      </c>
      <c r="E578" s="972" t="inlineStr">
        <is>
          <t>S1</t>
        </is>
      </c>
      <c r="F578" s="972" t="inlineStr">
        <is>
          <t>Candidate enabling technique</t>
        </is>
      </c>
      <c r="G578" s="972" t="inlineStr">
        <is>
          <t>Yes</t>
        </is>
      </c>
      <c r="H578" s="972" t="inlineStr">
        <is>
          <t>Yes</t>
        </is>
      </c>
      <c r="I578" s="972" t="inlineStr">
        <is>
          <t>Yes</t>
        </is>
      </c>
      <c r="J578" s="972" t="n">
        <v>5</v>
      </c>
      <c r="K578" s="972" t="inlineStr">
        <is>
          <t>Model Mapping</t>
        </is>
      </c>
      <c r="L578" s="452" t="inlineStr">
        <is>
          <t>https://attack.mitre.org/techniques/T0848</t>
        </is>
      </c>
      <c r="M578" s="973" t="inlineStr">
        <is>
          <t>Yes</t>
        </is>
      </c>
      <c r="N578" s="973" t="inlineStr">
        <is>
          <t>No explicit facility gate — defaults feasible</t>
        </is>
      </c>
      <c r="O578" s="973" t="inlineStr">
        <is>
          <t>The Rogue Master route is credible for Power Generation OT when the enabling access condition exists; existing facility gates determine remote, internet, transient, supply-chain or wireless feasibility.</t>
        </is>
      </c>
      <c r="P578" s="973" t="inlineStr">
        <is>
          <t>https://csrc.nist.gov/pubs/sp/800/82/r3/final</t>
        </is>
      </c>
    </row>
    <row r="579" ht="15" customHeight="1" s="508">
      <c r="A579" s="972" t="inlineStr">
        <is>
          <t>Cybercriminal</t>
        </is>
      </c>
      <c r="B579" s="972" t="inlineStr">
        <is>
          <t>Safety System Compromise</t>
        </is>
      </c>
      <c r="C579" s="972" t="inlineStr">
        <is>
          <t>T0851</t>
        </is>
      </c>
      <c r="D579" s="972" t="inlineStr">
        <is>
          <t>Rootkit</t>
        </is>
      </c>
      <c r="E579" s="972" t="inlineStr">
        <is>
          <t>S2</t>
        </is>
      </c>
      <c r="F579" s="972" t="inlineStr">
        <is>
          <t>Candidate enabling technique</t>
        </is>
      </c>
      <c r="G579" s="972" t="inlineStr">
        <is>
          <t>Yes</t>
        </is>
      </c>
      <c r="H579" s="972" t="inlineStr">
        <is>
          <t>Yes</t>
        </is>
      </c>
      <c r="I579" s="972" t="inlineStr">
        <is>
          <t>Yes</t>
        </is>
      </c>
      <c r="J579" s="972" t="n">
        <v>2</v>
      </c>
      <c r="K579" s="972" t="inlineStr">
        <is>
          <t>RECLASSIFIED v1.2: Rootkit hides malware and connections through OS manipulation — an evasion technique, not a safety-system outcome.</t>
        </is>
      </c>
      <c r="L579" s="452" t="inlineStr">
        <is>
          <t>https://attack.mitre.org/techniques/T0851</t>
        </is>
      </c>
      <c r="M579" s="973" t="inlineStr">
        <is>
          <t>Yes</t>
        </is>
      </c>
      <c r="N579" s="973" t="inlineStr">
        <is>
          <t>No explicit facility gate — defaults feasible</t>
        </is>
      </c>
      <c r="O579" s="973" t="inlineStr">
        <is>
          <t>Rootkit is an ATT&amp;CK for ICS impact or response-inhibition technique that can support one or more governed adverse scenarios; scenario role remains controlled on 09.</t>
        </is>
      </c>
      <c r="P579" s="973" t="inlineStr">
        <is>
          <t>https://csrc.nist.gov/pubs/sp/800/82/r3/final</t>
        </is>
      </c>
    </row>
    <row r="580" ht="15" customHeight="1" s="508">
      <c r="A580" s="972" t="inlineStr">
        <is>
          <t>Cybercriminal</t>
        </is>
      </c>
      <c r="B580" s="972" t="inlineStr">
        <is>
          <t>Safety System Compromise</t>
        </is>
      </c>
      <c r="C580" s="972" t="inlineStr">
        <is>
          <t>T0852</t>
        </is>
      </c>
      <c r="D580" s="972" t="inlineStr">
        <is>
          <t>Screen Capture</t>
        </is>
      </c>
      <c r="E580" s="972" t="inlineStr">
        <is>
          <t>S4</t>
        </is>
      </c>
      <c r="F580" s="972" t="inlineStr">
        <is>
          <t>Candidate enabling technique</t>
        </is>
      </c>
      <c r="G580" s="972" t="inlineStr">
        <is>
          <t>Yes</t>
        </is>
      </c>
      <c r="H580" s="972" t="inlineStr">
        <is>
          <t>Yes</t>
        </is>
      </c>
      <c r="I580" s="972" t="inlineStr">
        <is>
          <t>Yes</t>
        </is>
      </c>
      <c r="J580" s="972" t="n">
        <v>1</v>
      </c>
      <c r="K580" s="972" t="inlineStr">
        <is>
          <t>Model Mapping</t>
        </is>
      </c>
      <c r="L580" s="452" t="inlineStr">
        <is>
          <t>https://attack.mitre.org/techniques/T0852</t>
        </is>
      </c>
      <c r="M580" s="973" t="inlineStr">
        <is>
          <t>Yes</t>
        </is>
      </c>
      <c r="N580" s="973" t="inlineStr">
        <is>
          <t>No explicit facility gate — defaults feasible</t>
        </is>
      </c>
      <c r="O580" s="973" t="inlineStr">
        <is>
          <t>Screen Capture can support discovery or interaction with process state, control assets and operational data in Power Generation environments.</t>
        </is>
      </c>
      <c r="P580" s="973" t="inlineStr">
        <is>
          <t>https://csrc.nist.gov/pubs/sp/800/82/r3/final</t>
        </is>
      </c>
    </row>
    <row r="581" ht="15" customHeight="1" s="508">
      <c r="A581" s="972" t="inlineStr">
        <is>
          <t>Cybercriminal</t>
        </is>
      </c>
      <c r="B581" s="972" t="inlineStr">
        <is>
          <t>Safety System Compromise</t>
        </is>
      </c>
      <c r="C581" s="972" t="inlineStr">
        <is>
          <t>T0853</t>
        </is>
      </c>
      <c r="D581" s="972" t="inlineStr">
        <is>
          <t>Scripting</t>
        </is>
      </c>
      <c r="E581" s="972" t="inlineStr">
        <is>
          <t>S2</t>
        </is>
      </c>
      <c r="F581" s="972" t="inlineStr">
        <is>
          <t>Candidate enabling technique</t>
        </is>
      </c>
      <c r="G581" s="972" t="inlineStr">
        <is>
          <t>Yes</t>
        </is>
      </c>
      <c r="H581" s="972" t="inlineStr">
        <is>
          <t>Yes</t>
        </is>
      </c>
      <c r="I581" s="972" t="inlineStr">
        <is>
          <t>Yes</t>
        </is>
      </c>
      <c r="J581" s="972" t="n">
        <v>3</v>
      </c>
      <c r="K581" s="972" t="inlineStr">
        <is>
          <t>Model Mapping</t>
        </is>
      </c>
      <c r="L581" s="452" t="inlineStr">
        <is>
          <t>https://attack.mitre.org/techniques/T0853</t>
        </is>
      </c>
      <c r="M581" s="973" t="inlineStr">
        <is>
          <t>Yes</t>
        </is>
      </c>
      <c r="N581" s="973" t="inlineStr">
        <is>
          <t>No explicit facility gate — defaults feasible</t>
        </is>
      </c>
      <c r="O581" s="973" t="inlineStr">
        <is>
          <t>Scripting is applicable to execution or persistence on engineering workstations, HMIs, servers or controllers used in Power Generation facilities.</t>
        </is>
      </c>
      <c r="P581" s="973" t="inlineStr">
        <is>
          <t>https://csrc.nist.gov/pubs/sp/800/82/r3/final</t>
        </is>
      </c>
    </row>
    <row r="582" ht="15" customHeight="1" s="508">
      <c r="A582" s="972" t="inlineStr">
        <is>
          <t>Cybercriminal</t>
        </is>
      </c>
      <c r="B582" s="972" t="inlineStr">
        <is>
          <t>Safety System Compromise</t>
        </is>
      </c>
      <c r="C582" s="972" t="inlineStr">
        <is>
          <t>T1695.001</t>
        </is>
      </c>
      <c r="D582" s="972" t="inlineStr">
        <is>
          <t>Serial COM</t>
        </is>
      </c>
      <c r="E582" s="972" t="inlineStr">
        <is>
          <t>S5</t>
        </is>
      </c>
      <c r="F582" s="972" t="inlineStr">
        <is>
          <t>Supporting / impact</t>
        </is>
      </c>
      <c r="G582" s="972" t="inlineStr">
        <is>
          <t>Yes</t>
        </is>
      </c>
      <c r="H582" s="972" t="inlineStr">
        <is>
          <t>Yes</t>
        </is>
      </c>
      <c r="I582" s="972" t="inlineStr">
        <is>
          <t>Yes</t>
        </is>
      </c>
      <c r="J582" s="972" t="n">
        <v>3</v>
      </c>
      <c r="K582" s="972" t="inlineStr">
        <is>
          <t>Model Mapping</t>
        </is>
      </c>
      <c r="L582" s="452" t="inlineStr">
        <is>
          <t>https://attack.mitre.org/techniques/T1695/001</t>
        </is>
      </c>
      <c r="M582" s="973" t="inlineStr">
        <is>
          <t>Yes</t>
        </is>
      </c>
      <c r="N582" s="973" t="inlineStr">
        <is>
          <t>No explicit facility gate — defaults feasible</t>
        </is>
      </c>
      <c r="O582" s="973" t="inlineStr">
        <is>
          <t>Serial COM is an ATT&amp;CK for ICS impact or response-inhibition technique that can support one or more governed adverse scenarios; scenario role remains controlled on 09.</t>
        </is>
      </c>
      <c r="P582" s="973" t="inlineStr">
        <is>
          <t>https://csrc.nist.gov/pubs/sp/800/82/r3/final</t>
        </is>
      </c>
    </row>
    <row r="583" ht="15" customHeight="1" s="508">
      <c r="A583" s="972" t="inlineStr">
        <is>
          <t>Cybercriminal</t>
        </is>
      </c>
      <c r="B583" s="972" t="inlineStr">
        <is>
          <t>Safety System Compromise</t>
        </is>
      </c>
      <c r="C583" s="972" t="inlineStr">
        <is>
          <t>T0873.001</t>
        </is>
      </c>
      <c r="D583" s="972" t="inlineStr">
        <is>
          <t>Siemens Project File Format</t>
        </is>
      </c>
      <c r="E583" s="972" t="inlineStr">
        <is>
          <t>S2</t>
        </is>
      </c>
      <c r="F583" s="972" t="inlineStr">
        <is>
          <t>Candidate enabling technique</t>
        </is>
      </c>
      <c r="G583" s="972" t="inlineStr">
        <is>
          <t>Yes</t>
        </is>
      </c>
      <c r="H583" s="972" t="inlineStr">
        <is>
          <t>Yes</t>
        </is>
      </c>
      <c r="I583" s="972" t="inlineStr">
        <is>
          <t>Yes</t>
        </is>
      </c>
      <c r="J583" s="972" t="n">
        <v>4</v>
      </c>
      <c r="K583" s="972" t="inlineStr">
        <is>
          <t>Model Mapping</t>
        </is>
      </c>
      <c r="L583" s="452" t="inlineStr">
        <is>
          <t>https://attack.mitre.org/techniques/T0873/001</t>
        </is>
      </c>
      <c r="M583" s="973" t="inlineStr">
        <is>
          <t>Yes</t>
        </is>
      </c>
      <c r="N583" s="973" t="inlineStr">
        <is>
          <t>No explicit facility gate — defaults feasible</t>
        </is>
      </c>
      <c r="O583" s="973" t="inlineStr">
        <is>
          <t>Siemens Project File Format is applicable to execution or persistence on engineering workstations, HMIs, servers or controllers used in Power Generation facilities.</t>
        </is>
      </c>
      <c r="P583" s="973" t="inlineStr">
        <is>
          <t>https://csrc.nist.gov/pubs/sp/800/82/r3/final</t>
        </is>
      </c>
    </row>
    <row r="584" ht="15" customHeight="1" s="508">
      <c r="A584" s="972" t="inlineStr">
        <is>
          <t>Cybercriminal</t>
        </is>
      </c>
      <c r="B584" s="972" t="inlineStr">
        <is>
          <t>Safety System Compromise</t>
        </is>
      </c>
      <c r="C584" s="972" t="inlineStr">
        <is>
          <t>T0865</t>
        </is>
      </c>
      <c r="D584" s="972" t="inlineStr">
        <is>
          <t>Spearphishing Attachment</t>
        </is>
      </c>
      <c r="E584" s="972" t="inlineStr">
        <is>
          <t>S1</t>
        </is>
      </c>
      <c r="F584" s="972" t="inlineStr">
        <is>
          <t>Candidate enabling technique</t>
        </is>
      </c>
      <c r="G584" s="972" t="inlineStr">
        <is>
          <t>Yes</t>
        </is>
      </c>
      <c r="H584" s="972" t="inlineStr">
        <is>
          <t>Yes</t>
        </is>
      </c>
      <c r="I584" s="972" t="inlineStr">
        <is>
          <t>Yes</t>
        </is>
      </c>
      <c r="J584" s="972" t="n">
        <v>4</v>
      </c>
      <c r="K584" s="972" t="inlineStr">
        <is>
          <t>Model Mapping</t>
        </is>
      </c>
      <c r="L584" s="452" t="inlineStr">
        <is>
          <t>https://attack.mitre.org/techniques/T0865</t>
        </is>
      </c>
      <c r="M584" s="973" t="inlineStr">
        <is>
          <t>Yes</t>
        </is>
      </c>
      <c r="N584" s="973" t="inlineStr">
        <is>
          <t>No explicit facility gate — defaults feasible</t>
        </is>
      </c>
      <c r="O584" s="973" t="inlineStr">
        <is>
          <t>The Spearphishing Attachment route is credible for Power Generation OT when the enabling access condition exists; existing facility gates determine remote, internet, transient, supply-chain or wireless feasibility.</t>
        </is>
      </c>
      <c r="P584" s="973" t="inlineStr">
        <is>
          <t>https://csrc.nist.gov/pubs/sp/800/82/r3/final</t>
        </is>
      </c>
    </row>
    <row r="585" ht="15" customHeight="1" s="508">
      <c r="A585" s="972" t="inlineStr">
        <is>
          <t>Cybercriminal</t>
        </is>
      </c>
      <c r="B585" s="972" t="inlineStr">
        <is>
          <t>Safety System Compromise</t>
        </is>
      </c>
      <c r="C585" s="972" t="inlineStr">
        <is>
          <t>T0869</t>
        </is>
      </c>
      <c r="D585" s="972" t="inlineStr">
        <is>
          <t>Standard Application Layer Protocol</t>
        </is>
      </c>
      <c r="E585" s="972" t="inlineStr">
        <is>
          <t>S3</t>
        </is>
      </c>
      <c r="F585" s="972" t="inlineStr">
        <is>
          <t>Candidate enabling technique</t>
        </is>
      </c>
      <c r="G585" s="972" t="inlineStr">
        <is>
          <t>Yes</t>
        </is>
      </c>
      <c r="H585" s="972" t="inlineStr">
        <is>
          <t>Yes</t>
        </is>
      </c>
      <c r="I585" s="972" t="inlineStr">
        <is>
          <t>Yes</t>
        </is>
      </c>
      <c r="J585" s="972" t="n">
        <v>3</v>
      </c>
      <c r="K585" s="972" t="inlineStr">
        <is>
          <t>Model Mapping</t>
        </is>
      </c>
      <c r="L585" s="452" t="inlineStr">
        <is>
          <t>https://attack.mitre.org/techniques/T0869</t>
        </is>
      </c>
      <c r="M585" s="973" t="inlineStr">
        <is>
          <t>Yes</t>
        </is>
      </c>
      <c r="N585" s="973" t="inlineStr">
        <is>
          <t>No explicit facility gate — defaults feasible</t>
        </is>
      </c>
      <c r="O585" s="973" t="inlineStr">
        <is>
          <t>Standard Application Layer Protocol can support movement toward or within plant/control zones; actual reachability is governed by the assessed facility architecture.</t>
        </is>
      </c>
      <c r="P585" s="973" t="inlineStr">
        <is>
          <t>https://csrc.nist.gov/pubs/sp/800/82/r3/final</t>
        </is>
      </c>
    </row>
    <row r="586" ht="15" customHeight="1" s="508">
      <c r="A586" s="972" t="inlineStr">
        <is>
          <t>Cybercriminal</t>
        </is>
      </c>
      <c r="B586" s="972" t="inlineStr">
        <is>
          <t>Safety System Compromise</t>
        </is>
      </c>
      <c r="C586" s="972" t="inlineStr">
        <is>
          <t>T0862</t>
        </is>
      </c>
      <c r="D586" s="972" t="inlineStr">
        <is>
          <t>Supply Chain Compromise</t>
        </is>
      </c>
      <c r="E586" s="972" t="inlineStr">
        <is>
          <t>S1</t>
        </is>
      </c>
      <c r="F586" s="972" t="inlineStr">
        <is>
          <t>Candidate enabling technique</t>
        </is>
      </c>
      <c r="G586" s="972" t="inlineStr">
        <is>
          <t>Yes</t>
        </is>
      </c>
      <c r="H586" s="972" t="inlineStr">
        <is>
          <t>Yes</t>
        </is>
      </c>
      <c r="I586" s="972" t="inlineStr">
        <is>
          <t>Yes</t>
        </is>
      </c>
      <c r="J586" s="972" t="n">
        <v>5</v>
      </c>
      <c r="K586" s="972" t="inlineStr">
        <is>
          <t>Model Mapping</t>
        </is>
      </c>
      <c r="L586" s="452" t="inlineStr">
        <is>
          <t>https://attack.mitre.org/techniques/T0862</t>
        </is>
      </c>
      <c r="M586" s="973" t="inlineStr">
        <is>
          <t>Yes</t>
        </is>
      </c>
      <c r="N586" s="973" t="inlineStr">
        <is>
          <t>SUPPLY_CHAIN — Yes</t>
        </is>
      </c>
      <c r="O586" s="973" t="inlineStr">
        <is>
          <t>The Supply Chain Compromise route is credible for Power Generation OT when the enabling access condition exists; existing facility gates determine remote, internet, transient, supply-chain or wireless feasibility.</t>
        </is>
      </c>
      <c r="P586" s="973" t="inlineStr">
        <is>
          <t>https://csrc.nist.gov/pubs/sp/800/82/r3/final</t>
        </is>
      </c>
    </row>
    <row r="587" ht="15" customHeight="1" s="508">
      <c r="A587" s="972" t="inlineStr">
        <is>
          <t>Cybercriminal</t>
        </is>
      </c>
      <c r="B587" s="972" t="inlineStr">
        <is>
          <t>Safety System Compromise</t>
        </is>
      </c>
      <c r="C587" s="972" t="inlineStr">
        <is>
          <t>T0894</t>
        </is>
      </c>
      <c r="D587" s="972" t="inlineStr">
        <is>
          <t>System Binary Proxy Execution</t>
        </is>
      </c>
      <c r="E587" s="972" t="inlineStr">
        <is>
          <t>S2</t>
        </is>
      </c>
      <c r="F587" s="972" t="inlineStr">
        <is>
          <t>Candidate enabling technique</t>
        </is>
      </c>
      <c r="G587" s="972" t="inlineStr">
        <is>
          <t>Yes</t>
        </is>
      </c>
      <c r="H587" s="972" t="inlineStr">
        <is>
          <t>Yes</t>
        </is>
      </c>
      <c r="I587" s="972" t="inlineStr">
        <is>
          <t>Yes</t>
        </is>
      </c>
      <c r="J587" s="972" t="n">
        <v>1</v>
      </c>
      <c r="K587" s="972" t="inlineStr">
        <is>
          <t>Model Mapping</t>
        </is>
      </c>
      <c r="L587" s="452" t="inlineStr">
        <is>
          <t>https://attack.mitre.org/techniques/T0894</t>
        </is>
      </c>
      <c r="M587" s="973" t="inlineStr">
        <is>
          <t>Yes</t>
        </is>
      </c>
      <c r="N587" s="973" t="inlineStr">
        <is>
          <t>No explicit facility gate — defaults feasible</t>
        </is>
      </c>
      <c r="O587" s="973" t="inlineStr">
        <is>
          <t>System Binary Proxy Execution is applicable to execution or persistence on engineering workstations, HMIs, servers or controllers used in Power Generation facilities.</t>
        </is>
      </c>
      <c r="P587" s="973" t="inlineStr">
        <is>
          <t>https://csrc.nist.gov/pubs/sp/800/82/r3/final</t>
        </is>
      </c>
    </row>
    <row r="588" ht="15" customHeight="1" s="508">
      <c r="A588" s="972" t="inlineStr">
        <is>
          <t>Cybercriminal</t>
        </is>
      </c>
      <c r="B588" s="972" t="inlineStr">
        <is>
          <t>Safety System Compromise</t>
        </is>
      </c>
      <c r="C588" s="972" t="inlineStr">
        <is>
          <t>T0864</t>
        </is>
      </c>
      <c r="D588" s="972" t="inlineStr">
        <is>
          <t>Transient Cyber Asset</t>
        </is>
      </c>
      <c r="E588" s="972" t="inlineStr">
        <is>
          <t>S1</t>
        </is>
      </c>
      <c r="F588" s="972" t="inlineStr">
        <is>
          <t>Candidate enabling technique</t>
        </is>
      </c>
      <c r="G588" s="972" t="inlineStr">
        <is>
          <t>Yes</t>
        </is>
      </c>
      <c r="H588" s="972" t="inlineStr">
        <is>
          <t>Yes</t>
        </is>
      </c>
      <c r="I588" s="972" t="inlineStr">
        <is>
          <t>Yes</t>
        </is>
      </c>
      <c r="J588" s="972" t="n">
        <v>5</v>
      </c>
      <c r="K588" s="972" t="inlineStr">
        <is>
          <t>Model Mapping</t>
        </is>
      </c>
      <c r="L588" s="452" t="inlineStr">
        <is>
          <t>https://attack.mitre.org/techniques/T0864</t>
        </is>
      </c>
      <c r="M588" s="973" t="inlineStr">
        <is>
          <t>Yes</t>
        </is>
      </c>
      <c r="N588" s="973" t="inlineStr">
        <is>
          <t>TRANSIENT_REQUIRED — Not None</t>
        </is>
      </c>
      <c r="O588" s="973" t="inlineStr">
        <is>
          <t>The Transient Cyber Asset route is credible for Power Generation OT when the enabling access condition exists; existing facility gates determine remote, internet, transient, supply-chain or wireless feasibility.</t>
        </is>
      </c>
      <c r="P588" s="973" t="inlineStr">
        <is>
          <t>https://csrc.nist.gov/pubs/sp/800/82/r3/final</t>
        </is>
      </c>
    </row>
    <row r="589" ht="15" customHeight="1" s="508">
      <c r="A589" s="972" t="inlineStr">
        <is>
          <t>Cybercriminal</t>
        </is>
      </c>
      <c r="B589" s="972" t="inlineStr">
        <is>
          <t>Safety System Compromise</t>
        </is>
      </c>
      <c r="C589" s="972" t="inlineStr">
        <is>
          <t>T0863</t>
        </is>
      </c>
      <c r="D589" s="972" t="inlineStr">
        <is>
          <t>User Execution</t>
        </is>
      </c>
      <c r="E589" s="972" t="inlineStr">
        <is>
          <t>S2</t>
        </is>
      </c>
      <c r="F589" s="972" t="inlineStr">
        <is>
          <t>Candidate enabling technique</t>
        </is>
      </c>
      <c r="G589" s="972" t="inlineStr">
        <is>
          <t>Yes</t>
        </is>
      </c>
      <c r="H589" s="972" t="inlineStr">
        <is>
          <t>Yes</t>
        </is>
      </c>
      <c r="I589" s="972" t="inlineStr">
        <is>
          <t>Yes</t>
        </is>
      </c>
      <c r="J589" s="972" t="n">
        <v>6</v>
      </c>
      <c r="K589" s="972" t="inlineStr">
        <is>
          <t>Model Mapping</t>
        </is>
      </c>
      <c r="L589" s="452" t="inlineStr">
        <is>
          <t>https://attack.mitre.org/techniques/T0863</t>
        </is>
      </c>
      <c r="M589" s="973" t="inlineStr">
        <is>
          <t>Yes</t>
        </is>
      </c>
      <c r="N589" s="973" t="inlineStr">
        <is>
          <t>No explicit facility gate — defaults feasible</t>
        </is>
      </c>
      <c r="O589" s="973" t="inlineStr">
        <is>
          <t>User Execution is applicable to execution or persistence on engineering workstations, HMIs, servers or controllers used in Power Generation facilities.</t>
        </is>
      </c>
      <c r="P589" s="973" t="inlineStr">
        <is>
          <t>https://csrc.nist.gov/pubs/sp/800/82/r3/final</t>
        </is>
      </c>
    </row>
    <row r="590" ht="15" customHeight="1" s="508">
      <c r="A590" s="972" t="inlineStr">
        <is>
          <t>Cybercriminal</t>
        </is>
      </c>
      <c r="B590" s="972" t="inlineStr">
        <is>
          <t>Safety System Compromise</t>
        </is>
      </c>
      <c r="C590" s="972" t="inlineStr">
        <is>
          <t>T0859</t>
        </is>
      </c>
      <c r="D590" s="972" t="inlineStr">
        <is>
          <t>Valid Accounts</t>
        </is>
      </c>
      <c r="E590" s="972" t="inlineStr">
        <is>
          <t>S3</t>
        </is>
      </c>
      <c r="F590" s="972" t="inlineStr">
        <is>
          <t>Candidate enabling technique</t>
        </is>
      </c>
      <c r="G590" s="972" t="inlineStr">
        <is>
          <t>Yes</t>
        </is>
      </c>
      <c r="H590" s="972" t="inlineStr">
        <is>
          <t>Yes</t>
        </is>
      </c>
      <c r="I590" s="972" t="inlineStr">
        <is>
          <t>Yes</t>
        </is>
      </c>
      <c r="J590" s="972" t="n">
        <v>10</v>
      </c>
      <c r="K590" s="972" t="inlineStr">
        <is>
          <t>Model Mapping</t>
        </is>
      </c>
      <c r="L590" s="452" t="inlineStr">
        <is>
          <t>https://attack.mitre.org/techniques/T0859</t>
        </is>
      </c>
      <c r="M590" s="973" t="inlineStr">
        <is>
          <t>Yes</t>
        </is>
      </c>
      <c r="N590" s="973" t="inlineStr">
        <is>
          <t>No explicit facility gate — defaults feasible</t>
        </is>
      </c>
      <c r="O590" s="973" t="inlineStr">
        <is>
          <t>Valid Accounts can support movement toward or within plant/control zones; actual reachability is governed by the assessed facility architecture.</t>
        </is>
      </c>
      <c r="P590" s="973" t="inlineStr">
        <is>
          <t>https://csrc.nist.gov/pubs/sp/800/82/r3/final</t>
        </is>
      </c>
    </row>
    <row r="591" ht="15" customHeight="1" s="508">
      <c r="A591" s="972" t="inlineStr">
        <is>
          <t>Cybercriminal</t>
        </is>
      </c>
      <c r="B591" s="972" t="inlineStr">
        <is>
          <t>Safety System Compromise</t>
        </is>
      </c>
      <c r="C591" s="972" t="inlineStr">
        <is>
          <t>T1695.003</t>
        </is>
      </c>
      <c r="D591" s="972" t="inlineStr">
        <is>
          <t>Wi-Fi</t>
        </is>
      </c>
      <c r="E591" s="972" t="inlineStr">
        <is>
          <t>S5</t>
        </is>
      </c>
      <c r="F591" s="972" t="inlineStr">
        <is>
          <t>Supporting / impact</t>
        </is>
      </c>
      <c r="G591" s="972" t="inlineStr">
        <is>
          <t>Yes</t>
        </is>
      </c>
      <c r="H591" s="972" t="inlineStr">
        <is>
          <t>No</t>
        </is>
      </c>
      <c r="I591" s="972" t="inlineStr">
        <is>
          <t>No</t>
        </is>
      </c>
      <c r="J591" s="972" t="n">
        <v>3</v>
      </c>
      <c r="K591" s="972" t="inlineStr">
        <is>
          <t>Model Mapping</t>
        </is>
      </c>
      <c r="L591" s="452" t="inlineStr">
        <is>
          <t>https://attack.mitre.org/techniques/T1695/003</t>
        </is>
      </c>
      <c r="M591" s="973" t="inlineStr">
        <is>
          <t>Yes</t>
        </is>
      </c>
      <c r="N591" s="973" t="inlineStr">
        <is>
          <t>WIRELESS — Yes</t>
        </is>
      </c>
      <c r="O591" s="973" t="inlineStr">
        <is>
          <t>Wi-Fi is an ATT&amp;CK for ICS impact or response-inhibition technique that can support one or more governed adverse scenarios; scenario role remains controlled on 09.</t>
        </is>
      </c>
      <c r="P591" s="973" t="inlineStr">
        <is>
          <t>https://csrc.nist.gov/pubs/sp/800/82/r3/final</t>
        </is>
      </c>
    </row>
    <row r="592" ht="15" customHeight="1" s="508">
      <c r="A592" s="972" t="inlineStr">
        <is>
          <t>Cybercriminal</t>
        </is>
      </c>
      <c r="B592" s="972" t="inlineStr">
        <is>
          <t>Safety System Compromise</t>
        </is>
      </c>
      <c r="C592" s="972" t="inlineStr">
        <is>
          <t>T0860</t>
        </is>
      </c>
      <c r="D592" s="972" t="inlineStr">
        <is>
          <t>Wireless Compromise</t>
        </is>
      </c>
      <c r="E592" s="972" t="inlineStr">
        <is>
          <t>S1</t>
        </is>
      </c>
      <c r="F592" s="972" t="inlineStr">
        <is>
          <t>Candidate enabling technique</t>
        </is>
      </c>
      <c r="G592" s="972" t="inlineStr">
        <is>
          <t>Yes</t>
        </is>
      </c>
      <c r="H592" s="972" t="inlineStr">
        <is>
          <t>No</t>
        </is>
      </c>
      <c r="I592" s="972" t="inlineStr">
        <is>
          <t>No</t>
        </is>
      </c>
      <c r="J592" s="972" t="n">
        <v>4</v>
      </c>
      <c r="K592" s="972" t="inlineStr">
        <is>
          <t>Model Mapping</t>
        </is>
      </c>
      <c r="L592" s="452" t="inlineStr">
        <is>
          <t>https://attack.mitre.org/techniques/T0860</t>
        </is>
      </c>
      <c r="M592" s="973" t="inlineStr">
        <is>
          <t>Yes</t>
        </is>
      </c>
      <c r="N592" s="973" t="inlineStr">
        <is>
          <t>WIRELESS — Yes</t>
        </is>
      </c>
      <c r="O592" s="973" t="inlineStr">
        <is>
          <t>The Wireless Compromise route is credible for Power Generation OT when the enabling access condition exists; existing facility gates determine remote, internet, transient, supply-chain or wireless feasibility.</t>
        </is>
      </c>
      <c r="P592" s="973" t="inlineStr">
        <is>
          <t>https://csrc.nist.gov/pubs/sp/800/82/r3/final</t>
        </is>
      </c>
    </row>
    <row r="593" ht="15" customHeight="1" s="508">
      <c r="A593" s="972" t="inlineStr">
        <is>
          <t>Cybercriminal</t>
        </is>
      </c>
      <c r="B593" s="972" t="inlineStr">
        <is>
          <t>Safety System Compromise</t>
        </is>
      </c>
      <c r="C593" s="972" t="inlineStr">
        <is>
          <t>T0887</t>
        </is>
      </c>
      <c r="D593" s="972" t="inlineStr">
        <is>
          <t>Wireless Sniffing</t>
        </is>
      </c>
      <c r="E593" s="972" t="inlineStr">
        <is>
          <t>S4</t>
        </is>
      </c>
      <c r="F593" s="972" t="inlineStr">
        <is>
          <t>Candidate enabling technique</t>
        </is>
      </c>
      <c r="G593" s="972" t="inlineStr">
        <is>
          <t>Yes</t>
        </is>
      </c>
      <c r="H593" s="972" t="inlineStr">
        <is>
          <t>No</t>
        </is>
      </c>
      <c r="I593" s="972" t="inlineStr">
        <is>
          <t>No</t>
        </is>
      </c>
      <c r="J593" s="972" t="n">
        <v>2</v>
      </c>
      <c r="K593" s="972" t="inlineStr">
        <is>
          <t>Model Mapping</t>
        </is>
      </c>
      <c r="L593" s="452" t="inlineStr">
        <is>
          <t>https://attack.mitre.org/techniques/T0887</t>
        </is>
      </c>
      <c r="M593" s="973" t="inlineStr">
        <is>
          <t>Yes</t>
        </is>
      </c>
      <c r="N593" s="973" t="inlineStr">
        <is>
          <t>WIRELESS — Yes</t>
        </is>
      </c>
      <c r="O593" s="973" t="inlineStr">
        <is>
          <t>Wireless Sniffing can support discovery or interaction with process state, control assets and operational data in Power Generation environments.</t>
        </is>
      </c>
      <c r="P593" s="973" t="inlineStr">
        <is>
          <t>https://csrc.nist.gov/pubs/sp/800/82/r3/final</t>
        </is>
      </c>
    </row>
    <row r="594" ht="15" customHeight="1" s="508">
      <c r="A594" s="972" t="inlineStr">
        <is>
          <t>Cybercriminal</t>
        </is>
      </c>
      <c r="B594" s="972" t="inlineStr">
        <is>
          <t>Safety System Compromise</t>
        </is>
      </c>
      <c r="C594" s="972" t="inlineStr">
        <is>
          <t>T0837</t>
        </is>
      </c>
      <c r="D594" s="972" t="inlineStr">
        <is>
          <t>Loss of Protection</t>
        </is>
      </c>
      <c r="E594" s="972" t="inlineStr">
        <is>
          <t>S5</t>
        </is>
      </c>
      <c r="F594" s="972" t="inlineStr">
        <is>
          <t>Scenario-defining</t>
        </is>
      </c>
      <c r="G594" s="972" t="inlineStr">
        <is>
          <t>Yes</t>
        </is>
      </c>
      <c r="H594" s="972" t="inlineStr">
        <is>
          <t>Yes</t>
        </is>
      </c>
      <c r="I594" s="972" t="inlineStr">
        <is>
          <t>Yes</t>
        </is>
      </c>
      <c r="J594" s="972" t="n">
        <v>0</v>
      </c>
      <c r="K594" s="972" t="inlineStr">
        <is>
          <t>ADDED v1.2: Loss of Protection compromises protective functions designed to prevent faults, abnormal conditions and equipment damage.</t>
        </is>
      </c>
      <c r="L594" s="452" t="inlineStr">
        <is>
          <t>https://attack.mitre.org/techniques/T0837</t>
        </is>
      </c>
      <c r="M594" s="973" t="inlineStr">
        <is>
          <t>Yes</t>
        </is>
      </c>
      <c r="N594" s="973" t="inlineStr">
        <is>
          <t>No explicit facility gate — defaults feasible</t>
        </is>
      </c>
      <c r="O594" s="973" t="inlineStr">
        <is>
          <t>Loss of Protection is an ATT&amp;CK for ICS impact or response-inhibition technique that can support one or more governed adverse scenarios; scenario role remains controlled on 09.</t>
        </is>
      </c>
      <c r="P594" s="973" t="inlineStr">
        <is>
          <t>https://csrc.nist.gov/pubs/sp/800/82/r3/final</t>
        </is>
      </c>
    </row>
    <row r="595" ht="15" customHeight="1" s="508">
      <c r="A595" s="972" t="inlineStr">
        <is>
          <t>Cybercriminal</t>
        </is>
      </c>
      <c r="B595" s="972" t="inlineStr">
        <is>
          <t>Destructive or Integrity Attack</t>
        </is>
      </c>
      <c r="C595" s="972" t="inlineStr">
        <is>
          <t>T0800</t>
        </is>
      </c>
      <c r="D595" s="972" t="inlineStr">
        <is>
          <t>Activate Firmware Update Mode</t>
        </is>
      </c>
      <c r="E595" s="972" t="inlineStr">
        <is>
          <t>S5</t>
        </is>
      </c>
      <c r="F595" s="972" t="inlineStr">
        <is>
          <t>Supporting / impact</t>
        </is>
      </c>
      <c r="G595" s="972" t="inlineStr">
        <is>
          <t>Yes</t>
        </is>
      </c>
      <c r="H595" s="972" t="inlineStr">
        <is>
          <t>Yes</t>
        </is>
      </c>
      <c r="I595" s="972" t="inlineStr">
        <is>
          <t>Yes</t>
        </is>
      </c>
      <c r="J595" s="972" t="n">
        <v>8</v>
      </c>
      <c r="K595" s="972" t="inlineStr">
        <is>
          <t>RECLASSIFIED v1.2: Activate Firmware Update Mode denies normal functionality but does not itself imply destructive or integrity compromise.</t>
        </is>
      </c>
      <c r="L595" s="452" t="inlineStr">
        <is>
          <t>https://attack.mitre.org/techniques/T0800</t>
        </is>
      </c>
      <c r="M595" s="973" t="inlineStr">
        <is>
          <t>Yes</t>
        </is>
      </c>
      <c r="N595" s="973" t="inlineStr">
        <is>
          <t>No explicit facility gate — defaults feasible</t>
        </is>
      </c>
      <c r="O595" s="973" t="inlineStr">
        <is>
          <t>Activate Firmware Update Mode is an ATT&amp;CK for ICS impact or response-inhibition technique that can support one or more governed adverse scenarios; scenario role remains controlled on 09.</t>
        </is>
      </c>
      <c r="P595" s="973" t="inlineStr">
        <is>
          <t>https://csrc.nist.gov/pubs/sp/800/82/r3/final</t>
        </is>
      </c>
    </row>
    <row r="596" ht="15" customHeight="1" s="508">
      <c r="A596" s="972" t="inlineStr">
        <is>
          <t>Cybercriminal</t>
        </is>
      </c>
      <c r="B596" s="972" t="inlineStr">
        <is>
          <t>Destructive or Integrity Attack</t>
        </is>
      </c>
      <c r="C596" s="972" t="inlineStr">
        <is>
          <t>T0830</t>
        </is>
      </c>
      <c r="D596" s="972" t="inlineStr">
        <is>
          <t>Adversary-in-the-Middle</t>
        </is>
      </c>
      <c r="E596" s="972" t="inlineStr">
        <is>
          <t>S4</t>
        </is>
      </c>
      <c r="F596" s="972" t="inlineStr">
        <is>
          <t>Candidate enabling technique</t>
        </is>
      </c>
      <c r="G596" s="972" t="inlineStr">
        <is>
          <t>Yes</t>
        </is>
      </c>
      <c r="H596" s="972" t="inlineStr">
        <is>
          <t>Yes</t>
        </is>
      </c>
      <c r="I596" s="972" t="inlineStr">
        <is>
          <t>Yes</t>
        </is>
      </c>
      <c r="J596" s="972" t="n">
        <v>8</v>
      </c>
      <c r="K596" s="972" t="inlineStr">
        <is>
          <t>Model Mapping</t>
        </is>
      </c>
      <c r="L596" s="452" t="inlineStr">
        <is>
          <t>https://attack.mitre.org/techniques/T0830</t>
        </is>
      </c>
      <c r="M596" s="973" t="inlineStr">
        <is>
          <t>Yes</t>
        </is>
      </c>
      <c r="N596" s="973" t="inlineStr">
        <is>
          <t>No explicit facility gate — defaults feasible</t>
        </is>
      </c>
      <c r="O596" s="973" t="inlineStr">
        <is>
          <t>Adversary-in-the-Middle can support discovery or interaction with process state, control assets and operational data in Power Generation environments.</t>
        </is>
      </c>
      <c r="P596" s="973" t="inlineStr">
        <is>
          <t>https://csrc.nist.gov/pubs/sp/800/82/r3/final</t>
        </is>
      </c>
    </row>
    <row r="597" ht="15" customHeight="1" s="508">
      <c r="A597" s="972" t="inlineStr">
        <is>
          <t>Cybercriminal</t>
        </is>
      </c>
      <c r="B597" s="972" t="inlineStr">
        <is>
          <t>Destructive or Integrity Attack</t>
        </is>
      </c>
      <c r="C597" s="972" t="inlineStr">
        <is>
          <t>T0802</t>
        </is>
      </c>
      <c r="D597" s="972" t="inlineStr">
        <is>
          <t>Automated Collection</t>
        </is>
      </c>
      <c r="E597" s="972" t="inlineStr">
        <is>
          <t>S4</t>
        </is>
      </c>
      <c r="F597" s="972" t="inlineStr">
        <is>
          <t>Candidate enabling technique</t>
        </is>
      </c>
      <c r="G597" s="972" t="inlineStr">
        <is>
          <t>Yes</t>
        </is>
      </c>
      <c r="H597" s="972" t="inlineStr">
        <is>
          <t>Yes</t>
        </is>
      </c>
      <c r="I597" s="972" t="inlineStr">
        <is>
          <t>Yes</t>
        </is>
      </c>
      <c r="J597" s="972" t="n">
        <v>2</v>
      </c>
      <c r="K597" s="972" t="inlineStr">
        <is>
          <t>Model Mapping</t>
        </is>
      </c>
      <c r="L597" s="452" t="inlineStr">
        <is>
          <t>https://attack.mitre.org/techniques/T0802</t>
        </is>
      </c>
      <c r="M597" s="973" t="inlineStr">
        <is>
          <t>Yes</t>
        </is>
      </c>
      <c r="N597" s="973" t="inlineStr">
        <is>
          <t>No explicit facility gate — defaults feasible</t>
        </is>
      </c>
      <c r="O597" s="973" t="inlineStr">
        <is>
          <t>Automated Collection can support discovery or interaction with process state, control assets and operational data in Power Generation environments.</t>
        </is>
      </c>
      <c r="P597" s="973" t="inlineStr">
        <is>
          <t>https://csrc.nist.gov/pubs/sp/800/82/r3/final</t>
        </is>
      </c>
    </row>
    <row r="598" ht="15" customHeight="1" s="508">
      <c r="A598" s="972" t="inlineStr">
        <is>
          <t>Cybercriminal</t>
        </is>
      </c>
      <c r="B598" s="972" t="inlineStr">
        <is>
          <t>Destructive or Integrity Attack</t>
        </is>
      </c>
      <c r="C598" s="972" t="inlineStr">
        <is>
          <t>T0895</t>
        </is>
      </c>
      <c r="D598" s="972" t="inlineStr">
        <is>
          <t>Autorun Image</t>
        </is>
      </c>
      <c r="E598" s="972" t="inlineStr">
        <is>
          <t>S2</t>
        </is>
      </c>
      <c r="F598" s="972" t="inlineStr">
        <is>
          <t>Candidate enabling technique</t>
        </is>
      </c>
      <c r="G598" s="972" t="inlineStr">
        <is>
          <t>Yes</t>
        </is>
      </c>
      <c r="H598" s="972" t="inlineStr">
        <is>
          <t>Yes</t>
        </is>
      </c>
      <c r="I598" s="972" t="inlineStr">
        <is>
          <t>Yes</t>
        </is>
      </c>
      <c r="J598" s="972" t="n">
        <v>1</v>
      </c>
      <c r="K598" s="972" t="inlineStr">
        <is>
          <t>Model Mapping</t>
        </is>
      </c>
      <c r="L598" s="452" t="inlineStr">
        <is>
          <t>https://attack.mitre.org/techniques/T0895</t>
        </is>
      </c>
      <c r="M598" s="973" t="inlineStr">
        <is>
          <t>Yes</t>
        </is>
      </c>
      <c r="N598" s="973" t="inlineStr">
        <is>
          <t>No explicit facility gate — defaults feasible</t>
        </is>
      </c>
      <c r="O598" s="973" t="inlineStr">
        <is>
          <t>Autorun Image is applicable to execution or persistence on engineering workstations, HMIs, servers or controllers used in Power Generation facilities.</t>
        </is>
      </c>
      <c r="P598" s="973" t="inlineStr">
        <is>
          <t>https://csrc.nist.gov/pubs/sp/800/82/r3/final</t>
        </is>
      </c>
    </row>
    <row r="599" ht="15" customHeight="1" s="508">
      <c r="A599" s="972" t="inlineStr">
        <is>
          <t>Cybercriminal</t>
        </is>
      </c>
      <c r="B599" s="972" t="inlineStr">
        <is>
          <t>Destructive or Integrity Attack</t>
        </is>
      </c>
      <c r="C599" s="972" t="inlineStr">
        <is>
          <t>T0846.002</t>
        </is>
      </c>
      <c r="D599" s="972" t="inlineStr">
        <is>
          <t>Broadcast Discovery</t>
        </is>
      </c>
      <c r="E599" s="972" t="inlineStr">
        <is>
          <t>S4</t>
        </is>
      </c>
      <c r="F599" s="972" t="inlineStr">
        <is>
          <t>Candidate enabling technique</t>
        </is>
      </c>
      <c r="G599" s="972" t="inlineStr">
        <is>
          <t>Yes</t>
        </is>
      </c>
      <c r="H599" s="972" t="inlineStr">
        <is>
          <t>Yes</t>
        </is>
      </c>
      <c r="I599" s="972" t="inlineStr">
        <is>
          <t>Yes</t>
        </is>
      </c>
      <c r="J599" s="972" t="n">
        <v>2</v>
      </c>
      <c r="K599" s="972" t="inlineStr">
        <is>
          <t>Model Mapping</t>
        </is>
      </c>
      <c r="L599" s="452" t="inlineStr">
        <is>
          <t>https://attack.mitre.org/techniques/T0846/002</t>
        </is>
      </c>
      <c r="M599" s="973" t="inlineStr">
        <is>
          <t>Yes</t>
        </is>
      </c>
      <c r="N599" s="973" t="inlineStr">
        <is>
          <t>No explicit facility gate — defaults feasible</t>
        </is>
      </c>
      <c r="O599" s="973" t="inlineStr">
        <is>
          <t>Broadcast Discovery can support discovery or interaction with process state, control assets and operational data in Power Generation environments.</t>
        </is>
      </c>
      <c r="P599" s="973" t="inlineStr">
        <is>
          <t>https://csrc.nist.gov/pubs/sp/800/82/r3/final</t>
        </is>
      </c>
    </row>
    <row r="600" ht="15" customHeight="1" s="508">
      <c r="A600" s="972" t="inlineStr">
        <is>
          <t>Cybercriminal</t>
        </is>
      </c>
      <c r="B600" s="972" t="inlineStr">
        <is>
          <t>Destructive or Integrity Attack</t>
        </is>
      </c>
      <c r="C600" s="972" t="inlineStr">
        <is>
          <t>T0858</t>
        </is>
      </c>
      <c r="D600" s="972" t="inlineStr">
        <is>
          <t>Change Operating Mode</t>
        </is>
      </c>
      <c r="E600" s="972" t="inlineStr">
        <is>
          <t>S2</t>
        </is>
      </c>
      <c r="F600" s="972" t="inlineStr">
        <is>
          <t>Candidate enabling technique</t>
        </is>
      </c>
      <c r="G600" s="972" t="inlineStr">
        <is>
          <t>Yes</t>
        </is>
      </c>
      <c r="H600" s="972" t="inlineStr">
        <is>
          <t>Yes</t>
        </is>
      </c>
      <c r="I600" s="972" t="inlineStr">
        <is>
          <t>Yes</t>
        </is>
      </c>
      <c r="J600" s="972" t="n">
        <v>7</v>
      </c>
      <c r="K600" s="972" t="inlineStr">
        <is>
          <t>Model Mapping</t>
        </is>
      </c>
      <c r="L600" s="452" t="inlineStr">
        <is>
          <t>https://attack.mitre.org/techniques/T0858</t>
        </is>
      </c>
      <c r="M600" s="973" t="inlineStr">
        <is>
          <t>Yes</t>
        </is>
      </c>
      <c r="N600" s="973" t="inlineStr">
        <is>
          <t>No explicit facility gate — defaults feasible</t>
        </is>
      </c>
      <c r="O600" s="973" t="inlineStr">
        <is>
          <t>Change Operating Mode is applicable to execution or persistence on engineering workstations, HMIs, servers or controllers used in Power Generation facilities.</t>
        </is>
      </c>
      <c r="P600" s="973" t="inlineStr">
        <is>
          <t>https://csrc.nist.gov/pubs/sp/800/82/r3/final</t>
        </is>
      </c>
    </row>
    <row r="601" ht="15" customHeight="1" s="508">
      <c r="A601" s="972" t="inlineStr">
        <is>
          <t>Cybercriminal</t>
        </is>
      </c>
      <c r="B601" s="972" t="inlineStr">
        <is>
          <t>Destructive or Integrity Attack</t>
        </is>
      </c>
      <c r="C601" s="972" t="inlineStr">
        <is>
          <t>T0807</t>
        </is>
      </c>
      <c r="D601" s="972" t="inlineStr">
        <is>
          <t>Command-Line Interface</t>
        </is>
      </c>
      <c r="E601" s="972" t="inlineStr">
        <is>
          <t>S2</t>
        </is>
      </c>
      <c r="F601" s="972" t="inlineStr">
        <is>
          <t>Candidate enabling technique</t>
        </is>
      </c>
      <c r="G601" s="972" t="inlineStr">
        <is>
          <t>Yes</t>
        </is>
      </c>
      <c r="H601" s="972" t="inlineStr">
        <is>
          <t>Yes</t>
        </is>
      </c>
      <c r="I601" s="972" t="inlineStr">
        <is>
          <t>Yes</t>
        </is>
      </c>
      <c r="J601" s="972" t="n">
        <v>2</v>
      </c>
      <c r="K601" s="972" t="inlineStr">
        <is>
          <t>Model Mapping</t>
        </is>
      </c>
      <c r="L601" s="452" t="inlineStr">
        <is>
          <t>https://attack.mitre.org/techniques/T0807</t>
        </is>
      </c>
      <c r="M601" s="973" t="inlineStr">
        <is>
          <t>Yes</t>
        </is>
      </c>
      <c r="N601" s="973" t="inlineStr">
        <is>
          <t>No explicit facility gate — defaults feasible</t>
        </is>
      </c>
      <c r="O601" s="973" t="inlineStr">
        <is>
          <t>Command-Line Interface is applicable to execution or persistence on engineering workstations, HMIs, servers or controllers used in Power Generation facilities.</t>
        </is>
      </c>
      <c r="P601" s="973" t="inlineStr">
        <is>
          <t>https://csrc.nist.gov/pubs/sp/800/82/r3/final</t>
        </is>
      </c>
    </row>
    <row r="602" ht="15" customHeight="1" s="508">
      <c r="A602" s="972" t="inlineStr">
        <is>
          <t>Cybercriminal</t>
        </is>
      </c>
      <c r="B602" s="972" t="inlineStr">
        <is>
          <t>Destructive or Integrity Attack</t>
        </is>
      </c>
      <c r="C602" s="972" t="inlineStr">
        <is>
          <t>T0885</t>
        </is>
      </c>
      <c r="D602" s="972" t="inlineStr">
        <is>
          <t>Commonly Used Port</t>
        </is>
      </c>
      <c r="E602" s="972" t="inlineStr">
        <is>
          <t>S3</t>
        </is>
      </c>
      <c r="F602" s="972" t="inlineStr">
        <is>
          <t>Candidate enabling technique</t>
        </is>
      </c>
      <c r="G602" s="972" t="inlineStr">
        <is>
          <t>Yes</t>
        </is>
      </c>
      <c r="H602" s="972" t="inlineStr">
        <is>
          <t>Yes</t>
        </is>
      </c>
      <c r="I602" s="972" t="inlineStr">
        <is>
          <t>Yes</t>
        </is>
      </c>
      <c r="J602" s="972" t="n">
        <v>4</v>
      </c>
      <c r="K602" s="972" t="inlineStr">
        <is>
          <t>Model Mapping</t>
        </is>
      </c>
      <c r="L602" s="452" t="inlineStr">
        <is>
          <t>https://attack.mitre.org/techniques/T0885</t>
        </is>
      </c>
      <c r="M602" s="973" t="inlineStr">
        <is>
          <t>Yes</t>
        </is>
      </c>
      <c r="N602" s="973" t="inlineStr">
        <is>
          <t>No explicit facility gate — defaults feasible</t>
        </is>
      </c>
      <c r="O602" s="973" t="inlineStr">
        <is>
          <t>Commonly Used Port can support movement toward or within plant/control zones; actual reachability is governed by the assessed facility architecture.</t>
        </is>
      </c>
      <c r="P602" s="973" t="inlineStr">
        <is>
          <t>https://csrc.nist.gov/pubs/sp/800/82/r3/final</t>
        </is>
      </c>
    </row>
    <row r="603" ht="15" customHeight="1" s="508">
      <c r="A603" s="972" t="inlineStr">
        <is>
          <t>Cybercriminal</t>
        </is>
      </c>
      <c r="B603" s="972" t="inlineStr">
        <is>
          <t>Destructive or Integrity Attack</t>
        </is>
      </c>
      <c r="C603" s="972" t="inlineStr">
        <is>
          <t>T0884</t>
        </is>
      </c>
      <c r="D603" s="972" t="inlineStr">
        <is>
          <t>Connection Proxy</t>
        </is>
      </c>
      <c r="E603" s="972" t="inlineStr">
        <is>
          <t>S3</t>
        </is>
      </c>
      <c r="F603" s="972" t="inlineStr">
        <is>
          <t>Candidate enabling technique</t>
        </is>
      </c>
      <c r="G603" s="972" t="inlineStr">
        <is>
          <t>Yes</t>
        </is>
      </c>
      <c r="H603" s="972" t="inlineStr">
        <is>
          <t>Yes</t>
        </is>
      </c>
      <c r="I603" s="972" t="inlineStr">
        <is>
          <t>Yes</t>
        </is>
      </c>
      <c r="J603" s="972" t="n">
        <v>4</v>
      </c>
      <c r="K603" s="972" t="inlineStr">
        <is>
          <t>Model Mapping</t>
        </is>
      </c>
      <c r="L603" s="452" t="inlineStr">
        <is>
          <t>https://attack.mitre.org/techniques/T0884</t>
        </is>
      </c>
      <c r="M603" s="973" t="inlineStr">
        <is>
          <t>Yes</t>
        </is>
      </c>
      <c r="N603" s="973" t="inlineStr">
        <is>
          <t>No explicit facility gate — defaults feasible</t>
        </is>
      </c>
      <c r="O603" s="973" t="inlineStr">
        <is>
          <t>Connection Proxy can support movement toward or within plant/control zones; actual reachability is governed by the assessed facility architecture.</t>
        </is>
      </c>
      <c r="P603" s="973" t="inlineStr">
        <is>
          <t>https://csrc.nist.gov/pubs/sp/800/82/r3/final</t>
        </is>
      </c>
    </row>
    <row r="604" ht="15" customHeight="1" s="508">
      <c r="A604" s="972" t="inlineStr">
        <is>
          <t>Cybercriminal</t>
        </is>
      </c>
      <c r="B604" s="972" t="inlineStr">
        <is>
          <t>Destructive or Integrity Attack</t>
        </is>
      </c>
      <c r="C604" s="972" t="inlineStr">
        <is>
          <t>T0809</t>
        </is>
      </c>
      <c r="D604" s="972" t="inlineStr">
        <is>
          <t>Data Destruction</t>
        </is>
      </c>
      <c r="E604" s="972" t="inlineStr">
        <is>
          <t>S5</t>
        </is>
      </c>
      <c r="F604" s="972" t="inlineStr">
        <is>
          <t>Scenario-defining</t>
        </is>
      </c>
      <c r="G604" s="972" t="inlineStr">
        <is>
          <t>Yes</t>
        </is>
      </c>
      <c r="H604" s="972" t="inlineStr">
        <is>
          <t>Yes</t>
        </is>
      </c>
      <c r="I604" s="972" t="inlineStr">
        <is>
          <t>Yes</t>
        </is>
      </c>
      <c r="J604" s="972" t="n">
        <v>3</v>
      </c>
      <c r="K604" s="972" t="inlineStr">
        <is>
          <t>Model Mapping</t>
        </is>
      </c>
      <c r="L604" s="452" t="inlineStr">
        <is>
          <t>https://attack.mitre.org/techniques/T0809</t>
        </is>
      </c>
      <c r="M604" s="973" t="inlineStr">
        <is>
          <t>Yes</t>
        </is>
      </c>
      <c r="N604" s="973" t="inlineStr">
        <is>
          <t>No explicit facility gate — defaults feasible</t>
        </is>
      </c>
      <c r="O604" s="973" t="inlineStr">
        <is>
          <t>Data Destruction is an ATT&amp;CK for ICS impact or response-inhibition technique that can support one or more governed adverse scenarios; scenario role remains controlled on 09.</t>
        </is>
      </c>
      <c r="P604" s="973" t="inlineStr">
        <is>
          <t>https://csrc.nist.gov/pubs/sp/800/82/r3/final</t>
        </is>
      </c>
    </row>
    <row r="605" ht="15" customHeight="1" s="508">
      <c r="A605" s="972" t="inlineStr">
        <is>
          <t>Cybercriminal</t>
        </is>
      </c>
      <c r="B605" s="972" t="inlineStr">
        <is>
          <t>Destructive or Integrity Attack</t>
        </is>
      </c>
      <c r="C605" s="972" t="inlineStr">
        <is>
          <t>T0811</t>
        </is>
      </c>
      <c r="D605" s="972" t="inlineStr">
        <is>
          <t>Data from Information Repositories</t>
        </is>
      </c>
      <c r="E605" s="972" t="inlineStr">
        <is>
          <t>S4</t>
        </is>
      </c>
      <c r="F605" s="972" t="inlineStr">
        <is>
          <t>Candidate enabling technique</t>
        </is>
      </c>
      <c r="G605" s="972" t="inlineStr">
        <is>
          <t>Yes</t>
        </is>
      </c>
      <c r="H605" s="972" t="inlineStr">
        <is>
          <t>Yes</t>
        </is>
      </c>
      <c r="I605" s="972" t="inlineStr">
        <is>
          <t>Yes</t>
        </is>
      </c>
      <c r="J605" s="972" t="n">
        <v>6</v>
      </c>
      <c r="K605" s="972" t="inlineStr">
        <is>
          <t>Model Mapping</t>
        </is>
      </c>
      <c r="L605" s="452" t="inlineStr">
        <is>
          <t>https://attack.mitre.org/techniques/T0811</t>
        </is>
      </c>
      <c r="M605" s="973" t="inlineStr">
        <is>
          <t>Yes</t>
        </is>
      </c>
      <c r="N605" s="973" t="inlineStr">
        <is>
          <t>No explicit facility gate — defaults feasible</t>
        </is>
      </c>
      <c r="O605" s="973" t="inlineStr">
        <is>
          <t>Data from Information Repositories can support discovery or interaction with process state, control assets and operational data in Power Generation environments.</t>
        </is>
      </c>
      <c r="P605" s="973" t="inlineStr">
        <is>
          <t>https://csrc.nist.gov/pubs/sp/800/82/r3/final</t>
        </is>
      </c>
    </row>
    <row r="606" ht="15" customHeight="1" s="508">
      <c r="A606" s="972" t="inlineStr">
        <is>
          <t>Cybercriminal</t>
        </is>
      </c>
      <c r="B606" s="972" t="inlineStr">
        <is>
          <t>Destructive or Integrity Attack</t>
        </is>
      </c>
      <c r="C606" s="972" t="inlineStr">
        <is>
          <t>T0893</t>
        </is>
      </c>
      <c r="D606" s="972" t="inlineStr">
        <is>
          <t>Data from Local System</t>
        </is>
      </c>
      <c r="E606" s="972" t="inlineStr">
        <is>
          <t>S4</t>
        </is>
      </c>
      <c r="F606" s="972" t="inlineStr">
        <is>
          <t>Candidate enabling technique</t>
        </is>
      </c>
      <c r="G606" s="972" t="inlineStr">
        <is>
          <t>Yes</t>
        </is>
      </c>
      <c r="H606" s="972" t="inlineStr">
        <is>
          <t>Yes</t>
        </is>
      </c>
      <c r="I606" s="972" t="inlineStr">
        <is>
          <t>Yes</t>
        </is>
      </c>
      <c r="J606" s="972" t="n">
        <v>4</v>
      </c>
      <c r="K606" s="972" t="inlineStr">
        <is>
          <t>Model Mapping</t>
        </is>
      </c>
      <c r="L606" s="452" t="inlineStr">
        <is>
          <t>https://attack.mitre.org/techniques/T0893</t>
        </is>
      </c>
      <c r="M606" s="973" t="inlineStr">
        <is>
          <t>Yes</t>
        </is>
      </c>
      <c r="N606" s="973" t="inlineStr">
        <is>
          <t>No explicit facility gate — defaults feasible</t>
        </is>
      </c>
      <c r="O606" s="973" t="inlineStr">
        <is>
          <t>Data from Local System can support discovery or interaction with process state, control assets and operational data in Power Generation environments.</t>
        </is>
      </c>
      <c r="P606" s="973" t="inlineStr">
        <is>
          <t>https://csrc.nist.gov/pubs/sp/800/82/r3/final</t>
        </is>
      </c>
    </row>
    <row r="607" ht="15" customHeight="1" s="508">
      <c r="A607" s="972" t="inlineStr">
        <is>
          <t>Cybercriminal</t>
        </is>
      </c>
      <c r="B607" s="972" t="inlineStr">
        <is>
          <t>Destructive or Integrity Attack</t>
        </is>
      </c>
      <c r="C607" s="972" t="inlineStr">
        <is>
          <t>T1694.001</t>
        </is>
      </c>
      <c r="D607" s="972" t="inlineStr">
        <is>
          <t>Default Credentials</t>
        </is>
      </c>
      <c r="E607" s="972" t="inlineStr">
        <is>
          <t>S3</t>
        </is>
      </c>
      <c r="F607" s="972" t="inlineStr">
        <is>
          <t>Candidate enabling technique</t>
        </is>
      </c>
      <c r="G607" s="972" t="inlineStr">
        <is>
          <t>Yes</t>
        </is>
      </c>
      <c r="H607" s="972" t="inlineStr">
        <is>
          <t>Yes</t>
        </is>
      </c>
      <c r="I607" s="972" t="inlineStr">
        <is>
          <t>Yes</t>
        </is>
      </c>
      <c r="J607" s="972" t="n">
        <v>2</v>
      </c>
      <c r="K607" s="972" t="inlineStr">
        <is>
          <t>Model Mapping</t>
        </is>
      </c>
      <c r="L607" s="452" t="inlineStr">
        <is>
          <t>https://attack.mitre.org/techniques/T1694/001</t>
        </is>
      </c>
      <c r="M607" s="973" t="inlineStr">
        <is>
          <t>Yes</t>
        </is>
      </c>
      <c r="N607" s="973" t="inlineStr">
        <is>
          <t>No explicit facility gate — defaults feasible</t>
        </is>
      </c>
      <c r="O607" s="973" t="inlineStr">
        <is>
          <t>Default Credentials can support movement toward or within plant/control zones; actual reachability is governed by the assessed facility architecture.</t>
        </is>
      </c>
      <c r="P607" s="973" t="inlineStr">
        <is>
          <t>https://csrc.nist.gov/pubs/sp/800/82/r3/final</t>
        </is>
      </c>
    </row>
    <row r="608" ht="15" customHeight="1" s="508">
      <c r="A608" s="972" t="inlineStr">
        <is>
          <t>Cybercriminal</t>
        </is>
      </c>
      <c r="B608" s="972" t="inlineStr">
        <is>
          <t>Destructive or Integrity Attack</t>
        </is>
      </c>
      <c r="C608" s="972" t="inlineStr">
        <is>
          <t>T0868</t>
        </is>
      </c>
      <c r="D608" s="972" t="inlineStr">
        <is>
          <t>Detect Operating Mode</t>
        </is>
      </c>
      <c r="E608" s="972" t="inlineStr">
        <is>
          <t>S4</t>
        </is>
      </c>
      <c r="F608" s="972" t="inlineStr">
        <is>
          <t>Candidate enabling technique</t>
        </is>
      </c>
      <c r="G608" s="972" t="inlineStr">
        <is>
          <t>Yes</t>
        </is>
      </c>
      <c r="H608" s="972" t="inlineStr">
        <is>
          <t>Yes</t>
        </is>
      </c>
      <c r="I608" s="972" t="inlineStr">
        <is>
          <t>Yes</t>
        </is>
      </c>
      <c r="J608" s="972" t="n">
        <v>8</v>
      </c>
      <c r="K608" s="972" t="inlineStr">
        <is>
          <t>Model Mapping</t>
        </is>
      </c>
      <c r="L608" s="452" t="inlineStr">
        <is>
          <t>https://attack.mitre.org/techniques/T0868</t>
        </is>
      </c>
      <c r="M608" s="973" t="inlineStr">
        <is>
          <t>Yes</t>
        </is>
      </c>
      <c r="N608" s="973" t="inlineStr">
        <is>
          <t>No explicit facility gate — defaults feasible</t>
        </is>
      </c>
      <c r="O608" s="973" t="inlineStr">
        <is>
          <t>Detect Operating Mode can support discovery or interaction with process state, control assets and operational data in Power Generation environments.</t>
        </is>
      </c>
      <c r="P608" s="973" t="inlineStr">
        <is>
          <t>https://csrc.nist.gov/pubs/sp/800/82/r3/final</t>
        </is>
      </c>
    </row>
    <row r="609" ht="15" customHeight="1" s="508">
      <c r="A609" s="972" t="inlineStr">
        <is>
          <t>Cybercriminal</t>
        </is>
      </c>
      <c r="B609" s="972" t="inlineStr">
        <is>
          <t>Destructive or Integrity Attack</t>
        </is>
      </c>
      <c r="C609" s="972" t="inlineStr">
        <is>
          <t>T0843.001</t>
        </is>
      </c>
      <c r="D609" s="972" t="inlineStr">
        <is>
          <t>Download All</t>
        </is>
      </c>
      <c r="E609" s="972" t="inlineStr">
        <is>
          <t>S3</t>
        </is>
      </c>
      <c r="F609" s="972" t="inlineStr">
        <is>
          <t>Candidate enabling technique</t>
        </is>
      </c>
      <c r="G609" s="972" t="inlineStr">
        <is>
          <t>Yes</t>
        </is>
      </c>
      <c r="H609" s="972" t="inlineStr">
        <is>
          <t>Yes</t>
        </is>
      </c>
      <c r="I609" s="972" t="inlineStr">
        <is>
          <t>Yes</t>
        </is>
      </c>
      <c r="J609" s="972" t="n">
        <v>10</v>
      </c>
      <c r="K609" s="972" t="inlineStr">
        <is>
          <t>Model Mapping</t>
        </is>
      </c>
      <c r="L609" s="452" t="inlineStr">
        <is>
          <t>https://attack.mitre.org/techniques/T0843/001</t>
        </is>
      </c>
      <c r="M609" s="973" t="inlineStr">
        <is>
          <t>Yes</t>
        </is>
      </c>
      <c r="N609" s="973" t="inlineStr">
        <is>
          <t>No explicit facility gate — defaults feasible</t>
        </is>
      </c>
      <c r="O609" s="973" t="inlineStr">
        <is>
          <t>Download All can support movement toward or within plant/control zones; actual reachability is governed by the assessed facility architecture.</t>
        </is>
      </c>
      <c r="P609" s="973" t="inlineStr">
        <is>
          <t>https://csrc.nist.gov/pubs/sp/800/82/r3/final</t>
        </is>
      </c>
    </row>
    <row r="610" ht="15" customHeight="1" s="508">
      <c r="A610" s="972" t="inlineStr">
        <is>
          <t>Cybercriminal</t>
        </is>
      </c>
      <c r="B610" s="972" t="inlineStr">
        <is>
          <t>Destructive or Integrity Attack</t>
        </is>
      </c>
      <c r="C610" s="972" t="inlineStr">
        <is>
          <t>T0817</t>
        </is>
      </c>
      <c r="D610" s="972" t="inlineStr">
        <is>
          <t>Drive-by Compromise</t>
        </is>
      </c>
      <c r="E610" s="972" t="inlineStr">
        <is>
          <t>S1</t>
        </is>
      </c>
      <c r="F610" s="972" t="inlineStr">
        <is>
          <t>Candidate enabling technique</t>
        </is>
      </c>
      <c r="G610" s="972" t="inlineStr">
        <is>
          <t>Yes</t>
        </is>
      </c>
      <c r="H610" s="972" t="inlineStr">
        <is>
          <t>Yes</t>
        </is>
      </c>
      <c r="I610" s="972" t="inlineStr">
        <is>
          <t>Yes</t>
        </is>
      </c>
      <c r="J610" s="972" t="n">
        <v>4</v>
      </c>
      <c r="K610" s="972" t="inlineStr">
        <is>
          <t>Model Mapping</t>
        </is>
      </c>
      <c r="L610" s="452" t="inlineStr">
        <is>
          <t>https://attack.mitre.org/techniques/T0817</t>
        </is>
      </c>
      <c r="M610" s="973" t="inlineStr">
        <is>
          <t>Yes</t>
        </is>
      </c>
      <c r="N610" s="973" t="inlineStr">
        <is>
          <t>No explicit facility gate — defaults feasible</t>
        </is>
      </c>
      <c r="O610" s="973" t="inlineStr">
        <is>
          <t>The Drive-by Compromise route is credible for Power Generation OT when the enabling access condition exists; existing facility gates determine remote, internet, transient, supply-chain or wireless feasibility.</t>
        </is>
      </c>
      <c r="P610" s="973" t="inlineStr">
        <is>
          <t>https://csrc.nist.gov/pubs/sp/800/82/r3/final</t>
        </is>
      </c>
    </row>
    <row r="611" ht="15" customHeight="1" s="508">
      <c r="A611" s="972" t="inlineStr">
        <is>
          <t>Cybercriminal</t>
        </is>
      </c>
      <c r="B611" s="972" t="inlineStr">
        <is>
          <t>Destructive or Integrity Attack</t>
        </is>
      </c>
      <c r="C611" s="972" t="inlineStr">
        <is>
          <t>T0871</t>
        </is>
      </c>
      <c r="D611" s="972" t="inlineStr">
        <is>
          <t>Execution through API</t>
        </is>
      </c>
      <c r="E611" s="972" t="inlineStr">
        <is>
          <t>S2</t>
        </is>
      </c>
      <c r="F611" s="972" t="inlineStr">
        <is>
          <t>Candidate enabling technique</t>
        </is>
      </c>
      <c r="G611" s="972" t="inlineStr">
        <is>
          <t>Yes</t>
        </is>
      </c>
      <c r="H611" s="972" t="inlineStr">
        <is>
          <t>Yes</t>
        </is>
      </c>
      <c r="I611" s="972" t="inlineStr">
        <is>
          <t>Yes</t>
        </is>
      </c>
      <c r="J611" s="972" t="n">
        <v>4</v>
      </c>
      <c r="K611" s="972" t="inlineStr">
        <is>
          <t>Model Mapping</t>
        </is>
      </c>
      <c r="L611" s="452" t="inlineStr">
        <is>
          <t>https://attack.mitre.org/techniques/T0871</t>
        </is>
      </c>
      <c r="M611" s="973" t="inlineStr">
        <is>
          <t>Yes</t>
        </is>
      </c>
      <c r="N611" s="973" t="inlineStr">
        <is>
          <t>No explicit facility gate — defaults feasible</t>
        </is>
      </c>
      <c r="O611" s="973" t="inlineStr">
        <is>
          <t>Execution through API is applicable to execution or persistence on engineering workstations, HMIs, servers or controllers used in Power Generation facilities.</t>
        </is>
      </c>
      <c r="P611" s="973" t="inlineStr">
        <is>
          <t>https://csrc.nist.gov/pubs/sp/800/82/r3/final</t>
        </is>
      </c>
    </row>
    <row r="612" ht="15" customHeight="1" s="508">
      <c r="A612" s="972" t="inlineStr">
        <is>
          <t>Cybercriminal</t>
        </is>
      </c>
      <c r="B612" s="972" t="inlineStr">
        <is>
          <t>Destructive or Integrity Attack</t>
        </is>
      </c>
      <c r="C612" s="972" t="inlineStr">
        <is>
          <t>T0819</t>
        </is>
      </c>
      <c r="D612" s="972" t="inlineStr">
        <is>
          <t>Exploit Public-Facing Application</t>
        </is>
      </c>
      <c r="E612" s="972" t="inlineStr">
        <is>
          <t>S1</t>
        </is>
      </c>
      <c r="F612" s="972" t="inlineStr">
        <is>
          <t>Candidate enabling technique</t>
        </is>
      </c>
      <c r="G612" s="972" t="inlineStr">
        <is>
          <t>Yes</t>
        </is>
      </c>
      <c r="H612" s="972" t="inlineStr">
        <is>
          <t>Yes</t>
        </is>
      </c>
      <c r="I612" s="972" t="inlineStr">
        <is>
          <t>Yes</t>
        </is>
      </c>
      <c r="J612" s="972" t="n">
        <v>6</v>
      </c>
      <c r="K612" s="972" t="inlineStr">
        <is>
          <t>Model Mapping</t>
        </is>
      </c>
      <c r="L612" s="452" t="inlineStr">
        <is>
          <t>https://attack.mitre.org/techniques/T0819</t>
        </is>
      </c>
      <c r="M612" s="973" t="inlineStr">
        <is>
          <t>Yes</t>
        </is>
      </c>
      <c r="N612" s="973" t="inlineStr">
        <is>
          <t>No explicit facility gate — defaults feasible</t>
        </is>
      </c>
      <c r="O612" s="973" t="inlineStr">
        <is>
          <t>The Exploit Public-Facing Application route is credible for Power Generation OT when the enabling access condition exists; existing facility gates determine remote, internet, transient, supply-chain or wireless feasibility.</t>
        </is>
      </c>
      <c r="P612" s="973" t="inlineStr">
        <is>
          <t>https://csrc.nist.gov/pubs/sp/800/82/r3/final</t>
        </is>
      </c>
    </row>
    <row r="613" ht="15" customHeight="1" s="508">
      <c r="A613" s="972" t="inlineStr">
        <is>
          <t>Cybercriminal</t>
        </is>
      </c>
      <c r="B613" s="972" t="inlineStr">
        <is>
          <t>Destructive or Integrity Attack</t>
        </is>
      </c>
      <c r="C613" s="972" t="inlineStr">
        <is>
          <t>T0820</t>
        </is>
      </c>
      <c r="D613" s="972" t="inlineStr">
        <is>
          <t>Exploitation for Evasion</t>
        </is>
      </c>
      <c r="E613" s="972" t="inlineStr">
        <is>
          <t>S2</t>
        </is>
      </c>
      <c r="F613" s="972" t="inlineStr">
        <is>
          <t>Candidate enabling technique</t>
        </is>
      </c>
      <c r="G613" s="972" t="inlineStr">
        <is>
          <t>Yes</t>
        </is>
      </c>
      <c r="H613" s="972" t="inlineStr">
        <is>
          <t>Yes</t>
        </is>
      </c>
      <c r="I613" s="972" t="inlineStr">
        <is>
          <t>Yes</t>
        </is>
      </c>
      <c r="J613" s="972" t="n">
        <v>4</v>
      </c>
      <c r="K613" s="972" t="inlineStr">
        <is>
          <t>Model Mapping</t>
        </is>
      </c>
      <c r="L613" s="452" t="inlineStr">
        <is>
          <t>https://attack.mitre.org/techniques/T0820</t>
        </is>
      </c>
      <c r="M613" s="973" t="inlineStr">
        <is>
          <t>Yes</t>
        </is>
      </c>
      <c r="N613" s="973" t="inlineStr">
        <is>
          <t>No explicit facility gate — defaults feasible</t>
        </is>
      </c>
      <c r="O613" s="973" t="inlineStr">
        <is>
          <t>Exploitation for Evasion is applicable to execution or persistence on engineering workstations, HMIs, servers or controllers used in Power Generation facilities.</t>
        </is>
      </c>
      <c r="P613" s="973" t="inlineStr">
        <is>
          <t>https://csrc.nist.gov/pubs/sp/800/82/r3/final</t>
        </is>
      </c>
    </row>
    <row r="614" ht="15" customHeight="1" s="508">
      <c r="A614" s="972" t="inlineStr">
        <is>
          <t>Cybercriminal</t>
        </is>
      </c>
      <c r="B614" s="972" t="inlineStr">
        <is>
          <t>Destructive or Integrity Attack</t>
        </is>
      </c>
      <c r="C614" s="972" t="inlineStr">
        <is>
          <t>T0890</t>
        </is>
      </c>
      <c r="D614" s="972" t="inlineStr">
        <is>
          <t>Exploitation for Privilege Escalation</t>
        </is>
      </c>
      <c r="E614" s="972" t="inlineStr">
        <is>
          <t>S2</t>
        </is>
      </c>
      <c r="F614" s="972" t="inlineStr">
        <is>
          <t>Candidate enabling technique</t>
        </is>
      </c>
      <c r="G614" s="972" t="inlineStr">
        <is>
          <t>Yes</t>
        </is>
      </c>
      <c r="H614" s="972" t="inlineStr">
        <is>
          <t>Yes</t>
        </is>
      </c>
      <c r="I614" s="972" t="inlineStr">
        <is>
          <t>Yes</t>
        </is>
      </c>
      <c r="J614" s="972" t="n">
        <v>4</v>
      </c>
      <c r="K614" s="972" t="inlineStr">
        <is>
          <t>Model Mapping</t>
        </is>
      </c>
      <c r="L614" s="452" t="inlineStr">
        <is>
          <t>https://attack.mitre.org/techniques/T0890</t>
        </is>
      </c>
      <c r="M614" s="973" t="inlineStr">
        <is>
          <t>Yes</t>
        </is>
      </c>
      <c r="N614" s="973" t="inlineStr">
        <is>
          <t>No explicit facility gate — defaults feasible</t>
        </is>
      </c>
      <c r="O614" s="973" t="inlineStr">
        <is>
          <t>Exploitation for Privilege Escalation is applicable to execution or persistence on engineering workstations, HMIs, servers or controllers used in Power Generation facilities.</t>
        </is>
      </c>
      <c r="P614" s="973" t="inlineStr">
        <is>
          <t>https://csrc.nist.gov/pubs/sp/800/82/r3/final</t>
        </is>
      </c>
    </row>
    <row r="615" ht="15" customHeight="1" s="508">
      <c r="A615" s="972" t="inlineStr">
        <is>
          <t>Cybercriminal</t>
        </is>
      </c>
      <c r="B615" s="972" t="inlineStr">
        <is>
          <t>Destructive or Integrity Attack</t>
        </is>
      </c>
      <c r="C615" s="972" t="inlineStr">
        <is>
          <t>T0866</t>
        </is>
      </c>
      <c r="D615" s="972" t="inlineStr">
        <is>
          <t>Exploitation of Remote Services</t>
        </is>
      </c>
      <c r="E615" s="972" t="inlineStr">
        <is>
          <t>S1</t>
        </is>
      </c>
      <c r="F615" s="972" t="inlineStr">
        <is>
          <t>Candidate enabling technique</t>
        </is>
      </c>
      <c r="G615" s="972" t="inlineStr">
        <is>
          <t>Yes</t>
        </is>
      </c>
      <c r="H615" s="972" t="inlineStr">
        <is>
          <t>Yes</t>
        </is>
      </c>
      <c r="I615" s="972" t="inlineStr">
        <is>
          <t>Yes</t>
        </is>
      </c>
      <c r="J615" s="972" t="n">
        <v>8</v>
      </c>
      <c r="K615" s="972" t="inlineStr">
        <is>
          <t>Model Mapping</t>
        </is>
      </c>
      <c r="L615" s="452" t="inlineStr">
        <is>
          <t>https://attack.mitre.org/techniques/T0866</t>
        </is>
      </c>
      <c r="M615" s="973" t="inlineStr">
        <is>
          <t>Yes</t>
        </is>
      </c>
      <c r="N615" s="973" t="inlineStr">
        <is>
          <t>REMOTE_OR_ITOT — Remote path or IT-OT connection</t>
        </is>
      </c>
      <c r="O615" s="973" t="inlineStr">
        <is>
          <t>The Exploitation of Remote Services route is credible for Power Generation OT when the enabling access condition exists; existing facility gates determine remote, internet, transient, supply-chain or wireless feasibility.</t>
        </is>
      </c>
      <c r="P615" s="973" t="inlineStr">
        <is>
          <t>https://csrc.nist.gov/pubs/sp/800/82/r3/final</t>
        </is>
      </c>
    </row>
    <row r="616" ht="15" customHeight="1" s="508">
      <c r="A616" s="972" t="inlineStr">
        <is>
          <t>Cybercriminal</t>
        </is>
      </c>
      <c r="B616" s="972" t="inlineStr">
        <is>
          <t>Destructive or Integrity Attack</t>
        </is>
      </c>
      <c r="C616" s="972" t="inlineStr">
        <is>
          <t>T0822</t>
        </is>
      </c>
      <c r="D616" s="972" t="inlineStr">
        <is>
          <t>External Remote Services</t>
        </is>
      </c>
      <c r="E616" s="972" t="inlineStr">
        <is>
          <t>S1</t>
        </is>
      </c>
      <c r="F616" s="972" t="inlineStr">
        <is>
          <t>Candidate enabling technique</t>
        </is>
      </c>
      <c r="G616" s="972" t="inlineStr">
        <is>
          <t>Yes</t>
        </is>
      </c>
      <c r="H616" s="972" t="inlineStr">
        <is>
          <t>Yes</t>
        </is>
      </c>
      <c r="I616" s="972" t="inlineStr">
        <is>
          <t>Yes</t>
        </is>
      </c>
      <c r="J616" s="972" t="n">
        <v>7</v>
      </c>
      <c r="K616" s="972" t="inlineStr">
        <is>
          <t>Model Mapping</t>
        </is>
      </c>
      <c r="L616" s="452" t="inlineStr">
        <is>
          <t>https://attack.mitre.org/techniques/T0822</t>
        </is>
      </c>
      <c r="M616" s="973" t="inlineStr">
        <is>
          <t>Yes</t>
        </is>
      </c>
      <c r="N616" s="973" t="inlineStr">
        <is>
          <t>REMOTE_REQUIRED — Not None</t>
        </is>
      </c>
      <c r="O616" s="973" t="inlineStr">
        <is>
          <t>The External Remote Services route is credible for Power Generation OT when the enabling access condition exists; existing facility gates determine remote, internet, transient, supply-chain or wireless feasibility.</t>
        </is>
      </c>
      <c r="P616" s="973" t="inlineStr">
        <is>
          <t>https://csrc.nist.gov/pubs/sp/800/82/r3/final</t>
        </is>
      </c>
    </row>
    <row r="617" ht="15" customHeight="1" s="508">
      <c r="A617" s="972" t="inlineStr">
        <is>
          <t>Cybercriminal</t>
        </is>
      </c>
      <c r="B617" s="972" t="inlineStr">
        <is>
          <t>Destructive or Integrity Attack</t>
        </is>
      </c>
      <c r="C617" s="972" t="inlineStr">
        <is>
          <t>T0823</t>
        </is>
      </c>
      <c r="D617" s="972" t="inlineStr">
        <is>
          <t>Graphical User Interface</t>
        </is>
      </c>
      <c r="E617" s="972" t="inlineStr">
        <is>
          <t>S2</t>
        </is>
      </c>
      <c r="F617" s="972" t="inlineStr">
        <is>
          <t>Candidate enabling technique</t>
        </is>
      </c>
      <c r="G617" s="972" t="inlineStr">
        <is>
          <t>Yes</t>
        </is>
      </c>
      <c r="H617" s="972" t="inlineStr">
        <is>
          <t>Yes</t>
        </is>
      </c>
      <c r="I617" s="972" t="inlineStr">
        <is>
          <t>Yes</t>
        </is>
      </c>
      <c r="J617" s="972" t="n">
        <v>1</v>
      </c>
      <c r="K617" s="972" t="inlineStr">
        <is>
          <t>Model Mapping</t>
        </is>
      </c>
      <c r="L617" s="452" t="inlineStr">
        <is>
          <t>https://attack.mitre.org/techniques/T0823</t>
        </is>
      </c>
      <c r="M617" s="973" t="inlineStr">
        <is>
          <t>Yes</t>
        </is>
      </c>
      <c r="N617" s="973" t="inlineStr">
        <is>
          <t>No explicit facility gate — defaults feasible</t>
        </is>
      </c>
      <c r="O617" s="973" t="inlineStr">
        <is>
          <t>Graphical User Interface is applicable to execution or persistence on engineering workstations, HMIs, servers or controllers used in Power Generation facilities.</t>
        </is>
      </c>
      <c r="P617" s="973" t="inlineStr">
        <is>
          <t>https://csrc.nist.gov/pubs/sp/800/82/r3/final</t>
        </is>
      </c>
    </row>
    <row r="618" ht="15" customHeight="1" s="508">
      <c r="A618" s="972" t="inlineStr">
        <is>
          <t>Cybercriminal</t>
        </is>
      </c>
      <c r="B618" s="972" t="inlineStr">
        <is>
          <t>Destructive or Integrity Attack</t>
        </is>
      </c>
      <c r="C618" s="972" t="inlineStr">
        <is>
          <t>T1694.002</t>
        </is>
      </c>
      <c r="D618" s="972" t="inlineStr">
        <is>
          <t>Hardcoded Credentials</t>
        </is>
      </c>
      <c r="E618" s="972" t="inlineStr">
        <is>
          <t>S3</t>
        </is>
      </c>
      <c r="F618" s="972" t="inlineStr">
        <is>
          <t>Candidate enabling technique</t>
        </is>
      </c>
      <c r="G618" s="972" t="inlineStr">
        <is>
          <t>Yes</t>
        </is>
      </c>
      <c r="H618" s="972" t="inlineStr">
        <is>
          <t>Yes</t>
        </is>
      </c>
      <c r="I618" s="972" t="inlineStr">
        <is>
          <t>Yes</t>
        </is>
      </c>
      <c r="J618" s="972" t="n">
        <v>1</v>
      </c>
      <c r="K618" s="972" t="inlineStr">
        <is>
          <t>Model Mapping</t>
        </is>
      </c>
      <c r="L618" s="452" t="inlineStr">
        <is>
          <t>https://attack.mitre.org/techniques/T1694/002</t>
        </is>
      </c>
      <c r="M618" s="973" t="inlineStr">
        <is>
          <t>Yes</t>
        </is>
      </c>
      <c r="N618" s="973" t="inlineStr">
        <is>
          <t>No explicit facility gate — defaults feasible</t>
        </is>
      </c>
      <c r="O618" s="973" t="inlineStr">
        <is>
          <t>Hardcoded Credentials can support movement toward or within plant/control zones; actual reachability is governed by the assessed facility architecture.</t>
        </is>
      </c>
      <c r="P618" s="973" t="inlineStr">
        <is>
          <t>https://csrc.nist.gov/pubs/sp/800/82/r3/final</t>
        </is>
      </c>
    </row>
    <row r="619" ht="15" customHeight="1" s="508">
      <c r="A619" s="972" t="inlineStr">
        <is>
          <t>Cybercriminal</t>
        </is>
      </c>
      <c r="B619" s="972" t="inlineStr">
        <is>
          <t>Destructive or Integrity Attack</t>
        </is>
      </c>
      <c r="C619" s="972" t="inlineStr">
        <is>
          <t>T0874</t>
        </is>
      </c>
      <c r="D619" s="972" t="inlineStr">
        <is>
          <t>Hooking</t>
        </is>
      </c>
      <c r="E619" s="972" t="inlineStr">
        <is>
          <t>S2</t>
        </is>
      </c>
      <c r="F619" s="972" t="inlineStr">
        <is>
          <t>Candidate enabling technique</t>
        </is>
      </c>
      <c r="G619" s="972" t="inlineStr">
        <is>
          <t>Yes</t>
        </is>
      </c>
      <c r="H619" s="972" t="inlineStr">
        <is>
          <t>Yes</t>
        </is>
      </c>
      <c r="I619" s="972" t="inlineStr">
        <is>
          <t>Yes</t>
        </is>
      </c>
      <c r="J619" s="972" t="n">
        <v>2</v>
      </c>
      <c r="K619" s="972" t="inlineStr">
        <is>
          <t>Model Mapping</t>
        </is>
      </c>
      <c r="L619" s="452" t="inlineStr">
        <is>
          <t>https://attack.mitre.org/techniques/T0874</t>
        </is>
      </c>
      <c r="M619" s="973" t="inlineStr">
        <is>
          <t>Yes</t>
        </is>
      </c>
      <c r="N619" s="973" t="inlineStr">
        <is>
          <t>No explicit facility gate — defaults feasible</t>
        </is>
      </c>
      <c r="O619" s="973" t="inlineStr">
        <is>
          <t>Hooking is applicable to execution or persistence on engineering workstations, HMIs, servers or controllers used in Power Generation facilities.</t>
        </is>
      </c>
      <c r="P619" s="973" t="inlineStr">
        <is>
          <t>https://csrc.nist.gov/pubs/sp/800/82/r3/final</t>
        </is>
      </c>
    </row>
    <row r="620" ht="15" customHeight="1" s="508">
      <c r="A620" s="972" t="inlineStr">
        <is>
          <t>Cybercriminal</t>
        </is>
      </c>
      <c r="B620" s="972" t="inlineStr">
        <is>
          <t>Destructive or Integrity Attack</t>
        </is>
      </c>
      <c r="C620" s="972" t="inlineStr">
        <is>
          <t>T0877</t>
        </is>
      </c>
      <c r="D620" s="972" t="inlineStr">
        <is>
          <t>I/O Image</t>
        </is>
      </c>
      <c r="E620" s="972" t="inlineStr">
        <is>
          <t>S4</t>
        </is>
      </c>
      <c r="F620" s="972" t="inlineStr">
        <is>
          <t>Candidate enabling technique</t>
        </is>
      </c>
      <c r="G620" s="972" t="inlineStr">
        <is>
          <t>Yes</t>
        </is>
      </c>
      <c r="H620" s="972" t="inlineStr">
        <is>
          <t>Yes</t>
        </is>
      </c>
      <c r="I620" s="972" t="inlineStr">
        <is>
          <t>Yes</t>
        </is>
      </c>
      <c r="J620" s="972" t="n">
        <v>1</v>
      </c>
      <c r="K620" s="972" t="inlineStr">
        <is>
          <t>Model Mapping</t>
        </is>
      </c>
      <c r="L620" s="452" t="inlineStr">
        <is>
          <t>https://attack.mitre.org/techniques/T0877</t>
        </is>
      </c>
      <c r="M620" s="973" t="inlineStr">
        <is>
          <t>Yes</t>
        </is>
      </c>
      <c r="N620" s="973" t="inlineStr">
        <is>
          <t>No explicit facility gate — defaults feasible</t>
        </is>
      </c>
      <c r="O620" s="973" t="inlineStr">
        <is>
          <t>I/O Image can support discovery or interaction with process state, control assets and operational data in Power Generation environments.</t>
        </is>
      </c>
      <c r="P620" s="973" t="inlineStr">
        <is>
          <t>https://csrc.nist.gov/pubs/sp/800/82/r3/final</t>
        </is>
      </c>
    </row>
    <row r="621" ht="15" customHeight="1" s="508">
      <c r="A621" s="972" t="inlineStr">
        <is>
          <t>Cybercriminal</t>
        </is>
      </c>
      <c r="B621" s="972" t="inlineStr">
        <is>
          <t>Destructive or Integrity Attack</t>
        </is>
      </c>
      <c r="C621" s="972" t="inlineStr">
        <is>
          <t>T0872</t>
        </is>
      </c>
      <c r="D621" s="972" t="inlineStr">
        <is>
          <t>Indicator Removal on Host</t>
        </is>
      </c>
      <c r="E621" s="972" t="inlineStr">
        <is>
          <t>S2</t>
        </is>
      </c>
      <c r="F621" s="972" t="inlineStr">
        <is>
          <t>Candidate enabling technique</t>
        </is>
      </c>
      <c r="G621" s="972" t="inlineStr">
        <is>
          <t>Yes</t>
        </is>
      </c>
      <c r="H621" s="972" t="inlineStr">
        <is>
          <t>Yes</t>
        </is>
      </c>
      <c r="I621" s="972" t="inlineStr">
        <is>
          <t>Yes</t>
        </is>
      </c>
      <c r="J621" s="972" t="n">
        <v>1</v>
      </c>
      <c r="K621" s="972" t="inlineStr">
        <is>
          <t>Model Mapping</t>
        </is>
      </c>
      <c r="L621" s="452" t="inlineStr">
        <is>
          <t>https://attack.mitre.org/techniques/T0872</t>
        </is>
      </c>
      <c r="M621" s="973" t="inlineStr">
        <is>
          <t>Yes</t>
        </is>
      </c>
      <c r="N621" s="973" t="inlineStr">
        <is>
          <t>No explicit facility gate — defaults feasible</t>
        </is>
      </c>
      <c r="O621" s="973" t="inlineStr">
        <is>
          <t>Indicator Removal on Host is applicable to execution or persistence on engineering workstations, HMIs, servers or controllers used in Power Generation facilities.</t>
        </is>
      </c>
      <c r="P621" s="973" t="inlineStr">
        <is>
          <t>https://csrc.nist.gov/pubs/sp/800/82/r3/final</t>
        </is>
      </c>
    </row>
    <row r="622" ht="15" customHeight="1" s="508">
      <c r="A622" s="972" t="inlineStr">
        <is>
          <t>Cybercriminal</t>
        </is>
      </c>
      <c r="B622" s="972" t="inlineStr">
        <is>
          <t>Destructive or Integrity Attack</t>
        </is>
      </c>
      <c r="C622" s="972" t="inlineStr">
        <is>
          <t>T0883</t>
        </is>
      </c>
      <c r="D622" s="972" t="inlineStr">
        <is>
          <t>Internet Accessible Device</t>
        </is>
      </c>
      <c r="E622" s="972" t="inlineStr">
        <is>
          <t>S1</t>
        </is>
      </c>
      <c r="F622" s="972" t="inlineStr">
        <is>
          <t>Candidate enabling technique</t>
        </is>
      </c>
      <c r="G622" s="972" t="inlineStr">
        <is>
          <t>Yes</t>
        </is>
      </c>
      <c r="H622" s="972" t="inlineStr">
        <is>
          <t>No</t>
        </is>
      </c>
      <c r="I622" s="972" t="inlineStr">
        <is>
          <t>No</t>
        </is>
      </c>
      <c r="J622" s="972" t="n">
        <v>1</v>
      </c>
      <c r="K622" s="972" t="inlineStr">
        <is>
          <t>Model Mapping</t>
        </is>
      </c>
      <c r="L622" s="452" t="inlineStr">
        <is>
          <t>https://attack.mitre.org/techniques/T0883</t>
        </is>
      </c>
      <c r="M622" s="973" t="inlineStr">
        <is>
          <t>Yes</t>
        </is>
      </c>
      <c r="N622" s="973" t="inlineStr">
        <is>
          <t>INTERNET_OT — Yes</t>
        </is>
      </c>
      <c r="O622" s="973" t="inlineStr">
        <is>
          <t>The Internet Accessible Device route is credible for Power Generation OT when the enabling access condition exists; existing facility gates determine remote, internet, transient, supply-chain or wireless feasibility.</t>
        </is>
      </c>
      <c r="P622" s="973" t="inlineStr">
        <is>
          <t>https://csrc.nist.gov/pubs/sp/800/82/r3/final</t>
        </is>
      </c>
    </row>
    <row r="623" ht="15" customHeight="1" s="508">
      <c r="A623" s="972" t="inlineStr">
        <is>
          <t>Cybercriminal</t>
        </is>
      </c>
      <c r="B623" s="972" t="inlineStr">
        <is>
          <t>Destructive or Integrity Attack</t>
        </is>
      </c>
      <c r="C623" s="972" t="inlineStr">
        <is>
          <t>T0867</t>
        </is>
      </c>
      <c r="D623" s="972" t="inlineStr">
        <is>
          <t>Lateral Tool Transfer</t>
        </is>
      </c>
      <c r="E623" s="972" t="inlineStr">
        <is>
          <t>S3</t>
        </is>
      </c>
      <c r="F623" s="972" t="inlineStr">
        <is>
          <t>Candidate enabling technique</t>
        </is>
      </c>
      <c r="G623" s="972" t="inlineStr">
        <is>
          <t>Yes</t>
        </is>
      </c>
      <c r="H623" s="972" t="inlineStr">
        <is>
          <t>Yes</t>
        </is>
      </c>
      <c r="I623" s="972" t="inlineStr">
        <is>
          <t>Yes</t>
        </is>
      </c>
      <c r="J623" s="972" t="n">
        <v>1</v>
      </c>
      <c r="K623" s="972" t="inlineStr">
        <is>
          <t>Model Mapping</t>
        </is>
      </c>
      <c r="L623" s="452" t="inlineStr">
        <is>
          <t>https://attack.mitre.org/techniques/T0867</t>
        </is>
      </c>
      <c r="M623" s="973" t="inlineStr">
        <is>
          <t>Yes</t>
        </is>
      </c>
      <c r="N623" s="973" t="inlineStr">
        <is>
          <t>No explicit facility gate — defaults feasible</t>
        </is>
      </c>
      <c r="O623" s="973" t="inlineStr">
        <is>
          <t>Lateral Tool Transfer can support movement toward or within plant/control zones; actual reachability is governed by the assessed facility architecture.</t>
        </is>
      </c>
      <c r="P623" s="973" t="inlineStr">
        <is>
          <t>https://csrc.nist.gov/pubs/sp/800/82/r3/final</t>
        </is>
      </c>
    </row>
    <row r="624" ht="15" customHeight="1" s="508">
      <c r="A624" s="972" t="inlineStr">
        <is>
          <t>Cybercriminal</t>
        </is>
      </c>
      <c r="B624" s="972" t="inlineStr">
        <is>
          <t>Destructive or Integrity Attack</t>
        </is>
      </c>
      <c r="C624" s="972" t="inlineStr">
        <is>
          <t>T0849</t>
        </is>
      </c>
      <c r="D624" s="972" t="inlineStr">
        <is>
          <t>Masquerading</t>
        </is>
      </c>
      <c r="E624" s="972" t="inlineStr">
        <is>
          <t>S2</t>
        </is>
      </c>
      <c r="F624" s="972" t="inlineStr">
        <is>
          <t>Candidate enabling technique</t>
        </is>
      </c>
      <c r="G624" s="972" t="inlineStr">
        <is>
          <t>Yes</t>
        </is>
      </c>
      <c r="H624" s="972" t="inlineStr">
        <is>
          <t>Yes</t>
        </is>
      </c>
      <c r="I624" s="972" t="inlineStr">
        <is>
          <t>Yes</t>
        </is>
      </c>
      <c r="J624" s="972" t="n">
        <v>3</v>
      </c>
      <c r="K624" s="972" t="inlineStr">
        <is>
          <t>Model Mapping</t>
        </is>
      </c>
      <c r="L624" s="452" t="inlineStr">
        <is>
          <t>https://attack.mitre.org/techniques/T0849</t>
        </is>
      </c>
      <c r="M624" s="973" t="inlineStr">
        <is>
          <t>Yes</t>
        </is>
      </c>
      <c r="N624" s="973" t="inlineStr">
        <is>
          <t>No explicit facility gate — defaults feasible</t>
        </is>
      </c>
      <c r="O624" s="973" t="inlineStr">
        <is>
          <t>Masquerading is applicable to execution or persistence on engineering workstations, HMIs, servers or controllers used in Power Generation facilities.</t>
        </is>
      </c>
      <c r="P624" s="973" t="inlineStr">
        <is>
          <t>https://csrc.nist.gov/pubs/sp/800/82/r3/final</t>
        </is>
      </c>
    </row>
    <row r="625" ht="15" customHeight="1" s="508">
      <c r="A625" s="972" t="inlineStr">
        <is>
          <t>Cybercriminal</t>
        </is>
      </c>
      <c r="B625" s="972" t="inlineStr">
        <is>
          <t>Destructive or Integrity Attack</t>
        </is>
      </c>
      <c r="C625" s="972" t="inlineStr">
        <is>
          <t>T0821</t>
        </is>
      </c>
      <c r="D625" s="972" t="inlineStr">
        <is>
          <t>Modify Controller Tasking</t>
        </is>
      </c>
      <c r="E625" s="972" t="inlineStr">
        <is>
          <t>S5</t>
        </is>
      </c>
      <c r="F625" s="972" t="inlineStr">
        <is>
          <t>Supporting / impact</t>
        </is>
      </c>
      <c r="G625" s="972" t="inlineStr">
        <is>
          <t>Yes</t>
        </is>
      </c>
      <c r="H625" s="972" t="inlineStr">
        <is>
          <t>Yes</t>
        </is>
      </c>
      <c r="I625" s="972" t="inlineStr">
        <is>
          <t>Yes</t>
        </is>
      </c>
      <c r="J625" s="972" t="n">
        <v>4</v>
      </c>
      <c r="K625" s="972" t="inlineStr">
        <is>
          <t>STRENGTHENED v1.2: Modify Controller Tasking as a persistent integrity compromise.</t>
        </is>
      </c>
      <c r="L625" s="452" t="inlineStr">
        <is>
          <t>https://attack.mitre.org/techniques/T0821</t>
        </is>
      </c>
      <c r="M625" s="973" t="inlineStr">
        <is>
          <t>Yes</t>
        </is>
      </c>
      <c r="N625" s="973" t="inlineStr">
        <is>
          <t>No explicit facility gate — defaults feasible</t>
        </is>
      </c>
      <c r="O625" s="973" t="inlineStr">
        <is>
          <t>Modify Controller Tasking is applicable to execution or persistence on engineering workstations, HMIs, servers or controllers used in Power Generation facilities.</t>
        </is>
      </c>
      <c r="P625" s="973" t="inlineStr">
        <is>
          <t>https://csrc.nist.gov/pubs/sp/800/82/r3/final</t>
        </is>
      </c>
    </row>
    <row r="626" ht="15" customHeight="1" s="508">
      <c r="A626" s="972" t="inlineStr">
        <is>
          <t>Cybercriminal</t>
        </is>
      </c>
      <c r="B626" s="972" t="inlineStr">
        <is>
          <t>Destructive or Integrity Attack</t>
        </is>
      </c>
      <c r="C626" s="972" t="inlineStr">
        <is>
          <t>T0889</t>
        </is>
      </c>
      <c r="D626" s="972" t="inlineStr">
        <is>
          <t>Modify Program</t>
        </is>
      </c>
      <c r="E626" s="972" t="inlineStr">
        <is>
          <t>S5</t>
        </is>
      </c>
      <c r="F626" s="972" t="inlineStr">
        <is>
          <t>Supporting / impact</t>
        </is>
      </c>
      <c r="G626" s="972" t="inlineStr">
        <is>
          <t>Yes</t>
        </is>
      </c>
      <c r="H626" s="972" t="inlineStr">
        <is>
          <t>Yes</t>
        </is>
      </c>
      <c r="I626" s="972" t="inlineStr">
        <is>
          <t>Yes</t>
        </is>
      </c>
      <c r="J626" s="972" t="n">
        <v>4</v>
      </c>
      <c r="K626" s="972" t="inlineStr">
        <is>
          <t>STRENGTHENED v1.2: Modify Program where the modification is destructive or a persistent integrity compromise.</t>
        </is>
      </c>
      <c r="L626" s="452" t="inlineStr">
        <is>
          <t>https://attack.mitre.org/techniques/T0889</t>
        </is>
      </c>
      <c r="M626" s="973" t="inlineStr">
        <is>
          <t>Yes</t>
        </is>
      </c>
      <c r="N626" s="973" t="inlineStr">
        <is>
          <t>No explicit facility gate — defaults feasible</t>
        </is>
      </c>
      <c r="O626" s="973" t="inlineStr">
        <is>
          <t>Modify Program is applicable to execution or persistence on engineering workstations, HMIs, servers or controllers used in Power Generation facilities.</t>
        </is>
      </c>
      <c r="P626" s="973" t="inlineStr">
        <is>
          <t>https://csrc.nist.gov/pubs/sp/800/82/r3/final</t>
        </is>
      </c>
    </row>
    <row r="627" ht="15" customHeight="1" s="508">
      <c r="A627" s="972" t="inlineStr">
        <is>
          <t>Cybercriminal</t>
        </is>
      </c>
      <c r="B627" s="972" t="inlineStr">
        <is>
          <t>Destructive or Integrity Attack</t>
        </is>
      </c>
      <c r="C627" s="972" t="inlineStr">
        <is>
          <t>T1693.002</t>
        </is>
      </c>
      <c r="D627" s="972" t="inlineStr">
        <is>
          <t>Module Firmware</t>
        </is>
      </c>
      <c r="E627" s="972" t="inlineStr">
        <is>
          <t>S5</t>
        </is>
      </c>
      <c r="F627" s="972" t="inlineStr">
        <is>
          <t>Scenario-defining</t>
        </is>
      </c>
      <c r="G627" s="972" t="inlineStr">
        <is>
          <t>Yes</t>
        </is>
      </c>
      <c r="H627" s="972" t="inlineStr">
        <is>
          <t>Yes</t>
        </is>
      </c>
      <c r="I627" s="972" t="inlineStr">
        <is>
          <t>Yes</t>
        </is>
      </c>
      <c r="J627" s="972" t="n">
        <v>12</v>
      </c>
      <c r="K627" s="972" t="inlineStr">
        <is>
          <t>Model Mapping</t>
        </is>
      </c>
      <c r="L627" s="452" t="inlineStr">
        <is>
          <t>https://attack.mitre.org/techniques/T1693/002</t>
        </is>
      </c>
      <c r="M627" s="973" t="inlineStr">
        <is>
          <t>Yes</t>
        </is>
      </c>
      <c r="N627" s="973" t="inlineStr">
        <is>
          <t>No explicit facility gate — defaults feasible</t>
        </is>
      </c>
      <c r="O627" s="973" t="inlineStr">
        <is>
          <t>Module Firmware is an ATT&amp;CK for ICS impact or response-inhibition technique that can support one or more governed adverse scenarios; scenario role remains controlled on 09.</t>
        </is>
      </c>
      <c r="P627" s="973" t="inlineStr">
        <is>
          <t>https://csrc.nist.gov/pubs/sp/800/82/r3/final</t>
        </is>
      </c>
    </row>
    <row r="628" ht="15" customHeight="1" s="508">
      <c r="A628" s="972" t="inlineStr">
        <is>
          <t>Cybercriminal</t>
        </is>
      </c>
      <c r="B628" s="972" t="inlineStr">
        <is>
          <t>Destructive or Integrity Attack</t>
        </is>
      </c>
      <c r="C628" s="972" t="inlineStr">
        <is>
          <t>T0801</t>
        </is>
      </c>
      <c r="D628" s="972" t="inlineStr">
        <is>
          <t>Monitor Process State</t>
        </is>
      </c>
      <c r="E628" s="972" t="inlineStr">
        <is>
          <t>S4</t>
        </is>
      </c>
      <c r="F628" s="972" t="inlineStr">
        <is>
          <t>Candidate enabling technique</t>
        </is>
      </c>
      <c r="G628" s="972" t="inlineStr">
        <is>
          <t>Yes</t>
        </is>
      </c>
      <c r="H628" s="972" t="inlineStr">
        <is>
          <t>Yes</t>
        </is>
      </c>
      <c r="I628" s="972" t="inlineStr">
        <is>
          <t>Yes</t>
        </is>
      </c>
      <c r="J628" s="972" t="n">
        <v>1</v>
      </c>
      <c r="K628" s="972" t="inlineStr">
        <is>
          <t>Model Mapping</t>
        </is>
      </c>
      <c r="L628" s="452" t="inlineStr">
        <is>
          <t>https://attack.mitre.org/techniques/T0801</t>
        </is>
      </c>
      <c r="M628" s="973" t="inlineStr">
        <is>
          <t>Yes</t>
        </is>
      </c>
      <c r="N628" s="973" t="inlineStr">
        <is>
          <t>No explicit facility gate — defaults feasible</t>
        </is>
      </c>
      <c r="O628" s="973" t="inlineStr">
        <is>
          <t>Monitor Process State can support discovery or interaction with process state, control assets and operational data in Power Generation environments.</t>
        </is>
      </c>
      <c r="P628" s="973" t="inlineStr">
        <is>
          <t>https://csrc.nist.gov/pubs/sp/800/82/r3/final</t>
        </is>
      </c>
    </row>
    <row r="629" ht="15" customHeight="1" s="508">
      <c r="A629" s="972" t="inlineStr">
        <is>
          <t>Cybercriminal</t>
        </is>
      </c>
      <c r="B629" s="972" t="inlineStr">
        <is>
          <t>Destructive or Integrity Attack</t>
        </is>
      </c>
      <c r="C629" s="972" t="inlineStr">
        <is>
          <t>T0846.003</t>
        </is>
      </c>
      <c r="D629" s="972" t="inlineStr">
        <is>
          <t>Multicast Discovery</t>
        </is>
      </c>
      <c r="E629" s="972" t="inlineStr">
        <is>
          <t>S4</t>
        </is>
      </c>
      <c r="F629" s="972" t="inlineStr">
        <is>
          <t>Candidate enabling technique</t>
        </is>
      </c>
      <c r="G629" s="972" t="inlineStr">
        <is>
          <t>Yes</t>
        </is>
      </c>
      <c r="H629" s="972" t="inlineStr">
        <is>
          <t>Yes</t>
        </is>
      </c>
      <c r="I629" s="972" t="inlineStr">
        <is>
          <t>Yes</t>
        </is>
      </c>
      <c r="J629" s="972" t="n">
        <v>2</v>
      </c>
      <c r="K629" s="972" t="inlineStr">
        <is>
          <t>Model Mapping</t>
        </is>
      </c>
      <c r="L629" s="452" t="inlineStr">
        <is>
          <t>https://attack.mitre.org/techniques/T0846/003</t>
        </is>
      </c>
      <c r="M629" s="973" t="inlineStr">
        <is>
          <t>Yes</t>
        </is>
      </c>
      <c r="N629" s="973" t="inlineStr">
        <is>
          <t>No explicit facility gate — defaults feasible</t>
        </is>
      </c>
      <c r="O629" s="973" t="inlineStr">
        <is>
          <t>Multicast Discovery can support discovery or interaction with process state, control assets and operational data in Power Generation environments.</t>
        </is>
      </c>
      <c r="P629" s="973" t="inlineStr">
        <is>
          <t>https://csrc.nist.gov/pubs/sp/800/82/r3/final</t>
        </is>
      </c>
    </row>
    <row r="630" ht="15" customHeight="1" s="508">
      <c r="A630" s="972" t="inlineStr">
        <is>
          <t>Cybercriminal</t>
        </is>
      </c>
      <c r="B630" s="972" t="inlineStr">
        <is>
          <t>Destructive or Integrity Attack</t>
        </is>
      </c>
      <c r="C630" s="972" t="inlineStr">
        <is>
          <t>T0834</t>
        </is>
      </c>
      <c r="D630" s="972" t="inlineStr">
        <is>
          <t>Native API</t>
        </is>
      </c>
      <c r="E630" s="972" t="inlineStr">
        <is>
          <t>S2</t>
        </is>
      </c>
      <c r="F630" s="972" t="inlineStr">
        <is>
          <t>Candidate enabling technique</t>
        </is>
      </c>
      <c r="G630" s="972" t="inlineStr">
        <is>
          <t>Yes</t>
        </is>
      </c>
      <c r="H630" s="972" t="inlineStr">
        <is>
          <t>Yes</t>
        </is>
      </c>
      <c r="I630" s="972" t="inlineStr">
        <is>
          <t>Yes</t>
        </is>
      </c>
      <c r="J630" s="972" t="n">
        <v>1</v>
      </c>
      <c r="K630" s="972" t="inlineStr">
        <is>
          <t>Model Mapping</t>
        </is>
      </c>
      <c r="L630" s="452" t="inlineStr">
        <is>
          <t>https://attack.mitre.org/techniques/T0834</t>
        </is>
      </c>
      <c r="M630" s="973" t="inlineStr">
        <is>
          <t>Yes</t>
        </is>
      </c>
      <c r="N630" s="973" t="inlineStr">
        <is>
          <t>No explicit facility gate — defaults feasible</t>
        </is>
      </c>
      <c r="O630" s="973" t="inlineStr">
        <is>
          <t>Native API is applicable to execution or persistence on engineering workstations, HMIs, servers or controllers used in Power Generation facilities.</t>
        </is>
      </c>
      <c r="P630" s="973" t="inlineStr">
        <is>
          <t>https://csrc.nist.gov/pubs/sp/800/82/r3/final</t>
        </is>
      </c>
    </row>
    <row r="631" ht="15" customHeight="1" s="508">
      <c r="A631" s="972" t="inlineStr">
        <is>
          <t>Cybercriminal</t>
        </is>
      </c>
      <c r="B631" s="972" t="inlineStr">
        <is>
          <t>Destructive or Integrity Attack</t>
        </is>
      </c>
      <c r="C631" s="972" t="inlineStr">
        <is>
          <t>T0840</t>
        </is>
      </c>
      <c r="D631" s="972" t="inlineStr">
        <is>
          <t>Network Connection Enumeration</t>
        </is>
      </c>
      <c r="E631" s="972" t="inlineStr">
        <is>
          <t>S4</t>
        </is>
      </c>
      <c r="F631" s="972" t="inlineStr">
        <is>
          <t>Candidate enabling technique</t>
        </is>
      </c>
      <c r="G631" s="972" t="inlineStr">
        <is>
          <t>Yes</t>
        </is>
      </c>
      <c r="H631" s="972" t="inlineStr">
        <is>
          <t>Yes</t>
        </is>
      </c>
      <c r="I631" s="972" t="inlineStr">
        <is>
          <t>Yes</t>
        </is>
      </c>
      <c r="J631" s="972" t="n">
        <v>1</v>
      </c>
      <c r="K631" s="972" t="inlineStr">
        <is>
          <t>Model Mapping</t>
        </is>
      </c>
      <c r="L631" s="452" t="inlineStr">
        <is>
          <t>https://attack.mitre.org/techniques/T0840</t>
        </is>
      </c>
      <c r="M631" s="973" t="inlineStr">
        <is>
          <t>Yes</t>
        </is>
      </c>
      <c r="N631" s="973" t="inlineStr">
        <is>
          <t>No explicit facility gate — defaults feasible</t>
        </is>
      </c>
      <c r="O631" s="973" t="inlineStr">
        <is>
          <t>Network Connection Enumeration can support discovery or interaction with process state, control assets and operational data in Power Generation environments.</t>
        </is>
      </c>
      <c r="P631" s="973" t="inlineStr">
        <is>
          <t>https://csrc.nist.gov/pubs/sp/800/82/r3/final</t>
        </is>
      </c>
    </row>
    <row r="632" ht="15" customHeight="1" s="508">
      <c r="A632" s="972" t="inlineStr">
        <is>
          <t>Cybercriminal</t>
        </is>
      </c>
      <c r="B632" s="972" t="inlineStr">
        <is>
          <t>Destructive or Integrity Attack</t>
        </is>
      </c>
      <c r="C632" s="972" t="inlineStr">
        <is>
          <t>T0842</t>
        </is>
      </c>
      <c r="D632" s="972" t="inlineStr">
        <is>
          <t>Network Sniffing</t>
        </is>
      </c>
      <c r="E632" s="972" t="inlineStr">
        <is>
          <t>S4</t>
        </is>
      </c>
      <c r="F632" s="972" t="inlineStr">
        <is>
          <t>Candidate enabling technique</t>
        </is>
      </c>
      <c r="G632" s="972" t="inlineStr">
        <is>
          <t>Yes</t>
        </is>
      </c>
      <c r="H632" s="972" t="inlineStr">
        <is>
          <t>Yes</t>
        </is>
      </c>
      <c r="I632" s="972" t="inlineStr">
        <is>
          <t>Yes</t>
        </is>
      </c>
      <c r="J632" s="972" t="n">
        <v>5</v>
      </c>
      <c r="K632" s="972" t="inlineStr">
        <is>
          <t>Model Mapping</t>
        </is>
      </c>
      <c r="L632" s="452" t="inlineStr">
        <is>
          <t>https://attack.mitre.org/techniques/T0842</t>
        </is>
      </c>
      <c r="M632" s="973" t="inlineStr">
        <is>
          <t>Yes</t>
        </is>
      </c>
      <c r="N632" s="973" t="inlineStr">
        <is>
          <t>No explicit facility gate — defaults feasible</t>
        </is>
      </c>
      <c r="O632" s="973" t="inlineStr">
        <is>
          <t>Network Sniffing can support discovery or interaction with process state, control assets and operational data in Power Generation environments.</t>
        </is>
      </c>
      <c r="P632" s="973" t="inlineStr">
        <is>
          <t>https://csrc.nist.gov/pubs/sp/800/82/r3/final</t>
        </is>
      </c>
    </row>
    <row r="633" ht="15" customHeight="1" s="508">
      <c r="A633" s="972" t="inlineStr">
        <is>
          <t>Cybercriminal</t>
        </is>
      </c>
      <c r="B633" s="972" t="inlineStr">
        <is>
          <t>Destructive or Integrity Attack</t>
        </is>
      </c>
      <c r="C633" s="972" t="inlineStr">
        <is>
          <t>T0843.002</t>
        </is>
      </c>
      <c r="D633" s="972" t="inlineStr">
        <is>
          <t>Online Edit</t>
        </is>
      </c>
      <c r="E633" s="972" t="inlineStr">
        <is>
          <t>S3</t>
        </is>
      </c>
      <c r="F633" s="972" t="inlineStr">
        <is>
          <t>Candidate enabling technique</t>
        </is>
      </c>
      <c r="G633" s="972" t="inlineStr">
        <is>
          <t>Yes</t>
        </is>
      </c>
      <c r="H633" s="972" t="inlineStr">
        <is>
          <t>Yes</t>
        </is>
      </c>
      <c r="I633" s="972" t="inlineStr">
        <is>
          <t>Yes</t>
        </is>
      </c>
      <c r="J633" s="972" t="n">
        <v>10</v>
      </c>
      <c r="K633" s="972" t="inlineStr">
        <is>
          <t>Model Mapping</t>
        </is>
      </c>
      <c r="L633" s="452" t="inlineStr">
        <is>
          <t>https://attack.mitre.org/techniques/T0843/002</t>
        </is>
      </c>
      <c r="M633" s="973" t="inlineStr">
        <is>
          <t>Yes</t>
        </is>
      </c>
      <c r="N633" s="973" t="inlineStr">
        <is>
          <t>No explicit facility gate — defaults feasible</t>
        </is>
      </c>
      <c r="O633" s="973" t="inlineStr">
        <is>
          <t>Online Edit can support movement toward or within plant/control zones; actual reachability is governed by the assessed facility architecture.</t>
        </is>
      </c>
      <c r="P633" s="973" t="inlineStr">
        <is>
          <t>https://csrc.nist.gov/pubs/sp/800/82/r3/final</t>
        </is>
      </c>
    </row>
    <row r="634" ht="15" customHeight="1" s="508">
      <c r="A634" s="972" t="inlineStr">
        <is>
          <t>Cybercriminal</t>
        </is>
      </c>
      <c r="B634" s="972" t="inlineStr">
        <is>
          <t>Destructive or Integrity Attack</t>
        </is>
      </c>
      <c r="C634" s="972" t="inlineStr">
        <is>
          <t>T0861</t>
        </is>
      </c>
      <c r="D634" s="972" t="inlineStr">
        <is>
          <t>Point &amp; Tag Identification</t>
        </is>
      </c>
      <c r="E634" s="972" t="inlineStr">
        <is>
          <t>S4</t>
        </is>
      </c>
      <c r="F634" s="972" t="inlineStr">
        <is>
          <t>Candidate enabling technique</t>
        </is>
      </c>
      <c r="G634" s="972" t="inlineStr">
        <is>
          <t>Yes</t>
        </is>
      </c>
      <c r="H634" s="972" t="inlineStr">
        <is>
          <t>Yes</t>
        </is>
      </c>
      <c r="I634" s="972" t="inlineStr">
        <is>
          <t>Yes</t>
        </is>
      </c>
      <c r="J634" s="972" t="n">
        <v>8</v>
      </c>
      <c r="K634" s="972" t="inlineStr">
        <is>
          <t>Model Mapping</t>
        </is>
      </c>
      <c r="L634" s="452" t="inlineStr">
        <is>
          <t>https://attack.mitre.org/techniques/T0861</t>
        </is>
      </c>
      <c r="M634" s="973" t="inlineStr">
        <is>
          <t>Yes</t>
        </is>
      </c>
      <c r="N634" s="973" t="inlineStr">
        <is>
          <t>No explicit facility gate — defaults feasible</t>
        </is>
      </c>
      <c r="O634" s="973" t="inlineStr">
        <is>
          <t>Point &amp; Tag Identification can support discovery or interaction with process state, control assets and operational data in Power Generation environments.</t>
        </is>
      </c>
      <c r="P634" s="973" t="inlineStr">
        <is>
          <t>https://csrc.nist.gov/pubs/sp/800/82/r3/final</t>
        </is>
      </c>
    </row>
    <row r="635" ht="15" customHeight="1" s="508">
      <c r="A635" s="972" t="inlineStr">
        <is>
          <t>Cybercriminal</t>
        </is>
      </c>
      <c r="B635" s="972" t="inlineStr">
        <is>
          <t>Destructive or Integrity Attack</t>
        </is>
      </c>
      <c r="C635" s="972" t="inlineStr">
        <is>
          <t>T0846.001</t>
        </is>
      </c>
      <c r="D635" s="972" t="inlineStr">
        <is>
          <t>Port Scan</t>
        </is>
      </c>
      <c r="E635" s="972" t="inlineStr">
        <is>
          <t>S4</t>
        </is>
      </c>
      <c r="F635" s="972" t="inlineStr">
        <is>
          <t>Candidate enabling technique</t>
        </is>
      </c>
      <c r="G635" s="972" t="inlineStr">
        <is>
          <t>Yes</t>
        </is>
      </c>
      <c r="H635" s="972" t="inlineStr">
        <is>
          <t>Yes</t>
        </is>
      </c>
      <c r="I635" s="972" t="inlineStr">
        <is>
          <t>Yes</t>
        </is>
      </c>
      <c r="J635" s="972" t="n">
        <v>3</v>
      </c>
      <c r="K635" s="972" t="inlineStr">
        <is>
          <t>Model Mapping</t>
        </is>
      </c>
      <c r="L635" s="452" t="inlineStr">
        <is>
          <t>https://attack.mitre.org/techniques/T0846/001</t>
        </is>
      </c>
      <c r="M635" s="973" t="inlineStr">
        <is>
          <t>Yes</t>
        </is>
      </c>
      <c r="N635" s="973" t="inlineStr">
        <is>
          <t>No explicit facility gate — defaults feasible</t>
        </is>
      </c>
      <c r="O635" s="973" t="inlineStr">
        <is>
          <t>Port Scan can support discovery or interaction with process state, control assets and operational data in Power Generation environments.</t>
        </is>
      </c>
      <c r="P635" s="973" t="inlineStr">
        <is>
          <t>https://csrc.nist.gov/pubs/sp/800/82/r3/final</t>
        </is>
      </c>
    </row>
    <row r="636" ht="15" customHeight="1" s="508">
      <c r="A636" s="972" t="inlineStr">
        <is>
          <t>Cybercriminal</t>
        </is>
      </c>
      <c r="B636" s="972" t="inlineStr">
        <is>
          <t>Destructive or Integrity Attack</t>
        </is>
      </c>
      <c r="C636" s="972" t="inlineStr">
        <is>
          <t>T0843.003</t>
        </is>
      </c>
      <c r="D636" s="972" t="inlineStr">
        <is>
          <t>Program Append</t>
        </is>
      </c>
      <c r="E636" s="972" t="inlineStr">
        <is>
          <t>S3</t>
        </is>
      </c>
      <c r="F636" s="972" t="inlineStr">
        <is>
          <t>Candidate enabling technique</t>
        </is>
      </c>
      <c r="G636" s="972" t="inlineStr">
        <is>
          <t>Yes</t>
        </is>
      </c>
      <c r="H636" s="972" t="inlineStr">
        <is>
          <t>Yes</t>
        </is>
      </c>
      <c r="I636" s="972" t="inlineStr">
        <is>
          <t>Yes</t>
        </is>
      </c>
      <c r="J636" s="972" t="n">
        <v>10</v>
      </c>
      <c r="K636" s="972" t="inlineStr">
        <is>
          <t>Model Mapping</t>
        </is>
      </c>
      <c r="L636" s="452" t="inlineStr">
        <is>
          <t>https://attack.mitre.org/techniques/T0843/003</t>
        </is>
      </c>
      <c r="M636" s="973" t="inlineStr">
        <is>
          <t>Yes</t>
        </is>
      </c>
      <c r="N636" s="973" t="inlineStr">
        <is>
          <t>No explicit facility gate — defaults feasible</t>
        </is>
      </c>
      <c r="O636" s="973" t="inlineStr">
        <is>
          <t>Program Append can support movement toward or within plant/control zones; actual reachability is governed by the assessed facility architecture.</t>
        </is>
      </c>
      <c r="P636" s="973" t="inlineStr">
        <is>
          <t>https://csrc.nist.gov/pubs/sp/800/82/r3/final</t>
        </is>
      </c>
    </row>
    <row r="637" ht="15" customHeight="1" s="508">
      <c r="A637" s="972" t="inlineStr">
        <is>
          <t>Cybercriminal</t>
        </is>
      </c>
      <c r="B637" s="972" t="inlineStr">
        <is>
          <t>Destructive or Integrity Attack</t>
        </is>
      </c>
      <c r="C637" s="972" t="inlineStr">
        <is>
          <t>T0845</t>
        </is>
      </c>
      <c r="D637" s="972" t="inlineStr">
        <is>
          <t>Program Upload</t>
        </is>
      </c>
      <c r="E637" s="972" t="inlineStr">
        <is>
          <t>S4</t>
        </is>
      </c>
      <c r="F637" s="972" t="inlineStr">
        <is>
          <t>Candidate enabling technique</t>
        </is>
      </c>
      <c r="G637" s="972" t="inlineStr">
        <is>
          <t>Yes</t>
        </is>
      </c>
      <c r="H637" s="972" t="inlineStr">
        <is>
          <t>Yes</t>
        </is>
      </c>
      <c r="I637" s="972" t="inlineStr">
        <is>
          <t>Yes</t>
        </is>
      </c>
      <c r="J637" s="972" t="n">
        <v>8</v>
      </c>
      <c r="K637" s="972" t="inlineStr">
        <is>
          <t>Model Mapping</t>
        </is>
      </c>
      <c r="L637" s="452" t="inlineStr">
        <is>
          <t>https://attack.mitre.org/techniques/T0845</t>
        </is>
      </c>
      <c r="M637" s="973" t="inlineStr">
        <is>
          <t>Yes</t>
        </is>
      </c>
      <c r="N637" s="973" t="inlineStr">
        <is>
          <t>No explicit facility gate — defaults feasible</t>
        </is>
      </c>
      <c r="O637" s="973" t="inlineStr">
        <is>
          <t>Program Upload can support discovery or interaction with process state, control assets and operational data in Power Generation environments.</t>
        </is>
      </c>
      <c r="P637" s="973" t="inlineStr">
        <is>
          <t>https://csrc.nist.gov/pubs/sp/800/82/r3/final</t>
        </is>
      </c>
    </row>
    <row r="638" ht="15" customHeight="1" s="508">
      <c r="A638" s="972" t="inlineStr">
        <is>
          <t>Cybercriminal</t>
        </is>
      </c>
      <c r="B638" s="972" t="inlineStr">
        <is>
          <t>Destructive or Integrity Attack</t>
        </is>
      </c>
      <c r="C638" s="972" t="inlineStr">
        <is>
          <t>T0886</t>
        </is>
      </c>
      <c r="D638" s="972" t="inlineStr">
        <is>
          <t>Remote Services</t>
        </is>
      </c>
      <c r="E638" s="972" t="inlineStr">
        <is>
          <t>S1</t>
        </is>
      </c>
      <c r="F638" s="972" t="inlineStr">
        <is>
          <t>Candidate enabling technique</t>
        </is>
      </c>
      <c r="G638" s="972" t="inlineStr">
        <is>
          <t>Yes</t>
        </is>
      </c>
      <c r="H638" s="972" t="inlineStr">
        <is>
          <t>Yes</t>
        </is>
      </c>
      <c r="I638" s="972" t="inlineStr">
        <is>
          <t>Yes</t>
        </is>
      </c>
      <c r="J638" s="972" t="n">
        <v>9</v>
      </c>
      <c r="K638" s="972" t="inlineStr">
        <is>
          <t>Model Mapping</t>
        </is>
      </c>
      <c r="L638" s="452" t="inlineStr">
        <is>
          <t>https://attack.mitre.org/techniques/T0886</t>
        </is>
      </c>
      <c r="M638" s="973" t="inlineStr">
        <is>
          <t>Yes</t>
        </is>
      </c>
      <c r="N638" s="973" t="inlineStr">
        <is>
          <t>REMOTE_OR_ITOT — Remote path or IT-OT connection</t>
        </is>
      </c>
      <c r="O638" s="973" t="inlineStr">
        <is>
          <t>The Remote Services route is credible for Power Generation OT when the enabling access condition exists; existing facility gates determine remote, internet, transient, supply-chain or wireless feasibility.</t>
        </is>
      </c>
      <c r="P638" s="973" t="inlineStr">
        <is>
          <t>https://csrc.nist.gov/pubs/sp/800/82/r3/final</t>
        </is>
      </c>
    </row>
    <row r="639" ht="15" customHeight="1" s="508">
      <c r="A639" s="972" t="inlineStr">
        <is>
          <t>Cybercriminal</t>
        </is>
      </c>
      <c r="B639" s="972" t="inlineStr">
        <is>
          <t>Destructive or Integrity Attack</t>
        </is>
      </c>
      <c r="C639" s="972" t="inlineStr">
        <is>
          <t>T0888</t>
        </is>
      </c>
      <c r="D639" s="972" t="inlineStr">
        <is>
          <t>Remote System Information Discovery</t>
        </is>
      </c>
      <c r="E639" s="972" t="inlineStr">
        <is>
          <t>S4</t>
        </is>
      </c>
      <c r="F639" s="972" t="inlineStr">
        <is>
          <t>Candidate enabling technique</t>
        </is>
      </c>
      <c r="G639" s="972" t="inlineStr">
        <is>
          <t>Yes</t>
        </is>
      </c>
      <c r="H639" s="972" t="inlineStr">
        <is>
          <t>Yes</t>
        </is>
      </c>
      <c r="I639" s="972" t="inlineStr">
        <is>
          <t>Yes</t>
        </is>
      </c>
      <c r="J639" s="972" t="n">
        <v>1</v>
      </c>
      <c r="K639" s="972" t="inlineStr">
        <is>
          <t>Model Mapping</t>
        </is>
      </c>
      <c r="L639" s="452" t="inlineStr">
        <is>
          <t>https://attack.mitre.org/techniques/T0888</t>
        </is>
      </c>
      <c r="M639" s="973" t="inlineStr">
        <is>
          <t>Yes</t>
        </is>
      </c>
      <c r="N639" s="973" t="inlineStr">
        <is>
          <t>No explicit facility gate — defaults feasible</t>
        </is>
      </c>
      <c r="O639" s="973" t="inlineStr">
        <is>
          <t>Remote System Information Discovery can support discovery or interaction with process state, control assets and operational data in Power Generation environments.</t>
        </is>
      </c>
      <c r="P639" s="973" t="inlineStr">
        <is>
          <t>https://csrc.nist.gov/pubs/sp/800/82/r3/final</t>
        </is>
      </c>
    </row>
    <row r="640" ht="15" customHeight="1" s="508">
      <c r="A640" s="972" t="inlineStr">
        <is>
          <t>Cybercriminal</t>
        </is>
      </c>
      <c r="B640" s="972" t="inlineStr">
        <is>
          <t>Destructive or Integrity Attack</t>
        </is>
      </c>
      <c r="C640" s="972" t="inlineStr">
        <is>
          <t>T0847</t>
        </is>
      </c>
      <c r="D640" s="972" t="inlineStr">
        <is>
          <t>Replication Through Removable Media</t>
        </is>
      </c>
      <c r="E640" s="972" t="inlineStr">
        <is>
          <t>S1</t>
        </is>
      </c>
      <c r="F640" s="972" t="inlineStr">
        <is>
          <t>Candidate enabling technique</t>
        </is>
      </c>
      <c r="G640" s="972" t="inlineStr">
        <is>
          <t>Yes</t>
        </is>
      </c>
      <c r="H640" s="972" t="inlineStr">
        <is>
          <t>Yes</t>
        </is>
      </c>
      <c r="I640" s="972" t="inlineStr">
        <is>
          <t>Yes</t>
        </is>
      </c>
      <c r="J640" s="972" t="n">
        <v>3</v>
      </c>
      <c r="K640" s="972" t="inlineStr">
        <is>
          <t>Model Mapping</t>
        </is>
      </c>
      <c r="L640" s="452" t="inlineStr">
        <is>
          <t>https://attack.mitre.org/techniques/T0847</t>
        </is>
      </c>
      <c r="M640" s="973" t="inlineStr">
        <is>
          <t>Yes</t>
        </is>
      </c>
      <c r="N640" s="973" t="inlineStr">
        <is>
          <t>TRANSIENT_REQUIRED — Not None</t>
        </is>
      </c>
      <c r="O640" s="973" t="inlineStr">
        <is>
          <t>The Replication Through Removable Media route is credible for Power Generation OT when the enabling access condition exists; existing facility gates determine remote, internet, transient, supply-chain or wireless feasibility.</t>
        </is>
      </c>
      <c r="P640" s="973" t="inlineStr">
        <is>
          <t>https://csrc.nist.gov/pubs/sp/800/82/r3/final</t>
        </is>
      </c>
    </row>
    <row r="641" ht="15" customHeight="1" s="508">
      <c r="A641" s="972" t="inlineStr">
        <is>
          <t>Cybercriminal</t>
        </is>
      </c>
      <c r="B641" s="972" t="inlineStr">
        <is>
          <t>Destructive or Integrity Attack</t>
        </is>
      </c>
      <c r="C641" s="972" t="inlineStr">
        <is>
          <t>T0848</t>
        </is>
      </c>
      <c r="D641" s="972" t="inlineStr">
        <is>
          <t>Rogue Master</t>
        </is>
      </c>
      <c r="E641" s="972" t="inlineStr">
        <is>
          <t>S1</t>
        </is>
      </c>
      <c r="F641" s="972" t="inlineStr">
        <is>
          <t>Candidate enabling technique</t>
        </is>
      </c>
      <c r="G641" s="972" t="inlineStr">
        <is>
          <t>Yes</t>
        </is>
      </c>
      <c r="H641" s="972" t="inlineStr">
        <is>
          <t>Yes</t>
        </is>
      </c>
      <c r="I641" s="972" t="inlineStr">
        <is>
          <t>Yes</t>
        </is>
      </c>
      <c r="J641" s="972" t="n">
        <v>5</v>
      </c>
      <c r="K641" s="972" t="inlineStr">
        <is>
          <t>Model Mapping</t>
        </is>
      </c>
      <c r="L641" s="452" t="inlineStr">
        <is>
          <t>https://attack.mitre.org/techniques/T0848</t>
        </is>
      </c>
      <c r="M641" s="973" t="inlineStr">
        <is>
          <t>Yes</t>
        </is>
      </c>
      <c r="N641" s="973" t="inlineStr">
        <is>
          <t>No explicit facility gate — defaults feasible</t>
        </is>
      </c>
      <c r="O641" s="973" t="inlineStr">
        <is>
          <t>The Rogue Master route is credible for Power Generation OT when the enabling access condition exists; existing facility gates determine remote, internet, transient, supply-chain or wireless feasibility.</t>
        </is>
      </c>
      <c r="P641" s="973" t="inlineStr">
        <is>
          <t>https://csrc.nist.gov/pubs/sp/800/82/r3/final</t>
        </is>
      </c>
    </row>
    <row r="642" ht="15" customHeight="1" s="508">
      <c r="A642" s="972" t="inlineStr">
        <is>
          <t>Cybercriminal</t>
        </is>
      </c>
      <c r="B642" s="972" t="inlineStr">
        <is>
          <t>Destructive or Integrity Attack</t>
        </is>
      </c>
      <c r="C642" s="972" t="inlineStr">
        <is>
          <t>T0851</t>
        </is>
      </c>
      <c r="D642" s="972" t="inlineStr">
        <is>
          <t>Rootkit</t>
        </is>
      </c>
      <c r="E642" s="972" t="inlineStr">
        <is>
          <t>S2</t>
        </is>
      </c>
      <c r="F642" s="972" t="inlineStr">
        <is>
          <t>Candidate enabling technique</t>
        </is>
      </c>
      <c r="G642" s="972" t="inlineStr">
        <is>
          <t>Yes</t>
        </is>
      </c>
      <c r="H642" s="972" t="inlineStr">
        <is>
          <t>Yes</t>
        </is>
      </c>
      <c r="I642" s="972" t="inlineStr">
        <is>
          <t>Yes</t>
        </is>
      </c>
      <c r="J642" s="972" t="n">
        <v>2</v>
      </c>
      <c r="K642" s="972" t="inlineStr">
        <is>
          <t>RECLASSIFIED v1.2: As above: evasion, not a destructive or integrity outcome.</t>
        </is>
      </c>
      <c r="L642" s="452" t="inlineStr">
        <is>
          <t>https://attack.mitre.org/techniques/T0851</t>
        </is>
      </c>
      <c r="M642" s="973" t="inlineStr">
        <is>
          <t>Yes</t>
        </is>
      </c>
      <c r="N642" s="973" t="inlineStr">
        <is>
          <t>No explicit facility gate — defaults feasible</t>
        </is>
      </c>
      <c r="O642" s="973" t="inlineStr">
        <is>
          <t>Rootkit is an ATT&amp;CK for ICS impact or response-inhibition technique that can support one or more governed adverse scenarios; scenario role remains controlled on 09.</t>
        </is>
      </c>
      <c r="P642" s="973" t="inlineStr">
        <is>
          <t>https://csrc.nist.gov/pubs/sp/800/82/r3/final</t>
        </is>
      </c>
    </row>
    <row r="643" ht="15" customHeight="1" s="508">
      <c r="A643" s="972" t="inlineStr">
        <is>
          <t>Cybercriminal</t>
        </is>
      </c>
      <c r="B643" s="972" t="inlineStr">
        <is>
          <t>Destructive or Integrity Attack</t>
        </is>
      </c>
      <c r="C643" s="972" t="inlineStr">
        <is>
          <t>T0852</t>
        </is>
      </c>
      <c r="D643" s="972" t="inlineStr">
        <is>
          <t>Screen Capture</t>
        </is>
      </c>
      <c r="E643" s="972" t="inlineStr">
        <is>
          <t>S4</t>
        </is>
      </c>
      <c r="F643" s="972" t="inlineStr">
        <is>
          <t>Candidate enabling technique</t>
        </is>
      </c>
      <c r="G643" s="972" t="inlineStr">
        <is>
          <t>Yes</t>
        </is>
      </c>
      <c r="H643" s="972" t="inlineStr">
        <is>
          <t>Yes</t>
        </is>
      </c>
      <c r="I643" s="972" t="inlineStr">
        <is>
          <t>Yes</t>
        </is>
      </c>
      <c r="J643" s="972" t="n">
        <v>1</v>
      </c>
      <c r="K643" s="972" t="inlineStr">
        <is>
          <t>Model Mapping</t>
        </is>
      </c>
      <c r="L643" s="452" t="inlineStr">
        <is>
          <t>https://attack.mitre.org/techniques/T0852</t>
        </is>
      </c>
      <c r="M643" s="973" t="inlineStr">
        <is>
          <t>Yes</t>
        </is>
      </c>
      <c r="N643" s="973" t="inlineStr">
        <is>
          <t>No explicit facility gate — defaults feasible</t>
        </is>
      </c>
      <c r="O643" s="973" t="inlineStr">
        <is>
          <t>Screen Capture can support discovery or interaction with process state, control assets and operational data in Power Generation environments.</t>
        </is>
      </c>
      <c r="P643" s="973" t="inlineStr">
        <is>
          <t>https://csrc.nist.gov/pubs/sp/800/82/r3/final</t>
        </is>
      </c>
    </row>
    <row r="644" ht="15" customHeight="1" s="508">
      <c r="A644" s="972" t="inlineStr">
        <is>
          <t>Cybercriminal</t>
        </is>
      </c>
      <c r="B644" s="972" t="inlineStr">
        <is>
          <t>Destructive or Integrity Attack</t>
        </is>
      </c>
      <c r="C644" s="972" t="inlineStr">
        <is>
          <t>T0853</t>
        </is>
      </c>
      <c r="D644" s="972" t="inlineStr">
        <is>
          <t>Scripting</t>
        </is>
      </c>
      <c r="E644" s="972" t="inlineStr">
        <is>
          <t>S2</t>
        </is>
      </c>
      <c r="F644" s="972" t="inlineStr">
        <is>
          <t>Candidate enabling technique</t>
        </is>
      </c>
      <c r="G644" s="972" t="inlineStr">
        <is>
          <t>Yes</t>
        </is>
      </c>
      <c r="H644" s="972" t="inlineStr">
        <is>
          <t>Yes</t>
        </is>
      </c>
      <c r="I644" s="972" t="inlineStr">
        <is>
          <t>Yes</t>
        </is>
      </c>
      <c r="J644" s="972" t="n">
        <v>3</v>
      </c>
      <c r="K644" s="972" t="inlineStr">
        <is>
          <t>Model Mapping</t>
        </is>
      </c>
      <c r="L644" s="452" t="inlineStr">
        <is>
          <t>https://attack.mitre.org/techniques/T0853</t>
        </is>
      </c>
      <c r="M644" s="973" t="inlineStr">
        <is>
          <t>Yes</t>
        </is>
      </c>
      <c r="N644" s="973" t="inlineStr">
        <is>
          <t>No explicit facility gate — defaults feasible</t>
        </is>
      </c>
      <c r="O644" s="973" t="inlineStr">
        <is>
          <t>Scripting is applicable to execution or persistence on engineering workstations, HMIs, servers or controllers used in Power Generation facilities.</t>
        </is>
      </c>
      <c r="P644" s="973" t="inlineStr">
        <is>
          <t>https://csrc.nist.gov/pubs/sp/800/82/r3/final</t>
        </is>
      </c>
    </row>
    <row r="645" ht="15" customHeight="1" s="508">
      <c r="A645" s="972" t="inlineStr">
        <is>
          <t>Cybercriminal</t>
        </is>
      </c>
      <c r="B645" s="972" t="inlineStr">
        <is>
          <t>Destructive or Integrity Attack</t>
        </is>
      </c>
      <c r="C645" s="972" t="inlineStr">
        <is>
          <t>T0873.001</t>
        </is>
      </c>
      <c r="D645" s="972" t="inlineStr">
        <is>
          <t>Siemens Project File Format</t>
        </is>
      </c>
      <c r="E645" s="972" t="inlineStr">
        <is>
          <t>S2</t>
        </is>
      </c>
      <c r="F645" s="972" t="inlineStr">
        <is>
          <t>Candidate enabling technique</t>
        </is>
      </c>
      <c r="G645" s="972" t="inlineStr">
        <is>
          <t>Yes</t>
        </is>
      </c>
      <c r="H645" s="972" t="inlineStr">
        <is>
          <t>Yes</t>
        </is>
      </c>
      <c r="I645" s="972" t="inlineStr">
        <is>
          <t>Yes</t>
        </is>
      </c>
      <c r="J645" s="972" t="n">
        <v>4</v>
      </c>
      <c r="K645" s="972" t="inlineStr">
        <is>
          <t>Model Mapping</t>
        </is>
      </c>
      <c r="L645" s="452" t="inlineStr">
        <is>
          <t>https://attack.mitre.org/techniques/T0873/001</t>
        </is>
      </c>
      <c r="M645" s="973" t="inlineStr">
        <is>
          <t>Yes</t>
        </is>
      </c>
      <c r="N645" s="973" t="inlineStr">
        <is>
          <t>No explicit facility gate — defaults feasible</t>
        </is>
      </c>
      <c r="O645" s="973" t="inlineStr">
        <is>
          <t>Siemens Project File Format is applicable to execution or persistence on engineering workstations, HMIs, servers or controllers used in Power Generation facilities.</t>
        </is>
      </c>
      <c r="P645" s="973" t="inlineStr">
        <is>
          <t>https://csrc.nist.gov/pubs/sp/800/82/r3/final</t>
        </is>
      </c>
    </row>
    <row r="646" ht="15" customHeight="1" s="508">
      <c r="A646" s="972" t="inlineStr">
        <is>
          <t>Cybercriminal</t>
        </is>
      </c>
      <c r="B646" s="972" t="inlineStr">
        <is>
          <t>Destructive or Integrity Attack</t>
        </is>
      </c>
      <c r="C646" s="972" t="inlineStr">
        <is>
          <t>T0865</t>
        </is>
      </c>
      <c r="D646" s="972" t="inlineStr">
        <is>
          <t>Spearphishing Attachment</t>
        </is>
      </c>
      <c r="E646" s="972" t="inlineStr">
        <is>
          <t>S1</t>
        </is>
      </c>
      <c r="F646" s="972" t="inlineStr">
        <is>
          <t>Candidate enabling technique</t>
        </is>
      </c>
      <c r="G646" s="972" t="inlineStr">
        <is>
          <t>Yes</t>
        </is>
      </c>
      <c r="H646" s="972" t="inlineStr">
        <is>
          <t>Yes</t>
        </is>
      </c>
      <c r="I646" s="972" t="inlineStr">
        <is>
          <t>Yes</t>
        </is>
      </c>
      <c r="J646" s="972" t="n">
        <v>4</v>
      </c>
      <c r="K646" s="972" t="inlineStr">
        <is>
          <t>Model Mapping</t>
        </is>
      </c>
      <c r="L646" s="452" t="inlineStr">
        <is>
          <t>https://attack.mitre.org/techniques/T0865</t>
        </is>
      </c>
      <c r="M646" s="973" t="inlineStr">
        <is>
          <t>Yes</t>
        </is>
      </c>
      <c r="N646" s="973" t="inlineStr">
        <is>
          <t>No explicit facility gate — defaults feasible</t>
        </is>
      </c>
      <c r="O646" s="973" t="inlineStr">
        <is>
          <t>The Spearphishing Attachment route is credible for Power Generation OT when the enabling access condition exists; existing facility gates determine remote, internet, transient, supply-chain or wireless feasibility.</t>
        </is>
      </c>
      <c r="P646" s="973" t="inlineStr">
        <is>
          <t>https://csrc.nist.gov/pubs/sp/800/82/r3/final</t>
        </is>
      </c>
    </row>
    <row r="647" ht="15" customHeight="1" s="508">
      <c r="A647" s="972" t="inlineStr">
        <is>
          <t>Cybercriminal</t>
        </is>
      </c>
      <c r="B647" s="972" t="inlineStr">
        <is>
          <t>Destructive or Integrity Attack</t>
        </is>
      </c>
      <c r="C647" s="972" t="inlineStr">
        <is>
          <t>T0869</t>
        </is>
      </c>
      <c r="D647" s="972" t="inlineStr">
        <is>
          <t>Standard Application Layer Protocol</t>
        </is>
      </c>
      <c r="E647" s="972" t="inlineStr">
        <is>
          <t>S3</t>
        </is>
      </c>
      <c r="F647" s="972" t="inlineStr">
        <is>
          <t>Candidate enabling technique</t>
        </is>
      </c>
      <c r="G647" s="972" t="inlineStr">
        <is>
          <t>Yes</t>
        </is>
      </c>
      <c r="H647" s="972" t="inlineStr">
        <is>
          <t>Yes</t>
        </is>
      </c>
      <c r="I647" s="972" t="inlineStr">
        <is>
          <t>Yes</t>
        </is>
      </c>
      <c r="J647" s="972" t="n">
        <v>3</v>
      </c>
      <c r="K647" s="972" t="inlineStr">
        <is>
          <t>Model Mapping</t>
        </is>
      </c>
      <c r="L647" s="452" t="inlineStr">
        <is>
          <t>https://attack.mitre.org/techniques/T0869</t>
        </is>
      </c>
      <c r="M647" s="973" t="inlineStr">
        <is>
          <t>Yes</t>
        </is>
      </c>
      <c r="N647" s="973" t="inlineStr">
        <is>
          <t>No explicit facility gate — defaults feasible</t>
        </is>
      </c>
      <c r="O647" s="973" t="inlineStr">
        <is>
          <t>Standard Application Layer Protocol can support movement toward or within plant/control zones; actual reachability is governed by the assessed facility architecture.</t>
        </is>
      </c>
      <c r="P647" s="973" t="inlineStr">
        <is>
          <t>https://csrc.nist.gov/pubs/sp/800/82/r3/final</t>
        </is>
      </c>
    </row>
    <row r="648" ht="15" customHeight="1" s="508">
      <c r="A648" s="972" t="inlineStr">
        <is>
          <t>Cybercriminal</t>
        </is>
      </c>
      <c r="B648" s="972" t="inlineStr">
        <is>
          <t>Destructive or Integrity Attack</t>
        </is>
      </c>
      <c r="C648" s="972" t="inlineStr">
        <is>
          <t>T0862</t>
        </is>
      </c>
      <c r="D648" s="972" t="inlineStr">
        <is>
          <t>Supply Chain Compromise</t>
        </is>
      </c>
      <c r="E648" s="972" t="inlineStr">
        <is>
          <t>S1</t>
        </is>
      </c>
      <c r="F648" s="972" t="inlineStr">
        <is>
          <t>Candidate enabling technique</t>
        </is>
      </c>
      <c r="G648" s="972" t="inlineStr">
        <is>
          <t>Yes</t>
        </is>
      </c>
      <c r="H648" s="972" t="inlineStr">
        <is>
          <t>Yes</t>
        </is>
      </c>
      <c r="I648" s="972" t="inlineStr">
        <is>
          <t>Yes</t>
        </is>
      </c>
      <c r="J648" s="972" t="n">
        <v>5</v>
      </c>
      <c r="K648" s="972" t="inlineStr">
        <is>
          <t>Model Mapping</t>
        </is>
      </c>
      <c r="L648" s="452" t="inlineStr">
        <is>
          <t>https://attack.mitre.org/techniques/T0862</t>
        </is>
      </c>
      <c r="M648" s="973" t="inlineStr">
        <is>
          <t>Yes</t>
        </is>
      </c>
      <c r="N648" s="973" t="inlineStr">
        <is>
          <t>SUPPLY_CHAIN — Yes</t>
        </is>
      </c>
      <c r="O648" s="973" t="inlineStr">
        <is>
          <t>The Supply Chain Compromise route is credible for Power Generation OT when the enabling access condition exists; existing facility gates determine remote, internet, transient, supply-chain or wireless feasibility.</t>
        </is>
      </c>
      <c r="P648" s="973" t="inlineStr">
        <is>
          <t>https://csrc.nist.gov/pubs/sp/800/82/r3/final</t>
        </is>
      </c>
    </row>
    <row r="649" ht="15" customHeight="1" s="508">
      <c r="A649" s="972" t="inlineStr">
        <is>
          <t>Cybercriminal</t>
        </is>
      </c>
      <c r="B649" s="972" t="inlineStr">
        <is>
          <t>Destructive or Integrity Attack</t>
        </is>
      </c>
      <c r="C649" s="972" t="inlineStr">
        <is>
          <t>T0894</t>
        </is>
      </c>
      <c r="D649" s="972" t="inlineStr">
        <is>
          <t>System Binary Proxy Execution</t>
        </is>
      </c>
      <c r="E649" s="972" t="inlineStr">
        <is>
          <t>S2</t>
        </is>
      </c>
      <c r="F649" s="972" t="inlineStr">
        <is>
          <t>Candidate enabling technique</t>
        </is>
      </c>
      <c r="G649" s="972" t="inlineStr">
        <is>
          <t>Yes</t>
        </is>
      </c>
      <c r="H649" s="972" t="inlineStr">
        <is>
          <t>Yes</t>
        </is>
      </c>
      <c r="I649" s="972" t="inlineStr">
        <is>
          <t>Yes</t>
        </is>
      </c>
      <c r="J649" s="972" t="n">
        <v>1</v>
      </c>
      <c r="K649" s="972" t="inlineStr">
        <is>
          <t>Model Mapping</t>
        </is>
      </c>
      <c r="L649" s="452" t="inlineStr">
        <is>
          <t>https://attack.mitre.org/techniques/T0894</t>
        </is>
      </c>
      <c r="M649" s="973" t="inlineStr">
        <is>
          <t>Yes</t>
        </is>
      </c>
      <c r="N649" s="973" t="inlineStr">
        <is>
          <t>No explicit facility gate — defaults feasible</t>
        </is>
      </c>
      <c r="O649" s="973" t="inlineStr">
        <is>
          <t>System Binary Proxy Execution is applicable to execution or persistence on engineering workstations, HMIs, servers or controllers used in Power Generation facilities.</t>
        </is>
      </c>
      <c r="P649" s="973" t="inlineStr">
        <is>
          <t>https://csrc.nist.gov/pubs/sp/800/82/r3/final</t>
        </is>
      </c>
    </row>
    <row r="650" ht="15" customHeight="1" s="508">
      <c r="A650" s="972" t="inlineStr">
        <is>
          <t>Cybercriminal</t>
        </is>
      </c>
      <c r="B650" s="972" t="inlineStr">
        <is>
          <t>Destructive or Integrity Attack</t>
        </is>
      </c>
      <c r="C650" s="972" t="inlineStr">
        <is>
          <t>T1693.001</t>
        </is>
      </c>
      <c r="D650" s="972" t="inlineStr">
        <is>
          <t>System Firmware</t>
        </is>
      </c>
      <c r="E650" s="972" t="inlineStr">
        <is>
          <t>S5</t>
        </is>
      </c>
      <c r="F650" s="972" t="inlineStr">
        <is>
          <t>Scenario-defining</t>
        </is>
      </c>
      <c r="G650" s="972" t="inlineStr">
        <is>
          <t>Yes</t>
        </is>
      </c>
      <c r="H650" s="972" t="inlineStr">
        <is>
          <t>Yes</t>
        </is>
      </c>
      <c r="I650" s="972" t="inlineStr">
        <is>
          <t>Yes</t>
        </is>
      </c>
      <c r="J650" s="972" t="n">
        <v>13</v>
      </c>
      <c r="K650" s="972" t="inlineStr">
        <is>
          <t>Model Mapping</t>
        </is>
      </c>
      <c r="L650" s="452" t="inlineStr">
        <is>
          <t>https://attack.mitre.org/techniques/T1693/001</t>
        </is>
      </c>
      <c r="M650" s="973" t="inlineStr">
        <is>
          <t>Yes</t>
        </is>
      </c>
      <c r="N650" s="973" t="inlineStr">
        <is>
          <t>No explicit facility gate — defaults feasible</t>
        </is>
      </c>
      <c r="O650" s="973" t="inlineStr">
        <is>
          <t>System Firmware is an ATT&amp;CK for ICS impact or response-inhibition technique that can support one or more governed adverse scenarios; scenario role remains controlled on 09.</t>
        </is>
      </c>
      <c r="P650" s="973" t="inlineStr">
        <is>
          <t>https://csrc.nist.gov/pubs/sp/800/82/r3/final</t>
        </is>
      </c>
    </row>
    <row r="651" ht="15" customHeight="1" s="508">
      <c r="A651" s="972" t="inlineStr">
        <is>
          <t>Cybercriminal</t>
        </is>
      </c>
      <c r="B651" s="972" t="inlineStr">
        <is>
          <t>Destructive or Integrity Attack</t>
        </is>
      </c>
      <c r="C651" s="972" t="inlineStr">
        <is>
          <t>T0864</t>
        </is>
      </c>
      <c r="D651" s="972" t="inlineStr">
        <is>
          <t>Transient Cyber Asset</t>
        </is>
      </c>
      <c r="E651" s="972" t="inlineStr">
        <is>
          <t>S1</t>
        </is>
      </c>
      <c r="F651" s="972" t="inlineStr">
        <is>
          <t>Candidate enabling technique</t>
        </is>
      </c>
      <c r="G651" s="972" t="inlineStr">
        <is>
          <t>Yes</t>
        </is>
      </c>
      <c r="H651" s="972" t="inlineStr">
        <is>
          <t>Yes</t>
        </is>
      </c>
      <c r="I651" s="972" t="inlineStr">
        <is>
          <t>Yes</t>
        </is>
      </c>
      <c r="J651" s="972" t="n">
        <v>5</v>
      </c>
      <c r="K651" s="972" t="inlineStr">
        <is>
          <t>Model Mapping</t>
        </is>
      </c>
      <c r="L651" s="452" t="inlineStr">
        <is>
          <t>https://attack.mitre.org/techniques/T0864</t>
        </is>
      </c>
      <c r="M651" s="973" t="inlineStr">
        <is>
          <t>Yes</t>
        </is>
      </c>
      <c r="N651" s="973" t="inlineStr">
        <is>
          <t>TRANSIENT_REQUIRED — Not None</t>
        </is>
      </c>
      <c r="O651" s="973" t="inlineStr">
        <is>
          <t>The Transient Cyber Asset route is credible for Power Generation OT when the enabling access condition exists; existing facility gates determine remote, internet, transient, supply-chain or wireless feasibility.</t>
        </is>
      </c>
      <c r="P651" s="973" t="inlineStr">
        <is>
          <t>https://csrc.nist.gov/pubs/sp/800/82/r3/final</t>
        </is>
      </c>
    </row>
    <row r="652" ht="15" customHeight="1" s="508">
      <c r="A652" s="972" t="inlineStr">
        <is>
          <t>Cybercriminal</t>
        </is>
      </c>
      <c r="B652" s="972" t="inlineStr">
        <is>
          <t>Destructive or Integrity Attack</t>
        </is>
      </c>
      <c r="C652" s="972" t="inlineStr">
        <is>
          <t>T0863</t>
        </is>
      </c>
      <c r="D652" s="972" t="inlineStr">
        <is>
          <t>User Execution</t>
        </is>
      </c>
      <c r="E652" s="972" t="inlineStr">
        <is>
          <t>S2</t>
        </is>
      </c>
      <c r="F652" s="972" t="inlineStr">
        <is>
          <t>Candidate enabling technique</t>
        </is>
      </c>
      <c r="G652" s="972" t="inlineStr">
        <is>
          <t>Yes</t>
        </is>
      </c>
      <c r="H652" s="972" t="inlineStr">
        <is>
          <t>Yes</t>
        </is>
      </c>
      <c r="I652" s="972" t="inlineStr">
        <is>
          <t>Yes</t>
        </is>
      </c>
      <c r="J652" s="972" t="n">
        <v>6</v>
      </c>
      <c r="K652" s="972" t="inlineStr">
        <is>
          <t>Model Mapping</t>
        </is>
      </c>
      <c r="L652" s="452" t="inlineStr">
        <is>
          <t>https://attack.mitre.org/techniques/T0863</t>
        </is>
      </c>
      <c r="M652" s="973" t="inlineStr">
        <is>
          <t>Yes</t>
        </is>
      </c>
      <c r="N652" s="973" t="inlineStr">
        <is>
          <t>No explicit facility gate — defaults feasible</t>
        </is>
      </c>
      <c r="O652" s="973" t="inlineStr">
        <is>
          <t>User Execution is applicable to execution or persistence on engineering workstations, HMIs, servers or controllers used in Power Generation facilities.</t>
        </is>
      </c>
      <c r="P652" s="973" t="inlineStr">
        <is>
          <t>https://csrc.nist.gov/pubs/sp/800/82/r3/final</t>
        </is>
      </c>
    </row>
    <row r="653" ht="15" customHeight="1" s="508">
      <c r="A653" s="972" t="inlineStr">
        <is>
          <t>Cybercriminal</t>
        </is>
      </c>
      <c r="B653" s="972" t="inlineStr">
        <is>
          <t>Destructive or Integrity Attack</t>
        </is>
      </c>
      <c r="C653" s="972" t="inlineStr">
        <is>
          <t>T0859</t>
        </is>
      </c>
      <c r="D653" s="972" t="inlineStr">
        <is>
          <t>Valid Accounts</t>
        </is>
      </c>
      <c r="E653" s="972" t="inlineStr">
        <is>
          <t>S3</t>
        </is>
      </c>
      <c r="F653" s="972" t="inlineStr">
        <is>
          <t>Candidate enabling technique</t>
        </is>
      </c>
      <c r="G653" s="972" t="inlineStr">
        <is>
          <t>Yes</t>
        </is>
      </c>
      <c r="H653" s="972" t="inlineStr">
        <is>
          <t>Yes</t>
        </is>
      </c>
      <c r="I653" s="972" t="inlineStr">
        <is>
          <t>Yes</t>
        </is>
      </c>
      <c r="J653" s="972" t="n">
        <v>10</v>
      </c>
      <c r="K653" s="972" t="inlineStr">
        <is>
          <t>Model Mapping</t>
        </is>
      </c>
      <c r="L653" s="452" t="inlineStr">
        <is>
          <t>https://attack.mitre.org/techniques/T0859</t>
        </is>
      </c>
      <c r="M653" s="973" t="inlineStr">
        <is>
          <t>Yes</t>
        </is>
      </c>
      <c r="N653" s="973" t="inlineStr">
        <is>
          <t>No explicit facility gate — defaults feasible</t>
        </is>
      </c>
      <c r="O653" s="973" t="inlineStr">
        <is>
          <t>Valid Accounts can support movement toward or within plant/control zones; actual reachability is governed by the assessed facility architecture.</t>
        </is>
      </c>
      <c r="P653" s="973" t="inlineStr">
        <is>
          <t>https://csrc.nist.gov/pubs/sp/800/82/r3/final</t>
        </is>
      </c>
    </row>
    <row r="654" ht="15" customHeight="1" s="508">
      <c r="A654" s="972" t="inlineStr">
        <is>
          <t>Cybercriminal</t>
        </is>
      </c>
      <c r="B654" s="972" t="inlineStr">
        <is>
          <t>Destructive or Integrity Attack</t>
        </is>
      </c>
      <c r="C654" s="972" t="inlineStr">
        <is>
          <t>T0860</t>
        </is>
      </c>
      <c r="D654" s="972" t="inlineStr">
        <is>
          <t>Wireless Compromise</t>
        </is>
      </c>
      <c r="E654" s="972" t="inlineStr">
        <is>
          <t>S1</t>
        </is>
      </c>
      <c r="F654" s="972" t="inlineStr">
        <is>
          <t>Candidate enabling technique</t>
        </is>
      </c>
      <c r="G654" s="972" t="inlineStr">
        <is>
          <t>Yes</t>
        </is>
      </c>
      <c r="H654" s="972" t="inlineStr">
        <is>
          <t>No</t>
        </is>
      </c>
      <c r="I654" s="972" t="inlineStr">
        <is>
          <t>No</t>
        </is>
      </c>
      <c r="J654" s="972" t="n">
        <v>4</v>
      </c>
      <c r="K654" s="972" t="inlineStr">
        <is>
          <t>Model Mapping</t>
        </is>
      </c>
      <c r="L654" s="452" t="inlineStr">
        <is>
          <t>https://attack.mitre.org/techniques/T0860</t>
        </is>
      </c>
      <c r="M654" s="973" t="inlineStr">
        <is>
          <t>Yes</t>
        </is>
      </c>
      <c r="N654" s="973" t="inlineStr">
        <is>
          <t>WIRELESS — Yes</t>
        </is>
      </c>
      <c r="O654" s="973" t="inlineStr">
        <is>
          <t>The Wireless Compromise route is credible for Power Generation OT when the enabling access condition exists; existing facility gates determine remote, internet, transient, supply-chain or wireless feasibility.</t>
        </is>
      </c>
      <c r="P654" s="973" t="inlineStr">
        <is>
          <t>https://csrc.nist.gov/pubs/sp/800/82/r3/final</t>
        </is>
      </c>
    </row>
    <row r="655" ht="15" customHeight="1" s="508">
      <c r="A655" s="972" t="inlineStr">
        <is>
          <t>Cybercriminal</t>
        </is>
      </c>
      <c r="B655" s="972" t="inlineStr">
        <is>
          <t>Destructive or Integrity Attack</t>
        </is>
      </c>
      <c r="C655" s="972" t="inlineStr">
        <is>
          <t>T0887</t>
        </is>
      </c>
      <c r="D655" s="972" t="inlineStr">
        <is>
          <t>Wireless Sniffing</t>
        </is>
      </c>
      <c r="E655" s="972" t="inlineStr">
        <is>
          <t>S4</t>
        </is>
      </c>
      <c r="F655" s="972" t="inlineStr">
        <is>
          <t>Candidate enabling technique</t>
        </is>
      </c>
      <c r="G655" s="972" t="inlineStr">
        <is>
          <t>Yes</t>
        </is>
      </c>
      <c r="H655" s="972" t="inlineStr">
        <is>
          <t>No</t>
        </is>
      </c>
      <c r="I655" s="972" t="inlineStr">
        <is>
          <t>No</t>
        </is>
      </c>
      <c r="J655" s="972" t="n">
        <v>2</v>
      </c>
      <c r="K655" s="972" t="inlineStr">
        <is>
          <t>Model Mapping</t>
        </is>
      </c>
      <c r="L655" s="452" t="inlineStr">
        <is>
          <t>https://attack.mitre.org/techniques/T0887</t>
        </is>
      </c>
      <c r="M655" s="973" t="inlineStr">
        <is>
          <t>Yes</t>
        </is>
      </c>
      <c r="N655" s="973" t="inlineStr">
        <is>
          <t>WIRELESS — Yes</t>
        </is>
      </c>
      <c r="O655" s="973" t="inlineStr">
        <is>
          <t>Wireless Sniffing can support discovery or interaction with process state, control assets and operational data in Power Generation environments.</t>
        </is>
      </c>
      <c r="P655" s="973" t="inlineStr">
        <is>
          <t>https://csrc.nist.gov/pubs/sp/800/82/r3/final</t>
        </is>
      </c>
    </row>
    <row r="656" ht="15" customHeight="1" s="508">
      <c r="A656" s="972" t="inlineStr">
        <is>
          <t>Cybercriminal</t>
        </is>
      </c>
      <c r="B656" s="972" t="inlineStr">
        <is>
          <t>Destructive or Integrity Attack</t>
        </is>
      </c>
      <c r="C656" s="972" t="inlineStr">
        <is>
          <t>T0879</t>
        </is>
      </c>
      <c r="D656" s="972" t="inlineStr">
        <is>
          <t>Damage to Property</t>
        </is>
      </c>
      <c r="E656" s="972" t="inlineStr">
        <is>
          <t>S5</t>
        </is>
      </c>
      <c r="F656" s="972" t="inlineStr">
        <is>
          <t>Supporting / impact</t>
        </is>
      </c>
      <c r="G656" s="972" t="inlineStr">
        <is>
          <t>Yes</t>
        </is>
      </c>
      <c r="H656" s="972" t="inlineStr">
        <is>
          <t>Yes</t>
        </is>
      </c>
      <c r="I656" s="972" t="inlineStr">
        <is>
          <t>Yes</t>
        </is>
      </c>
      <c r="J656" s="972" t="n">
        <v>3</v>
      </c>
      <c r="K656" s="972" t="inlineStr">
        <is>
          <t>ADDED v1.2: Damage to Property — destruction of infrastructure, operational equipment and surrounding environment.</t>
        </is>
      </c>
      <c r="L656" s="452" t="inlineStr">
        <is>
          <t>https://attack.mitre.org/techniques/T0879</t>
        </is>
      </c>
      <c r="M656" s="973" t="inlineStr">
        <is>
          <t>Yes</t>
        </is>
      </c>
      <c r="N656" s="973" t="inlineStr">
        <is>
          <t>No explicit facility gate — defaults feasible</t>
        </is>
      </c>
      <c r="O656" s="973" t="inlineStr">
        <is>
          <t>Damage to Property is an ATT&amp;CK for ICS impact or response-inhibition technique that can support one or more governed adverse scenarios; scenario role remains controlled on 09.</t>
        </is>
      </c>
      <c r="P656" s="973" t="inlineStr">
        <is>
          <t>https://csrc.nist.gov/pubs/sp/800/82/r3/final</t>
        </is>
      </c>
    </row>
    <row r="657" ht="15" customHeight="1" s="508">
      <c r="A657" s="972" t="inlineStr">
        <is>
          <t>Cybercriminal</t>
        </is>
      </c>
      <c r="B657" s="972" t="inlineStr">
        <is>
          <t>Destructive or Integrity Attack</t>
        </is>
      </c>
      <c r="C657" s="972" t="inlineStr">
        <is>
          <t>T0836</t>
        </is>
      </c>
      <c r="D657" s="972" t="inlineStr">
        <is>
          <t>Modify Parameter</t>
        </is>
      </c>
      <c r="E657" s="972" t="inlineStr">
        <is>
          <t>S5</t>
        </is>
      </c>
      <c r="F657" s="972" t="inlineStr">
        <is>
          <t>Supporting / impact</t>
        </is>
      </c>
      <c r="G657" s="972" t="inlineStr">
        <is>
          <t>Yes</t>
        </is>
      </c>
      <c r="H657" s="972" t="inlineStr">
        <is>
          <t>Yes</t>
        </is>
      </c>
      <c r="I657" s="972" t="inlineStr">
        <is>
          <t>Yes</t>
        </is>
      </c>
      <c r="J657" s="972" t="n">
        <v>4</v>
      </c>
      <c r="K657" s="972" t="inlineStr">
        <is>
          <t>ADDED v1.2: Modify Parameter where the purpose is destructive.</t>
        </is>
      </c>
      <c r="L657" s="452" t="inlineStr">
        <is>
          <t>https://attack.mitre.org/techniques/T0836</t>
        </is>
      </c>
      <c r="M657" s="973" t="inlineStr">
        <is>
          <t>Yes</t>
        </is>
      </c>
      <c r="N657" s="973" t="inlineStr">
        <is>
          <t>No explicit facility gate — defaults feasible</t>
        </is>
      </c>
      <c r="O657" s="973" t="inlineStr">
        <is>
          <t>Modify Parameter is an ATT&amp;CK for ICS impact or response-inhibition technique that can support one or more governed adverse scenarios; scenario role remains controlled on 09.</t>
        </is>
      </c>
      <c r="P657" s="973" t="inlineStr">
        <is>
          <t>https://csrc.nist.gov/pubs/sp/800/82/r3/final</t>
        </is>
      </c>
    </row>
    <row r="658" ht="15" customHeight="1" s="508">
      <c r="A658" s="972" t="inlineStr">
        <is>
          <t>Malicious Insider</t>
        </is>
      </c>
      <c r="B658" s="972" t="inlineStr">
        <is>
          <t>Operational Disruption</t>
        </is>
      </c>
      <c r="C658" s="972" t="inlineStr">
        <is>
          <t>T0830</t>
        </is>
      </c>
      <c r="D658" s="972" t="inlineStr">
        <is>
          <t>Adversary-in-the-Middle</t>
        </is>
      </c>
      <c r="E658" s="972" t="inlineStr">
        <is>
          <t>S4</t>
        </is>
      </c>
      <c r="F658" s="972" t="inlineStr">
        <is>
          <t>Candidate enabling technique</t>
        </is>
      </c>
      <c r="G658" s="972" t="inlineStr">
        <is>
          <t>Yes</t>
        </is>
      </c>
      <c r="H658" s="972" t="inlineStr">
        <is>
          <t>Yes</t>
        </is>
      </c>
      <c r="I658" s="972" t="inlineStr">
        <is>
          <t>Yes</t>
        </is>
      </c>
      <c r="J658" s="972" t="n">
        <v>8</v>
      </c>
      <c r="K658" s="972" t="inlineStr">
        <is>
          <t>Model Mapping</t>
        </is>
      </c>
      <c r="L658" s="452" t="inlineStr">
        <is>
          <t>https://attack.mitre.org/techniques/T0830</t>
        </is>
      </c>
      <c r="M658" s="973" t="inlineStr">
        <is>
          <t>Yes</t>
        </is>
      </c>
      <c r="N658" s="973" t="inlineStr">
        <is>
          <t>No explicit facility gate — defaults feasible</t>
        </is>
      </c>
      <c r="O658" s="973" t="inlineStr">
        <is>
          <t>Adversary-in-the-Middle can support discovery or interaction with process state, control assets and operational data in Power Generation environments.</t>
        </is>
      </c>
      <c r="P658" s="973" t="inlineStr">
        <is>
          <t>https://csrc.nist.gov/pubs/sp/800/82/r3/final</t>
        </is>
      </c>
    </row>
    <row r="659" ht="15" customHeight="1" s="508">
      <c r="A659" s="972" t="inlineStr">
        <is>
          <t>Malicious Insider</t>
        </is>
      </c>
      <c r="B659" s="972" t="inlineStr">
        <is>
          <t>Operational Disruption</t>
        </is>
      </c>
      <c r="C659" s="972" t="inlineStr">
        <is>
          <t>T0802</t>
        </is>
      </c>
      <c r="D659" s="972" t="inlineStr">
        <is>
          <t>Automated Collection</t>
        </is>
      </c>
      <c r="E659" s="972" t="inlineStr">
        <is>
          <t>S4</t>
        </is>
      </c>
      <c r="F659" s="972" t="inlineStr">
        <is>
          <t>Candidate enabling technique</t>
        </is>
      </c>
      <c r="G659" s="972" t="inlineStr">
        <is>
          <t>Yes</t>
        </is>
      </c>
      <c r="H659" s="972" t="inlineStr">
        <is>
          <t>Yes</t>
        </is>
      </c>
      <c r="I659" s="972" t="inlineStr">
        <is>
          <t>Yes</t>
        </is>
      </c>
      <c r="J659" s="972" t="n">
        <v>2</v>
      </c>
      <c r="K659" s="972" t="inlineStr">
        <is>
          <t>Model Mapping</t>
        </is>
      </c>
      <c r="L659" s="452" t="inlineStr">
        <is>
          <t>https://attack.mitre.org/techniques/T0802</t>
        </is>
      </c>
      <c r="M659" s="973" t="inlineStr">
        <is>
          <t>Yes</t>
        </is>
      </c>
      <c r="N659" s="973" t="inlineStr">
        <is>
          <t>No explicit facility gate — defaults feasible</t>
        </is>
      </c>
      <c r="O659" s="973" t="inlineStr">
        <is>
          <t>Automated Collection can support discovery or interaction with process state, control assets and operational data in Power Generation environments.</t>
        </is>
      </c>
      <c r="P659" s="973" t="inlineStr">
        <is>
          <t>https://csrc.nist.gov/pubs/sp/800/82/r3/final</t>
        </is>
      </c>
    </row>
    <row r="660" ht="15" customHeight="1" s="508">
      <c r="A660" s="972" t="inlineStr">
        <is>
          <t>Malicious Insider</t>
        </is>
      </c>
      <c r="B660" s="972" t="inlineStr">
        <is>
          <t>Operational Disruption</t>
        </is>
      </c>
      <c r="C660" s="972" t="inlineStr">
        <is>
          <t>T0895</t>
        </is>
      </c>
      <c r="D660" s="972" t="inlineStr">
        <is>
          <t>Autorun Image</t>
        </is>
      </c>
      <c r="E660" s="972" t="inlineStr">
        <is>
          <t>S2</t>
        </is>
      </c>
      <c r="F660" s="972" t="inlineStr">
        <is>
          <t>Candidate enabling technique</t>
        </is>
      </c>
      <c r="G660" s="972" t="inlineStr">
        <is>
          <t>Yes</t>
        </is>
      </c>
      <c r="H660" s="972" t="inlineStr">
        <is>
          <t>Yes</t>
        </is>
      </c>
      <c r="I660" s="972" t="inlineStr">
        <is>
          <t>Yes</t>
        </is>
      </c>
      <c r="J660" s="972" t="n">
        <v>1</v>
      </c>
      <c r="K660" s="972" t="inlineStr">
        <is>
          <t>Model Mapping</t>
        </is>
      </c>
      <c r="L660" s="452" t="inlineStr">
        <is>
          <t>https://attack.mitre.org/techniques/T0895</t>
        </is>
      </c>
      <c r="M660" s="973" t="inlineStr">
        <is>
          <t>Yes</t>
        </is>
      </c>
      <c r="N660" s="973" t="inlineStr">
        <is>
          <t>No explicit facility gate — defaults feasible</t>
        </is>
      </c>
      <c r="O660" s="973" t="inlineStr">
        <is>
          <t>Autorun Image is applicable to execution or persistence on engineering workstations, HMIs, servers or controllers used in Power Generation facilities.</t>
        </is>
      </c>
      <c r="P660" s="973" t="inlineStr">
        <is>
          <t>https://csrc.nist.gov/pubs/sp/800/82/r3/final</t>
        </is>
      </c>
    </row>
    <row r="661" ht="15" customHeight="1" s="508">
      <c r="A661" s="972" t="inlineStr">
        <is>
          <t>Malicious Insider</t>
        </is>
      </c>
      <c r="B661" s="972" t="inlineStr">
        <is>
          <t>Operational Disruption</t>
        </is>
      </c>
      <c r="C661" s="972" t="inlineStr">
        <is>
          <t>T0846.002</t>
        </is>
      </c>
      <c r="D661" s="972" t="inlineStr">
        <is>
          <t>Broadcast Discovery</t>
        </is>
      </c>
      <c r="E661" s="972" t="inlineStr">
        <is>
          <t>S4</t>
        </is>
      </c>
      <c r="F661" s="972" t="inlineStr">
        <is>
          <t>Candidate enabling technique</t>
        </is>
      </c>
      <c r="G661" s="972" t="inlineStr">
        <is>
          <t>Yes</t>
        </is>
      </c>
      <c r="H661" s="972" t="inlineStr">
        <is>
          <t>Yes</t>
        </is>
      </c>
      <c r="I661" s="972" t="inlineStr">
        <is>
          <t>Yes</t>
        </is>
      </c>
      <c r="J661" s="972" t="n">
        <v>2</v>
      </c>
      <c r="K661" s="972" t="inlineStr">
        <is>
          <t>Model Mapping</t>
        </is>
      </c>
      <c r="L661" s="452" t="inlineStr">
        <is>
          <t>https://attack.mitre.org/techniques/T0846/002</t>
        </is>
      </c>
      <c r="M661" s="973" t="inlineStr">
        <is>
          <t>Yes</t>
        </is>
      </c>
      <c r="N661" s="973" t="inlineStr">
        <is>
          <t>No explicit facility gate — defaults feasible</t>
        </is>
      </c>
      <c r="O661" s="973" t="inlineStr">
        <is>
          <t>Broadcast Discovery can support discovery or interaction with process state, control assets and operational data in Power Generation environments.</t>
        </is>
      </c>
      <c r="P661" s="973" t="inlineStr">
        <is>
          <t>https://csrc.nist.gov/pubs/sp/800/82/r3/final</t>
        </is>
      </c>
    </row>
    <row r="662" ht="15" customHeight="1" s="508">
      <c r="A662" s="972" t="inlineStr">
        <is>
          <t>Malicious Insider</t>
        </is>
      </c>
      <c r="B662" s="972" t="inlineStr">
        <is>
          <t>Operational Disruption</t>
        </is>
      </c>
      <c r="C662" s="972" t="inlineStr">
        <is>
          <t>T0858</t>
        </is>
      </c>
      <c r="D662" s="972" t="inlineStr">
        <is>
          <t>Change Operating Mode</t>
        </is>
      </c>
      <c r="E662" s="972" t="inlineStr">
        <is>
          <t>S2</t>
        </is>
      </c>
      <c r="F662" s="972" t="inlineStr">
        <is>
          <t>Candidate enabling technique</t>
        </is>
      </c>
      <c r="G662" s="972" t="inlineStr">
        <is>
          <t>Yes</t>
        </is>
      </c>
      <c r="H662" s="972" t="inlineStr">
        <is>
          <t>Yes</t>
        </is>
      </c>
      <c r="I662" s="972" t="inlineStr">
        <is>
          <t>Yes</t>
        </is>
      </c>
      <c r="J662" s="972" t="n">
        <v>7</v>
      </c>
      <c r="K662" s="972" t="inlineStr">
        <is>
          <t>Model Mapping</t>
        </is>
      </c>
      <c r="L662" s="452" t="inlineStr">
        <is>
          <t>https://attack.mitre.org/techniques/T0858</t>
        </is>
      </c>
      <c r="M662" s="973" t="inlineStr">
        <is>
          <t>Yes</t>
        </is>
      </c>
      <c r="N662" s="973" t="inlineStr">
        <is>
          <t>No explicit facility gate — defaults feasible</t>
        </is>
      </c>
      <c r="O662" s="973" t="inlineStr">
        <is>
          <t>Change Operating Mode is applicable to execution or persistence on engineering workstations, HMIs, servers or controllers used in Power Generation facilities.</t>
        </is>
      </c>
      <c r="P662" s="973" t="inlineStr">
        <is>
          <t>https://csrc.nist.gov/pubs/sp/800/82/r3/final</t>
        </is>
      </c>
    </row>
    <row r="663" ht="15" customHeight="1" s="508">
      <c r="A663" s="972" t="inlineStr">
        <is>
          <t>Malicious Insider</t>
        </is>
      </c>
      <c r="B663" s="972" t="inlineStr">
        <is>
          <t>Operational Disruption</t>
        </is>
      </c>
      <c r="C663" s="972" t="inlineStr">
        <is>
          <t>T0807</t>
        </is>
      </c>
      <c r="D663" s="972" t="inlineStr">
        <is>
          <t>Command-Line Interface</t>
        </is>
      </c>
      <c r="E663" s="972" t="inlineStr">
        <is>
          <t>S2</t>
        </is>
      </c>
      <c r="F663" s="972" t="inlineStr">
        <is>
          <t>Candidate enabling technique</t>
        </is>
      </c>
      <c r="G663" s="972" t="inlineStr">
        <is>
          <t>Yes</t>
        </is>
      </c>
      <c r="H663" s="972" t="inlineStr">
        <is>
          <t>Yes</t>
        </is>
      </c>
      <c r="I663" s="972" t="inlineStr">
        <is>
          <t>Yes</t>
        </is>
      </c>
      <c r="J663" s="972" t="n">
        <v>2</v>
      </c>
      <c r="K663" s="972" t="inlineStr">
        <is>
          <t>Model Mapping</t>
        </is>
      </c>
      <c r="L663" s="452" t="inlineStr">
        <is>
          <t>https://attack.mitre.org/techniques/T0807</t>
        </is>
      </c>
      <c r="M663" s="973" t="inlineStr">
        <is>
          <t>Yes</t>
        </is>
      </c>
      <c r="N663" s="973" t="inlineStr">
        <is>
          <t>No explicit facility gate — defaults feasible</t>
        </is>
      </c>
      <c r="O663" s="973" t="inlineStr">
        <is>
          <t>Command-Line Interface is applicable to execution or persistence on engineering workstations, HMIs, servers or controllers used in Power Generation facilities.</t>
        </is>
      </c>
      <c r="P663" s="973" t="inlineStr">
        <is>
          <t>https://csrc.nist.gov/pubs/sp/800/82/r3/final</t>
        </is>
      </c>
    </row>
    <row r="664" ht="15" customHeight="1" s="508">
      <c r="A664" s="972" t="inlineStr">
        <is>
          <t>Malicious Insider</t>
        </is>
      </c>
      <c r="B664" s="972" t="inlineStr">
        <is>
          <t>Operational Disruption</t>
        </is>
      </c>
      <c r="C664" s="972" t="inlineStr">
        <is>
          <t>T0885</t>
        </is>
      </c>
      <c r="D664" s="972" t="inlineStr">
        <is>
          <t>Commonly Used Port</t>
        </is>
      </c>
      <c r="E664" s="972" t="inlineStr">
        <is>
          <t>S3</t>
        </is>
      </c>
      <c r="F664" s="972" t="inlineStr">
        <is>
          <t>Candidate enabling technique</t>
        </is>
      </c>
      <c r="G664" s="972" t="inlineStr">
        <is>
          <t>Yes</t>
        </is>
      </c>
      <c r="H664" s="972" t="inlineStr">
        <is>
          <t>Yes</t>
        </is>
      </c>
      <c r="I664" s="972" t="inlineStr">
        <is>
          <t>Yes</t>
        </is>
      </c>
      <c r="J664" s="972" t="n">
        <v>4</v>
      </c>
      <c r="K664" s="972" t="inlineStr">
        <is>
          <t>Model Mapping</t>
        </is>
      </c>
      <c r="L664" s="452" t="inlineStr">
        <is>
          <t>https://attack.mitre.org/techniques/T0885</t>
        </is>
      </c>
      <c r="M664" s="973" t="inlineStr">
        <is>
          <t>Yes</t>
        </is>
      </c>
      <c r="N664" s="973" t="inlineStr">
        <is>
          <t>No explicit facility gate — defaults feasible</t>
        </is>
      </c>
      <c r="O664" s="973" t="inlineStr">
        <is>
          <t>Commonly Used Port can support movement toward or within plant/control zones; actual reachability is governed by the assessed facility architecture.</t>
        </is>
      </c>
      <c r="P664" s="973" t="inlineStr">
        <is>
          <t>https://csrc.nist.gov/pubs/sp/800/82/r3/final</t>
        </is>
      </c>
    </row>
    <row r="665" ht="15" customHeight="1" s="508">
      <c r="A665" s="972" t="inlineStr">
        <is>
          <t>Malicious Insider</t>
        </is>
      </c>
      <c r="B665" s="972" t="inlineStr">
        <is>
          <t>Operational Disruption</t>
        </is>
      </c>
      <c r="C665" s="972" t="inlineStr">
        <is>
          <t>T0884</t>
        </is>
      </c>
      <c r="D665" s="972" t="inlineStr">
        <is>
          <t>Connection Proxy</t>
        </is>
      </c>
      <c r="E665" s="972" t="inlineStr">
        <is>
          <t>S3</t>
        </is>
      </c>
      <c r="F665" s="972" t="inlineStr">
        <is>
          <t>Candidate enabling technique</t>
        </is>
      </c>
      <c r="G665" s="972" t="inlineStr">
        <is>
          <t>Yes</t>
        </is>
      </c>
      <c r="H665" s="972" t="inlineStr">
        <is>
          <t>Yes</t>
        </is>
      </c>
      <c r="I665" s="972" t="inlineStr">
        <is>
          <t>Yes</t>
        </is>
      </c>
      <c r="J665" s="972" t="n">
        <v>4</v>
      </c>
      <c r="K665" s="972" t="inlineStr">
        <is>
          <t>Model Mapping</t>
        </is>
      </c>
      <c r="L665" s="452" t="inlineStr">
        <is>
          <t>https://attack.mitre.org/techniques/T0884</t>
        </is>
      </c>
      <c r="M665" s="973" t="inlineStr">
        <is>
          <t>Yes</t>
        </is>
      </c>
      <c r="N665" s="973" t="inlineStr">
        <is>
          <t>No explicit facility gate — defaults feasible</t>
        </is>
      </c>
      <c r="O665" s="973" t="inlineStr">
        <is>
          <t>Connection Proxy can support movement toward or within plant/control zones; actual reachability is governed by the assessed facility architecture.</t>
        </is>
      </c>
      <c r="P665" s="973" t="inlineStr">
        <is>
          <t>https://csrc.nist.gov/pubs/sp/800/82/r3/final</t>
        </is>
      </c>
    </row>
    <row r="666" ht="15" customHeight="1" s="508">
      <c r="A666" s="972" t="inlineStr">
        <is>
          <t>Malicious Insider</t>
        </is>
      </c>
      <c r="B666" s="972" t="inlineStr">
        <is>
          <t>Operational Disruption</t>
        </is>
      </c>
      <c r="C666" s="972" t="inlineStr">
        <is>
          <t>T0811</t>
        </is>
      </c>
      <c r="D666" s="972" t="inlineStr">
        <is>
          <t>Data from Information Repositories</t>
        </is>
      </c>
      <c r="E666" s="972" t="inlineStr">
        <is>
          <t>S4</t>
        </is>
      </c>
      <c r="F666" s="972" t="inlineStr">
        <is>
          <t>Candidate enabling technique</t>
        </is>
      </c>
      <c r="G666" s="972" t="inlineStr">
        <is>
          <t>Yes</t>
        </is>
      </c>
      <c r="H666" s="972" t="inlineStr">
        <is>
          <t>Yes</t>
        </is>
      </c>
      <c r="I666" s="972" t="inlineStr">
        <is>
          <t>Yes</t>
        </is>
      </c>
      <c r="J666" s="972" t="n">
        <v>6</v>
      </c>
      <c r="K666" s="972" t="inlineStr">
        <is>
          <t>Model Mapping</t>
        </is>
      </c>
      <c r="L666" s="452" t="inlineStr">
        <is>
          <t>https://attack.mitre.org/techniques/T0811</t>
        </is>
      </c>
      <c r="M666" s="973" t="inlineStr">
        <is>
          <t>Yes</t>
        </is>
      </c>
      <c r="N666" s="973" t="inlineStr">
        <is>
          <t>No explicit facility gate — defaults feasible</t>
        </is>
      </c>
      <c r="O666" s="973" t="inlineStr">
        <is>
          <t>Data from Information Repositories can support discovery or interaction with process state, control assets and operational data in Power Generation environments.</t>
        </is>
      </c>
      <c r="P666" s="973" t="inlineStr">
        <is>
          <t>https://csrc.nist.gov/pubs/sp/800/82/r3/final</t>
        </is>
      </c>
    </row>
    <row r="667" ht="15" customHeight="1" s="508">
      <c r="A667" s="972" t="inlineStr">
        <is>
          <t>Malicious Insider</t>
        </is>
      </c>
      <c r="B667" s="972" t="inlineStr">
        <is>
          <t>Operational Disruption</t>
        </is>
      </c>
      <c r="C667" s="972" t="inlineStr">
        <is>
          <t>T0893</t>
        </is>
      </c>
      <c r="D667" s="972" t="inlineStr">
        <is>
          <t>Data from Local System</t>
        </is>
      </c>
      <c r="E667" s="972" t="inlineStr">
        <is>
          <t>S4</t>
        </is>
      </c>
      <c r="F667" s="972" t="inlineStr">
        <is>
          <t>Candidate enabling technique</t>
        </is>
      </c>
      <c r="G667" s="972" t="inlineStr">
        <is>
          <t>Yes</t>
        </is>
      </c>
      <c r="H667" s="972" t="inlineStr">
        <is>
          <t>Yes</t>
        </is>
      </c>
      <c r="I667" s="972" t="inlineStr">
        <is>
          <t>Yes</t>
        </is>
      </c>
      <c r="J667" s="972" t="n">
        <v>4</v>
      </c>
      <c r="K667" s="972" t="inlineStr">
        <is>
          <t>Model Mapping</t>
        </is>
      </c>
      <c r="L667" s="452" t="inlineStr">
        <is>
          <t>https://attack.mitre.org/techniques/T0893</t>
        </is>
      </c>
      <c r="M667" s="973" t="inlineStr">
        <is>
          <t>Yes</t>
        </is>
      </c>
      <c r="N667" s="973" t="inlineStr">
        <is>
          <t>No explicit facility gate — defaults feasible</t>
        </is>
      </c>
      <c r="O667" s="973" t="inlineStr">
        <is>
          <t>Data from Local System can support discovery or interaction with process state, control assets and operational data in Power Generation environments.</t>
        </is>
      </c>
      <c r="P667" s="973" t="inlineStr">
        <is>
          <t>https://csrc.nist.gov/pubs/sp/800/82/r3/final</t>
        </is>
      </c>
    </row>
    <row r="668" ht="15" customHeight="1" s="508">
      <c r="A668" s="972" t="inlineStr">
        <is>
          <t>Malicious Insider</t>
        </is>
      </c>
      <c r="B668" s="972" t="inlineStr">
        <is>
          <t>Operational Disruption</t>
        </is>
      </c>
      <c r="C668" s="972" t="inlineStr">
        <is>
          <t>T1694.001</t>
        </is>
      </c>
      <c r="D668" s="972" t="inlineStr">
        <is>
          <t>Default Credentials</t>
        </is>
      </c>
      <c r="E668" s="972" t="inlineStr">
        <is>
          <t>S3</t>
        </is>
      </c>
      <c r="F668" s="972" t="inlineStr">
        <is>
          <t>Candidate enabling technique</t>
        </is>
      </c>
      <c r="G668" s="972" t="inlineStr">
        <is>
          <t>Yes</t>
        </is>
      </c>
      <c r="H668" s="972" t="inlineStr">
        <is>
          <t>Yes</t>
        </is>
      </c>
      <c r="I668" s="972" t="inlineStr">
        <is>
          <t>Yes</t>
        </is>
      </c>
      <c r="J668" s="972" t="n">
        <v>2</v>
      </c>
      <c r="K668" s="972" t="inlineStr">
        <is>
          <t>Model Mapping</t>
        </is>
      </c>
      <c r="L668" s="452" t="inlineStr">
        <is>
          <t>https://attack.mitre.org/techniques/T1694/001</t>
        </is>
      </c>
      <c r="M668" s="973" t="inlineStr">
        <is>
          <t>Yes</t>
        </is>
      </c>
      <c r="N668" s="973" t="inlineStr">
        <is>
          <t>No explicit facility gate — defaults feasible</t>
        </is>
      </c>
      <c r="O668" s="973" t="inlineStr">
        <is>
          <t>Default Credentials can support movement toward or within plant/control zones; actual reachability is governed by the assessed facility architecture.</t>
        </is>
      </c>
      <c r="P668" s="973" t="inlineStr">
        <is>
          <t>https://csrc.nist.gov/pubs/sp/800/82/r3/final</t>
        </is>
      </c>
    </row>
    <row r="669" ht="15" customHeight="1" s="508">
      <c r="A669" s="972" t="inlineStr">
        <is>
          <t>Malicious Insider</t>
        </is>
      </c>
      <c r="B669" s="972" t="inlineStr">
        <is>
          <t>Operational Disruption</t>
        </is>
      </c>
      <c r="C669" s="972" t="inlineStr">
        <is>
          <t>T0814</t>
        </is>
      </c>
      <c r="D669" s="972" t="inlineStr">
        <is>
          <t>Denial of Service</t>
        </is>
      </c>
      <c r="E669" s="972" t="inlineStr">
        <is>
          <t>S5</t>
        </is>
      </c>
      <c r="F669" s="972" t="inlineStr">
        <is>
          <t>Scenario-defining</t>
        </is>
      </c>
      <c r="G669" s="972" t="inlineStr">
        <is>
          <t>Yes</t>
        </is>
      </c>
      <c r="H669" s="972" t="inlineStr">
        <is>
          <t>Yes</t>
        </is>
      </c>
      <c r="I669" s="972" t="inlineStr">
        <is>
          <t>Yes</t>
        </is>
      </c>
      <c r="J669" s="972" t="n">
        <v>1</v>
      </c>
      <c r="K669" s="972" t="inlineStr">
        <is>
          <t>Model Mapping</t>
        </is>
      </c>
      <c r="L669" s="452" t="inlineStr">
        <is>
          <t>https://attack.mitre.org/techniques/T0814</t>
        </is>
      </c>
      <c r="M669" s="973" t="inlineStr">
        <is>
          <t>Yes</t>
        </is>
      </c>
      <c r="N669" s="973" t="inlineStr">
        <is>
          <t>No explicit facility gate — defaults feasible</t>
        </is>
      </c>
      <c r="O669" s="973" t="inlineStr">
        <is>
          <t>Denial of Service is an ATT&amp;CK for ICS impact or response-inhibition technique that can support one or more governed adverse scenarios; scenario role remains controlled on 09.</t>
        </is>
      </c>
      <c r="P669" s="973" t="inlineStr">
        <is>
          <t>https://csrc.nist.gov/pubs/sp/800/82/r3/final</t>
        </is>
      </c>
    </row>
    <row r="670" ht="15" customHeight="1" s="508">
      <c r="A670" s="972" t="inlineStr">
        <is>
          <t>Malicious Insider</t>
        </is>
      </c>
      <c r="B670" s="972" t="inlineStr">
        <is>
          <t>Operational Disruption</t>
        </is>
      </c>
      <c r="C670" s="972" t="inlineStr">
        <is>
          <t>T0868</t>
        </is>
      </c>
      <c r="D670" s="972" t="inlineStr">
        <is>
          <t>Detect Operating Mode</t>
        </is>
      </c>
      <c r="E670" s="972" t="inlineStr">
        <is>
          <t>S4</t>
        </is>
      </c>
      <c r="F670" s="972" t="inlineStr">
        <is>
          <t>Candidate enabling technique</t>
        </is>
      </c>
      <c r="G670" s="972" t="inlineStr">
        <is>
          <t>Yes</t>
        </is>
      </c>
      <c r="H670" s="972" t="inlineStr">
        <is>
          <t>Yes</t>
        </is>
      </c>
      <c r="I670" s="972" t="inlineStr">
        <is>
          <t>Yes</t>
        </is>
      </c>
      <c r="J670" s="972" t="n">
        <v>8</v>
      </c>
      <c r="K670" s="972" t="inlineStr">
        <is>
          <t>Model Mapping</t>
        </is>
      </c>
      <c r="L670" s="452" t="inlineStr">
        <is>
          <t>https://attack.mitre.org/techniques/T0868</t>
        </is>
      </c>
      <c r="M670" s="973" t="inlineStr">
        <is>
          <t>Yes</t>
        </is>
      </c>
      <c r="N670" s="973" t="inlineStr">
        <is>
          <t>No explicit facility gate — defaults feasible</t>
        </is>
      </c>
      <c r="O670" s="973" t="inlineStr">
        <is>
          <t>Detect Operating Mode can support discovery or interaction with process state, control assets and operational data in Power Generation environments.</t>
        </is>
      </c>
      <c r="P670" s="973" t="inlineStr">
        <is>
          <t>https://csrc.nist.gov/pubs/sp/800/82/r3/final</t>
        </is>
      </c>
    </row>
    <row r="671" ht="15" customHeight="1" s="508">
      <c r="A671" s="972" t="inlineStr">
        <is>
          <t>Malicious Insider</t>
        </is>
      </c>
      <c r="B671" s="972" t="inlineStr">
        <is>
          <t>Operational Disruption</t>
        </is>
      </c>
      <c r="C671" s="972" t="inlineStr">
        <is>
          <t>T0816</t>
        </is>
      </c>
      <c r="D671" s="972" t="inlineStr">
        <is>
          <t>Device Restart/Shutdown</t>
        </is>
      </c>
      <c r="E671" s="972" t="inlineStr">
        <is>
          <t>S5</t>
        </is>
      </c>
      <c r="F671" s="972" t="inlineStr">
        <is>
          <t>Scenario-defining</t>
        </is>
      </c>
      <c r="G671" s="972" t="inlineStr">
        <is>
          <t>Yes</t>
        </is>
      </c>
      <c r="H671" s="972" t="inlineStr">
        <is>
          <t>Yes</t>
        </is>
      </c>
      <c r="I671" s="972" t="inlineStr">
        <is>
          <t>Yes</t>
        </is>
      </c>
      <c r="J671" s="972" t="n">
        <v>9</v>
      </c>
      <c r="K671" s="972" t="inlineStr">
        <is>
          <t>Model Mapping</t>
        </is>
      </c>
      <c r="L671" s="452" t="inlineStr">
        <is>
          <t>https://attack.mitre.org/techniques/T0816</t>
        </is>
      </c>
      <c r="M671" s="973" t="inlineStr">
        <is>
          <t>Yes</t>
        </is>
      </c>
      <c r="N671" s="973" t="inlineStr">
        <is>
          <t>No explicit facility gate — defaults feasible</t>
        </is>
      </c>
      <c r="O671" s="973" t="inlineStr">
        <is>
          <t>Device Restart/Shutdown is an ATT&amp;CK for ICS impact or response-inhibition technique that can support one or more governed adverse scenarios; scenario role remains controlled on 09.</t>
        </is>
      </c>
      <c r="P671" s="973" t="inlineStr">
        <is>
          <t>https://csrc.nist.gov/pubs/sp/800/82/r3/final</t>
        </is>
      </c>
    </row>
    <row r="672" ht="15" customHeight="1" s="508">
      <c r="A672" s="972" t="inlineStr">
        <is>
          <t>Malicious Insider</t>
        </is>
      </c>
      <c r="B672" s="972" t="inlineStr">
        <is>
          <t>Operational Disruption</t>
        </is>
      </c>
      <c r="C672" s="972" t="inlineStr">
        <is>
          <t>T0843.001</t>
        </is>
      </c>
      <c r="D672" s="972" t="inlineStr">
        <is>
          <t>Download All</t>
        </is>
      </c>
      <c r="E672" s="972" t="inlineStr">
        <is>
          <t>S3</t>
        </is>
      </c>
      <c r="F672" s="972" t="inlineStr">
        <is>
          <t>Candidate enabling technique</t>
        </is>
      </c>
      <c r="G672" s="972" t="inlineStr">
        <is>
          <t>Yes</t>
        </is>
      </c>
      <c r="H672" s="972" t="inlineStr">
        <is>
          <t>Yes</t>
        </is>
      </c>
      <c r="I672" s="972" t="inlineStr">
        <is>
          <t>Yes</t>
        </is>
      </c>
      <c r="J672" s="972" t="n">
        <v>10</v>
      </c>
      <c r="K672" s="972" t="inlineStr">
        <is>
          <t>Model Mapping</t>
        </is>
      </c>
      <c r="L672" s="452" t="inlineStr">
        <is>
          <t>https://attack.mitre.org/techniques/T0843/001</t>
        </is>
      </c>
      <c r="M672" s="973" t="inlineStr">
        <is>
          <t>Yes</t>
        </is>
      </c>
      <c r="N672" s="973" t="inlineStr">
        <is>
          <t>No explicit facility gate — defaults feasible</t>
        </is>
      </c>
      <c r="O672" s="973" t="inlineStr">
        <is>
          <t>Download All can support movement toward or within plant/control zones; actual reachability is governed by the assessed facility architecture.</t>
        </is>
      </c>
      <c r="P672" s="973" t="inlineStr">
        <is>
          <t>https://csrc.nist.gov/pubs/sp/800/82/r3/final</t>
        </is>
      </c>
    </row>
    <row r="673" ht="15" customHeight="1" s="508">
      <c r="A673" s="972" t="inlineStr">
        <is>
          <t>Malicious Insider</t>
        </is>
      </c>
      <c r="B673" s="972" t="inlineStr">
        <is>
          <t>Operational Disruption</t>
        </is>
      </c>
      <c r="C673" s="972" t="inlineStr">
        <is>
          <t>T0817</t>
        </is>
      </c>
      <c r="D673" s="972" t="inlineStr">
        <is>
          <t>Drive-by Compromise</t>
        </is>
      </c>
      <c r="E673" s="972" t="inlineStr">
        <is>
          <t>S1</t>
        </is>
      </c>
      <c r="F673" s="972" t="inlineStr">
        <is>
          <t>Candidate enabling technique</t>
        </is>
      </c>
      <c r="G673" s="972" t="inlineStr">
        <is>
          <t>No</t>
        </is>
      </c>
      <c r="H673" s="972" t="inlineStr">
        <is>
          <t>Yes</t>
        </is>
      </c>
      <c r="I673" s="972" t="inlineStr">
        <is>
          <t>No</t>
        </is>
      </c>
      <c r="J673" s="972" t="n">
        <v>4</v>
      </c>
      <c r="K673" s="972" t="inlineStr">
        <is>
          <t>Model Mapping</t>
        </is>
      </c>
      <c r="L673" s="452" t="inlineStr">
        <is>
          <t>https://attack.mitre.org/techniques/T0817</t>
        </is>
      </c>
      <c r="M673" s="973" t="inlineStr">
        <is>
          <t>Yes</t>
        </is>
      </c>
      <c r="N673" s="973" t="inlineStr">
        <is>
          <t>No explicit facility gate — defaults feasible</t>
        </is>
      </c>
      <c r="O673" s="973" t="inlineStr">
        <is>
          <t>The Drive-by Compromise route is credible for Power Generation OT when the enabling access condition exists; existing facility gates determine remote, internet, transient, supply-chain or wireless feasibility.</t>
        </is>
      </c>
      <c r="P673" s="973" t="inlineStr">
        <is>
          <t>https://csrc.nist.gov/pubs/sp/800/82/r3/final</t>
        </is>
      </c>
    </row>
    <row r="674" ht="15" customHeight="1" s="508">
      <c r="A674" s="972" t="inlineStr">
        <is>
          <t>Malicious Insider</t>
        </is>
      </c>
      <c r="B674" s="972" t="inlineStr">
        <is>
          <t>Operational Disruption</t>
        </is>
      </c>
      <c r="C674" s="972" t="inlineStr">
        <is>
          <t>T0871</t>
        </is>
      </c>
      <c r="D674" s="972" t="inlineStr">
        <is>
          <t>Execution through API</t>
        </is>
      </c>
      <c r="E674" s="972" t="inlineStr">
        <is>
          <t>S2</t>
        </is>
      </c>
      <c r="F674" s="972" t="inlineStr">
        <is>
          <t>Candidate enabling technique</t>
        </is>
      </c>
      <c r="G674" s="972" t="inlineStr">
        <is>
          <t>Yes</t>
        </is>
      </c>
      <c r="H674" s="972" t="inlineStr">
        <is>
          <t>Yes</t>
        </is>
      </c>
      <c r="I674" s="972" t="inlineStr">
        <is>
          <t>Yes</t>
        </is>
      </c>
      <c r="J674" s="972" t="n">
        <v>4</v>
      </c>
      <c r="K674" s="972" t="inlineStr">
        <is>
          <t>Model Mapping</t>
        </is>
      </c>
      <c r="L674" s="452" t="inlineStr">
        <is>
          <t>https://attack.mitre.org/techniques/T0871</t>
        </is>
      </c>
      <c r="M674" s="973" t="inlineStr">
        <is>
          <t>Yes</t>
        </is>
      </c>
      <c r="N674" s="973" t="inlineStr">
        <is>
          <t>No explicit facility gate — defaults feasible</t>
        </is>
      </c>
      <c r="O674" s="973" t="inlineStr">
        <is>
          <t>Execution through API is applicable to execution or persistence on engineering workstations, HMIs, servers or controllers used in Power Generation facilities.</t>
        </is>
      </c>
      <c r="P674" s="973" t="inlineStr">
        <is>
          <t>https://csrc.nist.gov/pubs/sp/800/82/r3/final</t>
        </is>
      </c>
    </row>
    <row r="675" ht="15" customHeight="1" s="508">
      <c r="A675" s="972" t="inlineStr">
        <is>
          <t>Malicious Insider</t>
        </is>
      </c>
      <c r="B675" s="972" t="inlineStr">
        <is>
          <t>Operational Disruption</t>
        </is>
      </c>
      <c r="C675" s="972" t="inlineStr">
        <is>
          <t>T0819</t>
        </is>
      </c>
      <c r="D675" s="972" t="inlineStr">
        <is>
          <t>Exploit Public-Facing Application</t>
        </is>
      </c>
      <c r="E675" s="972" t="inlineStr">
        <is>
          <t>S1</t>
        </is>
      </c>
      <c r="F675" s="972" t="inlineStr">
        <is>
          <t>Candidate enabling technique</t>
        </is>
      </c>
      <c r="G675" s="972" t="inlineStr">
        <is>
          <t>No</t>
        </is>
      </c>
      <c r="H675" s="972" t="inlineStr">
        <is>
          <t>Yes</t>
        </is>
      </c>
      <c r="I675" s="972" t="inlineStr">
        <is>
          <t>No</t>
        </is>
      </c>
      <c r="J675" s="972" t="n">
        <v>6</v>
      </c>
      <c r="K675" s="972" t="inlineStr">
        <is>
          <t>Model Mapping</t>
        </is>
      </c>
      <c r="L675" s="452" t="inlineStr">
        <is>
          <t>https://attack.mitre.org/techniques/T0819</t>
        </is>
      </c>
      <c r="M675" s="973" t="inlineStr">
        <is>
          <t>Yes</t>
        </is>
      </c>
      <c r="N675" s="973" t="inlineStr">
        <is>
          <t>No explicit facility gate — defaults feasible</t>
        </is>
      </c>
      <c r="O675" s="973" t="inlineStr">
        <is>
          <t>The Exploit Public-Facing Application route is credible for Power Generation OT when the enabling access condition exists; existing facility gates determine remote, internet, transient, supply-chain or wireless feasibility.</t>
        </is>
      </c>
      <c r="P675" s="973" t="inlineStr">
        <is>
          <t>https://csrc.nist.gov/pubs/sp/800/82/r3/final</t>
        </is>
      </c>
    </row>
    <row r="676" ht="15" customHeight="1" s="508">
      <c r="A676" s="972" t="inlineStr">
        <is>
          <t>Malicious Insider</t>
        </is>
      </c>
      <c r="B676" s="972" t="inlineStr">
        <is>
          <t>Operational Disruption</t>
        </is>
      </c>
      <c r="C676" s="972" t="inlineStr">
        <is>
          <t>T0820</t>
        </is>
      </c>
      <c r="D676" s="972" t="inlineStr">
        <is>
          <t>Exploitation for Evasion</t>
        </is>
      </c>
      <c r="E676" s="972" t="inlineStr">
        <is>
          <t>S2</t>
        </is>
      </c>
      <c r="F676" s="972" t="inlineStr">
        <is>
          <t>Candidate enabling technique</t>
        </is>
      </c>
      <c r="G676" s="972" t="inlineStr">
        <is>
          <t>Yes</t>
        </is>
      </c>
      <c r="H676" s="972" t="inlineStr">
        <is>
          <t>Yes</t>
        </is>
      </c>
      <c r="I676" s="972" t="inlineStr">
        <is>
          <t>Yes</t>
        </is>
      </c>
      <c r="J676" s="972" t="n">
        <v>4</v>
      </c>
      <c r="K676" s="972" t="inlineStr">
        <is>
          <t>Model Mapping</t>
        </is>
      </c>
      <c r="L676" s="452" t="inlineStr">
        <is>
          <t>https://attack.mitre.org/techniques/T0820</t>
        </is>
      </c>
      <c r="M676" s="973" t="inlineStr">
        <is>
          <t>Yes</t>
        </is>
      </c>
      <c r="N676" s="973" t="inlineStr">
        <is>
          <t>No explicit facility gate — defaults feasible</t>
        </is>
      </c>
      <c r="O676" s="973" t="inlineStr">
        <is>
          <t>Exploitation for Evasion is applicable to execution or persistence on engineering workstations, HMIs, servers or controllers used in Power Generation facilities.</t>
        </is>
      </c>
      <c r="P676" s="973" t="inlineStr">
        <is>
          <t>https://csrc.nist.gov/pubs/sp/800/82/r3/final</t>
        </is>
      </c>
    </row>
    <row r="677" ht="15" customHeight="1" s="508">
      <c r="A677" s="972" t="inlineStr">
        <is>
          <t>Malicious Insider</t>
        </is>
      </c>
      <c r="B677" s="972" t="inlineStr">
        <is>
          <t>Operational Disruption</t>
        </is>
      </c>
      <c r="C677" s="972" t="inlineStr">
        <is>
          <t>T0890</t>
        </is>
      </c>
      <c r="D677" s="972" t="inlineStr">
        <is>
          <t>Exploitation for Privilege Escalation</t>
        </is>
      </c>
      <c r="E677" s="972" t="inlineStr">
        <is>
          <t>S2</t>
        </is>
      </c>
      <c r="F677" s="972" t="inlineStr">
        <is>
          <t>Candidate enabling technique</t>
        </is>
      </c>
      <c r="G677" s="972" t="inlineStr">
        <is>
          <t>Yes</t>
        </is>
      </c>
      <c r="H677" s="972" t="inlineStr">
        <is>
          <t>Yes</t>
        </is>
      </c>
      <c r="I677" s="972" t="inlineStr">
        <is>
          <t>Yes</t>
        </is>
      </c>
      <c r="J677" s="972" t="n">
        <v>4</v>
      </c>
      <c r="K677" s="972" t="inlineStr">
        <is>
          <t>Model Mapping</t>
        </is>
      </c>
      <c r="L677" s="452" t="inlineStr">
        <is>
          <t>https://attack.mitre.org/techniques/T0890</t>
        </is>
      </c>
      <c r="M677" s="973" t="inlineStr">
        <is>
          <t>Yes</t>
        </is>
      </c>
      <c r="N677" s="973" t="inlineStr">
        <is>
          <t>No explicit facility gate — defaults feasible</t>
        </is>
      </c>
      <c r="O677" s="973" t="inlineStr">
        <is>
          <t>Exploitation for Privilege Escalation is applicable to execution or persistence on engineering workstations, HMIs, servers or controllers used in Power Generation facilities.</t>
        </is>
      </c>
      <c r="P677" s="973" t="inlineStr">
        <is>
          <t>https://csrc.nist.gov/pubs/sp/800/82/r3/final</t>
        </is>
      </c>
    </row>
    <row r="678" ht="15" customHeight="1" s="508">
      <c r="A678" s="972" t="inlineStr">
        <is>
          <t>Malicious Insider</t>
        </is>
      </c>
      <c r="B678" s="972" t="inlineStr">
        <is>
          <t>Operational Disruption</t>
        </is>
      </c>
      <c r="C678" s="972" t="inlineStr">
        <is>
          <t>T0866</t>
        </is>
      </c>
      <c r="D678" s="972" t="inlineStr">
        <is>
          <t>Exploitation of Remote Services</t>
        </is>
      </c>
      <c r="E678" s="972" t="inlineStr">
        <is>
          <t>S1</t>
        </is>
      </c>
      <c r="F678" s="972" t="inlineStr">
        <is>
          <t>Candidate enabling technique</t>
        </is>
      </c>
      <c r="G678" s="972" t="inlineStr">
        <is>
          <t>No</t>
        </is>
      </c>
      <c r="H678" s="972" t="inlineStr">
        <is>
          <t>Yes</t>
        </is>
      </c>
      <c r="I678" s="972" t="inlineStr">
        <is>
          <t>No</t>
        </is>
      </c>
      <c r="J678" s="972" t="n">
        <v>8</v>
      </c>
      <c r="K678" s="972" t="inlineStr">
        <is>
          <t>Model Mapping</t>
        </is>
      </c>
      <c r="L678" s="452" t="inlineStr">
        <is>
          <t>https://attack.mitre.org/techniques/T0866</t>
        </is>
      </c>
      <c r="M678" s="973" t="inlineStr">
        <is>
          <t>Yes</t>
        </is>
      </c>
      <c r="N678" s="973" t="inlineStr">
        <is>
          <t>REMOTE_OR_ITOT — Remote path or IT-OT connection</t>
        </is>
      </c>
      <c r="O678" s="973" t="inlineStr">
        <is>
          <t>The Exploitation of Remote Services route is credible for Power Generation OT when the enabling access condition exists; existing facility gates determine remote, internet, transient, supply-chain or wireless feasibility.</t>
        </is>
      </c>
      <c r="P678" s="973" t="inlineStr">
        <is>
          <t>https://csrc.nist.gov/pubs/sp/800/82/r3/final</t>
        </is>
      </c>
    </row>
    <row r="679" ht="15" customHeight="1" s="508">
      <c r="A679" s="972" t="inlineStr">
        <is>
          <t>Malicious Insider</t>
        </is>
      </c>
      <c r="B679" s="972" t="inlineStr">
        <is>
          <t>Operational Disruption</t>
        </is>
      </c>
      <c r="C679" s="972" t="inlineStr">
        <is>
          <t>T0822</t>
        </is>
      </c>
      <c r="D679" s="972" t="inlineStr">
        <is>
          <t>External Remote Services</t>
        </is>
      </c>
      <c r="E679" s="972" t="inlineStr">
        <is>
          <t>S1</t>
        </is>
      </c>
      <c r="F679" s="972" t="inlineStr">
        <is>
          <t>Candidate enabling technique</t>
        </is>
      </c>
      <c r="G679" s="972" t="inlineStr">
        <is>
          <t>No</t>
        </is>
      </c>
      <c r="H679" s="972" t="inlineStr">
        <is>
          <t>Yes</t>
        </is>
      </c>
      <c r="I679" s="972" t="inlineStr">
        <is>
          <t>No</t>
        </is>
      </c>
      <c r="J679" s="972" t="n">
        <v>7</v>
      </c>
      <c r="K679" s="972" t="inlineStr">
        <is>
          <t>Model Mapping</t>
        </is>
      </c>
      <c r="L679" s="452" t="inlineStr">
        <is>
          <t>https://attack.mitre.org/techniques/T0822</t>
        </is>
      </c>
      <c r="M679" s="973" t="inlineStr">
        <is>
          <t>Yes</t>
        </is>
      </c>
      <c r="N679" s="973" t="inlineStr">
        <is>
          <t>REMOTE_REQUIRED — Not None</t>
        </is>
      </c>
      <c r="O679" s="973" t="inlineStr">
        <is>
          <t>The External Remote Services route is credible for Power Generation OT when the enabling access condition exists; existing facility gates determine remote, internet, transient, supply-chain or wireless feasibility.</t>
        </is>
      </c>
      <c r="P679" s="973" t="inlineStr">
        <is>
          <t>https://csrc.nist.gov/pubs/sp/800/82/r3/final</t>
        </is>
      </c>
    </row>
    <row r="680" ht="15" customHeight="1" s="508">
      <c r="A680" s="972" t="inlineStr">
        <is>
          <t>Malicious Insider</t>
        </is>
      </c>
      <c r="B680" s="972" t="inlineStr">
        <is>
          <t>Operational Disruption</t>
        </is>
      </c>
      <c r="C680" s="972" t="inlineStr">
        <is>
          <t>T0823</t>
        </is>
      </c>
      <c r="D680" s="972" t="inlineStr">
        <is>
          <t>Graphical User Interface</t>
        </is>
      </c>
      <c r="E680" s="972" t="inlineStr">
        <is>
          <t>S2</t>
        </is>
      </c>
      <c r="F680" s="972" t="inlineStr">
        <is>
          <t>Candidate enabling technique</t>
        </is>
      </c>
      <c r="G680" s="972" t="inlineStr">
        <is>
          <t>Yes</t>
        </is>
      </c>
      <c r="H680" s="972" t="inlineStr">
        <is>
          <t>Yes</t>
        </is>
      </c>
      <c r="I680" s="972" t="inlineStr">
        <is>
          <t>Yes</t>
        </is>
      </c>
      <c r="J680" s="972" t="n">
        <v>1</v>
      </c>
      <c r="K680" s="972" t="inlineStr">
        <is>
          <t>Model Mapping</t>
        </is>
      </c>
      <c r="L680" s="452" t="inlineStr">
        <is>
          <t>https://attack.mitre.org/techniques/T0823</t>
        </is>
      </c>
      <c r="M680" s="973" t="inlineStr">
        <is>
          <t>Yes</t>
        </is>
      </c>
      <c r="N680" s="973" t="inlineStr">
        <is>
          <t>No explicit facility gate — defaults feasible</t>
        </is>
      </c>
      <c r="O680" s="973" t="inlineStr">
        <is>
          <t>Graphical User Interface is applicable to execution or persistence on engineering workstations, HMIs, servers or controllers used in Power Generation facilities.</t>
        </is>
      </c>
      <c r="P680" s="973" t="inlineStr">
        <is>
          <t>https://csrc.nist.gov/pubs/sp/800/82/r3/final</t>
        </is>
      </c>
    </row>
    <row r="681" ht="15" customHeight="1" s="508">
      <c r="A681" s="972" t="inlineStr">
        <is>
          <t>Malicious Insider</t>
        </is>
      </c>
      <c r="B681" s="972" t="inlineStr">
        <is>
          <t>Operational Disruption</t>
        </is>
      </c>
      <c r="C681" s="972" t="inlineStr">
        <is>
          <t>T1694.002</t>
        </is>
      </c>
      <c r="D681" s="972" t="inlineStr">
        <is>
          <t>Hardcoded Credentials</t>
        </is>
      </c>
      <c r="E681" s="972" t="inlineStr">
        <is>
          <t>S3</t>
        </is>
      </c>
      <c r="F681" s="972" t="inlineStr">
        <is>
          <t>Candidate enabling technique</t>
        </is>
      </c>
      <c r="G681" s="972" t="inlineStr">
        <is>
          <t>Yes</t>
        </is>
      </c>
      <c r="H681" s="972" t="inlineStr">
        <is>
          <t>Yes</t>
        </is>
      </c>
      <c r="I681" s="972" t="inlineStr">
        <is>
          <t>Yes</t>
        </is>
      </c>
      <c r="J681" s="972" t="n">
        <v>1</v>
      </c>
      <c r="K681" s="972" t="inlineStr">
        <is>
          <t>Model Mapping</t>
        </is>
      </c>
      <c r="L681" s="452" t="inlineStr">
        <is>
          <t>https://attack.mitre.org/techniques/T1694/002</t>
        </is>
      </c>
      <c r="M681" s="973" t="inlineStr">
        <is>
          <t>Yes</t>
        </is>
      </c>
      <c r="N681" s="973" t="inlineStr">
        <is>
          <t>No explicit facility gate — defaults feasible</t>
        </is>
      </c>
      <c r="O681" s="973" t="inlineStr">
        <is>
          <t>Hardcoded Credentials can support movement toward or within plant/control zones; actual reachability is governed by the assessed facility architecture.</t>
        </is>
      </c>
      <c r="P681" s="973" t="inlineStr">
        <is>
          <t>https://csrc.nist.gov/pubs/sp/800/82/r3/final</t>
        </is>
      </c>
    </row>
    <row r="682" ht="15" customHeight="1" s="508">
      <c r="A682" s="972" t="inlineStr">
        <is>
          <t>Malicious Insider</t>
        </is>
      </c>
      <c r="B682" s="972" t="inlineStr">
        <is>
          <t>Operational Disruption</t>
        </is>
      </c>
      <c r="C682" s="972" t="inlineStr">
        <is>
          <t>T0874</t>
        </is>
      </c>
      <c r="D682" s="972" t="inlineStr">
        <is>
          <t>Hooking</t>
        </is>
      </c>
      <c r="E682" s="972" t="inlineStr">
        <is>
          <t>S2</t>
        </is>
      </c>
      <c r="F682" s="972" t="inlineStr">
        <is>
          <t>Candidate enabling technique</t>
        </is>
      </c>
      <c r="G682" s="972" t="inlineStr">
        <is>
          <t>Yes</t>
        </is>
      </c>
      <c r="H682" s="972" t="inlineStr">
        <is>
          <t>Yes</t>
        </is>
      </c>
      <c r="I682" s="972" t="inlineStr">
        <is>
          <t>Yes</t>
        </is>
      </c>
      <c r="J682" s="972" t="n">
        <v>2</v>
      </c>
      <c r="K682" s="972" t="inlineStr">
        <is>
          <t>Model Mapping</t>
        </is>
      </c>
      <c r="L682" s="452" t="inlineStr">
        <is>
          <t>https://attack.mitre.org/techniques/T0874</t>
        </is>
      </c>
      <c r="M682" s="973" t="inlineStr">
        <is>
          <t>Yes</t>
        </is>
      </c>
      <c r="N682" s="973" t="inlineStr">
        <is>
          <t>No explicit facility gate — defaults feasible</t>
        </is>
      </c>
      <c r="O682" s="973" t="inlineStr">
        <is>
          <t>Hooking is applicable to execution or persistence on engineering workstations, HMIs, servers or controllers used in Power Generation facilities.</t>
        </is>
      </c>
      <c r="P682" s="973" t="inlineStr">
        <is>
          <t>https://csrc.nist.gov/pubs/sp/800/82/r3/final</t>
        </is>
      </c>
    </row>
    <row r="683" ht="15" customHeight="1" s="508">
      <c r="A683" s="972" t="inlineStr">
        <is>
          <t>Malicious Insider</t>
        </is>
      </c>
      <c r="B683" s="972" t="inlineStr">
        <is>
          <t>Operational Disruption</t>
        </is>
      </c>
      <c r="C683" s="972" t="inlineStr">
        <is>
          <t>T0877</t>
        </is>
      </c>
      <c r="D683" s="972" t="inlineStr">
        <is>
          <t>I/O Image</t>
        </is>
      </c>
      <c r="E683" s="972" t="inlineStr">
        <is>
          <t>S4</t>
        </is>
      </c>
      <c r="F683" s="972" t="inlineStr">
        <is>
          <t>Candidate enabling technique</t>
        </is>
      </c>
      <c r="G683" s="972" t="inlineStr">
        <is>
          <t>Yes</t>
        </is>
      </c>
      <c r="H683" s="972" t="inlineStr">
        <is>
          <t>Yes</t>
        </is>
      </c>
      <c r="I683" s="972" t="inlineStr">
        <is>
          <t>Yes</t>
        </is>
      </c>
      <c r="J683" s="972" t="n">
        <v>1</v>
      </c>
      <c r="K683" s="972" t="inlineStr">
        <is>
          <t>Model Mapping</t>
        </is>
      </c>
      <c r="L683" s="452" t="inlineStr">
        <is>
          <t>https://attack.mitre.org/techniques/T0877</t>
        </is>
      </c>
      <c r="M683" s="973" t="inlineStr">
        <is>
          <t>Yes</t>
        </is>
      </c>
      <c r="N683" s="973" t="inlineStr">
        <is>
          <t>No explicit facility gate — defaults feasible</t>
        </is>
      </c>
      <c r="O683" s="973" t="inlineStr">
        <is>
          <t>I/O Image can support discovery or interaction with process state, control assets and operational data in Power Generation environments.</t>
        </is>
      </c>
      <c r="P683" s="973" t="inlineStr">
        <is>
          <t>https://csrc.nist.gov/pubs/sp/800/82/r3/final</t>
        </is>
      </c>
    </row>
    <row r="684" ht="15" customHeight="1" s="508">
      <c r="A684" s="972" t="inlineStr">
        <is>
          <t>Malicious Insider</t>
        </is>
      </c>
      <c r="B684" s="972" t="inlineStr">
        <is>
          <t>Operational Disruption</t>
        </is>
      </c>
      <c r="C684" s="972" t="inlineStr">
        <is>
          <t>T0872</t>
        </is>
      </c>
      <c r="D684" s="972" t="inlineStr">
        <is>
          <t>Indicator Removal on Host</t>
        </is>
      </c>
      <c r="E684" s="972" t="inlineStr">
        <is>
          <t>S2</t>
        </is>
      </c>
      <c r="F684" s="972" t="inlineStr">
        <is>
          <t>Candidate enabling technique</t>
        </is>
      </c>
      <c r="G684" s="972" t="inlineStr">
        <is>
          <t>Yes</t>
        </is>
      </c>
      <c r="H684" s="972" t="inlineStr">
        <is>
          <t>Yes</t>
        </is>
      </c>
      <c r="I684" s="972" t="inlineStr">
        <is>
          <t>Yes</t>
        </is>
      </c>
      <c r="J684" s="972" t="n">
        <v>1</v>
      </c>
      <c r="K684" s="972" t="inlineStr">
        <is>
          <t>Model Mapping</t>
        </is>
      </c>
      <c r="L684" s="452" t="inlineStr">
        <is>
          <t>https://attack.mitre.org/techniques/T0872</t>
        </is>
      </c>
      <c r="M684" s="973" t="inlineStr">
        <is>
          <t>Yes</t>
        </is>
      </c>
      <c r="N684" s="973" t="inlineStr">
        <is>
          <t>No explicit facility gate — defaults feasible</t>
        </is>
      </c>
      <c r="O684" s="973" t="inlineStr">
        <is>
          <t>Indicator Removal on Host is applicable to execution or persistence on engineering workstations, HMIs, servers or controllers used in Power Generation facilities.</t>
        </is>
      </c>
      <c r="P684" s="973" t="inlineStr">
        <is>
          <t>https://csrc.nist.gov/pubs/sp/800/82/r3/final</t>
        </is>
      </c>
    </row>
    <row r="685" ht="15" customHeight="1" s="508">
      <c r="A685" s="972" t="inlineStr">
        <is>
          <t>Malicious Insider</t>
        </is>
      </c>
      <c r="B685" s="972" t="inlineStr">
        <is>
          <t>Operational Disruption</t>
        </is>
      </c>
      <c r="C685" s="972" t="inlineStr">
        <is>
          <t>T0883</t>
        </is>
      </c>
      <c r="D685" s="972" t="inlineStr">
        <is>
          <t>Internet Accessible Device</t>
        </is>
      </c>
      <c r="E685" s="972" t="inlineStr">
        <is>
          <t>S1</t>
        </is>
      </c>
      <c r="F685" s="972" t="inlineStr">
        <is>
          <t>Candidate enabling technique</t>
        </is>
      </c>
      <c r="G685" s="972" t="inlineStr">
        <is>
          <t>No</t>
        </is>
      </c>
      <c r="H685" s="972" t="inlineStr">
        <is>
          <t>No</t>
        </is>
      </c>
      <c r="I685" s="972" t="inlineStr">
        <is>
          <t>No</t>
        </is>
      </c>
      <c r="J685" s="972" t="n">
        <v>1</v>
      </c>
      <c r="K685" s="972" t="inlineStr">
        <is>
          <t>Model Mapping</t>
        </is>
      </c>
      <c r="L685" s="452" t="inlineStr">
        <is>
          <t>https://attack.mitre.org/techniques/T0883</t>
        </is>
      </c>
      <c r="M685" s="973" t="inlineStr">
        <is>
          <t>Yes</t>
        </is>
      </c>
      <c r="N685" s="973" t="inlineStr">
        <is>
          <t>INTERNET_OT — Yes</t>
        </is>
      </c>
      <c r="O685" s="973" t="inlineStr">
        <is>
          <t>The Internet Accessible Device route is credible for Power Generation OT when the enabling access condition exists; existing facility gates determine remote, internet, transient, supply-chain or wireless feasibility.</t>
        </is>
      </c>
      <c r="P685" s="973" t="inlineStr">
        <is>
          <t>https://csrc.nist.gov/pubs/sp/800/82/r3/final</t>
        </is>
      </c>
    </row>
    <row r="686" ht="15" customHeight="1" s="508">
      <c r="A686" s="972" t="inlineStr">
        <is>
          <t>Malicious Insider</t>
        </is>
      </c>
      <c r="B686" s="972" t="inlineStr">
        <is>
          <t>Operational Disruption</t>
        </is>
      </c>
      <c r="C686" s="972" t="inlineStr">
        <is>
          <t>T0867</t>
        </is>
      </c>
      <c r="D686" s="972" t="inlineStr">
        <is>
          <t>Lateral Tool Transfer</t>
        </is>
      </c>
      <c r="E686" s="972" t="inlineStr">
        <is>
          <t>S3</t>
        </is>
      </c>
      <c r="F686" s="972" t="inlineStr">
        <is>
          <t>Candidate enabling technique</t>
        </is>
      </c>
      <c r="G686" s="972" t="inlineStr">
        <is>
          <t>Yes</t>
        </is>
      </c>
      <c r="H686" s="972" t="inlineStr">
        <is>
          <t>Yes</t>
        </is>
      </c>
      <c r="I686" s="972" t="inlineStr">
        <is>
          <t>Yes</t>
        </is>
      </c>
      <c r="J686" s="972" t="n">
        <v>1</v>
      </c>
      <c r="K686" s="972" t="inlineStr">
        <is>
          <t>Model Mapping</t>
        </is>
      </c>
      <c r="L686" s="452" t="inlineStr">
        <is>
          <t>https://attack.mitre.org/techniques/T0867</t>
        </is>
      </c>
      <c r="M686" s="973" t="inlineStr">
        <is>
          <t>Yes</t>
        </is>
      </c>
      <c r="N686" s="973" t="inlineStr">
        <is>
          <t>No explicit facility gate — defaults feasible</t>
        </is>
      </c>
      <c r="O686" s="973" t="inlineStr">
        <is>
          <t>Lateral Tool Transfer can support movement toward or within plant/control zones; actual reachability is governed by the assessed facility architecture.</t>
        </is>
      </c>
      <c r="P686" s="973" t="inlineStr">
        <is>
          <t>https://csrc.nist.gov/pubs/sp/800/82/r3/final</t>
        </is>
      </c>
    </row>
    <row r="687" ht="15" customHeight="1" s="508">
      <c r="A687" s="972" t="inlineStr">
        <is>
          <t>Malicious Insider</t>
        </is>
      </c>
      <c r="B687" s="972" t="inlineStr">
        <is>
          <t>Operational Disruption</t>
        </is>
      </c>
      <c r="C687" s="972" t="inlineStr">
        <is>
          <t>T0826</t>
        </is>
      </c>
      <c r="D687" s="972" t="inlineStr">
        <is>
          <t>Loss of Availability</t>
        </is>
      </c>
      <c r="E687" s="972" t="inlineStr">
        <is>
          <t>S5</t>
        </is>
      </c>
      <c r="F687" s="972" t="inlineStr">
        <is>
          <t>Scenario-defining</t>
        </is>
      </c>
      <c r="G687" s="972" t="inlineStr">
        <is>
          <t>Yes</t>
        </is>
      </c>
      <c r="H687" s="972" t="inlineStr">
        <is>
          <t>Yes</t>
        </is>
      </c>
      <c r="I687" s="972" t="inlineStr">
        <is>
          <t>Yes</t>
        </is>
      </c>
      <c r="J687" s="972" t="n">
        <v>3</v>
      </c>
      <c r="K687" s="972" t="inlineStr">
        <is>
          <t>Model Mapping</t>
        </is>
      </c>
      <c r="L687" s="452" t="inlineStr">
        <is>
          <t>https://attack.mitre.org/techniques/T0826</t>
        </is>
      </c>
      <c r="M687" s="973" t="inlineStr">
        <is>
          <t>Yes</t>
        </is>
      </c>
      <c r="N687" s="973" t="inlineStr">
        <is>
          <t>No explicit facility gate — defaults feasible</t>
        </is>
      </c>
      <c r="O687" s="973" t="inlineStr">
        <is>
          <t>Loss of Availability is an ATT&amp;CK for ICS impact or response-inhibition technique that can support one or more governed adverse scenarios; scenario role remains controlled on 09.</t>
        </is>
      </c>
      <c r="P687" s="973" t="inlineStr">
        <is>
          <t>https://csrc.nist.gov/pubs/sp/800/82/r3/final</t>
        </is>
      </c>
    </row>
    <row r="688" ht="15" customHeight="1" s="508">
      <c r="A688" s="972" t="inlineStr">
        <is>
          <t>Malicious Insider</t>
        </is>
      </c>
      <c r="B688" s="972" t="inlineStr">
        <is>
          <t>Operational Disruption</t>
        </is>
      </c>
      <c r="C688" s="972" t="inlineStr">
        <is>
          <t>T0849</t>
        </is>
      </c>
      <c r="D688" s="972" t="inlineStr">
        <is>
          <t>Masquerading</t>
        </is>
      </c>
      <c r="E688" s="972" t="inlineStr">
        <is>
          <t>S2</t>
        </is>
      </c>
      <c r="F688" s="972" t="inlineStr">
        <is>
          <t>Candidate enabling technique</t>
        </is>
      </c>
      <c r="G688" s="972" t="inlineStr">
        <is>
          <t>Yes</t>
        </is>
      </c>
      <c r="H688" s="972" t="inlineStr">
        <is>
          <t>Yes</t>
        </is>
      </c>
      <c r="I688" s="972" t="inlineStr">
        <is>
          <t>Yes</t>
        </is>
      </c>
      <c r="J688" s="972" t="n">
        <v>3</v>
      </c>
      <c r="K688" s="972" t="inlineStr">
        <is>
          <t>Model Mapping</t>
        </is>
      </c>
      <c r="L688" s="452" t="inlineStr">
        <is>
          <t>https://attack.mitre.org/techniques/T0849</t>
        </is>
      </c>
      <c r="M688" s="973" t="inlineStr">
        <is>
          <t>Yes</t>
        </is>
      </c>
      <c r="N688" s="973" t="inlineStr">
        <is>
          <t>No explicit facility gate — defaults feasible</t>
        </is>
      </c>
      <c r="O688" s="973" t="inlineStr">
        <is>
          <t>Masquerading is applicable to execution or persistence on engineering workstations, HMIs, servers or controllers used in Power Generation facilities.</t>
        </is>
      </c>
      <c r="P688" s="973" t="inlineStr">
        <is>
          <t>https://csrc.nist.gov/pubs/sp/800/82/r3/final</t>
        </is>
      </c>
    </row>
    <row r="689" ht="15" customHeight="1" s="508">
      <c r="A689" s="972" t="inlineStr">
        <is>
          <t>Malicious Insider</t>
        </is>
      </c>
      <c r="B689" s="972" t="inlineStr">
        <is>
          <t>Operational Disruption</t>
        </is>
      </c>
      <c r="C689" s="972" t="inlineStr">
        <is>
          <t>T0821</t>
        </is>
      </c>
      <c r="D689" s="972" t="inlineStr">
        <is>
          <t>Modify Controller Tasking</t>
        </is>
      </c>
      <c r="E689" s="972" t="inlineStr">
        <is>
          <t>S2</t>
        </is>
      </c>
      <c r="F689" s="972" t="inlineStr">
        <is>
          <t>Candidate enabling technique</t>
        </is>
      </c>
      <c r="G689" s="972" t="inlineStr">
        <is>
          <t>Yes</t>
        </is>
      </c>
      <c r="H689" s="972" t="inlineStr">
        <is>
          <t>Yes</t>
        </is>
      </c>
      <c r="I689" s="972" t="inlineStr">
        <is>
          <t>Yes</t>
        </is>
      </c>
      <c r="J689" s="972" t="n">
        <v>4</v>
      </c>
      <c r="K689" s="972" t="inlineStr">
        <is>
          <t>Model Mapping</t>
        </is>
      </c>
      <c r="L689" s="452" t="inlineStr">
        <is>
          <t>https://attack.mitre.org/techniques/T0821</t>
        </is>
      </c>
      <c r="M689" s="973" t="inlineStr">
        <is>
          <t>Yes</t>
        </is>
      </c>
      <c r="N689" s="973" t="inlineStr">
        <is>
          <t>No explicit facility gate — defaults feasible</t>
        </is>
      </c>
      <c r="O689" s="973" t="inlineStr">
        <is>
          <t>Modify Controller Tasking is applicable to execution or persistence on engineering workstations, HMIs, servers or controllers used in Power Generation facilities.</t>
        </is>
      </c>
      <c r="P689" s="973" t="inlineStr">
        <is>
          <t>https://csrc.nist.gov/pubs/sp/800/82/r3/final</t>
        </is>
      </c>
    </row>
    <row r="690" ht="15" customHeight="1" s="508">
      <c r="A690" s="972" t="inlineStr">
        <is>
          <t>Malicious Insider</t>
        </is>
      </c>
      <c r="B690" s="972" t="inlineStr">
        <is>
          <t>Operational Disruption</t>
        </is>
      </c>
      <c r="C690" s="972" t="inlineStr">
        <is>
          <t>T0889</t>
        </is>
      </c>
      <c r="D690" s="972" t="inlineStr">
        <is>
          <t>Modify Program</t>
        </is>
      </c>
      <c r="E690" s="972" t="inlineStr">
        <is>
          <t>S2</t>
        </is>
      </c>
      <c r="F690" s="972" t="inlineStr">
        <is>
          <t>Candidate enabling technique</t>
        </is>
      </c>
      <c r="G690" s="972" t="inlineStr">
        <is>
          <t>Yes</t>
        </is>
      </c>
      <c r="H690" s="972" t="inlineStr">
        <is>
          <t>Yes</t>
        </is>
      </c>
      <c r="I690" s="972" t="inlineStr">
        <is>
          <t>Yes</t>
        </is>
      </c>
      <c r="J690" s="972" t="n">
        <v>4</v>
      </c>
      <c r="K690" s="972" t="inlineStr">
        <is>
          <t>Model Mapping</t>
        </is>
      </c>
      <c r="L690" s="452" t="inlineStr">
        <is>
          <t>https://attack.mitre.org/techniques/T0889</t>
        </is>
      </c>
      <c r="M690" s="973" t="inlineStr">
        <is>
          <t>Yes</t>
        </is>
      </c>
      <c r="N690" s="973" t="inlineStr">
        <is>
          <t>No explicit facility gate — defaults feasible</t>
        </is>
      </c>
      <c r="O690" s="973" t="inlineStr">
        <is>
          <t>Modify Program is applicable to execution or persistence on engineering workstations, HMIs, servers or controllers used in Power Generation facilities.</t>
        </is>
      </c>
      <c r="P690" s="973" t="inlineStr">
        <is>
          <t>https://csrc.nist.gov/pubs/sp/800/82/r3/final</t>
        </is>
      </c>
    </row>
    <row r="691" ht="15" customHeight="1" s="508">
      <c r="A691" s="972" t="inlineStr">
        <is>
          <t>Malicious Insider</t>
        </is>
      </c>
      <c r="B691" s="972" t="inlineStr">
        <is>
          <t>Operational Disruption</t>
        </is>
      </c>
      <c r="C691" s="972" t="inlineStr">
        <is>
          <t>T0801</t>
        </is>
      </c>
      <c r="D691" s="972" t="inlineStr">
        <is>
          <t>Monitor Process State</t>
        </is>
      </c>
      <c r="E691" s="972" t="inlineStr">
        <is>
          <t>S4</t>
        </is>
      </c>
      <c r="F691" s="972" t="inlineStr">
        <is>
          <t>Candidate enabling technique</t>
        </is>
      </c>
      <c r="G691" s="972" t="inlineStr">
        <is>
          <t>Yes</t>
        </is>
      </c>
      <c r="H691" s="972" t="inlineStr">
        <is>
          <t>Yes</t>
        </is>
      </c>
      <c r="I691" s="972" t="inlineStr">
        <is>
          <t>Yes</t>
        </is>
      </c>
      <c r="J691" s="972" t="n">
        <v>1</v>
      </c>
      <c r="K691" s="972" t="inlineStr">
        <is>
          <t>Model Mapping</t>
        </is>
      </c>
      <c r="L691" s="452" t="inlineStr">
        <is>
          <t>https://attack.mitre.org/techniques/T0801</t>
        </is>
      </c>
      <c r="M691" s="973" t="inlineStr">
        <is>
          <t>Yes</t>
        </is>
      </c>
      <c r="N691" s="973" t="inlineStr">
        <is>
          <t>No explicit facility gate — defaults feasible</t>
        </is>
      </c>
      <c r="O691" s="973" t="inlineStr">
        <is>
          <t>Monitor Process State can support discovery or interaction with process state, control assets and operational data in Power Generation environments.</t>
        </is>
      </c>
      <c r="P691" s="973" t="inlineStr">
        <is>
          <t>https://csrc.nist.gov/pubs/sp/800/82/r3/final</t>
        </is>
      </c>
    </row>
    <row r="692" ht="15" customHeight="1" s="508">
      <c r="A692" s="972" t="inlineStr">
        <is>
          <t>Malicious Insider</t>
        </is>
      </c>
      <c r="B692" s="972" t="inlineStr">
        <is>
          <t>Operational Disruption</t>
        </is>
      </c>
      <c r="C692" s="972" t="inlineStr">
        <is>
          <t>T0846.003</t>
        </is>
      </c>
      <c r="D692" s="972" t="inlineStr">
        <is>
          <t>Multicast Discovery</t>
        </is>
      </c>
      <c r="E692" s="972" t="inlineStr">
        <is>
          <t>S4</t>
        </is>
      </c>
      <c r="F692" s="972" t="inlineStr">
        <is>
          <t>Candidate enabling technique</t>
        </is>
      </c>
      <c r="G692" s="972" t="inlineStr">
        <is>
          <t>Yes</t>
        </is>
      </c>
      <c r="H692" s="972" t="inlineStr">
        <is>
          <t>Yes</t>
        </is>
      </c>
      <c r="I692" s="972" t="inlineStr">
        <is>
          <t>Yes</t>
        </is>
      </c>
      <c r="J692" s="972" t="n">
        <v>2</v>
      </c>
      <c r="K692" s="972" t="inlineStr">
        <is>
          <t>Model Mapping</t>
        </is>
      </c>
      <c r="L692" s="452" t="inlineStr">
        <is>
          <t>https://attack.mitre.org/techniques/T0846/003</t>
        </is>
      </c>
      <c r="M692" s="973" t="inlineStr">
        <is>
          <t>Yes</t>
        </is>
      </c>
      <c r="N692" s="973" t="inlineStr">
        <is>
          <t>No explicit facility gate — defaults feasible</t>
        </is>
      </c>
      <c r="O692" s="973" t="inlineStr">
        <is>
          <t>Multicast Discovery can support discovery or interaction with process state, control assets and operational data in Power Generation environments.</t>
        </is>
      </c>
      <c r="P692" s="973" t="inlineStr">
        <is>
          <t>https://csrc.nist.gov/pubs/sp/800/82/r3/final</t>
        </is>
      </c>
    </row>
    <row r="693" ht="15" customHeight="1" s="508">
      <c r="A693" s="972" t="inlineStr">
        <is>
          <t>Malicious Insider</t>
        </is>
      </c>
      <c r="B693" s="972" t="inlineStr">
        <is>
          <t>Operational Disruption</t>
        </is>
      </c>
      <c r="C693" s="972" t="inlineStr">
        <is>
          <t>T0834</t>
        </is>
      </c>
      <c r="D693" s="972" t="inlineStr">
        <is>
          <t>Native API</t>
        </is>
      </c>
      <c r="E693" s="972" t="inlineStr">
        <is>
          <t>S2</t>
        </is>
      </c>
      <c r="F693" s="972" t="inlineStr">
        <is>
          <t>Candidate enabling technique</t>
        </is>
      </c>
      <c r="G693" s="972" t="inlineStr">
        <is>
          <t>Yes</t>
        </is>
      </c>
      <c r="H693" s="972" t="inlineStr">
        <is>
          <t>Yes</t>
        </is>
      </c>
      <c r="I693" s="972" t="inlineStr">
        <is>
          <t>Yes</t>
        </is>
      </c>
      <c r="J693" s="972" t="n">
        <v>1</v>
      </c>
      <c r="K693" s="972" t="inlineStr">
        <is>
          <t>Model Mapping</t>
        </is>
      </c>
      <c r="L693" s="452" t="inlineStr">
        <is>
          <t>https://attack.mitre.org/techniques/T0834</t>
        </is>
      </c>
      <c r="M693" s="973" t="inlineStr">
        <is>
          <t>Yes</t>
        </is>
      </c>
      <c r="N693" s="973" t="inlineStr">
        <is>
          <t>No explicit facility gate — defaults feasible</t>
        </is>
      </c>
      <c r="O693" s="973" t="inlineStr">
        <is>
          <t>Native API is applicable to execution or persistence on engineering workstations, HMIs, servers or controllers used in Power Generation facilities.</t>
        </is>
      </c>
      <c r="P693" s="973" t="inlineStr">
        <is>
          <t>https://csrc.nist.gov/pubs/sp/800/82/r3/final</t>
        </is>
      </c>
    </row>
    <row r="694" ht="15" customHeight="1" s="508">
      <c r="A694" s="972" t="inlineStr">
        <is>
          <t>Malicious Insider</t>
        </is>
      </c>
      <c r="B694" s="972" t="inlineStr">
        <is>
          <t>Operational Disruption</t>
        </is>
      </c>
      <c r="C694" s="972" t="inlineStr">
        <is>
          <t>T0840</t>
        </is>
      </c>
      <c r="D694" s="972" t="inlineStr">
        <is>
          <t>Network Connection Enumeration</t>
        </is>
      </c>
      <c r="E694" s="972" t="inlineStr">
        <is>
          <t>S4</t>
        </is>
      </c>
      <c r="F694" s="972" t="inlineStr">
        <is>
          <t>Candidate enabling technique</t>
        </is>
      </c>
      <c r="G694" s="972" t="inlineStr">
        <is>
          <t>Yes</t>
        </is>
      </c>
      <c r="H694" s="972" t="inlineStr">
        <is>
          <t>Yes</t>
        </is>
      </c>
      <c r="I694" s="972" t="inlineStr">
        <is>
          <t>Yes</t>
        </is>
      </c>
      <c r="J694" s="972" t="n">
        <v>1</v>
      </c>
      <c r="K694" s="972" t="inlineStr">
        <is>
          <t>Model Mapping</t>
        </is>
      </c>
      <c r="L694" s="452" t="inlineStr">
        <is>
          <t>https://attack.mitre.org/techniques/T0840</t>
        </is>
      </c>
      <c r="M694" s="973" t="inlineStr">
        <is>
          <t>Yes</t>
        </is>
      </c>
      <c r="N694" s="973" t="inlineStr">
        <is>
          <t>No explicit facility gate — defaults feasible</t>
        </is>
      </c>
      <c r="O694" s="973" t="inlineStr">
        <is>
          <t>Network Connection Enumeration can support discovery or interaction with process state, control assets and operational data in Power Generation environments.</t>
        </is>
      </c>
      <c r="P694" s="973" t="inlineStr">
        <is>
          <t>https://csrc.nist.gov/pubs/sp/800/82/r3/final</t>
        </is>
      </c>
    </row>
    <row r="695" ht="15" customHeight="1" s="508">
      <c r="A695" s="972" t="inlineStr">
        <is>
          <t>Malicious Insider</t>
        </is>
      </c>
      <c r="B695" s="972" t="inlineStr">
        <is>
          <t>Operational Disruption</t>
        </is>
      </c>
      <c r="C695" s="972" t="inlineStr">
        <is>
          <t>T0842</t>
        </is>
      </c>
      <c r="D695" s="972" t="inlineStr">
        <is>
          <t>Network Sniffing</t>
        </is>
      </c>
      <c r="E695" s="972" t="inlineStr">
        <is>
          <t>S4</t>
        </is>
      </c>
      <c r="F695" s="972" t="inlineStr">
        <is>
          <t>Candidate enabling technique</t>
        </is>
      </c>
      <c r="G695" s="972" t="inlineStr">
        <is>
          <t>Yes</t>
        </is>
      </c>
      <c r="H695" s="972" t="inlineStr">
        <is>
          <t>Yes</t>
        </is>
      </c>
      <c r="I695" s="972" t="inlineStr">
        <is>
          <t>Yes</t>
        </is>
      </c>
      <c r="J695" s="972" t="n">
        <v>5</v>
      </c>
      <c r="K695" s="972" t="inlineStr">
        <is>
          <t>Model Mapping</t>
        </is>
      </c>
      <c r="L695" s="452" t="inlineStr">
        <is>
          <t>https://attack.mitre.org/techniques/T0842</t>
        </is>
      </c>
      <c r="M695" s="973" t="inlineStr">
        <is>
          <t>Yes</t>
        </is>
      </c>
      <c r="N695" s="973" t="inlineStr">
        <is>
          <t>No explicit facility gate — defaults feasible</t>
        </is>
      </c>
      <c r="O695" s="973" t="inlineStr">
        <is>
          <t>Network Sniffing can support discovery or interaction with process state, control assets and operational data in Power Generation environments.</t>
        </is>
      </c>
      <c r="P695" s="973" t="inlineStr">
        <is>
          <t>https://csrc.nist.gov/pubs/sp/800/82/r3/final</t>
        </is>
      </c>
    </row>
    <row r="696" ht="15" customHeight="1" s="508">
      <c r="A696" s="972" t="inlineStr">
        <is>
          <t>Malicious Insider</t>
        </is>
      </c>
      <c r="B696" s="972" t="inlineStr">
        <is>
          <t>Operational Disruption</t>
        </is>
      </c>
      <c r="C696" s="972" t="inlineStr">
        <is>
          <t>T0843.002</t>
        </is>
      </c>
      <c r="D696" s="972" t="inlineStr">
        <is>
          <t>Online Edit</t>
        </is>
      </c>
      <c r="E696" s="972" t="inlineStr">
        <is>
          <t>S3</t>
        </is>
      </c>
      <c r="F696" s="972" t="inlineStr">
        <is>
          <t>Candidate enabling technique</t>
        </is>
      </c>
      <c r="G696" s="972" t="inlineStr">
        <is>
          <t>Yes</t>
        </is>
      </c>
      <c r="H696" s="972" t="inlineStr">
        <is>
          <t>Yes</t>
        </is>
      </c>
      <c r="I696" s="972" t="inlineStr">
        <is>
          <t>Yes</t>
        </is>
      </c>
      <c r="J696" s="972" t="n">
        <v>10</v>
      </c>
      <c r="K696" s="972" t="inlineStr">
        <is>
          <t>Model Mapping</t>
        </is>
      </c>
      <c r="L696" s="452" t="inlineStr">
        <is>
          <t>https://attack.mitre.org/techniques/T0843/002</t>
        </is>
      </c>
      <c r="M696" s="973" t="inlineStr">
        <is>
          <t>Yes</t>
        </is>
      </c>
      <c r="N696" s="973" t="inlineStr">
        <is>
          <t>No explicit facility gate — defaults feasible</t>
        </is>
      </c>
      <c r="O696" s="973" t="inlineStr">
        <is>
          <t>Online Edit can support movement toward or within plant/control zones; actual reachability is governed by the assessed facility architecture.</t>
        </is>
      </c>
      <c r="P696" s="973" t="inlineStr">
        <is>
          <t>https://csrc.nist.gov/pubs/sp/800/82/r3/final</t>
        </is>
      </c>
    </row>
    <row r="697" ht="15" customHeight="1" s="508">
      <c r="A697" s="972" t="inlineStr">
        <is>
          <t>Malicious Insider</t>
        </is>
      </c>
      <c r="B697" s="972" t="inlineStr">
        <is>
          <t>Operational Disruption</t>
        </is>
      </c>
      <c r="C697" s="972" t="inlineStr">
        <is>
          <t>T0861</t>
        </is>
      </c>
      <c r="D697" s="972" t="inlineStr">
        <is>
          <t>Point &amp; Tag Identification</t>
        </is>
      </c>
      <c r="E697" s="972" t="inlineStr">
        <is>
          <t>S4</t>
        </is>
      </c>
      <c r="F697" s="972" t="inlineStr">
        <is>
          <t>Candidate enabling technique</t>
        </is>
      </c>
      <c r="G697" s="972" t="inlineStr">
        <is>
          <t>Yes</t>
        </is>
      </c>
      <c r="H697" s="972" t="inlineStr">
        <is>
          <t>Yes</t>
        </is>
      </c>
      <c r="I697" s="972" t="inlineStr">
        <is>
          <t>Yes</t>
        </is>
      </c>
      <c r="J697" s="972" t="n">
        <v>8</v>
      </c>
      <c r="K697" s="972" t="inlineStr">
        <is>
          <t>Model Mapping</t>
        </is>
      </c>
      <c r="L697" s="452" t="inlineStr">
        <is>
          <t>https://attack.mitre.org/techniques/T0861</t>
        </is>
      </c>
      <c r="M697" s="973" t="inlineStr">
        <is>
          <t>Yes</t>
        </is>
      </c>
      <c r="N697" s="973" t="inlineStr">
        <is>
          <t>No explicit facility gate — defaults feasible</t>
        </is>
      </c>
      <c r="O697" s="973" t="inlineStr">
        <is>
          <t>Point &amp; Tag Identification can support discovery or interaction with process state, control assets and operational data in Power Generation environments.</t>
        </is>
      </c>
      <c r="P697" s="973" t="inlineStr">
        <is>
          <t>https://csrc.nist.gov/pubs/sp/800/82/r3/final</t>
        </is>
      </c>
    </row>
    <row r="698" ht="15" customHeight="1" s="508">
      <c r="A698" s="972" t="inlineStr">
        <is>
          <t>Malicious Insider</t>
        </is>
      </c>
      <c r="B698" s="972" t="inlineStr">
        <is>
          <t>Operational Disruption</t>
        </is>
      </c>
      <c r="C698" s="972" t="inlineStr">
        <is>
          <t>T0846.001</t>
        </is>
      </c>
      <c r="D698" s="972" t="inlineStr">
        <is>
          <t>Port Scan</t>
        </is>
      </c>
      <c r="E698" s="972" t="inlineStr">
        <is>
          <t>S4</t>
        </is>
      </c>
      <c r="F698" s="972" t="inlineStr">
        <is>
          <t>Candidate enabling technique</t>
        </is>
      </c>
      <c r="G698" s="972" t="inlineStr">
        <is>
          <t>Yes</t>
        </is>
      </c>
      <c r="H698" s="972" t="inlineStr">
        <is>
          <t>Yes</t>
        </is>
      </c>
      <c r="I698" s="972" t="inlineStr">
        <is>
          <t>Yes</t>
        </is>
      </c>
      <c r="J698" s="972" t="n">
        <v>3</v>
      </c>
      <c r="K698" s="972" t="inlineStr">
        <is>
          <t>Model Mapping</t>
        </is>
      </c>
      <c r="L698" s="452" t="inlineStr">
        <is>
          <t>https://attack.mitre.org/techniques/T0846/001</t>
        </is>
      </c>
      <c r="M698" s="973" t="inlineStr">
        <is>
          <t>Yes</t>
        </is>
      </c>
      <c r="N698" s="973" t="inlineStr">
        <is>
          <t>No explicit facility gate — defaults feasible</t>
        </is>
      </c>
      <c r="O698" s="973" t="inlineStr">
        <is>
          <t>Port Scan can support discovery or interaction with process state, control assets and operational data in Power Generation environments.</t>
        </is>
      </c>
      <c r="P698" s="973" t="inlineStr">
        <is>
          <t>https://csrc.nist.gov/pubs/sp/800/82/r3/final</t>
        </is>
      </c>
    </row>
    <row r="699" ht="15" customHeight="1" s="508">
      <c r="A699" s="972" t="inlineStr">
        <is>
          <t>Malicious Insider</t>
        </is>
      </c>
      <c r="B699" s="972" t="inlineStr">
        <is>
          <t>Operational Disruption</t>
        </is>
      </c>
      <c r="C699" s="972" t="inlineStr">
        <is>
          <t>T0843.003</t>
        </is>
      </c>
      <c r="D699" s="972" t="inlineStr">
        <is>
          <t>Program Append</t>
        </is>
      </c>
      <c r="E699" s="972" t="inlineStr">
        <is>
          <t>S3</t>
        </is>
      </c>
      <c r="F699" s="972" t="inlineStr">
        <is>
          <t>Candidate enabling technique</t>
        </is>
      </c>
      <c r="G699" s="972" t="inlineStr">
        <is>
          <t>Yes</t>
        </is>
      </c>
      <c r="H699" s="972" t="inlineStr">
        <is>
          <t>Yes</t>
        </is>
      </c>
      <c r="I699" s="972" t="inlineStr">
        <is>
          <t>Yes</t>
        </is>
      </c>
      <c r="J699" s="972" t="n">
        <v>10</v>
      </c>
      <c r="K699" s="972" t="inlineStr">
        <is>
          <t>Model Mapping</t>
        </is>
      </c>
      <c r="L699" s="452" t="inlineStr">
        <is>
          <t>https://attack.mitre.org/techniques/T0843/003</t>
        </is>
      </c>
      <c r="M699" s="973" t="inlineStr">
        <is>
          <t>Yes</t>
        </is>
      </c>
      <c r="N699" s="973" t="inlineStr">
        <is>
          <t>No explicit facility gate — defaults feasible</t>
        </is>
      </c>
      <c r="O699" s="973" t="inlineStr">
        <is>
          <t>Program Append can support movement toward or within plant/control zones; actual reachability is governed by the assessed facility architecture.</t>
        </is>
      </c>
      <c r="P699" s="973" t="inlineStr">
        <is>
          <t>https://csrc.nist.gov/pubs/sp/800/82/r3/final</t>
        </is>
      </c>
    </row>
    <row r="700" ht="15" customHeight="1" s="508">
      <c r="A700" s="972" t="inlineStr">
        <is>
          <t>Malicious Insider</t>
        </is>
      </c>
      <c r="B700" s="972" t="inlineStr">
        <is>
          <t>Operational Disruption</t>
        </is>
      </c>
      <c r="C700" s="972" t="inlineStr">
        <is>
          <t>T0845</t>
        </is>
      </c>
      <c r="D700" s="972" t="inlineStr">
        <is>
          <t>Program Upload</t>
        </is>
      </c>
      <c r="E700" s="972" t="inlineStr">
        <is>
          <t>S4</t>
        </is>
      </c>
      <c r="F700" s="972" t="inlineStr">
        <is>
          <t>Candidate enabling technique</t>
        </is>
      </c>
      <c r="G700" s="972" t="inlineStr">
        <is>
          <t>Yes</t>
        </is>
      </c>
      <c r="H700" s="972" t="inlineStr">
        <is>
          <t>Yes</t>
        </is>
      </c>
      <c r="I700" s="972" t="inlineStr">
        <is>
          <t>Yes</t>
        </is>
      </c>
      <c r="J700" s="972" t="n">
        <v>8</v>
      </c>
      <c r="K700" s="972" t="inlineStr">
        <is>
          <t>Model Mapping</t>
        </is>
      </c>
      <c r="L700" s="452" t="inlineStr">
        <is>
          <t>https://attack.mitre.org/techniques/T0845</t>
        </is>
      </c>
      <c r="M700" s="973" t="inlineStr">
        <is>
          <t>Yes</t>
        </is>
      </c>
      <c r="N700" s="973" t="inlineStr">
        <is>
          <t>No explicit facility gate — defaults feasible</t>
        </is>
      </c>
      <c r="O700" s="973" t="inlineStr">
        <is>
          <t>Program Upload can support discovery or interaction with process state, control assets and operational data in Power Generation environments.</t>
        </is>
      </c>
      <c r="P700" s="973" t="inlineStr">
        <is>
          <t>https://csrc.nist.gov/pubs/sp/800/82/r3/final</t>
        </is>
      </c>
    </row>
    <row r="701" ht="15" customHeight="1" s="508">
      <c r="A701" s="972" t="inlineStr">
        <is>
          <t>Malicious Insider</t>
        </is>
      </c>
      <c r="B701" s="972" t="inlineStr">
        <is>
          <t>Operational Disruption</t>
        </is>
      </c>
      <c r="C701" s="972" t="inlineStr">
        <is>
          <t>T0886</t>
        </is>
      </c>
      <c r="D701" s="972" t="inlineStr">
        <is>
          <t>Remote Services</t>
        </is>
      </c>
      <c r="E701" s="972" t="inlineStr">
        <is>
          <t>S1</t>
        </is>
      </c>
      <c r="F701" s="972" t="inlineStr">
        <is>
          <t>Candidate enabling technique</t>
        </is>
      </c>
      <c r="G701" s="972" t="inlineStr">
        <is>
          <t>No</t>
        </is>
      </c>
      <c r="H701" s="972" t="inlineStr">
        <is>
          <t>Yes</t>
        </is>
      </c>
      <c r="I701" s="972" t="inlineStr">
        <is>
          <t>No</t>
        </is>
      </c>
      <c r="J701" s="972" t="n">
        <v>9</v>
      </c>
      <c r="K701" s="972" t="inlineStr">
        <is>
          <t>Model Mapping</t>
        </is>
      </c>
      <c r="L701" s="452" t="inlineStr">
        <is>
          <t>https://attack.mitre.org/techniques/T0886</t>
        </is>
      </c>
      <c r="M701" s="973" t="inlineStr">
        <is>
          <t>Yes</t>
        </is>
      </c>
      <c r="N701" s="973" t="inlineStr">
        <is>
          <t>REMOTE_OR_ITOT — Remote path or IT-OT connection</t>
        </is>
      </c>
      <c r="O701" s="973" t="inlineStr">
        <is>
          <t>The Remote Services route is credible for Power Generation OT when the enabling access condition exists; existing facility gates determine remote, internet, transient, supply-chain or wireless feasibility.</t>
        </is>
      </c>
      <c r="P701" s="973" t="inlineStr">
        <is>
          <t>https://csrc.nist.gov/pubs/sp/800/82/r3/final</t>
        </is>
      </c>
    </row>
    <row r="702" ht="15" customHeight="1" s="508">
      <c r="A702" s="972" t="inlineStr">
        <is>
          <t>Malicious Insider</t>
        </is>
      </c>
      <c r="B702" s="972" t="inlineStr">
        <is>
          <t>Operational Disruption</t>
        </is>
      </c>
      <c r="C702" s="972" t="inlineStr">
        <is>
          <t>T0888</t>
        </is>
      </c>
      <c r="D702" s="972" t="inlineStr">
        <is>
          <t>Remote System Information Discovery</t>
        </is>
      </c>
      <c r="E702" s="972" t="inlineStr">
        <is>
          <t>S4</t>
        </is>
      </c>
      <c r="F702" s="972" t="inlineStr">
        <is>
          <t>Candidate enabling technique</t>
        </is>
      </c>
      <c r="G702" s="972" t="inlineStr">
        <is>
          <t>Yes</t>
        </is>
      </c>
      <c r="H702" s="972" t="inlineStr">
        <is>
          <t>Yes</t>
        </is>
      </c>
      <c r="I702" s="972" t="inlineStr">
        <is>
          <t>Yes</t>
        </is>
      </c>
      <c r="J702" s="972" t="n">
        <v>1</v>
      </c>
      <c r="K702" s="972" t="inlineStr">
        <is>
          <t>Model Mapping</t>
        </is>
      </c>
      <c r="L702" s="452" t="inlineStr">
        <is>
          <t>https://attack.mitre.org/techniques/T0888</t>
        </is>
      </c>
      <c r="M702" s="973" t="inlineStr">
        <is>
          <t>Yes</t>
        </is>
      </c>
      <c r="N702" s="973" t="inlineStr">
        <is>
          <t>No explicit facility gate — defaults feasible</t>
        </is>
      </c>
      <c r="O702" s="973" t="inlineStr">
        <is>
          <t>Remote System Information Discovery can support discovery or interaction with process state, control assets and operational data in Power Generation environments.</t>
        </is>
      </c>
      <c r="P702" s="973" t="inlineStr">
        <is>
          <t>https://csrc.nist.gov/pubs/sp/800/82/r3/final</t>
        </is>
      </c>
    </row>
    <row r="703" ht="15" customHeight="1" s="508">
      <c r="A703" s="972" t="inlineStr">
        <is>
          <t>Malicious Insider</t>
        </is>
      </c>
      <c r="B703" s="972" t="inlineStr">
        <is>
          <t>Operational Disruption</t>
        </is>
      </c>
      <c r="C703" s="972" t="inlineStr">
        <is>
          <t>T0847</t>
        </is>
      </c>
      <c r="D703" s="972" t="inlineStr">
        <is>
          <t>Replication Through Removable Media</t>
        </is>
      </c>
      <c r="E703" s="972" t="inlineStr">
        <is>
          <t>S1</t>
        </is>
      </c>
      <c r="F703" s="972" t="inlineStr">
        <is>
          <t>Candidate enabling technique</t>
        </is>
      </c>
      <c r="G703" s="972" t="inlineStr">
        <is>
          <t>No</t>
        </is>
      </c>
      <c r="H703" s="972" t="inlineStr">
        <is>
          <t>Yes</t>
        </is>
      </c>
      <c r="I703" s="972" t="inlineStr">
        <is>
          <t>No</t>
        </is>
      </c>
      <c r="J703" s="972" t="n">
        <v>3</v>
      </c>
      <c r="K703" s="972" t="inlineStr">
        <is>
          <t>Model Mapping</t>
        </is>
      </c>
      <c r="L703" s="452" t="inlineStr">
        <is>
          <t>https://attack.mitre.org/techniques/T0847</t>
        </is>
      </c>
      <c r="M703" s="973" t="inlineStr">
        <is>
          <t>Yes</t>
        </is>
      </c>
      <c r="N703" s="973" t="inlineStr">
        <is>
          <t>TRANSIENT_REQUIRED — Not None</t>
        </is>
      </c>
      <c r="O703" s="973" t="inlineStr">
        <is>
          <t>The Replication Through Removable Media route is credible for Power Generation OT when the enabling access condition exists; existing facility gates determine remote, internet, transient, supply-chain or wireless feasibility.</t>
        </is>
      </c>
      <c r="P703" s="973" t="inlineStr">
        <is>
          <t>https://csrc.nist.gov/pubs/sp/800/82/r3/final</t>
        </is>
      </c>
    </row>
    <row r="704" ht="15" customHeight="1" s="508">
      <c r="A704" s="972" t="inlineStr">
        <is>
          <t>Malicious Insider</t>
        </is>
      </c>
      <c r="B704" s="972" t="inlineStr">
        <is>
          <t>Operational Disruption</t>
        </is>
      </c>
      <c r="C704" s="972" t="inlineStr">
        <is>
          <t>T0848</t>
        </is>
      </c>
      <c r="D704" s="972" t="inlineStr">
        <is>
          <t>Rogue Master</t>
        </is>
      </c>
      <c r="E704" s="972" t="inlineStr">
        <is>
          <t>S1</t>
        </is>
      </c>
      <c r="F704" s="972" t="inlineStr">
        <is>
          <t>Candidate enabling technique</t>
        </is>
      </c>
      <c r="G704" s="972" t="inlineStr">
        <is>
          <t>No</t>
        </is>
      </c>
      <c r="H704" s="972" t="inlineStr">
        <is>
          <t>Yes</t>
        </is>
      </c>
      <c r="I704" s="972" t="inlineStr">
        <is>
          <t>No</t>
        </is>
      </c>
      <c r="J704" s="972" t="n">
        <v>5</v>
      </c>
      <c r="K704" s="972" t="inlineStr">
        <is>
          <t>Model Mapping</t>
        </is>
      </c>
      <c r="L704" s="452" t="inlineStr">
        <is>
          <t>https://attack.mitre.org/techniques/T0848</t>
        </is>
      </c>
      <c r="M704" s="973" t="inlineStr">
        <is>
          <t>Yes</t>
        </is>
      </c>
      <c r="N704" s="973" t="inlineStr">
        <is>
          <t>No explicit facility gate — defaults feasible</t>
        </is>
      </c>
      <c r="O704" s="973" t="inlineStr">
        <is>
          <t>The Rogue Master route is credible for Power Generation OT when the enabling access condition exists; existing facility gates determine remote, internet, transient, supply-chain or wireless feasibility.</t>
        </is>
      </c>
      <c r="P704" s="973" t="inlineStr">
        <is>
          <t>https://csrc.nist.gov/pubs/sp/800/82/r3/final</t>
        </is>
      </c>
    </row>
    <row r="705" ht="15" customHeight="1" s="508">
      <c r="A705" s="972" t="inlineStr">
        <is>
          <t>Malicious Insider</t>
        </is>
      </c>
      <c r="B705" s="972" t="inlineStr">
        <is>
          <t>Operational Disruption</t>
        </is>
      </c>
      <c r="C705" s="972" t="inlineStr">
        <is>
          <t>T0852</t>
        </is>
      </c>
      <c r="D705" s="972" t="inlineStr">
        <is>
          <t>Screen Capture</t>
        </is>
      </c>
      <c r="E705" s="972" t="inlineStr">
        <is>
          <t>S4</t>
        </is>
      </c>
      <c r="F705" s="972" t="inlineStr">
        <is>
          <t>Candidate enabling technique</t>
        </is>
      </c>
      <c r="G705" s="972" t="inlineStr">
        <is>
          <t>Yes</t>
        </is>
      </c>
      <c r="H705" s="972" t="inlineStr">
        <is>
          <t>Yes</t>
        </is>
      </c>
      <c r="I705" s="972" t="inlineStr">
        <is>
          <t>Yes</t>
        </is>
      </c>
      <c r="J705" s="972" t="n">
        <v>1</v>
      </c>
      <c r="K705" s="972" t="inlineStr">
        <is>
          <t>Model Mapping</t>
        </is>
      </c>
      <c r="L705" s="452" t="inlineStr">
        <is>
          <t>https://attack.mitre.org/techniques/T0852</t>
        </is>
      </c>
      <c r="M705" s="973" t="inlineStr">
        <is>
          <t>Yes</t>
        </is>
      </c>
      <c r="N705" s="973" t="inlineStr">
        <is>
          <t>No explicit facility gate — defaults feasible</t>
        </is>
      </c>
      <c r="O705" s="973" t="inlineStr">
        <is>
          <t>Screen Capture can support discovery or interaction with process state, control assets and operational data in Power Generation environments.</t>
        </is>
      </c>
      <c r="P705" s="973" t="inlineStr">
        <is>
          <t>https://csrc.nist.gov/pubs/sp/800/82/r3/final</t>
        </is>
      </c>
    </row>
    <row r="706" ht="15" customHeight="1" s="508">
      <c r="A706" s="972" t="inlineStr">
        <is>
          <t>Malicious Insider</t>
        </is>
      </c>
      <c r="B706" s="972" t="inlineStr">
        <is>
          <t>Operational Disruption</t>
        </is>
      </c>
      <c r="C706" s="972" t="inlineStr">
        <is>
          <t>T0853</t>
        </is>
      </c>
      <c r="D706" s="972" t="inlineStr">
        <is>
          <t>Scripting</t>
        </is>
      </c>
      <c r="E706" s="972" t="inlineStr">
        <is>
          <t>S2</t>
        </is>
      </c>
      <c r="F706" s="972" t="inlineStr">
        <is>
          <t>Candidate enabling technique</t>
        </is>
      </c>
      <c r="G706" s="972" t="inlineStr">
        <is>
          <t>Yes</t>
        </is>
      </c>
      <c r="H706" s="972" t="inlineStr">
        <is>
          <t>Yes</t>
        </is>
      </c>
      <c r="I706" s="972" t="inlineStr">
        <is>
          <t>Yes</t>
        </is>
      </c>
      <c r="J706" s="972" t="n">
        <v>3</v>
      </c>
      <c r="K706" s="972" t="inlineStr">
        <is>
          <t>Model Mapping</t>
        </is>
      </c>
      <c r="L706" s="452" t="inlineStr">
        <is>
          <t>https://attack.mitre.org/techniques/T0853</t>
        </is>
      </c>
      <c r="M706" s="973" t="inlineStr">
        <is>
          <t>Yes</t>
        </is>
      </c>
      <c r="N706" s="973" t="inlineStr">
        <is>
          <t>No explicit facility gate — defaults feasible</t>
        </is>
      </c>
      <c r="O706" s="973" t="inlineStr">
        <is>
          <t>Scripting is applicable to execution or persistence on engineering workstations, HMIs, servers or controllers used in Power Generation facilities.</t>
        </is>
      </c>
      <c r="P706" s="973" t="inlineStr">
        <is>
          <t>https://csrc.nist.gov/pubs/sp/800/82/r3/final</t>
        </is>
      </c>
    </row>
    <row r="707" ht="15" customHeight="1" s="508">
      <c r="A707" s="972" t="inlineStr">
        <is>
          <t>Malicious Insider</t>
        </is>
      </c>
      <c r="B707" s="972" t="inlineStr">
        <is>
          <t>Operational Disruption</t>
        </is>
      </c>
      <c r="C707" s="972" t="inlineStr">
        <is>
          <t>T0881</t>
        </is>
      </c>
      <c r="D707" s="972" t="inlineStr">
        <is>
          <t>Service Stop</t>
        </is>
      </c>
      <c r="E707" s="972" t="inlineStr">
        <is>
          <t>S5</t>
        </is>
      </c>
      <c r="F707" s="972" t="inlineStr">
        <is>
          <t>Scenario-defining</t>
        </is>
      </c>
      <c r="G707" s="972" t="inlineStr">
        <is>
          <t>Yes</t>
        </is>
      </c>
      <c r="H707" s="972" t="inlineStr">
        <is>
          <t>Yes</t>
        </is>
      </c>
      <c r="I707" s="972" t="inlineStr">
        <is>
          <t>Yes</t>
        </is>
      </c>
      <c r="J707" s="972" t="n">
        <v>4</v>
      </c>
      <c r="K707" s="972" t="inlineStr">
        <is>
          <t>Model Mapping</t>
        </is>
      </c>
      <c r="L707" s="452" t="inlineStr">
        <is>
          <t>https://attack.mitre.org/techniques/T0881</t>
        </is>
      </c>
      <c r="M707" s="973" t="inlineStr">
        <is>
          <t>Yes</t>
        </is>
      </c>
      <c r="N707" s="973" t="inlineStr">
        <is>
          <t>No explicit facility gate — defaults feasible</t>
        </is>
      </c>
      <c r="O707" s="973" t="inlineStr">
        <is>
          <t>Service Stop is an ATT&amp;CK for ICS impact or response-inhibition technique that can support one or more governed adverse scenarios; scenario role remains controlled on 09.</t>
        </is>
      </c>
      <c r="P707" s="973" t="inlineStr">
        <is>
          <t>https://csrc.nist.gov/pubs/sp/800/82/r3/final</t>
        </is>
      </c>
    </row>
    <row r="708" ht="15" customHeight="1" s="508">
      <c r="A708" s="972" t="inlineStr">
        <is>
          <t>Malicious Insider</t>
        </is>
      </c>
      <c r="B708" s="972" t="inlineStr">
        <is>
          <t>Operational Disruption</t>
        </is>
      </c>
      <c r="C708" s="972" t="inlineStr">
        <is>
          <t>T0873.001</t>
        </is>
      </c>
      <c r="D708" s="972" t="inlineStr">
        <is>
          <t>Siemens Project File Format</t>
        </is>
      </c>
      <c r="E708" s="972" t="inlineStr">
        <is>
          <t>S2</t>
        </is>
      </c>
      <c r="F708" s="972" t="inlineStr">
        <is>
          <t>Candidate enabling technique</t>
        </is>
      </c>
      <c r="G708" s="972" t="inlineStr">
        <is>
          <t>Yes</t>
        </is>
      </c>
      <c r="H708" s="972" t="inlineStr">
        <is>
          <t>Yes</t>
        </is>
      </c>
      <c r="I708" s="972" t="inlineStr">
        <is>
          <t>Yes</t>
        </is>
      </c>
      <c r="J708" s="972" t="n">
        <v>4</v>
      </c>
      <c r="K708" s="972" t="inlineStr">
        <is>
          <t>Model Mapping</t>
        </is>
      </c>
      <c r="L708" s="452" t="inlineStr">
        <is>
          <t>https://attack.mitre.org/techniques/T0873/001</t>
        </is>
      </c>
      <c r="M708" s="973" t="inlineStr">
        <is>
          <t>Yes</t>
        </is>
      </c>
      <c r="N708" s="973" t="inlineStr">
        <is>
          <t>No explicit facility gate — defaults feasible</t>
        </is>
      </c>
      <c r="O708" s="973" t="inlineStr">
        <is>
          <t>Siemens Project File Format is applicable to execution or persistence on engineering workstations, HMIs, servers or controllers used in Power Generation facilities.</t>
        </is>
      </c>
      <c r="P708" s="973" t="inlineStr">
        <is>
          <t>https://csrc.nist.gov/pubs/sp/800/82/r3/final</t>
        </is>
      </c>
    </row>
    <row r="709" ht="15" customHeight="1" s="508">
      <c r="A709" s="972" t="inlineStr">
        <is>
          <t>Malicious Insider</t>
        </is>
      </c>
      <c r="B709" s="972" t="inlineStr">
        <is>
          <t>Operational Disruption</t>
        </is>
      </c>
      <c r="C709" s="972" t="inlineStr">
        <is>
          <t>T0865</t>
        </is>
      </c>
      <c r="D709" s="972" t="inlineStr">
        <is>
          <t>Spearphishing Attachment</t>
        </is>
      </c>
      <c r="E709" s="972" t="inlineStr">
        <is>
          <t>S1</t>
        </is>
      </c>
      <c r="F709" s="972" t="inlineStr">
        <is>
          <t>Candidate enabling technique</t>
        </is>
      </c>
      <c r="G709" s="972" t="inlineStr">
        <is>
          <t>No</t>
        </is>
      </c>
      <c r="H709" s="972" t="inlineStr">
        <is>
          <t>Yes</t>
        </is>
      </c>
      <c r="I709" s="972" t="inlineStr">
        <is>
          <t>No</t>
        </is>
      </c>
      <c r="J709" s="972" t="n">
        <v>4</v>
      </c>
      <c r="K709" s="972" t="inlineStr">
        <is>
          <t>Model Mapping</t>
        </is>
      </c>
      <c r="L709" s="452" t="inlineStr">
        <is>
          <t>https://attack.mitre.org/techniques/T0865</t>
        </is>
      </c>
      <c r="M709" s="973" t="inlineStr">
        <is>
          <t>Yes</t>
        </is>
      </c>
      <c r="N709" s="973" t="inlineStr">
        <is>
          <t>No explicit facility gate — defaults feasible</t>
        </is>
      </c>
      <c r="O709" s="973" t="inlineStr">
        <is>
          <t>The Spearphishing Attachment route is credible for Power Generation OT when the enabling access condition exists; existing facility gates determine remote, internet, transient, supply-chain or wireless feasibility.</t>
        </is>
      </c>
      <c r="P709" s="973" t="inlineStr">
        <is>
          <t>https://csrc.nist.gov/pubs/sp/800/82/r3/final</t>
        </is>
      </c>
    </row>
    <row r="710" ht="15" customHeight="1" s="508">
      <c r="A710" s="972" t="inlineStr">
        <is>
          <t>Malicious Insider</t>
        </is>
      </c>
      <c r="B710" s="972" t="inlineStr">
        <is>
          <t>Operational Disruption</t>
        </is>
      </c>
      <c r="C710" s="972" t="inlineStr">
        <is>
          <t>T0869</t>
        </is>
      </c>
      <c r="D710" s="972" t="inlineStr">
        <is>
          <t>Standard Application Layer Protocol</t>
        </is>
      </c>
      <c r="E710" s="972" t="inlineStr">
        <is>
          <t>S3</t>
        </is>
      </c>
      <c r="F710" s="972" t="inlineStr">
        <is>
          <t>Candidate enabling technique</t>
        </is>
      </c>
      <c r="G710" s="972" t="inlineStr">
        <is>
          <t>Yes</t>
        </is>
      </c>
      <c r="H710" s="972" t="inlineStr">
        <is>
          <t>Yes</t>
        </is>
      </c>
      <c r="I710" s="972" t="inlineStr">
        <is>
          <t>Yes</t>
        </is>
      </c>
      <c r="J710" s="972" t="n">
        <v>3</v>
      </c>
      <c r="K710" s="972" t="inlineStr">
        <is>
          <t>Model Mapping</t>
        </is>
      </c>
      <c r="L710" s="452" t="inlineStr">
        <is>
          <t>https://attack.mitre.org/techniques/T0869</t>
        </is>
      </c>
      <c r="M710" s="973" t="inlineStr">
        <is>
          <t>Yes</t>
        </is>
      </c>
      <c r="N710" s="973" t="inlineStr">
        <is>
          <t>No explicit facility gate — defaults feasible</t>
        </is>
      </c>
      <c r="O710" s="973" t="inlineStr">
        <is>
          <t>Standard Application Layer Protocol can support movement toward or within plant/control zones; actual reachability is governed by the assessed facility architecture.</t>
        </is>
      </c>
      <c r="P710" s="973" t="inlineStr">
        <is>
          <t>https://csrc.nist.gov/pubs/sp/800/82/r3/final</t>
        </is>
      </c>
    </row>
    <row r="711" ht="15" customHeight="1" s="508">
      <c r="A711" s="972" t="inlineStr">
        <is>
          <t>Malicious Insider</t>
        </is>
      </c>
      <c r="B711" s="972" t="inlineStr">
        <is>
          <t>Operational Disruption</t>
        </is>
      </c>
      <c r="C711" s="972" t="inlineStr">
        <is>
          <t>T0862</t>
        </is>
      </c>
      <c r="D711" s="972" t="inlineStr">
        <is>
          <t>Supply Chain Compromise</t>
        </is>
      </c>
      <c r="E711" s="972" t="inlineStr">
        <is>
          <t>S1</t>
        </is>
      </c>
      <c r="F711" s="972" t="inlineStr">
        <is>
          <t>Candidate enabling technique</t>
        </is>
      </c>
      <c r="G711" s="972" t="inlineStr">
        <is>
          <t>No</t>
        </is>
      </c>
      <c r="H711" s="972" t="inlineStr">
        <is>
          <t>Yes</t>
        </is>
      </c>
      <c r="I711" s="972" t="inlineStr">
        <is>
          <t>No</t>
        </is>
      </c>
      <c r="J711" s="972" t="n">
        <v>5</v>
      </c>
      <c r="K711" s="972" t="inlineStr">
        <is>
          <t>Model Mapping</t>
        </is>
      </c>
      <c r="L711" s="452" t="inlineStr">
        <is>
          <t>https://attack.mitre.org/techniques/T0862</t>
        </is>
      </c>
      <c r="M711" s="973" t="inlineStr">
        <is>
          <t>Yes</t>
        </is>
      </c>
      <c r="N711" s="973" t="inlineStr">
        <is>
          <t>SUPPLY_CHAIN — Yes</t>
        </is>
      </c>
      <c r="O711" s="973" t="inlineStr">
        <is>
          <t>The Supply Chain Compromise route is credible for Power Generation OT when the enabling access condition exists; existing facility gates determine remote, internet, transient, supply-chain or wireless feasibility.</t>
        </is>
      </c>
      <c r="P711" s="973" t="inlineStr">
        <is>
          <t>https://csrc.nist.gov/pubs/sp/800/82/r3/final</t>
        </is>
      </c>
    </row>
    <row r="712" ht="15" customHeight="1" s="508">
      <c r="A712" s="972" t="inlineStr">
        <is>
          <t>Malicious Insider</t>
        </is>
      </c>
      <c r="B712" s="972" t="inlineStr">
        <is>
          <t>Operational Disruption</t>
        </is>
      </c>
      <c r="C712" s="972" t="inlineStr">
        <is>
          <t>T0894</t>
        </is>
      </c>
      <c r="D712" s="972" t="inlineStr">
        <is>
          <t>System Binary Proxy Execution</t>
        </is>
      </c>
      <c r="E712" s="972" t="inlineStr">
        <is>
          <t>S2</t>
        </is>
      </c>
      <c r="F712" s="972" t="inlineStr">
        <is>
          <t>Candidate enabling technique</t>
        </is>
      </c>
      <c r="G712" s="972" t="inlineStr">
        <is>
          <t>Yes</t>
        </is>
      </c>
      <c r="H712" s="972" t="inlineStr">
        <is>
          <t>Yes</t>
        </is>
      </c>
      <c r="I712" s="972" t="inlineStr">
        <is>
          <t>Yes</t>
        </is>
      </c>
      <c r="J712" s="972" t="n">
        <v>1</v>
      </c>
      <c r="K712" s="972" t="inlineStr">
        <is>
          <t>Model Mapping</t>
        </is>
      </c>
      <c r="L712" s="452" t="inlineStr">
        <is>
          <t>https://attack.mitre.org/techniques/T0894</t>
        </is>
      </c>
      <c r="M712" s="973" t="inlineStr">
        <is>
          <t>Yes</t>
        </is>
      </c>
      <c r="N712" s="973" t="inlineStr">
        <is>
          <t>No explicit facility gate — defaults feasible</t>
        </is>
      </c>
      <c r="O712" s="973" t="inlineStr">
        <is>
          <t>System Binary Proxy Execution is applicable to execution or persistence on engineering workstations, HMIs, servers or controllers used in Power Generation facilities.</t>
        </is>
      </c>
      <c r="P712" s="973" t="inlineStr">
        <is>
          <t>https://csrc.nist.gov/pubs/sp/800/82/r3/final</t>
        </is>
      </c>
    </row>
    <row r="713" ht="15" customHeight="1" s="508">
      <c r="A713" s="972" t="inlineStr">
        <is>
          <t>Malicious Insider</t>
        </is>
      </c>
      <c r="B713" s="972" t="inlineStr">
        <is>
          <t>Operational Disruption</t>
        </is>
      </c>
      <c r="C713" s="972" t="inlineStr">
        <is>
          <t>T0864</t>
        </is>
      </c>
      <c r="D713" s="972" t="inlineStr">
        <is>
          <t>Transient Cyber Asset</t>
        </is>
      </c>
      <c r="E713" s="972" t="inlineStr">
        <is>
          <t>S1</t>
        </is>
      </c>
      <c r="F713" s="972" t="inlineStr">
        <is>
          <t>Candidate enabling technique</t>
        </is>
      </c>
      <c r="G713" s="972" t="inlineStr">
        <is>
          <t>No</t>
        </is>
      </c>
      <c r="H713" s="972" t="inlineStr">
        <is>
          <t>Yes</t>
        </is>
      </c>
      <c r="I713" s="972" t="inlineStr">
        <is>
          <t>No</t>
        </is>
      </c>
      <c r="J713" s="972" t="n">
        <v>5</v>
      </c>
      <c r="K713" s="972" t="inlineStr">
        <is>
          <t>Model Mapping</t>
        </is>
      </c>
      <c r="L713" s="452" t="inlineStr">
        <is>
          <t>https://attack.mitre.org/techniques/T0864</t>
        </is>
      </c>
      <c r="M713" s="973" t="inlineStr">
        <is>
          <t>Yes</t>
        </is>
      </c>
      <c r="N713" s="973" t="inlineStr">
        <is>
          <t>TRANSIENT_REQUIRED — Not None</t>
        </is>
      </c>
      <c r="O713" s="973" t="inlineStr">
        <is>
          <t>The Transient Cyber Asset route is credible for Power Generation OT when the enabling access condition exists; existing facility gates determine remote, internet, transient, supply-chain or wireless feasibility.</t>
        </is>
      </c>
      <c r="P713" s="973" t="inlineStr">
        <is>
          <t>https://csrc.nist.gov/pubs/sp/800/82/r3/final</t>
        </is>
      </c>
    </row>
    <row r="714" ht="15" customHeight="1" s="508">
      <c r="A714" s="972" t="inlineStr">
        <is>
          <t>Malicious Insider</t>
        </is>
      </c>
      <c r="B714" s="972" t="inlineStr">
        <is>
          <t>Operational Disruption</t>
        </is>
      </c>
      <c r="C714" s="972" t="inlineStr">
        <is>
          <t>T0863</t>
        </is>
      </c>
      <c r="D714" s="972" t="inlineStr">
        <is>
          <t>User Execution</t>
        </is>
      </c>
      <c r="E714" s="972" t="inlineStr">
        <is>
          <t>S2</t>
        </is>
      </c>
      <c r="F714" s="972" t="inlineStr">
        <is>
          <t>Candidate enabling technique</t>
        </is>
      </c>
      <c r="G714" s="972" t="inlineStr">
        <is>
          <t>Yes</t>
        </is>
      </c>
      <c r="H714" s="972" t="inlineStr">
        <is>
          <t>Yes</t>
        </is>
      </c>
      <c r="I714" s="972" t="inlineStr">
        <is>
          <t>Yes</t>
        </is>
      </c>
      <c r="J714" s="972" t="n">
        <v>6</v>
      </c>
      <c r="K714" s="972" t="inlineStr">
        <is>
          <t>Model Mapping</t>
        </is>
      </c>
      <c r="L714" s="452" t="inlineStr">
        <is>
          <t>https://attack.mitre.org/techniques/T0863</t>
        </is>
      </c>
      <c r="M714" s="973" t="inlineStr">
        <is>
          <t>Yes</t>
        </is>
      </c>
      <c r="N714" s="973" t="inlineStr">
        <is>
          <t>No explicit facility gate — defaults feasible</t>
        </is>
      </c>
      <c r="O714" s="973" t="inlineStr">
        <is>
          <t>User Execution is applicable to execution or persistence on engineering workstations, HMIs, servers or controllers used in Power Generation facilities.</t>
        </is>
      </c>
      <c r="P714" s="973" t="inlineStr">
        <is>
          <t>https://csrc.nist.gov/pubs/sp/800/82/r3/final</t>
        </is>
      </c>
    </row>
    <row r="715" ht="15" customHeight="1" s="508">
      <c r="A715" s="972" t="inlineStr">
        <is>
          <t>Malicious Insider</t>
        </is>
      </c>
      <c r="B715" s="972" t="inlineStr">
        <is>
          <t>Operational Disruption</t>
        </is>
      </c>
      <c r="C715" s="972" t="inlineStr">
        <is>
          <t>T0859</t>
        </is>
      </c>
      <c r="D715" s="972" t="inlineStr">
        <is>
          <t>Valid Accounts</t>
        </is>
      </c>
      <c r="E715" s="972" t="inlineStr">
        <is>
          <t>S3</t>
        </is>
      </c>
      <c r="F715" s="972" t="inlineStr">
        <is>
          <t>Candidate enabling technique</t>
        </is>
      </c>
      <c r="G715" s="972" t="inlineStr">
        <is>
          <t>Yes</t>
        </is>
      </c>
      <c r="H715" s="972" t="inlineStr">
        <is>
          <t>Yes</t>
        </is>
      </c>
      <c r="I715" s="972" t="inlineStr">
        <is>
          <t>Yes</t>
        </is>
      </c>
      <c r="J715" s="972" t="n">
        <v>10</v>
      </c>
      <c r="K715" s="972" t="inlineStr">
        <is>
          <t>Model Mapping</t>
        </is>
      </c>
      <c r="L715" s="452" t="inlineStr">
        <is>
          <t>https://attack.mitre.org/techniques/T0859</t>
        </is>
      </c>
      <c r="M715" s="973" t="inlineStr">
        <is>
          <t>Yes</t>
        </is>
      </c>
      <c r="N715" s="973" t="inlineStr">
        <is>
          <t>No explicit facility gate — defaults feasible</t>
        </is>
      </c>
      <c r="O715" s="973" t="inlineStr">
        <is>
          <t>Valid Accounts can support movement toward or within plant/control zones; actual reachability is governed by the assessed facility architecture.</t>
        </is>
      </c>
      <c r="P715" s="973" t="inlineStr">
        <is>
          <t>https://csrc.nist.gov/pubs/sp/800/82/r3/final</t>
        </is>
      </c>
    </row>
    <row r="716" ht="15" customHeight="1" s="508">
      <c r="A716" s="972" t="inlineStr">
        <is>
          <t>Malicious Insider</t>
        </is>
      </c>
      <c r="B716" s="972" t="inlineStr">
        <is>
          <t>Operational Disruption</t>
        </is>
      </c>
      <c r="C716" s="972" t="inlineStr">
        <is>
          <t>T0860</t>
        </is>
      </c>
      <c r="D716" s="972" t="inlineStr">
        <is>
          <t>Wireless Compromise</t>
        </is>
      </c>
      <c r="E716" s="972" t="inlineStr">
        <is>
          <t>S1</t>
        </is>
      </c>
      <c r="F716" s="972" t="inlineStr">
        <is>
          <t>Candidate enabling technique</t>
        </is>
      </c>
      <c r="G716" s="972" t="inlineStr">
        <is>
          <t>No</t>
        </is>
      </c>
      <c r="H716" s="972" t="inlineStr">
        <is>
          <t>No</t>
        </is>
      </c>
      <c r="I716" s="972" t="inlineStr">
        <is>
          <t>No</t>
        </is>
      </c>
      <c r="J716" s="972" t="n">
        <v>4</v>
      </c>
      <c r="K716" s="972" t="inlineStr">
        <is>
          <t>Model Mapping</t>
        </is>
      </c>
      <c r="L716" s="452" t="inlineStr">
        <is>
          <t>https://attack.mitre.org/techniques/T0860</t>
        </is>
      </c>
      <c r="M716" s="973" t="inlineStr">
        <is>
          <t>Yes</t>
        </is>
      </c>
      <c r="N716" s="973" t="inlineStr">
        <is>
          <t>WIRELESS — Yes</t>
        </is>
      </c>
      <c r="O716" s="973" t="inlineStr">
        <is>
          <t>The Wireless Compromise route is credible for Power Generation OT when the enabling access condition exists; existing facility gates determine remote, internet, transient, supply-chain or wireless feasibility.</t>
        </is>
      </c>
      <c r="P716" s="973" t="inlineStr">
        <is>
          <t>https://csrc.nist.gov/pubs/sp/800/82/r3/final</t>
        </is>
      </c>
    </row>
    <row r="717" ht="15" customHeight="1" s="508">
      <c r="A717" s="972" t="inlineStr">
        <is>
          <t>Malicious Insider</t>
        </is>
      </c>
      <c r="B717" s="972" t="inlineStr">
        <is>
          <t>Operational Disruption</t>
        </is>
      </c>
      <c r="C717" s="972" t="inlineStr">
        <is>
          <t>T0887</t>
        </is>
      </c>
      <c r="D717" s="972" t="inlineStr">
        <is>
          <t>Wireless Sniffing</t>
        </is>
      </c>
      <c r="E717" s="972" t="inlineStr">
        <is>
          <t>S4</t>
        </is>
      </c>
      <c r="F717" s="972" t="inlineStr">
        <is>
          <t>Candidate enabling technique</t>
        </is>
      </c>
      <c r="G717" s="972" t="inlineStr">
        <is>
          <t>Yes</t>
        </is>
      </c>
      <c r="H717" s="972" t="inlineStr">
        <is>
          <t>No</t>
        </is>
      </c>
      <c r="I717" s="972" t="inlineStr">
        <is>
          <t>No</t>
        </is>
      </c>
      <c r="J717" s="972" t="n">
        <v>2</v>
      </c>
      <c r="K717" s="972" t="inlineStr">
        <is>
          <t>Model Mapping</t>
        </is>
      </c>
      <c r="L717" s="452" t="inlineStr">
        <is>
          <t>https://attack.mitre.org/techniques/T0887</t>
        </is>
      </c>
      <c r="M717" s="973" t="inlineStr">
        <is>
          <t>Yes</t>
        </is>
      </c>
      <c r="N717" s="973" t="inlineStr">
        <is>
          <t>WIRELESS — Yes</t>
        </is>
      </c>
      <c r="O717" s="973" t="inlineStr">
        <is>
          <t>Wireless Sniffing can support discovery or interaction with process state, control assets and operational data in Power Generation environments.</t>
        </is>
      </c>
      <c r="P717" s="973" t="inlineStr">
        <is>
          <t>https://csrc.nist.gov/pubs/sp/800/82/r3/final</t>
        </is>
      </c>
    </row>
    <row r="718" ht="15" customHeight="1" s="508">
      <c r="A718" s="972" t="inlineStr">
        <is>
          <t>Malicious Insider</t>
        </is>
      </c>
      <c r="B718" s="972" t="inlineStr">
        <is>
          <t>Operational Disruption</t>
        </is>
      </c>
      <c r="C718" s="972" t="inlineStr">
        <is>
          <t>T1695</t>
        </is>
      </c>
      <c r="D718" s="972" t="inlineStr">
        <is>
          <t>Block Communications</t>
        </is>
      </c>
      <c r="E718" s="972" t="inlineStr">
        <is>
          <t>S5</t>
        </is>
      </c>
      <c r="F718" s="972" t="inlineStr">
        <is>
          <t>Supporting / impact</t>
        </is>
      </c>
      <c r="G718" s="972" t="inlineStr">
        <is>
          <t>Yes</t>
        </is>
      </c>
      <c r="H718" s="972" t="inlineStr">
        <is>
          <t>Yes</t>
        </is>
      </c>
      <c r="I718" s="972" t="inlineStr">
        <is>
          <t>Yes</t>
        </is>
      </c>
      <c r="J718" s="972" t="n">
        <v>3</v>
      </c>
      <c r="K718" s="972" t="inlineStr">
        <is>
          <t>ADDED v1.2: Blocking OT communications disrupts process and operations.</t>
        </is>
      </c>
      <c r="L718" s="452" t="inlineStr">
        <is>
          <t>https://attack.mitre.org/techniques/T1695</t>
        </is>
      </c>
      <c r="M718" s="973" t="inlineStr">
        <is>
          <t>Yes</t>
        </is>
      </c>
      <c r="N718" s="973" t="inlineStr">
        <is>
          <t>No explicit facility gate — defaults feasible</t>
        </is>
      </c>
      <c r="O718" s="973" t="inlineStr">
        <is>
          <t>Block Communications is an ATT&amp;CK for ICS impact or response-inhibition technique that can support one or more governed adverse scenarios; scenario role remains controlled on 09.</t>
        </is>
      </c>
      <c r="P718" s="973" t="inlineStr">
        <is>
          <t>https://csrc.nist.gov/pubs/sp/800/82/r3/final</t>
        </is>
      </c>
    </row>
    <row r="719" ht="15" customHeight="1" s="508">
      <c r="A719" s="972" t="inlineStr">
        <is>
          <t>Malicious Insider</t>
        </is>
      </c>
      <c r="B719" s="972" t="inlineStr">
        <is>
          <t>Operational Disruption</t>
        </is>
      </c>
      <c r="C719" s="972" t="inlineStr">
        <is>
          <t>T1691.001</t>
        </is>
      </c>
      <c r="D719" s="972" t="inlineStr">
        <is>
          <t>Command Message</t>
        </is>
      </c>
      <c r="E719" s="972" t="inlineStr">
        <is>
          <t>S5</t>
        </is>
      </c>
      <c r="F719" s="972" t="inlineStr">
        <is>
          <t>Supporting / impact</t>
        </is>
      </c>
      <c r="G719" s="972" t="inlineStr">
        <is>
          <t>Yes</t>
        </is>
      </c>
      <c r="H719" s="972" t="inlineStr">
        <is>
          <t>Yes</t>
        </is>
      </c>
      <c r="I719" s="972" t="inlineStr">
        <is>
          <t>Yes</t>
        </is>
      </c>
      <c r="J719" s="972" t="n">
        <v>3</v>
      </c>
      <c r="K719" s="972" t="inlineStr">
        <is>
          <t>ADDED v1.2: Blocked command messages interrupt normal operation.</t>
        </is>
      </c>
      <c r="L719" s="452" t="inlineStr">
        <is>
          <t>https://attack.mitre.org/techniques/T1691/001</t>
        </is>
      </c>
      <c r="M719" s="973" t="inlineStr">
        <is>
          <t>Yes</t>
        </is>
      </c>
      <c r="N719" s="973" t="inlineStr">
        <is>
          <t>No explicit facility gate — defaults feasible</t>
        </is>
      </c>
      <c r="O719" s="973" t="inlineStr">
        <is>
          <t>Command Message is an ATT&amp;CK for ICS impact or response-inhibition technique that can support one or more governed adverse scenarios; scenario role remains controlled on 09.</t>
        </is>
      </c>
      <c r="P719" s="973" t="inlineStr">
        <is>
          <t>https://csrc.nist.gov/pubs/sp/800/82/r3/final</t>
        </is>
      </c>
    </row>
    <row r="720" ht="15" customHeight="1" s="508">
      <c r="A720" s="972" t="inlineStr">
        <is>
          <t>Malicious Insider</t>
        </is>
      </c>
      <c r="B720" s="972" t="inlineStr">
        <is>
          <t>Operational Disruption</t>
        </is>
      </c>
      <c r="C720" s="972" t="inlineStr">
        <is>
          <t>T0800</t>
        </is>
      </c>
      <c r="D720" s="972" t="inlineStr">
        <is>
          <t>Activate Firmware Update Mode</t>
        </is>
      </c>
      <c r="E720" s="972" t="inlineStr">
        <is>
          <t>S5</t>
        </is>
      </c>
      <c r="F720" s="972" t="inlineStr">
        <is>
          <t>Supporting / impact</t>
        </is>
      </c>
      <c r="G720" s="972" t="inlineStr">
        <is>
          <t>Yes</t>
        </is>
      </c>
      <c r="H720" s="972" t="inlineStr">
        <is>
          <t>Yes</t>
        </is>
      </c>
      <c r="I720" s="972" t="inlineStr">
        <is>
          <t>Yes</t>
        </is>
      </c>
      <c r="J720" s="972" t="n">
        <v>8</v>
      </c>
      <c r="K720" s="972" t="inlineStr">
        <is>
          <t>ADDED v1.2: Firmware update mode denies expected device functionality.</t>
        </is>
      </c>
      <c r="L720" s="452" t="inlineStr">
        <is>
          <t>https://attack.mitre.org/techniques/T0800</t>
        </is>
      </c>
      <c r="M720" s="973" t="inlineStr">
        <is>
          <t>Yes</t>
        </is>
      </c>
      <c r="N720" s="973" t="inlineStr">
        <is>
          <t>No explicit facility gate — defaults feasible</t>
        </is>
      </c>
      <c r="O720" s="973" t="inlineStr">
        <is>
          <t>Activate Firmware Update Mode is an ATT&amp;CK for ICS impact or response-inhibition technique that can support one or more governed adverse scenarios; scenario role remains controlled on 09.</t>
        </is>
      </c>
      <c r="P720" s="973" t="inlineStr">
        <is>
          <t>https://csrc.nist.gov/pubs/sp/800/82/r3/final</t>
        </is>
      </c>
    </row>
    <row r="721" ht="15" customHeight="1" s="508">
      <c r="A721" s="972" t="inlineStr">
        <is>
          <t>Malicious Insider</t>
        </is>
      </c>
      <c r="B721" s="972" t="inlineStr">
        <is>
          <t>Loss of Control or Visibility</t>
        </is>
      </c>
      <c r="C721" s="972" t="inlineStr">
        <is>
          <t>T0830</t>
        </is>
      </c>
      <c r="D721" s="972" t="inlineStr">
        <is>
          <t>Adversary-in-the-Middle</t>
        </is>
      </c>
      <c r="E721" s="972" t="inlineStr">
        <is>
          <t>S4</t>
        </is>
      </c>
      <c r="F721" s="972" t="inlineStr">
        <is>
          <t>Candidate enabling technique</t>
        </is>
      </c>
      <c r="G721" s="972" t="inlineStr">
        <is>
          <t>Yes</t>
        </is>
      </c>
      <c r="H721" s="972" t="inlineStr">
        <is>
          <t>Yes</t>
        </is>
      </c>
      <c r="I721" s="972" t="inlineStr">
        <is>
          <t>Yes</t>
        </is>
      </c>
      <c r="J721" s="972" t="n">
        <v>8</v>
      </c>
      <c r="K721" s="972" t="inlineStr">
        <is>
          <t>Model Mapping</t>
        </is>
      </c>
      <c r="L721" s="452" t="inlineStr">
        <is>
          <t>https://attack.mitre.org/techniques/T0830</t>
        </is>
      </c>
      <c r="M721" s="973" t="inlineStr">
        <is>
          <t>Yes</t>
        </is>
      </c>
      <c r="N721" s="973" t="inlineStr">
        <is>
          <t>No explicit facility gate — defaults feasible</t>
        </is>
      </c>
      <c r="O721" s="973" t="inlineStr">
        <is>
          <t>Adversary-in-the-Middle can support discovery or interaction with process state, control assets and operational data in Power Generation environments.</t>
        </is>
      </c>
      <c r="P721" s="973" t="inlineStr">
        <is>
          <t>https://csrc.nist.gov/pubs/sp/800/82/r3/final</t>
        </is>
      </c>
    </row>
    <row r="722" ht="15" customHeight="1" s="508">
      <c r="A722" s="972" t="inlineStr">
        <is>
          <t>Malicious Insider</t>
        </is>
      </c>
      <c r="B722" s="972" t="inlineStr">
        <is>
          <t>Loss of Control or Visibility</t>
        </is>
      </c>
      <c r="C722" s="972" t="inlineStr">
        <is>
          <t>T0802</t>
        </is>
      </c>
      <c r="D722" s="972" t="inlineStr">
        <is>
          <t>Automated Collection</t>
        </is>
      </c>
      <c r="E722" s="972" t="inlineStr">
        <is>
          <t>S4</t>
        </is>
      </c>
      <c r="F722" s="972" t="inlineStr">
        <is>
          <t>Candidate enabling technique</t>
        </is>
      </c>
      <c r="G722" s="972" t="inlineStr">
        <is>
          <t>Yes</t>
        </is>
      </c>
      <c r="H722" s="972" t="inlineStr">
        <is>
          <t>Yes</t>
        </is>
      </c>
      <c r="I722" s="972" t="inlineStr">
        <is>
          <t>Yes</t>
        </is>
      </c>
      <c r="J722" s="972" t="n">
        <v>2</v>
      </c>
      <c r="K722" s="972" t="inlineStr">
        <is>
          <t>Model Mapping</t>
        </is>
      </c>
      <c r="L722" s="452" t="inlineStr">
        <is>
          <t>https://attack.mitre.org/techniques/T0802</t>
        </is>
      </c>
      <c r="M722" s="973" t="inlineStr">
        <is>
          <t>Yes</t>
        </is>
      </c>
      <c r="N722" s="973" t="inlineStr">
        <is>
          <t>No explicit facility gate — defaults feasible</t>
        </is>
      </c>
      <c r="O722" s="973" t="inlineStr">
        <is>
          <t>Automated Collection can support discovery or interaction with process state, control assets and operational data in Power Generation environments.</t>
        </is>
      </c>
      <c r="P722" s="973" t="inlineStr">
        <is>
          <t>https://csrc.nist.gov/pubs/sp/800/82/r3/final</t>
        </is>
      </c>
    </row>
    <row r="723" ht="15" customHeight="1" s="508">
      <c r="A723" s="972" t="inlineStr">
        <is>
          <t>Malicious Insider</t>
        </is>
      </c>
      <c r="B723" s="972" t="inlineStr">
        <is>
          <t>Loss of Control or Visibility</t>
        </is>
      </c>
      <c r="C723" s="972" t="inlineStr">
        <is>
          <t>T0895</t>
        </is>
      </c>
      <c r="D723" s="972" t="inlineStr">
        <is>
          <t>Autorun Image</t>
        </is>
      </c>
      <c r="E723" s="972" t="inlineStr">
        <is>
          <t>S2</t>
        </is>
      </c>
      <c r="F723" s="972" t="inlineStr">
        <is>
          <t>Candidate enabling technique</t>
        </is>
      </c>
      <c r="G723" s="972" t="inlineStr">
        <is>
          <t>Yes</t>
        </is>
      </c>
      <c r="H723" s="972" t="inlineStr">
        <is>
          <t>Yes</t>
        </is>
      </c>
      <c r="I723" s="972" t="inlineStr">
        <is>
          <t>Yes</t>
        </is>
      </c>
      <c r="J723" s="972" t="n">
        <v>1</v>
      </c>
      <c r="K723" s="972" t="inlineStr">
        <is>
          <t>Model Mapping</t>
        </is>
      </c>
      <c r="L723" s="452" t="inlineStr">
        <is>
          <t>https://attack.mitre.org/techniques/T0895</t>
        </is>
      </c>
      <c r="M723" s="973" t="inlineStr">
        <is>
          <t>Yes</t>
        </is>
      </c>
      <c r="N723" s="973" t="inlineStr">
        <is>
          <t>No explicit facility gate — defaults feasible</t>
        </is>
      </c>
      <c r="O723" s="973" t="inlineStr">
        <is>
          <t>Autorun Image is applicable to execution or persistence on engineering workstations, HMIs, servers or controllers used in Power Generation facilities.</t>
        </is>
      </c>
      <c r="P723" s="973" t="inlineStr">
        <is>
          <t>https://csrc.nist.gov/pubs/sp/800/82/r3/final</t>
        </is>
      </c>
    </row>
    <row r="724" ht="15" customHeight="1" s="508">
      <c r="A724" s="972" t="inlineStr">
        <is>
          <t>Malicious Insider</t>
        </is>
      </c>
      <c r="B724" s="972" t="inlineStr">
        <is>
          <t>Loss of Control or Visibility</t>
        </is>
      </c>
      <c r="C724" s="972" t="inlineStr">
        <is>
          <t>T0846.002</t>
        </is>
      </c>
      <c r="D724" s="972" t="inlineStr">
        <is>
          <t>Broadcast Discovery</t>
        </is>
      </c>
      <c r="E724" s="972" t="inlineStr">
        <is>
          <t>S4</t>
        </is>
      </c>
      <c r="F724" s="972" t="inlineStr">
        <is>
          <t>Candidate enabling technique</t>
        </is>
      </c>
      <c r="G724" s="972" t="inlineStr">
        <is>
          <t>Yes</t>
        </is>
      </c>
      <c r="H724" s="972" t="inlineStr">
        <is>
          <t>Yes</t>
        </is>
      </c>
      <c r="I724" s="972" t="inlineStr">
        <is>
          <t>Yes</t>
        </is>
      </c>
      <c r="J724" s="972" t="n">
        <v>2</v>
      </c>
      <c r="K724" s="972" t="inlineStr">
        <is>
          <t>Model Mapping</t>
        </is>
      </c>
      <c r="L724" s="452" t="inlineStr">
        <is>
          <t>https://attack.mitre.org/techniques/T0846/002</t>
        </is>
      </c>
      <c r="M724" s="973" t="inlineStr">
        <is>
          <t>Yes</t>
        </is>
      </c>
      <c r="N724" s="973" t="inlineStr">
        <is>
          <t>No explicit facility gate — defaults feasible</t>
        </is>
      </c>
      <c r="O724" s="973" t="inlineStr">
        <is>
          <t>Broadcast Discovery can support discovery or interaction with process state, control assets and operational data in Power Generation environments.</t>
        </is>
      </c>
      <c r="P724" s="973" t="inlineStr">
        <is>
          <t>https://csrc.nist.gov/pubs/sp/800/82/r3/final</t>
        </is>
      </c>
    </row>
    <row r="725" ht="15" customHeight="1" s="508">
      <c r="A725" s="972" t="inlineStr">
        <is>
          <t>Malicious Insider</t>
        </is>
      </c>
      <c r="B725" s="972" t="inlineStr">
        <is>
          <t>Loss of Control or Visibility</t>
        </is>
      </c>
      <c r="C725" s="972" t="inlineStr">
        <is>
          <t>T0858</t>
        </is>
      </c>
      <c r="D725" s="972" t="inlineStr">
        <is>
          <t>Change Operating Mode</t>
        </is>
      </c>
      <c r="E725" s="972" t="inlineStr">
        <is>
          <t>S2</t>
        </is>
      </c>
      <c r="F725" s="972" t="inlineStr">
        <is>
          <t>Candidate enabling technique</t>
        </is>
      </c>
      <c r="G725" s="972" t="inlineStr">
        <is>
          <t>Yes</t>
        </is>
      </c>
      <c r="H725" s="972" t="inlineStr">
        <is>
          <t>Yes</t>
        </is>
      </c>
      <c r="I725" s="972" t="inlineStr">
        <is>
          <t>Yes</t>
        </is>
      </c>
      <c r="J725" s="972" t="n">
        <v>7</v>
      </c>
      <c r="K725" s="972" t="inlineStr">
        <is>
          <t>Model Mapping</t>
        </is>
      </c>
      <c r="L725" s="452" t="inlineStr">
        <is>
          <t>https://attack.mitre.org/techniques/T0858</t>
        </is>
      </c>
      <c r="M725" s="973" t="inlineStr">
        <is>
          <t>Yes</t>
        </is>
      </c>
      <c r="N725" s="973" t="inlineStr">
        <is>
          <t>No explicit facility gate — defaults feasible</t>
        </is>
      </c>
      <c r="O725" s="973" t="inlineStr">
        <is>
          <t>Change Operating Mode is applicable to execution or persistence on engineering workstations, HMIs, servers or controllers used in Power Generation facilities.</t>
        </is>
      </c>
      <c r="P725" s="973" t="inlineStr">
        <is>
          <t>https://csrc.nist.gov/pubs/sp/800/82/r3/final</t>
        </is>
      </c>
    </row>
    <row r="726" ht="15" customHeight="1" s="508">
      <c r="A726" s="972" t="inlineStr">
        <is>
          <t>Malicious Insider</t>
        </is>
      </c>
      <c r="B726" s="972" t="inlineStr">
        <is>
          <t>Loss of Control or Visibility</t>
        </is>
      </c>
      <c r="C726" s="972" t="inlineStr">
        <is>
          <t>T0807</t>
        </is>
      </c>
      <c r="D726" s="972" t="inlineStr">
        <is>
          <t>Command-Line Interface</t>
        </is>
      </c>
      <c r="E726" s="972" t="inlineStr">
        <is>
          <t>S2</t>
        </is>
      </c>
      <c r="F726" s="972" t="inlineStr">
        <is>
          <t>Candidate enabling technique</t>
        </is>
      </c>
      <c r="G726" s="972" t="inlineStr">
        <is>
          <t>Yes</t>
        </is>
      </c>
      <c r="H726" s="972" t="inlineStr">
        <is>
          <t>Yes</t>
        </is>
      </c>
      <c r="I726" s="972" t="inlineStr">
        <is>
          <t>Yes</t>
        </is>
      </c>
      <c r="J726" s="972" t="n">
        <v>2</v>
      </c>
      <c r="K726" s="972" t="inlineStr">
        <is>
          <t>Model Mapping</t>
        </is>
      </c>
      <c r="L726" s="452" t="inlineStr">
        <is>
          <t>https://attack.mitre.org/techniques/T0807</t>
        </is>
      </c>
      <c r="M726" s="973" t="inlineStr">
        <is>
          <t>Yes</t>
        </is>
      </c>
      <c r="N726" s="973" t="inlineStr">
        <is>
          <t>No explicit facility gate — defaults feasible</t>
        </is>
      </c>
      <c r="O726" s="973" t="inlineStr">
        <is>
          <t>Command-Line Interface is applicable to execution or persistence on engineering workstations, HMIs, servers or controllers used in Power Generation facilities.</t>
        </is>
      </c>
      <c r="P726" s="973" t="inlineStr">
        <is>
          <t>https://csrc.nist.gov/pubs/sp/800/82/r3/final</t>
        </is>
      </c>
    </row>
    <row r="727" ht="15" customHeight="1" s="508">
      <c r="A727" s="972" t="inlineStr">
        <is>
          <t>Malicious Insider</t>
        </is>
      </c>
      <c r="B727" s="972" t="inlineStr">
        <is>
          <t>Loss of Control or Visibility</t>
        </is>
      </c>
      <c r="C727" s="972" t="inlineStr">
        <is>
          <t>T0885</t>
        </is>
      </c>
      <c r="D727" s="972" t="inlineStr">
        <is>
          <t>Commonly Used Port</t>
        </is>
      </c>
      <c r="E727" s="972" t="inlineStr">
        <is>
          <t>S3</t>
        </is>
      </c>
      <c r="F727" s="972" t="inlineStr">
        <is>
          <t>Candidate enabling technique</t>
        </is>
      </c>
      <c r="G727" s="972" t="inlineStr">
        <is>
          <t>Yes</t>
        </is>
      </c>
      <c r="H727" s="972" t="inlineStr">
        <is>
          <t>Yes</t>
        </is>
      </c>
      <c r="I727" s="972" t="inlineStr">
        <is>
          <t>Yes</t>
        </is>
      </c>
      <c r="J727" s="972" t="n">
        <v>4</v>
      </c>
      <c r="K727" s="972" t="inlineStr">
        <is>
          <t>Model Mapping</t>
        </is>
      </c>
      <c r="L727" s="452" t="inlineStr">
        <is>
          <t>https://attack.mitre.org/techniques/T0885</t>
        </is>
      </c>
      <c r="M727" s="973" t="inlineStr">
        <is>
          <t>Yes</t>
        </is>
      </c>
      <c r="N727" s="973" t="inlineStr">
        <is>
          <t>No explicit facility gate — defaults feasible</t>
        </is>
      </c>
      <c r="O727" s="973" t="inlineStr">
        <is>
          <t>Commonly Used Port can support movement toward or within plant/control zones; actual reachability is governed by the assessed facility architecture.</t>
        </is>
      </c>
      <c r="P727" s="973" t="inlineStr">
        <is>
          <t>https://csrc.nist.gov/pubs/sp/800/82/r3/final</t>
        </is>
      </c>
    </row>
    <row r="728" ht="15" customHeight="1" s="508">
      <c r="A728" s="972" t="inlineStr">
        <is>
          <t>Malicious Insider</t>
        </is>
      </c>
      <c r="B728" s="972" t="inlineStr">
        <is>
          <t>Loss of Control or Visibility</t>
        </is>
      </c>
      <c r="C728" s="972" t="inlineStr">
        <is>
          <t>T0884</t>
        </is>
      </c>
      <c r="D728" s="972" t="inlineStr">
        <is>
          <t>Connection Proxy</t>
        </is>
      </c>
      <c r="E728" s="972" t="inlineStr">
        <is>
          <t>S3</t>
        </is>
      </c>
      <c r="F728" s="972" t="inlineStr">
        <is>
          <t>Candidate enabling technique</t>
        </is>
      </c>
      <c r="G728" s="972" t="inlineStr">
        <is>
          <t>Yes</t>
        </is>
      </c>
      <c r="H728" s="972" t="inlineStr">
        <is>
          <t>Yes</t>
        </is>
      </c>
      <c r="I728" s="972" t="inlineStr">
        <is>
          <t>Yes</t>
        </is>
      </c>
      <c r="J728" s="972" t="n">
        <v>4</v>
      </c>
      <c r="K728" s="972" t="inlineStr">
        <is>
          <t>Model Mapping</t>
        </is>
      </c>
      <c r="L728" s="452" t="inlineStr">
        <is>
          <t>https://attack.mitre.org/techniques/T0884</t>
        </is>
      </c>
      <c r="M728" s="973" t="inlineStr">
        <is>
          <t>Yes</t>
        </is>
      </c>
      <c r="N728" s="973" t="inlineStr">
        <is>
          <t>No explicit facility gate — defaults feasible</t>
        </is>
      </c>
      <c r="O728" s="973" t="inlineStr">
        <is>
          <t>Connection Proxy can support movement toward or within plant/control zones; actual reachability is governed by the assessed facility architecture.</t>
        </is>
      </c>
      <c r="P728" s="973" t="inlineStr">
        <is>
          <t>https://csrc.nist.gov/pubs/sp/800/82/r3/final</t>
        </is>
      </c>
    </row>
    <row r="729" ht="15" customHeight="1" s="508">
      <c r="A729" s="972" t="inlineStr">
        <is>
          <t>Malicious Insider</t>
        </is>
      </c>
      <c r="B729" s="972" t="inlineStr">
        <is>
          <t>Loss of Control or Visibility</t>
        </is>
      </c>
      <c r="C729" s="972" t="inlineStr">
        <is>
          <t>T0811</t>
        </is>
      </c>
      <c r="D729" s="972" t="inlineStr">
        <is>
          <t>Data from Information Repositories</t>
        </is>
      </c>
      <c r="E729" s="972" t="inlineStr">
        <is>
          <t>S4</t>
        </is>
      </c>
      <c r="F729" s="972" t="inlineStr">
        <is>
          <t>Candidate enabling technique</t>
        </is>
      </c>
      <c r="G729" s="972" t="inlineStr">
        <is>
          <t>Yes</t>
        </is>
      </c>
      <c r="H729" s="972" t="inlineStr">
        <is>
          <t>Yes</t>
        </is>
      </c>
      <c r="I729" s="972" t="inlineStr">
        <is>
          <t>Yes</t>
        </is>
      </c>
      <c r="J729" s="972" t="n">
        <v>6</v>
      </c>
      <c r="K729" s="972" t="inlineStr">
        <is>
          <t>Model Mapping</t>
        </is>
      </c>
      <c r="L729" s="452" t="inlineStr">
        <is>
          <t>https://attack.mitre.org/techniques/T0811</t>
        </is>
      </c>
      <c r="M729" s="973" t="inlineStr">
        <is>
          <t>Yes</t>
        </is>
      </c>
      <c r="N729" s="973" t="inlineStr">
        <is>
          <t>No explicit facility gate — defaults feasible</t>
        </is>
      </c>
      <c r="O729" s="973" t="inlineStr">
        <is>
          <t>Data from Information Repositories can support discovery or interaction with process state, control assets and operational data in Power Generation environments.</t>
        </is>
      </c>
      <c r="P729" s="973" t="inlineStr">
        <is>
          <t>https://csrc.nist.gov/pubs/sp/800/82/r3/final</t>
        </is>
      </c>
    </row>
    <row r="730" ht="15" customHeight="1" s="508">
      <c r="A730" s="972" t="inlineStr">
        <is>
          <t>Malicious Insider</t>
        </is>
      </c>
      <c r="B730" s="972" t="inlineStr">
        <is>
          <t>Loss of Control or Visibility</t>
        </is>
      </c>
      <c r="C730" s="972" t="inlineStr">
        <is>
          <t>T0893</t>
        </is>
      </c>
      <c r="D730" s="972" t="inlineStr">
        <is>
          <t>Data from Local System</t>
        </is>
      </c>
      <c r="E730" s="972" t="inlineStr">
        <is>
          <t>S4</t>
        </is>
      </c>
      <c r="F730" s="972" t="inlineStr">
        <is>
          <t>Candidate enabling technique</t>
        </is>
      </c>
      <c r="G730" s="972" t="inlineStr">
        <is>
          <t>Yes</t>
        </is>
      </c>
      <c r="H730" s="972" t="inlineStr">
        <is>
          <t>Yes</t>
        </is>
      </c>
      <c r="I730" s="972" t="inlineStr">
        <is>
          <t>Yes</t>
        </is>
      </c>
      <c r="J730" s="972" t="n">
        <v>4</v>
      </c>
      <c r="K730" s="972" t="inlineStr">
        <is>
          <t>Model Mapping</t>
        </is>
      </c>
      <c r="L730" s="452" t="inlineStr">
        <is>
          <t>https://attack.mitre.org/techniques/T0893</t>
        </is>
      </c>
      <c r="M730" s="973" t="inlineStr">
        <is>
          <t>Yes</t>
        </is>
      </c>
      <c r="N730" s="973" t="inlineStr">
        <is>
          <t>No explicit facility gate — defaults feasible</t>
        </is>
      </c>
      <c r="O730" s="973" t="inlineStr">
        <is>
          <t>Data from Local System can support discovery or interaction with process state, control assets and operational data in Power Generation environments.</t>
        </is>
      </c>
      <c r="P730" s="973" t="inlineStr">
        <is>
          <t>https://csrc.nist.gov/pubs/sp/800/82/r3/final</t>
        </is>
      </c>
    </row>
    <row r="731" ht="15" customHeight="1" s="508">
      <c r="A731" s="972" t="inlineStr">
        <is>
          <t>Malicious Insider</t>
        </is>
      </c>
      <c r="B731" s="972" t="inlineStr">
        <is>
          <t>Loss of Control or Visibility</t>
        </is>
      </c>
      <c r="C731" s="972" t="inlineStr">
        <is>
          <t>T1694.001</t>
        </is>
      </c>
      <c r="D731" s="972" t="inlineStr">
        <is>
          <t>Default Credentials</t>
        </is>
      </c>
      <c r="E731" s="972" t="inlineStr">
        <is>
          <t>S3</t>
        </is>
      </c>
      <c r="F731" s="972" t="inlineStr">
        <is>
          <t>Candidate enabling technique</t>
        </is>
      </c>
      <c r="G731" s="972" t="inlineStr">
        <is>
          <t>Yes</t>
        </is>
      </c>
      <c r="H731" s="972" t="inlineStr">
        <is>
          <t>Yes</t>
        </is>
      </c>
      <c r="I731" s="972" t="inlineStr">
        <is>
          <t>Yes</t>
        </is>
      </c>
      <c r="J731" s="972" t="n">
        <v>2</v>
      </c>
      <c r="K731" s="972" t="inlineStr">
        <is>
          <t>Model Mapping</t>
        </is>
      </c>
      <c r="L731" s="452" t="inlineStr">
        <is>
          <t>https://attack.mitre.org/techniques/T1694/001</t>
        </is>
      </c>
      <c r="M731" s="973" t="inlineStr">
        <is>
          <t>Yes</t>
        </is>
      </c>
      <c r="N731" s="973" t="inlineStr">
        <is>
          <t>No explicit facility gate — defaults feasible</t>
        </is>
      </c>
      <c r="O731" s="973" t="inlineStr">
        <is>
          <t>Default Credentials can support movement toward or within plant/control zones; actual reachability is governed by the assessed facility architecture.</t>
        </is>
      </c>
      <c r="P731" s="973" t="inlineStr">
        <is>
          <t>https://csrc.nist.gov/pubs/sp/800/82/r3/final</t>
        </is>
      </c>
    </row>
    <row r="732" ht="15" customHeight="1" s="508">
      <c r="A732" s="972" t="inlineStr">
        <is>
          <t>Malicious Insider</t>
        </is>
      </c>
      <c r="B732" s="972" t="inlineStr">
        <is>
          <t>Loss of Control or Visibility</t>
        </is>
      </c>
      <c r="C732" s="972" t="inlineStr">
        <is>
          <t>T0813</t>
        </is>
      </c>
      <c r="D732" s="972" t="inlineStr">
        <is>
          <t>Denial of Control</t>
        </is>
      </c>
      <c r="E732" s="972" t="inlineStr">
        <is>
          <t>S5</t>
        </is>
      </c>
      <c r="F732" s="972" t="inlineStr">
        <is>
          <t>Scenario-defining</t>
        </is>
      </c>
      <c r="G732" s="972" t="inlineStr">
        <is>
          <t>Yes</t>
        </is>
      </c>
      <c r="H732" s="972" t="inlineStr">
        <is>
          <t>Yes</t>
        </is>
      </c>
      <c r="I732" s="972" t="inlineStr">
        <is>
          <t>Yes</t>
        </is>
      </c>
      <c r="J732" s="972" t="n">
        <v>3</v>
      </c>
      <c r="K732" s="972" t="inlineStr">
        <is>
          <t>Model Mapping</t>
        </is>
      </c>
      <c r="L732" s="452" t="inlineStr">
        <is>
          <t>https://attack.mitre.org/techniques/T0813</t>
        </is>
      </c>
      <c r="M732" s="973" t="inlineStr">
        <is>
          <t>Yes</t>
        </is>
      </c>
      <c r="N732" s="973" t="inlineStr">
        <is>
          <t>No explicit facility gate — defaults feasible</t>
        </is>
      </c>
      <c r="O732" s="973" t="inlineStr">
        <is>
          <t>Denial of Control is an ATT&amp;CK for ICS impact or response-inhibition technique that can support one or more governed adverse scenarios; scenario role remains controlled on 09.</t>
        </is>
      </c>
      <c r="P732" s="973" t="inlineStr">
        <is>
          <t>https://csrc.nist.gov/pubs/sp/800/82/r3/final</t>
        </is>
      </c>
    </row>
    <row r="733" ht="15" customHeight="1" s="508">
      <c r="A733" s="972" t="inlineStr">
        <is>
          <t>Malicious Insider</t>
        </is>
      </c>
      <c r="B733" s="972" t="inlineStr">
        <is>
          <t>Loss of Control or Visibility</t>
        </is>
      </c>
      <c r="C733" s="972" t="inlineStr">
        <is>
          <t>T0815</t>
        </is>
      </c>
      <c r="D733" s="972" t="inlineStr">
        <is>
          <t>Denial of View</t>
        </is>
      </c>
      <c r="E733" s="972" t="inlineStr">
        <is>
          <t>S5</t>
        </is>
      </c>
      <c r="F733" s="972" t="inlineStr">
        <is>
          <t>Scenario-defining</t>
        </is>
      </c>
      <c r="G733" s="972" t="inlineStr">
        <is>
          <t>Yes</t>
        </is>
      </c>
      <c r="H733" s="972" t="inlineStr">
        <is>
          <t>Yes</t>
        </is>
      </c>
      <c r="I733" s="972" t="inlineStr">
        <is>
          <t>Yes</t>
        </is>
      </c>
      <c r="J733" s="972" t="n">
        <v>3</v>
      </c>
      <c r="K733" s="972" t="inlineStr">
        <is>
          <t>Model Mapping</t>
        </is>
      </c>
      <c r="L733" s="452" t="inlineStr">
        <is>
          <t>https://attack.mitre.org/techniques/T0815</t>
        </is>
      </c>
      <c r="M733" s="973" t="inlineStr">
        <is>
          <t>Yes</t>
        </is>
      </c>
      <c r="N733" s="973" t="inlineStr">
        <is>
          <t>No explicit facility gate — defaults feasible</t>
        </is>
      </c>
      <c r="O733" s="973" t="inlineStr">
        <is>
          <t>Denial of View is an ATT&amp;CK for ICS impact or response-inhibition technique that can support one or more governed adverse scenarios; scenario role remains controlled on 09.</t>
        </is>
      </c>
      <c r="P733" s="973" t="inlineStr">
        <is>
          <t>https://csrc.nist.gov/pubs/sp/800/82/r3/final</t>
        </is>
      </c>
    </row>
    <row r="734" ht="15" customHeight="1" s="508">
      <c r="A734" s="972" t="inlineStr">
        <is>
          <t>Malicious Insider</t>
        </is>
      </c>
      <c r="B734" s="972" t="inlineStr">
        <is>
          <t>Loss of Control or Visibility</t>
        </is>
      </c>
      <c r="C734" s="972" t="inlineStr">
        <is>
          <t>T0868</t>
        </is>
      </c>
      <c r="D734" s="972" t="inlineStr">
        <is>
          <t>Detect Operating Mode</t>
        </is>
      </c>
      <c r="E734" s="972" t="inlineStr">
        <is>
          <t>S4</t>
        </is>
      </c>
      <c r="F734" s="972" t="inlineStr">
        <is>
          <t>Candidate enabling technique</t>
        </is>
      </c>
      <c r="G734" s="972" t="inlineStr">
        <is>
          <t>Yes</t>
        </is>
      </c>
      <c r="H734" s="972" t="inlineStr">
        <is>
          <t>Yes</t>
        </is>
      </c>
      <c r="I734" s="972" t="inlineStr">
        <is>
          <t>Yes</t>
        </is>
      </c>
      <c r="J734" s="972" t="n">
        <v>8</v>
      </c>
      <c r="K734" s="972" t="inlineStr">
        <is>
          <t>Model Mapping</t>
        </is>
      </c>
      <c r="L734" s="452" t="inlineStr">
        <is>
          <t>https://attack.mitre.org/techniques/T0868</t>
        </is>
      </c>
      <c r="M734" s="973" t="inlineStr">
        <is>
          <t>Yes</t>
        </is>
      </c>
      <c r="N734" s="973" t="inlineStr">
        <is>
          <t>No explicit facility gate — defaults feasible</t>
        </is>
      </c>
      <c r="O734" s="973" t="inlineStr">
        <is>
          <t>Detect Operating Mode can support discovery or interaction with process state, control assets and operational data in Power Generation environments.</t>
        </is>
      </c>
      <c r="P734" s="973" t="inlineStr">
        <is>
          <t>https://csrc.nist.gov/pubs/sp/800/82/r3/final</t>
        </is>
      </c>
    </row>
    <row r="735" ht="15" customHeight="1" s="508">
      <c r="A735" s="972" t="inlineStr">
        <is>
          <t>Malicious Insider</t>
        </is>
      </c>
      <c r="B735" s="972" t="inlineStr">
        <is>
          <t>Loss of Control or Visibility</t>
        </is>
      </c>
      <c r="C735" s="972" t="inlineStr">
        <is>
          <t>T0843.001</t>
        </is>
      </c>
      <c r="D735" s="972" t="inlineStr">
        <is>
          <t>Download All</t>
        </is>
      </c>
      <c r="E735" s="972" t="inlineStr">
        <is>
          <t>S3</t>
        </is>
      </c>
      <c r="F735" s="972" t="inlineStr">
        <is>
          <t>Candidate enabling technique</t>
        </is>
      </c>
      <c r="G735" s="972" t="inlineStr">
        <is>
          <t>Yes</t>
        </is>
      </c>
      <c r="H735" s="972" t="inlineStr">
        <is>
          <t>Yes</t>
        </is>
      </c>
      <c r="I735" s="972" t="inlineStr">
        <is>
          <t>Yes</t>
        </is>
      </c>
      <c r="J735" s="972" t="n">
        <v>10</v>
      </c>
      <c r="K735" s="972" t="inlineStr">
        <is>
          <t>Model Mapping</t>
        </is>
      </c>
      <c r="L735" s="452" t="inlineStr">
        <is>
          <t>https://attack.mitre.org/techniques/T0843/001</t>
        </is>
      </c>
      <c r="M735" s="973" t="inlineStr">
        <is>
          <t>Yes</t>
        </is>
      </c>
      <c r="N735" s="973" t="inlineStr">
        <is>
          <t>No explicit facility gate — defaults feasible</t>
        </is>
      </c>
      <c r="O735" s="973" t="inlineStr">
        <is>
          <t>Download All can support movement toward or within plant/control zones; actual reachability is governed by the assessed facility architecture.</t>
        </is>
      </c>
      <c r="P735" s="973" t="inlineStr">
        <is>
          <t>https://csrc.nist.gov/pubs/sp/800/82/r3/final</t>
        </is>
      </c>
    </row>
    <row r="736" ht="15" customHeight="1" s="508">
      <c r="A736" s="972" t="inlineStr">
        <is>
          <t>Malicious Insider</t>
        </is>
      </c>
      <c r="B736" s="972" t="inlineStr">
        <is>
          <t>Loss of Control or Visibility</t>
        </is>
      </c>
      <c r="C736" s="972" t="inlineStr">
        <is>
          <t>T0817</t>
        </is>
      </c>
      <c r="D736" s="972" t="inlineStr">
        <is>
          <t>Drive-by Compromise</t>
        </is>
      </c>
      <c r="E736" s="972" t="inlineStr">
        <is>
          <t>S1</t>
        </is>
      </c>
      <c r="F736" s="972" t="inlineStr">
        <is>
          <t>Candidate enabling technique</t>
        </is>
      </c>
      <c r="G736" s="972" t="inlineStr">
        <is>
          <t>No</t>
        </is>
      </c>
      <c r="H736" s="972" t="inlineStr">
        <is>
          <t>Yes</t>
        </is>
      </c>
      <c r="I736" s="972" t="inlineStr">
        <is>
          <t>No</t>
        </is>
      </c>
      <c r="J736" s="972" t="n">
        <v>4</v>
      </c>
      <c r="K736" s="972" t="inlineStr">
        <is>
          <t>Model Mapping</t>
        </is>
      </c>
      <c r="L736" s="452" t="inlineStr">
        <is>
          <t>https://attack.mitre.org/techniques/T0817</t>
        </is>
      </c>
      <c r="M736" s="973" t="inlineStr">
        <is>
          <t>Yes</t>
        </is>
      </c>
      <c r="N736" s="973" t="inlineStr">
        <is>
          <t>No explicit facility gate — defaults feasible</t>
        </is>
      </c>
      <c r="O736" s="973" t="inlineStr">
        <is>
          <t>The Drive-by Compromise route is credible for Power Generation OT when the enabling access condition exists; existing facility gates determine remote, internet, transient, supply-chain or wireless feasibility.</t>
        </is>
      </c>
      <c r="P736" s="973" t="inlineStr">
        <is>
          <t>https://csrc.nist.gov/pubs/sp/800/82/r3/final</t>
        </is>
      </c>
    </row>
    <row r="737" ht="15" customHeight="1" s="508">
      <c r="A737" s="972" t="inlineStr">
        <is>
          <t>Malicious Insider</t>
        </is>
      </c>
      <c r="B737" s="972" t="inlineStr">
        <is>
          <t>Loss of Control or Visibility</t>
        </is>
      </c>
      <c r="C737" s="972" t="inlineStr">
        <is>
          <t>T0871</t>
        </is>
      </c>
      <c r="D737" s="972" t="inlineStr">
        <is>
          <t>Execution through API</t>
        </is>
      </c>
      <c r="E737" s="972" t="inlineStr">
        <is>
          <t>S2</t>
        </is>
      </c>
      <c r="F737" s="972" t="inlineStr">
        <is>
          <t>Candidate enabling technique</t>
        </is>
      </c>
      <c r="G737" s="972" t="inlineStr">
        <is>
          <t>Yes</t>
        </is>
      </c>
      <c r="H737" s="972" t="inlineStr">
        <is>
          <t>Yes</t>
        </is>
      </c>
      <c r="I737" s="972" t="inlineStr">
        <is>
          <t>Yes</t>
        </is>
      </c>
      <c r="J737" s="972" t="n">
        <v>4</v>
      </c>
      <c r="K737" s="972" t="inlineStr">
        <is>
          <t>Model Mapping</t>
        </is>
      </c>
      <c r="L737" s="452" t="inlineStr">
        <is>
          <t>https://attack.mitre.org/techniques/T0871</t>
        </is>
      </c>
      <c r="M737" s="973" t="inlineStr">
        <is>
          <t>Yes</t>
        </is>
      </c>
      <c r="N737" s="973" t="inlineStr">
        <is>
          <t>No explicit facility gate — defaults feasible</t>
        </is>
      </c>
      <c r="O737" s="973" t="inlineStr">
        <is>
          <t>Execution through API is applicable to execution or persistence on engineering workstations, HMIs, servers or controllers used in Power Generation facilities.</t>
        </is>
      </c>
      <c r="P737" s="973" t="inlineStr">
        <is>
          <t>https://csrc.nist.gov/pubs/sp/800/82/r3/final</t>
        </is>
      </c>
    </row>
    <row r="738" ht="15" customHeight="1" s="508">
      <c r="A738" s="972" t="inlineStr">
        <is>
          <t>Malicious Insider</t>
        </is>
      </c>
      <c r="B738" s="972" t="inlineStr">
        <is>
          <t>Loss of Control or Visibility</t>
        </is>
      </c>
      <c r="C738" s="972" t="inlineStr">
        <is>
          <t>T0819</t>
        </is>
      </c>
      <c r="D738" s="972" t="inlineStr">
        <is>
          <t>Exploit Public-Facing Application</t>
        </is>
      </c>
      <c r="E738" s="972" t="inlineStr">
        <is>
          <t>S1</t>
        </is>
      </c>
      <c r="F738" s="972" t="inlineStr">
        <is>
          <t>Candidate enabling technique</t>
        </is>
      </c>
      <c r="G738" s="972" t="inlineStr">
        <is>
          <t>No</t>
        </is>
      </c>
      <c r="H738" s="972" t="inlineStr">
        <is>
          <t>Yes</t>
        </is>
      </c>
      <c r="I738" s="972" t="inlineStr">
        <is>
          <t>No</t>
        </is>
      </c>
      <c r="J738" s="972" t="n">
        <v>6</v>
      </c>
      <c r="K738" s="972" t="inlineStr">
        <is>
          <t>Model Mapping</t>
        </is>
      </c>
      <c r="L738" s="452" t="inlineStr">
        <is>
          <t>https://attack.mitre.org/techniques/T0819</t>
        </is>
      </c>
      <c r="M738" s="973" t="inlineStr">
        <is>
          <t>Yes</t>
        </is>
      </c>
      <c r="N738" s="973" t="inlineStr">
        <is>
          <t>No explicit facility gate — defaults feasible</t>
        </is>
      </c>
      <c r="O738" s="973" t="inlineStr">
        <is>
          <t>The Exploit Public-Facing Application route is credible for Power Generation OT when the enabling access condition exists; existing facility gates determine remote, internet, transient, supply-chain or wireless feasibility.</t>
        </is>
      </c>
      <c r="P738" s="973" t="inlineStr">
        <is>
          <t>https://csrc.nist.gov/pubs/sp/800/82/r3/final</t>
        </is>
      </c>
    </row>
    <row r="739" ht="15" customHeight="1" s="508">
      <c r="A739" s="972" t="inlineStr">
        <is>
          <t>Malicious Insider</t>
        </is>
      </c>
      <c r="B739" s="972" t="inlineStr">
        <is>
          <t>Loss of Control or Visibility</t>
        </is>
      </c>
      <c r="C739" s="972" t="inlineStr">
        <is>
          <t>T0820</t>
        </is>
      </c>
      <c r="D739" s="972" t="inlineStr">
        <is>
          <t>Exploitation for Evasion</t>
        </is>
      </c>
      <c r="E739" s="972" t="inlineStr">
        <is>
          <t>S2</t>
        </is>
      </c>
      <c r="F739" s="972" t="inlineStr">
        <is>
          <t>Candidate enabling technique</t>
        </is>
      </c>
      <c r="G739" s="972" t="inlineStr">
        <is>
          <t>Yes</t>
        </is>
      </c>
      <c r="H739" s="972" t="inlineStr">
        <is>
          <t>Yes</t>
        </is>
      </c>
      <c r="I739" s="972" t="inlineStr">
        <is>
          <t>Yes</t>
        </is>
      </c>
      <c r="J739" s="972" t="n">
        <v>4</v>
      </c>
      <c r="K739" s="972" t="inlineStr">
        <is>
          <t>Model Mapping</t>
        </is>
      </c>
      <c r="L739" s="452" t="inlineStr">
        <is>
          <t>https://attack.mitre.org/techniques/T0820</t>
        </is>
      </c>
      <c r="M739" s="973" t="inlineStr">
        <is>
          <t>Yes</t>
        </is>
      </c>
      <c r="N739" s="973" t="inlineStr">
        <is>
          <t>No explicit facility gate — defaults feasible</t>
        </is>
      </c>
      <c r="O739" s="973" t="inlineStr">
        <is>
          <t>Exploitation for Evasion is applicable to execution or persistence on engineering workstations, HMIs, servers or controllers used in Power Generation facilities.</t>
        </is>
      </c>
      <c r="P739" s="973" t="inlineStr">
        <is>
          <t>https://csrc.nist.gov/pubs/sp/800/82/r3/final</t>
        </is>
      </c>
    </row>
    <row r="740" ht="15" customHeight="1" s="508">
      <c r="A740" s="972" t="inlineStr">
        <is>
          <t>Malicious Insider</t>
        </is>
      </c>
      <c r="B740" s="972" t="inlineStr">
        <is>
          <t>Loss of Control or Visibility</t>
        </is>
      </c>
      <c r="C740" s="972" t="inlineStr">
        <is>
          <t>T0890</t>
        </is>
      </c>
      <c r="D740" s="972" t="inlineStr">
        <is>
          <t>Exploitation for Privilege Escalation</t>
        </is>
      </c>
      <c r="E740" s="972" t="inlineStr">
        <is>
          <t>S2</t>
        </is>
      </c>
      <c r="F740" s="972" t="inlineStr">
        <is>
          <t>Candidate enabling technique</t>
        </is>
      </c>
      <c r="G740" s="972" t="inlineStr">
        <is>
          <t>Yes</t>
        </is>
      </c>
      <c r="H740" s="972" t="inlineStr">
        <is>
          <t>Yes</t>
        </is>
      </c>
      <c r="I740" s="972" t="inlineStr">
        <is>
          <t>Yes</t>
        </is>
      </c>
      <c r="J740" s="972" t="n">
        <v>4</v>
      </c>
      <c r="K740" s="972" t="inlineStr">
        <is>
          <t>Model Mapping</t>
        </is>
      </c>
      <c r="L740" s="452" t="inlineStr">
        <is>
          <t>https://attack.mitre.org/techniques/T0890</t>
        </is>
      </c>
      <c r="M740" s="973" t="inlineStr">
        <is>
          <t>Yes</t>
        </is>
      </c>
      <c r="N740" s="973" t="inlineStr">
        <is>
          <t>No explicit facility gate — defaults feasible</t>
        </is>
      </c>
      <c r="O740" s="973" t="inlineStr">
        <is>
          <t>Exploitation for Privilege Escalation is applicable to execution or persistence on engineering workstations, HMIs, servers or controllers used in Power Generation facilities.</t>
        </is>
      </c>
      <c r="P740" s="973" t="inlineStr">
        <is>
          <t>https://csrc.nist.gov/pubs/sp/800/82/r3/final</t>
        </is>
      </c>
    </row>
    <row r="741" ht="15" customHeight="1" s="508">
      <c r="A741" s="972" t="inlineStr">
        <is>
          <t>Malicious Insider</t>
        </is>
      </c>
      <c r="B741" s="972" t="inlineStr">
        <is>
          <t>Loss of Control or Visibility</t>
        </is>
      </c>
      <c r="C741" s="972" t="inlineStr">
        <is>
          <t>T0866</t>
        </is>
      </c>
      <c r="D741" s="972" t="inlineStr">
        <is>
          <t>Exploitation of Remote Services</t>
        </is>
      </c>
      <c r="E741" s="972" t="inlineStr">
        <is>
          <t>S1</t>
        </is>
      </c>
      <c r="F741" s="972" t="inlineStr">
        <is>
          <t>Candidate enabling technique</t>
        </is>
      </c>
      <c r="G741" s="972" t="inlineStr">
        <is>
          <t>No</t>
        </is>
      </c>
      <c r="H741" s="972" t="inlineStr">
        <is>
          <t>Yes</t>
        </is>
      </c>
      <c r="I741" s="972" t="inlineStr">
        <is>
          <t>No</t>
        </is>
      </c>
      <c r="J741" s="972" t="n">
        <v>8</v>
      </c>
      <c r="K741" s="972" t="inlineStr">
        <is>
          <t>Model Mapping</t>
        </is>
      </c>
      <c r="L741" s="452" t="inlineStr">
        <is>
          <t>https://attack.mitre.org/techniques/T0866</t>
        </is>
      </c>
      <c r="M741" s="973" t="inlineStr">
        <is>
          <t>Yes</t>
        </is>
      </c>
      <c r="N741" s="973" t="inlineStr">
        <is>
          <t>REMOTE_OR_ITOT — Remote path or IT-OT connection</t>
        </is>
      </c>
      <c r="O741" s="973" t="inlineStr">
        <is>
          <t>The Exploitation of Remote Services route is credible for Power Generation OT when the enabling access condition exists; existing facility gates determine remote, internet, transient, supply-chain or wireless feasibility.</t>
        </is>
      </c>
      <c r="P741" s="973" t="inlineStr">
        <is>
          <t>https://csrc.nist.gov/pubs/sp/800/82/r3/final</t>
        </is>
      </c>
    </row>
    <row r="742" ht="15" customHeight="1" s="508">
      <c r="A742" s="972" t="inlineStr">
        <is>
          <t>Malicious Insider</t>
        </is>
      </c>
      <c r="B742" s="972" t="inlineStr">
        <is>
          <t>Loss of Control or Visibility</t>
        </is>
      </c>
      <c r="C742" s="972" t="inlineStr">
        <is>
          <t>T0822</t>
        </is>
      </c>
      <c r="D742" s="972" t="inlineStr">
        <is>
          <t>External Remote Services</t>
        </is>
      </c>
      <c r="E742" s="972" t="inlineStr">
        <is>
          <t>S1</t>
        </is>
      </c>
      <c r="F742" s="972" t="inlineStr">
        <is>
          <t>Candidate enabling technique</t>
        </is>
      </c>
      <c r="G742" s="972" t="inlineStr">
        <is>
          <t>No</t>
        </is>
      </c>
      <c r="H742" s="972" t="inlineStr">
        <is>
          <t>Yes</t>
        </is>
      </c>
      <c r="I742" s="972" t="inlineStr">
        <is>
          <t>No</t>
        </is>
      </c>
      <c r="J742" s="972" t="n">
        <v>7</v>
      </c>
      <c r="K742" s="972" t="inlineStr">
        <is>
          <t>Model Mapping</t>
        </is>
      </c>
      <c r="L742" s="452" t="inlineStr">
        <is>
          <t>https://attack.mitre.org/techniques/T0822</t>
        </is>
      </c>
      <c r="M742" s="973" t="inlineStr">
        <is>
          <t>Yes</t>
        </is>
      </c>
      <c r="N742" s="973" t="inlineStr">
        <is>
          <t>REMOTE_REQUIRED — Not None</t>
        </is>
      </c>
      <c r="O742" s="973" t="inlineStr">
        <is>
          <t>The External Remote Services route is credible for Power Generation OT when the enabling access condition exists; existing facility gates determine remote, internet, transient, supply-chain or wireless feasibility.</t>
        </is>
      </c>
      <c r="P742" s="973" t="inlineStr">
        <is>
          <t>https://csrc.nist.gov/pubs/sp/800/82/r3/final</t>
        </is>
      </c>
    </row>
    <row r="743" ht="15" customHeight="1" s="508">
      <c r="A743" s="972" t="inlineStr">
        <is>
          <t>Malicious Insider</t>
        </is>
      </c>
      <c r="B743" s="972" t="inlineStr">
        <is>
          <t>Loss of Control or Visibility</t>
        </is>
      </c>
      <c r="C743" s="972" t="inlineStr">
        <is>
          <t>T0823</t>
        </is>
      </c>
      <c r="D743" s="972" t="inlineStr">
        <is>
          <t>Graphical User Interface</t>
        </is>
      </c>
      <c r="E743" s="972" t="inlineStr">
        <is>
          <t>S2</t>
        </is>
      </c>
      <c r="F743" s="972" t="inlineStr">
        <is>
          <t>Candidate enabling technique</t>
        </is>
      </c>
      <c r="G743" s="972" t="inlineStr">
        <is>
          <t>Yes</t>
        </is>
      </c>
      <c r="H743" s="972" t="inlineStr">
        <is>
          <t>Yes</t>
        </is>
      </c>
      <c r="I743" s="972" t="inlineStr">
        <is>
          <t>Yes</t>
        </is>
      </c>
      <c r="J743" s="972" t="n">
        <v>1</v>
      </c>
      <c r="K743" s="972" t="inlineStr">
        <is>
          <t>Model Mapping</t>
        </is>
      </c>
      <c r="L743" s="452" t="inlineStr">
        <is>
          <t>https://attack.mitre.org/techniques/T0823</t>
        </is>
      </c>
      <c r="M743" s="973" t="inlineStr">
        <is>
          <t>Yes</t>
        </is>
      </c>
      <c r="N743" s="973" t="inlineStr">
        <is>
          <t>No explicit facility gate — defaults feasible</t>
        </is>
      </c>
      <c r="O743" s="973" t="inlineStr">
        <is>
          <t>Graphical User Interface is applicable to execution or persistence on engineering workstations, HMIs, servers or controllers used in Power Generation facilities.</t>
        </is>
      </c>
      <c r="P743" s="973" t="inlineStr">
        <is>
          <t>https://csrc.nist.gov/pubs/sp/800/82/r3/final</t>
        </is>
      </c>
    </row>
    <row r="744" ht="15" customHeight="1" s="508">
      <c r="A744" s="972" t="inlineStr">
        <is>
          <t>Malicious Insider</t>
        </is>
      </c>
      <c r="B744" s="972" t="inlineStr">
        <is>
          <t>Loss of Control or Visibility</t>
        </is>
      </c>
      <c r="C744" s="972" t="inlineStr">
        <is>
          <t>T1694.002</t>
        </is>
      </c>
      <c r="D744" s="972" t="inlineStr">
        <is>
          <t>Hardcoded Credentials</t>
        </is>
      </c>
      <c r="E744" s="972" t="inlineStr">
        <is>
          <t>S3</t>
        </is>
      </c>
      <c r="F744" s="972" t="inlineStr">
        <is>
          <t>Candidate enabling technique</t>
        </is>
      </c>
      <c r="G744" s="972" t="inlineStr">
        <is>
          <t>Yes</t>
        </is>
      </c>
      <c r="H744" s="972" t="inlineStr">
        <is>
          <t>Yes</t>
        </is>
      </c>
      <c r="I744" s="972" t="inlineStr">
        <is>
          <t>Yes</t>
        </is>
      </c>
      <c r="J744" s="972" t="n">
        <v>1</v>
      </c>
      <c r="K744" s="972" t="inlineStr">
        <is>
          <t>Model Mapping</t>
        </is>
      </c>
      <c r="L744" s="452" t="inlineStr">
        <is>
          <t>https://attack.mitre.org/techniques/T1694/002</t>
        </is>
      </c>
      <c r="M744" s="973" t="inlineStr">
        <is>
          <t>Yes</t>
        </is>
      </c>
      <c r="N744" s="973" t="inlineStr">
        <is>
          <t>No explicit facility gate — defaults feasible</t>
        </is>
      </c>
      <c r="O744" s="973" t="inlineStr">
        <is>
          <t>Hardcoded Credentials can support movement toward or within plant/control zones; actual reachability is governed by the assessed facility architecture.</t>
        </is>
      </c>
      <c r="P744" s="973" t="inlineStr">
        <is>
          <t>https://csrc.nist.gov/pubs/sp/800/82/r3/final</t>
        </is>
      </c>
    </row>
    <row r="745" ht="15" customHeight="1" s="508">
      <c r="A745" s="972" t="inlineStr">
        <is>
          <t>Malicious Insider</t>
        </is>
      </c>
      <c r="B745" s="972" t="inlineStr">
        <is>
          <t>Loss of Control or Visibility</t>
        </is>
      </c>
      <c r="C745" s="972" t="inlineStr">
        <is>
          <t>T0874</t>
        </is>
      </c>
      <c r="D745" s="972" t="inlineStr">
        <is>
          <t>Hooking</t>
        </is>
      </c>
      <c r="E745" s="972" t="inlineStr">
        <is>
          <t>S2</t>
        </is>
      </c>
      <c r="F745" s="972" t="inlineStr">
        <is>
          <t>Candidate enabling technique</t>
        </is>
      </c>
      <c r="G745" s="972" t="inlineStr">
        <is>
          <t>Yes</t>
        </is>
      </c>
      <c r="H745" s="972" t="inlineStr">
        <is>
          <t>Yes</t>
        </is>
      </c>
      <c r="I745" s="972" t="inlineStr">
        <is>
          <t>Yes</t>
        </is>
      </c>
      <c r="J745" s="972" t="n">
        <v>2</v>
      </c>
      <c r="K745" s="972" t="inlineStr">
        <is>
          <t>Model Mapping</t>
        </is>
      </c>
      <c r="L745" s="452" t="inlineStr">
        <is>
          <t>https://attack.mitre.org/techniques/T0874</t>
        </is>
      </c>
      <c r="M745" s="973" t="inlineStr">
        <is>
          <t>Yes</t>
        </is>
      </c>
      <c r="N745" s="973" t="inlineStr">
        <is>
          <t>No explicit facility gate — defaults feasible</t>
        </is>
      </c>
      <c r="O745" s="973" t="inlineStr">
        <is>
          <t>Hooking is applicable to execution or persistence on engineering workstations, HMIs, servers or controllers used in Power Generation facilities.</t>
        </is>
      </c>
      <c r="P745" s="973" t="inlineStr">
        <is>
          <t>https://csrc.nist.gov/pubs/sp/800/82/r3/final</t>
        </is>
      </c>
    </row>
    <row r="746" ht="15" customHeight="1" s="508">
      <c r="A746" s="972" t="inlineStr">
        <is>
          <t>Malicious Insider</t>
        </is>
      </c>
      <c r="B746" s="972" t="inlineStr">
        <is>
          <t>Loss of Control or Visibility</t>
        </is>
      </c>
      <c r="C746" s="972" t="inlineStr">
        <is>
          <t>T0877</t>
        </is>
      </c>
      <c r="D746" s="972" t="inlineStr">
        <is>
          <t>I/O Image</t>
        </is>
      </c>
      <c r="E746" s="972" t="inlineStr">
        <is>
          <t>S4</t>
        </is>
      </c>
      <c r="F746" s="972" t="inlineStr">
        <is>
          <t>Candidate enabling technique</t>
        </is>
      </c>
      <c r="G746" s="972" t="inlineStr">
        <is>
          <t>Yes</t>
        </is>
      </c>
      <c r="H746" s="972" t="inlineStr">
        <is>
          <t>Yes</t>
        </is>
      </c>
      <c r="I746" s="972" t="inlineStr">
        <is>
          <t>Yes</t>
        </is>
      </c>
      <c r="J746" s="972" t="n">
        <v>1</v>
      </c>
      <c r="K746" s="972" t="inlineStr">
        <is>
          <t>Model Mapping</t>
        </is>
      </c>
      <c r="L746" s="452" t="inlineStr">
        <is>
          <t>https://attack.mitre.org/techniques/T0877</t>
        </is>
      </c>
      <c r="M746" s="973" t="inlineStr">
        <is>
          <t>Yes</t>
        </is>
      </c>
      <c r="N746" s="973" t="inlineStr">
        <is>
          <t>No explicit facility gate — defaults feasible</t>
        </is>
      </c>
      <c r="O746" s="973" t="inlineStr">
        <is>
          <t>I/O Image can support discovery or interaction with process state, control assets and operational data in Power Generation environments.</t>
        </is>
      </c>
      <c r="P746" s="973" t="inlineStr">
        <is>
          <t>https://csrc.nist.gov/pubs/sp/800/82/r3/final</t>
        </is>
      </c>
    </row>
    <row r="747" ht="15" customHeight="1" s="508">
      <c r="A747" s="972" t="inlineStr">
        <is>
          <t>Malicious Insider</t>
        </is>
      </c>
      <c r="B747" s="972" t="inlineStr">
        <is>
          <t>Loss of Control or Visibility</t>
        </is>
      </c>
      <c r="C747" s="972" t="inlineStr">
        <is>
          <t>T0872</t>
        </is>
      </c>
      <c r="D747" s="972" t="inlineStr">
        <is>
          <t>Indicator Removal on Host</t>
        </is>
      </c>
      <c r="E747" s="972" t="inlineStr">
        <is>
          <t>S2</t>
        </is>
      </c>
      <c r="F747" s="972" t="inlineStr">
        <is>
          <t>Candidate enabling technique</t>
        </is>
      </c>
      <c r="G747" s="972" t="inlineStr">
        <is>
          <t>Yes</t>
        </is>
      </c>
      <c r="H747" s="972" t="inlineStr">
        <is>
          <t>Yes</t>
        </is>
      </c>
      <c r="I747" s="972" t="inlineStr">
        <is>
          <t>Yes</t>
        </is>
      </c>
      <c r="J747" s="972" t="n">
        <v>1</v>
      </c>
      <c r="K747" s="972" t="inlineStr">
        <is>
          <t>Model Mapping</t>
        </is>
      </c>
      <c r="L747" s="452" t="inlineStr">
        <is>
          <t>https://attack.mitre.org/techniques/T0872</t>
        </is>
      </c>
      <c r="M747" s="973" t="inlineStr">
        <is>
          <t>Yes</t>
        </is>
      </c>
      <c r="N747" s="973" t="inlineStr">
        <is>
          <t>No explicit facility gate — defaults feasible</t>
        </is>
      </c>
      <c r="O747" s="973" t="inlineStr">
        <is>
          <t>Indicator Removal on Host is applicable to execution or persistence on engineering workstations, HMIs, servers or controllers used in Power Generation facilities.</t>
        </is>
      </c>
      <c r="P747" s="973" t="inlineStr">
        <is>
          <t>https://csrc.nist.gov/pubs/sp/800/82/r3/final</t>
        </is>
      </c>
    </row>
    <row r="748" ht="15" customHeight="1" s="508">
      <c r="A748" s="972" t="inlineStr">
        <is>
          <t>Malicious Insider</t>
        </is>
      </c>
      <c r="B748" s="972" t="inlineStr">
        <is>
          <t>Loss of Control or Visibility</t>
        </is>
      </c>
      <c r="C748" s="972" t="inlineStr">
        <is>
          <t>T0883</t>
        </is>
      </c>
      <c r="D748" s="972" t="inlineStr">
        <is>
          <t>Internet Accessible Device</t>
        </is>
      </c>
      <c r="E748" s="972" t="inlineStr">
        <is>
          <t>S1</t>
        </is>
      </c>
      <c r="F748" s="972" t="inlineStr">
        <is>
          <t>Candidate enabling technique</t>
        </is>
      </c>
      <c r="G748" s="972" t="inlineStr">
        <is>
          <t>No</t>
        </is>
      </c>
      <c r="H748" s="972" t="inlineStr">
        <is>
          <t>No</t>
        </is>
      </c>
      <c r="I748" s="972" t="inlineStr">
        <is>
          <t>No</t>
        </is>
      </c>
      <c r="J748" s="972" t="n">
        <v>1</v>
      </c>
      <c r="K748" s="972" t="inlineStr">
        <is>
          <t>Model Mapping</t>
        </is>
      </c>
      <c r="L748" s="452" t="inlineStr">
        <is>
          <t>https://attack.mitre.org/techniques/T0883</t>
        </is>
      </c>
      <c r="M748" s="973" t="inlineStr">
        <is>
          <t>Yes</t>
        </is>
      </c>
      <c r="N748" s="973" t="inlineStr">
        <is>
          <t>INTERNET_OT — Yes</t>
        </is>
      </c>
      <c r="O748" s="973" t="inlineStr">
        <is>
          <t>The Internet Accessible Device route is credible for Power Generation OT when the enabling access condition exists; existing facility gates determine remote, internet, transient, supply-chain or wireless feasibility.</t>
        </is>
      </c>
      <c r="P748" s="973" t="inlineStr">
        <is>
          <t>https://csrc.nist.gov/pubs/sp/800/82/r3/final</t>
        </is>
      </c>
    </row>
    <row r="749" ht="15" customHeight="1" s="508">
      <c r="A749" s="972" t="inlineStr">
        <is>
          <t>Malicious Insider</t>
        </is>
      </c>
      <c r="B749" s="972" t="inlineStr">
        <is>
          <t>Loss of Control or Visibility</t>
        </is>
      </c>
      <c r="C749" s="972" t="inlineStr">
        <is>
          <t>T0867</t>
        </is>
      </c>
      <c r="D749" s="972" t="inlineStr">
        <is>
          <t>Lateral Tool Transfer</t>
        </is>
      </c>
      <c r="E749" s="972" t="inlineStr">
        <is>
          <t>S3</t>
        </is>
      </c>
      <c r="F749" s="972" t="inlineStr">
        <is>
          <t>Candidate enabling technique</t>
        </is>
      </c>
      <c r="G749" s="972" t="inlineStr">
        <is>
          <t>Yes</t>
        </is>
      </c>
      <c r="H749" s="972" t="inlineStr">
        <is>
          <t>Yes</t>
        </is>
      </c>
      <c r="I749" s="972" t="inlineStr">
        <is>
          <t>Yes</t>
        </is>
      </c>
      <c r="J749" s="972" t="n">
        <v>1</v>
      </c>
      <c r="K749" s="972" t="inlineStr">
        <is>
          <t>Model Mapping</t>
        </is>
      </c>
      <c r="L749" s="452" t="inlineStr">
        <is>
          <t>https://attack.mitre.org/techniques/T0867</t>
        </is>
      </c>
      <c r="M749" s="973" t="inlineStr">
        <is>
          <t>Yes</t>
        </is>
      </c>
      <c r="N749" s="973" t="inlineStr">
        <is>
          <t>No explicit facility gate — defaults feasible</t>
        </is>
      </c>
      <c r="O749" s="973" t="inlineStr">
        <is>
          <t>Lateral Tool Transfer can support movement toward or within plant/control zones; actual reachability is governed by the assessed facility architecture.</t>
        </is>
      </c>
      <c r="P749" s="973" t="inlineStr">
        <is>
          <t>https://csrc.nist.gov/pubs/sp/800/82/r3/final</t>
        </is>
      </c>
    </row>
    <row r="750" ht="15" customHeight="1" s="508">
      <c r="A750" s="972" t="inlineStr">
        <is>
          <t>Malicious Insider</t>
        </is>
      </c>
      <c r="B750" s="972" t="inlineStr">
        <is>
          <t>Loss of Control or Visibility</t>
        </is>
      </c>
      <c r="C750" s="972" t="inlineStr">
        <is>
          <t>T0827</t>
        </is>
      </c>
      <c r="D750" s="972" t="inlineStr">
        <is>
          <t>Loss of Control</t>
        </is>
      </c>
      <c r="E750" s="972" t="inlineStr">
        <is>
          <t>S5</t>
        </is>
      </c>
      <c r="F750" s="972" t="inlineStr">
        <is>
          <t>Scenario-defining</t>
        </is>
      </c>
      <c r="G750" s="972" t="inlineStr">
        <is>
          <t>Yes</t>
        </is>
      </c>
      <c r="H750" s="972" t="inlineStr">
        <is>
          <t>Yes</t>
        </is>
      </c>
      <c r="I750" s="972" t="inlineStr">
        <is>
          <t>Yes</t>
        </is>
      </c>
      <c r="J750" s="972" t="n">
        <v>3</v>
      </c>
      <c r="K750" s="972" t="inlineStr">
        <is>
          <t>Model Mapping</t>
        </is>
      </c>
      <c r="L750" s="452" t="inlineStr">
        <is>
          <t>https://attack.mitre.org/techniques/T0827</t>
        </is>
      </c>
      <c r="M750" s="973" t="inlineStr">
        <is>
          <t>Yes</t>
        </is>
      </c>
      <c r="N750" s="973" t="inlineStr">
        <is>
          <t>No explicit facility gate — defaults feasible</t>
        </is>
      </c>
      <c r="O750" s="973" t="inlineStr">
        <is>
          <t>Loss of Control is an ATT&amp;CK for ICS impact or response-inhibition technique that can support one or more governed adverse scenarios; scenario role remains controlled on 09.</t>
        </is>
      </c>
      <c r="P750" s="973" t="inlineStr">
        <is>
          <t>https://csrc.nist.gov/pubs/sp/800/82/r3/final</t>
        </is>
      </c>
    </row>
    <row r="751" ht="15" customHeight="1" s="508">
      <c r="A751" s="972" t="inlineStr">
        <is>
          <t>Malicious Insider</t>
        </is>
      </c>
      <c r="B751" s="972" t="inlineStr">
        <is>
          <t>Loss of Control or Visibility</t>
        </is>
      </c>
      <c r="C751" s="972" t="inlineStr">
        <is>
          <t>T0829</t>
        </is>
      </c>
      <c r="D751" s="972" t="inlineStr">
        <is>
          <t>Loss of View</t>
        </is>
      </c>
      <c r="E751" s="972" t="inlineStr">
        <is>
          <t>S5</t>
        </is>
      </c>
      <c r="F751" s="972" t="inlineStr">
        <is>
          <t>Scenario-defining</t>
        </is>
      </c>
      <c r="G751" s="972" t="inlineStr">
        <is>
          <t>Yes</t>
        </is>
      </c>
      <c r="H751" s="972" t="inlineStr">
        <is>
          <t>Yes</t>
        </is>
      </c>
      <c r="I751" s="972" t="inlineStr">
        <is>
          <t>Yes</t>
        </is>
      </c>
      <c r="J751" s="972" t="n">
        <v>3</v>
      </c>
      <c r="K751" s="972" t="inlineStr">
        <is>
          <t>Model Mapping</t>
        </is>
      </c>
      <c r="L751" s="452" t="inlineStr">
        <is>
          <t>https://attack.mitre.org/techniques/T0829</t>
        </is>
      </c>
      <c r="M751" s="973" t="inlineStr">
        <is>
          <t>Yes</t>
        </is>
      </c>
      <c r="N751" s="973" t="inlineStr">
        <is>
          <t>No explicit facility gate — defaults feasible</t>
        </is>
      </c>
      <c r="O751" s="973" t="inlineStr">
        <is>
          <t>Loss of View is an ATT&amp;CK for ICS impact or response-inhibition technique that can support one or more governed adverse scenarios; scenario role remains controlled on 09.</t>
        </is>
      </c>
      <c r="P751" s="973" t="inlineStr">
        <is>
          <t>https://csrc.nist.gov/pubs/sp/800/82/r3/final</t>
        </is>
      </c>
    </row>
    <row r="752" ht="15" customHeight="1" s="508">
      <c r="A752" s="972" t="inlineStr">
        <is>
          <t>Malicious Insider</t>
        </is>
      </c>
      <c r="B752" s="972" t="inlineStr">
        <is>
          <t>Loss of Control or Visibility</t>
        </is>
      </c>
      <c r="C752" s="972" t="inlineStr">
        <is>
          <t>T0849</t>
        </is>
      </c>
      <c r="D752" s="972" t="inlineStr">
        <is>
          <t>Masquerading</t>
        </is>
      </c>
      <c r="E752" s="972" t="inlineStr">
        <is>
          <t>S2</t>
        </is>
      </c>
      <c r="F752" s="972" t="inlineStr">
        <is>
          <t>Candidate enabling technique</t>
        </is>
      </c>
      <c r="G752" s="972" t="inlineStr">
        <is>
          <t>Yes</t>
        </is>
      </c>
      <c r="H752" s="972" t="inlineStr">
        <is>
          <t>Yes</t>
        </is>
      </c>
      <c r="I752" s="972" t="inlineStr">
        <is>
          <t>Yes</t>
        </is>
      </c>
      <c r="J752" s="972" t="n">
        <v>3</v>
      </c>
      <c r="K752" s="972" t="inlineStr">
        <is>
          <t>Model Mapping</t>
        </is>
      </c>
      <c r="L752" s="452" t="inlineStr">
        <is>
          <t>https://attack.mitre.org/techniques/T0849</t>
        </is>
      </c>
      <c r="M752" s="973" t="inlineStr">
        <is>
          <t>Yes</t>
        </is>
      </c>
      <c r="N752" s="973" t="inlineStr">
        <is>
          <t>No explicit facility gate — defaults feasible</t>
        </is>
      </c>
      <c r="O752" s="973" t="inlineStr">
        <is>
          <t>Masquerading is applicable to execution or persistence on engineering workstations, HMIs, servers or controllers used in Power Generation facilities.</t>
        </is>
      </c>
      <c r="P752" s="973" t="inlineStr">
        <is>
          <t>https://csrc.nist.gov/pubs/sp/800/82/r3/final</t>
        </is>
      </c>
    </row>
    <row r="753" ht="15" customHeight="1" s="508">
      <c r="A753" s="972" t="inlineStr">
        <is>
          <t>Malicious Insider</t>
        </is>
      </c>
      <c r="B753" s="972" t="inlineStr">
        <is>
          <t>Loss of Control or Visibility</t>
        </is>
      </c>
      <c r="C753" s="972" t="inlineStr">
        <is>
          <t>T0821</t>
        </is>
      </c>
      <c r="D753" s="972" t="inlineStr">
        <is>
          <t>Modify Controller Tasking</t>
        </is>
      </c>
      <c r="E753" s="972" t="inlineStr">
        <is>
          <t>S2</t>
        </is>
      </c>
      <c r="F753" s="972" t="inlineStr">
        <is>
          <t>Candidate enabling technique</t>
        </is>
      </c>
      <c r="G753" s="972" t="inlineStr">
        <is>
          <t>Yes</t>
        </is>
      </c>
      <c r="H753" s="972" t="inlineStr">
        <is>
          <t>Yes</t>
        </is>
      </c>
      <c r="I753" s="972" t="inlineStr">
        <is>
          <t>Yes</t>
        </is>
      </c>
      <c r="J753" s="972" t="n">
        <v>4</v>
      </c>
      <c r="K753" s="972" t="inlineStr">
        <is>
          <t>Model Mapping</t>
        </is>
      </c>
      <c r="L753" s="452" t="inlineStr">
        <is>
          <t>https://attack.mitre.org/techniques/T0821</t>
        </is>
      </c>
      <c r="M753" s="973" t="inlineStr">
        <is>
          <t>Yes</t>
        </is>
      </c>
      <c r="N753" s="973" t="inlineStr">
        <is>
          <t>No explicit facility gate — defaults feasible</t>
        </is>
      </c>
      <c r="O753" s="973" t="inlineStr">
        <is>
          <t>Modify Controller Tasking is applicable to execution or persistence on engineering workstations, HMIs, servers or controllers used in Power Generation facilities.</t>
        </is>
      </c>
      <c r="P753" s="973" t="inlineStr">
        <is>
          <t>https://csrc.nist.gov/pubs/sp/800/82/r3/final</t>
        </is>
      </c>
    </row>
    <row r="754" ht="15" customHeight="1" s="508">
      <c r="A754" s="972" t="inlineStr">
        <is>
          <t>Malicious Insider</t>
        </is>
      </c>
      <c r="B754" s="972" t="inlineStr">
        <is>
          <t>Loss of Control or Visibility</t>
        </is>
      </c>
      <c r="C754" s="972" t="inlineStr">
        <is>
          <t>T0889</t>
        </is>
      </c>
      <c r="D754" s="972" t="inlineStr">
        <is>
          <t>Modify Program</t>
        </is>
      </c>
      <c r="E754" s="972" t="inlineStr">
        <is>
          <t>S2</t>
        </is>
      </c>
      <c r="F754" s="972" t="inlineStr">
        <is>
          <t>Candidate enabling technique</t>
        </is>
      </c>
      <c r="G754" s="972" t="inlineStr">
        <is>
          <t>Yes</t>
        </is>
      </c>
      <c r="H754" s="972" t="inlineStr">
        <is>
          <t>Yes</t>
        </is>
      </c>
      <c r="I754" s="972" t="inlineStr">
        <is>
          <t>Yes</t>
        </is>
      </c>
      <c r="J754" s="972" t="n">
        <v>4</v>
      </c>
      <c r="K754" s="972" t="inlineStr">
        <is>
          <t>Model Mapping</t>
        </is>
      </c>
      <c r="L754" s="452" t="inlineStr">
        <is>
          <t>https://attack.mitre.org/techniques/T0889</t>
        </is>
      </c>
      <c r="M754" s="973" t="inlineStr">
        <is>
          <t>Yes</t>
        </is>
      </c>
      <c r="N754" s="973" t="inlineStr">
        <is>
          <t>No explicit facility gate — defaults feasible</t>
        </is>
      </c>
      <c r="O754" s="973" t="inlineStr">
        <is>
          <t>Modify Program is applicable to execution or persistence on engineering workstations, HMIs, servers or controllers used in Power Generation facilities.</t>
        </is>
      </c>
      <c r="P754" s="973" t="inlineStr">
        <is>
          <t>https://csrc.nist.gov/pubs/sp/800/82/r3/final</t>
        </is>
      </c>
    </row>
    <row r="755" ht="15" customHeight="1" s="508">
      <c r="A755" s="972" t="inlineStr">
        <is>
          <t>Malicious Insider</t>
        </is>
      </c>
      <c r="B755" s="972" t="inlineStr">
        <is>
          <t>Loss of Control or Visibility</t>
        </is>
      </c>
      <c r="C755" s="972" t="inlineStr">
        <is>
          <t>T0801</t>
        </is>
      </c>
      <c r="D755" s="972" t="inlineStr">
        <is>
          <t>Monitor Process State</t>
        </is>
      </c>
      <c r="E755" s="972" t="inlineStr">
        <is>
          <t>S4</t>
        </is>
      </c>
      <c r="F755" s="972" t="inlineStr">
        <is>
          <t>Candidate enabling technique</t>
        </is>
      </c>
      <c r="G755" s="972" t="inlineStr">
        <is>
          <t>Yes</t>
        </is>
      </c>
      <c r="H755" s="972" t="inlineStr">
        <is>
          <t>Yes</t>
        </is>
      </c>
      <c r="I755" s="972" t="inlineStr">
        <is>
          <t>Yes</t>
        </is>
      </c>
      <c r="J755" s="972" t="n">
        <v>1</v>
      </c>
      <c r="K755" s="972" t="inlineStr">
        <is>
          <t>Model Mapping</t>
        </is>
      </c>
      <c r="L755" s="452" t="inlineStr">
        <is>
          <t>https://attack.mitre.org/techniques/T0801</t>
        </is>
      </c>
      <c r="M755" s="973" t="inlineStr">
        <is>
          <t>Yes</t>
        </is>
      </c>
      <c r="N755" s="973" t="inlineStr">
        <is>
          <t>No explicit facility gate — defaults feasible</t>
        </is>
      </c>
      <c r="O755" s="973" t="inlineStr">
        <is>
          <t>Monitor Process State can support discovery or interaction with process state, control assets and operational data in Power Generation environments.</t>
        </is>
      </c>
      <c r="P755" s="973" t="inlineStr">
        <is>
          <t>https://csrc.nist.gov/pubs/sp/800/82/r3/final</t>
        </is>
      </c>
    </row>
    <row r="756" ht="15" customHeight="1" s="508">
      <c r="A756" s="972" t="inlineStr">
        <is>
          <t>Malicious Insider</t>
        </is>
      </c>
      <c r="B756" s="972" t="inlineStr">
        <is>
          <t>Loss of Control or Visibility</t>
        </is>
      </c>
      <c r="C756" s="972" t="inlineStr">
        <is>
          <t>T0846.003</t>
        </is>
      </c>
      <c r="D756" s="972" t="inlineStr">
        <is>
          <t>Multicast Discovery</t>
        </is>
      </c>
      <c r="E756" s="972" t="inlineStr">
        <is>
          <t>S4</t>
        </is>
      </c>
      <c r="F756" s="972" t="inlineStr">
        <is>
          <t>Candidate enabling technique</t>
        </is>
      </c>
      <c r="G756" s="972" t="inlineStr">
        <is>
          <t>Yes</t>
        </is>
      </c>
      <c r="H756" s="972" t="inlineStr">
        <is>
          <t>Yes</t>
        </is>
      </c>
      <c r="I756" s="972" t="inlineStr">
        <is>
          <t>Yes</t>
        </is>
      </c>
      <c r="J756" s="972" t="n">
        <v>2</v>
      </c>
      <c r="K756" s="972" t="inlineStr">
        <is>
          <t>Model Mapping</t>
        </is>
      </c>
      <c r="L756" s="452" t="inlineStr">
        <is>
          <t>https://attack.mitre.org/techniques/T0846/003</t>
        </is>
      </c>
      <c r="M756" s="973" t="inlineStr">
        <is>
          <t>Yes</t>
        </is>
      </c>
      <c r="N756" s="973" t="inlineStr">
        <is>
          <t>No explicit facility gate — defaults feasible</t>
        </is>
      </c>
      <c r="O756" s="973" t="inlineStr">
        <is>
          <t>Multicast Discovery can support discovery or interaction with process state, control assets and operational data in Power Generation environments.</t>
        </is>
      </c>
      <c r="P756" s="973" t="inlineStr">
        <is>
          <t>https://csrc.nist.gov/pubs/sp/800/82/r3/final</t>
        </is>
      </c>
    </row>
    <row r="757" ht="15" customHeight="1" s="508">
      <c r="A757" s="972" t="inlineStr">
        <is>
          <t>Malicious Insider</t>
        </is>
      </c>
      <c r="B757" s="972" t="inlineStr">
        <is>
          <t>Loss of Control or Visibility</t>
        </is>
      </c>
      <c r="C757" s="972" t="inlineStr">
        <is>
          <t>T0834</t>
        </is>
      </c>
      <c r="D757" s="972" t="inlineStr">
        <is>
          <t>Native API</t>
        </is>
      </c>
      <c r="E757" s="972" t="inlineStr">
        <is>
          <t>S2</t>
        </is>
      </c>
      <c r="F757" s="972" t="inlineStr">
        <is>
          <t>Candidate enabling technique</t>
        </is>
      </c>
      <c r="G757" s="972" t="inlineStr">
        <is>
          <t>Yes</t>
        </is>
      </c>
      <c r="H757" s="972" t="inlineStr">
        <is>
          <t>Yes</t>
        </is>
      </c>
      <c r="I757" s="972" t="inlineStr">
        <is>
          <t>Yes</t>
        </is>
      </c>
      <c r="J757" s="972" t="n">
        <v>1</v>
      </c>
      <c r="K757" s="972" t="inlineStr">
        <is>
          <t>Model Mapping</t>
        </is>
      </c>
      <c r="L757" s="452" t="inlineStr">
        <is>
          <t>https://attack.mitre.org/techniques/T0834</t>
        </is>
      </c>
      <c r="M757" s="973" t="inlineStr">
        <is>
          <t>Yes</t>
        </is>
      </c>
      <c r="N757" s="973" t="inlineStr">
        <is>
          <t>No explicit facility gate — defaults feasible</t>
        </is>
      </c>
      <c r="O757" s="973" t="inlineStr">
        <is>
          <t>Native API is applicable to execution or persistence on engineering workstations, HMIs, servers or controllers used in Power Generation facilities.</t>
        </is>
      </c>
      <c r="P757" s="973" t="inlineStr">
        <is>
          <t>https://csrc.nist.gov/pubs/sp/800/82/r3/final</t>
        </is>
      </c>
    </row>
    <row r="758" ht="15" customHeight="1" s="508">
      <c r="A758" s="972" t="inlineStr">
        <is>
          <t>Malicious Insider</t>
        </is>
      </c>
      <c r="B758" s="972" t="inlineStr">
        <is>
          <t>Loss of Control or Visibility</t>
        </is>
      </c>
      <c r="C758" s="972" t="inlineStr">
        <is>
          <t>T0840</t>
        </is>
      </c>
      <c r="D758" s="972" t="inlineStr">
        <is>
          <t>Network Connection Enumeration</t>
        </is>
      </c>
      <c r="E758" s="972" t="inlineStr">
        <is>
          <t>S4</t>
        </is>
      </c>
      <c r="F758" s="972" t="inlineStr">
        <is>
          <t>Candidate enabling technique</t>
        </is>
      </c>
      <c r="G758" s="972" t="inlineStr">
        <is>
          <t>Yes</t>
        </is>
      </c>
      <c r="H758" s="972" t="inlineStr">
        <is>
          <t>Yes</t>
        </is>
      </c>
      <c r="I758" s="972" t="inlineStr">
        <is>
          <t>Yes</t>
        </is>
      </c>
      <c r="J758" s="972" t="n">
        <v>1</v>
      </c>
      <c r="K758" s="972" t="inlineStr">
        <is>
          <t>Model Mapping</t>
        </is>
      </c>
      <c r="L758" s="452" t="inlineStr">
        <is>
          <t>https://attack.mitre.org/techniques/T0840</t>
        </is>
      </c>
      <c r="M758" s="973" t="inlineStr">
        <is>
          <t>Yes</t>
        </is>
      </c>
      <c r="N758" s="973" t="inlineStr">
        <is>
          <t>No explicit facility gate — defaults feasible</t>
        </is>
      </c>
      <c r="O758" s="973" t="inlineStr">
        <is>
          <t>Network Connection Enumeration can support discovery or interaction with process state, control assets and operational data in Power Generation environments.</t>
        </is>
      </c>
      <c r="P758" s="973" t="inlineStr">
        <is>
          <t>https://csrc.nist.gov/pubs/sp/800/82/r3/final</t>
        </is>
      </c>
    </row>
    <row r="759" ht="15" customHeight="1" s="508">
      <c r="A759" s="972" t="inlineStr">
        <is>
          <t>Malicious Insider</t>
        </is>
      </c>
      <c r="B759" s="972" t="inlineStr">
        <is>
          <t>Loss of Control or Visibility</t>
        </is>
      </c>
      <c r="C759" s="972" t="inlineStr">
        <is>
          <t>T0842</t>
        </is>
      </c>
      <c r="D759" s="972" t="inlineStr">
        <is>
          <t>Network Sniffing</t>
        </is>
      </c>
      <c r="E759" s="972" t="inlineStr">
        <is>
          <t>S4</t>
        </is>
      </c>
      <c r="F759" s="972" t="inlineStr">
        <is>
          <t>Candidate enabling technique</t>
        </is>
      </c>
      <c r="G759" s="972" t="inlineStr">
        <is>
          <t>Yes</t>
        </is>
      </c>
      <c r="H759" s="972" t="inlineStr">
        <is>
          <t>Yes</t>
        </is>
      </c>
      <c r="I759" s="972" t="inlineStr">
        <is>
          <t>Yes</t>
        </is>
      </c>
      <c r="J759" s="972" t="n">
        <v>5</v>
      </c>
      <c r="K759" s="972" t="inlineStr">
        <is>
          <t>Model Mapping</t>
        </is>
      </c>
      <c r="L759" s="452" t="inlineStr">
        <is>
          <t>https://attack.mitre.org/techniques/T0842</t>
        </is>
      </c>
      <c r="M759" s="973" t="inlineStr">
        <is>
          <t>Yes</t>
        </is>
      </c>
      <c r="N759" s="973" t="inlineStr">
        <is>
          <t>No explicit facility gate — defaults feasible</t>
        </is>
      </c>
      <c r="O759" s="973" t="inlineStr">
        <is>
          <t>Network Sniffing can support discovery or interaction with process state, control assets and operational data in Power Generation environments.</t>
        </is>
      </c>
      <c r="P759" s="973" t="inlineStr">
        <is>
          <t>https://csrc.nist.gov/pubs/sp/800/82/r3/final</t>
        </is>
      </c>
    </row>
    <row r="760" ht="15" customHeight="1" s="508">
      <c r="A760" s="972" t="inlineStr">
        <is>
          <t>Malicious Insider</t>
        </is>
      </c>
      <c r="B760" s="972" t="inlineStr">
        <is>
          <t>Loss of Control or Visibility</t>
        </is>
      </c>
      <c r="C760" s="972" t="inlineStr">
        <is>
          <t>T0843.002</t>
        </is>
      </c>
      <c r="D760" s="972" t="inlineStr">
        <is>
          <t>Online Edit</t>
        </is>
      </c>
      <c r="E760" s="972" t="inlineStr">
        <is>
          <t>S3</t>
        </is>
      </c>
      <c r="F760" s="972" t="inlineStr">
        <is>
          <t>Candidate enabling technique</t>
        </is>
      </c>
      <c r="G760" s="972" t="inlineStr">
        <is>
          <t>Yes</t>
        </is>
      </c>
      <c r="H760" s="972" t="inlineStr">
        <is>
          <t>Yes</t>
        </is>
      </c>
      <c r="I760" s="972" t="inlineStr">
        <is>
          <t>Yes</t>
        </is>
      </c>
      <c r="J760" s="972" t="n">
        <v>10</v>
      </c>
      <c r="K760" s="972" t="inlineStr">
        <is>
          <t>Model Mapping</t>
        </is>
      </c>
      <c r="L760" s="452" t="inlineStr">
        <is>
          <t>https://attack.mitre.org/techniques/T0843/002</t>
        </is>
      </c>
      <c r="M760" s="973" t="inlineStr">
        <is>
          <t>Yes</t>
        </is>
      </c>
      <c r="N760" s="973" t="inlineStr">
        <is>
          <t>No explicit facility gate — defaults feasible</t>
        </is>
      </c>
      <c r="O760" s="973" t="inlineStr">
        <is>
          <t>Online Edit can support movement toward or within plant/control zones; actual reachability is governed by the assessed facility architecture.</t>
        </is>
      </c>
      <c r="P760" s="973" t="inlineStr">
        <is>
          <t>https://csrc.nist.gov/pubs/sp/800/82/r3/final</t>
        </is>
      </c>
    </row>
    <row r="761" ht="15" customHeight="1" s="508">
      <c r="A761" s="972" t="inlineStr">
        <is>
          <t>Malicious Insider</t>
        </is>
      </c>
      <c r="B761" s="972" t="inlineStr">
        <is>
          <t>Loss of Control or Visibility</t>
        </is>
      </c>
      <c r="C761" s="972" t="inlineStr">
        <is>
          <t>T0861</t>
        </is>
      </c>
      <c r="D761" s="972" t="inlineStr">
        <is>
          <t>Point &amp; Tag Identification</t>
        </is>
      </c>
      <c r="E761" s="972" t="inlineStr">
        <is>
          <t>S4</t>
        </is>
      </c>
      <c r="F761" s="972" t="inlineStr">
        <is>
          <t>Candidate enabling technique</t>
        </is>
      </c>
      <c r="G761" s="972" t="inlineStr">
        <is>
          <t>Yes</t>
        </is>
      </c>
      <c r="H761" s="972" t="inlineStr">
        <is>
          <t>Yes</t>
        </is>
      </c>
      <c r="I761" s="972" t="inlineStr">
        <is>
          <t>Yes</t>
        </is>
      </c>
      <c r="J761" s="972" t="n">
        <v>8</v>
      </c>
      <c r="K761" s="972" t="inlineStr">
        <is>
          <t>Model Mapping</t>
        </is>
      </c>
      <c r="L761" s="452" t="inlineStr">
        <is>
          <t>https://attack.mitre.org/techniques/T0861</t>
        </is>
      </c>
      <c r="M761" s="973" t="inlineStr">
        <is>
          <t>Yes</t>
        </is>
      </c>
      <c r="N761" s="973" t="inlineStr">
        <is>
          <t>No explicit facility gate — defaults feasible</t>
        </is>
      </c>
      <c r="O761" s="973" t="inlineStr">
        <is>
          <t>Point &amp; Tag Identification can support discovery or interaction with process state, control assets and operational data in Power Generation environments.</t>
        </is>
      </c>
      <c r="P761" s="973" t="inlineStr">
        <is>
          <t>https://csrc.nist.gov/pubs/sp/800/82/r3/final</t>
        </is>
      </c>
    </row>
    <row r="762" ht="15" customHeight="1" s="508">
      <c r="A762" s="972" t="inlineStr">
        <is>
          <t>Malicious Insider</t>
        </is>
      </c>
      <c r="B762" s="972" t="inlineStr">
        <is>
          <t>Loss of Control or Visibility</t>
        </is>
      </c>
      <c r="C762" s="972" t="inlineStr">
        <is>
          <t>T0846.001</t>
        </is>
      </c>
      <c r="D762" s="972" t="inlineStr">
        <is>
          <t>Port Scan</t>
        </is>
      </c>
      <c r="E762" s="972" t="inlineStr">
        <is>
          <t>S4</t>
        </is>
      </c>
      <c r="F762" s="972" t="inlineStr">
        <is>
          <t>Candidate enabling technique</t>
        </is>
      </c>
      <c r="G762" s="972" t="inlineStr">
        <is>
          <t>Yes</t>
        </is>
      </c>
      <c r="H762" s="972" t="inlineStr">
        <is>
          <t>Yes</t>
        </is>
      </c>
      <c r="I762" s="972" t="inlineStr">
        <is>
          <t>Yes</t>
        </is>
      </c>
      <c r="J762" s="972" t="n">
        <v>3</v>
      </c>
      <c r="K762" s="972" t="inlineStr">
        <is>
          <t>Model Mapping</t>
        </is>
      </c>
      <c r="L762" s="452" t="inlineStr">
        <is>
          <t>https://attack.mitre.org/techniques/T0846/001</t>
        </is>
      </c>
      <c r="M762" s="973" t="inlineStr">
        <is>
          <t>Yes</t>
        </is>
      </c>
      <c r="N762" s="973" t="inlineStr">
        <is>
          <t>No explicit facility gate — defaults feasible</t>
        </is>
      </c>
      <c r="O762" s="973" t="inlineStr">
        <is>
          <t>Port Scan can support discovery or interaction with process state, control assets and operational data in Power Generation environments.</t>
        </is>
      </c>
      <c r="P762" s="973" t="inlineStr">
        <is>
          <t>https://csrc.nist.gov/pubs/sp/800/82/r3/final</t>
        </is>
      </c>
    </row>
    <row r="763" ht="15" customHeight="1" s="508">
      <c r="A763" s="972" t="inlineStr">
        <is>
          <t>Malicious Insider</t>
        </is>
      </c>
      <c r="B763" s="972" t="inlineStr">
        <is>
          <t>Loss of Control or Visibility</t>
        </is>
      </c>
      <c r="C763" s="972" t="inlineStr">
        <is>
          <t>T0843.003</t>
        </is>
      </c>
      <c r="D763" s="972" t="inlineStr">
        <is>
          <t>Program Append</t>
        </is>
      </c>
      <c r="E763" s="972" t="inlineStr">
        <is>
          <t>S3</t>
        </is>
      </c>
      <c r="F763" s="972" t="inlineStr">
        <is>
          <t>Candidate enabling technique</t>
        </is>
      </c>
      <c r="G763" s="972" t="inlineStr">
        <is>
          <t>Yes</t>
        </is>
      </c>
      <c r="H763" s="972" t="inlineStr">
        <is>
          <t>Yes</t>
        </is>
      </c>
      <c r="I763" s="972" t="inlineStr">
        <is>
          <t>Yes</t>
        </is>
      </c>
      <c r="J763" s="972" t="n">
        <v>10</v>
      </c>
      <c r="K763" s="972" t="inlineStr">
        <is>
          <t>Model Mapping</t>
        </is>
      </c>
      <c r="L763" s="452" t="inlineStr">
        <is>
          <t>https://attack.mitre.org/techniques/T0843/003</t>
        </is>
      </c>
      <c r="M763" s="973" t="inlineStr">
        <is>
          <t>Yes</t>
        </is>
      </c>
      <c r="N763" s="973" t="inlineStr">
        <is>
          <t>No explicit facility gate — defaults feasible</t>
        </is>
      </c>
      <c r="O763" s="973" t="inlineStr">
        <is>
          <t>Program Append can support movement toward or within plant/control zones; actual reachability is governed by the assessed facility architecture.</t>
        </is>
      </c>
      <c r="P763" s="973" t="inlineStr">
        <is>
          <t>https://csrc.nist.gov/pubs/sp/800/82/r3/final</t>
        </is>
      </c>
    </row>
    <row r="764" ht="15" customHeight="1" s="508">
      <c r="A764" s="972" t="inlineStr">
        <is>
          <t>Malicious Insider</t>
        </is>
      </c>
      <c r="B764" s="972" t="inlineStr">
        <is>
          <t>Loss of Control or Visibility</t>
        </is>
      </c>
      <c r="C764" s="972" t="inlineStr">
        <is>
          <t>T0845</t>
        </is>
      </c>
      <c r="D764" s="972" t="inlineStr">
        <is>
          <t>Program Upload</t>
        </is>
      </c>
      <c r="E764" s="972" t="inlineStr">
        <is>
          <t>S4</t>
        </is>
      </c>
      <c r="F764" s="972" t="inlineStr">
        <is>
          <t>Candidate enabling technique</t>
        </is>
      </c>
      <c r="G764" s="972" t="inlineStr">
        <is>
          <t>Yes</t>
        </is>
      </c>
      <c r="H764" s="972" t="inlineStr">
        <is>
          <t>Yes</t>
        </is>
      </c>
      <c r="I764" s="972" t="inlineStr">
        <is>
          <t>Yes</t>
        </is>
      </c>
      <c r="J764" s="972" t="n">
        <v>8</v>
      </c>
      <c r="K764" s="972" t="inlineStr">
        <is>
          <t>Model Mapping</t>
        </is>
      </c>
      <c r="L764" s="452" t="inlineStr">
        <is>
          <t>https://attack.mitre.org/techniques/T0845</t>
        </is>
      </c>
      <c r="M764" s="973" t="inlineStr">
        <is>
          <t>Yes</t>
        </is>
      </c>
      <c r="N764" s="973" t="inlineStr">
        <is>
          <t>No explicit facility gate — defaults feasible</t>
        </is>
      </c>
      <c r="O764" s="973" t="inlineStr">
        <is>
          <t>Program Upload can support discovery or interaction with process state, control assets and operational data in Power Generation environments.</t>
        </is>
      </c>
      <c r="P764" s="973" t="inlineStr">
        <is>
          <t>https://csrc.nist.gov/pubs/sp/800/82/r3/final</t>
        </is>
      </c>
    </row>
    <row r="765" ht="15" customHeight="1" s="508">
      <c r="A765" s="972" t="inlineStr">
        <is>
          <t>Malicious Insider</t>
        </is>
      </c>
      <c r="B765" s="972" t="inlineStr">
        <is>
          <t>Loss of Control or Visibility</t>
        </is>
      </c>
      <c r="C765" s="972" t="inlineStr">
        <is>
          <t>T0886</t>
        </is>
      </c>
      <c r="D765" s="972" t="inlineStr">
        <is>
          <t>Remote Services</t>
        </is>
      </c>
      <c r="E765" s="972" t="inlineStr">
        <is>
          <t>S1</t>
        </is>
      </c>
      <c r="F765" s="972" t="inlineStr">
        <is>
          <t>Candidate enabling technique</t>
        </is>
      </c>
      <c r="G765" s="972" t="inlineStr">
        <is>
          <t>No</t>
        </is>
      </c>
      <c r="H765" s="972" t="inlineStr">
        <is>
          <t>Yes</t>
        </is>
      </c>
      <c r="I765" s="972" t="inlineStr">
        <is>
          <t>No</t>
        </is>
      </c>
      <c r="J765" s="972" t="n">
        <v>9</v>
      </c>
      <c r="K765" s="972" t="inlineStr">
        <is>
          <t>Model Mapping</t>
        </is>
      </c>
      <c r="L765" s="452" t="inlineStr">
        <is>
          <t>https://attack.mitre.org/techniques/T0886</t>
        </is>
      </c>
      <c r="M765" s="973" t="inlineStr">
        <is>
          <t>Yes</t>
        </is>
      </c>
      <c r="N765" s="973" t="inlineStr">
        <is>
          <t>REMOTE_OR_ITOT — Remote path or IT-OT connection</t>
        </is>
      </c>
      <c r="O765" s="973" t="inlineStr">
        <is>
          <t>The Remote Services route is credible for Power Generation OT when the enabling access condition exists; existing facility gates determine remote, internet, transient, supply-chain or wireless feasibility.</t>
        </is>
      </c>
      <c r="P765" s="973" t="inlineStr">
        <is>
          <t>https://csrc.nist.gov/pubs/sp/800/82/r3/final</t>
        </is>
      </c>
    </row>
    <row r="766" ht="15" customHeight="1" s="508">
      <c r="A766" s="972" t="inlineStr">
        <is>
          <t>Malicious Insider</t>
        </is>
      </c>
      <c r="B766" s="972" t="inlineStr">
        <is>
          <t>Loss of Control or Visibility</t>
        </is>
      </c>
      <c r="C766" s="972" t="inlineStr">
        <is>
          <t>T0888</t>
        </is>
      </c>
      <c r="D766" s="972" t="inlineStr">
        <is>
          <t>Remote System Information Discovery</t>
        </is>
      </c>
      <c r="E766" s="972" t="inlineStr">
        <is>
          <t>S4</t>
        </is>
      </c>
      <c r="F766" s="972" t="inlineStr">
        <is>
          <t>Candidate enabling technique</t>
        </is>
      </c>
      <c r="G766" s="972" t="inlineStr">
        <is>
          <t>Yes</t>
        </is>
      </c>
      <c r="H766" s="972" t="inlineStr">
        <is>
          <t>Yes</t>
        </is>
      </c>
      <c r="I766" s="972" t="inlineStr">
        <is>
          <t>Yes</t>
        </is>
      </c>
      <c r="J766" s="972" t="n">
        <v>1</v>
      </c>
      <c r="K766" s="972" t="inlineStr">
        <is>
          <t>Model Mapping</t>
        </is>
      </c>
      <c r="L766" s="452" t="inlineStr">
        <is>
          <t>https://attack.mitre.org/techniques/T0888</t>
        </is>
      </c>
      <c r="M766" s="973" t="inlineStr">
        <is>
          <t>Yes</t>
        </is>
      </c>
      <c r="N766" s="973" t="inlineStr">
        <is>
          <t>No explicit facility gate — defaults feasible</t>
        </is>
      </c>
      <c r="O766" s="973" t="inlineStr">
        <is>
          <t>Remote System Information Discovery can support discovery or interaction with process state, control assets and operational data in Power Generation environments.</t>
        </is>
      </c>
      <c r="P766" s="973" t="inlineStr">
        <is>
          <t>https://csrc.nist.gov/pubs/sp/800/82/r3/final</t>
        </is>
      </c>
    </row>
    <row r="767" ht="15" customHeight="1" s="508">
      <c r="A767" s="972" t="inlineStr">
        <is>
          <t>Malicious Insider</t>
        </is>
      </c>
      <c r="B767" s="972" t="inlineStr">
        <is>
          <t>Loss of Control or Visibility</t>
        </is>
      </c>
      <c r="C767" s="972" t="inlineStr">
        <is>
          <t>T0847</t>
        </is>
      </c>
      <c r="D767" s="972" t="inlineStr">
        <is>
          <t>Replication Through Removable Media</t>
        </is>
      </c>
      <c r="E767" s="972" t="inlineStr">
        <is>
          <t>S1</t>
        </is>
      </c>
      <c r="F767" s="972" t="inlineStr">
        <is>
          <t>Candidate enabling technique</t>
        </is>
      </c>
      <c r="G767" s="972" t="inlineStr">
        <is>
          <t>No</t>
        </is>
      </c>
      <c r="H767" s="972" t="inlineStr">
        <is>
          <t>Yes</t>
        </is>
      </c>
      <c r="I767" s="972" t="inlineStr">
        <is>
          <t>No</t>
        </is>
      </c>
      <c r="J767" s="972" t="n">
        <v>3</v>
      </c>
      <c r="K767" s="972" t="inlineStr">
        <is>
          <t>Model Mapping</t>
        </is>
      </c>
      <c r="L767" s="452" t="inlineStr">
        <is>
          <t>https://attack.mitre.org/techniques/T0847</t>
        </is>
      </c>
      <c r="M767" s="973" t="inlineStr">
        <is>
          <t>Yes</t>
        </is>
      </c>
      <c r="N767" s="973" t="inlineStr">
        <is>
          <t>TRANSIENT_REQUIRED — Not None</t>
        </is>
      </c>
      <c r="O767" s="973" t="inlineStr">
        <is>
          <t>The Replication Through Removable Media route is credible for Power Generation OT when the enabling access condition exists; existing facility gates determine remote, internet, transient, supply-chain or wireless feasibility.</t>
        </is>
      </c>
      <c r="P767" s="973" t="inlineStr">
        <is>
          <t>https://csrc.nist.gov/pubs/sp/800/82/r3/final</t>
        </is>
      </c>
    </row>
    <row r="768" ht="15" customHeight="1" s="508">
      <c r="A768" s="972" t="inlineStr">
        <is>
          <t>Malicious Insider</t>
        </is>
      </c>
      <c r="B768" s="972" t="inlineStr">
        <is>
          <t>Loss of Control or Visibility</t>
        </is>
      </c>
      <c r="C768" s="972" t="inlineStr">
        <is>
          <t>T0848</t>
        </is>
      </c>
      <c r="D768" s="972" t="inlineStr">
        <is>
          <t>Rogue Master</t>
        </is>
      </c>
      <c r="E768" s="972" t="inlineStr">
        <is>
          <t>S1</t>
        </is>
      </c>
      <c r="F768" s="972" t="inlineStr">
        <is>
          <t>Candidate enabling technique</t>
        </is>
      </c>
      <c r="G768" s="972" t="inlineStr">
        <is>
          <t>No</t>
        </is>
      </c>
      <c r="H768" s="972" t="inlineStr">
        <is>
          <t>Yes</t>
        </is>
      </c>
      <c r="I768" s="972" t="inlineStr">
        <is>
          <t>No</t>
        </is>
      </c>
      <c r="J768" s="972" t="n">
        <v>5</v>
      </c>
      <c r="K768" s="972" t="inlineStr">
        <is>
          <t>Model Mapping</t>
        </is>
      </c>
      <c r="L768" s="452" t="inlineStr">
        <is>
          <t>https://attack.mitre.org/techniques/T0848</t>
        </is>
      </c>
      <c r="M768" s="973" t="inlineStr">
        <is>
          <t>Yes</t>
        </is>
      </c>
      <c r="N768" s="973" t="inlineStr">
        <is>
          <t>No explicit facility gate — defaults feasible</t>
        </is>
      </c>
      <c r="O768" s="973" t="inlineStr">
        <is>
          <t>The Rogue Master route is credible for Power Generation OT when the enabling access condition exists; existing facility gates determine remote, internet, transient, supply-chain or wireless feasibility.</t>
        </is>
      </c>
      <c r="P768" s="973" t="inlineStr">
        <is>
          <t>https://csrc.nist.gov/pubs/sp/800/82/r3/final</t>
        </is>
      </c>
    </row>
    <row r="769" ht="15" customHeight="1" s="508">
      <c r="A769" s="972" t="inlineStr">
        <is>
          <t>Malicious Insider</t>
        </is>
      </c>
      <c r="B769" s="972" t="inlineStr">
        <is>
          <t>Loss of Control or Visibility</t>
        </is>
      </c>
      <c r="C769" s="972" t="inlineStr">
        <is>
          <t>T0852</t>
        </is>
      </c>
      <c r="D769" s="972" t="inlineStr">
        <is>
          <t>Screen Capture</t>
        </is>
      </c>
      <c r="E769" s="972" t="inlineStr">
        <is>
          <t>S4</t>
        </is>
      </c>
      <c r="F769" s="972" t="inlineStr">
        <is>
          <t>Candidate enabling technique</t>
        </is>
      </c>
      <c r="G769" s="972" t="inlineStr">
        <is>
          <t>Yes</t>
        </is>
      </c>
      <c r="H769" s="972" t="inlineStr">
        <is>
          <t>Yes</t>
        </is>
      </c>
      <c r="I769" s="972" t="inlineStr">
        <is>
          <t>Yes</t>
        </is>
      </c>
      <c r="J769" s="972" t="n">
        <v>1</v>
      </c>
      <c r="K769" s="972" t="inlineStr">
        <is>
          <t>Model Mapping</t>
        </is>
      </c>
      <c r="L769" s="452" t="inlineStr">
        <is>
          <t>https://attack.mitre.org/techniques/T0852</t>
        </is>
      </c>
      <c r="M769" s="973" t="inlineStr">
        <is>
          <t>Yes</t>
        </is>
      </c>
      <c r="N769" s="973" t="inlineStr">
        <is>
          <t>No explicit facility gate — defaults feasible</t>
        </is>
      </c>
      <c r="O769" s="973" t="inlineStr">
        <is>
          <t>Screen Capture can support discovery or interaction with process state, control assets and operational data in Power Generation environments.</t>
        </is>
      </c>
      <c r="P769" s="973" t="inlineStr">
        <is>
          <t>https://csrc.nist.gov/pubs/sp/800/82/r3/final</t>
        </is>
      </c>
    </row>
    <row r="770" ht="15" customHeight="1" s="508">
      <c r="A770" s="972" t="inlineStr">
        <is>
          <t>Malicious Insider</t>
        </is>
      </c>
      <c r="B770" s="972" t="inlineStr">
        <is>
          <t>Loss of Control or Visibility</t>
        </is>
      </c>
      <c r="C770" s="972" t="inlineStr">
        <is>
          <t>T0853</t>
        </is>
      </c>
      <c r="D770" s="972" t="inlineStr">
        <is>
          <t>Scripting</t>
        </is>
      </c>
      <c r="E770" s="972" t="inlineStr">
        <is>
          <t>S2</t>
        </is>
      </c>
      <c r="F770" s="972" t="inlineStr">
        <is>
          <t>Candidate enabling technique</t>
        </is>
      </c>
      <c r="G770" s="972" t="inlineStr">
        <is>
          <t>Yes</t>
        </is>
      </c>
      <c r="H770" s="972" t="inlineStr">
        <is>
          <t>Yes</t>
        </is>
      </c>
      <c r="I770" s="972" t="inlineStr">
        <is>
          <t>Yes</t>
        </is>
      </c>
      <c r="J770" s="972" t="n">
        <v>3</v>
      </c>
      <c r="K770" s="972" t="inlineStr">
        <is>
          <t>Model Mapping</t>
        </is>
      </c>
      <c r="L770" s="452" t="inlineStr">
        <is>
          <t>https://attack.mitre.org/techniques/T0853</t>
        </is>
      </c>
      <c r="M770" s="973" t="inlineStr">
        <is>
          <t>Yes</t>
        </is>
      </c>
      <c r="N770" s="973" t="inlineStr">
        <is>
          <t>No explicit facility gate — defaults feasible</t>
        </is>
      </c>
      <c r="O770" s="973" t="inlineStr">
        <is>
          <t>Scripting is applicable to execution or persistence on engineering workstations, HMIs, servers or controllers used in Power Generation facilities.</t>
        </is>
      </c>
      <c r="P770" s="973" t="inlineStr">
        <is>
          <t>https://csrc.nist.gov/pubs/sp/800/82/r3/final</t>
        </is>
      </c>
    </row>
    <row r="771" ht="15" customHeight="1" s="508">
      <c r="A771" s="972" t="inlineStr">
        <is>
          <t>Malicious Insider</t>
        </is>
      </c>
      <c r="B771" s="972" t="inlineStr">
        <is>
          <t>Loss of Control or Visibility</t>
        </is>
      </c>
      <c r="C771" s="972" t="inlineStr">
        <is>
          <t>T0873.001</t>
        </is>
      </c>
      <c r="D771" s="972" t="inlineStr">
        <is>
          <t>Siemens Project File Format</t>
        </is>
      </c>
      <c r="E771" s="972" t="inlineStr">
        <is>
          <t>S2</t>
        </is>
      </c>
      <c r="F771" s="972" t="inlineStr">
        <is>
          <t>Candidate enabling technique</t>
        </is>
      </c>
      <c r="G771" s="972" t="inlineStr">
        <is>
          <t>Yes</t>
        </is>
      </c>
      <c r="H771" s="972" t="inlineStr">
        <is>
          <t>Yes</t>
        </is>
      </c>
      <c r="I771" s="972" t="inlineStr">
        <is>
          <t>Yes</t>
        </is>
      </c>
      <c r="J771" s="972" t="n">
        <v>4</v>
      </c>
      <c r="K771" s="972" t="inlineStr">
        <is>
          <t>Model Mapping</t>
        </is>
      </c>
      <c r="L771" s="452" t="inlineStr">
        <is>
          <t>https://attack.mitre.org/techniques/T0873/001</t>
        </is>
      </c>
      <c r="M771" s="973" t="inlineStr">
        <is>
          <t>Yes</t>
        </is>
      </c>
      <c r="N771" s="973" t="inlineStr">
        <is>
          <t>No explicit facility gate — defaults feasible</t>
        </is>
      </c>
      <c r="O771" s="973" t="inlineStr">
        <is>
          <t>Siemens Project File Format is applicable to execution or persistence on engineering workstations, HMIs, servers or controllers used in Power Generation facilities.</t>
        </is>
      </c>
      <c r="P771" s="973" t="inlineStr">
        <is>
          <t>https://csrc.nist.gov/pubs/sp/800/82/r3/final</t>
        </is>
      </c>
    </row>
    <row r="772" ht="15" customHeight="1" s="508">
      <c r="A772" s="972" t="inlineStr">
        <is>
          <t>Malicious Insider</t>
        </is>
      </c>
      <c r="B772" s="972" t="inlineStr">
        <is>
          <t>Loss of Control or Visibility</t>
        </is>
      </c>
      <c r="C772" s="972" t="inlineStr">
        <is>
          <t>T0865</t>
        </is>
      </c>
      <c r="D772" s="972" t="inlineStr">
        <is>
          <t>Spearphishing Attachment</t>
        </is>
      </c>
      <c r="E772" s="972" t="inlineStr">
        <is>
          <t>S1</t>
        </is>
      </c>
      <c r="F772" s="972" t="inlineStr">
        <is>
          <t>Candidate enabling technique</t>
        </is>
      </c>
      <c r="G772" s="972" t="inlineStr">
        <is>
          <t>No</t>
        </is>
      </c>
      <c r="H772" s="972" t="inlineStr">
        <is>
          <t>Yes</t>
        </is>
      </c>
      <c r="I772" s="972" t="inlineStr">
        <is>
          <t>No</t>
        </is>
      </c>
      <c r="J772" s="972" t="n">
        <v>4</v>
      </c>
      <c r="K772" s="972" t="inlineStr">
        <is>
          <t>Model Mapping</t>
        </is>
      </c>
      <c r="L772" s="452" t="inlineStr">
        <is>
          <t>https://attack.mitre.org/techniques/T0865</t>
        </is>
      </c>
      <c r="M772" s="973" t="inlineStr">
        <is>
          <t>Yes</t>
        </is>
      </c>
      <c r="N772" s="973" t="inlineStr">
        <is>
          <t>No explicit facility gate — defaults feasible</t>
        </is>
      </c>
      <c r="O772" s="973" t="inlineStr">
        <is>
          <t>The Spearphishing Attachment route is credible for Power Generation OT when the enabling access condition exists; existing facility gates determine remote, internet, transient, supply-chain or wireless feasibility.</t>
        </is>
      </c>
      <c r="P772" s="973" t="inlineStr">
        <is>
          <t>https://csrc.nist.gov/pubs/sp/800/82/r3/final</t>
        </is>
      </c>
    </row>
    <row r="773" ht="15" customHeight="1" s="508">
      <c r="A773" s="972" t="inlineStr">
        <is>
          <t>Malicious Insider</t>
        </is>
      </c>
      <c r="B773" s="972" t="inlineStr">
        <is>
          <t>Loss of Control or Visibility</t>
        </is>
      </c>
      <c r="C773" s="972" t="inlineStr">
        <is>
          <t>T0869</t>
        </is>
      </c>
      <c r="D773" s="972" t="inlineStr">
        <is>
          <t>Standard Application Layer Protocol</t>
        </is>
      </c>
      <c r="E773" s="972" t="inlineStr">
        <is>
          <t>S3</t>
        </is>
      </c>
      <c r="F773" s="972" t="inlineStr">
        <is>
          <t>Candidate enabling technique</t>
        </is>
      </c>
      <c r="G773" s="972" t="inlineStr">
        <is>
          <t>Yes</t>
        </is>
      </c>
      <c r="H773" s="972" t="inlineStr">
        <is>
          <t>Yes</t>
        </is>
      </c>
      <c r="I773" s="972" t="inlineStr">
        <is>
          <t>Yes</t>
        </is>
      </c>
      <c r="J773" s="972" t="n">
        <v>3</v>
      </c>
      <c r="K773" s="972" t="inlineStr">
        <is>
          <t>Model Mapping</t>
        </is>
      </c>
      <c r="L773" s="452" t="inlineStr">
        <is>
          <t>https://attack.mitre.org/techniques/T0869</t>
        </is>
      </c>
      <c r="M773" s="973" t="inlineStr">
        <is>
          <t>Yes</t>
        </is>
      </c>
      <c r="N773" s="973" t="inlineStr">
        <is>
          <t>No explicit facility gate — defaults feasible</t>
        </is>
      </c>
      <c r="O773" s="973" t="inlineStr">
        <is>
          <t>Standard Application Layer Protocol can support movement toward or within plant/control zones; actual reachability is governed by the assessed facility architecture.</t>
        </is>
      </c>
      <c r="P773" s="973" t="inlineStr">
        <is>
          <t>https://csrc.nist.gov/pubs/sp/800/82/r3/final</t>
        </is>
      </c>
    </row>
    <row r="774" ht="15" customHeight="1" s="508">
      <c r="A774" s="972" t="inlineStr">
        <is>
          <t>Malicious Insider</t>
        </is>
      </c>
      <c r="B774" s="972" t="inlineStr">
        <is>
          <t>Loss of Control or Visibility</t>
        </is>
      </c>
      <c r="C774" s="972" t="inlineStr">
        <is>
          <t>T0862</t>
        </is>
      </c>
      <c r="D774" s="972" t="inlineStr">
        <is>
          <t>Supply Chain Compromise</t>
        </is>
      </c>
      <c r="E774" s="972" t="inlineStr">
        <is>
          <t>S1</t>
        </is>
      </c>
      <c r="F774" s="972" t="inlineStr">
        <is>
          <t>Candidate enabling technique</t>
        </is>
      </c>
      <c r="G774" s="972" t="inlineStr">
        <is>
          <t>No</t>
        </is>
      </c>
      <c r="H774" s="972" t="inlineStr">
        <is>
          <t>Yes</t>
        </is>
      </c>
      <c r="I774" s="972" t="inlineStr">
        <is>
          <t>No</t>
        </is>
      </c>
      <c r="J774" s="972" t="n">
        <v>5</v>
      </c>
      <c r="K774" s="972" t="inlineStr">
        <is>
          <t>Model Mapping</t>
        </is>
      </c>
      <c r="L774" s="452" t="inlineStr">
        <is>
          <t>https://attack.mitre.org/techniques/T0862</t>
        </is>
      </c>
      <c r="M774" s="973" t="inlineStr">
        <is>
          <t>Yes</t>
        </is>
      </c>
      <c r="N774" s="973" t="inlineStr">
        <is>
          <t>SUPPLY_CHAIN — Yes</t>
        </is>
      </c>
      <c r="O774" s="973" t="inlineStr">
        <is>
          <t>The Supply Chain Compromise route is credible for Power Generation OT when the enabling access condition exists; existing facility gates determine remote, internet, transient, supply-chain or wireless feasibility.</t>
        </is>
      </c>
      <c r="P774" s="973" t="inlineStr">
        <is>
          <t>https://csrc.nist.gov/pubs/sp/800/82/r3/final</t>
        </is>
      </c>
    </row>
    <row r="775" ht="15" customHeight="1" s="508">
      <c r="A775" s="972" t="inlineStr">
        <is>
          <t>Malicious Insider</t>
        </is>
      </c>
      <c r="B775" s="972" t="inlineStr">
        <is>
          <t>Loss of Control or Visibility</t>
        </is>
      </c>
      <c r="C775" s="972" t="inlineStr">
        <is>
          <t>T0894</t>
        </is>
      </c>
      <c r="D775" s="972" t="inlineStr">
        <is>
          <t>System Binary Proxy Execution</t>
        </is>
      </c>
      <c r="E775" s="972" t="inlineStr">
        <is>
          <t>S2</t>
        </is>
      </c>
      <c r="F775" s="972" t="inlineStr">
        <is>
          <t>Candidate enabling technique</t>
        </is>
      </c>
      <c r="G775" s="972" t="inlineStr">
        <is>
          <t>Yes</t>
        </is>
      </c>
      <c r="H775" s="972" t="inlineStr">
        <is>
          <t>Yes</t>
        </is>
      </c>
      <c r="I775" s="972" t="inlineStr">
        <is>
          <t>Yes</t>
        </is>
      </c>
      <c r="J775" s="972" t="n">
        <v>1</v>
      </c>
      <c r="K775" s="972" t="inlineStr">
        <is>
          <t>Model Mapping</t>
        </is>
      </c>
      <c r="L775" s="452" t="inlineStr">
        <is>
          <t>https://attack.mitre.org/techniques/T0894</t>
        </is>
      </c>
      <c r="M775" s="973" t="inlineStr">
        <is>
          <t>Yes</t>
        </is>
      </c>
      <c r="N775" s="973" t="inlineStr">
        <is>
          <t>No explicit facility gate — defaults feasible</t>
        </is>
      </c>
      <c r="O775" s="973" t="inlineStr">
        <is>
          <t>System Binary Proxy Execution is applicable to execution or persistence on engineering workstations, HMIs, servers or controllers used in Power Generation facilities.</t>
        </is>
      </c>
      <c r="P775" s="973" t="inlineStr">
        <is>
          <t>https://csrc.nist.gov/pubs/sp/800/82/r3/final</t>
        </is>
      </c>
    </row>
    <row r="776" ht="15" customHeight="1" s="508">
      <c r="A776" s="972" t="inlineStr">
        <is>
          <t>Malicious Insider</t>
        </is>
      </c>
      <c r="B776" s="972" t="inlineStr">
        <is>
          <t>Loss of Control or Visibility</t>
        </is>
      </c>
      <c r="C776" s="972" t="inlineStr">
        <is>
          <t>T0864</t>
        </is>
      </c>
      <c r="D776" s="972" t="inlineStr">
        <is>
          <t>Transient Cyber Asset</t>
        </is>
      </c>
      <c r="E776" s="972" t="inlineStr">
        <is>
          <t>S1</t>
        </is>
      </c>
      <c r="F776" s="972" t="inlineStr">
        <is>
          <t>Candidate enabling technique</t>
        </is>
      </c>
      <c r="G776" s="972" t="inlineStr">
        <is>
          <t>No</t>
        </is>
      </c>
      <c r="H776" s="972" t="inlineStr">
        <is>
          <t>Yes</t>
        </is>
      </c>
      <c r="I776" s="972" t="inlineStr">
        <is>
          <t>No</t>
        </is>
      </c>
      <c r="J776" s="972" t="n">
        <v>5</v>
      </c>
      <c r="K776" s="972" t="inlineStr">
        <is>
          <t>Model Mapping</t>
        </is>
      </c>
      <c r="L776" s="452" t="inlineStr">
        <is>
          <t>https://attack.mitre.org/techniques/T0864</t>
        </is>
      </c>
      <c r="M776" s="973" t="inlineStr">
        <is>
          <t>Yes</t>
        </is>
      </c>
      <c r="N776" s="973" t="inlineStr">
        <is>
          <t>TRANSIENT_REQUIRED — Not None</t>
        </is>
      </c>
      <c r="O776" s="973" t="inlineStr">
        <is>
          <t>The Transient Cyber Asset route is credible for Power Generation OT when the enabling access condition exists; existing facility gates determine remote, internet, transient, supply-chain or wireless feasibility.</t>
        </is>
      </c>
      <c r="P776" s="973" t="inlineStr">
        <is>
          <t>https://csrc.nist.gov/pubs/sp/800/82/r3/final</t>
        </is>
      </c>
    </row>
    <row r="777" ht="15" customHeight="1" s="508">
      <c r="A777" s="972" t="inlineStr">
        <is>
          <t>Malicious Insider</t>
        </is>
      </c>
      <c r="B777" s="972" t="inlineStr">
        <is>
          <t>Loss of Control or Visibility</t>
        </is>
      </c>
      <c r="C777" s="972" t="inlineStr">
        <is>
          <t>T0863</t>
        </is>
      </c>
      <c r="D777" s="972" t="inlineStr">
        <is>
          <t>User Execution</t>
        </is>
      </c>
      <c r="E777" s="972" t="inlineStr">
        <is>
          <t>S2</t>
        </is>
      </c>
      <c r="F777" s="972" t="inlineStr">
        <is>
          <t>Candidate enabling technique</t>
        </is>
      </c>
      <c r="G777" s="972" t="inlineStr">
        <is>
          <t>Yes</t>
        </is>
      </c>
      <c r="H777" s="972" t="inlineStr">
        <is>
          <t>Yes</t>
        </is>
      </c>
      <c r="I777" s="972" t="inlineStr">
        <is>
          <t>Yes</t>
        </is>
      </c>
      <c r="J777" s="972" t="n">
        <v>6</v>
      </c>
      <c r="K777" s="972" t="inlineStr">
        <is>
          <t>Model Mapping</t>
        </is>
      </c>
      <c r="L777" s="452" t="inlineStr">
        <is>
          <t>https://attack.mitre.org/techniques/T0863</t>
        </is>
      </c>
      <c r="M777" s="973" t="inlineStr">
        <is>
          <t>Yes</t>
        </is>
      </c>
      <c r="N777" s="973" t="inlineStr">
        <is>
          <t>No explicit facility gate — defaults feasible</t>
        </is>
      </c>
      <c r="O777" s="973" t="inlineStr">
        <is>
          <t>User Execution is applicable to execution or persistence on engineering workstations, HMIs, servers or controllers used in Power Generation facilities.</t>
        </is>
      </c>
      <c r="P777" s="973" t="inlineStr">
        <is>
          <t>https://csrc.nist.gov/pubs/sp/800/82/r3/final</t>
        </is>
      </c>
    </row>
    <row r="778" ht="15" customHeight="1" s="508">
      <c r="A778" s="972" t="inlineStr">
        <is>
          <t>Malicious Insider</t>
        </is>
      </c>
      <c r="B778" s="972" t="inlineStr">
        <is>
          <t>Loss of Control or Visibility</t>
        </is>
      </c>
      <c r="C778" s="972" t="inlineStr">
        <is>
          <t>T0859</t>
        </is>
      </c>
      <c r="D778" s="972" t="inlineStr">
        <is>
          <t>Valid Accounts</t>
        </is>
      </c>
      <c r="E778" s="972" t="inlineStr">
        <is>
          <t>S3</t>
        </is>
      </c>
      <c r="F778" s="972" t="inlineStr">
        <is>
          <t>Candidate enabling technique</t>
        </is>
      </c>
      <c r="G778" s="972" t="inlineStr">
        <is>
          <t>Yes</t>
        </is>
      </c>
      <c r="H778" s="972" t="inlineStr">
        <is>
          <t>Yes</t>
        </is>
      </c>
      <c r="I778" s="972" t="inlineStr">
        <is>
          <t>Yes</t>
        </is>
      </c>
      <c r="J778" s="972" t="n">
        <v>10</v>
      </c>
      <c r="K778" s="972" t="inlineStr">
        <is>
          <t>Model Mapping</t>
        </is>
      </c>
      <c r="L778" s="452" t="inlineStr">
        <is>
          <t>https://attack.mitre.org/techniques/T0859</t>
        </is>
      </c>
      <c r="M778" s="973" t="inlineStr">
        <is>
          <t>Yes</t>
        </is>
      </c>
      <c r="N778" s="973" t="inlineStr">
        <is>
          <t>No explicit facility gate — defaults feasible</t>
        </is>
      </c>
      <c r="O778" s="973" t="inlineStr">
        <is>
          <t>Valid Accounts can support movement toward or within plant/control zones; actual reachability is governed by the assessed facility architecture.</t>
        </is>
      </c>
      <c r="P778" s="973" t="inlineStr">
        <is>
          <t>https://csrc.nist.gov/pubs/sp/800/82/r3/final</t>
        </is>
      </c>
    </row>
    <row r="779" ht="15" customHeight="1" s="508">
      <c r="A779" s="972" t="inlineStr">
        <is>
          <t>Malicious Insider</t>
        </is>
      </c>
      <c r="B779" s="972" t="inlineStr">
        <is>
          <t>Loss of Control or Visibility</t>
        </is>
      </c>
      <c r="C779" s="972" t="inlineStr">
        <is>
          <t>T0860</t>
        </is>
      </c>
      <c r="D779" s="972" t="inlineStr">
        <is>
          <t>Wireless Compromise</t>
        </is>
      </c>
      <c r="E779" s="972" t="inlineStr">
        <is>
          <t>S1</t>
        </is>
      </c>
      <c r="F779" s="972" t="inlineStr">
        <is>
          <t>Candidate enabling technique</t>
        </is>
      </c>
      <c r="G779" s="972" t="inlineStr">
        <is>
          <t>No</t>
        </is>
      </c>
      <c r="H779" s="972" t="inlineStr">
        <is>
          <t>No</t>
        </is>
      </c>
      <c r="I779" s="972" t="inlineStr">
        <is>
          <t>No</t>
        </is>
      </c>
      <c r="J779" s="972" t="n">
        <v>4</v>
      </c>
      <c r="K779" s="972" t="inlineStr">
        <is>
          <t>Model Mapping</t>
        </is>
      </c>
      <c r="L779" s="452" t="inlineStr">
        <is>
          <t>https://attack.mitre.org/techniques/T0860</t>
        </is>
      </c>
      <c r="M779" s="973" t="inlineStr">
        <is>
          <t>Yes</t>
        </is>
      </c>
      <c r="N779" s="973" t="inlineStr">
        <is>
          <t>WIRELESS — Yes</t>
        </is>
      </c>
      <c r="O779" s="973" t="inlineStr">
        <is>
          <t>The Wireless Compromise route is credible for Power Generation OT when the enabling access condition exists; existing facility gates determine remote, internet, transient, supply-chain or wireless feasibility.</t>
        </is>
      </c>
      <c r="P779" s="973" t="inlineStr">
        <is>
          <t>https://csrc.nist.gov/pubs/sp/800/82/r3/final</t>
        </is>
      </c>
    </row>
    <row r="780" ht="15" customHeight="1" s="508">
      <c r="A780" s="972" t="inlineStr">
        <is>
          <t>Malicious Insider</t>
        </is>
      </c>
      <c r="B780" s="972" t="inlineStr">
        <is>
          <t>Loss of Control or Visibility</t>
        </is>
      </c>
      <c r="C780" s="972" t="inlineStr">
        <is>
          <t>T0887</t>
        </is>
      </c>
      <c r="D780" s="972" t="inlineStr">
        <is>
          <t>Wireless Sniffing</t>
        </is>
      </c>
      <c r="E780" s="972" t="inlineStr">
        <is>
          <t>S4</t>
        </is>
      </c>
      <c r="F780" s="972" t="inlineStr">
        <is>
          <t>Candidate enabling technique</t>
        </is>
      </c>
      <c r="G780" s="972" t="inlineStr">
        <is>
          <t>Yes</t>
        </is>
      </c>
      <c r="H780" s="972" t="inlineStr">
        <is>
          <t>No</t>
        </is>
      </c>
      <c r="I780" s="972" t="inlineStr">
        <is>
          <t>No</t>
        </is>
      </c>
      <c r="J780" s="972" t="n">
        <v>2</v>
      </c>
      <c r="K780" s="972" t="inlineStr">
        <is>
          <t>Model Mapping</t>
        </is>
      </c>
      <c r="L780" s="452" t="inlineStr">
        <is>
          <t>https://attack.mitre.org/techniques/T0887</t>
        </is>
      </c>
      <c r="M780" s="973" t="inlineStr">
        <is>
          <t>Yes</t>
        </is>
      </c>
      <c r="N780" s="973" t="inlineStr">
        <is>
          <t>WIRELESS — Yes</t>
        </is>
      </c>
      <c r="O780" s="973" t="inlineStr">
        <is>
          <t>Wireless Sniffing can support discovery or interaction with process state, control assets and operational data in Power Generation environments.</t>
        </is>
      </c>
      <c r="P780" s="973" t="inlineStr">
        <is>
          <t>https://csrc.nist.gov/pubs/sp/800/82/r3/final</t>
        </is>
      </c>
    </row>
    <row r="781" ht="15" customHeight="1" s="508">
      <c r="A781" s="972" t="inlineStr">
        <is>
          <t>Malicious Insider</t>
        </is>
      </c>
      <c r="B781" s="972" t="inlineStr">
        <is>
          <t>Loss of Control or Visibility</t>
        </is>
      </c>
      <c r="C781" s="972" t="inlineStr">
        <is>
          <t>T1691.001</t>
        </is>
      </c>
      <c r="D781" s="972" t="inlineStr">
        <is>
          <t>Command Message</t>
        </is>
      </c>
      <c r="E781" s="972" t="inlineStr">
        <is>
          <t>S5</t>
        </is>
      </c>
      <c r="F781" s="972" t="inlineStr">
        <is>
          <t>Supporting / impact</t>
        </is>
      </c>
      <c r="G781" s="972" t="inlineStr">
        <is>
          <t>Yes</t>
        </is>
      </c>
      <c r="H781" s="972" t="inlineStr">
        <is>
          <t>Yes</t>
        </is>
      </c>
      <c r="I781" s="972" t="inlineStr">
        <is>
          <t>Yes</t>
        </is>
      </c>
      <c r="J781" s="972" t="n">
        <v>3</v>
      </c>
      <c r="K781" s="972" t="inlineStr">
        <is>
          <t>ADDED v1.2: Block Command Message can cause loss or denial of operator control.</t>
        </is>
      </c>
      <c r="L781" s="452" t="inlineStr">
        <is>
          <t>https://attack.mitre.org/techniques/T1691/001</t>
        </is>
      </c>
      <c r="M781" s="973" t="inlineStr">
        <is>
          <t>Yes</t>
        </is>
      </c>
      <c r="N781" s="973" t="inlineStr">
        <is>
          <t>No explicit facility gate — defaults feasible</t>
        </is>
      </c>
      <c r="O781" s="973" t="inlineStr">
        <is>
          <t>Command Message is an ATT&amp;CK for ICS impact or response-inhibition technique that can support one or more governed adverse scenarios; scenario role remains controlled on 09.</t>
        </is>
      </c>
      <c r="P781" s="973" t="inlineStr">
        <is>
          <t>https://csrc.nist.gov/pubs/sp/800/82/r3/final</t>
        </is>
      </c>
    </row>
    <row r="782" ht="15" customHeight="1" s="508">
      <c r="A782" s="972" t="inlineStr">
        <is>
          <t>Malicious Insider</t>
        </is>
      </c>
      <c r="B782" s="972" t="inlineStr">
        <is>
          <t>Loss of Control or Visibility</t>
        </is>
      </c>
      <c r="C782" s="972" t="inlineStr">
        <is>
          <t>T1691.002</t>
        </is>
      </c>
      <c r="D782" s="972" t="inlineStr">
        <is>
          <t>Reporting Message</t>
        </is>
      </c>
      <c r="E782" s="972" t="inlineStr">
        <is>
          <t>S5</t>
        </is>
      </c>
      <c r="F782" s="972" t="inlineStr">
        <is>
          <t>Supporting / impact</t>
        </is>
      </c>
      <c r="G782" s="972" t="inlineStr">
        <is>
          <t>Yes</t>
        </is>
      </c>
      <c r="H782" s="972" t="inlineStr">
        <is>
          <t>Yes</t>
        </is>
      </c>
      <c r="I782" s="972" t="inlineStr">
        <is>
          <t>Yes</t>
        </is>
      </c>
      <c r="J782" s="972" t="n">
        <v>3</v>
      </c>
      <c r="K782" s="972" t="inlineStr">
        <is>
          <t>ADDED v1.2: Block Reporting Message can cause loss of process visibility.</t>
        </is>
      </c>
      <c r="L782" s="452" t="inlineStr">
        <is>
          <t>https://attack.mitre.org/techniques/T1691/002</t>
        </is>
      </c>
      <c r="M782" s="973" t="inlineStr">
        <is>
          <t>Yes</t>
        </is>
      </c>
      <c r="N782" s="973" t="inlineStr">
        <is>
          <t>No explicit facility gate — defaults feasible</t>
        </is>
      </c>
      <c r="O782" s="973" t="inlineStr">
        <is>
          <t>Reporting Message is an ATT&amp;CK for ICS impact or response-inhibition technique that can support one or more governed adverse scenarios; scenario role remains controlled on 09.</t>
        </is>
      </c>
      <c r="P782" s="973" t="inlineStr">
        <is>
          <t>https://csrc.nist.gov/pubs/sp/800/82/r3/final</t>
        </is>
      </c>
    </row>
    <row r="783" ht="15" customHeight="1" s="508">
      <c r="A783" s="972" t="inlineStr">
        <is>
          <t>Malicious Insider</t>
        </is>
      </c>
      <c r="B783" s="972" t="inlineStr">
        <is>
          <t>Loss of Control or Visibility</t>
        </is>
      </c>
      <c r="C783" s="972" t="inlineStr">
        <is>
          <t>T1692.002</t>
        </is>
      </c>
      <c r="D783" s="972" t="inlineStr">
        <is>
          <t>Reporting Message</t>
        </is>
      </c>
      <c r="E783" s="972" t="inlineStr">
        <is>
          <t>S5</t>
        </is>
      </c>
      <c r="F783" s="972" t="inlineStr">
        <is>
          <t>Supporting / impact</t>
        </is>
      </c>
      <c r="G783" s="972" t="inlineStr">
        <is>
          <t>Yes</t>
        </is>
      </c>
      <c r="H783" s="972" t="inlineStr">
        <is>
          <t>Yes</t>
        </is>
      </c>
      <c r="I783" s="972" t="inlineStr">
        <is>
          <t>Yes</t>
        </is>
      </c>
      <c r="J783" s="972" t="n">
        <v>5</v>
      </c>
      <c r="K783" s="972" t="inlineStr">
        <is>
          <t>ADDED v1.2: Unauthorized Reporting Message falsifies process telemetry presented to operators.</t>
        </is>
      </c>
      <c r="L783" s="452" t="inlineStr">
        <is>
          <t>https://attack.mitre.org/techniques/T1692/002</t>
        </is>
      </c>
      <c r="M783" s="973" t="inlineStr">
        <is>
          <t>Yes</t>
        </is>
      </c>
      <c r="N783" s="973" t="inlineStr">
        <is>
          <t>No explicit facility gate — defaults feasible</t>
        </is>
      </c>
      <c r="O783" s="973" t="inlineStr">
        <is>
          <t>Reporting Message is an ATT&amp;CK for ICS impact or response-inhibition technique that can support one or more governed adverse scenarios; scenario role remains controlled on 09.</t>
        </is>
      </c>
      <c r="P783" s="973" t="inlineStr">
        <is>
          <t>https://csrc.nist.gov/pubs/sp/800/82/r3/final</t>
        </is>
      </c>
    </row>
    <row r="784" ht="15" customHeight="1" s="508">
      <c r="A784" s="972" t="inlineStr">
        <is>
          <t>Malicious Insider</t>
        </is>
      </c>
      <c r="B784" s="972" t="inlineStr">
        <is>
          <t>Loss of Control or Visibility</t>
        </is>
      </c>
      <c r="C784" s="972" t="inlineStr">
        <is>
          <t>T0892</t>
        </is>
      </c>
      <c r="D784" s="972" t="inlineStr">
        <is>
          <t>Change Credential</t>
        </is>
      </c>
      <c r="E784" s="972" t="inlineStr">
        <is>
          <t>S5</t>
        </is>
      </c>
      <c r="F784" s="972" t="inlineStr">
        <is>
          <t>Supporting / impact</t>
        </is>
      </c>
      <c r="G784" s="972" t="inlineStr">
        <is>
          <t>Yes</t>
        </is>
      </c>
      <c r="H784" s="972" t="inlineStr">
        <is>
          <t>Yes</t>
        </is>
      </c>
      <c r="I784" s="972" t="inlineStr">
        <is>
          <t>Yes</t>
        </is>
      </c>
      <c r="J784" s="972" t="n">
        <v>3</v>
      </c>
      <c r="K784" s="972" t="inlineStr">
        <is>
          <t>ADDED v1.2: Change Credential can prevent legitimate operator access to control systems.</t>
        </is>
      </c>
      <c r="L784" s="452" t="inlineStr">
        <is>
          <t>https://attack.mitre.org/techniques/T0892</t>
        </is>
      </c>
      <c r="M784" s="973" t="inlineStr">
        <is>
          <t>Yes</t>
        </is>
      </c>
      <c r="N784" s="973" t="inlineStr">
        <is>
          <t>No explicit facility gate — defaults feasible</t>
        </is>
      </c>
      <c r="O784" s="973" t="inlineStr">
        <is>
          <t>Change Credential is an ATT&amp;CK for ICS impact or response-inhibition technique that can support one or more governed adverse scenarios; scenario role remains controlled on 09.</t>
        </is>
      </c>
      <c r="P784" s="973" t="inlineStr">
        <is>
          <t>https://csrc.nist.gov/pubs/sp/800/82/r3/final</t>
        </is>
      </c>
    </row>
    <row r="785" ht="15" customHeight="1" s="508">
      <c r="A785" s="972" t="inlineStr">
        <is>
          <t>Malicious Insider</t>
        </is>
      </c>
      <c r="B785" s="972" t="inlineStr">
        <is>
          <t>Loss of Control or Visibility</t>
        </is>
      </c>
      <c r="C785" s="972" t="inlineStr">
        <is>
          <t>T0832</t>
        </is>
      </c>
      <c r="D785" s="972" t="inlineStr">
        <is>
          <t>Manipulation of View</t>
        </is>
      </c>
      <c r="E785" s="972" t="inlineStr">
        <is>
          <t>S5</t>
        </is>
      </c>
      <c r="F785" s="972" t="inlineStr">
        <is>
          <t>Supporting / impact</t>
        </is>
      </c>
      <c r="G785" s="972" t="inlineStr">
        <is>
          <t>Yes</t>
        </is>
      </c>
      <c r="H785" s="972" t="inlineStr">
        <is>
          <t>Yes</t>
        </is>
      </c>
      <c r="I785" s="972" t="inlineStr">
        <is>
          <t>Yes</t>
        </is>
      </c>
      <c r="J785" s="972" t="n">
        <v>3</v>
      </c>
      <c r="K785" s="972" t="inlineStr">
        <is>
          <t>ADDED v1.2: Manipulation of View — deceptive or compromised process visibility.</t>
        </is>
      </c>
      <c r="L785" s="452" t="inlineStr">
        <is>
          <t>https://attack.mitre.org/techniques/T0832</t>
        </is>
      </c>
      <c r="M785" s="973" t="inlineStr">
        <is>
          <t>Yes</t>
        </is>
      </c>
      <c r="N785" s="973" t="inlineStr">
        <is>
          <t>No explicit facility gate — defaults feasible</t>
        </is>
      </c>
      <c r="O785" s="973" t="inlineStr">
        <is>
          <t>Manipulation of View is an ATT&amp;CK for ICS impact or response-inhibition technique that can support one or more governed adverse scenarios; scenario role remains controlled on 09.</t>
        </is>
      </c>
      <c r="P785" s="973" t="inlineStr">
        <is>
          <t>https://csrc.nist.gov/pubs/sp/800/82/r3/final</t>
        </is>
      </c>
    </row>
    <row r="786" ht="15" customHeight="1" s="508">
      <c r="A786" s="972" t="inlineStr">
        <is>
          <t>Malicious Insider</t>
        </is>
      </c>
      <c r="B786" s="972" t="inlineStr">
        <is>
          <t>Process Manipulation</t>
        </is>
      </c>
      <c r="C786" s="972" t="inlineStr">
        <is>
          <t>T0830</t>
        </is>
      </c>
      <c r="D786" s="972" t="inlineStr">
        <is>
          <t>Adversary-in-the-Middle</t>
        </is>
      </c>
      <c r="E786" s="972" t="inlineStr">
        <is>
          <t>S4</t>
        </is>
      </c>
      <c r="F786" s="972" t="inlineStr">
        <is>
          <t>Candidate enabling technique</t>
        </is>
      </c>
      <c r="G786" s="972" t="inlineStr">
        <is>
          <t>Yes</t>
        </is>
      </c>
      <c r="H786" s="972" t="inlineStr">
        <is>
          <t>Yes</t>
        </is>
      </c>
      <c r="I786" s="972" t="inlineStr">
        <is>
          <t>Yes</t>
        </is>
      </c>
      <c r="J786" s="972" t="n">
        <v>8</v>
      </c>
      <c r="K786" s="972" t="inlineStr">
        <is>
          <t>Model Mapping</t>
        </is>
      </c>
      <c r="L786" s="452" t="inlineStr">
        <is>
          <t>https://attack.mitre.org/techniques/T0830</t>
        </is>
      </c>
      <c r="M786" s="973" t="inlineStr">
        <is>
          <t>Yes</t>
        </is>
      </c>
      <c r="N786" s="973" t="inlineStr">
        <is>
          <t>No explicit facility gate — defaults feasible</t>
        </is>
      </c>
      <c r="O786" s="973" t="inlineStr">
        <is>
          <t>Adversary-in-the-Middle can support discovery or interaction with process state, control assets and operational data in Power Generation environments.</t>
        </is>
      </c>
      <c r="P786" s="973" t="inlineStr">
        <is>
          <t>https://csrc.nist.gov/pubs/sp/800/82/r3/final</t>
        </is>
      </c>
    </row>
    <row r="787" ht="15" customHeight="1" s="508">
      <c r="A787" s="972" t="inlineStr">
        <is>
          <t>Malicious Insider</t>
        </is>
      </c>
      <c r="B787" s="972" t="inlineStr">
        <is>
          <t>Process Manipulation</t>
        </is>
      </c>
      <c r="C787" s="972" t="inlineStr">
        <is>
          <t>T0802</t>
        </is>
      </c>
      <c r="D787" s="972" t="inlineStr">
        <is>
          <t>Automated Collection</t>
        </is>
      </c>
      <c r="E787" s="972" t="inlineStr">
        <is>
          <t>S4</t>
        </is>
      </c>
      <c r="F787" s="972" t="inlineStr">
        <is>
          <t>Candidate enabling technique</t>
        </is>
      </c>
      <c r="G787" s="972" t="inlineStr">
        <is>
          <t>Yes</t>
        </is>
      </c>
      <c r="H787" s="972" t="inlineStr">
        <is>
          <t>Yes</t>
        </is>
      </c>
      <c r="I787" s="972" t="inlineStr">
        <is>
          <t>Yes</t>
        </is>
      </c>
      <c r="J787" s="972" t="n">
        <v>2</v>
      </c>
      <c r="K787" s="972" t="inlineStr">
        <is>
          <t>Model Mapping</t>
        </is>
      </c>
      <c r="L787" s="452" t="inlineStr">
        <is>
          <t>https://attack.mitre.org/techniques/T0802</t>
        </is>
      </c>
      <c r="M787" s="973" t="inlineStr">
        <is>
          <t>Yes</t>
        </is>
      </c>
      <c r="N787" s="973" t="inlineStr">
        <is>
          <t>No explicit facility gate — defaults feasible</t>
        </is>
      </c>
      <c r="O787" s="973" t="inlineStr">
        <is>
          <t>Automated Collection can support discovery or interaction with process state, control assets and operational data in Power Generation environments.</t>
        </is>
      </c>
      <c r="P787" s="973" t="inlineStr">
        <is>
          <t>https://csrc.nist.gov/pubs/sp/800/82/r3/final</t>
        </is>
      </c>
    </row>
    <row r="788" ht="15" customHeight="1" s="508">
      <c r="A788" s="972" t="inlineStr">
        <is>
          <t>Malicious Insider</t>
        </is>
      </c>
      <c r="B788" s="972" t="inlineStr">
        <is>
          <t>Process Manipulation</t>
        </is>
      </c>
      <c r="C788" s="972" t="inlineStr">
        <is>
          <t>T0895</t>
        </is>
      </c>
      <c r="D788" s="972" t="inlineStr">
        <is>
          <t>Autorun Image</t>
        </is>
      </c>
      <c r="E788" s="972" t="inlineStr">
        <is>
          <t>S2</t>
        </is>
      </c>
      <c r="F788" s="972" t="inlineStr">
        <is>
          <t>Candidate enabling technique</t>
        </is>
      </c>
      <c r="G788" s="972" t="inlineStr">
        <is>
          <t>Yes</t>
        </is>
      </c>
      <c r="H788" s="972" t="inlineStr">
        <is>
          <t>Yes</t>
        </is>
      </c>
      <c r="I788" s="972" t="inlineStr">
        <is>
          <t>Yes</t>
        </is>
      </c>
      <c r="J788" s="972" t="n">
        <v>1</v>
      </c>
      <c r="K788" s="972" t="inlineStr">
        <is>
          <t>Model Mapping</t>
        </is>
      </c>
      <c r="L788" s="452" t="inlineStr">
        <is>
          <t>https://attack.mitre.org/techniques/T0895</t>
        </is>
      </c>
      <c r="M788" s="973" t="inlineStr">
        <is>
          <t>Yes</t>
        </is>
      </c>
      <c r="N788" s="973" t="inlineStr">
        <is>
          <t>No explicit facility gate — defaults feasible</t>
        </is>
      </c>
      <c r="O788" s="973" t="inlineStr">
        <is>
          <t>Autorun Image is applicable to execution or persistence on engineering workstations, HMIs, servers or controllers used in Power Generation facilities.</t>
        </is>
      </c>
      <c r="P788" s="973" t="inlineStr">
        <is>
          <t>https://csrc.nist.gov/pubs/sp/800/82/r3/final</t>
        </is>
      </c>
    </row>
    <row r="789" ht="15" customHeight="1" s="508">
      <c r="A789" s="972" t="inlineStr">
        <is>
          <t>Malicious Insider</t>
        </is>
      </c>
      <c r="B789" s="972" t="inlineStr">
        <is>
          <t>Process Manipulation</t>
        </is>
      </c>
      <c r="C789" s="972" t="inlineStr">
        <is>
          <t>T0846.002</t>
        </is>
      </c>
      <c r="D789" s="972" t="inlineStr">
        <is>
          <t>Broadcast Discovery</t>
        </is>
      </c>
      <c r="E789" s="972" t="inlineStr">
        <is>
          <t>S4</t>
        </is>
      </c>
      <c r="F789" s="972" t="inlineStr">
        <is>
          <t>Candidate enabling technique</t>
        </is>
      </c>
      <c r="G789" s="972" t="inlineStr">
        <is>
          <t>Yes</t>
        </is>
      </c>
      <c r="H789" s="972" t="inlineStr">
        <is>
          <t>Yes</t>
        </is>
      </c>
      <c r="I789" s="972" t="inlineStr">
        <is>
          <t>Yes</t>
        </is>
      </c>
      <c r="J789" s="972" t="n">
        <v>2</v>
      </c>
      <c r="K789" s="972" t="inlineStr">
        <is>
          <t>Model Mapping</t>
        </is>
      </c>
      <c r="L789" s="452" t="inlineStr">
        <is>
          <t>https://attack.mitre.org/techniques/T0846/002</t>
        </is>
      </c>
      <c r="M789" s="973" t="inlineStr">
        <is>
          <t>Yes</t>
        </is>
      </c>
      <c r="N789" s="973" t="inlineStr">
        <is>
          <t>No explicit facility gate — defaults feasible</t>
        </is>
      </c>
      <c r="O789" s="973" t="inlineStr">
        <is>
          <t>Broadcast Discovery can support discovery or interaction with process state, control assets and operational data in Power Generation environments.</t>
        </is>
      </c>
      <c r="P789" s="973" t="inlineStr">
        <is>
          <t>https://csrc.nist.gov/pubs/sp/800/82/r3/final</t>
        </is>
      </c>
    </row>
    <row r="790" ht="15" customHeight="1" s="508">
      <c r="A790" s="972" t="inlineStr">
        <is>
          <t>Malicious Insider</t>
        </is>
      </c>
      <c r="B790" s="972" t="inlineStr">
        <is>
          <t>Process Manipulation</t>
        </is>
      </c>
      <c r="C790" s="972" t="inlineStr">
        <is>
          <t>T0806</t>
        </is>
      </c>
      <c r="D790" s="972" t="inlineStr">
        <is>
          <t>Brute Force I/O</t>
        </is>
      </c>
      <c r="E790" s="972" t="inlineStr">
        <is>
          <t>S5</t>
        </is>
      </c>
      <c r="F790" s="972" t="inlineStr">
        <is>
          <t>Supporting / impact</t>
        </is>
      </c>
      <c r="G790" s="972" t="inlineStr">
        <is>
          <t>Yes</t>
        </is>
      </c>
      <c r="H790" s="972" t="inlineStr">
        <is>
          <t>Yes</t>
        </is>
      </c>
      <c r="I790" s="972" t="inlineStr">
        <is>
          <t>Yes</t>
        </is>
      </c>
      <c r="J790" s="972" t="n">
        <v>4</v>
      </c>
      <c r="K790" s="972" t="inlineStr">
        <is>
          <t>Model Mapping</t>
        </is>
      </c>
      <c r="L790" s="452" t="inlineStr">
        <is>
          <t>https://attack.mitre.org/techniques/T0806</t>
        </is>
      </c>
      <c r="M790" s="973" t="inlineStr">
        <is>
          <t>Yes</t>
        </is>
      </c>
      <c r="N790" s="973" t="inlineStr">
        <is>
          <t>No explicit facility gate — defaults feasible</t>
        </is>
      </c>
      <c r="O790" s="973" t="inlineStr">
        <is>
          <t>Brute Force I/O is an ATT&amp;CK for ICS impact or response-inhibition technique that can support one or more governed adverse scenarios; scenario role remains controlled on 09.</t>
        </is>
      </c>
      <c r="P790" s="973" t="inlineStr">
        <is>
          <t>https://csrc.nist.gov/pubs/sp/800/82/r3/final</t>
        </is>
      </c>
    </row>
    <row r="791" ht="15" customHeight="1" s="508">
      <c r="A791" s="972" t="inlineStr">
        <is>
          <t>Malicious Insider</t>
        </is>
      </c>
      <c r="B791" s="972" t="inlineStr">
        <is>
          <t>Process Manipulation</t>
        </is>
      </c>
      <c r="C791" s="972" t="inlineStr">
        <is>
          <t>T0858</t>
        </is>
      </c>
      <c r="D791" s="972" t="inlineStr">
        <is>
          <t>Change Operating Mode</t>
        </is>
      </c>
      <c r="E791" s="972" t="inlineStr">
        <is>
          <t>S2</t>
        </is>
      </c>
      <c r="F791" s="972" t="inlineStr">
        <is>
          <t>Candidate enabling technique</t>
        </is>
      </c>
      <c r="G791" s="972" t="inlineStr">
        <is>
          <t>Yes</t>
        </is>
      </c>
      <c r="H791" s="972" t="inlineStr">
        <is>
          <t>Yes</t>
        </is>
      </c>
      <c r="I791" s="972" t="inlineStr">
        <is>
          <t>Yes</t>
        </is>
      </c>
      <c r="J791" s="972" t="n">
        <v>7</v>
      </c>
      <c r="K791" s="972" t="inlineStr">
        <is>
          <t>Model Mapping</t>
        </is>
      </c>
      <c r="L791" s="452" t="inlineStr">
        <is>
          <t>https://attack.mitre.org/techniques/T0858</t>
        </is>
      </c>
      <c r="M791" s="973" t="inlineStr">
        <is>
          <t>Yes</t>
        </is>
      </c>
      <c r="N791" s="973" t="inlineStr">
        <is>
          <t>No explicit facility gate — defaults feasible</t>
        </is>
      </c>
      <c r="O791" s="973" t="inlineStr">
        <is>
          <t>Change Operating Mode is applicable to execution or persistence on engineering workstations, HMIs, servers or controllers used in Power Generation facilities.</t>
        </is>
      </c>
      <c r="P791" s="973" t="inlineStr">
        <is>
          <t>https://csrc.nist.gov/pubs/sp/800/82/r3/final</t>
        </is>
      </c>
    </row>
    <row r="792" ht="15" customHeight="1" s="508">
      <c r="A792" s="972" t="inlineStr">
        <is>
          <t>Malicious Insider</t>
        </is>
      </c>
      <c r="B792" s="972" t="inlineStr">
        <is>
          <t>Process Manipulation</t>
        </is>
      </c>
      <c r="C792" s="972" t="inlineStr">
        <is>
          <t>T1692.001</t>
        </is>
      </c>
      <c r="D792" s="972" t="inlineStr">
        <is>
          <t>Command Message</t>
        </is>
      </c>
      <c r="E792" s="972" t="inlineStr">
        <is>
          <t>S5</t>
        </is>
      </c>
      <c r="F792" s="972" t="inlineStr">
        <is>
          <t>Scenario-defining</t>
        </is>
      </c>
      <c r="G792" s="972" t="inlineStr">
        <is>
          <t>Yes</t>
        </is>
      </c>
      <c r="H792" s="972" t="inlineStr">
        <is>
          <t>Yes</t>
        </is>
      </c>
      <c r="I792" s="972" t="inlineStr">
        <is>
          <t>Yes</t>
        </is>
      </c>
      <c r="J792" s="972" t="n">
        <v>6</v>
      </c>
      <c r="K792" s="972" t="inlineStr">
        <is>
          <t>Model Mapping</t>
        </is>
      </c>
      <c r="L792" s="452" t="inlineStr">
        <is>
          <t>https://attack.mitre.org/techniques/T1692/001</t>
        </is>
      </c>
      <c r="M792" s="973" t="inlineStr">
        <is>
          <t>Yes</t>
        </is>
      </c>
      <c r="N792" s="973" t="inlineStr">
        <is>
          <t>No explicit facility gate — defaults feasible</t>
        </is>
      </c>
      <c r="O792" s="973" t="inlineStr">
        <is>
          <t>Command Message is an ATT&amp;CK for ICS impact or response-inhibition technique that can support one or more governed adverse scenarios; scenario role remains controlled on 09.</t>
        </is>
      </c>
      <c r="P792" s="973" t="inlineStr">
        <is>
          <t>https://csrc.nist.gov/pubs/sp/800/82/r3/final</t>
        </is>
      </c>
    </row>
    <row r="793" ht="15" customHeight="1" s="508">
      <c r="A793" s="972" t="inlineStr">
        <is>
          <t>Malicious Insider</t>
        </is>
      </c>
      <c r="B793" s="972" t="inlineStr">
        <is>
          <t>Process Manipulation</t>
        </is>
      </c>
      <c r="C793" s="972" t="inlineStr">
        <is>
          <t>T1691.001</t>
        </is>
      </c>
      <c r="D793" s="972" t="inlineStr">
        <is>
          <t>Command Message</t>
        </is>
      </c>
      <c r="E793" s="972" t="inlineStr">
        <is>
          <t>S5</t>
        </is>
      </c>
      <c r="F793" s="972" t="inlineStr">
        <is>
          <t>Supporting / impact</t>
        </is>
      </c>
      <c r="G793" s="972" t="inlineStr">
        <is>
          <t>Yes</t>
        </is>
      </c>
      <c r="H793" s="972" t="inlineStr">
        <is>
          <t>Yes</t>
        </is>
      </c>
      <c r="I793" s="972" t="inlineStr">
        <is>
          <t>Yes</t>
        </is>
      </c>
      <c r="J793" s="972" t="n">
        <v>3</v>
      </c>
      <c r="K793" s="972" t="inlineStr">
        <is>
          <t>RECLASSIFIED v1.2: Block Command Message prevents a command reaching its target (inhibit response); it does not issue a malicious command, so it cannot define Process Manipulation.</t>
        </is>
      </c>
      <c r="L793" s="452" t="inlineStr">
        <is>
          <t>https://attack.mitre.org/techniques/T1691/001</t>
        </is>
      </c>
      <c r="M793" s="973" t="inlineStr">
        <is>
          <t>Yes</t>
        </is>
      </c>
      <c r="N793" s="973" t="inlineStr">
        <is>
          <t>No explicit facility gate — defaults feasible</t>
        </is>
      </c>
      <c r="O793" s="973" t="inlineStr">
        <is>
          <t>Command Message is an ATT&amp;CK for ICS impact or response-inhibition technique that can support one or more governed adverse scenarios; scenario role remains controlled on 09.</t>
        </is>
      </c>
      <c r="P793" s="973" t="inlineStr">
        <is>
          <t>https://csrc.nist.gov/pubs/sp/800/82/r3/final</t>
        </is>
      </c>
    </row>
    <row r="794" ht="15" customHeight="1" s="508">
      <c r="A794" s="972" t="inlineStr">
        <is>
          <t>Malicious Insider</t>
        </is>
      </c>
      <c r="B794" s="972" t="inlineStr">
        <is>
          <t>Process Manipulation</t>
        </is>
      </c>
      <c r="C794" s="972" t="inlineStr">
        <is>
          <t>T0807</t>
        </is>
      </c>
      <c r="D794" s="972" t="inlineStr">
        <is>
          <t>Command-Line Interface</t>
        </is>
      </c>
      <c r="E794" s="972" t="inlineStr">
        <is>
          <t>S2</t>
        </is>
      </c>
      <c r="F794" s="972" t="inlineStr">
        <is>
          <t>Candidate enabling technique</t>
        </is>
      </c>
      <c r="G794" s="972" t="inlineStr">
        <is>
          <t>Yes</t>
        </is>
      </c>
      <c r="H794" s="972" t="inlineStr">
        <is>
          <t>Yes</t>
        </is>
      </c>
      <c r="I794" s="972" t="inlineStr">
        <is>
          <t>Yes</t>
        </is>
      </c>
      <c r="J794" s="972" t="n">
        <v>2</v>
      </c>
      <c r="K794" s="972" t="inlineStr">
        <is>
          <t>Model Mapping</t>
        </is>
      </c>
      <c r="L794" s="452" t="inlineStr">
        <is>
          <t>https://attack.mitre.org/techniques/T0807</t>
        </is>
      </c>
      <c r="M794" s="973" t="inlineStr">
        <is>
          <t>Yes</t>
        </is>
      </c>
      <c r="N794" s="973" t="inlineStr">
        <is>
          <t>No explicit facility gate — defaults feasible</t>
        </is>
      </c>
      <c r="O794" s="973" t="inlineStr">
        <is>
          <t>Command-Line Interface is applicable to execution or persistence on engineering workstations, HMIs, servers or controllers used in Power Generation facilities.</t>
        </is>
      </c>
      <c r="P794" s="973" t="inlineStr">
        <is>
          <t>https://csrc.nist.gov/pubs/sp/800/82/r3/final</t>
        </is>
      </c>
    </row>
    <row r="795" ht="15" customHeight="1" s="508">
      <c r="A795" s="972" t="inlineStr">
        <is>
          <t>Malicious Insider</t>
        </is>
      </c>
      <c r="B795" s="972" t="inlineStr">
        <is>
          <t>Process Manipulation</t>
        </is>
      </c>
      <c r="C795" s="972" t="inlineStr">
        <is>
          <t>T0885</t>
        </is>
      </c>
      <c r="D795" s="972" t="inlineStr">
        <is>
          <t>Commonly Used Port</t>
        </is>
      </c>
      <c r="E795" s="972" t="inlineStr">
        <is>
          <t>S3</t>
        </is>
      </c>
      <c r="F795" s="972" t="inlineStr">
        <is>
          <t>Candidate enabling technique</t>
        </is>
      </c>
      <c r="G795" s="972" t="inlineStr">
        <is>
          <t>Yes</t>
        </is>
      </c>
      <c r="H795" s="972" t="inlineStr">
        <is>
          <t>Yes</t>
        </is>
      </c>
      <c r="I795" s="972" t="inlineStr">
        <is>
          <t>Yes</t>
        </is>
      </c>
      <c r="J795" s="972" t="n">
        <v>4</v>
      </c>
      <c r="K795" s="972" t="inlineStr">
        <is>
          <t>Model Mapping</t>
        </is>
      </c>
      <c r="L795" s="452" t="inlineStr">
        <is>
          <t>https://attack.mitre.org/techniques/T0885</t>
        </is>
      </c>
      <c r="M795" s="973" t="inlineStr">
        <is>
          <t>Yes</t>
        </is>
      </c>
      <c r="N795" s="973" t="inlineStr">
        <is>
          <t>No explicit facility gate — defaults feasible</t>
        </is>
      </c>
      <c r="O795" s="973" t="inlineStr">
        <is>
          <t>Commonly Used Port can support movement toward or within plant/control zones; actual reachability is governed by the assessed facility architecture.</t>
        </is>
      </c>
      <c r="P795" s="973" t="inlineStr">
        <is>
          <t>https://csrc.nist.gov/pubs/sp/800/82/r3/final</t>
        </is>
      </c>
    </row>
    <row r="796" ht="15" customHeight="1" s="508">
      <c r="A796" s="972" t="inlineStr">
        <is>
          <t>Malicious Insider</t>
        </is>
      </c>
      <c r="B796" s="972" t="inlineStr">
        <is>
          <t>Process Manipulation</t>
        </is>
      </c>
      <c r="C796" s="972" t="inlineStr">
        <is>
          <t>T0884</t>
        </is>
      </c>
      <c r="D796" s="972" t="inlineStr">
        <is>
          <t>Connection Proxy</t>
        </is>
      </c>
      <c r="E796" s="972" t="inlineStr">
        <is>
          <t>S3</t>
        </is>
      </c>
      <c r="F796" s="972" t="inlineStr">
        <is>
          <t>Candidate enabling technique</t>
        </is>
      </c>
      <c r="G796" s="972" t="inlineStr">
        <is>
          <t>Yes</t>
        </is>
      </c>
      <c r="H796" s="972" t="inlineStr">
        <is>
          <t>Yes</t>
        </is>
      </c>
      <c r="I796" s="972" t="inlineStr">
        <is>
          <t>Yes</t>
        </is>
      </c>
      <c r="J796" s="972" t="n">
        <v>4</v>
      </c>
      <c r="K796" s="972" t="inlineStr">
        <is>
          <t>Model Mapping</t>
        </is>
      </c>
      <c r="L796" s="452" t="inlineStr">
        <is>
          <t>https://attack.mitre.org/techniques/T0884</t>
        </is>
      </c>
      <c r="M796" s="973" t="inlineStr">
        <is>
          <t>Yes</t>
        </is>
      </c>
      <c r="N796" s="973" t="inlineStr">
        <is>
          <t>No explicit facility gate — defaults feasible</t>
        </is>
      </c>
      <c r="O796" s="973" t="inlineStr">
        <is>
          <t>Connection Proxy can support movement toward or within plant/control zones; actual reachability is governed by the assessed facility architecture.</t>
        </is>
      </c>
      <c r="P796" s="973" t="inlineStr">
        <is>
          <t>https://csrc.nist.gov/pubs/sp/800/82/r3/final</t>
        </is>
      </c>
    </row>
    <row r="797" ht="15" customHeight="1" s="508">
      <c r="A797" s="972" t="inlineStr">
        <is>
          <t>Malicious Insider</t>
        </is>
      </c>
      <c r="B797" s="972" t="inlineStr">
        <is>
          <t>Process Manipulation</t>
        </is>
      </c>
      <c r="C797" s="972" t="inlineStr">
        <is>
          <t>T0811</t>
        </is>
      </c>
      <c r="D797" s="972" t="inlineStr">
        <is>
          <t>Data from Information Repositories</t>
        </is>
      </c>
      <c r="E797" s="972" t="inlineStr">
        <is>
          <t>S4</t>
        </is>
      </c>
      <c r="F797" s="972" t="inlineStr">
        <is>
          <t>Candidate enabling technique</t>
        </is>
      </c>
      <c r="G797" s="972" t="inlineStr">
        <is>
          <t>Yes</t>
        </is>
      </c>
      <c r="H797" s="972" t="inlineStr">
        <is>
          <t>Yes</t>
        </is>
      </c>
      <c r="I797" s="972" t="inlineStr">
        <is>
          <t>Yes</t>
        </is>
      </c>
      <c r="J797" s="972" t="n">
        <v>6</v>
      </c>
      <c r="K797" s="972" t="inlineStr">
        <is>
          <t>Model Mapping</t>
        </is>
      </c>
      <c r="L797" s="452" t="inlineStr">
        <is>
          <t>https://attack.mitre.org/techniques/T0811</t>
        </is>
      </c>
      <c r="M797" s="973" t="inlineStr">
        <is>
          <t>Yes</t>
        </is>
      </c>
      <c r="N797" s="973" t="inlineStr">
        <is>
          <t>No explicit facility gate — defaults feasible</t>
        </is>
      </c>
      <c r="O797" s="973" t="inlineStr">
        <is>
          <t>Data from Information Repositories can support discovery or interaction with process state, control assets and operational data in Power Generation environments.</t>
        </is>
      </c>
      <c r="P797" s="973" t="inlineStr">
        <is>
          <t>https://csrc.nist.gov/pubs/sp/800/82/r3/final</t>
        </is>
      </c>
    </row>
    <row r="798" ht="15" customHeight="1" s="508">
      <c r="A798" s="972" t="inlineStr">
        <is>
          <t>Malicious Insider</t>
        </is>
      </c>
      <c r="B798" s="972" t="inlineStr">
        <is>
          <t>Process Manipulation</t>
        </is>
      </c>
      <c r="C798" s="972" t="inlineStr">
        <is>
          <t>T0893</t>
        </is>
      </c>
      <c r="D798" s="972" t="inlineStr">
        <is>
          <t>Data from Local System</t>
        </is>
      </c>
      <c r="E798" s="972" t="inlineStr">
        <is>
          <t>S4</t>
        </is>
      </c>
      <c r="F798" s="972" t="inlineStr">
        <is>
          <t>Candidate enabling technique</t>
        </is>
      </c>
      <c r="G798" s="972" t="inlineStr">
        <is>
          <t>Yes</t>
        </is>
      </c>
      <c r="H798" s="972" t="inlineStr">
        <is>
          <t>Yes</t>
        </is>
      </c>
      <c r="I798" s="972" t="inlineStr">
        <is>
          <t>Yes</t>
        </is>
      </c>
      <c r="J798" s="972" t="n">
        <v>4</v>
      </c>
      <c r="K798" s="972" t="inlineStr">
        <is>
          <t>Model Mapping</t>
        </is>
      </c>
      <c r="L798" s="452" t="inlineStr">
        <is>
          <t>https://attack.mitre.org/techniques/T0893</t>
        </is>
      </c>
      <c r="M798" s="973" t="inlineStr">
        <is>
          <t>Yes</t>
        </is>
      </c>
      <c r="N798" s="973" t="inlineStr">
        <is>
          <t>No explicit facility gate — defaults feasible</t>
        </is>
      </c>
      <c r="O798" s="973" t="inlineStr">
        <is>
          <t>Data from Local System can support discovery or interaction with process state, control assets and operational data in Power Generation environments.</t>
        </is>
      </c>
      <c r="P798" s="973" t="inlineStr">
        <is>
          <t>https://csrc.nist.gov/pubs/sp/800/82/r3/final</t>
        </is>
      </c>
    </row>
    <row r="799" ht="15" customHeight="1" s="508">
      <c r="A799" s="972" t="inlineStr">
        <is>
          <t>Malicious Insider</t>
        </is>
      </c>
      <c r="B799" s="972" t="inlineStr">
        <is>
          <t>Process Manipulation</t>
        </is>
      </c>
      <c r="C799" s="972" t="inlineStr">
        <is>
          <t>T1694.001</t>
        </is>
      </c>
      <c r="D799" s="972" t="inlineStr">
        <is>
          <t>Default Credentials</t>
        </is>
      </c>
      <c r="E799" s="972" t="inlineStr">
        <is>
          <t>S3</t>
        </is>
      </c>
      <c r="F799" s="972" t="inlineStr">
        <is>
          <t>Candidate enabling technique</t>
        </is>
      </c>
      <c r="G799" s="972" t="inlineStr">
        <is>
          <t>Yes</t>
        </is>
      </c>
      <c r="H799" s="972" t="inlineStr">
        <is>
          <t>Yes</t>
        </is>
      </c>
      <c r="I799" s="972" t="inlineStr">
        <is>
          <t>Yes</t>
        </is>
      </c>
      <c r="J799" s="972" t="n">
        <v>2</v>
      </c>
      <c r="K799" s="972" t="inlineStr">
        <is>
          <t>Model Mapping</t>
        </is>
      </c>
      <c r="L799" s="452" t="inlineStr">
        <is>
          <t>https://attack.mitre.org/techniques/T1694/001</t>
        </is>
      </c>
      <c r="M799" s="973" t="inlineStr">
        <is>
          <t>Yes</t>
        </is>
      </c>
      <c r="N799" s="973" t="inlineStr">
        <is>
          <t>No explicit facility gate — defaults feasible</t>
        </is>
      </c>
      <c r="O799" s="973" t="inlineStr">
        <is>
          <t>Default Credentials can support movement toward or within plant/control zones; actual reachability is governed by the assessed facility architecture.</t>
        </is>
      </c>
      <c r="P799" s="973" t="inlineStr">
        <is>
          <t>https://csrc.nist.gov/pubs/sp/800/82/r3/final</t>
        </is>
      </c>
    </row>
    <row r="800" ht="15" customHeight="1" s="508">
      <c r="A800" s="972" t="inlineStr">
        <is>
          <t>Malicious Insider</t>
        </is>
      </c>
      <c r="B800" s="972" t="inlineStr">
        <is>
          <t>Process Manipulation</t>
        </is>
      </c>
      <c r="C800" s="972" t="inlineStr">
        <is>
          <t>T0868</t>
        </is>
      </c>
      <c r="D800" s="972" t="inlineStr">
        <is>
          <t>Detect Operating Mode</t>
        </is>
      </c>
      <c r="E800" s="972" t="inlineStr">
        <is>
          <t>S4</t>
        </is>
      </c>
      <c r="F800" s="972" t="inlineStr">
        <is>
          <t>Candidate enabling technique</t>
        </is>
      </c>
      <c r="G800" s="972" t="inlineStr">
        <is>
          <t>Yes</t>
        </is>
      </c>
      <c r="H800" s="972" t="inlineStr">
        <is>
          <t>Yes</t>
        </is>
      </c>
      <c r="I800" s="972" t="inlineStr">
        <is>
          <t>Yes</t>
        </is>
      </c>
      <c r="J800" s="972" t="n">
        <v>8</v>
      </c>
      <c r="K800" s="972" t="inlineStr">
        <is>
          <t>Model Mapping</t>
        </is>
      </c>
      <c r="L800" s="452" t="inlineStr">
        <is>
          <t>https://attack.mitre.org/techniques/T0868</t>
        </is>
      </c>
      <c r="M800" s="973" t="inlineStr">
        <is>
          <t>Yes</t>
        </is>
      </c>
      <c r="N800" s="973" t="inlineStr">
        <is>
          <t>No explicit facility gate — defaults feasible</t>
        </is>
      </c>
      <c r="O800" s="973" t="inlineStr">
        <is>
          <t>Detect Operating Mode can support discovery or interaction with process state, control assets and operational data in Power Generation environments.</t>
        </is>
      </c>
      <c r="P800" s="973" t="inlineStr">
        <is>
          <t>https://csrc.nist.gov/pubs/sp/800/82/r3/final</t>
        </is>
      </c>
    </row>
    <row r="801" ht="15" customHeight="1" s="508">
      <c r="A801" s="972" t="inlineStr">
        <is>
          <t>Malicious Insider</t>
        </is>
      </c>
      <c r="B801" s="972" t="inlineStr">
        <is>
          <t>Process Manipulation</t>
        </is>
      </c>
      <c r="C801" s="972" t="inlineStr">
        <is>
          <t>T0843.001</t>
        </is>
      </c>
      <c r="D801" s="972" t="inlineStr">
        <is>
          <t>Download All</t>
        </is>
      </c>
      <c r="E801" s="972" t="inlineStr">
        <is>
          <t>S3</t>
        </is>
      </c>
      <c r="F801" s="972" t="inlineStr">
        <is>
          <t>Candidate enabling technique</t>
        </is>
      </c>
      <c r="G801" s="972" t="inlineStr">
        <is>
          <t>Yes</t>
        </is>
      </c>
      <c r="H801" s="972" t="inlineStr">
        <is>
          <t>Yes</t>
        </is>
      </c>
      <c r="I801" s="972" t="inlineStr">
        <is>
          <t>Yes</t>
        </is>
      </c>
      <c r="J801" s="972" t="n">
        <v>10</v>
      </c>
      <c r="K801" s="972" t="inlineStr">
        <is>
          <t>Model Mapping</t>
        </is>
      </c>
      <c r="L801" s="452" t="inlineStr">
        <is>
          <t>https://attack.mitre.org/techniques/T0843/001</t>
        </is>
      </c>
      <c r="M801" s="973" t="inlineStr">
        <is>
          <t>Yes</t>
        </is>
      </c>
      <c r="N801" s="973" t="inlineStr">
        <is>
          <t>No explicit facility gate — defaults feasible</t>
        </is>
      </c>
      <c r="O801" s="973" t="inlineStr">
        <is>
          <t>Download All can support movement toward or within plant/control zones; actual reachability is governed by the assessed facility architecture.</t>
        </is>
      </c>
      <c r="P801" s="973" t="inlineStr">
        <is>
          <t>https://csrc.nist.gov/pubs/sp/800/82/r3/final</t>
        </is>
      </c>
    </row>
    <row r="802" ht="15" customHeight="1" s="508">
      <c r="A802" s="972" t="inlineStr">
        <is>
          <t>Malicious Insider</t>
        </is>
      </c>
      <c r="B802" s="972" t="inlineStr">
        <is>
          <t>Process Manipulation</t>
        </is>
      </c>
      <c r="C802" s="972" t="inlineStr">
        <is>
          <t>T0817</t>
        </is>
      </c>
      <c r="D802" s="972" t="inlineStr">
        <is>
          <t>Drive-by Compromise</t>
        </is>
      </c>
      <c r="E802" s="972" t="inlineStr">
        <is>
          <t>S1</t>
        </is>
      </c>
      <c r="F802" s="972" t="inlineStr">
        <is>
          <t>Candidate enabling technique</t>
        </is>
      </c>
      <c r="G802" s="972" t="inlineStr">
        <is>
          <t>No</t>
        </is>
      </c>
      <c r="H802" s="972" t="inlineStr">
        <is>
          <t>Yes</t>
        </is>
      </c>
      <c r="I802" s="972" t="inlineStr">
        <is>
          <t>No</t>
        </is>
      </c>
      <c r="J802" s="972" t="n">
        <v>4</v>
      </c>
      <c r="K802" s="972" t="inlineStr">
        <is>
          <t>Model Mapping</t>
        </is>
      </c>
      <c r="L802" s="452" t="inlineStr">
        <is>
          <t>https://attack.mitre.org/techniques/T0817</t>
        </is>
      </c>
      <c r="M802" s="973" t="inlineStr">
        <is>
          <t>Yes</t>
        </is>
      </c>
      <c r="N802" s="973" t="inlineStr">
        <is>
          <t>No explicit facility gate — defaults feasible</t>
        </is>
      </c>
      <c r="O802" s="973" t="inlineStr">
        <is>
          <t>The Drive-by Compromise route is credible for Power Generation OT when the enabling access condition exists; existing facility gates determine remote, internet, transient, supply-chain or wireless feasibility.</t>
        </is>
      </c>
      <c r="P802" s="973" t="inlineStr">
        <is>
          <t>https://csrc.nist.gov/pubs/sp/800/82/r3/final</t>
        </is>
      </c>
    </row>
    <row r="803" ht="15" customHeight="1" s="508">
      <c r="A803" s="972" t="inlineStr">
        <is>
          <t>Malicious Insider</t>
        </is>
      </c>
      <c r="B803" s="972" t="inlineStr">
        <is>
          <t>Process Manipulation</t>
        </is>
      </c>
      <c r="C803" s="972" t="inlineStr">
        <is>
          <t>T0871</t>
        </is>
      </c>
      <c r="D803" s="972" t="inlineStr">
        <is>
          <t>Execution through API</t>
        </is>
      </c>
      <c r="E803" s="972" t="inlineStr">
        <is>
          <t>S2</t>
        </is>
      </c>
      <c r="F803" s="972" t="inlineStr">
        <is>
          <t>Candidate enabling technique</t>
        </is>
      </c>
      <c r="G803" s="972" t="inlineStr">
        <is>
          <t>Yes</t>
        </is>
      </c>
      <c r="H803" s="972" t="inlineStr">
        <is>
          <t>Yes</t>
        </is>
      </c>
      <c r="I803" s="972" t="inlineStr">
        <is>
          <t>Yes</t>
        </is>
      </c>
      <c r="J803" s="972" t="n">
        <v>4</v>
      </c>
      <c r="K803" s="972" t="inlineStr">
        <is>
          <t>Model Mapping</t>
        </is>
      </c>
      <c r="L803" s="452" t="inlineStr">
        <is>
          <t>https://attack.mitre.org/techniques/T0871</t>
        </is>
      </c>
      <c r="M803" s="973" t="inlineStr">
        <is>
          <t>Yes</t>
        </is>
      </c>
      <c r="N803" s="973" t="inlineStr">
        <is>
          <t>No explicit facility gate — defaults feasible</t>
        </is>
      </c>
      <c r="O803" s="973" t="inlineStr">
        <is>
          <t>Execution through API is applicable to execution or persistence on engineering workstations, HMIs, servers or controllers used in Power Generation facilities.</t>
        </is>
      </c>
      <c r="P803" s="973" t="inlineStr">
        <is>
          <t>https://csrc.nist.gov/pubs/sp/800/82/r3/final</t>
        </is>
      </c>
    </row>
    <row r="804" ht="15" customHeight="1" s="508">
      <c r="A804" s="972" t="inlineStr">
        <is>
          <t>Malicious Insider</t>
        </is>
      </c>
      <c r="B804" s="972" t="inlineStr">
        <is>
          <t>Process Manipulation</t>
        </is>
      </c>
      <c r="C804" s="972" t="inlineStr">
        <is>
          <t>T0819</t>
        </is>
      </c>
      <c r="D804" s="972" t="inlineStr">
        <is>
          <t>Exploit Public-Facing Application</t>
        </is>
      </c>
      <c r="E804" s="972" t="inlineStr">
        <is>
          <t>S1</t>
        </is>
      </c>
      <c r="F804" s="972" t="inlineStr">
        <is>
          <t>Candidate enabling technique</t>
        </is>
      </c>
      <c r="G804" s="972" t="inlineStr">
        <is>
          <t>No</t>
        </is>
      </c>
      <c r="H804" s="972" t="inlineStr">
        <is>
          <t>Yes</t>
        </is>
      </c>
      <c r="I804" s="972" t="inlineStr">
        <is>
          <t>No</t>
        </is>
      </c>
      <c r="J804" s="972" t="n">
        <v>6</v>
      </c>
      <c r="K804" s="972" t="inlineStr">
        <is>
          <t>Model Mapping</t>
        </is>
      </c>
      <c r="L804" s="452" t="inlineStr">
        <is>
          <t>https://attack.mitre.org/techniques/T0819</t>
        </is>
      </c>
      <c r="M804" s="973" t="inlineStr">
        <is>
          <t>Yes</t>
        </is>
      </c>
      <c r="N804" s="973" t="inlineStr">
        <is>
          <t>No explicit facility gate — defaults feasible</t>
        </is>
      </c>
      <c r="O804" s="973" t="inlineStr">
        <is>
          <t>The Exploit Public-Facing Application route is credible for Power Generation OT when the enabling access condition exists; existing facility gates determine remote, internet, transient, supply-chain or wireless feasibility.</t>
        </is>
      </c>
      <c r="P804" s="973" t="inlineStr">
        <is>
          <t>https://csrc.nist.gov/pubs/sp/800/82/r3/final</t>
        </is>
      </c>
    </row>
    <row r="805" ht="15" customHeight="1" s="508">
      <c r="A805" s="972" t="inlineStr">
        <is>
          <t>Malicious Insider</t>
        </is>
      </c>
      <c r="B805" s="972" t="inlineStr">
        <is>
          <t>Process Manipulation</t>
        </is>
      </c>
      <c r="C805" s="972" t="inlineStr">
        <is>
          <t>T0820</t>
        </is>
      </c>
      <c r="D805" s="972" t="inlineStr">
        <is>
          <t>Exploitation for Evasion</t>
        </is>
      </c>
      <c r="E805" s="972" t="inlineStr">
        <is>
          <t>S2</t>
        </is>
      </c>
      <c r="F805" s="972" t="inlineStr">
        <is>
          <t>Candidate enabling technique</t>
        </is>
      </c>
      <c r="G805" s="972" t="inlineStr">
        <is>
          <t>Yes</t>
        </is>
      </c>
      <c r="H805" s="972" t="inlineStr">
        <is>
          <t>Yes</t>
        </is>
      </c>
      <c r="I805" s="972" t="inlineStr">
        <is>
          <t>Yes</t>
        </is>
      </c>
      <c r="J805" s="972" t="n">
        <v>4</v>
      </c>
      <c r="K805" s="972" t="inlineStr">
        <is>
          <t>Model Mapping</t>
        </is>
      </c>
      <c r="L805" s="452" t="inlineStr">
        <is>
          <t>https://attack.mitre.org/techniques/T0820</t>
        </is>
      </c>
      <c r="M805" s="973" t="inlineStr">
        <is>
          <t>Yes</t>
        </is>
      </c>
      <c r="N805" s="973" t="inlineStr">
        <is>
          <t>No explicit facility gate — defaults feasible</t>
        </is>
      </c>
      <c r="O805" s="973" t="inlineStr">
        <is>
          <t>Exploitation for Evasion is applicable to execution or persistence on engineering workstations, HMIs, servers or controllers used in Power Generation facilities.</t>
        </is>
      </c>
      <c r="P805" s="973" t="inlineStr">
        <is>
          <t>https://csrc.nist.gov/pubs/sp/800/82/r3/final</t>
        </is>
      </c>
    </row>
    <row r="806" ht="15" customHeight="1" s="508">
      <c r="A806" s="972" t="inlineStr">
        <is>
          <t>Malicious Insider</t>
        </is>
      </c>
      <c r="B806" s="972" t="inlineStr">
        <is>
          <t>Process Manipulation</t>
        </is>
      </c>
      <c r="C806" s="972" t="inlineStr">
        <is>
          <t>T0890</t>
        </is>
      </c>
      <c r="D806" s="972" t="inlineStr">
        <is>
          <t>Exploitation for Privilege Escalation</t>
        </is>
      </c>
      <c r="E806" s="972" t="inlineStr">
        <is>
          <t>S2</t>
        </is>
      </c>
      <c r="F806" s="972" t="inlineStr">
        <is>
          <t>Candidate enabling technique</t>
        </is>
      </c>
      <c r="G806" s="972" t="inlineStr">
        <is>
          <t>Yes</t>
        </is>
      </c>
      <c r="H806" s="972" t="inlineStr">
        <is>
          <t>Yes</t>
        </is>
      </c>
      <c r="I806" s="972" t="inlineStr">
        <is>
          <t>Yes</t>
        </is>
      </c>
      <c r="J806" s="972" t="n">
        <v>4</v>
      </c>
      <c r="K806" s="972" t="inlineStr">
        <is>
          <t>Model Mapping</t>
        </is>
      </c>
      <c r="L806" s="452" t="inlineStr">
        <is>
          <t>https://attack.mitre.org/techniques/T0890</t>
        </is>
      </c>
      <c r="M806" s="973" t="inlineStr">
        <is>
          <t>Yes</t>
        </is>
      </c>
      <c r="N806" s="973" t="inlineStr">
        <is>
          <t>No explicit facility gate — defaults feasible</t>
        </is>
      </c>
      <c r="O806" s="973" t="inlineStr">
        <is>
          <t>Exploitation for Privilege Escalation is applicable to execution or persistence on engineering workstations, HMIs, servers or controllers used in Power Generation facilities.</t>
        </is>
      </c>
      <c r="P806" s="973" t="inlineStr">
        <is>
          <t>https://csrc.nist.gov/pubs/sp/800/82/r3/final</t>
        </is>
      </c>
    </row>
    <row r="807" ht="15" customHeight="1" s="508">
      <c r="A807" s="972" t="inlineStr">
        <is>
          <t>Malicious Insider</t>
        </is>
      </c>
      <c r="B807" s="972" t="inlineStr">
        <is>
          <t>Process Manipulation</t>
        </is>
      </c>
      <c r="C807" s="972" t="inlineStr">
        <is>
          <t>T0866</t>
        </is>
      </c>
      <c r="D807" s="972" t="inlineStr">
        <is>
          <t>Exploitation of Remote Services</t>
        </is>
      </c>
      <c r="E807" s="972" t="inlineStr">
        <is>
          <t>S1</t>
        </is>
      </c>
      <c r="F807" s="972" t="inlineStr">
        <is>
          <t>Candidate enabling technique</t>
        </is>
      </c>
      <c r="G807" s="972" t="inlineStr">
        <is>
          <t>No</t>
        </is>
      </c>
      <c r="H807" s="972" t="inlineStr">
        <is>
          <t>Yes</t>
        </is>
      </c>
      <c r="I807" s="972" t="inlineStr">
        <is>
          <t>No</t>
        </is>
      </c>
      <c r="J807" s="972" t="n">
        <v>8</v>
      </c>
      <c r="K807" s="972" t="inlineStr">
        <is>
          <t>Model Mapping</t>
        </is>
      </c>
      <c r="L807" s="452" t="inlineStr">
        <is>
          <t>https://attack.mitre.org/techniques/T0866</t>
        </is>
      </c>
      <c r="M807" s="973" t="inlineStr">
        <is>
          <t>Yes</t>
        </is>
      </c>
      <c r="N807" s="973" t="inlineStr">
        <is>
          <t>REMOTE_OR_ITOT — Remote path or IT-OT connection</t>
        </is>
      </c>
      <c r="O807" s="973" t="inlineStr">
        <is>
          <t>The Exploitation of Remote Services route is credible for Power Generation OT when the enabling access condition exists; existing facility gates determine remote, internet, transient, supply-chain or wireless feasibility.</t>
        </is>
      </c>
      <c r="P807" s="973" t="inlineStr">
        <is>
          <t>https://csrc.nist.gov/pubs/sp/800/82/r3/final</t>
        </is>
      </c>
    </row>
    <row r="808" ht="15" customHeight="1" s="508">
      <c r="A808" s="972" t="inlineStr">
        <is>
          <t>Malicious Insider</t>
        </is>
      </c>
      <c r="B808" s="972" t="inlineStr">
        <is>
          <t>Process Manipulation</t>
        </is>
      </c>
      <c r="C808" s="972" t="inlineStr">
        <is>
          <t>T0822</t>
        </is>
      </c>
      <c r="D808" s="972" t="inlineStr">
        <is>
          <t>External Remote Services</t>
        </is>
      </c>
      <c r="E808" s="972" t="inlineStr">
        <is>
          <t>S1</t>
        </is>
      </c>
      <c r="F808" s="972" t="inlineStr">
        <is>
          <t>Candidate enabling technique</t>
        </is>
      </c>
      <c r="G808" s="972" t="inlineStr">
        <is>
          <t>No</t>
        </is>
      </c>
      <c r="H808" s="972" t="inlineStr">
        <is>
          <t>Yes</t>
        </is>
      </c>
      <c r="I808" s="972" t="inlineStr">
        <is>
          <t>No</t>
        </is>
      </c>
      <c r="J808" s="972" t="n">
        <v>7</v>
      </c>
      <c r="K808" s="972" t="inlineStr">
        <is>
          <t>Model Mapping</t>
        </is>
      </c>
      <c r="L808" s="452" t="inlineStr">
        <is>
          <t>https://attack.mitre.org/techniques/T0822</t>
        </is>
      </c>
      <c r="M808" s="973" t="inlineStr">
        <is>
          <t>Yes</t>
        </is>
      </c>
      <c r="N808" s="973" t="inlineStr">
        <is>
          <t>REMOTE_REQUIRED — Not None</t>
        </is>
      </c>
      <c r="O808" s="973" t="inlineStr">
        <is>
          <t>The External Remote Services route is credible for Power Generation OT when the enabling access condition exists; existing facility gates determine remote, internet, transient, supply-chain or wireless feasibility.</t>
        </is>
      </c>
      <c r="P808" s="973" t="inlineStr">
        <is>
          <t>https://csrc.nist.gov/pubs/sp/800/82/r3/final</t>
        </is>
      </c>
    </row>
    <row r="809" ht="15" customHeight="1" s="508">
      <c r="A809" s="972" t="inlineStr">
        <is>
          <t>Malicious Insider</t>
        </is>
      </c>
      <c r="B809" s="972" t="inlineStr">
        <is>
          <t>Process Manipulation</t>
        </is>
      </c>
      <c r="C809" s="972" t="inlineStr">
        <is>
          <t>T0823</t>
        </is>
      </c>
      <c r="D809" s="972" t="inlineStr">
        <is>
          <t>Graphical User Interface</t>
        </is>
      </c>
      <c r="E809" s="972" t="inlineStr">
        <is>
          <t>S2</t>
        </is>
      </c>
      <c r="F809" s="972" t="inlineStr">
        <is>
          <t>Candidate enabling technique</t>
        </is>
      </c>
      <c r="G809" s="972" t="inlineStr">
        <is>
          <t>Yes</t>
        </is>
      </c>
      <c r="H809" s="972" t="inlineStr">
        <is>
          <t>Yes</t>
        </is>
      </c>
      <c r="I809" s="972" t="inlineStr">
        <is>
          <t>Yes</t>
        </is>
      </c>
      <c r="J809" s="972" t="n">
        <v>1</v>
      </c>
      <c r="K809" s="972" t="inlineStr">
        <is>
          <t>Model Mapping</t>
        </is>
      </c>
      <c r="L809" s="452" t="inlineStr">
        <is>
          <t>https://attack.mitre.org/techniques/T0823</t>
        </is>
      </c>
      <c r="M809" s="973" t="inlineStr">
        <is>
          <t>Yes</t>
        </is>
      </c>
      <c r="N809" s="973" t="inlineStr">
        <is>
          <t>No explicit facility gate — defaults feasible</t>
        </is>
      </c>
      <c r="O809" s="973" t="inlineStr">
        <is>
          <t>Graphical User Interface is applicable to execution or persistence on engineering workstations, HMIs, servers or controllers used in Power Generation facilities.</t>
        </is>
      </c>
      <c r="P809" s="973" t="inlineStr">
        <is>
          <t>https://csrc.nist.gov/pubs/sp/800/82/r3/final</t>
        </is>
      </c>
    </row>
    <row r="810" ht="15" customHeight="1" s="508">
      <c r="A810" s="972" t="inlineStr">
        <is>
          <t>Malicious Insider</t>
        </is>
      </c>
      <c r="B810" s="972" t="inlineStr">
        <is>
          <t>Process Manipulation</t>
        </is>
      </c>
      <c r="C810" s="972" t="inlineStr">
        <is>
          <t>T1694.002</t>
        </is>
      </c>
      <c r="D810" s="972" t="inlineStr">
        <is>
          <t>Hardcoded Credentials</t>
        </is>
      </c>
      <c r="E810" s="972" t="inlineStr">
        <is>
          <t>S3</t>
        </is>
      </c>
      <c r="F810" s="972" t="inlineStr">
        <is>
          <t>Candidate enabling technique</t>
        </is>
      </c>
      <c r="G810" s="972" t="inlineStr">
        <is>
          <t>Yes</t>
        </is>
      </c>
      <c r="H810" s="972" t="inlineStr">
        <is>
          <t>Yes</t>
        </is>
      </c>
      <c r="I810" s="972" t="inlineStr">
        <is>
          <t>Yes</t>
        </is>
      </c>
      <c r="J810" s="972" t="n">
        <v>1</v>
      </c>
      <c r="K810" s="972" t="inlineStr">
        <is>
          <t>Model Mapping</t>
        </is>
      </c>
      <c r="L810" s="452" t="inlineStr">
        <is>
          <t>https://attack.mitre.org/techniques/T1694/002</t>
        </is>
      </c>
      <c r="M810" s="973" t="inlineStr">
        <is>
          <t>Yes</t>
        </is>
      </c>
      <c r="N810" s="973" t="inlineStr">
        <is>
          <t>No explicit facility gate — defaults feasible</t>
        </is>
      </c>
      <c r="O810" s="973" t="inlineStr">
        <is>
          <t>Hardcoded Credentials can support movement toward or within plant/control zones; actual reachability is governed by the assessed facility architecture.</t>
        </is>
      </c>
      <c r="P810" s="973" t="inlineStr">
        <is>
          <t>https://csrc.nist.gov/pubs/sp/800/82/r3/final</t>
        </is>
      </c>
    </row>
    <row r="811" ht="15" customHeight="1" s="508">
      <c r="A811" s="972" t="inlineStr">
        <is>
          <t>Malicious Insider</t>
        </is>
      </c>
      <c r="B811" s="972" t="inlineStr">
        <is>
          <t>Process Manipulation</t>
        </is>
      </c>
      <c r="C811" s="972" t="inlineStr">
        <is>
          <t>T0874</t>
        </is>
      </c>
      <c r="D811" s="972" t="inlineStr">
        <is>
          <t>Hooking</t>
        </is>
      </c>
      <c r="E811" s="972" t="inlineStr">
        <is>
          <t>S2</t>
        </is>
      </c>
      <c r="F811" s="972" t="inlineStr">
        <is>
          <t>Candidate enabling technique</t>
        </is>
      </c>
      <c r="G811" s="972" t="inlineStr">
        <is>
          <t>Yes</t>
        </is>
      </c>
      <c r="H811" s="972" t="inlineStr">
        <is>
          <t>Yes</t>
        </is>
      </c>
      <c r="I811" s="972" t="inlineStr">
        <is>
          <t>Yes</t>
        </is>
      </c>
      <c r="J811" s="972" t="n">
        <v>2</v>
      </c>
      <c r="K811" s="972" t="inlineStr">
        <is>
          <t>Model Mapping</t>
        </is>
      </c>
      <c r="L811" s="452" t="inlineStr">
        <is>
          <t>https://attack.mitre.org/techniques/T0874</t>
        </is>
      </c>
      <c r="M811" s="973" t="inlineStr">
        <is>
          <t>Yes</t>
        </is>
      </c>
      <c r="N811" s="973" t="inlineStr">
        <is>
          <t>No explicit facility gate — defaults feasible</t>
        </is>
      </c>
      <c r="O811" s="973" t="inlineStr">
        <is>
          <t>Hooking is applicable to execution or persistence on engineering workstations, HMIs, servers or controllers used in Power Generation facilities.</t>
        </is>
      </c>
      <c r="P811" s="973" t="inlineStr">
        <is>
          <t>https://csrc.nist.gov/pubs/sp/800/82/r3/final</t>
        </is>
      </c>
    </row>
    <row r="812" ht="15" customHeight="1" s="508">
      <c r="A812" s="972" t="inlineStr">
        <is>
          <t>Malicious Insider</t>
        </is>
      </c>
      <c r="B812" s="972" t="inlineStr">
        <is>
          <t>Process Manipulation</t>
        </is>
      </c>
      <c r="C812" s="972" t="inlineStr">
        <is>
          <t>T0877</t>
        </is>
      </c>
      <c r="D812" s="972" t="inlineStr">
        <is>
          <t>I/O Image</t>
        </is>
      </c>
      <c r="E812" s="972" t="inlineStr">
        <is>
          <t>S4</t>
        </is>
      </c>
      <c r="F812" s="972" t="inlineStr">
        <is>
          <t>Candidate enabling technique</t>
        </is>
      </c>
      <c r="G812" s="972" t="inlineStr">
        <is>
          <t>Yes</t>
        </is>
      </c>
      <c r="H812" s="972" t="inlineStr">
        <is>
          <t>Yes</t>
        </is>
      </c>
      <c r="I812" s="972" t="inlineStr">
        <is>
          <t>Yes</t>
        </is>
      </c>
      <c r="J812" s="972" t="n">
        <v>1</v>
      </c>
      <c r="K812" s="972" t="inlineStr">
        <is>
          <t>Model Mapping</t>
        </is>
      </c>
      <c r="L812" s="452" t="inlineStr">
        <is>
          <t>https://attack.mitre.org/techniques/T0877</t>
        </is>
      </c>
      <c r="M812" s="973" t="inlineStr">
        <is>
          <t>Yes</t>
        </is>
      </c>
      <c r="N812" s="973" t="inlineStr">
        <is>
          <t>No explicit facility gate — defaults feasible</t>
        </is>
      </c>
      <c r="O812" s="973" t="inlineStr">
        <is>
          <t>I/O Image can support discovery or interaction with process state, control assets and operational data in Power Generation environments.</t>
        </is>
      </c>
      <c r="P812" s="973" t="inlineStr">
        <is>
          <t>https://csrc.nist.gov/pubs/sp/800/82/r3/final</t>
        </is>
      </c>
    </row>
    <row r="813" ht="15" customHeight="1" s="508">
      <c r="A813" s="972" t="inlineStr">
        <is>
          <t>Malicious Insider</t>
        </is>
      </c>
      <c r="B813" s="972" t="inlineStr">
        <is>
          <t>Process Manipulation</t>
        </is>
      </c>
      <c r="C813" s="972" t="inlineStr">
        <is>
          <t>T0872</t>
        </is>
      </c>
      <c r="D813" s="972" t="inlineStr">
        <is>
          <t>Indicator Removal on Host</t>
        </is>
      </c>
      <c r="E813" s="972" t="inlineStr">
        <is>
          <t>S2</t>
        </is>
      </c>
      <c r="F813" s="972" t="inlineStr">
        <is>
          <t>Candidate enabling technique</t>
        </is>
      </c>
      <c r="G813" s="972" t="inlineStr">
        <is>
          <t>Yes</t>
        </is>
      </c>
      <c r="H813" s="972" t="inlineStr">
        <is>
          <t>Yes</t>
        </is>
      </c>
      <c r="I813" s="972" t="inlineStr">
        <is>
          <t>Yes</t>
        </is>
      </c>
      <c r="J813" s="972" t="n">
        <v>1</v>
      </c>
      <c r="K813" s="972" t="inlineStr">
        <is>
          <t>Model Mapping</t>
        </is>
      </c>
      <c r="L813" s="452" t="inlineStr">
        <is>
          <t>https://attack.mitre.org/techniques/T0872</t>
        </is>
      </c>
      <c r="M813" s="973" t="inlineStr">
        <is>
          <t>Yes</t>
        </is>
      </c>
      <c r="N813" s="973" t="inlineStr">
        <is>
          <t>No explicit facility gate — defaults feasible</t>
        </is>
      </c>
      <c r="O813" s="973" t="inlineStr">
        <is>
          <t>Indicator Removal on Host is applicable to execution or persistence on engineering workstations, HMIs, servers or controllers used in Power Generation facilities.</t>
        </is>
      </c>
      <c r="P813" s="973" t="inlineStr">
        <is>
          <t>https://csrc.nist.gov/pubs/sp/800/82/r3/final</t>
        </is>
      </c>
    </row>
    <row r="814" ht="15" customHeight="1" s="508">
      <c r="A814" s="972" t="inlineStr">
        <is>
          <t>Malicious Insider</t>
        </is>
      </c>
      <c r="B814" s="972" t="inlineStr">
        <is>
          <t>Process Manipulation</t>
        </is>
      </c>
      <c r="C814" s="972" t="inlineStr">
        <is>
          <t>T0883</t>
        </is>
      </c>
      <c r="D814" s="972" t="inlineStr">
        <is>
          <t>Internet Accessible Device</t>
        </is>
      </c>
      <c r="E814" s="972" t="inlineStr">
        <is>
          <t>S1</t>
        </is>
      </c>
      <c r="F814" s="972" t="inlineStr">
        <is>
          <t>Candidate enabling technique</t>
        </is>
      </c>
      <c r="G814" s="972" t="inlineStr">
        <is>
          <t>No</t>
        </is>
      </c>
      <c r="H814" s="972" t="inlineStr">
        <is>
          <t>No</t>
        </is>
      </c>
      <c r="I814" s="972" t="inlineStr">
        <is>
          <t>No</t>
        </is>
      </c>
      <c r="J814" s="972" t="n">
        <v>1</v>
      </c>
      <c r="K814" s="972" t="inlineStr">
        <is>
          <t>Model Mapping</t>
        </is>
      </c>
      <c r="L814" s="452" t="inlineStr">
        <is>
          <t>https://attack.mitre.org/techniques/T0883</t>
        </is>
      </c>
      <c r="M814" s="973" t="inlineStr">
        <is>
          <t>Yes</t>
        </is>
      </c>
      <c r="N814" s="973" t="inlineStr">
        <is>
          <t>INTERNET_OT — Yes</t>
        </is>
      </c>
      <c r="O814" s="973" t="inlineStr">
        <is>
          <t>The Internet Accessible Device route is credible for Power Generation OT when the enabling access condition exists; existing facility gates determine remote, internet, transient, supply-chain or wireless feasibility.</t>
        </is>
      </c>
      <c r="P814" s="973" t="inlineStr">
        <is>
          <t>https://csrc.nist.gov/pubs/sp/800/82/r3/final</t>
        </is>
      </c>
    </row>
    <row r="815" ht="15" customHeight="1" s="508">
      <c r="A815" s="972" t="inlineStr">
        <is>
          <t>Malicious Insider</t>
        </is>
      </c>
      <c r="B815" s="972" t="inlineStr">
        <is>
          <t>Process Manipulation</t>
        </is>
      </c>
      <c r="C815" s="972" t="inlineStr">
        <is>
          <t>T0867</t>
        </is>
      </c>
      <c r="D815" s="972" t="inlineStr">
        <is>
          <t>Lateral Tool Transfer</t>
        </is>
      </c>
      <c r="E815" s="972" t="inlineStr">
        <is>
          <t>S3</t>
        </is>
      </c>
      <c r="F815" s="972" t="inlineStr">
        <is>
          <t>Candidate enabling technique</t>
        </is>
      </c>
      <c r="G815" s="972" t="inlineStr">
        <is>
          <t>Yes</t>
        </is>
      </c>
      <c r="H815" s="972" t="inlineStr">
        <is>
          <t>Yes</t>
        </is>
      </c>
      <c r="I815" s="972" t="inlineStr">
        <is>
          <t>Yes</t>
        </is>
      </c>
      <c r="J815" s="972" t="n">
        <v>1</v>
      </c>
      <c r="K815" s="972" t="inlineStr">
        <is>
          <t>Model Mapping</t>
        </is>
      </c>
      <c r="L815" s="452" t="inlineStr">
        <is>
          <t>https://attack.mitre.org/techniques/T0867</t>
        </is>
      </c>
      <c r="M815" s="973" t="inlineStr">
        <is>
          <t>Yes</t>
        </is>
      </c>
      <c r="N815" s="973" t="inlineStr">
        <is>
          <t>No explicit facility gate — defaults feasible</t>
        </is>
      </c>
      <c r="O815" s="973" t="inlineStr">
        <is>
          <t>Lateral Tool Transfer can support movement toward or within plant/control zones; actual reachability is governed by the assessed facility architecture.</t>
        </is>
      </c>
      <c r="P815" s="973" t="inlineStr">
        <is>
          <t>https://csrc.nist.gov/pubs/sp/800/82/r3/final</t>
        </is>
      </c>
    </row>
    <row r="816" ht="15" customHeight="1" s="508">
      <c r="A816" s="972" t="inlineStr">
        <is>
          <t>Malicious Insider</t>
        </is>
      </c>
      <c r="B816" s="972" t="inlineStr">
        <is>
          <t>Process Manipulation</t>
        </is>
      </c>
      <c r="C816" s="972" t="inlineStr">
        <is>
          <t>T0831</t>
        </is>
      </c>
      <c r="D816" s="972" t="inlineStr">
        <is>
          <t>Manipulation of Control</t>
        </is>
      </c>
      <c r="E816" s="972" t="inlineStr">
        <is>
          <t>S5</t>
        </is>
      </c>
      <c r="F816" s="972" t="inlineStr">
        <is>
          <t>Scenario-defining</t>
        </is>
      </c>
      <c r="G816" s="972" t="inlineStr">
        <is>
          <t>Yes</t>
        </is>
      </c>
      <c r="H816" s="972" t="inlineStr">
        <is>
          <t>Yes</t>
        </is>
      </c>
      <c r="I816" s="972" t="inlineStr">
        <is>
          <t>Yes</t>
        </is>
      </c>
      <c r="J816" s="972" t="n">
        <v>3</v>
      </c>
      <c r="K816" s="972" t="inlineStr">
        <is>
          <t>Model Mapping</t>
        </is>
      </c>
      <c r="L816" s="452" t="inlineStr">
        <is>
          <t>https://attack.mitre.org/techniques/T0831</t>
        </is>
      </c>
      <c r="M816" s="973" t="inlineStr">
        <is>
          <t>Yes</t>
        </is>
      </c>
      <c r="N816" s="973" t="inlineStr">
        <is>
          <t>No explicit facility gate — defaults feasible</t>
        </is>
      </c>
      <c r="O816" s="973" t="inlineStr">
        <is>
          <t>Manipulation of Control is an ATT&amp;CK for ICS impact or response-inhibition technique that can support one or more governed adverse scenarios; scenario role remains controlled on 09.</t>
        </is>
      </c>
      <c r="P816" s="973" t="inlineStr">
        <is>
          <t>https://csrc.nist.gov/pubs/sp/800/82/r3/final</t>
        </is>
      </c>
    </row>
    <row r="817" ht="15" customHeight="1" s="508">
      <c r="A817" s="972" t="inlineStr">
        <is>
          <t>Malicious Insider</t>
        </is>
      </c>
      <c r="B817" s="972" t="inlineStr">
        <is>
          <t>Process Manipulation</t>
        </is>
      </c>
      <c r="C817" s="972" t="inlineStr">
        <is>
          <t>T0849</t>
        </is>
      </c>
      <c r="D817" s="972" t="inlineStr">
        <is>
          <t>Masquerading</t>
        </is>
      </c>
      <c r="E817" s="972" t="inlineStr">
        <is>
          <t>S2</t>
        </is>
      </c>
      <c r="F817" s="972" t="inlineStr">
        <is>
          <t>Candidate enabling technique</t>
        </is>
      </c>
      <c r="G817" s="972" t="inlineStr">
        <is>
          <t>Yes</t>
        </is>
      </c>
      <c r="H817" s="972" t="inlineStr">
        <is>
          <t>Yes</t>
        </is>
      </c>
      <c r="I817" s="972" t="inlineStr">
        <is>
          <t>Yes</t>
        </is>
      </c>
      <c r="J817" s="972" t="n">
        <v>3</v>
      </c>
      <c r="K817" s="972" t="inlineStr">
        <is>
          <t>Model Mapping</t>
        </is>
      </c>
      <c r="L817" s="452" t="inlineStr">
        <is>
          <t>https://attack.mitre.org/techniques/T0849</t>
        </is>
      </c>
      <c r="M817" s="973" t="inlineStr">
        <is>
          <t>Yes</t>
        </is>
      </c>
      <c r="N817" s="973" t="inlineStr">
        <is>
          <t>No explicit facility gate — defaults feasible</t>
        </is>
      </c>
      <c r="O817" s="973" t="inlineStr">
        <is>
          <t>Masquerading is applicable to execution or persistence on engineering workstations, HMIs, servers or controllers used in Power Generation facilities.</t>
        </is>
      </c>
      <c r="P817" s="973" t="inlineStr">
        <is>
          <t>https://csrc.nist.gov/pubs/sp/800/82/r3/final</t>
        </is>
      </c>
    </row>
    <row r="818" ht="15" customHeight="1" s="508">
      <c r="A818" s="972" t="inlineStr">
        <is>
          <t>Malicious Insider</t>
        </is>
      </c>
      <c r="B818" s="972" t="inlineStr">
        <is>
          <t>Process Manipulation</t>
        </is>
      </c>
      <c r="C818" s="972" t="inlineStr">
        <is>
          <t>T0821</t>
        </is>
      </c>
      <c r="D818" s="972" t="inlineStr">
        <is>
          <t>Modify Controller Tasking</t>
        </is>
      </c>
      <c r="E818" s="972" t="inlineStr">
        <is>
          <t>S5</t>
        </is>
      </c>
      <c r="F818" s="972" t="inlineStr">
        <is>
          <t>Supporting / impact</t>
        </is>
      </c>
      <c r="G818" s="972" t="inlineStr">
        <is>
          <t>Yes</t>
        </is>
      </c>
      <c r="H818" s="972" t="inlineStr">
        <is>
          <t>Yes</t>
        </is>
      </c>
      <c r="I818" s="972" t="inlineStr">
        <is>
          <t>Yes</t>
        </is>
      </c>
      <c r="J818" s="972" t="n">
        <v>4</v>
      </c>
      <c r="K818" s="972" t="inlineStr">
        <is>
          <t>RESTAGED v1.2: In the Process Manipulation scenario this technique directly implements the adverse outcome, so it is staged S5 rather than inheriting its ATT&amp;CK tactic. CRQ stage is scenario-specific.</t>
        </is>
      </c>
      <c r="L818" s="452" t="inlineStr">
        <is>
          <t>https://attack.mitre.org/techniques/T0821</t>
        </is>
      </c>
      <c r="M818" s="973" t="inlineStr">
        <is>
          <t>Yes</t>
        </is>
      </c>
      <c r="N818" s="973" t="inlineStr">
        <is>
          <t>No explicit facility gate — defaults feasible</t>
        </is>
      </c>
      <c r="O818" s="973" t="inlineStr">
        <is>
          <t>Modify Controller Tasking is applicable to execution or persistence on engineering workstations, HMIs, servers or controllers used in Power Generation facilities.</t>
        </is>
      </c>
      <c r="P818" s="973" t="inlineStr">
        <is>
          <t>https://csrc.nist.gov/pubs/sp/800/82/r3/final</t>
        </is>
      </c>
    </row>
    <row r="819" ht="15" customHeight="1" s="508">
      <c r="A819" s="972" t="inlineStr">
        <is>
          <t>Malicious Insider</t>
        </is>
      </c>
      <c r="B819" s="972" t="inlineStr">
        <is>
          <t>Process Manipulation</t>
        </is>
      </c>
      <c r="C819" s="972" t="inlineStr">
        <is>
          <t>T0836</t>
        </is>
      </c>
      <c r="D819" s="972" t="inlineStr">
        <is>
          <t>Modify Parameter</t>
        </is>
      </c>
      <c r="E819" s="972" t="inlineStr">
        <is>
          <t>S5</t>
        </is>
      </c>
      <c r="F819" s="972" t="inlineStr">
        <is>
          <t>Scenario-defining</t>
        </is>
      </c>
      <c r="G819" s="972" t="inlineStr">
        <is>
          <t>Yes</t>
        </is>
      </c>
      <c r="H819" s="972" t="inlineStr">
        <is>
          <t>Yes</t>
        </is>
      </c>
      <c r="I819" s="972" t="inlineStr">
        <is>
          <t>Yes</t>
        </is>
      </c>
      <c r="J819" s="972" t="n">
        <v>4</v>
      </c>
      <c r="K819" s="972" t="inlineStr">
        <is>
          <t>Model Mapping</t>
        </is>
      </c>
      <c r="L819" s="452" t="inlineStr">
        <is>
          <t>https://attack.mitre.org/techniques/T0836</t>
        </is>
      </c>
      <c r="M819" s="973" t="inlineStr">
        <is>
          <t>Yes</t>
        </is>
      </c>
      <c r="N819" s="973" t="inlineStr">
        <is>
          <t>No explicit facility gate — defaults feasible</t>
        </is>
      </c>
      <c r="O819" s="973" t="inlineStr">
        <is>
          <t>Modify Parameter is an ATT&amp;CK for ICS impact or response-inhibition technique that can support one or more governed adverse scenarios; scenario role remains controlled on 09.</t>
        </is>
      </c>
      <c r="P819" s="973" t="inlineStr">
        <is>
          <t>https://csrc.nist.gov/pubs/sp/800/82/r3/final</t>
        </is>
      </c>
    </row>
    <row r="820" ht="15" customHeight="1" s="508">
      <c r="A820" s="972" t="inlineStr">
        <is>
          <t>Malicious Insider</t>
        </is>
      </c>
      <c r="B820" s="972" t="inlineStr">
        <is>
          <t>Process Manipulation</t>
        </is>
      </c>
      <c r="C820" s="972" t="inlineStr">
        <is>
          <t>T0889</t>
        </is>
      </c>
      <c r="D820" s="972" t="inlineStr">
        <is>
          <t>Modify Program</t>
        </is>
      </c>
      <c r="E820" s="972" t="inlineStr">
        <is>
          <t>S5</t>
        </is>
      </c>
      <c r="F820" s="972" t="inlineStr">
        <is>
          <t>Supporting / impact</t>
        </is>
      </c>
      <c r="G820" s="972" t="inlineStr">
        <is>
          <t>Yes</t>
        </is>
      </c>
      <c r="H820" s="972" t="inlineStr">
        <is>
          <t>Yes</t>
        </is>
      </c>
      <c r="I820" s="972" t="inlineStr">
        <is>
          <t>Yes</t>
        </is>
      </c>
      <c r="J820" s="972" t="n">
        <v>4</v>
      </c>
      <c r="K820" s="972" t="inlineStr">
        <is>
          <t>RESTAGED v1.2: In the Process Manipulation scenario this technique directly implements the adverse outcome, so it is staged S5 rather than inheriting its ATT&amp;CK tactic. CRQ stage is scenario-specific.</t>
        </is>
      </c>
      <c r="L820" s="452" t="inlineStr">
        <is>
          <t>https://attack.mitre.org/techniques/T0889</t>
        </is>
      </c>
      <c r="M820" s="973" t="inlineStr">
        <is>
          <t>Yes</t>
        </is>
      </c>
      <c r="N820" s="973" t="inlineStr">
        <is>
          <t>No explicit facility gate — defaults feasible</t>
        </is>
      </c>
      <c r="O820" s="973" t="inlineStr">
        <is>
          <t>Modify Program is applicable to execution or persistence on engineering workstations, HMIs, servers or controllers used in Power Generation facilities.</t>
        </is>
      </c>
      <c r="P820" s="973" t="inlineStr">
        <is>
          <t>https://csrc.nist.gov/pubs/sp/800/82/r3/final</t>
        </is>
      </c>
    </row>
    <row r="821" ht="15" customHeight="1" s="508">
      <c r="A821" s="972" t="inlineStr">
        <is>
          <t>Malicious Insider</t>
        </is>
      </c>
      <c r="B821" s="972" t="inlineStr">
        <is>
          <t>Process Manipulation</t>
        </is>
      </c>
      <c r="C821" s="972" t="inlineStr">
        <is>
          <t>T0801</t>
        </is>
      </c>
      <c r="D821" s="972" t="inlineStr">
        <is>
          <t>Monitor Process State</t>
        </is>
      </c>
      <c r="E821" s="972" t="inlineStr">
        <is>
          <t>S4</t>
        </is>
      </c>
      <c r="F821" s="972" t="inlineStr">
        <is>
          <t>Candidate enabling technique</t>
        </is>
      </c>
      <c r="G821" s="972" t="inlineStr">
        <is>
          <t>Yes</t>
        </is>
      </c>
      <c r="H821" s="972" t="inlineStr">
        <is>
          <t>Yes</t>
        </is>
      </c>
      <c r="I821" s="972" t="inlineStr">
        <is>
          <t>Yes</t>
        </is>
      </c>
      <c r="J821" s="972" t="n">
        <v>1</v>
      </c>
      <c r="K821" s="972" t="inlineStr">
        <is>
          <t>Model Mapping</t>
        </is>
      </c>
      <c r="L821" s="452" t="inlineStr">
        <is>
          <t>https://attack.mitre.org/techniques/T0801</t>
        </is>
      </c>
      <c r="M821" s="973" t="inlineStr">
        <is>
          <t>Yes</t>
        </is>
      </c>
      <c r="N821" s="973" t="inlineStr">
        <is>
          <t>No explicit facility gate — defaults feasible</t>
        </is>
      </c>
      <c r="O821" s="973" t="inlineStr">
        <is>
          <t>Monitor Process State can support discovery or interaction with process state, control assets and operational data in Power Generation environments.</t>
        </is>
      </c>
      <c r="P821" s="973" t="inlineStr">
        <is>
          <t>https://csrc.nist.gov/pubs/sp/800/82/r3/final</t>
        </is>
      </c>
    </row>
    <row r="822" ht="15" customHeight="1" s="508">
      <c r="A822" s="972" t="inlineStr">
        <is>
          <t>Malicious Insider</t>
        </is>
      </c>
      <c r="B822" s="972" t="inlineStr">
        <is>
          <t>Process Manipulation</t>
        </is>
      </c>
      <c r="C822" s="972" t="inlineStr">
        <is>
          <t>T0846.003</t>
        </is>
      </c>
      <c r="D822" s="972" t="inlineStr">
        <is>
          <t>Multicast Discovery</t>
        </is>
      </c>
      <c r="E822" s="972" t="inlineStr">
        <is>
          <t>S4</t>
        </is>
      </c>
      <c r="F822" s="972" t="inlineStr">
        <is>
          <t>Candidate enabling technique</t>
        </is>
      </c>
      <c r="G822" s="972" t="inlineStr">
        <is>
          <t>Yes</t>
        </is>
      </c>
      <c r="H822" s="972" t="inlineStr">
        <is>
          <t>Yes</t>
        </is>
      </c>
      <c r="I822" s="972" t="inlineStr">
        <is>
          <t>Yes</t>
        </is>
      </c>
      <c r="J822" s="972" t="n">
        <v>2</v>
      </c>
      <c r="K822" s="972" t="inlineStr">
        <is>
          <t>Model Mapping</t>
        </is>
      </c>
      <c r="L822" s="452" t="inlineStr">
        <is>
          <t>https://attack.mitre.org/techniques/T0846/003</t>
        </is>
      </c>
      <c r="M822" s="973" t="inlineStr">
        <is>
          <t>Yes</t>
        </is>
      </c>
      <c r="N822" s="973" t="inlineStr">
        <is>
          <t>No explicit facility gate — defaults feasible</t>
        </is>
      </c>
      <c r="O822" s="973" t="inlineStr">
        <is>
          <t>Multicast Discovery can support discovery or interaction with process state, control assets and operational data in Power Generation environments.</t>
        </is>
      </c>
      <c r="P822" s="973" t="inlineStr">
        <is>
          <t>https://csrc.nist.gov/pubs/sp/800/82/r3/final</t>
        </is>
      </c>
    </row>
    <row r="823" ht="15" customHeight="1" s="508">
      <c r="A823" s="972" t="inlineStr">
        <is>
          <t>Malicious Insider</t>
        </is>
      </c>
      <c r="B823" s="972" t="inlineStr">
        <is>
          <t>Process Manipulation</t>
        </is>
      </c>
      <c r="C823" s="972" t="inlineStr">
        <is>
          <t>T0834</t>
        </is>
      </c>
      <c r="D823" s="972" t="inlineStr">
        <is>
          <t>Native API</t>
        </is>
      </c>
      <c r="E823" s="972" t="inlineStr">
        <is>
          <t>S2</t>
        </is>
      </c>
      <c r="F823" s="972" t="inlineStr">
        <is>
          <t>Candidate enabling technique</t>
        </is>
      </c>
      <c r="G823" s="972" t="inlineStr">
        <is>
          <t>Yes</t>
        </is>
      </c>
      <c r="H823" s="972" t="inlineStr">
        <is>
          <t>Yes</t>
        </is>
      </c>
      <c r="I823" s="972" t="inlineStr">
        <is>
          <t>Yes</t>
        </is>
      </c>
      <c r="J823" s="972" t="n">
        <v>1</v>
      </c>
      <c r="K823" s="972" t="inlineStr">
        <is>
          <t>Model Mapping</t>
        </is>
      </c>
      <c r="L823" s="452" t="inlineStr">
        <is>
          <t>https://attack.mitre.org/techniques/T0834</t>
        </is>
      </c>
      <c r="M823" s="973" t="inlineStr">
        <is>
          <t>Yes</t>
        </is>
      </c>
      <c r="N823" s="973" t="inlineStr">
        <is>
          <t>No explicit facility gate — defaults feasible</t>
        </is>
      </c>
      <c r="O823" s="973" t="inlineStr">
        <is>
          <t>Native API is applicable to execution or persistence on engineering workstations, HMIs, servers or controllers used in Power Generation facilities.</t>
        </is>
      </c>
      <c r="P823" s="973" t="inlineStr">
        <is>
          <t>https://csrc.nist.gov/pubs/sp/800/82/r3/final</t>
        </is>
      </c>
    </row>
    <row r="824" ht="15" customHeight="1" s="508">
      <c r="A824" s="972" t="inlineStr">
        <is>
          <t>Malicious Insider</t>
        </is>
      </c>
      <c r="B824" s="972" t="inlineStr">
        <is>
          <t>Process Manipulation</t>
        </is>
      </c>
      <c r="C824" s="972" t="inlineStr">
        <is>
          <t>T0840</t>
        </is>
      </c>
      <c r="D824" s="972" t="inlineStr">
        <is>
          <t>Network Connection Enumeration</t>
        </is>
      </c>
      <c r="E824" s="972" t="inlineStr">
        <is>
          <t>S4</t>
        </is>
      </c>
      <c r="F824" s="972" t="inlineStr">
        <is>
          <t>Candidate enabling technique</t>
        </is>
      </c>
      <c r="G824" s="972" t="inlineStr">
        <is>
          <t>Yes</t>
        </is>
      </c>
      <c r="H824" s="972" t="inlineStr">
        <is>
          <t>Yes</t>
        </is>
      </c>
      <c r="I824" s="972" t="inlineStr">
        <is>
          <t>Yes</t>
        </is>
      </c>
      <c r="J824" s="972" t="n">
        <v>1</v>
      </c>
      <c r="K824" s="972" t="inlineStr">
        <is>
          <t>Model Mapping</t>
        </is>
      </c>
      <c r="L824" s="452" t="inlineStr">
        <is>
          <t>https://attack.mitre.org/techniques/T0840</t>
        </is>
      </c>
      <c r="M824" s="973" t="inlineStr">
        <is>
          <t>Yes</t>
        </is>
      </c>
      <c r="N824" s="973" t="inlineStr">
        <is>
          <t>No explicit facility gate — defaults feasible</t>
        </is>
      </c>
      <c r="O824" s="973" t="inlineStr">
        <is>
          <t>Network Connection Enumeration can support discovery or interaction with process state, control assets and operational data in Power Generation environments.</t>
        </is>
      </c>
      <c r="P824" s="973" t="inlineStr">
        <is>
          <t>https://csrc.nist.gov/pubs/sp/800/82/r3/final</t>
        </is>
      </c>
    </row>
    <row r="825" ht="15" customHeight="1" s="508">
      <c r="A825" s="972" t="inlineStr">
        <is>
          <t>Malicious Insider</t>
        </is>
      </c>
      <c r="B825" s="972" t="inlineStr">
        <is>
          <t>Process Manipulation</t>
        </is>
      </c>
      <c r="C825" s="972" t="inlineStr">
        <is>
          <t>T0842</t>
        </is>
      </c>
      <c r="D825" s="972" t="inlineStr">
        <is>
          <t>Network Sniffing</t>
        </is>
      </c>
      <c r="E825" s="972" t="inlineStr">
        <is>
          <t>S4</t>
        </is>
      </c>
      <c r="F825" s="972" t="inlineStr">
        <is>
          <t>Candidate enabling technique</t>
        </is>
      </c>
      <c r="G825" s="972" t="inlineStr">
        <is>
          <t>Yes</t>
        </is>
      </c>
      <c r="H825" s="972" t="inlineStr">
        <is>
          <t>Yes</t>
        </is>
      </c>
      <c r="I825" s="972" t="inlineStr">
        <is>
          <t>Yes</t>
        </is>
      </c>
      <c r="J825" s="972" t="n">
        <v>5</v>
      </c>
      <c r="K825" s="972" t="inlineStr">
        <is>
          <t>Model Mapping</t>
        </is>
      </c>
      <c r="L825" s="452" t="inlineStr">
        <is>
          <t>https://attack.mitre.org/techniques/T0842</t>
        </is>
      </c>
      <c r="M825" s="973" t="inlineStr">
        <is>
          <t>Yes</t>
        </is>
      </c>
      <c r="N825" s="973" t="inlineStr">
        <is>
          <t>No explicit facility gate — defaults feasible</t>
        </is>
      </c>
      <c r="O825" s="973" t="inlineStr">
        <is>
          <t>Network Sniffing can support discovery or interaction with process state, control assets and operational data in Power Generation environments.</t>
        </is>
      </c>
      <c r="P825" s="973" t="inlineStr">
        <is>
          <t>https://csrc.nist.gov/pubs/sp/800/82/r3/final</t>
        </is>
      </c>
    </row>
    <row r="826" ht="15" customHeight="1" s="508">
      <c r="A826" s="972" t="inlineStr">
        <is>
          <t>Malicious Insider</t>
        </is>
      </c>
      <c r="B826" s="972" t="inlineStr">
        <is>
          <t>Process Manipulation</t>
        </is>
      </c>
      <c r="C826" s="972" t="inlineStr">
        <is>
          <t>T0843.002</t>
        </is>
      </c>
      <c r="D826" s="972" t="inlineStr">
        <is>
          <t>Online Edit</t>
        </is>
      </c>
      <c r="E826" s="972" t="inlineStr">
        <is>
          <t>S5</t>
        </is>
      </c>
      <c r="F826" s="972" t="inlineStr">
        <is>
          <t>Supporting / impact</t>
        </is>
      </c>
      <c r="G826" s="972" t="inlineStr">
        <is>
          <t>Yes</t>
        </is>
      </c>
      <c r="H826" s="972" t="inlineStr">
        <is>
          <t>Yes</t>
        </is>
      </c>
      <c r="I826" s="972" t="inlineStr">
        <is>
          <t>Yes</t>
        </is>
      </c>
      <c r="J826" s="972" t="n">
        <v>10</v>
      </c>
      <c r="K826" s="972" t="inlineStr">
        <is>
          <t>RESTAGED v1.2: In the Process Manipulation scenario this technique directly implements the adverse outcome, so it is staged S5 rather than inheriting its ATT&amp;CK tactic. CRQ stage is scenario-specific.</t>
        </is>
      </c>
      <c r="L826" s="452" t="inlineStr">
        <is>
          <t>https://attack.mitre.org/techniques/T0843/002</t>
        </is>
      </c>
      <c r="M826" s="973" t="inlineStr">
        <is>
          <t>Yes</t>
        </is>
      </c>
      <c r="N826" s="973" t="inlineStr">
        <is>
          <t>No explicit facility gate — defaults feasible</t>
        </is>
      </c>
      <c r="O826" s="973" t="inlineStr">
        <is>
          <t>Online Edit can support movement toward or within plant/control zones; actual reachability is governed by the assessed facility architecture.</t>
        </is>
      </c>
      <c r="P826" s="973" t="inlineStr">
        <is>
          <t>https://csrc.nist.gov/pubs/sp/800/82/r3/final</t>
        </is>
      </c>
    </row>
    <row r="827" ht="15" customHeight="1" s="508">
      <c r="A827" s="972" t="inlineStr">
        <is>
          <t>Malicious Insider</t>
        </is>
      </c>
      <c r="B827" s="972" t="inlineStr">
        <is>
          <t>Process Manipulation</t>
        </is>
      </c>
      <c r="C827" s="972" t="inlineStr">
        <is>
          <t>T0861</t>
        </is>
      </c>
      <c r="D827" s="972" t="inlineStr">
        <is>
          <t>Point &amp; Tag Identification</t>
        </is>
      </c>
      <c r="E827" s="972" t="inlineStr">
        <is>
          <t>S4</t>
        </is>
      </c>
      <c r="F827" s="972" t="inlineStr">
        <is>
          <t>Candidate enabling technique</t>
        </is>
      </c>
      <c r="G827" s="972" t="inlineStr">
        <is>
          <t>Yes</t>
        </is>
      </c>
      <c r="H827" s="972" t="inlineStr">
        <is>
          <t>Yes</t>
        </is>
      </c>
      <c r="I827" s="972" t="inlineStr">
        <is>
          <t>Yes</t>
        </is>
      </c>
      <c r="J827" s="972" t="n">
        <v>8</v>
      </c>
      <c r="K827" s="972" t="inlineStr">
        <is>
          <t>Model Mapping</t>
        </is>
      </c>
      <c r="L827" s="452" t="inlineStr">
        <is>
          <t>https://attack.mitre.org/techniques/T0861</t>
        </is>
      </c>
      <c r="M827" s="973" t="inlineStr">
        <is>
          <t>Yes</t>
        </is>
      </c>
      <c r="N827" s="973" t="inlineStr">
        <is>
          <t>No explicit facility gate — defaults feasible</t>
        </is>
      </c>
      <c r="O827" s="973" t="inlineStr">
        <is>
          <t>Point &amp; Tag Identification can support discovery or interaction with process state, control assets and operational data in Power Generation environments.</t>
        </is>
      </c>
      <c r="P827" s="973" t="inlineStr">
        <is>
          <t>https://csrc.nist.gov/pubs/sp/800/82/r3/final</t>
        </is>
      </c>
    </row>
    <row r="828" ht="15" customHeight="1" s="508">
      <c r="A828" s="972" t="inlineStr">
        <is>
          <t>Malicious Insider</t>
        </is>
      </c>
      <c r="B828" s="972" t="inlineStr">
        <is>
          <t>Process Manipulation</t>
        </is>
      </c>
      <c r="C828" s="972" t="inlineStr">
        <is>
          <t>T0846.001</t>
        </is>
      </c>
      <c r="D828" s="972" t="inlineStr">
        <is>
          <t>Port Scan</t>
        </is>
      </c>
      <c r="E828" s="972" t="inlineStr">
        <is>
          <t>S4</t>
        </is>
      </c>
      <c r="F828" s="972" t="inlineStr">
        <is>
          <t>Candidate enabling technique</t>
        </is>
      </c>
      <c r="G828" s="972" t="inlineStr">
        <is>
          <t>Yes</t>
        </is>
      </c>
      <c r="H828" s="972" t="inlineStr">
        <is>
          <t>Yes</t>
        </is>
      </c>
      <c r="I828" s="972" t="inlineStr">
        <is>
          <t>Yes</t>
        </is>
      </c>
      <c r="J828" s="972" t="n">
        <v>3</v>
      </c>
      <c r="K828" s="972" t="inlineStr">
        <is>
          <t>Model Mapping</t>
        </is>
      </c>
      <c r="L828" s="452" t="inlineStr">
        <is>
          <t>https://attack.mitre.org/techniques/T0846/001</t>
        </is>
      </c>
      <c r="M828" s="973" t="inlineStr">
        <is>
          <t>Yes</t>
        </is>
      </c>
      <c r="N828" s="973" t="inlineStr">
        <is>
          <t>No explicit facility gate — defaults feasible</t>
        </is>
      </c>
      <c r="O828" s="973" t="inlineStr">
        <is>
          <t>Port Scan can support discovery or interaction with process state, control assets and operational data in Power Generation environments.</t>
        </is>
      </c>
      <c r="P828" s="973" t="inlineStr">
        <is>
          <t>https://csrc.nist.gov/pubs/sp/800/82/r3/final</t>
        </is>
      </c>
    </row>
    <row r="829" ht="15" customHeight="1" s="508">
      <c r="A829" s="972" t="inlineStr">
        <is>
          <t>Malicious Insider</t>
        </is>
      </c>
      <c r="B829" s="972" t="inlineStr">
        <is>
          <t>Process Manipulation</t>
        </is>
      </c>
      <c r="C829" s="972" t="inlineStr">
        <is>
          <t>T0843.003</t>
        </is>
      </c>
      <c r="D829" s="972" t="inlineStr">
        <is>
          <t>Program Append</t>
        </is>
      </c>
      <c r="E829" s="972" t="inlineStr">
        <is>
          <t>S3</t>
        </is>
      </c>
      <c r="F829" s="972" t="inlineStr">
        <is>
          <t>Candidate enabling technique</t>
        </is>
      </c>
      <c r="G829" s="972" t="inlineStr">
        <is>
          <t>Yes</t>
        </is>
      </c>
      <c r="H829" s="972" t="inlineStr">
        <is>
          <t>Yes</t>
        </is>
      </c>
      <c r="I829" s="972" t="inlineStr">
        <is>
          <t>Yes</t>
        </is>
      </c>
      <c r="J829" s="972" t="n">
        <v>10</v>
      </c>
      <c r="K829" s="972" t="inlineStr">
        <is>
          <t>Model Mapping</t>
        </is>
      </c>
      <c r="L829" s="452" t="inlineStr">
        <is>
          <t>https://attack.mitre.org/techniques/T0843/003</t>
        </is>
      </c>
      <c r="M829" s="973" t="inlineStr">
        <is>
          <t>Yes</t>
        </is>
      </c>
      <c r="N829" s="973" t="inlineStr">
        <is>
          <t>No explicit facility gate — defaults feasible</t>
        </is>
      </c>
      <c r="O829" s="973" t="inlineStr">
        <is>
          <t>Program Append can support movement toward or within plant/control zones; actual reachability is governed by the assessed facility architecture.</t>
        </is>
      </c>
      <c r="P829" s="973" t="inlineStr">
        <is>
          <t>https://csrc.nist.gov/pubs/sp/800/82/r3/final</t>
        </is>
      </c>
    </row>
    <row r="830" ht="15" customHeight="1" s="508">
      <c r="A830" s="972" t="inlineStr">
        <is>
          <t>Malicious Insider</t>
        </is>
      </c>
      <c r="B830" s="972" t="inlineStr">
        <is>
          <t>Process Manipulation</t>
        </is>
      </c>
      <c r="C830" s="972" t="inlineStr">
        <is>
          <t>T0845</t>
        </is>
      </c>
      <c r="D830" s="972" t="inlineStr">
        <is>
          <t>Program Upload</t>
        </is>
      </c>
      <c r="E830" s="972" t="inlineStr">
        <is>
          <t>S4</t>
        </is>
      </c>
      <c r="F830" s="972" t="inlineStr">
        <is>
          <t>Candidate enabling technique</t>
        </is>
      </c>
      <c r="G830" s="972" t="inlineStr">
        <is>
          <t>Yes</t>
        </is>
      </c>
      <c r="H830" s="972" t="inlineStr">
        <is>
          <t>Yes</t>
        </is>
      </c>
      <c r="I830" s="972" t="inlineStr">
        <is>
          <t>Yes</t>
        </is>
      </c>
      <c r="J830" s="972" t="n">
        <v>8</v>
      </c>
      <c r="K830" s="972" t="inlineStr">
        <is>
          <t>Model Mapping</t>
        </is>
      </c>
      <c r="L830" s="452" t="inlineStr">
        <is>
          <t>https://attack.mitre.org/techniques/T0845</t>
        </is>
      </c>
      <c r="M830" s="973" t="inlineStr">
        <is>
          <t>Yes</t>
        </is>
      </c>
      <c r="N830" s="973" t="inlineStr">
        <is>
          <t>No explicit facility gate — defaults feasible</t>
        </is>
      </c>
      <c r="O830" s="973" t="inlineStr">
        <is>
          <t>Program Upload can support discovery or interaction with process state, control assets and operational data in Power Generation environments.</t>
        </is>
      </c>
      <c r="P830" s="973" t="inlineStr">
        <is>
          <t>https://csrc.nist.gov/pubs/sp/800/82/r3/final</t>
        </is>
      </c>
    </row>
    <row r="831" ht="15" customHeight="1" s="508">
      <c r="A831" s="972" t="inlineStr">
        <is>
          <t>Malicious Insider</t>
        </is>
      </c>
      <c r="B831" s="972" t="inlineStr">
        <is>
          <t>Process Manipulation</t>
        </is>
      </c>
      <c r="C831" s="972" t="inlineStr">
        <is>
          <t>T0886</t>
        </is>
      </c>
      <c r="D831" s="972" t="inlineStr">
        <is>
          <t>Remote Services</t>
        </is>
      </c>
      <c r="E831" s="972" t="inlineStr">
        <is>
          <t>S1</t>
        </is>
      </c>
      <c r="F831" s="972" t="inlineStr">
        <is>
          <t>Candidate enabling technique</t>
        </is>
      </c>
      <c r="G831" s="972" t="inlineStr">
        <is>
          <t>No</t>
        </is>
      </c>
      <c r="H831" s="972" t="inlineStr">
        <is>
          <t>Yes</t>
        </is>
      </c>
      <c r="I831" s="972" t="inlineStr">
        <is>
          <t>No</t>
        </is>
      </c>
      <c r="J831" s="972" t="n">
        <v>9</v>
      </c>
      <c r="K831" s="972" t="inlineStr">
        <is>
          <t>Model Mapping</t>
        </is>
      </c>
      <c r="L831" s="452" t="inlineStr">
        <is>
          <t>https://attack.mitre.org/techniques/T0886</t>
        </is>
      </c>
      <c r="M831" s="973" t="inlineStr">
        <is>
          <t>Yes</t>
        </is>
      </c>
      <c r="N831" s="973" t="inlineStr">
        <is>
          <t>REMOTE_OR_ITOT — Remote path or IT-OT connection</t>
        </is>
      </c>
      <c r="O831" s="973" t="inlineStr">
        <is>
          <t>The Remote Services route is credible for Power Generation OT when the enabling access condition exists; existing facility gates determine remote, internet, transient, supply-chain or wireless feasibility.</t>
        </is>
      </c>
      <c r="P831" s="973" t="inlineStr">
        <is>
          <t>https://csrc.nist.gov/pubs/sp/800/82/r3/final</t>
        </is>
      </c>
    </row>
    <row r="832" ht="15" customHeight="1" s="508">
      <c r="A832" s="972" t="inlineStr">
        <is>
          <t>Malicious Insider</t>
        </is>
      </c>
      <c r="B832" s="972" t="inlineStr">
        <is>
          <t>Process Manipulation</t>
        </is>
      </c>
      <c r="C832" s="972" t="inlineStr">
        <is>
          <t>T0888</t>
        </is>
      </c>
      <c r="D832" s="972" t="inlineStr">
        <is>
          <t>Remote System Information Discovery</t>
        </is>
      </c>
      <c r="E832" s="972" t="inlineStr">
        <is>
          <t>S4</t>
        </is>
      </c>
      <c r="F832" s="972" t="inlineStr">
        <is>
          <t>Candidate enabling technique</t>
        </is>
      </c>
      <c r="G832" s="972" t="inlineStr">
        <is>
          <t>Yes</t>
        </is>
      </c>
      <c r="H832" s="972" t="inlineStr">
        <is>
          <t>Yes</t>
        </is>
      </c>
      <c r="I832" s="972" t="inlineStr">
        <is>
          <t>Yes</t>
        </is>
      </c>
      <c r="J832" s="972" t="n">
        <v>1</v>
      </c>
      <c r="K832" s="972" t="inlineStr">
        <is>
          <t>Model Mapping</t>
        </is>
      </c>
      <c r="L832" s="452" t="inlineStr">
        <is>
          <t>https://attack.mitre.org/techniques/T0888</t>
        </is>
      </c>
      <c r="M832" s="973" t="inlineStr">
        <is>
          <t>Yes</t>
        </is>
      </c>
      <c r="N832" s="973" t="inlineStr">
        <is>
          <t>No explicit facility gate — defaults feasible</t>
        </is>
      </c>
      <c r="O832" s="973" t="inlineStr">
        <is>
          <t>Remote System Information Discovery can support discovery or interaction with process state, control assets and operational data in Power Generation environments.</t>
        </is>
      </c>
      <c r="P832" s="973" t="inlineStr">
        <is>
          <t>https://csrc.nist.gov/pubs/sp/800/82/r3/final</t>
        </is>
      </c>
    </row>
    <row r="833" ht="15" customHeight="1" s="508">
      <c r="A833" s="972" t="inlineStr">
        <is>
          <t>Malicious Insider</t>
        </is>
      </c>
      <c r="B833" s="972" t="inlineStr">
        <is>
          <t>Process Manipulation</t>
        </is>
      </c>
      <c r="C833" s="972" t="inlineStr">
        <is>
          <t>T0847</t>
        </is>
      </c>
      <c r="D833" s="972" t="inlineStr">
        <is>
          <t>Replication Through Removable Media</t>
        </is>
      </c>
      <c r="E833" s="972" t="inlineStr">
        <is>
          <t>S1</t>
        </is>
      </c>
      <c r="F833" s="972" t="inlineStr">
        <is>
          <t>Candidate enabling technique</t>
        </is>
      </c>
      <c r="G833" s="972" t="inlineStr">
        <is>
          <t>No</t>
        </is>
      </c>
      <c r="H833" s="972" t="inlineStr">
        <is>
          <t>Yes</t>
        </is>
      </c>
      <c r="I833" s="972" t="inlineStr">
        <is>
          <t>No</t>
        </is>
      </c>
      <c r="J833" s="972" t="n">
        <v>3</v>
      </c>
      <c r="K833" s="972" t="inlineStr">
        <is>
          <t>Model Mapping</t>
        </is>
      </c>
      <c r="L833" s="452" t="inlineStr">
        <is>
          <t>https://attack.mitre.org/techniques/T0847</t>
        </is>
      </c>
      <c r="M833" s="973" t="inlineStr">
        <is>
          <t>Yes</t>
        </is>
      </c>
      <c r="N833" s="973" t="inlineStr">
        <is>
          <t>TRANSIENT_REQUIRED — Not None</t>
        </is>
      </c>
      <c r="O833" s="973" t="inlineStr">
        <is>
          <t>The Replication Through Removable Media route is credible for Power Generation OT when the enabling access condition exists; existing facility gates determine remote, internet, transient, supply-chain or wireless feasibility.</t>
        </is>
      </c>
      <c r="P833" s="973" t="inlineStr">
        <is>
          <t>https://csrc.nist.gov/pubs/sp/800/82/r3/final</t>
        </is>
      </c>
    </row>
    <row r="834" ht="15" customHeight="1" s="508">
      <c r="A834" s="972" t="inlineStr">
        <is>
          <t>Malicious Insider</t>
        </is>
      </c>
      <c r="B834" s="972" t="inlineStr">
        <is>
          <t>Process Manipulation</t>
        </is>
      </c>
      <c r="C834" s="972" t="inlineStr">
        <is>
          <t>T1692.002</t>
        </is>
      </c>
      <c r="D834" s="972" t="inlineStr">
        <is>
          <t>Reporting Message</t>
        </is>
      </c>
      <c r="E834" s="972" t="inlineStr">
        <is>
          <t>S5</t>
        </is>
      </c>
      <c r="F834" s="972" t="inlineStr">
        <is>
          <t>Supporting / impact</t>
        </is>
      </c>
      <c r="G834" s="972" t="inlineStr">
        <is>
          <t>Yes</t>
        </is>
      </c>
      <c r="H834" s="972" t="inlineStr">
        <is>
          <t>Yes</t>
        </is>
      </c>
      <c r="I834" s="972" t="inlineStr">
        <is>
          <t>Yes</t>
        </is>
      </c>
      <c r="J834" s="972" t="n">
        <v>5</v>
      </c>
      <c r="K834" s="972" t="inlineStr">
        <is>
          <t>Model Mapping</t>
        </is>
      </c>
      <c r="L834" s="452" t="inlineStr">
        <is>
          <t>https://attack.mitre.org/techniques/T1692/002</t>
        </is>
      </c>
      <c r="M834" s="973" t="inlineStr">
        <is>
          <t>Yes</t>
        </is>
      </c>
      <c r="N834" s="973" t="inlineStr">
        <is>
          <t>No explicit facility gate — defaults feasible</t>
        </is>
      </c>
      <c r="O834" s="973" t="inlineStr">
        <is>
          <t>Reporting Message is an ATT&amp;CK for ICS impact or response-inhibition technique that can support one or more governed adverse scenarios; scenario role remains controlled on 09.</t>
        </is>
      </c>
      <c r="P834" s="973" t="inlineStr">
        <is>
          <t>https://csrc.nist.gov/pubs/sp/800/82/r3/final</t>
        </is>
      </c>
    </row>
    <row r="835" ht="15" customHeight="1" s="508">
      <c r="A835" s="972" t="inlineStr">
        <is>
          <t>Malicious Insider</t>
        </is>
      </c>
      <c r="B835" s="972" t="inlineStr">
        <is>
          <t>Process Manipulation</t>
        </is>
      </c>
      <c r="C835" s="972" t="inlineStr">
        <is>
          <t>T0848</t>
        </is>
      </c>
      <c r="D835" s="972" t="inlineStr">
        <is>
          <t>Rogue Master</t>
        </is>
      </c>
      <c r="E835" s="972" t="inlineStr">
        <is>
          <t>S5</t>
        </is>
      </c>
      <c r="F835" s="972" t="inlineStr">
        <is>
          <t>Supporting / impact</t>
        </is>
      </c>
      <c r="G835" s="972" t="inlineStr">
        <is>
          <t>No</t>
        </is>
      </c>
      <c r="H835" s="972" t="inlineStr">
        <is>
          <t>Yes</t>
        </is>
      </c>
      <c r="I835" s="972" t="inlineStr">
        <is>
          <t>No</t>
        </is>
      </c>
      <c r="J835" s="972" t="n">
        <v>5</v>
      </c>
      <c r="K835" s="972" t="inlineStr">
        <is>
          <t>RESTAGED v1.2: In the Process Manipulation scenario this technique directly implements the adverse outcome, so it is staged S5 rather than inheriting its ATT&amp;CK tactic. CRQ stage is scenario-specific.</t>
        </is>
      </c>
      <c r="L835" s="452" t="inlineStr">
        <is>
          <t>https://attack.mitre.org/techniques/T0848</t>
        </is>
      </c>
      <c r="M835" s="973" t="inlineStr">
        <is>
          <t>Yes</t>
        </is>
      </c>
      <c r="N835" s="973" t="inlineStr">
        <is>
          <t>No explicit facility gate — defaults feasible</t>
        </is>
      </c>
      <c r="O835" s="973" t="inlineStr">
        <is>
          <t>The Rogue Master route is credible for Power Generation OT when the enabling access condition exists; existing facility gates determine remote, internet, transient, supply-chain or wireless feasibility.</t>
        </is>
      </c>
      <c r="P835" s="973" t="inlineStr">
        <is>
          <t>https://csrc.nist.gov/pubs/sp/800/82/r3/final</t>
        </is>
      </c>
    </row>
    <row r="836" ht="15" customHeight="1" s="508">
      <c r="A836" s="972" t="inlineStr">
        <is>
          <t>Malicious Insider</t>
        </is>
      </c>
      <c r="B836" s="972" t="inlineStr">
        <is>
          <t>Process Manipulation</t>
        </is>
      </c>
      <c r="C836" s="972" t="inlineStr">
        <is>
          <t>T0852</t>
        </is>
      </c>
      <c r="D836" s="972" t="inlineStr">
        <is>
          <t>Screen Capture</t>
        </is>
      </c>
      <c r="E836" s="972" t="inlineStr">
        <is>
          <t>S4</t>
        </is>
      </c>
      <c r="F836" s="972" t="inlineStr">
        <is>
          <t>Candidate enabling technique</t>
        </is>
      </c>
      <c r="G836" s="972" t="inlineStr">
        <is>
          <t>Yes</t>
        </is>
      </c>
      <c r="H836" s="972" t="inlineStr">
        <is>
          <t>Yes</t>
        </is>
      </c>
      <c r="I836" s="972" t="inlineStr">
        <is>
          <t>Yes</t>
        </is>
      </c>
      <c r="J836" s="972" t="n">
        <v>1</v>
      </c>
      <c r="K836" s="972" t="inlineStr">
        <is>
          <t>Model Mapping</t>
        </is>
      </c>
      <c r="L836" s="452" t="inlineStr">
        <is>
          <t>https://attack.mitre.org/techniques/T0852</t>
        </is>
      </c>
      <c r="M836" s="973" t="inlineStr">
        <is>
          <t>Yes</t>
        </is>
      </c>
      <c r="N836" s="973" t="inlineStr">
        <is>
          <t>No explicit facility gate — defaults feasible</t>
        </is>
      </c>
      <c r="O836" s="973" t="inlineStr">
        <is>
          <t>Screen Capture can support discovery or interaction with process state, control assets and operational data in Power Generation environments.</t>
        </is>
      </c>
      <c r="P836" s="973" t="inlineStr">
        <is>
          <t>https://csrc.nist.gov/pubs/sp/800/82/r3/final</t>
        </is>
      </c>
    </row>
    <row r="837" ht="15" customHeight="1" s="508">
      <c r="A837" s="972" t="inlineStr">
        <is>
          <t>Malicious Insider</t>
        </is>
      </c>
      <c r="B837" s="972" t="inlineStr">
        <is>
          <t>Process Manipulation</t>
        </is>
      </c>
      <c r="C837" s="972" t="inlineStr">
        <is>
          <t>T0853</t>
        </is>
      </c>
      <c r="D837" s="972" t="inlineStr">
        <is>
          <t>Scripting</t>
        </is>
      </c>
      <c r="E837" s="972" t="inlineStr">
        <is>
          <t>S2</t>
        </is>
      </c>
      <c r="F837" s="972" t="inlineStr">
        <is>
          <t>Candidate enabling technique</t>
        </is>
      </c>
      <c r="G837" s="972" t="inlineStr">
        <is>
          <t>Yes</t>
        </is>
      </c>
      <c r="H837" s="972" t="inlineStr">
        <is>
          <t>Yes</t>
        </is>
      </c>
      <c r="I837" s="972" t="inlineStr">
        <is>
          <t>Yes</t>
        </is>
      </c>
      <c r="J837" s="972" t="n">
        <v>3</v>
      </c>
      <c r="K837" s="972" t="inlineStr">
        <is>
          <t>Model Mapping</t>
        </is>
      </c>
      <c r="L837" s="452" t="inlineStr">
        <is>
          <t>https://attack.mitre.org/techniques/T0853</t>
        </is>
      </c>
      <c r="M837" s="973" t="inlineStr">
        <is>
          <t>Yes</t>
        </is>
      </c>
      <c r="N837" s="973" t="inlineStr">
        <is>
          <t>No explicit facility gate — defaults feasible</t>
        </is>
      </c>
      <c r="O837" s="973" t="inlineStr">
        <is>
          <t>Scripting is applicable to execution or persistence on engineering workstations, HMIs, servers or controllers used in Power Generation facilities.</t>
        </is>
      </c>
      <c r="P837" s="973" t="inlineStr">
        <is>
          <t>https://csrc.nist.gov/pubs/sp/800/82/r3/final</t>
        </is>
      </c>
    </row>
    <row r="838" ht="15" customHeight="1" s="508">
      <c r="A838" s="972" t="inlineStr">
        <is>
          <t>Malicious Insider</t>
        </is>
      </c>
      <c r="B838" s="972" t="inlineStr">
        <is>
          <t>Process Manipulation</t>
        </is>
      </c>
      <c r="C838" s="972" t="inlineStr">
        <is>
          <t>T0873.001</t>
        </is>
      </c>
      <c r="D838" s="972" t="inlineStr">
        <is>
          <t>Siemens Project File Format</t>
        </is>
      </c>
      <c r="E838" s="972" t="inlineStr">
        <is>
          <t>S2</t>
        </is>
      </c>
      <c r="F838" s="972" t="inlineStr">
        <is>
          <t>Candidate enabling technique</t>
        </is>
      </c>
      <c r="G838" s="972" t="inlineStr">
        <is>
          <t>Yes</t>
        </is>
      </c>
      <c r="H838" s="972" t="inlineStr">
        <is>
          <t>Yes</t>
        </is>
      </c>
      <c r="I838" s="972" t="inlineStr">
        <is>
          <t>Yes</t>
        </is>
      </c>
      <c r="J838" s="972" t="n">
        <v>4</v>
      </c>
      <c r="K838" s="972" t="inlineStr">
        <is>
          <t>Model Mapping</t>
        </is>
      </c>
      <c r="L838" s="452" t="inlineStr">
        <is>
          <t>https://attack.mitre.org/techniques/T0873/001</t>
        </is>
      </c>
      <c r="M838" s="973" t="inlineStr">
        <is>
          <t>Yes</t>
        </is>
      </c>
      <c r="N838" s="973" t="inlineStr">
        <is>
          <t>No explicit facility gate — defaults feasible</t>
        </is>
      </c>
      <c r="O838" s="973" t="inlineStr">
        <is>
          <t>Siemens Project File Format is applicable to execution or persistence on engineering workstations, HMIs, servers or controllers used in Power Generation facilities.</t>
        </is>
      </c>
      <c r="P838" s="973" t="inlineStr">
        <is>
          <t>https://csrc.nist.gov/pubs/sp/800/82/r3/final</t>
        </is>
      </c>
    </row>
    <row r="839" ht="15" customHeight="1" s="508">
      <c r="A839" s="972" t="inlineStr">
        <is>
          <t>Malicious Insider</t>
        </is>
      </c>
      <c r="B839" s="972" t="inlineStr">
        <is>
          <t>Process Manipulation</t>
        </is>
      </c>
      <c r="C839" s="972" t="inlineStr">
        <is>
          <t>T0865</t>
        </is>
      </c>
      <c r="D839" s="972" t="inlineStr">
        <is>
          <t>Spearphishing Attachment</t>
        </is>
      </c>
      <c r="E839" s="972" t="inlineStr">
        <is>
          <t>S1</t>
        </is>
      </c>
      <c r="F839" s="972" t="inlineStr">
        <is>
          <t>Candidate enabling technique</t>
        </is>
      </c>
      <c r="G839" s="972" t="inlineStr">
        <is>
          <t>No</t>
        </is>
      </c>
      <c r="H839" s="972" t="inlineStr">
        <is>
          <t>Yes</t>
        </is>
      </c>
      <c r="I839" s="972" t="inlineStr">
        <is>
          <t>No</t>
        </is>
      </c>
      <c r="J839" s="972" t="n">
        <v>4</v>
      </c>
      <c r="K839" s="972" t="inlineStr">
        <is>
          <t>Model Mapping</t>
        </is>
      </c>
      <c r="L839" s="452" t="inlineStr">
        <is>
          <t>https://attack.mitre.org/techniques/T0865</t>
        </is>
      </c>
      <c r="M839" s="973" t="inlineStr">
        <is>
          <t>Yes</t>
        </is>
      </c>
      <c r="N839" s="973" t="inlineStr">
        <is>
          <t>No explicit facility gate — defaults feasible</t>
        </is>
      </c>
      <c r="O839" s="973" t="inlineStr">
        <is>
          <t>The Spearphishing Attachment route is credible for Power Generation OT when the enabling access condition exists; existing facility gates determine remote, internet, transient, supply-chain or wireless feasibility.</t>
        </is>
      </c>
      <c r="P839" s="973" t="inlineStr">
        <is>
          <t>https://csrc.nist.gov/pubs/sp/800/82/r3/final</t>
        </is>
      </c>
    </row>
    <row r="840" ht="15" customHeight="1" s="508">
      <c r="A840" s="972" t="inlineStr">
        <is>
          <t>Malicious Insider</t>
        </is>
      </c>
      <c r="B840" s="972" t="inlineStr">
        <is>
          <t>Process Manipulation</t>
        </is>
      </c>
      <c r="C840" s="972" t="inlineStr">
        <is>
          <t>T0869</t>
        </is>
      </c>
      <c r="D840" s="972" t="inlineStr">
        <is>
          <t>Standard Application Layer Protocol</t>
        </is>
      </c>
      <c r="E840" s="972" t="inlineStr">
        <is>
          <t>S3</t>
        </is>
      </c>
      <c r="F840" s="972" t="inlineStr">
        <is>
          <t>Candidate enabling technique</t>
        </is>
      </c>
      <c r="G840" s="972" t="inlineStr">
        <is>
          <t>Yes</t>
        </is>
      </c>
      <c r="H840" s="972" t="inlineStr">
        <is>
          <t>Yes</t>
        </is>
      </c>
      <c r="I840" s="972" t="inlineStr">
        <is>
          <t>Yes</t>
        </is>
      </c>
      <c r="J840" s="972" t="n">
        <v>3</v>
      </c>
      <c r="K840" s="972" t="inlineStr">
        <is>
          <t>Model Mapping</t>
        </is>
      </c>
      <c r="L840" s="452" t="inlineStr">
        <is>
          <t>https://attack.mitre.org/techniques/T0869</t>
        </is>
      </c>
      <c r="M840" s="973" t="inlineStr">
        <is>
          <t>Yes</t>
        </is>
      </c>
      <c r="N840" s="973" t="inlineStr">
        <is>
          <t>No explicit facility gate — defaults feasible</t>
        </is>
      </c>
      <c r="O840" s="973" t="inlineStr">
        <is>
          <t>Standard Application Layer Protocol can support movement toward or within plant/control zones; actual reachability is governed by the assessed facility architecture.</t>
        </is>
      </c>
      <c r="P840" s="973" t="inlineStr">
        <is>
          <t>https://csrc.nist.gov/pubs/sp/800/82/r3/final</t>
        </is>
      </c>
    </row>
    <row r="841" ht="15" customHeight="1" s="508">
      <c r="A841" s="972" t="inlineStr">
        <is>
          <t>Malicious Insider</t>
        </is>
      </c>
      <c r="B841" s="972" t="inlineStr">
        <is>
          <t>Process Manipulation</t>
        </is>
      </c>
      <c r="C841" s="972" t="inlineStr">
        <is>
          <t>T0862</t>
        </is>
      </c>
      <c r="D841" s="972" t="inlineStr">
        <is>
          <t>Supply Chain Compromise</t>
        </is>
      </c>
      <c r="E841" s="972" t="inlineStr">
        <is>
          <t>S1</t>
        </is>
      </c>
      <c r="F841" s="972" t="inlineStr">
        <is>
          <t>Candidate enabling technique</t>
        </is>
      </c>
      <c r="G841" s="972" t="inlineStr">
        <is>
          <t>No</t>
        </is>
      </c>
      <c r="H841" s="972" t="inlineStr">
        <is>
          <t>Yes</t>
        </is>
      </c>
      <c r="I841" s="972" t="inlineStr">
        <is>
          <t>No</t>
        </is>
      </c>
      <c r="J841" s="972" t="n">
        <v>5</v>
      </c>
      <c r="K841" s="972" t="inlineStr">
        <is>
          <t>Model Mapping</t>
        </is>
      </c>
      <c r="L841" s="452" t="inlineStr">
        <is>
          <t>https://attack.mitre.org/techniques/T0862</t>
        </is>
      </c>
      <c r="M841" s="973" t="inlineStr">
        <is>
          <t>Yes</t>
        </is>
      </c>
      <c r="N841" s="973" t="inlineStr">
        <is>
          <t>SUPPLY_CHAIN — Yes</t>
        </is>
      </c>
      <c r="O841" s="973" t="inlineStr">
        <is>
          <t>The Supply Chain Compromise route is credible for Power Generation OT when the enabling access condition exists; existing facility gates determine remote, internet, transient, supply-chain or wireless feasibility.</t>
        </is>
      </c>
      <c r="P841" s="973" t="inlineStr">
        <is>
          <t>https://csrc.nist.gov/pubs/sp/800/82/r3/final</t>
        </is>
      </c>
    </row>
    <row r="842" ht="15" customHeight="1" s="508">
      <c r="A842" s="972" t="inlineStr">
        <is>
          <t>Malicious Insider</t>
        </is>
      </c>
      <c r="B842" s="972" t="inlineStr">
        <is>
          <t>Process Manipulation</t>
        </is>
      </c>
      <c r="C842" s="972" t="inlineStr">
        <is>
          <t>T0894</t>
        </is>
      </c>
      <c r="D842" s="972" t="inlineStr">
        <is>
          <t>System Binary Proxy Execution</t>
        </is>
      </c>
      <c r="E842" s="972" t="inlineStr">
        <is>
          <t>S2</t>
        </is>
      </c>
      <c r="F842" s="972" t="inlineStr">
        <is>
          <t>Candidate enabling technique</t>
        </is>
      </c>
      <c r="G842" s="972" t="inlineStr">
        <is>
          <t>Yes</t>
        </is>
      </c>
      <c r="H842" s="972" t="inlineStr">
        <is>
          <t>Yes</t>
        </is>
      </c>
      <c r="I842" s="972" t="inlineStr">
        <is>
          <t>Yes</t>
        </is>
      </c>
      <c r="J842" s="972" t="n">
        <v>1</v>
      </c>
      <c r="K842" s="972" t="inlineStr">
        <is>
          <t>Model Mapping</t>
        </is>
      </c>
      <c r="L842" s="452" t="inlineStr">
        <is>
          <t>https://attack.mitre.org/techniques/T0894</t>
        </is>
      </c>
      <c r="M842" s="973" t="inlineStr">
        <is>
          <t>Yes</t>
        </is>
      </c>
      <c r="N842" s="973" t="inlineStr">
        <is>
          <t>No explicit facility gate — defaults feasible</t>
        </is>
      </c>
      <c r="O842" s="973" t="inlineStr">
        <is>
          <t>System Binary Proxy Execution is applicable to execution or persistence on engineering workstations, HMIs, servers or controllers used in Power Generation facilities.</t>
        </is>
      </c>
      <c r="P842" s="973" t="inlineStr">
        <is>
          <t>https://csrc.nist.gov/pubs/sp/800/82/r3/final</t>
        </is>
      </c>
    </row>
    <row r="843" ht="15" customHeight="1" s="508">
      <c r="A843" s="972" t="inlineStr">
        <is>
          <t>Malicious Insider</t>
        </is>
      </c>
      <c r="B843" s="972" t="inlineStr">
        <is>
          <t>Process Manipulation</t>
        </is>
      </c>
      <c r="C843" s="972" t="inlineStr">
        <is>
          <t>T0864</t>
        </is>
      </c>
      <c r="D843" s="972" t="inlineStr">
        <is>
          <t>Transient Cyber Asset</t>
        </is>
      </c>
      <c r="E843" s="972" t="inlineStr">
        <is>
          <t>S1</t>
        </is>
      </c>
      <c r="F843" s="972" t="inlineStr">
        <is>
          <t>Candidate enabling technique</t>
        </is>
      </c>
      <c r="G843" s="972" t="inlineStr">
        <is>
          <t>No</t>
        </is>
      </c>
      <c r="H843" s="972" t="inlineStr">
        <is>
          <t>Yes</t>
        </is>
      </c>
      <c r="I843" s="972" t="inlineStr">
        <is>
          <t>No</t>
        </is>
      </c>
      <c r="J843" s="972" t="n">
        <v>5</v>
      </c>
      <c r="K843" s="972" t="inlineStr">
        <is>
          <t>Model Mapping</t>
        </is>
      </c>
      <c r="L843" s="452" t="inlineStr">
        <is>
          <t>https://attack.mitre.org/techniques/T0864</t>
        </is>
      </c>
      <c r="M843" s="973" t="inlineStr">
        <is>
          <t>Yes</t>
        </is>
      </c>
      <c r="N843" s="973" t="inlineStr">
        <is>
          <t>TRANSIENT_REQUIRED — Not None</t>
        </is>
      </c>
      <c r="O843" s="973" t="inlineStr">
        <is>
          <t>The Transient Cyber Asset route is credible for Power Generation OT when the enabling access condition exists; existing facility gates determine remote, internet, transient, supply-chain or wireless feasibility.</t>
        </is>
      </c>
      <c r="P843" s="973" t="inlineStr">
        <is>
          <t>https://csrc.nist.gov/pubs/sp/800/82/r3/final</t>
        </is>
      </c>
    </row>
    <row r="844" ht="15" customHeight="1" s="508">
      <c r="A844" s="972" t="inlineStr">
        <is>
          <t>Malicious Insider</t>
        </is>
      </c>
      <c r="B844" s="972" t="inlineStr">
        <is>
          <t>Process Manipulation</t>
        </is>
      </c>
      <c r="C844" s="972" t="inlineStr">
        <is>
          <t>T0863</t>
        </is>
      </c>
      <c r="D844" s="972" t="inlineStr">
        <is>
          <t>User Execution</t>
        </is>
      </c>
      <c r="E844" s="972" t="inlineStr">
        <is>
          <t>S2</t>
        </is>
      </c>
      <c r="F844" s="972" t="inlineStr">
        <is>
          <t>Candidate enabling technique</t>
        </is>
      </c>
      <c r="G844" s="972" t="inlineStr">
        <is>
          <t>Yes</t>
        </is>
      </c>
      <c r="H844" s="972" t="inlineStr">
        <is>
          <t>Yes</t>
        </is>
      </c>
      <c r="I844" s="972" t="inlineStr">
        <is>
          <t>Yes</t>
        </is>
      </c>
      <c r="J844" s="972" t="n">
        <v>6</v>
      </c>
      <c r="K844" s="972" t="inlineStr">
        <is>
          <t>Model Mapping</t>
        </is>
      </c>
      <c r="L844" s="452" t="inlineStr">
        <is>
          <t>https://attack.mitre.org/techniques/T0863</t>
        </is>
      </c>
      <c r="M844" s="973" t="inlineStr">
        <is>
          <t>Yes</t>
        </is>
      </c>
      <c r="N844" s="973" t="inlineStr">
        <is>
          <t>No explicit facility gate — defaults feasible</t>
        </is>
      </c>
      <c r="O844" s="973" t="inlineStr">
        <is>
          <t>User Execution is applicable to execution or persistence on engineering workstations, HMIs, servers or controllers used in Power Generation facilities.</t>
        </is>
      </c>
      <c r="P844" s="973" t="inlineStr">
        <is>
          <t>https://csrc.nist.gov/pubs/sp/800/82/r3/final</t>
        </is>
      </c>
    </row>
    <row r="845" ht="15" customHeight="1" s="508">
      <c r="A845" s="972" t="inlineStr">
        <is>
          <t>Malicious Insider</t>
        </is>
      </c>
      <c r="B845" s="972" t="inlineStr">
        <is>
          <t>Process Manipulation</t>
        </is>
      </c>
      <c r="C845" s="972" t="inlineStr">
        <is>
          <t>T0859</t>
        </is>
      </c>
      <c r="D845" s="972" t="inlineStr">
        <is>
          <t>Valid Accounts</t>
        </is>
      </c>
      <c r="E845" s="972" t="inlineStr">
        <is>
          <t>S3</t>
        </is>
      </c>
      <c r="F845" s="972" t="inlineStr">
        <is>
          <t>Candidate enabling technique</t>
        </is>
      </c>
      <c r="G845" s="972" t="inlineStr">
        <is>
          <t>Yes</t>
        </is>
      </c>
      <c r="H845" s="972" t="inlineStr">
        <is>
          <t>Yes</t>
        </is>
      </c>
      <c r="I845" s="972" t="inlineStr">
        <is>
          <t>Yes</t>
        </is>
      </c>
      <c r="J845" s="972" t="n">
        <v>10</v>
      </c>
      <c r="K845" s="972" t="inlineStr">
        <is>
          <t>Model Mapping</t>
        </is>
      </c>
      <c r="L845" s="452" t="inlineStr">
        <is>
          <t>https://attack.mitre.org/techniques/T0859</t>
        </is>
      </c>
      <c r="M845" s="973" t="inlineStr">
        <is>
          <t>Yes</t>
        </is>
      </c>
      <c r="N845" s="973" t="inlineStr">
        <is>
          <t>No explicit facility gate — defaults feasible</t>
        </is>
      </c>
      <c r="O845" s="973" t="inlineStr">
        <is>
          <t>Valid Accounts can support movement toward or within plant/control zones; actual reachability is governed by the assessed facility architecture.</t>
        </is>
      </c>
      <c r="P845" s="973" t="inlineStr">
        <is>
          <t>https://csrc.nist.gov/pubs/sp/800/82/r3/final</t>
        </is>
      </c>
    </row>
    <row r="846" ht="15" customHeight="1" s="508">
      <c r="A846" s="972" t="inlineStr">
        <is>
          <t>Malicious Insider</t>
        </is>
      </c>
      <c r="B846" s="972" t="inlineStr">
        <is>
          <t>Process Manipulation</t>
        </is>
      </c>
      <c r="C846" s="972" t="inlineStr">
        <is>
          <t>T0860</t>
        </is>
      </c>
      <c r="D846" s="972" t="inlineStr">
        <is>
          <t>Wireless Compromise</t>
        </is>
      </c>
      <c r="E846" s="972" t="inlineStr">
        <is>
          <t>S1</t>
        </is>
      </c>
      <c r="F846" s="972" t="inlineStr">
        <is>
          <t>Candidate enabling technique</t>
        </is>
      </c>
      <c r="G846" s="972" t="inlineStr">
        <is>
          <t>No</t>
        </is>
      </c>
      <c r="H846" s="972" t="inlineStr">
        <is>
          <t>No</t>
        </is>
      </c>
      <c r="I846" s="972" t="inlineStr">
        <is>
          <t>No</t>
        </is>
      </c>
      <c r="J846" s="972" t="n">
        <v>4</v>
      </c>
      <c r="K846" s="972" t="inlineStr">
        <is>
          <t>Model Mapping</t>
        </is>
      </c>
      <c r="L846" s="452" t="inlineStr">
        <is>
          <t>https://attack.mitre.org/techniques/T0860</t>
        </is>
      </c>
      <c r="M846" s="973" t="inlineStr">
        <is>
          <t>Yes</t>
        </is>
      </c>
      <c r="N846" s="973" t="inlineStr">
        <is>
          <t>WIRELESS — Yes</t>
        </is>
      </c>
      <c r="O846" s="973" t="inlineStr">
        <is>
          <t>The Wireless Compromise route is credible for Power Generation OT when the enabling access condition exists; existing facility gates determine remote, internet, transient, supply-chain or wireless feasibility.</t>
        </is>
      </c>
      <c r="P846" s="973" t="inlineStr">
        <is>
          <t>https://csrc.nist.gov/pubs/sp/800/82/r3/final</t>
        </is>
      </c>
    </row>
    <row r="847" ht="15" customHeight="1" s="508">
      <c r="A847" s="972" t="inlineStr">
        <is>
          <t>Malicious Insider</t>
        </is>
      </c>
      <c r="B847" s="972" t="inlineStr">
        <is>
          <t>Process Manipulation</t>
        </is>
      </c>
      <c r="C847" s="972" t="inlineStr">
        <is>
          <t>T0887</t>
        </is>
      </c>
      <c r="D847" s="972" t="inlineStr">
        <is>
          <t>Wireless Sniffing</t>
        </is>
      </c>
      <c r="E847" s="972" t="inlineStr">
        <is>
          <t>S4</t>
        </is>
      </c>
      <c r="F847" s="972" t="inlineStr">
        <is>
          <t>Candidate enabling technique</t>
        </is>
      </c>
      <c r="G847" s="972" t="inlineStr">
        <is>
          <t>Yes</t>
        </is>
      </c>
      <c r="H847" s="972" t="inlineStr">
        <is>
          <t>No</t>
        </is>
      </c>
      <c r="I847" s="972" t="inlineStr">
        <is>
          <t>No</t>
        </is>
      </c>
      <c r="J847" s="972" t="n">
        <v>2</v>
      </c>
      <c r="K847" s="972" t="inlineStr">
        <is>
          <t>Model Mapping</t>
        </is>
      </c>
      <c r="L847" s="452" t="inlineStr">
        <is>
          <t>https://attack.mitre.org/techniques/T0887</t>
        </is>
      </c>
      <c r="M847" s="973" t="inlineStr">
        <is>
          <t>Yes</t>
        </is>
      </c>
      <c r="N847" s="973" t="inlineStr">
        <is>
          <t>WIRELESS — Yes</t>
        </is>
      </c>
      <c r="O847" s="973" t="inlineStr">
        <is>
          <t>Wireless Sniffing can support discovery or interaction with process state, control assets and operational data in Power Generation environments.</t>
        </is>
      </c>
      <c r="P847" s="973" t="inlineStr">
        <is>
          <t>https://csrc.nist.gov/pubs/sp/800/82/r3/final</t>
        </is>
      </c>
    </row>
    <row r="848" ht="15" customHeight="1" s="508">
      <c r="A848" s="972" t="inlineStr">
        <is>
          <t>Malicious Insider</t>
        </is>
      </c>
      <c r="B848" s="972" t="inlineStr">
        <is>
          <t>Safety System Compromise</t>
        </is>
      </c>
      <c r="C848" s="972" t="inlineStr">
        <is>
          <t>T0800</t>
        </is>
      </c>
      <c r="D848" s="972" t="inlineStr">
        <is>
          <t>Activate Firmware Update Mode</t>
        </is>
      </c>
      <c r="E848" s="972" t="inlineStr">
        <is>
          <t>S5</t>
        </is>
      </c>
      <c r="F848" s="972" t="inlineStr">
        <is>
          <t>Scenario-defining</t>
        </is>
      </c>
      <c r="G848" s="972" t="inlineStr">
        <is>
          <t>Yes</t>
        </is>
      </c>
      <c r="H848" s="972" t="inlineStr">
        <is>
          <t>Yes</t>
        </is>
      </c>
      <c r="I848" s="972" t="inlineStr">
        <is>
          <t>Yes</t>
        </is>
      </c>
      <c r="J848" s="972" t="n">
        <v>8</v>
      </c>
      <c r="K848" s="972" t="inlineStr">
        <is>
          <t>Model Mapping</t>
        </is>
      </c>
      <c r="L848" s="452" t="inlineStr">
        <is>
          <t>https://attack.mitre.org/techniques/T0800</t>
        </is>
      </c>
      <c r="M848" s="973" t="inlineStr">
        <is>
          <t>Yes</t>
        </is>
      </c>
      <c r="N848" s="973" t="inlineStr">
        <is>
          <t>No explicit facility gate — defaults feasible</t>
        </is>
      </c>
      <c r="O848" s="973" t="inlineStr">
        <is>
          <t>Activate Firmware Update Mode is an ATT&amp;CK for ICS impact or response-inhibition technique that can support one or more governed adverse scenarios; scenario role remains controlled on 09.</t>
        </is>
      </c>
      <c r="P848" s="973" t="inlineStr">
        <is>
          <t>https://csrc.nist.gov/pubs/sp/800/82/r3/final</t>
        </is>
      </c>
    </row>
    <row r="849" ht="15" customHeight="1" s="508">
      <c r="A849" s="972" t="inlineStr">
        <is>
          <t>Malicious Insider</t>
        </is>
      </c>
      <c r="B849" s="972" t="inlineStr">
        <is>
          <t>Safety System Compromise</t>
        </is>
      </c>
      <c r="C849" s="972" t="inlineStr">
        <is>
          <t>T0830</t>
        </is>
      </c>
      <c r="D849" s="972" t="inlineStr">
        <is>
          <t>Adversary-in-the-Middle</t>
        </is>
      </c>
      <c r="E849" s="972" t="inlineStr">
        <is>
          <t>S4</t>
        </is>
      </c>
      <c r="F849" s="972" t="inlineStr">
        <is>
          <t>Candidate enabling technique</t>
        </is>
      </c>
      <c r="G849" s="972" t="inlineStr">
        <is>
          <t>Yes</t>
        </is>
      </c>
      <c r="H849" s="972" t="inlineStr">
        <is>
          <t>Yes</t>
        </is>
      </c>
      <c r="I849" s="972" t="inlineStr">
        <is>
          <t>Yes</t>
        </is>
      </c>
      <c r="J849" s="972" t="n">
        <v>8</v>
      </c>
      <c r="K849" s="972" t="inlineStr">
        <is>
          <t>Model Mapping</t>
        </is>
      </c>
      <c r="L849" s="452" t="inlineStr">
        <is>
          <t>https://attack.mitre.org/techniques/T0830</t>
        </is>
      </c>
      <c r="M849" s="973" t="inlineStr">
        <is>
          <t>Yes</t>
        </is>
      </c>
      <c r="N849" s="973" t="inlineStr">
        <is>
          <t>No explicit facility gate — defaults feasible</t>
        </is>
      </c>
      <c r="O849" s="973" t="inlineStr">
        <is>
          <t>Adversary-in-the-Middle can support discovery or interaction with process state, control assets and operational data in Power Generation environments.</t>
        </is>
      </c>
      <c r="P849" s="973" t="inlineStr">
        <is>
          <t>https://csrc.nist.gov/pubs/sp/800/82/r3/final</t>
        </is>
      </c>
    </row>
    <row r="850" ht="15" customHeight="1" s="508">
      <c r="A850" s="972" t="inlineStr">
        <is>
          <t>Malicious Insider</t>
        </is>
      </c>
      <c r="B850" s="972" t="inlineStr">
        <is>
          <t>Safety System Compromise</t>
        </is>
      </c>
      <c r="C850" s="972" t="inlineStr">
        <is>
          <t>T0878</t>
        </is>
      </c>
      <c r="D850" s="972" t="inlineStr">
        <is>
          <t>Alarm Suppression</t>
        </is>
      </c>
      <c r="E850" s="972" t="inlineStr">
        <is>
          <t>S5</t>
        </is>
      </c>
      <c r="F850" s="972" t="inlineStr">
        <is>
          <t>Scenario-defining</t>
        </is>
      </c>
      <c r="G850" s="972" t="inlineStr">
        <is>
          <t>Yes</t>
        </is>
      </c>
      <c r="H850" s="972" t="inlineStr">
        <is>
          <t>Yes</t>
        </is>
      </c>
      <c r="I850" s="972" t="inlineStr">
        <is>
          <t>Yes</t>
        </is>
      </c>
      <c r="J850" s="972" t="n">
        <v>4</v>
      </c>
      <c r="K850" s="972" t="inlineStr">
        <is>
          <t>Model Mapping</t>
        </is>
      </c>
      <c r="L850" s="452" t="inlineStr">
        <is>
          <t>https://attack.mitre.org/techniques/T0878</t>
        </is>
      </c>
      <c r="M850" s="973" t="inlineStr">
        <is>
          <t>Yes</t>
        </is>
      </c>
      <c r="N850" s="973" t="inlineStr">
        <is>
          <t>No explicit facility gate — defaults feasible</t>
        </is>
      </c>
      <c r="O850" s="973" t="inlineStr">
        <is>
          <t>Alarm Suppression is an ATT&amp;CK for ICS impact or response-inhibition technique that can support one or more governed adverse scenarios; scenario role remains controlled on 09.</t>
        </is>
      </c>
      <c r="P850" s="973" t="inlineStr">
        <is>
          <t>https://csrc.nist.gov/pubs/sp/800/82/r3/final</t>
        </is>
      </c>
    </row>
    <row r="851" ht="15" customHeight="1" s="508">
      <c r="A851" s="972" t="inlineStr">
        <is>
          <t>Malicious Insider</t>
        </is>
      </c>
      <c r="B851" s="972" t="inlineStr">
        <is>
          <t>Safety System Compromise</t>
        </is>
      </c>
      <c r="C851" s="972" t="inlineStr">
        <is>
          <t>T0802</t>
        </is>
      </c>
      <c r="D851" s="972" t="inlineStr">
        <is>
          <t>Automated Collection</t>
        </is>
      </c>
      <c r="E851" s="972" t="inlineStr">
        <is>
          <t>S4</t>
        </is>
      </c>
      <c r="F851" s="972" t="inlineStr">
        <is>
          <t>Candidate enabling technique</t>
        </is>
      </c>
      <c r="G851" s="972" t="inlineStr">
        <is>
          <t>Yes</t>
        </is>
      </c>
      <c r="H851" s="972" t="inlineStr">
        <is>
          <t>Yes</t>
        </is>
      </c>
      <c r="I851" s="972" t="inlineStr">
        <is>
          <t>Yes</t>
        </is>
      </c>
      <c r="J851" s="972" t="n">
        <v>2</v>
      </c>
      <c r="K851" s="972" t="inlineStr">
        <is>
          <t>Model Mapping</t>
        </is>
      </c>
      <c r="L851" s="452" t="inlineStr">
        <is>
          <t>https://attack.mitre.org/techniques/T0802</t>
        </is>
      </c>
      <c r="M851" s="973" t="inlineStr">
        <is>
          <t>Yes</t>
        </is>
      </c>
      <c r="N851" s="973" t="inlineStr">
        <is>
          <t>No explicit facility gate — defaults feasible</t>
        </is>
      </c>
      <c r="O851" s="973" t="inlineStr">
        <is>
          <t>Automated Collection can support discovery or interaction with process state, control assets and operational data in Power Generation environments.</t>
        </is>
      </c>
      <c r="P851" s="973" t="inlineStr">
        <is>
          <t>https://csrc.nist.gov/pubs/sp/800/82/r3/final</t>
        </is>
      </c>
    </row>
    <row r="852" ht="15" customHeight="1" s="508">
      <c r="A852" s="972" t="inlineStr">
        <is>
          <t>Malicious Insider</t>
        </is>
      </c>
      <c r="B852" s="972" t="inlineStr">
        <is>
          <t>Safety System Compromise</t>
        </is>
      </c>
      <c r="C852" s="972" t="inlineStr">
        <is>
          <t>T0895</t>
        </is>
      </c>
      <c r="D852" s="972" t="inlineStr">
        <is>
          <t>Autorun Image</t>
        </is>
      </c>
      <c r="E852" s="972" t="inlineStr">
        <is>
          <t>S2</t>
        </is>
      </c>
      <c r="F852" s="972" t="inlineStr">
        <is>
          <t>Candidate enabling technique</t>
        </is>
      </c>
      <c r="G852" s="972" t="inlineStr">
        <is>
          <t>Yes</t>
        </is>
      </c>
      <c r="H852" s="972" t="inlineStr">
        <is>
          <t>Yes</t>
        </is>
      </c>
      <c r="I852" s="972" t="inlineStr">
        <is>
          <t>Yes</t>
        </is>
      </c>
      <c r="J852" s="972" t="n">
        <v>1</v>
      </c>
      <c r="K852" s="972" t="inlineStr">
        <is>
          <t>Model Mapping</t>
        </is>
      </c>
      <c r="L852" s="452" t="inlineStr">
        <is>
          <t>https://attack.mitre.org/techniques/T0895</t>
        </is>
      </c>
      <c r="M852" s="973" t="inlineStr">
        <is>
          <t>Yes</t>
        </is>
      </c>
      <c r="N852" s="973" t="inlineStr">
        <is>
          <t>No explicit facility gate — defaults feasible</t>
        </is>
      </c>
      <c r="O852" s="973" t="inlineStr">
        <is>
          <t>Autorun Image is applicable to execution or persistence on engineering workstations, HMIs, servers or controllers used in Power Generation facilities.</t>
        </is>
      </c>
      <c r="P852" s="973" t="inlineStr">
        <is>
          <t>https://csrc.nist.gov/pubs/sp/800/82/r3/final</t>
        </is>
      </c>
    </row>
    <row r="853" ht="15" customHeight="1" s="508">
      <c r="A853" s="972" t="inlineStr">
        <is>
          <t>Malicious Insider</t>
        </is>
      </c>
      <c r="B853" s="972" t="inlineStr">
        <is>
          <t>Safety System Compromise</t>
        </is>
      </c>
      <c r="C853" s="972" t="inlineStr">
        <is>
          <t>T0846.002</t>
        </is>
      </c>
      <c r="D853" s="972" t="inlineStr">
        <is>
          <t>Broadcast Discovery</t>
        </is>
      </c>
      <c r="E853" s="972" t="inlineStr">
        <is>
          <t>S4</t>
        </is>
      </c>
      <c r="F853" s="972" t="inlineStr">
        <is>
          <t>Candidate enabling technique</t>
        </is>
      </c>
      <c r="G853" s="972" t="inlineStr">
        <is>
          <t>Yes</t>
        </is>
      </c>
      <c r="H853" s="972" t="inlineStr">
        <is>
          <t>Yes</t>
        </is>
      </c>
      <c r="I853" s="972" t="inlineStr">
        <is>
          <t>Yes</t>
        </is>
      </c>
      <c r="J853" s="972" t="n">
        <v>2</v>
      </c>
      <c r="K853" s="972" t="inlineStr">
        <is>
          <t>Model Mapping</t>
        </is>
      </c>
      <c r="L853" s="452" t="inlineStr">
        <is>
          <t>https://attack.mitre.org/techniques/T0846/002</t>
        </is>
      </c>
      <c r="M853" s="973" t="inlineStr">
        <is>
          <t>Yes</t>
        </is>
      </c>
      <c r="N853" s="973" t="inlineStr">
        <is>
          <t>No explicit facility gate — defaults feasible</t>
        </is>
      </c>
      <c r="O853" s="973" t="inlineStr">
        <is>
          <t>Broadcast Discovery can support discovery or interaction with process state, control assets and operational data in Power Generation environments.</t>
        </is>
      </c>
      <c r="P853" s="973" t="inlineStr">
        <is>
          <t>https://csrc.nist.gov/pubs/sp/800/82/r3/final</t>
        </is>
      </c>
    </row>
    <row r="854" ht="15" customHeight="1" s="508">
      <c r="A854" s="972" t="inlineStr">
        <is>
          <t>Malicious Insider</t>
        </is>
      </c>
      <c r="B854" s="972" t="inlineStr">
        <is>
          <t>Safety System Compromise</t>
        </is>
      </c>
      <c r="C854" s="972" t="inlineStr">
        <is>
          <t>T0892</t>
        </is>
      </c>
      <c r="D854" s="972" t="inlineStr">
        <is>
          <t>Change Credential</t>
        </is>
      </c>
      <c r="E854" s="972" t="inlineStr">
        <is>
          <t>S5</t>
        </is>
      </c>
      <c r="F854" s="972" t="inlineStr">
        <is>
          <t>Supporting / impact</t>
        </is>
      </c>
      <c r="G854" s="972" t="inlineStr">
        <is>
          <t>Yes</t>
        </is>
      </c>
      <c r="H854" s="972" t="inlineStr">
        <is>
          <t>Yes</t>
        </is>
      </c>
      <c r="I854" s="972" t="inlineStr">
        <is>
          <t>Yes</t>
        </is>
      </c>
      <c r="J854" s="972" t="n">
        <v>3</v>
      </c>
      <c r="K854" s="972" t="inlineStr">
        <is>
          <t>Model Mapping</t>
        </is>
      </c>
      <c r="L854" s="452" t="inlineStr">
        <is>
          <t>https://attack.mitre.org/techniques/T0892</t>
        </is>
      </c>
      <c r="M854" s="973" t="inlineStr">
        <is>
          <t>Yes</t>
        </is>
      </c>
      <c r="N854" s="973" t="inlineStr">
        <is>
          <t>No explicit facility gate — defaults feasible</t>
        </is>
      </c>
      <c r="O854" s="973" t="inlineStr">
        <is>
          <t>Change Credential is an ATT&amp;CK for ICS impact or response-inhibition technique that can support one or more governed adverse scenarios; scenario role remains controlled on 09.</t>
        </is>
      </c>
      <c r="P854" s="973" t="inlineStr">
        <is>
          <t>https://csrc.nist.gov/pubs/sp/800/82/r3/final</t>
        </is>
      </c>
    </row>
    <row r="855" ht="15" customHeight="1" s="508">
      <c r="A855" s="972" t="inlineStr">
        <is>
          <t>Malicious Insider</t>
        </is>
      </c>
      <c r="B855" s="972" t="inlineStr">
        <is>
          <t>Safety System Compromise</t>
        </is>
      </c>
      <c r="C855" s="972" t="inlineStr">
        <is>
          <t>T0858</t>
        </is>
      </c>
      <c r="D855" s="972" t="inlineStr">
        <is>
          <t>Change Operating Mode</t>
        </is>
      </c>
      <c r="E855" s="972" t="inlineStr">
        <is>
          <t>S2</t>
        </is>
      </c>
      <c r="F855" s="972" t="inlineStr">
        <is>
          <t>Candidate enabling technique</t>
        </is>
      </c>
      <c r="G855" s="972" t="inlineStr">
        <is>
          <t>Yes</t>
        </is>
      </c>
      <c r="H855" s="972" t="inlineStr">
        <is>
          <t>Yes</t>
        </is>
      </c>
      <c r="I855" s="972" t="inlineStr">
        <is>
          <t>Yes</t>
        </is>
      </c>
      <c r="J855" s="972" t="n">
        <v>7</v>
      </c>
      <c r="K855" s="972" t="inlineStr">
        <is>
          <t>Model Mapping</t>
        </is>
      </c>
      <c r="L855" s="452" t="inlineStr">
        <is>
          <t>https://attack.mitre.org/techniques/T0858</t>
        </is>
      </c>
      <c r="M855" s="973" t="inlineStr">
        <is>
          <t>Yes</t>
        </is>
      </c>
      <c r="N855" s="973" t="inlineStr">
        <is>
          <t>No explicit facility gate — defaults feasible</t>
        </is>
      </c>
      <c r="O855" s="973" t="inlineStr">
        <is>
          <t>Change Operating Mode is applicable to execution or persistence on engineering workstations, HMIs, servers or controllers used in Power Generation facilities.</t>
        </is>
      </c>
      <c r="P855" s="973" t="inlineStr">
        <is>
          <t>https://csrc.nist.gov/pubs/sp/800/82/r3/final</t>
        </is>
      </c>
    </row>
    <row r="856" ht="15" customHeight="1" s="508">
      <c r="A856" s="972" t="inlineStr">
        <is>
          <t>Malicious Insider</t>
        </is>
      </c>
      <c r="B856" s="972" t="inlineStr">
        <is>
          <t>Safety System Compromise</t>
        </is>
      </c>
      <c r="C856" s="972" t="inlineStr">
        <is>
          <t>T0807</t>
        </is>
      </c>
      <c r="D856" s="972" t="inlineStr">
        <is>
          <t>Command-Line Interface</t>
        </is>
      </c>
      <c r="E856" s="972" t="inlineStr">
        <is>
          <t>S2</t>
        </is>
      </c>
      <c r="F856" s="972" t="inlineStr">
        <is>
          <t>Candidate enabling technique</t>
        </is>
      </c>
      <c r="G856" s="972" t="inlineStr">
        <is>
          <t>Yes</t>
        </is>
      </c>
      <c r="H856" s="972" t="inlineStr">
        <is>
          <t>Yes</t>
        </is>
      </c>
      <c r="I856" s="972" t="inlineStr">
        <is>
          <t>Yes</t>
        </is>
      </c>
      <c r="J856" s="972" t="n">
        <v>2</v>
      </c>
      <c r="K856" s="972" t="inlineStr">
        <is>
          <t>Model Mapping</t>
        </is>
      </c>
      <c r="L856" s="452" t="inlineStr">
        <is>
          <t>https://attack.mitre.org/techniques/T0807</t>
        </is>
      </c>
      <c r="M856" s="973" t="inlineStr">
        <is>
          <t>Yes</t>
        </is>
      </c>
      <c r="N856" s="973" t="inlineStr">
        <is>
          <t>No explicit facility gate — defaults feasible</t>
        </is>
      </c>
      <c r="O856" s="973" t="inlineStr">
        <is>
          <t>Command-Line Interface is applicable to execution or persistence on engineering workstations, HMIs, servers or controllers used in Power Generation facilities.</t>
        </is>
      </c>
      <c r="P856" s="973" t="inlineStr">
        <is>
          <t>https://csrc.nist.gov/pubs/sp/800/82/r3/final</t>
        </is>
      </c>
    </row>
    <row r="857" ht="15" customHeight="1" s="508">
      <c r="A857" s="972" t="inlineStr">
        <is>
          <t>Malicious Insider</t>
        </is>
      </c>
      <c r="B857" s="972" t="inlineStr">
        <is>
          <t>Safety System Compromise</t>
        </is>
      </c>
      <c r="C857" s="972" t="inlineStr">
        <is>
          <t>T0885</t>
        </is>
      </c>
      <c r="D857" s="972" t="inlineStr">
        <is>
          <t>Commonly Used Port</t>
        </is>
      </c>
      <c r="E857" s="972" t="inlineStr">
        <is>
          <t>S3</t>
        </is>
      </c>
      <c r="F857" s="972" t="inlineStr">
        <is>
          <t>Candidate enabling technique</t>
        </is>
      </c>
      <c r="G857" s="972" t="inlineStr">
        <is>
          <t>Yes</t>
        </is>
      </c>
      <c r="H857" s="972" t="inlineStr">
        <is>
          <t>Yes</t>
        </is>
      </c>
      <c r="I857" s="972" t="inlineStr">
        <is>
          <t>Yes</t>
        </is>
      </c>
      <c r="J857" s="972" t="n">
        <v>4</v>
      </c>
      <c r="K857" s="972" t="inlineStr">
        <is>
          <t>Model Mapping</t>
        </is>
      </c>
      <c r="L857" s="452" t="inlineStr">
        <is>
          <t>https://attack.mitre.org/techniques/T0885</t>
        </is>
      </c>
      <c r="M857" s="973" t="inlineStr">
        <is>
          <t>Yes</t>
        </is>
      </c>
      <c r="N857" s="973" t="inlineStr">
        <is>
          <t>No explicit facility gate — defaults feasible</t>
        </is>
      </c>
      <c r="O857" s="973" t="inlineStr">
        <is>
          <t>Commonly Used Port can support movement toward or within plant/control zones; actual reachability is governed by the assessed facility architecture.</t>
        </is>
      </c>
      <c r="P857" s="973" t="inlineStr">
        <is>
          <t>https://csrc.nist.gov/pubs/sp/800/82/r3/final</t>
        </is>
      </c>
    </row>
    <row r="858" ht="15" customHeight="1" s="508">
      <c r="A858" s="972" t="inlineStr">
        <is>
          <t>Malicious Insider</t>
        </is>
      </c>
      <c r="B858" s="972" t="inlineStr">
        <is>
          <t>Safety System Compromise</t>
        </is>
      </c>
      <c r="C858" s="972" t="inlineStr">
        <is>
          <t>T0884</t>
        </is>
      </c>
      <c r="D858" s="972" t="inlineStr">
        <is>
          <t>Connection Proxy</t>
        </is>
      </c>
      <c r="E858" s="972" t="inlineStr">
        <is>
          <t>S3</t>
        </is>
      </c>
      <c r="F858" s="972" t="inlineStr">
        <is>
          <t>Candidate enabling technique</t>
        </is>
      </c>
      <c r="G858" s="972" t="inlineStr">
        <is>
          <t>Yes</t>
        </is>
      </c>
      <c r="H858" s="972" t="inlineStr">
        <is>
          <t>Yes</t>
        </is>
      </c>
      <c r="I858" s="972" t="inlineStr">
        <is>
          <t>Yes</t>
        </is>
      </c>
      <c r="J858" s="972" t="n">
        <v>4</v>
      </c>
      <c r="K858" s="972" t="inlineStr">
        <is>
          <t>Model Mapping</t>
        </is>
      </c>
      <c r="L858" s="452" t="inlineStr">
        <is>
          <t>https://attack.mitre.org/techniques/T0884</t>
        </is>
      </c>
      <c r="M858" s="973" t="inlineStr">
        <is>
          <t>Yes</t>
        </is>
      </c>
      <c r="N858" s="973" t="inlineStr">
        <is>
          <t>No explicit facility gate — defaults feasible</t>
        </is>
      </c>
      <c r="O858" s="973" t="inlineStr">
        <is>
          <t>Connection Proxy can support movement toward or within plant/control zones; actual reachability is governed by the assessed facility architecture.</t>
        </is>
      </c>
      <c r="P858" s="973" t="inlineStr">
        <is>
          <t>https://csrc.nist.gov/pubs/sp/800/82/r3/final</t>
        </is>
      </c>
    </row>
    <row r="859" ht="15" customHeight="1" s="508">
      <c r="A859" s="972" t="inlineStr">
        <is>
          <t>Malicious Insider</t>
        </is>
      </c>
      <c r="B859" s="972" t="inlineStr">
        <is>
          <t>Safety System Compromise</t>
        </is>
      </c>
      <c r="C859" s="972" t="inlineStr">
        <is>
          <t>T0811</t>
        </is>
      </c>
      <c r="D859" s="972" t="inlineStr">
        <is>
          <t>Data from Information Repositories</t>
        </is>
      </c>
      <c r="E859" s="972" t="inlineStr">
        <is>
          <t>S4</t>
        </is>
      </c>
      <c r="F859" s="972" t="inlineStr">
        <is>
          <t>Candidate enabling technique</t>
        </is>
      </c>
      <c r="G859" s="972" t="inlineStr">
        <is>
          <t>Yes</t>
        </is>
      </c>
      <c r="H859" s="972" t="inlineStr">
        <is>
          <t>Yes</t>
        </is>
      </c>
      <c r="I859" s="972" t="inlineStr">
        <is>
          <t>Yes</t>
        </is>
      </c>
      <c r="J859" s="972" t="n">
        <v>6</v>
      </c>
      <c r="K859" s="972" t="inlineStr">
        <is>
          <t>Model Mapping</t>
        </is>
      </c>
      <c r="L859" s="452" t="inlineStr">
        <is>
          <t>https://attack.mitre.org/techniques/T0811</t>
        </is>
      </c>
      <c r="M859" s="973" t="inlineStr">
        <is>
          <t>Yes</t>
        </is>
      </c>
      <c r="N859" s="973" t="inlineStr">
        <is>
          <t>No explicit facility gate — defaults feasible</t>
        </is>
      </c>
      <c r="O859" s="973" t="inlineStr">
        <is>
          <t>Data from Information Repositories can support discovery or interaction with process state, control assets and operational data in Power Generation environments.</t>
        </is>
      </c>
      <c r="P859" s="973" t="inlineStr">
        <is>
          <t>https://csrc.nist.gov/pubs/sp/800/82/r3/final</t>
        </is>
      </c>
    </row>
    <row r="860" ht="15" customHeight="1" s="508">
      <c r="A860" s="972" t="inlineStr">
        <is>
          <t>Malicious Insider</t>
        </is>
      </c>
      <c r="B860" s="972" t="inlineStr">
        <is>
          <t>Safety System Compromise</t>
        </is>
      </c>
      <c r="C860" s="972" t="inlineStr">
        <is>
          <t>T0893</t>
        </is>
      </c>
      <c r="D860" s="972" t="inlineStr">
        <is>
          <t>Data from Local System</t>
        </is>
      </c>
      <c r="E860" s="972" t="inlineStr">
        <is>
          <t>S4</t>
        </is>
      </c>
      <c r="F860" s="972" t="inlineStr">
        <is>
          <t>Candidate enabling technique</t>
        </is>
      </c>
      <c r="G860" s="972" t="inlineStr">
        <is>
          <t>Yes</t>
        </is>
      </c>
      <c r="H860" s="972" t="inlineStr">
        <is>
          <t>Yes</t>
        </is>
      </c>
      <c r="I860" s="972" t="inlineStr">
        <is>
          <t>Yes</t>
        </is>
      </c>
      <c r="J860" s="972" t="n">
        <v>4</v>
      </c>
      <c r="K860" s="972" t="inlineStr">
        <is>
          <t>Model Mapping</t>
        </is>
      </c>
      <c r="L860" s="452" t="inlineStr">
        <is>
          <t>https://attack.mitre.org/techniques/T0893</t>
        </is>
      </c>
      <c r="M860" s="973" t="inlineStr">
        <is>
          <t>Yes</t>
        </is>
      </c>
      <c r="N860" s="973" t="inlineStr">
        <is>
          <t>No explicit facility gate — defaults feasible</t>
        </is>
      </c>
      <c r="O860" s="973" t="inlineStr">
        <is>
          <t>Data from Local System can support discovery or interaction with process state, control assets and operational data in Power Generation environments.</t>
        </is>
      </c>
      <c r="P860" s="973" t="inlineStr">
        <is>
          <t>https://csrc.nist.gov/pubs/sp/800/82/r3/final</t>
        </is>
      </c>
    </row>
    <row r="861" ht="15" customHeight="1" s="508">
      <c r="A861" s="972" t="inlineStr">
        <is>
          <t>Malicious Insider</t>
        </is>
      </c>
      <c r="B861" s="972" t="inlineStr">
        <is>
          <t>Safety System Compromise</t>
        </is>
      </c>
      <c r="C861" s="972" t="inlineStr">
        <is>
          <t>T1694.001</t>
        </is>
      </c>
      <c r="D861" s="972" t="inlineStr">
        <is>
          <t>Default Credentials</t>
        </is>
      </c>
      <c r="E861" s="972" t="inlineStr">
        <is>
          <t>S3</t>
        </is>
      </c>
      <c r="F861" s="972" t="inlineStr">
        <is>
          <t>Candidate enabling technique</t>
        </is>
      </c>
      <c r="G861" s="972" t="inlineStr">
        <is>
          <t>Yes</t>
        </is>
      </c>
      <c r="H861" s="972" t="inlineStr">
        <is>
          <t>Yes</t>
        </is>
      </c>
      <c r="I861" s="972" t="inlineStr">
        <is>
          <t>Yes</t>
        </is>
      </c>
      <c r="J861" s="972" t="n">
        <v>2</v>
      </c>
      <c r="K861" s="972" t="inlineStr">
        <is>
          <t>Model Mapping</t>
        </is>
      </c>
      <c r="L861" s="452" t="inlineStr">
        <is>
          <t>https://attack.mitre.org/techniques/T1694/001</t>
        </is>
      </c>
      <c r="M861" s="973" t="inlineStr">
        <is>
          <t>Yes</t>
        </is>
      </c>
      <c r="N861" s="973" t="inlineStr">
        <is>
          <t>No explicit facility gate — defaults feasible</t>
        </is>
      </c>
      <c r="O861" s="973" t="inlineStr">
        <is>
          <t>Default Credentials can support movement toward or within plant/control zones; actual reachability is governed by the assessed facility architecture.</t>
        </is>
      </c>
      <c r="P861" s="973" t="inlineStr">
        <is>
          <t>https://csrc.nist.gov/pubs/sp/800/82/r3/final</t>
        </is>
      </c>
    </row>
    <row r="862" ht="15" customHeight="1" s="508">
      <c r="A862" s="972" t="inlineStr">
        <is>
          <t>Malicious Insider</t>
        </is>
      </c>
      <c r="B862" s="972" t="inlineStr">
        <is>
          <t>Safety System Compromise</t>
        </is>
      </c>
      <c r="C862" s="972" t="inlineStr">
        <is>
          <t>T0868</t>
        </is>
      </c>
      <c r="D862" s="972" t="inlineStr">
        <is>
          <t>Detect Operating Mode</t>
        </is>
      </c>
      <c r="E862" s="972" t="inlineStr">
        <is>
          <t>S4</t>
        </is>
      </c>
      <c r="F862" s="972" t="inlineStr">
        <is>
          <t>Candidate enabling technique</t>
        </is>
      </c>
      <c r="G862" s="972" t="inlineStr">
        <is>
          <t>Yes</t>
        </is>
      </c>
      <c r="H862" s="972" t="inlineStr">
        <is>
          <t>Yes</t>
        </is>
      </c>
      <c r="I862" s="972" t="inlineStr">
        <is>
          <t>Yes</t>
        </is>
      </c>
      <c r="J862" s="972" t="n">
        <v>8</v>
      </c>
      <c r="K862" s="972" t="inlineStr">
        <is>
          <t>Model Mapping</t>
        </is>
      </c>
      <c r="L862" s="452" t="inlineStr">
        <is>
          <t>https://attack.mitre.org/techniques/T0868</t>
        </is>
      </c>
      <c r="M862" s="973" t="inlineStr">
        <is>
          <t>Yes</t>
        </is>
      </c>
      <c r="N862" s="973" t="inlineStr">
        <is>
          <t>No explicit facility gate — defaults feasible</t>
        </is>
      </c>
      <c r="O862" s="973" t="inlineStr">
        <is>
          <t>Detect Operating Mode can support discovery or interaction with process state, control assets and operational data in Power Generation environments.</t>
        </is>
      </c>
      <c r="P862" s="973" t="inlineStr">
        <is>
          <t>https://csrc.nist.gov/pubs/sp/800/82/r3/final</t>
        </is>
      </c>
    </row>
    <row r="863" ht="15" customHeight="1" s="508">
      <c r="A863" s="972" t="inlineStr">
        <is>
          <t>Malicious Insider</t>
        </is>
      </c>
      <c r="B863" s="972" t="inlineStr">
        <is>
          <t>Safety System Compromise</t>
        </is>
      </c>
      <c r="C863" s="972" t="inlineStr">
        <is>
          <t>T0843.001</t>
        </is>
      </c>
      <c r="D863" s="972" t="inlineStr">
        <is>
          <t>Download All</t>
        </is>
      </c>
      <c r="E863" s="972" t="inlineStr">
        <is>
          <t>S3</t>
        </is>
      </c>
      <c r="F863" s="972" t="inlineStr">
        <is>
          <t>Candidate enabling technique</t>
        </is>
      </c>
      <c r="G863" s="972" t="inlineStr">
        <is>
          <t>Yes</t>
        </is>
      </c>
      <c r="H863" s="972" t="inlineStr">
        <is>
          <t>Yes</t>
        </is>
      </c>
      <c r="I863" s="972" t="inlineStr">
        <is>
          <t>Yes</t>
        </is>
      </c>
      <c r="J863" s="972" t="n">
        <v>10</v>
      </c>
      <c r="K863" s="972" t="inlineStr">
        <is>
          <t>Model Mapping</t>
        </is>
      </c>
      <c r="L863" s="452" t="inlineStr">
        <is>
          <t>https://attack.mitre.org/techniques/T0843/001</t>
        </is>
      </c>
      <c r="M863" s="973" t="inlineStr">
        <is>
          <t>Yes</t>
        </is>
      </c>
      <c r="N863" s="973" t="inlineStr">
        <is>
          <t>No explicit facility gate — defaults feasible</t>
        </is>
      </c>
      <c r="O863" s="973" t="inlineStr">
        <is>
          <t>Download All can support movement toward or within plant/control zones; actual reachability is governed by the assessed facility architecture.</t>
        </is>
      </c>
      <c r="P863" s="973" t="inlineStr">
        <is>
          <t>https://csrc.nist.gov/pubs/sp/800/82/r3/final</t>
        </is>
      </c>
    </row>
    <row r="864" ht="15" customHeight="1" s="508">
      <c r="A864" s="972" t="inlineStr">
        <is>
          <t>Malicious Insider</t>
        </is>
      </c>
      <c r="B864" s="972" t="inlineStr">
        <is>
          <t>Safety System Compromise</t>
        </is>
      </c>
      <c r="C864" s="972" t="inlineStr">
        <is>
          <t>T0817</t>
        </is>
      </c>
      <c r="D864" s="972" t="inlineStr">
        <is>
          <t>Drive-by Compromise</t>
        </is>
      </c>
      <c r="E864" s="972" t="inlineStr">
        <is>
          <t>S1</t>
        </is>
      </c>
      <c r="F864" s="972" t="inlineStr">
        <is>
          <t>Candidate enabling technique</t>
        </is>
      </c>
      <c r="G864" s="972" t="inlineStr">
        <is>
          <t>No</t>
        </is>
      </c>
      <c r="H864" s="972" t="inlineStr">
        <is>
          <t>Yes</t>
        </is>
      </c>
      <c r="I864" s="972" t="inlineStr">
        <is>
          <t>No</t>
        </is>
      </c>
      <c r="J864" s="972" t="n">
        <v>4</v>
      </c>
      <c r="K864" s="972" t="inlineStr">
        <is>
          <t>Model Mapping</t>
        </is>
      </c>
      <c r="L864" s="452" t="inlineStr">
        <is>
          <t>https://attack.mitre.org/techniques/T0817</t>
        </is>
      </c>
      <c r="M864" s="973" t="inlineStr">
        <is>
          <t>Yes</t>
        </is>
      </c>
      <c r="N864" s="973" t="inlineStr">
        <is>
          <t>No explicit facility gate — defaults feasible</t>
        </is>
      </c>
      <c r="O864" s="973" t="inlineStr">
        <is>
          <t>The Drive-by Compromise route is credible for Power Generation OT when the enabling access condition exists; existing facility gates determine remote, internet, transient, supply-chain or wireless feasibility.</t>
        </is>
      </c>
      <c r="P864" s="973" t="inlineStr">
        <is>
          <t>https://csrc.nist.gov/pubs/sp/800/82/r3/final</t>
        </is>
      </c>
    </row>
    <row r="865" ht="15" customHeight="1" s="508">
      <c r="A865" s="972" t="inlineStr">
        <is>
          <t>Malicious Insider</t>
        </is>
      </c>
      <c r="B865" s="972" t="inlineStr">
        <is>
          <t>Safety System Compromise</t>
        </is>
      </c>
      <c r="C865" s="972" t="inlineStr">
        <is>
          <t>T1695.002</t>
        </is>
      </c>
      <c r="D865" s="972" t="inlineStr">
        <is>
          <t>Ethernet</t>
        </is>
      </c>
      <c r="E865" s="972" t="inlineStr">
        <is>
          <t>S5</t>
        </is>
      </c>
      <c r="F865" s="972" t="inlineStr">
        <is>
          <t>Supporting / impact</t>
        </is>
      </c>
      <c r="G865" s="972" t="inlineStr">
        <is>
          <t>Yes</t>
        </is>
      </c>
      <c r="H865" s="972" t="inlineStr">
        <is>
          <t>Yes</t>
        </is>
      </c>
      <c r="I865" s="972" t="inlineStr">
        <is>
          <t>Yes</t>
        </is>
      </c>
      <c r="J865" s="972" t="n">
        <v>3</v>
      </c>
      <c r="K865" s="972" t="inlineStr">
        <is>
          <t>Model Mapping</t>
        </is>
      </c>
      <c r="L865" s="452" t="inlineStr">
        <is>
          <t>https://attack.mitre.org/techniques/T1695/002</t>
        </is>
      </c>
      <c r="M865" s="973" t="inlineStr">
        <is>
          <t>Yes</t>
        </is>
      </c>
      <c r="N865" s="973" t="inlineStr">
        <is>
          <t>No explicit facility gate — defaults feasible</t>
        </is>
      </c>
      <c r="O865" s="973" t="inlineStr">
        <is>
          <t>Ethernet is an ATT&amp;CK for ICS impact or response-inhibition technique that can support one or more governed adverse scenarios; scenario role remains controlled on 09.</t>
        </is>
      </c>
      <c r="P865" s="973" t="inlineStr">
        <is>
          <t>https://csrc.nist.gov/pubs/sp/800/82/r3/final</t>
        </is>
      </c>
    </row>
    <row r="866" ht="15" customHeight="1" s="508">
      <c r="A866" s="972" t="inlineStr">
        <is>
          <t>Malicious Insider</t>
        </is>
      </c>
      <c r="B866" s="972" t="inlineStr">
        <is>
          <t>Safety System Compromise</t>
        </is>
      </c>
      <c r="C866" s="972" t="inlineStr">
        <is>
          <t>T0871</t>
        </is>
      </c>
      <c r="D866" s="972" t="inlineStr">
        <is>
          <t>Execution through API</t>
        </is>
      </c>
      <c r="E866" s="972" t="inlineStr">
        <is>
          <t>S2</t>
        </is>
      </c>
      <c r="F866" s="972" t="inlineStr">
        <is>
          <t>Candidate enabling technique</t>
        </is>
      </c>
      <c r="G866" s="972" t="inlineStr">
        <is>
          <t>Yes</t>
        </is>
      </c>
      <c r="H866" s="972" t="inlineStr">
        <is>
          <t>Yes</t>
        </is>
      </c>
      <c r="I866" s="972" t="inlineStr">
        <is>
          <t>Yes</t>
        </is>
      </c>
      <c r="J866" s="972" t="n">
        <v>4</v>
      </c>
      <c r="K866" s="972" t="inlineStr">
        <is>
          <t>Model Mapping</t>
        </is>
      </c>
      <c r="L866" s="452" t="inlineStr">
        <is>
          <t>https://attack.mitre.org/techniques/T0871</t>
        </is>
      </c>
      <c r="M866" s="973" t="inlineStr">
        <is>
          <t>Yes</t>
        </is>
      </c>
      <c r="N866" s="973" t="inlineStr">
        <is>
          <t>No explicit facility gate — defaults feasible</t>
        </is>
      </c>
      <c r="O866" s="973" t="inlineStr">
        <is>
          <t>Execution through API is applicable to execution or persistence on engineering workstations, HMIs, servers or controllers used in Power Generation facilities.</t>
        </is>
      </c>
      <c r="P866" s="973" t="inlineStr">
        <is>
          <t>https://csrc.nist.gov/pubs/sp/800/82/r3/final</t>
        </is>
      </c>
    </row>
    <row r="867" ht="15" customHeight="1" s="508">
      <c r="A867" s="972" t="inlineStr">
        <is>
          <t>Malicious Insider</t>
        </is>
      </c>
      <c r="B867" s="972" t="inlineStr">
        <is>
          <t>Safety System Compromise</t>
        </is>
      </c>
      <c r="C867" s="972" t="inlineStr">
        <is>
          <t>T0819</t>
        </is>
      </c>
      <c r="D867" s="972" t="inlineStr">
        <is>
          <t>Exploit Public-Facing Application</t>
        </is>
      </c>
      <c r="E867" s="972" t="inlineStr">
        <is>
          <t>S1</t>
        </is>
      </c>
      <c r="F867" s="972" t="inlineStr">
        <is>
          <t>Candidate enabling technique</t>
        </is>
      </c>
      <c r="G867" s="972" t="inlineStr">
        <is>
          <t>No</t>
        </is>
      </c>
      <c r="H867" s="972" t="inlineStr">
        <is>
          <t>Yes</t>
        </is>
      </c>
      <c r="I867" s="972" t="inlineStr">
        <is>
          <t>No</t>
        </is>
      </c>
      <c r="J867" s="972" t="n">
        <v>6</v>
      </c>
      <c r="K867" s="972" t="inlineStr">
        <is>
          <t>Model Mapping</t>
        </is>
      </c>
      <c r="L867" s="452" t="inlineStr">
        <is>
          <t>https://attack.mitre.org/techniques/T0819</t>
        </is>
      </c>
      <c r="M867" s="973" t="inlineStr">
        <is>
          <t>Yes</t>
        </is>
      </c>
      <c r="N867" s="973" t="inlineStr">
        <is>
          <t>No explicit facility gate — defaults feasible</t>
        </is>
      </c>
      <c r="O867" s="973" t="inlineStr">
        <is>
          <t>The Exploit Public-Facing Application route is credible for Power Generation OT when the enabling access condition exists; existing facility gates determine remote, internet, transient, supply-chain or wireless feasibility.</t>
        </is>
      </c>
      <c r="P867" s="973" t="inlineStr">
        <is>
          <t>https://csrc.nist.gov/pubs/sp/800/82/r3/final</t>
        </is>
      </c>
    </row>
    <row r="868" ht="15" customHeight="1" s="508">
      <c r="A868" s="972" t="inlineStr">
        <is>
          <t>Malicious Insider</t>
        </is>
      </c>
      <c r="B868" s="972" t="inlineStr">
        <is>
          <t>Safety System Compromise</t>
        </is>
      </c>
      <c r="C868" s="972" t="inlineStr">
        <is>
          <t>T0820</t>
        </is>
      </c>
      <c r="D868" s="972" t="inlineStr">
        <is>
          <t>Exploitation for Evasion</t>
        </is>
      </c>
      <c r="E868" s="972" t="inlineStr">
        <is>
          <t>S2</t>
        </is>
      </c>
      <c r="F868" s="972" t="inlineStr">
        <is>
          <t>Candidate enabling technique</t>
        </is>
      </c>
      <c r="G868" s="972" t="inlineStr">
        <is>
          <t>Yes</t>
        </is>
      </c>
      <c r="H868" s="972" t="inlineStr">
        <is>
          <t>Yes</t>
        </is>
      </c>
      <c r="I868" s="972" t="inlineStr">
        <is>
          <t>Yes</t>
        </is>
      </c>
      <c r="J868" s="972" t="n">
        <v>4</v>
      </c>
      <c r="K868" s="972" t="inlineStr">
        <is>
          <t>Model Mapping</t>
        </is>
      </c>
      <c r="L868" s="452" t="inlineStr">
        <is>
          <t>https://attack.mitre.org/techniques/T0820</t>
        </is>
      </c>
      <c r="M868" s="973" t="inlineStr">
        <is>
          <t>Yes</t>
        </is>
      </c>
      <c r="N868" s="973" t="inlineStr">
        <is>
          <t>No explicit facility gate — defaults feasible</t>
        </is>
      </c>
      <c r="O868" s="973" t="inlineStr">
        <is>
          <t>Exploitation for Evasion is applicable to execution or persistence on engineering workstations, HMIs, servers or controllers used in Power Generation facilities.</t>
        </is>
      </c>
      <c r="P868" s="973" t="inlineStr">
        <is>
          <t>https://csrc.nist.gov/pubs/sp/800/82/r3/final</t>
        </is>
      </c>
    </row>
    <row r="869" ht="15" customHeight="1" s="508">
      <c r="A869" s="972" t="inlineStr">
        <is>
          <t>Malicious Insider</t>
        </is>
      </c>
      <c r="B869" s="972" t="inlineStr">
        <is>
          <t>Safety System Compromise</t>
        </is>
      </c>
      <c r="C869" s="972" t="inlineStr">
        <is>
          <t>T0890</t>
        </is>
      </c>
      <c r="D869" s="972" t="inlineStr">
        <is>
          <t>Exploitation for Privilege Escalation</t>
        </is>
      </c>
      <c r="E869" s="972" t="inlineStr">
        <is>
          <t>S2</t>
        </is>
      </c>
      <c r="F869" s="972" t="inlineStr">
        <is>
          <t>Candidate enabling technique</t>
        </is>
      </c>
      <c r="G869" s="972" t="inlineStr">
        <is>
          <t>Yes</t>
        </is>
      </c>
      <c r="H869" s="972" t="inlineStr">
        <is>
          <t>Yes</t>
        </is>
      </c>
      <c r="I869" s="972" t="inlineStr">
        <is>
          <t>Yes</t>
        </is>
      </c>
      <c r="J869" s="972" t="n">
        <v>4</v>
      </c>
      <c r="K869" s="972" t="inlineStr">
        <is>
          <t>Model Mapping</t>
        </is>
      </c>
      <c r="L869" s="452" t="inlineStr">
        <is>
          <t>https://attack.mitre.org/techniques/T0890</t>
        </is>
      </c>
      <c r="M869" s="973" t="inlineStr">
        <is>
          <t>Yes</t>
        </is>
      </c>
      <c r="N869" s="973" t="inlineStr">
        <is>
          <t>No explicit facility gate — defaults feasible</t>
        </is>
      </c>
      <c r="O869" s="973" t="inlineStr">
        <is>
          <t>Exploitation for Privilege Escalation is applicable to execution or persistence on engineering workstations, HMIs, servers or controllers used in Power Generation facilities.</t>
        </is>
      </c>
      <c r="P869" s="973" t="inlineStr">
        <is>
          <t>https://csrc.nist.gov/pubs/sp/800/82/r3/final</t>
        </is>
      </c>
    </row>
    <row r="870" ht="15" customHeight="1" s="508">
      <c r="A870" s="972" t="inlineStr">
        <is>
          <t>Malicious Insider</t>
        </is>
      </c>
      <c r="B870" s="972" t="inlineStr">
        <is>
          <t>Safety System Compromise</t>
        </is>
      </c>
      <c r="C870" s="972" t="inlineStr">
        <is>
          <t>T0866</t>
        </is>
      </c>
      <c r="D870" s="972" t="inlineStr">
        <is>
          <t>Exploitation of Remote Services</t>
        </is>
      </c>
      <c r="E870" s="972" t="inlineStr">
        <is>
          <t>S1</t>
        </is>
      </c>
      <c r="F870" s="972" t="inlineStr">
        <is>
          <t>Candidate enabling technique</t>
        </is>
      </c>
      <c r="G870" s="972" t="inlineStr">
        <is>
          <t>No</t>
        </is>
      </c>
      <c r="H870" s="972" t="inlineStr">
        <is>
          <t>Yes</t>
        </is>
      </c>
      <c r="I870" s="972" t="inlineStr">
        <is>
          <t>No</t>
        </is>
      </c>
      <c r="J870" s="972" t="n">
        <v>8</v>
      </c>
      <c r="K870" s="972" t="inlineStr">
        <is>
          <t>Model Mapping</t>
        </is>
      </c>
      <c r="L870" s="452" t="inlineStr">
        <is>
          <t>https://attack.mitre.org/techniques/T0866</t>
        </is>
      </c>
      <c r="M870" s="973" t="inlineStr">
        <is>
          <t>Yes</t>
        </is>
      </c>
      <c r="N870" s="973" t="inlineStr">
        <is>
          <t>REMOTE_OR_ITOT — Remote path or IT-OT connection</t>
        </is>
      </c>
      <c r="O870" s="973" t="inlineStr">
        <is>
          <t>The Exploitation of Remote Services route is credible for Power Generation OT when the enabling access condition exists; existing facility gates determine remote, internet, transient, supply-chain or wireless feasibility.</t>
        </is>
      </c>
      <c r="P870" s="973" t="inlineStr">
        <is>
          <t>https://csrc.nist.gov/pubs/sp/800/82/r3/final</t>
        </is>
      </c>
    </row>
    <row r="871" ht="15" customHeight="1" s="508">
      <c r="A871" s="972" t="inlineStr">
        <is>
          <t>Malicious Insider</t>
        </is>
      </c>
      <c r="B871" s="972" t="inlineStr">
        <is>
          <t>Safety System Compromise</t>
        </is>
      </c>
      <c r="C871" s="972" t="inlineStr">
        <is>
          <t>T0822</t>
        </is>
      </c>
      <c r="D871" s="972" t="inlineStr">
        <is>
          <t>External Remote Services</t>
        </is>
      </c>
      <c r="E871" s="972" t="inlineStr">
        <is>
          <t>S1</t>
        </is>
      </c>
      <c r="F871" s="972" t="inlineStr">
        <is>
          <t>Candidate enabling technique</t>
        </is>
      </c>
      <c r="G871" s="972" t="inlineStr">
        <is>
          <t>No</t>
        </is>
      </c>
      <c r="H871" s="972" t="inlineStr">
        <is>
          <t>Yes</t>
        </is>
      </c>
      <c r="I871" s="972" t="inlineStr">
        <is>
          <t>No</t>
        </is>
      </c>
      <c r="J871" s="972" t="n">
        <v>7</v>
      </c>
      <c r="K871" s="972" t="inlineStr">
        <is>
          <t>Model Mapping</t>
        </is>
      </c>
      <c r="L871" s="452" t="inlineStr">
        <is>
          <t>https://attack.mitre.org/techniques/T0822</t>
        </is>
      </c>
      <c r="M871" s="973" t="inlineStr">
        <is>
          <t>Yes</t>
        </is>
      </c>
      <c r="N871" s="973" t="inlineStr">
        <is>
          <t>REMOTE_REQUIRED — Not None</t>
        </is>
      </c>
      <c r="O871" s="973" t="inlineStr">
        <is>
          <t>The External Remote Services route is credible for Power Generation OT when the enabling access condition exists; existing facility gates determine remote, internet, transient, supply-chain or wireless feasibility.</t>
        </is>
      </c>
      <c r="P871" s="973" t="inlineStr">
        <is>
          <t>https://csrc.nist.gov/pubs/sp/800/82/r3/final</t>
        </is>
      </c>
    </row>
    <row r="872" ht="15" customHeight="1" s="508">
      <c r="A872" s="972" t="inlineStr">
        <is>
          <t>Malicious Insider</t>
        </is>
      </c>
      <c r="B872" s="972" t="inlineStr">
        <is>
          <t>Safety System Compromise</t>
        </is>
      </c>
      <c r="C872" s="972" t="inlineStr">
        <is>
          <t>T0823</t>
        </is>
      </c>
      <c r="D872" s="972" t="inlineStr">
        <is>
          <t>Graphical User Interface</t>
        </is>
      </c>
      <c r="E872" s="972" t="inlineStr">
        <is>
          <t>S2</t>
        </is>
      </c>
      <c r="F872" s="972" t="inlineStr">
        <is>
          <t>Candidate enabling technique</t>
        </is>
      </c>
      <c r="G872" s="972" t="inlineStr">
        <is>
          <t>Yes</t>
        </is>
      </c>
      <c r="H872" s="972" t="inlineStr">
        <is>
          <t>Yes</t>
        </is>
      </c>
      <c r="I872" s="972" t="inlineStr">
        <is>
          <t>Yes</t>
        </is>
      </c>
      <c r="J872" s="972" t="n">
        <v>1</v>
      </c>
      <c r="K872" s="972" t="inlineStr">
        <is>
          <t>Model Mapping</t>
        </is>
      </c>
      <c r="L872" s="452" t="inlineStr">
        <is>
          <t>https://attack.mitre.org/techniques/T0823</t>
        </is>
      </c>
      <c r="M872" s="973" t="inlineStr">
        <is>
          <t>Yes</t>
        </is>
      </c>
      <c r="N872" s="973" t="inlineStr">
        <is>
          <t>No explicit facility gate — defaults feasible</t>
        </is>
      </c>
      <c r="O872" s="973" t="inlineStr">
        <is>
          <t>Graphical User Interface is applicable to execution or persistence on engineering workstations, HMIs, servers or controllers used in Power Generation facilities.</t>
        </is>
      </c>
      <c r="P872" s="973" t="inlineStr">
        <is>
          <t>https://csrc.nist.gov/pubs/sp/800/82/r3/final</t>
        </is>
      </c>
    </row>
    <row r="873" ht="15" customHeight="1" s="508">
      <c r="A873" s="972" t="inlineStr">
        <is>
          <t>Malicious Insider</t>
        </is>
      </c>
      <c r="B873" s="972" t="inlineStr">
        <is>
          <t>Safety System Compromise</t>
        </is>
      </c>
      <c r="C873" s="972" t="inlineStr">
        <is>
          <t>T1694.002</t>
        </is>
      </c>
      <c r="D873" s="972" t="inlineStr">
        <is>
          <t>Hardcoded Credentials</t>
        </is>
      </c>
      <c r="E873" s="972" t="inlineStr">
        <is>
          <t>S3</t>
        </is>
      </c>
      <c r="F873" s="972" t="inlineStr">
        <is>
          <t>Candidate enabling technique</t>
        </is>
      </c>
      <c r="G873" s="972" t="inlineStr">
        <is>
          <t>Yes</t>
        </is>
      </c>
      <c r="H873" s="972" t="inlineStr">
        <is>
          <t>Yes</t>
        </is>
      </c>
      <c r="I873" s="972" t="inlineStr">
        <is>
          <t>Yes</t>
        </is>
      </c>
      <c r="J873" s="972" t="n">
        <v>1</v>
      </c>
      <c r="K873" s="972" t="inlineStr">
        <is>
          <t>Model Mapping</t>
        </is>
      </c>
      <c r="L873" s="452" t="inlineStr">
        <is>
          <t>https://attack.mitre.org/techniques/T1694/002</t>
        </is>
      </c>
      <c r="M873" s="973" t="inlineStr">
        <is>
          <t>Yes</t>
        </is>
      </c>
      <c r="N873" s="973" t="inlineStr">
        <is>
          <t>No explicit facility gate — defaults feasible</t>
        </is>
      </c>
      <c r="O873" s="973" t="inlineStr">
        <is>
          <t>Hardcoded Credentials can support movement toward or within plant/control zones; actual reachability is governed by the assessed facility architecture.</t>
        </is>
      </c>
      <c r="P873" s="973" t="inlineStr">
        <is>
          <t>https://csrc.nist.gov/pubs/sp/800/82/r3/final</t>
        </is>
      </c>
    </row>
    <row r="874" ht="15" customHeight="1" s="508">
      <c r="A874" s="972" t="inlineStr">
        <is>
          <t>Malicious Insider</t>
        </is>
      </c>
      <c r="B874" s="972" t="inlineStr">
        <is>
          <t>Safety System Compromise</t>
        </is>
      </c>
      <c r="C874" s="972" t="inlineStr">
        <is>
          <t>T0874</t>
        </is>
      </c>
      <c r="D874" s="972" t="inlineStr">
        <is>
          <t>Hooking</t>
        </is>
      </c>
      <c r="E874" s="972" t="inlineStr">
        <is>
          <t>S2</t>
        </is>
      </c>
      <c r="F874" s="972" t="inlineStr">
        <is>
          <t>Candidate enabling technique</t>
        </is>
      </c>
      <c r="G874" s="972" t="inlineStr">
        <is>
          <t>Yes</t>
        </is>
      </c>
      <c r="H874" s="972" t="inlineStr">
        <is>
          <t>Yes</t>
        </is>
      </c>
      <c r="I874" s="972" t="inlineStr">
        <is>
          <t>Yes</t>
        </is>
      </c>
      <c r="J874" s="972" t="n">
        <v>2</v>
      </c>
      <c r="K874" s="972" t="inlineStr">
        <is>
          <t>Model Mapping</t>
        </is>
      </c>
      <c r="L874" s="452" t="inlineStr">
        <is>
          <t>https://attack.mitre.org/techniques/T0874</t>
        </is>
      </c>
      <c r="M874" s="973" t="inlineStr">
        <is>
          <t>Yes</t>
        </is>
      </c>
      <c r="N874" s="973" t="inlineStr">
        <is>
          <t>No explicit facility gate — defaults feasible</t>
        </is>
      </c>
      <c r="O874" s="973" t="inlineStr">
        <is>
          <t>Hooking is applicable to execution or persistence on engineering workstations, HMIs, servers or controllers used in Power Generation facilities.</t>
        </is>
      </c>
      <c r="P874" s="973" t="inlineStr">
        <is>
          <t>https://csrc.nist.gov/pubs/sp/800/82/r3/final</t>
        </is>
      </c>
    </row>
    <row r="875" ht="15" customHeight="1" s="508">
      <c r="A875" s="972" t="inlineStr">
        <is>
          <t>Malicious Insider</t>
        </is>
      </c>
      <c r="B875" s="972" t="inlineStr">
        <is>
          <t>Safety System Compromise</t>
        </is>
      </c>
      <c r="C875" s="972" t="inlineStr">
        <is>
          <t>T0877</t>
        </is>
      </c>
      <c r="D875" s="972" t="inlineStr">
        <is>
          <t>I/O Image</t>
        </is>
      </c>
      <c r="E875" s="972" t="inlineStr">
        <is>
          <t>S4</t>
        </is>
      </c>
      <c r="F875" s="972" t="inlineStr">
        <is>
          <t>Candidate enabling technique</t>
        </is>
      </c>
      <c r="G875" s="972" t="inlineStr">
        <is>
          <t>Yes</t>
        </is>
      </c>
      <c r="H875" s="972" t="inlineStr">
        <is>
          <t>Yes</t>
        </is>
      </c>
      <c r="I875" s="972" t="inlineStr">
        <is>
          <t>Yes</t>
        </is>
      </c>
      <c r="J875" s="972" t="n">
        <v>1</v>
      </c>
      <c r="K875" s="972" t="inlineStr">
        <is>
          <t>Model Mapping</t>
        </is>
      </c>
      <c r="L875" s="452" t="inlineStr">
        <is>
          <t>https://attack.mitre.org/techniques/T0877</t>
        </is>
      </c>
      <c r="M875" s="973" t="inlineStr">
        <is>
          <t>Yes</t>
        </is>
      </c>
      <c r="N875" s="973" t="inlineStr">
        <is>
          <t>No explicit facility gate — defaults feasible</t>
        </is>
      </c>
      <c r="O875" s="973" t="inlineStr">
        <is>
          <t>I/O Image can support discovery or interaction with process state, control assets and operational data in Power Generation environments.</t>
        </is>
      </c>
      <c r="P875" s="973" t="inlineStr">
        <is>
          <t>https://csrc.nist.gov/pubs/sp/800/82/r3/final</t>
        </is>
      </c>
    </row>
    <row r="876" ht="15" customHeight="1" s="508">
      <c r="A876" s="972" t="inlineStr">
        <is>
          <t>Malicious Insider</t>
        </is>
      </c>
      <c r="B876" s="972" t="inlineStr">
        <is>
          <t>Safety System Compromise</t>
        </is>
      </c>
      <c r="C876" s="972" t="inlineStr">
        <is>
          <t>T0872</t>
        </is>
      </c>
      <c r="D876" s="972" t="inlineStr">
        <is>
          <t>Indicator Removal on Host</t>
        </is>
      </c>
      <c r="E876" s="972" t="inlineStr">
        <is>
          <t>S2</t>
        </is>
      </c>
      <c r="F876" s="972" t="inlineStr">
        <is>
          <t>Candidate enabling technique</t>
        </is>
      </c>
      <c r="G876" s="972" t="inlineStr">
        <is>
          <t>Yes</t>
        </is>
      </c>
      <c r="H876" s="972" t="inlineStr">
        <is>
          <t>Yes</t>
        </is>
      </c>
      <c r="I876" s="972" t="inlineStr">
        <is>
          <t>Yes</t>
        </is>
      </c>
      <c r="J876" s="972" t="n">
        <v>1</v>
      </c>
      <c r="K876" s="972" t="inlineStr">
        <is>
          <t>Model Mapping</t>
        </is>
      </c>
      <c r="L876" s="452" t="inlineStr">
        <is>
          <t>https://attack.mitre.org/techniques/T0872</t>
        </is>
      </c>
      <c r="M876" s="973" t="inlineStr">
        <is>
          <t>Yes</t>
        </is>
      </c>
      <c r="N876" s="973" t="inlineStr">
        <is>
          <t>No explicit facility gate — defaults feasible</t>
        </is>
      </c>
      <c r="O876" s="973" t="inlineStr">
        <is>
          <t>Indicator Removal on Host is applicable to execution or persistence on engineering workstations, HMIs, servers or controllers used in Power Generation facilities.</t>
        </is>
      </c>
      <c r="P876" s="973" t="inlineStr">
        <is>
          <t>https://csrc.nist.gov/pubs/sp/800/82/r3/final</t>
        </is>
      </c>
    </row>
    <row r="877" ht="15" customHeight="1" s="508">
      <c r="A877" s="972" t="inlineStr">
        <is>
          <t>Malicious Insider</t>
        </is>
      </c>
      <c r="B877" s="972" t="inlineStr">
        <is>
          <t>Safety System Compromise</t>
        </is>
      </c>
      <c r="C877" s="972" t="inlineStr">
        <is>
          <t>T0883</t>
        </is>
      </c>
      <c r="D877" s="972" t="inlineStr">
        <is>
          <t>Internet Accessible Device</t>
        </is>
      </c>
      <c r="E877" s="972" t="inlineStr">
        <is>
          <t>S1</t>
        </is>
      </c>
      <c r="F877" s="972" t="inlineStr">
        <is>
          <t>Candidate enabling technique</t>
        </is>
      </c>
      <c r="G877" s="972" t="inlineStr">
        <is>
          <t>No</t>
        </is>
      </c>
      <c r="H877" s="972" t="inlineStr">
        <is>
          <t>No</t>
        </is>
      </c>
      <c r="I877" s="972" t="inlineStr">
        <is>
          <t>No</t>
        </is>
      </c>
      <c r="J877" s="972" t="n">
        <v>1</v>
      </c>
      <c r="K877" s="972" t="inlineStr">
        <is>
          <t>Model Mapping</t>
        </is>
      </c>
      <c r="L877" s="452" t="inlineStr">
        <is>
          <t>https://attack.mitre.org/techniques/T0883</t>
        </is>
      </c>
      <c r="M877" s="973" t="inlineStr">
        <is>
          <t>Yes</t>
        </is>
      </c>
      <c r="N877" s="973" t="inlineStr">
        <is>
          <t>INTERNET_OT — Yes</t>
        </is>
      </c>
      <c r="O877" s="973" t="inlineStr">
        <is>
          <t>The Internet Accessible Device route is credible for Power Generation OT when the enabling access condition exists; existing facility gates determine remote, internet, transient, supply-chain or wireless feasibility.</t>
        </is>
      </c>
      <c r="P877" s="973" t="inlineStr">
        <is>
          <t>https://csrc.nist.gov/pubs/sp/800/82/r3/final</t>
        </is>
      </c>
    </row>
    <row r="878" ht="15" customHeight="1" s="508">
      <c r="A878" s="972" t="inlineStr">
        <is>
          <t>Malicious Insider</t>
        </is>
      </c>
      <c r="B878" s="972" t="inlineStr">
        <is>
          <t>Safety System Compromise</t>
        </is>
      </c>
      <c r="C878" s="972" t="inlineStr">
        <is>
          <t>T0867</t>
        </is>
      </c>
      <c r="D878" s="972" t="inlineStr">
        <is>
          <t>Lateral Tool Transfer</t>
        </is>
      </c>
      <c r="E878" s="972" t="inlineStr">
        <is>
          <t>S3</t>
        </is>
      </c>
      <c r="F878" s="972" t="inlineStr">
        <is>
          <t>Candidate enabling technique</t>
        </is>
      </c>
      <c r="G878" s="972" t="inlineStr">
        <is>
          <t>Yes</t>
        </is>
      </c>
      <c r="H878" s="972" t="inlineStr">
        <is>
          <t>Yes</t>
        </is>
      </c>
      <c r="I878" s="972" t="inlineStr">
        <is>
          <t>Yes</t>
        </is>
      </c>
      <c r="J878" s="972" t="n">
        <v>1</v>
      </c>
      <c r="K878" s="972" t="inlineStr">
        <is>
          <t>Model Mapping</t>
        </is>
      </c>
      <c r="L878" s="452" t="inlineStr">
        <is>
          <t>https://attack.mitre.org/techniques/T0867</t>
        </is>
      </c>
      <c r="M878" s="973" t="inlineStr">
        <is>
          <t>Yes</t>
        </is>
      </c>
      <c r="N878" s="973" t="inlineStr">
        <is>
          <t>No explicit facility gate — defaults feasible</t>
        </is>
      </c>
      <c r="O878" s="973" t="inlineStr">
        <is>
          <t>Lateral Tool Transfer can support movement toward or within plant/control zones; actual reachability is governed by the assessed facility architecture.</t>
        </is>
      </c>
      <c r="P878" s="973" t="inlineStr">
        <is>
          <t>https://csrc.nist.gov/pubs/sp/800/82/r3/final</t>
        </is>
      </c>
    </row>
    <row r="879" ht="15" customHeight="1" s="508">
      <c r="A879" s="972" t="inlineStr">
        <is>
          <t>Malicious Insider</t>
        </is>
      </c>
      <c r="B879" s="972" t="inlineStr">
        <is>
          <t>Safety System Compromise</t>
        </is>
      </c>
      <c r="C879" s="972" t="inlineStr">
        <is>
          <t>T0880</t>
        </is>
      </c>
      <c r="D879" s="972" t="inlineStr">
        <is>
          <t>Loss of Safety</t>
        </is>
      </c>
      <c r="E879" s="972" t="inlineStr">
        <is>
          <t>S5</t>
        </is>
      </c>
      <c r="F879" s="972" t="inlineStr">
        <is>
          <t>Scenario-defining</t>
        </is>
      </c>
      <c r="G879" s="972" t="inlineStr">
        <is>
          <t>Yes</t>
        </is>
      </c>
      <c r="H879" s="972" t="inlineStr">
        <is>
          <t>Yes</t>
        </is>
      </c>
      <c r="I879" s="972" t="inlineStr">
        <is>
          <t>Yes</t>
        </is>
      </c>
      <c r="J879" s="972" t="n">
        <v>2</v>
      </c>
      <c r="K879" s="972" t="inlineStr">
        <is>
          <t>Model Mapping</t>
        </is>
      </c>
      <c r="L879" s="452" t="inlineStr">
        <is>
          <t>https://attack.mitre.org/techniques/T0880</t>
        </is>
      </c>
      <c r="M879" s="973" t="inlineStr">
        <is>
          <t>Yes</t>
        </is>
      </c>
      <c r="N879" s="973" t="inlineStr">
        <is>
          <t>No explicit facility gate — defaults feasible</t>
        </is>
      </c>
      <c r="O879" s="973" t="inlineStr">
        <is>
          <t>Loss of Safety is an ATT&amp;CK for ICS impact or response-inhibition technique that can support one or more governed adverse scenarios; scenario role remains controlled on 09.</t>
        </is>
      </c>
      <c r="P879" s="973" t="inlineStr">
        <is>
          <t>https://csrc.nist.gov/pubs/sp/800/82/r3/final</t>
        </is>
      </c>
    </row>
    <row r="880" ht="15" customHeight="1" s="508">
      <c r="A880" s="972" t="inlineStr">
        <is>
          <t>Malicious Insider</t>
        </is>
      </c>
      <c r="B880" s="972" t="inlineStr">
        <is>
          <t>Safety System Compromise</t>
        </is>
      </c>
      <c r="C880" s="972" t="inlineStr">
        <is>
          <t>T0835</t>
        </is>
      </c>
      <c r="D880" s="972" t="inlineStr">
        <is>
          <t>Manipulate I/O Image</t>
        </is>
      </c>
      <c r="E880" s="972" t="inlineStr">
        <is>
          <t>S5</t>
        </is>
      </c>
      <c r="F880" s="972" t="inlineStr">
        <is>
          <t>Supporting / impact</t>
        </is>
      </c>
      <c r="G880" s="972" t="inlineStr">
        <is>
          <t>Yes</t>
        </is>
      </c>
      <c r="H880" s="972" t="inlineStr">
        <is>
          <t>Yes</t>
        </is>
      </c>
      <c r="I880" s="972" t="inlineStr">
        <is>
          <t>Yes</t>
        </is>
      </c>
      <c r="J880" s="972" t="n">
        <v>1</v>
      </c>
      <c r="K880" s="972" t="inlineStr">
        <is>
          <t>Model Mapping</t>
        </is>
      </c>
      <c r="L880" s="452" t="inlineStr">
        <is>
          <t>https://attack.mitre.org/techniques/T0835</t>
        </is>
      </c>
      <c r="M880" s="973" t="inlineStr">
        <is>
          <t>Yes</t>
        </is>
      </c>
      <c r="N880" s="973" t="inlineStr">
        <is>
          <t>No explicit facility gate — defaults feasible</t>
        </is>
      </c>
      <c r="O880" s="973" t="inlineStr">
        <is>
          <t>Manipulate I/O Image is an ATT&amp;CK for ICS impact or response-inhibition technique that can support one or more governed adverse scenarios; scenario role remains controlled on 09.</t>
        </is>
      </c>
      <c r="P880" s="973" t="inlineStr">
        <is>
          <t>https://csrc.nist.gov/pubs/sp/800/82/r3/final</t>
        </is>
      </c>
    </row>
    <row r="881" ht="15" customHeight="1" s="508">
      <c r="A881" s="972" t="inlineStr">
        <is>
          <t>Malicious Insider</t>
        </is>
      </c>
      <c r="B881" s="972" t="inlineStr">
        <is>
          <t>Safety System Compromise</t>
        </is>
      </c>
      <c r="C881" s="972" t="inlineStr">
        <is>
          <t>T0849</t>
        </is>
      </c>
      <c r="D881" s="972" t="inlineStr">
        <is>
          <t>Masquerading</t>
        </is>
      </c>
      <c r="E881" s="972" t="inlineStr">
        <is>
          <t>S2</t>
        </is>
      </c>
      <c r="F881" s="972" t="inlineStr">
        <is>
          <t>Candidate enabling technique</t>
        </is>
      </c>
      <c r="G881" s="972" t="inlineStr">
        <is>
          <t>Yes</t>
        </is>
      </c>
      <c r="H881" s="972" t="inlineStr">
        <is>
          <t>Yes</t>
        </is>
      </c>
      <c r="I881" s="972" t="inlineStr">
        <is>
          <t>Yes</t>
        </is>
      </c>
      <c r="J881" s="972" t="n">
        <v>3</v>
      </c>
      <c r="K881" s="972" t="inlineStr">
        <is>
          <t>Model Mapping</t>
        </is>
      </c>
      <c r="L881" s="452" t="inlineStr">
        <is>
          <t>https://attack.mitre.org/techniques/T0849</t>
        </is>
      </c>
      <c r="M881" s="973" t="inlineStr">
        <is>
          <t>Yes</t>
        </is>
      </c>
      <c r="N881" s="973" t="inlineStr">
        <is>
          <t>No explicit facility gate — defaults feasible</t>
        </is>
      </c>
      <c r="O881" s="973" t="inlineStr">
        <is>
          <t>Masquerading is applicable to execution or persistence on engineering workstations, HMIs, servers or controllers used in Power Generation facilities.</t>
        </is>
      </c>
      <c r="P881" s="973" t="inlineStr">
        <is>
          <t>https://csrc.nist.gov/pubs/sp/800/82/r3/final</t>
        </is>
      </c>
    </row>
    <row r="882" ht="15" customHeight="1" s="508">
      <c r="A882" s="972" t="inlineStr">
        <is>
          <t>Malicious Insider</t>
        </is>
      </c>
      <c r="B882" s="972" t="inlineStr">
        <is>
          <t>Safety System Compromise</t>
        </is>
      </c>
      <c r="C882" s="972" t="inlineStr">
        <is>
          <t>T0838</t>
        </is>
      </c>
      <c r="D882" s="972" t="inlineStr">
        <is>
          <t>Modify Alarm Settings</t>
        </is>
      </c>
      <c r="E882" s="972" t="inlineStr">
        <is>
          <t>S5</t>
        </is>
      </c>
      <c r="F882" s="972" t="inlineStr">
        <is>
          <t>Scenario-defining</t>
        </is>
      </c>
      <c r="G882" s="972" t="inlineStr">
        <is>
          <t>Yes</t>
        </is>
      </c>
      <c r="H882" s="972" t="inlineStr">
        <is>
          <t>Yes</t>
        </is>
      </c>
      <c r="I882" s="972" t="inlineStr">
        <is>
          <t>Yes</t>
        </is>
      </c>
      <c r="J882" s="972" t="n">
        <v>7</v>
      </c>
      <c r="K882" s="972" t="inlineStr">
        <is>
          <t>Model Mapping</t>
        </is>
      </c>
      <c r="L882" s="452" t="inlineStr">
        <is>
          <t>https://attack.mitre.org/techniques/T0838</t>
        </is>
      </c>
      <c r="M882" s="973" t="inlineStr">
        <is>
          <t>Yes</t>
        </is>
      </c>
      <c r="N882" s="973" t="inlineStr">
        <is>
          <t>No explicit facility gate — defaults feasible</t>
        </is>
      </c>
      <c r="O882" s="973" t="inlineStr">
        <is>
          <t>Modify Alarm Settings is an ATT&amp;CK for ICS impact or response-inhibition technique that can support one or more governed adverse scenarios; scenario role remains controlled on 09.</t>
        </is>
      </c>
      <c r="P882" s="973" t="inlineStr">
        <is>
          <t>https://csrc.nist.gov/pubs/sp/800/82/r3/final</t>
        </is>
      </c>
    </row>
    <row r="883" ht="15" customHeight="1" s="508">
      <c r="A883" s="972" t="inlineStr">
        <is>
          <t>Malicious Insider</t>
        </is>
      </c>
      <c r="B883" s="972" t="inlineStr">
        <is>
          <t>Safety System Compromise</t>
        </is>
      </c>
      <c r="C883" s="972" t="inlineStr">
        <is>
          <t>T0821</t>
        </is>
      </c>
      <c r="D883" s="972" t="inlineStr">
        <is>
          <t>Modify Controller Tasking</t>
        </is>
      </c>
      <c r="E883" s="972" t="inlineStr">
        <is>
          <t>S2</t>
        </is>
      </c>
      <c r="F883" s="972" t="inlineStr">
        <is>
          <t>Candidate enabling technique</t>
        </is>
      </c>
      <c r="G883" s="972" t="inlineStr">
        <is>
          <t>Yes</t>
        </is>
      </c>
      <c r="H883" s="972" t="inlineStr">
        <is>
          <t>Yes</t>
        </is>
      </c>
      <c r="I883" s="972" t="inlineStr">
        <is>
          <t>Yes</t>
        </is>
      </c>
      <c r="J883" s="972" t="n">
        <v>4</v>
      </c>
      <c r="K883" s="972" t="inlineStr">
        <is>
          <t>Model Mapping</t>
        </is>
      </c>
      <c r="L883" s="452" t="inlineStr">
        <is>
          <t>https://attack.mitre.org/techniques/T0821</t>
        </is>
      </c>
      <c r="M883" s="973" t="inlineStr">
        <is>
          <t>Yes</t>
        </is>
      </c>
      <c r="N883" s="973" t="inlineStr">
        <is>
          <t>No explicit facility gate — defaults feasible</t>
        </is>
      </c>
      <c r="O883" s="973" t="inlineStr">
        <is>
          <t>Modify Controller Tasking is applicable to execution or persistence on engineering workstations, HMIs, servers or controllers used in Power Generation facilities.</t>
        </is>
      </c>
      <c r="P883" s="973" t="inlineStr">
        <is>
          <t>https://csrc.nist.gov/pubs/sp/800/82/r3/final</t>
        </is>
      </c>
    </row>
    <row r="884" ht="15" customHeight="1" s="508">
      <c r="A884" s="972" t="inlineStr">
        <is>
          <t>Malicious Insider</t>
        </is>
      </c>
      <c r="B884" s="972" t="inlineStr">
        <is>
          <t>Safety System Compromise</t>
        </is>
      </c>
      <c r="C884" s="972" t="inlineStr">
        <is>
          <t>T0889</t>
        </is>
      </c>
      <c r="D884" s="972" t="inlineStr">
        <is>
          <t>Modify Program</t>
        </is>
      </c>
      <c r="E884" s="972" t="inlineStr">
        <is>
          <t>S2</t>
        </is>
      </c>
      <c r="F884" s="972" t="inlineStr">
        <is>
          <t>Candidate enabling technique</t>
        </is>
      </c>
      <c r="G884" s="972" t="inlineStr">
        <is>
          <t>Yes</t>
        </is>
      </c>
      <c r="H884" s="972" t="inlineStr">
        <is>
          <t>Yes</t>
        </is>
      </c>
      <c r="I884" s="972" t="inlineStr">
        <is>
          <t>Yes</t>
        </is>
      </c>
      <c r="J884" s="972" t="n">
        <v>4</v>
      </c>
      <c r="K884" s="972" t="inlineStr">
        <is>
          <t>Model Mapping</t>
        </is>
      </c>
      <c r="L884" s="452" t="inlineStr">
        <is>
          <t>https://attack.mitre.org/techniques/T0889</t>
        </is>
      </c>
      <c r="M884" s="973" t="inlineStr">
        <is>
          <t>Yes</t>
        </is>
      </c>
      <c r="N884" s="973" t="inlineStr">
        <is>
          <t>No explicit facility gate — defaults feasible</t>
        </is>
      </c>
      <c r="O884" s="973" t="inlineStr">
        <is>
          <t>Modify Program is applicable to execution or persistence on engineering workstations, HMIs, servers or controllers used in Power Generation facilities.</t>
        </is>
      </c>
      <c r="P884" s="973" t="inlineStr">
        <is>
          <t>https://csrc.nist.gov/pubs/sp/800/82/r3/final</t>
        </is>
      </c>
    </row>
    <row r="885" ht="15" customHeight="1" s="508">
      <c r="A885" s="972" t="inlineStr">
        <is>
          <t>Malicious Insider</t>
        </is>
      </c>
      <c r="B885" s="972" t="inlineStr">
        <is>
          <t>Safety System Compromise</t>
        </is>
      </c>
      <c r="C885" s="972" t="inlineStr">
        <is>
          <t>T0801</t>
        </is>
      </c>
      <c r="D885" s="972" t="inlineStr">
        <is>
          <t>Monitor Process State</t>
        </is>
      </c>
      <c r="E885" s="972" t="inlineStr">
        <is>
          <t>S4</t>
        </is>
      </c>
      <c r="F885" s="972" t="inlineStr">
        <is>
          <t>Candidate enabling technique</t>
        </is>
      </c>
      <c r="G885" s="972" t="inlineStr">
        <is>
          <t>Yes</t>
        </is>
      </c>
      <c r="H885" s="972" t="inlineStr">
        <is>
          <t>Yes</t>
        </is>
      </c>
      <c r="I885" s="972" t="inlineStr">
        <is>
          <t>Yes</t>
        </is>
      </c>
      <c r="J885" s="972" t="n">
        <v>1</v>
      </c>
      <c r="K885" s="972" t="inlineStr">
        <is>
          <t>Model Mapping</t>
        </is>
      </c>
      <c r="L885" s="452" t="inlineStr">
        <is>
          <t>https://attack.mitre.org/techniques/T0801</t>
        </is>
      </c>
      <c r="M885" s="973" t="inlineStr">
        <is>
          <t>Yes</t>
        </is>
      </c>
      <c r="N885" s="973" t="inlineStr">
        <is>
          <t>No explicit facility gate — defaults feasible</t>
        </is>
      </c>
      <c r="O885" s="973" t="inlineStr">
        <is>
          <t>Monitor Process State can support discovery or interaction with process state, control assets and operational data in Power Generation environments.</t>
        </is>
      </c>
      <c r="P885" s="973" t="inlineStr">
        <is>
          <t>https://csrc.nist.gov/pubs/sp/800/82/r3/final</t>
        </is>
      </c>
    </row>
    <row r="886" ht="15" customHeight="1" s="508">
      <c r="A886" s="972" t="inlineStr">
        <is>
          <t>Malicious Insider</t>
        </is>
      </c>
      <c r="B886" s="972" t="inlineStr">
        <is>
          <t>Safety System Compromise</t>
        </is>
      </c>
      <c r="C886" s="972" t="inlineStr">
        <is>
          <t>T0846.003</t>
        </is>
      </c>
      <c r="D886" s="972" t="inlineStr">
        <is>
          <t>Multicast Discovery</t>
        </is>
      </c>
      <c r="E886" s="972" t="inlineStr">
        <is>
          <t>S4</t>
        </is>
      </c>
      <c r="F886" s="972" t="inlineStr">
        <is>
          <t>Candidate enabling technique</t>
        </is>
      </c>
      <c r="G886" s="972" t="inlineStr">
        <is>
          <t>Yes</t>
        </is>
      </c>
      <c r="H886" s="972" t="inlineStr">
        <is>
          <t>Yes</t>
        </is>
      </c>
      <c r="I886" s="972" t="inlineStr">
        <is>
          <t>Yes</t>
        </is>
      </c>
      <c r="J886" s="972" t="n">
        <v>2</v>
      </c>
      <c r="K886" s="972" t="inlineStr">
        <is>
          <t>Model Mapping</t>
        </is>
      </c>
      <c r="L886" s="452" t="inlineStr">
        <is>
          <t>https://attack.mitre.org/techniques/T0846/003</t>
        </is>
      </c>
      <c r="M886" s="973" t="inlineStr">
        <is>
          <t>Yes</t>
        </is>
      </c>
      <c r="N886" s="973" t="inlineStr">
        <is>
          <t>No explicit facility gate — defaults feasible</t>
        </is>
      </c>
      <c r="O886" s="973" t="inlineStr">
        <is>
          <t>Multicast Discovery can support discovery or interaction with process state, control assets and operational data in Power Generation environments.</t>
        </is>
      </c>
      <c r="P886" s="973" t="inlineStr">
        <is>
          <t>https://csrc.nist.gov/pubs/sp/800/82/r3/final</t>
        </is>
      </c>
    </row>
    <row r="887" ht="15" customHeight="1" s="508">
      <c r="A887" s="972" t="inlineStr">
        <is>
          <t>Malicious Insider</t>
        </is>
      </c>
      <c r="B887" s="972" t="inlineStr">
        <is>
          <t>Safety System Compromise</t>
        </is>
      </c>
      <c r="C887" s="972" t="inlineStr">
        <is>
          <t>T0834</t>
        </is>
      </c>
      <c r="D887" s="972" t="inlineStr">
        <is>
          <t>Native API</t>
        </is>
      </c>
      <c r="E887" s="972" t="inlineStr">
        <is>
          <t>S2</t>
        </is>
      </c>
      <c r="F887" s="972" t="inlineStr">
        <is>
          <t>Candidate enabling technique</t>
        </is>
      </c>
      <c r="G887" s="972" t="inlineStr">
        <is>
          <t>Yes</t>
        </is>
      </c>
      <c r="H887" s="972" t="inlineStr">
        <is>
          <t>Yes</t>
        </is>
      </c>
      <c r="I887" s="972" t="inlineStr">
        <is>
          <t>Yes</t>
        </is>
      </c>
      <c r="J887" s="972" t="n">
        <v>1</v>
      </c>
      <c r="K887" s="972" t="inlineStr">
        <is>
          <t>Model Mapping</t>
        </is>
      </c>
      <c r="L887" s="452" t="inlineStr">
        <is>
          <t>https://attack.mitre.org/techniques/T0834</t>
        </is>
      </c>
      <c r="M887" s="973" t="inlineStr">
        <is>
          <t>Yes</t>
        </is>
      </c>
      <c r="N887" s="973" t="inlineStr">
        <is>
          <t>No explicit facility gate — defaults feasible</t>
        </is>
      </c>
      <c r="O887" s="973" t="inlineStr">
        <is>
          <t>Native API is applicable to execution or persistence on engineering workstations, HMIs, servers or controllers used in Power Generation facilities.</t>
        </is>
      </c>
      <c r="P887" s="973" t="inlineStr">
        <is>
          <t>https://csrc.nist.gov/pubs/sp/800/82/r3/final</t>
        </is>
      </c>
    </row>
    <row r="888" ht="15" customHeight="1" s="508">
      <c r="A888" s="972" t="inlineStr">
        <is>
          <t>Malicious Insider</t>
        </is>
      </c>
      <c r="B888" s="972" t="inlineStr">
        <is>
          <t>Safety System Compromise</t>
        </is>
      </c>
      <c r="C888" s="972" t="inlineStr">
        <is>
          <t>T0840</t>
        </is>
      </c>
      <c r="D888" s="972" t="inlineStr">
        <is>
          <t>Network Connection Enumeration</t>
        </is>
      </c>
      <c r="E888" s="972" t="inlineStr">
        <is>
          <t>S4</t>
        </is>
      </c>
      <c r="F888" s="972" t="inlineStr">
        <is>
          <t>Candidate enabling technique</t>
        </is>
      </c>
      <c r="G888" s="972" t="inlineStr">
        <is>
          <t>Yes</t>
        </is>
      </c>
      <c r="H888" s="972" t="inlineStr">
        <is>
          <t>Yes</t>
        </is>
      </c>
      <c r="I888" s="972" t="inlineStr">
        <is>
          <t>Yes</t>
        </is>
      </c>
      <c r="J888" s="972" t="n">
        <v>1</v>
      </c>
      <c r="K888" s="972" t="inlineStr">
        <is>
          <t>Model Mapping</t>
        </is>
      </c>
      <c r="L888" s="452" t="inlineStr">
        <is>
          <t>https://attack.mitre.org/techniques/T0840</t>
        </is>
      </c>
      <c r="M888" s="973" t="inlineStr">
        <is>
          <t>Yes</t>
        </is>
      </c>
      <c r="N888" s="973" t="inlineStr">
        <is>
          <t>No explicit facility gate — defaults feasible</t>
        </is>
      </c>
      <c r="O888" s="973" t="inlineStr">
        <is>
          <t>Network Connection Enumeration can support discovery or interaction with process state, control assets and operational data in Power Generation environments.</t>
        </is>
      </c>
      <c r="P888" s="973" t="inlineStr">
        <is>
          <t>https://csrc.nist.gov/pubs/sp/800/82/r3/final</t>
        </is>
      </c>
    </row>
    <row r="889" ht="15" customHeight="1" s="508">
      <c r="A889" s="972" t="inlineStr">
        <is>
          <t>Malicious Insider</t>
        </is>
      </c>
      <c r="B889" s="972" t="inlineStr">
        <is>
          <t>Safety System Compromise</t>
        </is>
      </c>
      <c r="C889" s="972" t="inlineStr">
        <is>
          <t>T0842</t>
        </is>
      </c>
      <c r="D889" s="972" t="inlineStr">
        <is>
          <t>Network Sniffing</t>
        </is>
      </c>
      <c r="E889" s="972" t="inlineStr">
        <is>
          <t>S4</t>
        </is>
      </c>
      <c r="F889" s="972" t="inlineStr">
        <is>
          <t>Candidate enabling technique</t>
        </is>
      </c>
      <c r="G889" s="972" t="inlineStr">
        <is>
          <t>Yes</t>
        </is>
      </c>
      <c r="H889" s="972" t="inlineStr">
        <is>
          <t>Yes</t>
        </is>
      </c>
      <c r="I889" s="972" t="inlineStr">
        <is>
          <t>Yes</t>
        </is>
      </c>
      <c r="J889" s="972" t="n">
        <v>5</v>
      </c>
      <c r="K889" s="972" t="inlineStr">
        <is>
          <t>Model Mapping</t>
        </is>
      </c>
      <c r="L889" s="452" t="inlineStr">
        <is>
          <t>https://attack.mitre.org/techniques/T0842</t>
        </is>
      </c>
      <c r="M889" s="973" t="inlineStr">
        <is>
          <t>Yes</t>
        </is>
      </c>
      <c r="N889" s="973" t="inlineStr">
        <is>
          <t>No explicit facility gate — defaults feasible</t>
        </is>
      </c>
      <c r="O889" s="973" t="inlineStr">
        <is>
          <t>Network Sniffing can support discovery or interaction with process state, control assets and operational data in Power Generation environments.</t>
        </is>
      </c>
      <c r="P889" s="973" t="inlineStr">
        <is>
          <t>https://csrc.nist.gov/pubs/sp/800/82/r3/final</t>
        </is>
      </c>
    </row>
    <row r="890" ht="15" customHeight="1" s="508">
      <c r="A890" s="972" t="inlineStr">
        <is>
          <t>Malicious Insider</t>
        </is>
      </c>
      <c r="B890" s="972" t="inlineStr">
        <is>
          <t>Safety System Compromise</t>
        </is>
      </c>
      <c r="C890" s="972" t="inlineStr">
        <is>
          <t>T0843.002</t>
        </is>
      </c>
      <c r="D890" s="972" t="inlineStr">
        <is>
          <t>Online Edit</t>
        </is>
      </c>
      <c r="E890" s="972" t="inlineStr">
        <is>
          <t>S3</t>
        </is>
      </c>
      <c r="F890" s="972" t="inlineStr">
        <is>
          <t>Candidate enabling technique</t>
        </is>
      </c>
      <c r="G890" s="972" t="inlineStr">
        <is>
          <t>Yes</t>
        </is>
      </c>
      <c r="H890" s="972" t="inlineStr">
        <is>
          <t>Yes</t>
        </is>
      </c>
      <c r="I890" s="972" t="inlineStr">
        <is>
          <t>Yes</t>
        </is>
      </c>
      <c r="J890" s="972" t="n">
        <v>10</v>
      </c>
      <c r="K890" s="972" t="inlineStr">
        <is>
          <t>Model Mapping</t>
        </is>
      </c>
      <c r="L890" s="452" t="inlineStr">
        <is>
          <t>https://attack.mitre.org/techniques/T0843/002</t>
        </is>
      </c>
      <c r="M890" s="973" t="inlineStr">
        <is>
          <t>Yes</t>
        </is>
      </c>
      <c r="N890" s="973" t="inlineStr">
        <is>
          <t>No explicit facility gate — defaults feasible</t>
        </is>
      </c>
      <c r="O890" s="973" t="inlineStr">
        <is>
          <t>Online Edit can support movement toward or within plant/control zones; actual reachability is governed by the assessed facility architecture.</t>
        </is>
      </c>
      <c r="P890" s="973" t="inlineStr">
        <is>
          <t>https://csrc.nist.gov/pubs/sp/800/82/r3/final</t>
        </is>
      </c>
    </row>
    <row r="891" ht="15" customHeight="1" s="508">
      <c r="A891" s="972" t="inlineStr">
        <is>
          <t>Malicious Insider</t>
        </is>
      </c>
      <c r="B891" s="972" t="inlineStr">
        <is>
          <t>Safety System Compromise</t>
        </is>
      </c>
      <c r="C891" s="972" t="inlineStr">
        <is>
          <t>T0861</t>
        </is>
      </c>
      <c r="D891" s="972" t="inlineStr">
        <is>
          <t>Point &amp; Tag Identification</t>
        </is>
      </c>
      <c r="E891" s="972" t="inlineStr">
        <is>
          <t>S4</t>
        </is>
      </c>
      <c r="F891" s="972" t="inlineStr">
        <is>
          <t>Candidate enabling technique</t>
        </is>
      </c>
      <c r="G891" s="972" t="inlineStr">
        <is>
          <t>Yes</t>
        </is>
      </c>
      <c r="H891" s="972" t="inlineStr">
        <is>
          <t>Yes</t>
        </is>
      </c>
      <c r="I891" s="972" t="inlineStr">
        <is>
          <t>Yes</t>
        </is>
      </c>
      <c r="J891" s="972" t="n">
        <v>8</v>
      </c>
      <c r="K891" s="972" t="inlineStr">
        <is>
          <t>Model Mapping</t>
        </is>
      </c>
      <c r="L891" s="452" t="inlineStr">
        <is>
          <t>https://attack.mitre.org/techniques/T0861</t>
        </is>
      </c>
      <c r="M891" s="973" t="inlineStr">
        <is>
          <t>Yes</t>
        </is>
      </c>
      <c r="N891" s="973" t="inlineStr">
        <is>
          <t>No explicit facility gate — defaults feasible</t>
        </is>
      </c>
      <c r="O891" s="973" t="inlineStr">
        <is>
          <t>Point &amp; Tag Identification can support discovery or interaction with process state, control assets and operational data in Power Generation environments.</t>
        </is>
      </c>
      <c r="P891" s="973" t="inlineStr">
        <is>
          <t>https://csrc.nist.gov/pubs/sp/800/82/r3/final</t>
        </is>
      </c>
    </row>
    <row r="892" ht="15" customHeight="1" s="508">
      <c r="A892" s="972" t="inlineStr">
        <is>
          <t>Malicious Insider</t>
        </is>
      </c>
      <c r="B892" s="972" t="inlineStr">
        <is>
          <t>Safety System Compromise</t>
        </is>
      </c>
      <c r="C892" s="972" t="inlineStr">
        <is>
          <t>T0846.001</t>
        </is>
      </c>
      <c r="D892" s="972" t="inlineStr">
        <is>
          <t>Port Scan</t>
        </is>
      </c>
      <c r="E892" s="972" t="inlineStr">
        <is>
          <t>S4</t>
        </is>
      </c>
      <c r="F892" s="972" t="inlineStr">
        <is>
          <t>Candidate enabling technique</t>
        </is>
      </c>
      <c r="G892" s="972" t="inlineStr">
        <is>
          <t>Yes</t>
        </is>
      </c>
      <c r="H892" s="972" t="inlineStr">
        <is>
          <t>Yes</t>
        </is>
      </c>
      <c r="I892" s="972" t="inlineStr">
        <is>
          <t>Yes</t>
        </is>
      </c>
      <c r="J892" s="972" t="n">
        <v>3</v>
      </c>
      <c r="K892" s="972" t="inlineStr">
        <is>
          <t>Model Mapping</t>
        </is>
      </c>
      <c r="L892" s="452" t="inlineStr">
        <is>
          <t>https://attack.mitre.org/techniques/T0846/001</t>
        </is>
      </c>
      <c r="M892" s="973" t="inlineStr">
        <is>
          <t>Yes</t>
        </is>
      </c>
      <c r="N892" s="973" t="inlineStr">
        <is>
          <t>No explicit facility gate — defaults feasible</t>
        </is>
      </c>
      <c r="O892" s="973" t="inlineStr">
        <is>
          <t>Port Scan can support discovery or interaction with process state, control assets and operational data in Power Generation environments.</t>
        </is>
      </c>
      <c r="P892" s="973" t="inlineStr">
        <is>
          <t>https://csrc.nist.gov/pubs/sp/800/82/r3/final</t>
        </is>
      </c>
    </row>
    <row r="893" ht="15" customHeight="1" s="508">
      <c r="A893" s="972" t="inlineStr">
        <is>
          <t>Malicious Insider</t>
        </is>
      </c>
      <c r="B893" s="972" t="inlineStr">
        <is>
          <t>Safety System Compromise</t>
        </is>
      </c>
      <c r="C893" s="972" t="inlineStr">
        <is>
          <t>T0843.003</t>
        </is>
      </c>
      <c r="D893" s="972" t="inlineStr">
        <is>
          <t>Program Append</t>
        </is>
      </c>
      <c r="E893" s="972" t="inlineStr">
        <is>
          <t>S3</t>
        </is>
      </c>
      <c r="F893" s="972" t="inlineStr">
        <is>
          <t>Candidate enabling technique</t>
        </is>
      </c>
      <c r="G893" s="972" t="inlineStr">
        <is>
          <t>Yes</t>
        </is>
      </c>
      <c r="H893" s="972" t="inlineStr">
        <is>
          <t>Yes</t>
        </is>
      </c>
      <c r="I893" s="972" t="inlineStr">
        <is>
          <t>Yes</t>
        </is>
      </c>
      <c r="J893" s="972" t="n">
        <v>10</v>
      </c>
      <c r="K893" s="972" t="inlineStr">
        <is>
          <t>Model Mapping</t>
        </is>
      </c>
      <c r="L893" s="452" t="inlineStr">
        <is>
          <t>https://attack.mitre.org/techniques/T0843/003</t>
        </is>
      </c>
      <c r="M893" s="973" t="inlineStr">
        <is>
          <t>Yes</t>
        </is>
      </c>
      <c r="N893" s="973" t="inlineStr">
        <is>
          <t>No explicit facility gate — defaults feasible</t>
        </is>
      </c>
      <c r="O893" s="973" t="inlineStr">
        <is>
          <t>Program Append can support movement toward or within plant/control zones; actual reachability is governed by the assessed facility architecture.</t>
        </is>
      </c>
      <c r="P893" s="973" t="inlineStr">
        <is>
          <t>https://csrc.nist.gov/pubs/sp/800/82/r3/final</t>
        </is>
      </c>
    </row>
    <row r="894" ht="15" customHeight="1" s="508">
      <c r="A894" s="972" t="inlineStr">
        <is>
          <t>Malicious Insider</t>
        </is>
      </c>
      <c r="B894" s="972" t="inlineStr">
        <is>
          <t>Safety System Compromise</t>
        </is>
      </c>
      <c r="C894" s="972" t="inlineStr">
        <is>
          <t>T0845</t>
        </is>
      </c>
      <c r="D894" s="972" t="inlineStr">
        <is>
          <t>Program Upload</t>
        </is>
      </c>
      <c r="E894" s="972" t="inlineStr">
        <is>
          <t>S4</t>
        </is>
      </c>
      <c r="F894" s="972" t="inlineStr">
        <is>
          <t>Candidate enabling technique</t>
        </is>
      </c>
      <c r="G894" s="972" t="inlineStr">
        <is>
          <t>Yes</t>
        </is>
      </c>
      <c r="H894" s="972" t="inlineStr">
        <is>
          <t>Yes</t>
        </is>
      </c>
      <c r="I894" s="972" t="inlineStr">
        <is>
          <t>Yes</t>
        </is>
      </c>
      <c r="J894" s="972" t="n">
        <v>8</v>
      </c>
      <c r="K894" s="972" t="inlineStr">
        <is>
          <t>Model Mapping</t>
        </is>
      </c>
      <c r="L894" s="452" t="inlineStr">
        <is>
          <t>https://attack.mitre.org/techniques/T0845</t>
        </is>
      </c>
      <c r="M894" s="973" t="inlineStr">
        <is>
          <t>Yes</t>
        </is>
      </c>
      <c r="N894" s="973" t="inlineStr">
        <is>
          <t>No explicit facility gate — defaults feasible</t>
        </is>
      </c>
      <c r="O894" s="973" t="inlineStr">
        <is>
          <t>Program Upload can support discovery or interaction with process state, control assets and operational data in Power Generation environments.</t>
        </is>
      </c>
      <c r="P894" s="973" t="inlineStr">
        <is>
          <t>https://csrc.nist.gov/pubs/sp/800/82/r3/final</t>
        </is>
      </c>
    </row>
    <row r="895" ht="15" customHeight="1" s="508">
      <c r="A895" s="972" t="inlineStr">
        <is>
          <t>Malicious Insider</t>
        </is>
      </c>
      <c r="B895" s="972" t="inlineStr">
        <is>
          <t>Safety System Compromise</t>
        </is>
      </c>
      <c r="C895" s="972" t="inlineStr">
        <is>
          <t>T0886</t>
        </is>
      </c>
      <c r="D895" s="972" t="inlineStr">
        <is>
          <t>Remote Services</t>
        </is>
      </c>
      <c r="E895" s="972" t="inlineStr">
        <is>
          <t>S1</t>
        </is>
      </c>
      <c r="F895" s="972" t="inlineStr">
        <is>
          <t>Candidate enabling technique</t>
        </is>
      </c>
      <c r="G895" s="972" t="inlineStr">
        <is>
          <t>No</t>
        </is>
      </c>
      <c r="H895" s="972" t="inlineStr">
        <is>
          <t>Yes</t>
        </is>
      </c>
      <c r="I895" s="972" t="inlineStr">
        <is>
          <t>No</t>
        </is>
      </c>
      <c r="J895" s="972" t="n">
        <v>9</v>
      </c>
      <c r="K895" s="972" t="inlineStr">
        <is>
          <t>Model Mapping</t>
        </is>
      </c>
      <c r="L895" s="452" t="inlineStr">
        <is>
          <t>https://attack.mitre.org/techniques/T0886</t>
        </is>
      </c>
      <c r="M895" s="973" t="inlineStr">
        <is>
          <t>Yes</t>
        </is>
      </c>
      <c r="N895" s="973" t="inlineStr">
        <is>
          <t>REMOTE_OR_ITOT — Remote path or IT-OT connection</t>
        </is>
      </c>
      <c r="O895" s="973" t="inlineStr">
        <is>
          <t>The Remote Services route is credible for Power Generation OT when the enabling access condition exists; existing facility gates determine remote, internet, transient, supply-chain or wireless feasibility.</t>
        </is>
      </c>
      <c r="P895" s="973" t="inlineStr">
        <is>
          <t>https://csrc.nist.gov/pubs/sp/800/82/r3/final</t>
        </is>
      </c>
    </row>
    <row r="896" ht="15" customHeight="1" s="508">
      <c r="A896" s="972" t="inlineStr">
        <is>
          <t>Malicious Insider</t>
        </is>
      </c>
      <c r="B896" s="972" t="inlineStr">
        <is>
          <t>Safety System Compromise</t>
        </is>
      </c>
      <c r="C896" s="972" t="inlineStr">
        <is>
          <t>T0888</t>
        </is>
      </c>
      <c r="D896" s="972" t="inlineStr">
        <is>
          <t>Remote System Information Discovery</t>
        </is>
      </c>
      <c r="E896" s="972" t="inlineStr">
        <is>
          <t>S4</t>
        </is>
      </c>
      <c r="F896" s="972" t="inlineStr">
        <is>
          <t>Candidate enabling technique</t>
        </is>
      </c>
      <c r="G896" s="972" t="inlineStr">
        <is>
          <t>Yes</t>
        </is>
      </c>
      <c r="H896" s="972" t="inlineStr">
        <is>
          <t>Yes</t>
        </is>
      </c>
      <c r="I896" s="972" t="inlineStr">
        <is>
          <t>Yes</t>
        </is>
      </c>
      <c r="J896" s="972" t="n">
        <v>1</v>
      </c>
      <c r="K896" s="972" t="inlineStr">
        <is>
          <t>Model Mapping</t>
        </is>
      </c>
      <c r="L896" s="452" t="inlineStr">
        <is>
          <t>https://attack.mitre.org/techniques/T0888</t>
        </is>
      </c>
      <c r="M896" s="973" t="inlineStr">
        <is>
          <t>Yes</t>
        </is>
      </c>
      <c r="N896" s="973" t="inlineStr">
        <is>
          <t>No explicit facility gate — defaults feasible</t>
        </is>
      </c>
      <c r="O896" s="973" t="inlineStr">
        <is>
          <t>Remote System Information Discovery can support discovery or interaction with process state, control assets and operational data in Power Generation environments.</t>
        </is>
      </c>
      <c r="P896" s="973" t="inlineStr">
        <is>
          <t>https://csrc.nist.gov/pubs/sp/800/82/r3/final</t>
        </is>
      </c>
    </row>
    <row r="897" ht="15" customHeight="1" s="508">
      <c r="A897" s="972" t="inlineStr">
        <is>
          <t>Malicious Insider</t>
        </is>
      </c>
      <c r="B897" s="972" t="inlineStr">
        <is>
          <t>Safety System Compromise</t>
        </is>
      </c>
      <c r="C897" s="972" t="inlineStr">
        <is>
          <t>T0847</t>
        </is>
      </c>
      <c r="D897" s="972" t="inlineStr">
        <is>
          <t>Replication Through Removable Media</t>
        </is>
      </c>
      <c r="E897" s="972" t="inlineStr">
        <is>
          <t>S1</t>
        </is>
      </c>
      <c r="F897" s="972" t="inlineStr">
        <is>
          <t>Candidate enabling technique</t>
        </is>
      </c>
      <c r="G897" s="972" t="inlineStr">
        <is>
          <t>No</t>
        </is>
      </c>
      <c r="H897" s="972" t="inlineStr">
        <is>
          <t>Yes</t>
        </is>
      </c>
      <c r="I897" s="972" t="inlineStr">
        <is>
          <t>No</t>
        </is>
      </c>
      <c r="J897" s="972" t="n">
        <v>3</v>
      </c>
      <c r="K897" s="972" t="inlineStr">
        <is>
          <t>Model Mapping</t>
        </is>
      </c>
      <c r="L897" s="452" t="inlineStr">
        <is>
          <t>https://attack.mitre.org/techniques/T0847</t>
        </is>
      </c>
      <c r="M897" s="973" t="inlineStr">
        <is>
          <t>Yes</t>
        </is>
      </c>
      <c r="N897" s="973" t="inlineStr">
        <is>
          <t>TRANSIENT_REQUIRED — Not None</t>
        </is>
      </c>
      <c r="O897" s="973" t="inlineStr">
        <is>
          <t>The Replication Through Removable Media route is credible for Power Generation OT when the enabling access condition exists; existing facility gates determine remote, internet, transient, supply-chain or wireless feasibility.</t>
        </is>
      </c>
      <c r="P897" s="973" t="inlineStr">
        <is>
          <t>https://csrc.nist.gov/pubs/sp/800/82/r3/final</t>
        </is>
      </c>
    </row>
    <row r="898" ht="15" customHeight="1" s="508">
      <c r="A898" s="972" t="inlineStr">
        <is>
          <t>Malicious Insider</t>
        </is>
      </c>
      <c r="B898" s="972" t="inlineStr">
        <is>
          <t>Safety System Compromise</t>
        </is>
      </c>
      <c r="C898" s="972" t="inlineStr">
        <is>
          <t>T1691.002</t>
        </is>
      </c>
      <c r="D898" s="972" t="inlineStr">
        <is>
          <t>Reporting Message</t>
        </is>
      </c>
      <c r="E898" s="972" t="inlineStr">
        <is>
          <t>S5</t>
        </is>
      </c>
      <c r="F898" s="972" t="inlineStr">
        <is>
          <t>Supporting / impact</t>
        </is>
      </c>
      <c r="G898" s="972" t="inlineStr">
        <is>
          <t>Yes</t>
        </is>
      </c>
      <c r="H898" s="972" t="inlineStr">
        <is>
          <t>Yes</t>
        </is>
      </c>
      <c r="I898" s="972" t="inlineStr">
        <is>
          <t>Yes</t>
        </is>
      </c>
      <c r="J898" s="972" t="n">
        <v>3</v>
      </c>
      <c r="K898" s="972" t="inlineStr">
        <is>
          <t>Model Mapping</t>
        </is>
      </c>
      <c r="L898" s="452" t="inlineStr">
        <is>
          <t>https://attack.mitre.org/techniques/T1691/002</t>
        </is>
      </c>
      <c r="M898" s="973" t="inlineStr">
        <is>
          <t>Yes</t>
        </is>
      </c>
      <c r="N898" s="973" t="inlineStr">
        <is>
          <t>No explicit facility gate — defaults feasible</t>
        </is>
      </c>
      <c r="O898" s="973" t="inlineStr">
        <is>
          <t>Reporting Message is an ATT&amp;CK for ICS impact or response-inhibition technique that can support one or more governed adverse scenarios; scenario role remains controlled on 09.</t>
        </is>
      </c>
      <c r="P898" s="973" t="inlineStr">
        <is>
          <t>https://csrc.nist.gov/pubs/sp/800/82/r3/final</t>
        </is>
      </c>
    </row>
    <row r="899" ht="15" customHeight="1" s="508">
      <c r="A899" s="972" t="inlineStr">
        <is>
          <t>Malicious Insider</t>
        </is>
      </c>
      <c r="B899" s="972" t="inlineStr">
        <is>
          <t>Safety System Compromise</t>
        </is>
      </c>
      <c r="C899" s="972" t="inlineStr">
        <is>
          <t>T0848</t>
        </is>
      </c>
      <c r="D899" s="972" t="inlineStr">
        <is>
          <t>Rogue Master</t>
        </is>
      </c>
      <c r="E899" s="972" t="inlineStr">
        <is>
          <t>S1</t>
        </is>
      </c>
      <c r="F899" s="972" t="inlineStr">
        <is>
          <t>Candidate enabling technique</t>
        </is>
      </c>
      <c r="G899" s="972" t="inlineStr">
        <is>
          <t>No</t>
        </is>
      </c>
      <c r="H899" s="972" t="inlineStr">
        <is>
          <t>Yes</t>
        </is>
      </c>
      <c r="I899" s="972" t="inlineStr">
        <is>
          <t>No</t>
        </is>
      </c>
      <c r="J899" s="972" t="n">
        <v>5</v>
      </c>
      <c r="K899" s="972" t="inlineStr">
        <is>
          <t>Model Mapping</t>
        </is>
      </c>
      <c r="L899" s="452" t="inlineStr">
        <is>
          <t>https://attack.mitre.org/techniques/T0848</t>
        </is>
      </c>
      <c r="M899" s="973" t="inlineStr">
        <is>
          <t>Yes</t>
        </is>
      </c>
      <c r="N899" s="973" t="inlineStr">
        <is>
          <t>No explicit facility gate — defaults feasible</t>
        </is>
      </c>
      <c r="O899" s="973" t="inlineStr">
        <is>
          <t>The Rogue Master route is credible for Power Generation OT when the enabling access condition exists; existing facility gates determine remote, internet, transient, supply-chain or wireless feasibility.</t>
        </is>
      </c>
      <c r="P899" s="973" t="inlineStr">
        <is>
          <t>https://csrc.nist.gov/pubs/sp/800/82/r3/final</t>
        </is>
      </c>
    </row>
    <row r="900" ht="15" customHeight="1" s="508">
      <c r="A900" s="972" t="inlineStr">
        <is>
          <t>Malicious Insider</t>
        </is>
      </c>
      <c r="B900" s="972" t="inlineStr">
        <is>
          <t>Safety System Compromise</t>
        </is>
      </c>
      <c r="C900" s="972" t="inlineStr">
        <is>
          <t>T0851</t>
        </is>
      </c>
      <c r="D900" s="972" t="inlineStr">
        <is>
          <t>Rootkit</t>
        </is>
      </c>
      <c r="E900" s="972" t="inlineStr">
        <is>
          <t>S2</t>
        </is>
      </c>
      <c r="F900" s="972" t="inlineStr">
        <is>
          <t>Candidate enabling technique</t>
        </is>
      </c>
      <c r="G900" s="972" t="inlineStr">
        <is>
          <t>Yes</t>
        </is>
      </c>
      <c r="H900" s="972" t="inlineStr">
        <is>
          <t>Yes</t>
        </is>
      </c>
      <c r="I900" s="972" t="inlineStr">
        <is>
          <t>Yes</t>
        </is>
      </c>
      <c r="J900" s="972" t="n">
        <v>2</v>
      </c>
      <c r="K900" s="972" t="inlineStr">
        <is>
          <t>RECLASSIFIED v1.2: Rootkit hides malware and connections through OS manipulation — an evasion technique, not a safety-system outcome.</t>
        </is>
      </c>
      <c r="L900" s="452" t="inlineStr">
        <is>
          <t>https://attack.mitre.org/techniques/T0851</t>
        </is>
      </c>
      <c r="M900" s="973" t="inlineStr">
        <is>
          <t>Yes</t>
        </is>
      </c>
      <c r="N900" s="973" t="inlineStr">
        <is>
          <t>No explicit facility gate — defaults feasible</t>
        </is>
      </c>
      <c r="O900" s="973" t="inlineStr">
        <is>
          <t>Rootkit is an ATT&amp;CK for ICS impact or response-inhibition technique that can support one or more governed adverse scenarios; scenario role remains controlled on 09.</t>
        </is>
      </c>
      <c r="P900" s="973" t="inlineStr">
        <is>
          <t>https://csrc.nist.gov/pubs/sp/800/82/r3/final</t>
        </is>
      </c>
    </row>
    <row r="901" ht="15" customHeight="1" s="508">
      <c r="A901" s="972" t="inlineStr">
        <is>
          <t>Malicious Insider</t>
        </is>
      </c>
      <c r="B901" s="972" t="inlineStr">
        <is>
          <t>Safety System Compromise</t>
        </is>
      </c>
      <c r="C901" s="972" t="inlineStr">
        <is>
          <t>T0852</t>
        </is>
      </c>
      <c r="D901" s="972" t="inlineStr">
        <is>
          <t>Screen Capture</t>
        </is>
      </c>
      <c r="E901" s="972" t="inlineStr">
        <is>
          <t>S4</t>
        </is>
      </c>
      <c r="F901" s="972" t="inlineStr">
        <is>
          <t>Candidate enabling technique</t>
        </is>
      </c>
      <c r="G901" s="972" t="inlineStr">
        <is>
          <t>Yes</t>
        </is>
      </c>
      <c r="H901" s="972" t="inlineStr">
        <is>
          <t>Yes</t>
        </is>
      </c>
      <c r="I901" s="972" t="inlineStr">
        <is>
          <t>Yes</t>
        </is>
      </c>
      <c r="J901" s="972" t="n">
        <v>1</v>
      </c>
      <c r="K901" s="972" t="inlineStr">
        <is>
          <t>Model Mapping</t>
        </is>
      </c>
      <c r="L901" s="452" t="inlineStr">
        <is>
          <t>https://attack.mitre.org/techniques/T0852</t>
        </is>
      </c>
      <c r="M901" s="973" t="inlineStr">
        <is>
          <t>Yes</t>
        </is>
      </c>
      <c r="N901" s="973" t="inlineStr">
        <is>
          <t>No explicit facility gate — defaults feasible</t>
        </is>
      </c>
      <c r="O901" s="973" t="inlineStr">
        <is>
          <t>Screen Capture can support discovery or interaction with process state, control assets and operational data in Power Generation environments.</t>
        </is>
      </c>
      <c r="P901" s="973" t="inlineStr">
        <is>
          <t>https://csrc.nist.gov/pubs/sp/800/82/r3/final</t>
        </is>
      </c>
    </row>
    <row r="902" ht="15" customHeight="1" s="508">
      <c r="A902" s="972" t="inlineStr">
        <is>
          <t>Malicious Insider</t>
        </is>
      </c>
      <c r="B902" s="972" t="inlineStr">
        <is>
          <t>Safety System Compromise</t>
        </is>
      </c>
      <c r="C902" s="972" t="inlineStr">
        <is>
          <t>T0853</t>
        </is>
      </c>
      <c r="D902" s="972" t="inlineStr">
        <is>
          <t>Scripting</t>
        </is>
      </c>
      <c r="E902" s="972" t="inlineStr">
        <is>
          <t>S2</t>
        </is>
      </c>
      <c r="F902" s="972" t="inlineStr">
        <is>
          <t>Candidate enabling technique</t>
        </is>
      </c>
      <c r="G902" s="972" t="inlineStr">
        <is>
          <t>Yes</t>
        </is>
      </c>
      <c r="H902" s="972" t="inlineStr">
        <is>
          <t>Yes</t>
        </is>
      </c>
      <c r="I902" s="972" t="inlineStr">
        <is>
          <t>Yes</t>
        </is>
      </c>
      <c r="J902" s="972" t="n">
        <v>3</v>
      </c>
      <c r="K902" s="972" t="inlineStr">
        <is>
          <t>Model Mapping</t>
        </is>
      </c>
      <c r="L902" s="452" t="inlineStr">
        <is>
          <t>https://attack.mitre.org/techniques/T0853</t>
        </is>
      </c>
      <c r="M902" s="973" t="inlineStr">
        <is>
          <t>Yes</t>
        </is>
      </c>
      <c r="N902" s="973" t="inlineStr">
        <is>
          <t>No explicit facility gate — defaults feasible</t>
        </is>
      </c>
      <c r="O902" s="973" t="inlineStr">
        <is>
          <t>Scripting is applicable to execution or persistence on engineering workstations, HMIs, servers or controllers used in Power Generation facilities.</t>
        </is>
      </c>
      <c r="P902" s="973" t="inlineStr">
        <is>
          <t>https://csrc.nist.gov/pubs/sp/800/82/r3/final</t>
        </is>
      </c>
    </row>
    <row r="903" ht="15" customHeight="1" s="508">
      <c r="A903" s="972" t="inlineStr">
        <is>
          <t>Malicious Insider</t>
        </is>
      </c>
      <c r="B903" s="972" t="inlineStr">
        <is>
          <t>Safety System Compromise</t>
        </is>
      </c>
      <c r="C903" s="972" t="inlineStr">
        <is>
          <t>T1695.001</t>
        </is>
      </c>
      <c r="D903" s="972" t="inlineStr">
        <is>
          <t>Serial COM</t>
        </is>
      </c>
      <c r="E903" s="972" t="inlineStr">
        <is>
          <t>S5</t>
        </is>
      </c>
      <c r="F903" s="972" t="inlineStr">
        <is>
          <t>Supporting / impact</t>
        </is>
      </c>
      <c r="G903" s="972" t="inlineStr">
        <is>
          <t>Yes</t>
        </is>
      </c>
      <c r="H903" s="972" t="inlineStr">
        <is>
          <t>Yes</t>
        </is>
      </c>
      <c r="I903" s="972" t="inlineStr">
        <is>
          <t>Yes</t>
        </is>
      </c>
      <c r="J903" s="972" t="n">
        <v>3</v>
      </c>
      <c r="K903" s="972" t="inlineStr">
        <is>
          <t>Model Mapping</t>
        </is>
      </c>
      <c r="L903" s="452" t="inlineStr">
        <is>
          <t>https://attack.mitre.org/techniques/T1695/001</t>
        </is>
      </c>
      <c r="M903" s="973" t="inlineStr">
        <is>
          <t>Yes</t>
        </is>
      </c>
      <c r="N903" s="973" t="inlineStr">
        <is>
          <t>No explicit facility gate — defaults feasible</t>
        </is>
      </c>
      <c r="O903" s="973" t="inlineStr">
        <is>
          <t>Serial COM is an ATT&amp;CK for ICS impact or response-inhibition technique that can support one or more governed adverse scenarios; scenario role remains controlled on 09.</t>
        </is>
      </c>
      <c r="P903" s="973" t="inlineStr">
        <is>
          <t>https://csrc.nist.gov/pubs/sp/800/82/r3/final</t>
        </is>
      </c>
    </row>
    <row r="904" ht="15" customHeight="1" s="508">
      <c r="A904" s="972" t="inlineStr">
        <is>
          <t>Malicious Insider</t>
        </is>
      </c>
      <c r="B904" s="972" t="inlineStr">
        <is>
          <t>Safety System Compromise</t>
        </is>
      </c>
      <c r="C904" s="972" t="inlineStr">
        <is>
          <t>T0873.001</t>
        </is>
      </c>
      <c r="D904" s="972" t="inlineStr">
        <is>
          <t>Siemens Project File Format</t>
        </is>
      </c>
      <c r="E904" s="972" t="inlineStr">
        <is>
          <t>S2</t>
        </is>
      </c>
      <c r="F904" s="972" t="inlineStr">
        <is>
          <t>Candidate enabling technique</t>
        </is>
      </c>
      <c r="G904" s="972" t="inlineStr">
        <is>
          <t>Yes</t>
        </is>
      </c>
      <c r="H904" s="972" t="inlineStr">
        <is>
          <t>Yes</t>
        </is>
      </c>
      <c r="I904" s="972" t="inlineStr">
        <is>
          <t>Yes</t>
        </is>
      </c>
      <c r="J904" s="972" t="n">
        <v>4</v>
      </c>
      <c r="K904" s="972" t="inlineStr">
        <is>
          <t>Model Mapping</t>
        </is>
      </c>
      <c r="L904" s="452" t="inlineStr">
        <is>
          <t>https://attack.mitre.org/techniques/T0873/001</t>
        </is>
      </c>
      <c r="M904" s="973" t="inlineStr">
        <is>
          <t>Yes</t>
        </is>
      </c>
      <c r="N904" s="973" t="inlineStr">
        <is>
          <t>No explicit facility gate — defaults feasible</t>
        </is>
      </c>
      <c r="O904" s="973" t="inlineStr">
        <is>
          <t>Siemens Project File Format is applicable to execution or persistence on engineering workstations, HMIs, servers or controllers used in Power Generation facilities.</t>
        </is>
      </c>
      <c r="P904" s="973" t="inlineStr">
        <is>
          <t>https://csrc.nist.gov/pubs/sp/800/82/r3/final</t>
        </is>
      </c>
    </row>
    <row r="905" ht="15" customHeight="1" s="508">
      <c r="A905" s="972" t="inlineStr">
        <is>
          <t>Malicious Insider</t>
        </is>
      </c>
      <c r="B905" s="972" t="inlineStr">
        <is>
          <t>Safety System Compromise</t>
        </is>
      </c>
      <c r="C905" s="972" t="inlineStr">
        <is>
          <t>T0865</t>
        </is>
      </c>
      <c r="D905" s="972" t="inlineStr">
        <is>
          <t>Spearphishing Attachment</t>
        </is>
      </c>
      <c r="E905" s="972" t="inlineStr">
        <is>
          <t>S1</t>
        </is>
      </c>
      <c r="F905" s="972" t="inlineStr">
        <is>
          <t>Candidate enabling technique</t>
        </is>
      </c>
      <c r="G905" s="972" t="inlineStr">
        <is>
          <t>No</t>
        </is>
      </c>
      <c r="H905" s="972" t="inlineStr">
        <is>
          <t>Yes</t>
        </is>
      </c>
      <c r="I905" s="972" t="inlineStr">
        <is>
          <t>No</t>
        </is>
      </c>
      <c r="J905" s="972" t="n">
        <v>4</v>
      </c>
      <c r="K905" s="972" t="inlineStr">
        <is>
          <t>Model Mapping</t>
        </is>
      </c>
      <c r="L905" s="452" t="inlineStr">
        <is>
          <t>https://attack.mitre.org/techniques/T0865</t>
        </is>
      </c>
      <c r="M905" s="973" t="inlineStr">
        <is>
          <t>Yes</t>
        </is>
      </c>
      <c r="N905" s="973" t="inlineStr">
        <is>
          <t>No explicit facility gate — defaults feasible</t>
        </is>
      </c>
      <c r="O905" s="973" t="inlineStr">
        <is>
          <t>The Spearphishing Attachment route is credible for Power Generation OT when the enabling access condition exists; existing facility gates determine remote, internet, transient, supply-chain or wireless feasibility.</t>
        </is>
      </c>
      <c r="P905" s="973" t="inlineStr">
        <is>
          <t>https://csrc.nist.gov/pubs/sp/800/82/r3/final</t>
        </is>
      </c>
    </row>
    <row r="906" ht="15" customHeight="1" s="508">
      <c r="A906" s="972" t="inlineStr">
        <is>
          <t>Malicious Insider</t>
        </is>
      </c>
      <c r="B906" s="972" t="inlineStr">
        <is>
          <t>Safety System Compromise</t>
        </is>
      </c>
      <c r="C906" s="972" t="inlineStr">
        <is>
          <t>T0869</t>
        </is>
      </c>
      <c r="D906" s="972" t="inlineStr">
        <is>
          <t>Standard Application Layer Protocol</t>
        </is>
      </c>
      <c r="E906" s="972" t="inlineStr">
        <is>
          <t>S3</t>
        </is>
      </c>
      <c r="F906" s="972" t="inlineStr">
        <is>
          <t>Candidate enabling technique</t>
        </is>
      </c>
      <c r="G906" s="972" t="inlineStr">
        <is>
          <t>Yes</t>
        </is>
      </c>
      <c r="H906" s="972" t="inlineStr">
        <is>
          <t>Yes</t>
        </is>
      </c>
      <c r="I906" s="972" t="inlineStr">
        <is>
          <t>Yes</t>
        </is>
      </c>
      <c r="J906" s="972" t="n">
        <v>3</v>
      </c>
      <c r="K906" s="972" t="inlineStr">
        <is>
          <t>Model Mapping</t>
        </is>
      </c>
      <c r="L906" s="452" t="inlineStr">
        <is>
          <t>https://attack.mitre.org/techniques/T0869</t>
        </is>
      </c>
      <c r="M906" s="973" t="inlineStr">
        <is>
          <t>Yes</t>
        </is>
      </c>
      <c r="N906" s="973" t="inlineStr">
        <is>
          <t>No explicit facility gate — defaults feasible</t>
        </is>
      </c>
      <c r="O906" s="973" t="inlineStr">
        <is>
          <t>Standard Application Layer Protocol can support movement toward or within plant/control zones; actual reachability is governed by the assessed facility architecture.</t>
        </is>
      </c>
      <c r="P906" s="973" t="inlineStr">
        <is>
          <t>https://csrc.nist.gov/pubs/sp/800/82/r3/final</t>
        </is>
      </c>
    </row>
    <row r="907" ht="15" customHeight="1" s="508">
      <c r="A907" s="972" t="inlineStr">
        <is>
          <t>Malicious Insider</t>
        </is>
      </c>
      <c r="B907" s="972" t="inlineStr">
        <is>
          <t>Safety System Compromise</t>
        </is>
      </c>
      <c r="C907" s="972" t="inlineStr">
        <is>
          <t>T0862</t>
        </is>
      </c>
      <c r="D907" s="972" t="inlineStr">
        <is>
          <t>Supply Chain Compromise</t>
        </is>
      </c>
      <c r="E907" s="972" t="inlineStr">
        <is>
          <t>S1</t>
        </is>
      </c>
      <c r="F907" s="972" t="inlineStr">
        <is>
          <t>Candidate enabling technique</t>
        </is>
      </c>
      <c r="G907" s="972" t="inlineStr">
        <is>
          <t>No</t>
        </is>
      </c>
      <c r="H907" s="972" t="inlineStr">
        <is>
          <t>Yes</t>
        </is>
      </c>
      <c r="I907" s="972" t="inlineStr">
        <is>
          <t>No</t>
        </is>
      </c>
      <c r="J907" s="972" t="n">
        <v>5</v>
      </c>
      <c r="K907" s="972" t="inlineStr">
        <is>
          <t>Model Mapping</t>
        </is>
      </c>
      <c r="L907" s="452" t="inlineStr">
        <is>
          <t>https://attack.mitre.org/techniques/T0862</t>
        </is>
      </c>
      <c r="M907" s="973" t="inlineStr">
        <is>
          <t>Yes</t>
        </is>
      </c>
      <c r="N907" s="973" t="inlineStr">
        <is>
          <t>SUPPLY_CHAIN — Yes</t>
        </is>
      </c>
      <c r="O907" s="973" t="inlineStr">
        <is>
          <t>The Supply Chain Compromise route is credible for Power Generation OT when the enabling access condition exists; existing facility gates determine remote, internet, transient, supply-chain or wireless feasibility.</t>
        </is>
      </c>
      <c r="P907" s="973" t="inlineStr">
        <is>
          <t>https://csrc.nist.gov/pubs/sp/800/82/r3/final</t>
        </is>
      </c>
    </row>
    <row r="908" ht="15" customHeight="1" s="508">
      <c r="A908" s="972" t="inlineStr">
        <is>
          <t>Malicious Insider</t>
        </is>
      </c>
      <c r="B908" s="972" t="inlineStr">
        <is>
          <t>Safety System Compromise</t>
        </is>
      </c>
      <c r="C908" s="972" t="inlineStr">
        <is>
          <t>T0894</t>
        </is>
      </c>
      <c r="D908" s="972" t="inlineStr">
        <is>
          <t>System Binary Proxy Execution</t>
        </is>
      </c>
      <c r="E908" s="972" t="inlineStr">
        <is>
          <t>S2</t>
        </is>
      </c>
      <c r="F908" s="972" t="inlineStr">
        <is>
          <t>Candidate enabling technique</t>
        </is>
      </c>
      <c r="G908" s="972" t="inlineStr">
        <is>
          <t>Yes</t>
        </is>
      </c>
      <c r="H908" s="972" t="inlineStr">
        <is>
          <t>Yes</t>
        </is>
      </c>
      <c r="I908" s="972" t="inlineStr">
        <is>
          <t>Yes</t>
        </is>
      </c>
      <c r="J908" s="972" t="n">
        <v>1</v>
      </c>
      <c r="K908" s="972" t="inlineStr">
        <is>
          <t>Model Mapping</t>
        </is>
      </c>
      <c r="L908" s="452" t="inlineStr">
        <is>
          <t>https://attack.mitre.org/techniques/T0894</t>
        </is>
      </c>
      <c r="M908" s="973" t="inlineStr">
        <is>
          <t>Yes</t>
        </is>
      </c>
      <c r="N908" s="973" t="inlineStr">
        <is>
          <t>No explicit facility gate — defaults feasible</t>
        </is>
      </c>
      <c r="O908" s="973" t="inlineStr">
        <is>
          <t>System Binary Proxy Execution is applicable to execution or persistence on engineering workstations, HMIs, servers or controllers used in Power Generation facilities.</t>
        </is>
      </c>
      <c r="P908" s="973" t="inlineStr">
        <is>
          <t>https://csrc.nist.gov/pubs/sp/800/82/r3/final</t>
        </is>
      </c>
    </row>
    <row r="909" ht="15" customHeight="1" s="508">
      <c r="A909" s="972" t="inlineStr">
        <is>
          <t>Malicious Insider</t>
        </is>
      </c>
      <c r="B909" s="972" t="inlineStr">
        <is>
          <t>Safety System Compromise</t>
        </is>
      </c>
      <c r="C909" s="972" t="inlineStr">
        <is>
          <t>T0864</t>
        </is>
      </c>
      <c r="D909" s="972" t="inlineStr">
        <is>
          <t>Transient Cyber Asset</t>
        </is>
      </c>
      <c r="E909" s="972" t="inlineStr">
        <is>
          <t>S1</t>
        </is>
      </c>
      <c r="F909" s="972" t="inlineStr">
        <is>
          <t>Candidate enabling technique</t>
        </is>
      </c>
      <c r="G909" s="972" t="inlineStr">
        <is>
          <t>No</t>
        </is>
      </c>
      <c r="H909" s="972" t="inlineStr">
        <is>
          <t>Yes</t>
        </is>
      </c>
      <c r="I909" s="972" t="inlineStr">
        <is>
          <t>No</t>
        </is>
      </c>
      <c r="J909" s="972" t="n">
        <v>5</v>
      </c>
      <c r="K909" s="972" t="inlineStr">
        <is>
          <t>Model Mapping</t>
        </is>
      </c>
      <c r="L909" s="452" t="inlineStr">
        <is>
          <t>https://attack.mitre.org/techniques/T0864</t>
        </is>
      </c>
      <c r="M909" s="973" t="inlineStr">
        <is>
          <t>Yes</t>
        </is>
      </c>
      <c r="N909" s="973" t="inlineStr">
        <is>
          <t>TRANSIENT_REQUIRED — Not None</t>
        </is>
      </c>
      <c r="O909" s="973" t="inlineStr">
        <is>
          <t>The Transient Cyber Asset route is credible for Power Generation OT when the enabling access condition exists; existing facility gates determine remote, internet, transient, supply-chain or wireless feasibility.</t>
        </is>
      </c>
      <c r="P909" s="973" t="inlineStr">
        <is>
          <t>https://csrc.nist.gov/pubs/sp/800/82/r3/final</t>
        </is>
      </c>
    </row>
    <row r="910" ht="15" customHeight="1" s="508">
      <c r="A910" s="972" t="inlineStr">
        <is>
          <t>Malicious Insider</t>
        </is>
      </c>
      <c r="B910" s="972" t="inlineStr">
        <is>
          <t>Safety System Compromise</t>
        </is>
      </c>
      <c r="C910" s="972" t="inlineStr">
        <is>
          <t>T0863</t>
        </is>
      </c>
      <c r="D910" s="972" t="inlineStr">
        <is>
          <t>User Execution</t>
        </is>
      </c>
      <c r="E910" s="972" t="inlineStr">
        <is>
          <t>S2</t>
        </is>
      </c>
      <c r="F910" s="972" t="inlineStr">
        <is>
          <t>Candidate enabling technique</t>
        </is>
      </c>
      <c r="G910" s="972" t="inlineStr">
        <is>
          <t>Yes</t>
        </is>
      </c>
      <c r="H910" s="972" t="inlineStr">
        <is>
          <t>Yes</t>
        </is>
      </c>
      <c r="I910" s="972" t="inlineStr">
        <is>
          <t>Yes</t>
        </is>
      </c>
      <c r="J910" s="972" t="n">
        <v>6</v>
      </c>
      <c r="K910" s="972" t="inlineStr">
        <is>
          <t>Model Mapping</t>
        </is>
      </c>
      <c r="L910" s="452" t="inlineStr">
        <is>
          <t>https://attack.mitre.org/techniques/T0863</t>
        </is>
      </c>
      <c r="M910" s="973" t="inlineStr">
        <is>
          <t>Yes</t>
        </is>
      </c>
      <c r="N910" s="973" t="inlineStr">
        <is>
          <t>No explicit facility gate — defaults feasible</t>
        </is>
      </c>
      <c r="O910" s="973" t="inlineStr">
        <is>
          <t>User Execution is applicable to execution or persistence on engineering workstations, HMIs, servers or controllers used in Power Generation facilities.</t>
        </is>
      </c>
      <c r="P910" s="973" t="inlineStr">
        <is>
          <t>https://csrc.nist.gov/pubs/sp/800/82/r3/final</t>
        </is>
      </c>
    </row>
    <row r="911" ht="15" customHeight="1" s="508">
      <c r="A911" s="972" t="inlineStr">
        <is>
          <t>Malicious Insider</t>
        </is>
      </c>
      <c r="B911" s="972" t="inlineStr">
        <is>
          <t>Safety System Compromise</t>
        </is>
      </c>
      <c r="C911" s="972" t="inlineStr">
        <is>
          <t>T0859</t>
        </is>
      </c>
      <c r="D911" s="972" t="inlineStr">
        <is>
          <t>Valid Accounts</t>
        </is>
      </c>
      <c r="E911" s="972" t="inlineStr">
        <is>
          <t>S3</t>
        </is>
      </c>
      <c r="F911" s="972" t="inlineStr">
        <is>
          <t>Candidate enabling technique</t>
        </is>
      </c>
      <c r="G911" s="972" t="inlineStr">
        <is>
          <t>Yes</t>
        </is>
      </c>
      <c r="H911" s="972" t="inlineStr">
        <is>
          <t>Yes</t>
        </is>
      </c>
      <c r="I911" s="972" t="inlineStr">
        <is>
          <t>Yes</t>
        </is>
      </c>
      <c r="J911" s="972" t="n">
        <v>10</v>
      </c>
      <c r="K911" s="972" t="inlineStr">
        <is>
          <t>Model Mapping</t>
        </is>
      </c>
      <c r="L911" s="452" t="inlineStr">
        <is>
          <t>https://attack.mitre.org/techniques/T0859</t>
        </is>
      </c>
      <c r="M911" s="973" t="inlineStr">
        <is>
          <t>Yes</t>
        </is>
      </c>
      <c r="N911" s="973" t="inlineStr">
        <is>
          <t>No explicit facility gate — defaults feasible</t>
        </is>
      </c>
      <c r="O911" s="973" t="inlineStr">
        <is>
          <t>Valid Accounts can support movement toward or within plant/control zones; actual reachability is governed by the assessed facility architecture.</t>
        </is>
      </c>
      <c r="P911" s="973" t="inlineStr">
        <is>
          <t>https://csrc.nist.gov/pubs/sp/800/82/r3/final</t>
        </is>
      </c>
    </row>
    <row r="912" ht="15" customHeight="1" s="508">
      <c r="A912" s="972" t="inlineStr">
        <is>
          <t>Malicious Insider</t>
        </is>
      </c>
      <c r="B912" s="972" t="inlineStr">
        <is>
          <t>Safety System Compromise</t>
        </is>
      </c>
      <c r="C912" s="972" t="inlineStr">
        <is>
          <t>T1695.003</t>
        </is>
      </c>
      <c r="D912" s="972" t="inlineStr">
        <is>
          <t>Wi-Fi</t>
        </is>
      </c>
      <c r="E912" s="972" t="inlineStr">
        <is>
          <t>S5</t>
        </is>
      </c>
      <c r="F912" s="972" t="inlineStr">
        <is>
          <t>Supporting / impact</t>
        </is>
      </c>
      <c r="G912" s="972" t="inlineStr">
        <is>
          <t>Yes</t>
        </is>
      </c>
      <c r="H912" s="972" t="inlineStr">
        <is>
          <t>No</t>
        </is>
      </c>
      <c r="I912" s="972" t="inlineStr">
        <is>
          <t>No</t>
        </is>
      </c>
      <c r="J912" s="972" t="n">
        <v>3</v>
      </c>
      <c r="K912" s="972" t="inlineStr">
        <is>
          <t>Model Mapping</t>
        </is>
      </c>
      <c r="L912" s="452" t="inlineStr">
        <is>
          <t>https://attack.mitre.org/techniques/T1695/003</t>
        </is>
      </c>
      <c r="M912" s="973" t="inlineStr">
        <is>
          <t>Yes</t>
        </is>
      </c>
      <c r="N912" s="973" t="inlineStr">
        <is>
          <t>WIRELESS — Yes</t>
        </is>
      </c>
      <c r="O912" s="973" t="inlineStr">
        <is>
          <t>Wi-Fi is an ATT&amp;CK for ICS impact or response-inhibition technique that can support one or more governed adverse scenarios; scenario role remains controlled on 09.</t>
        </is>
      </c>
      <c r="P912" s="973" t="inlineStr">
        <is>
          <t>https://csrc.nist.gov/pubs/sp/800/82/r3/final</t>
        </is>
      </c>
    </row>
    <row r="913" ht="15" customHeight="1" s="508">
      <c r="A913" s="972" t="inlineStr">
        <is>
          <t>Malicious Insider</t>
        </is>
      </c>
      <c r="B913" s="972" t="inlineStr">
        <is>
          <t>Safety System Compromise</t>
        </is>
      </c>
      <c r="C913" s="972" t="inlineStr">
        <is>
          <t>T0860</t>
        </is>
      </c>
      <c r="D913" s="972" t="inlineStr">
        <is>
          <t>Wireless Compromise</t>
        </is>
      </c>
      <c r="E913" s="972" t="inlineStr">
        <is>
          <t>S1</t>
        </is>
      </c>
      <c r="F913" s="972" t="inlineStr">
        <is>
          <t>Candidate enabling technique</t>
        </is>
      </c>
      <c r="G913" s="972" t="inlineStr">
        <is>
          <t>No</t>
        </is>
      </c>
      <c r="H913" s="972" t="inlineStr">
        <is>
          <t>No</t>
        </is>
      </c>
      <c r="I913" s="972" t="inlineStr">
        <is>
          <t>No</t>
        </is>
      </c>
      <c r="J913" s="972" t="n">
        <v>4</v>
      </c>
      <c r="K913" s="972" t="inlineStr">
        <is>
          <t>Model Mapping</t>
        </is>
      </c>
      <c r="L913" s="452" t="inlineStr">
        <is>
          <t>https://attack.mitre.org/techniques/T0860</t>
        </is>
      </c>
      <c r="M913" s="973" t="inlineStr">
        <is>
          <t>Yes</t>
        </is>
      </c>
      <c r="N913" s="973" t="inlineStr">
        <is>
          <t>WIRELESS — Yes</t>
        </is>
      </c>
      <c r="O913" s="973" t="inlineStr">
        <is>
          <t>The Wireless Compromise route is credible for Power Generation OT when the enabling access condition exists; existing facility gates determine remote, internet, transient, supply-chain or wireless feasibility.</t>
        </is>
      </c>
      <c r="P913" s="973" t="inlineStr">
        <is>
          <t>https://csrc.nist.gov/pubs/sp/800/82/r3/final</t>
        </is>
      </c>
    </row>
    <row r="914" ht="15" customHeight="1" s="508">
      <c r="A914" s="972" t="inlineStr">
        <is>
          <t>Malicious Insider</t>
        </is>
      </c>
      <c r="B914" s="972" t="inlineStr">
        <is>
          <t>Safety System Compromise</t>
        </is>
      </c>
      <c r="C914" s="972" t="inlineStr">
        <is>
          <t>T0887</t>
        </is>
      </c>
      <c r="D914" s="972" t="inlineStr">
        <is>
          <t>Wireless Sniffing</t>
        </is>
      </c>
      <c r="E914" s="972" t="inlineStr">
        <is>
          <t>S4</t>
        </is>
      </c>
      <c r="F914" s="972" t="inlineStr">
        <is>
          <t>Candidate enabling technique</t>
        </is>
      </c>
      <c r="G914" s="972" t="inlineStr">
        <is>
          <t>Yes</t>
        </is>
      </c>
      <c r="H914" s="972" t="inlineStr">
        <is>
          <t>No</t>
        </is>
      </c>
      <c r="I914" s="972" t="inlineStr">
        <is>
          <t>No</t>
        </is>
      </c>
      <c r="J914" s="972" t="n">
        <v>2</v>
      </c>
      <c r="K914" s="972" t="inlineStr">
        <is>
          <t>Model Mapping</t>
        </is>
      </c>
      <c r="L914" s="452" t="inlineStr">
        <is>
          <t>https://attack.mitre.org/techniques/T0887</t>
        </is>
      </c>
      <c r="M914" s="973" t="inlineStr">
        <is>
          <t>Yes</t>
        </is>
      </c>
      <c r="N914" s="973" t="inlineStr">
        <is>
          <t>WIRELESS — Yes</t>
        </is>
      </c>
      <c r="O914" s="973" t="inlineStr">
        <is>
          <t>Wireless Sniffing can support discovery or interaction with process state, control assets and operational data in Power Generation environments.</t>
        </is>
      </c>
      <c r="P914" s="973" t="inlineStr">
        <is>
          <t>https://csrc.nist.gov/pubs/sp/800/82/r3/final</t>
        </is>
      </c>
    </row>
    <row r="915" ht="15" customHeight="1" s="508">
      <c r="A915" s="972" t="inlineStr">
        <is>
          <t>Malicious Insider</t>
        </is>
      </c>
      <c r="B915" s="972" t="inlineStr">
        <is>
          <t>Safety System Compromise</t>
        </is>
      </c>
      <c r="C915" s="972" t="inlineStr">
        <is>
          <t>T0837</t>
        </is>
      </c>
      <c r="D915" s="972" t="inlineStr">
        <is>
          <t>Loss of Protection</t>
        </is>
      </c>
      <c r="E915" s="972" t="inlineStr">
        <is>
          <t>S5</t>
        </is>
      </c>
      <c r="F915" s="972" t="inlineStr">
        <is>
          <t>Scenario-defining</t>
        </is>
      </c>
      <c r="G915" s="972" t="inlineStr">
        <is>
          <t>Yes</t>
        </is>
      </c>
      <c r="H915" s="972" t="inlineStr">
        <is>
          <t>Yes</t>
        </is>
      </c>
      <c r="I915" s="972" t="inlineStr">
        <is>
          <t>Yes</t>
        </is>
      </c>
      <c r="J915" s="972" t="n">
        <v>0</v>
      </c>
      <c r="K915" s="972" t="inlineStr">
        <is>
          <t>ADDED v1.2: Loss of Protection compromises protective functions designed to prevent faults, abnormal conditions and equipment damage.</t>
        </is>
      </c>
      <c r="L915" s="452" t="inlineStr">
        <is>
          <t>https://attack.mitre.org/techniques/T0837</t>
        </is>
      </c>
      <c r="M915" s="973" t="inlineStr">
        <is>
          <t>Yes</t>
        </is>
      </c>
      <c r="N915" s="973" t="inlineStr">
        <is>
          <t>No explicit facility gate — defaults feasible</t>
        </is>
      </c>
      <c r="O915" s="973" t="inlineStr">
        <is>
          <t>Loss of Protection is an ATT&amp;CK for ICS impact or response-inhibition technique that can support one or more governed adverse scenarios; scenario role remains controlled on 09.</t>
        </is>
      </c>
      <c r="P915" s="973" t="inlineStr">
        <is>
          <t>https://csrc.nist.gov/pubs/sp/800/82/r3/final</t>
        </is>
      </c>
    </row>
    <row r="916" ht="15" customHeight="1" s="508">
      <c r="A916" s="972" t="inlineStr">
        <is>
          <t>Malicious Insider</t>
        </is>
      </c>
      <c r="B916" s="972" t="inlineStr">
        <is>
          <t>Destructive or Integrity Attack</t>
        </is>
      </c>
      <c r="C916" s="972" t="inlineStr">
        <is>
          <t>T0800</t>
        </is>
      </c>
      <c r="D916" s="972" t="inlineStr">
        <is>
          <t>Activate Firmware Update Mode</t>
        </is>
      </c>
      <c r="E916" s="972" t="inlineStr">
        <is>
          <t>S5</t>
        </is>
      </c>
      <c r="F916" s="972" t="inlineStr">
        <is>
          <t>Supporting / impact</t>
        </is>
      </c>
      <c r="G916" s="972" t="inlineStr">
        <is>
          <t>Yes</t>
        </is>
      </c>
      <c r="H916" s="972" t="inlineStr">
        <is>
          <t>Yes</t>
        </is>
      </c>
      <c r="I916" s="972" t="inlineStr">
        <is>
          <t>Yes</t>
        </is>
      </c>
      <c r="J916" s="972" t="n">
        <v>8</v>
      </c>
      <c r="K916" s="972" t="inlineStr">
        <is>
          <t>RECLASSIFIED v1.2: Activate Firmware Update Mode denies normal functionality but does not itself imply destructive or integrity compromise.</t>
        </is>
      </c>
      <c r="L916" s="452" t="inlineStr">
        <is>
          <t>https://attack.mitre.org/techniques/T0800</t>
        </is>
      </c>
      <c r="M916" s="973" t="inlineStr">
        <is>
          <t>Yes</t>
        </is>
      </c>
      <c r="N916" s="973" t="inlineStr">
        <is>
          <t>No explicit facility gate — defaults feasible</t>
        </is>
      </c>
      <c r="O916" s="973" t="inlineStr">
        <is>
          <t>Activate Firmware Update Mode is an ATT&amp;CK for ICS impact or response-inhibition technique that can support one or more governed adverse scenarios; scenario role remains controlled on 09.</t>
        </is>
      </c>
      <c r="P916" s="973" t="inlineStr">
        <is>
          <t>https://csrc.nist.gov/pubs/sp/800/82/r3/final</t>
        </is>
      </c>
    </row>
    <row r="917" ht="15" customHeight="1" s="508">
      <c r="A917" s="972" t="inlineStr">
        <is>
          <t>Malicious Insider</t>
        </is>
      </c>
      <c r="B917" s="972" t="inlineStr">
        <is>
          <t>Destructive or Integrity Attack</t>
        </is>
      </c>
      <c r="C917" s="972" t="inlineStr">
        <is>
          <t>T0830</t>
        </is>
      </c>
      <c r="D917" s="972" t="inlineStr">
        <is>
          <t>Adversary-in-the-Middle</t>
        </is>
      </c>
      <c r="E917" s="972" t="inlineStr">
        <is>
          <t>S4</t>
        </is>
      </c>
      <c r="F917" s="972" t="inlineStr">
        <is>
          <t>Candidate enabling technique</t>
        </is>
      </c>
      <c r="G917" s="972" t="inlineStr">
        <is>
          <t>Yes</t>
        </is>
      </c>
      <c r="H917" s="972" t="inlineStr">
        <is>
          <t>Yes</t>
        </is>
      </c>
      <c r="I917" s="972" t="inlineStr">
        <is>
          <t>Yes</t>
        </is>
      </c>
      <c r="J917" s="972" t="n">
        <v>8</v>
      </c>
      <c r="K917" s="972" t="inlineStr">
        <is>
          <t>Model Mapping</t>
        </is>
      </c>
      <c r="L917" s="452" t="inlineStr">
        <is>
          <t>https://attack.mitre.org/techniques/T0830</t>
        </is>
      </c>
      <c r="M917" s="973" t="inlineStr">
        <is>
          <t>Yes</t>
        </is>
      </c>
      <c r="N917" s="973" t="inlineStr">
        <is>
          <t>No explicit facility gate — defaults feasible</t>
        </is>
      </c>
      <c r="O917" s="973" t="inlineStr">
        <is>
          <t>Adversary-in-the-Middle can support discovery or interaction with process state, control assets and operational data in Power Generation environments.</t>
        </is>
      </c>
      <c r="P917" s="973" t="inlineStr">
        <is>
          <t>https://csrc.nist.gov/pubs/sp/800/82/r3/final</t>
        </is>
      </c>
    </row>
    <row r="918" ht="15" customHeight="1" s="508">
      <c r="A918" s="972" t="inlineStr">
        <is>
          <t>Malicious Insider</t>
        </is>
      </c>
      <c r="B918" s="972" t="inlineStr">
        <is>
          <t>Destructive or Integrity Attack</t>
        </is>
      </c>
      <c r="C918" s="972" t="inlineStr">
        <is>
          <t>T0802</t>
        </is>
      </c>
      <c r="D918" s="972" t="inlineStr">
        <is>
          <t>Automated Collection</t>
        </is>
      </c>
      <c r="E918" s="972" t="inlineStr">
        <is>
          <t>S4</t>
        </is>
      </c>
      <c r="F918" s="972" t="inlineStr">
        <is>
          <t>Candidate enabling technique</t>
        </is>
      </c>
      <c r="G918" s="972" t="inlineStr">
        <is>
          <t>Yes</t>
        </is>
      </c>
      <c r="H918" s="972" t="inlineStr">
        <is>
          <t>Yes</t>
        </is>
      </c>
      <c r="I918" s="972" t="inlineStr">
        <is>
          <t>Yes</t>
        </is>
      </c>
      <c r="J918" s="972" t="n">
        <v>2</v>
      </c>
      <c r="K918" s="972" t="inlineStr">
        <is>
          <t>Model Mapping</t>
        </is>
      </c>
      <c r="L918" s="452" t="inlineStr">
        <is>
          <t>https://attack.mitre.org/techniques/T0802</t>
        </is>
      </c>
      <c r="M918" s="973" t="inlineStr">
        <is>
          <t>Yes</t>
        </is>
      </c>
      <c r="N918" s="973" t="inlineStr">
        <is>
          <t>No explicit facility gate — defaults feasible</t>
        </is>
      </c>
      <c r="O918" s="973" t="inlineStr">
        <is>
          <t>Automated Collection can support discovery or interaction with process state, control assets and operational data in Power Generation environments.</t>
        </is>
      </c>
      <c r="P918" s="973" t="inlineStr">
        <is>
          <t>https://csrc.nist.gov/pubs/sp/800/82/r3/final</t>
        </is>
      </c>
    </row>
    <row r="919" ht="15" customHeight="1" s="508">
      <c r="A919" s="972" t="inlineStr">
        <is>
          <t>Malicious Insider</t>
        </is>
      </c>
      <c r="B919" s="972" t="inlineStr">
        <is>
          <t>Destructive or Integrity Attack</t>
        </is>
      </c>
      <c r="C919" s="972" t="inlineStr">
        <is>
          <t>T0895</t>
        </is>
      </c>
      <c r="D919" s="972" t="inlineStr">
        <is>
          <t>Autorun Image</t>
        </is>
      </c>
      <c r="E919" s="972" t="inlineStr">
        <is>
          <t>S2</t>
        </is>
      </c>
      <c r="F919" s="972" t="inlineStr">
        <is>
          <t>Candidate enabling technique</t>
        </is>
      </c>
      <c r="G919" s="972" t="inlineStr">
        <is>
          <t>Yes</t>
        </is>
      </c>
      <c r="H919" s="972" t="inlineStr">
        <is>
          <t>Yes</t>
        </is>
      </c>
      <c r="I919" s="972" t="inlineStr">
        <is>
          <t>Yes</t>
        </is>
      </c>
      <c r="J919" s="972" t="n">
        <v>1</v>
      </c>
      <c r="K919" s="972" t="inlineStr">
        <is>
          <t>Model Mapping</t>
        </is>
      </c>
      <c r="L919" s="452" t="inlineStr">
        <is>
          <t>https://attack.mitre.org/techniques/T0895</t>
        </is>
      </c>
      <c r="M919" s="973" t="inlineStr">
        <is>
          <t>Yes</t>
        </is>
      </c>
      <c r="N919" s="973" t="inlineStr">
        <is>
          <t>No explicit facility gate — defaults feasible</t>
        </is>
      </c>
      <c r="O919" s="973" t="inlineStr">
        <is>
          <t>Autorun Image is applicable to execution or persistence on engineering workstations, HMIs, servers or controllers used in Power Generation facilities.</t>
        </is>
      </c>
      <c r="P919" s="973" t="inlineStr">
        <is>
          <t>https://csrc.nist.gov/pubs/sp/800/82/r3/final</t>
        </is>
      </c>
    </row>
    <row r="920" ht="15" customHeight="1" s="508">
      <c r="A920" s="972" t="inlineStr">
        <is>
          <t>Malicious Insider</t>
        </is>
      </c>
      <c r="B920" s="972" t="inlineStr">
        <is>
          <t>Destructive or Integrity Attack</t>
        </is>
      </c>
      <c r="C920" s="972" t="inlineStr">
        <is>
          <t>T0846.002</t>
        </is>
      </c>
      <c r="D920" s="972" t="inlineStr">
        <is>
          <t>Broadcast Discovery</t>
        </is>
      </c>
      <c r="E920" s="972" t="inlineStr">
        <is>
          <t>S4</t>
        </is>
      </c>
      <c r="F920" s="972" t="inlineStr">
        <is>
          <t>Candidate enabling technique</t>
        </is>
      </c>
      <c r="G920" s="972" t="inlineStr">
        <is>
          <t>Yes</t>
        </is>
      </c>
      <c r="H920" s="972" t="inlineStr">
        <is>
          <t>Yes</t>
        </is>
      </c>
      <c r="I920" s="972" t="inlineStr">
        <is>
          <t>Yes</t>
        </is>
      </c>
      <c r="J920" s="972" t="n">
        <v>2</v>
      </c>
      <c r="K920" s="972" t="inlineStr">
        <is>
          <t>Model Mapping</t>
        </is>
      </c>
      <c r="L920" s="452" t="inlineStr">
        <is>
          <t>https://attack.mitre.org/techniques/T0846/002</t>
        </is>
      </c>
      <c r="M920" s="973" t="inlineStr">
        <is>
          <t>Yes</t>
        </is>
      </c>
      <c r="N920" s="973" t="inlineStr">
        <is>
          <t>No explicit facility gate — defaults feasible</t>
        </is>
      </c>
      <c r="O920" s="973" t="inlineStr">
        <is>
          <t>Broadcast Discovery can support discovery or interaction with process state, control assets and operational data in Power Generation environments.</t>
        </is>
      </c>
      <c r="P920" s="973" t="inlineStr">
        <is>
          <t>https://csrc.nist.gov/pubs/sp/800/82/r3/final</t>
        </is>
      </c>
    </row>
    <row r="921" ht="15" customHeight="1" s="508">
      <c r="A921" s="972" t="inlineStr">
        <is>
          <t>Malicious Insider</t>
        </is>
      </c>
      <c r="B921" s="972" t="inlineStr">
        <is>
          <t>Destructive or Integrity Attack</t>
        </is>
      </c>
      <c r="C921" s="972" t="inlineStr">
        <is>
          <t>T0858</t>
        </is>
      </c>
      <c r="D921" s="972" t="inlineStr">
        <is>
          <t>Change Operating Mode</t>
        </is>
      </c>
      <c r="E921" s="972" t="inlineStr">
        <is>
          <t>S2</t>
        </is>
      </c>
      <c r="F921" s="972" t="inlineStr">
        <is>
          <t>Candidate enabling technique</t>
        </is>
      </c>
      <c r="G921" s="972" t="inlineStr">
        <is>
          <t>Yes</t>
        </is>
      </c>
      <c r="H921" s="972" t="inlineStr">
        <is>
          <t>Yes</t>
        </is>
      </c>
      <c r="I921" s="972" t="inlineStr">
        <is>
          <t>Yes</t>
        </is>
      </c>
      <c r="J921" s="972" t="n">
        <v>7</v>
      </c>
      <c r="K921" s="972" t="inlineStr">
        <is>
          <t>Model Mapping</t>
        </is>
      </c>
      <c r="L921" s="452" t="inlineStr">
        <is>
          <t>https://attack.mitre.org/techniques/T0858</t>
        </is>
      </c>
      <c r="M921" s="973" t="inlineStr">
        <is>
          <t>Yes</t>
        </is>
      </c>
      <c r="N921" s="973" t="inlineStr">
        <is>
          <t>No explicit facility gate — defaults feasible</t>
        </is>
      </c>
      <c r="O921" s="973" t="inlineStr">
        <is>
          <t>Change Operating Mode is applicable to execution or persistence on engineering workstations, HMIs, servers or controllers used in Power Generation facilities.</t>
        </is>
      </c>
      <c r="P921" s="973" t="inlineStr">
        <is>
          <t>https://csrc.nist.gov/pubs/sp/800/82/r3/final</t>
        </is>
      </c>
    </row>
    <row r="922" ht="15" customHeight="1" s="508">
      <c r="A922" s="972" t="inlineStr">
        <is>
          <t>Malicious Insider</t>
        </is>
      </c>
      <c r="B922" s="972" t="inlineStr">
        <is>
          <t>Destructive or Integrity Attack</t>
        </is>
      </c>
      <c r="C922" s="972" t="inlineStr">
        <is>
          <t>T0807</t>
        </is>
      </c>
      <c r="D922" s="972" t="inlineStr">
        <is>
          <t>Command-Line Interface</t>
        </is>
      </c>
      <c r="E922" s="972" t="inlineStr">
        <is>
          <t>S2</t>
        </is>
      </c>
      <c r="F922" s="972" t="inlineStr">
        <is>
          <t>Candidate enabling technique</t>
        </is>
      </c>
      <c r="G922" s="972" t="inlineStr">
        <is>
          <t>Yes</t>
        </is>
      </c>
      <c r="H922" s="972" t="inlineStr">
        <is>
          <t>Yes</t>
        </is>
      </c>
      <c r="I922" s="972" t="inlineStr">
        <is>
          <t>Yes</t>
        </is>
      </c>
      <c r="J922" s="972" t="n">
        <v>2</v>
      </c>
      <c r="K922" s="972" t="inlineStr">
        <is>
          <t>Model Mapping</t>
        </is>
      </c>
      <c r="L922" s="452" t="inlineStr">
        <is>
          <t>https://attack.mitre.org/techniques/T0807</t>
        </is>
      </c>
      <c r="M922" s="973" t="inlineStr">
        <is>
          <t>Yes</t>
        </is>
      </c>
      <c r="N922" s="973" t="inlineStr">
        <is>
          <t>No explicit facility gate — defaults feasible</t>
        </is>
      </c>
      <c r="O922" s="973" t="inlineStr">
        <is>
          <t>Command-Line Interface is applicable to execution or persistence on engineering workstations, HMIs, servers or controllers used in Power Generation facilities.</t>
        </is>
      </c>
      <c r="P922" s="973" t="inlineStr">
        <is>
          <t>https://csrc.nist.gov/pubs/sp/800/82/r3/final</t>
        </is>
      </c>
    </row>
    <row r="923" ht="15" customHeight="1" s="508">
      <c r="A923" s="972" t="inlineStr">
        <is>
          <t>Malicious Insider</t>
        </is>
      </c>
      <c r="B923" s="972" t="inlineStr">
        <is>
          <t>Destructive or Integrity Attack</t>
        </is>
      </c>
      <c r="C923" s="972" t="inlineStr">
        <is>
          <t>T0885</t>
        </is>
      </c>
      <c r="D923" s="972" t="inlineStr">
        <is>
          <t>Commonly Used Port</t>
        </is>
      </c>
      <c r="E923" s="972" t="inlineStr">
        <is>
          <t>S3</t>
        </is>
      </c>
      <c r="F923" s="972" t="inlineStr">
        <is>
          <t>Candidate enabling technique</t>
        </is>
      </c>
      <c r="G923" s="972" t="inlineStr">
        <is>
          <t>Yes</t>
        </is>
      </c>
      <c r="H923" s="972" t="inlineStr">
        <is>
          <t>Yes</t>
        </is>
      </c>
      <c r="I923" s="972" t="inlineStr">
        <is>
          <t>Yes</t>
        </is>
      </c>
      <c r="J923" s="972" t="n">
        <v>4</v>
      </c>
      <c r="K923" s="972" t="inlineStr">
        <is>
          <t>Model Mapping</t>
        </is>
      </c>
      <c r="L923" s="452" t="inlineStr">
        <is>
          <t>https://attack.mitre.org/techniques/T0885</t>
        </is>
      </c>
      <c r="M923" s="973" t="inlineStr">
        <is>
          <t>Yes</t>
        </is>
      </c>
      <c r="N923" s="973" t="inlineStr">
        <is>
          <t>No explicit facility gate — defaults feasible</t>
        </is>
      </c>
      <c r="O923" s="973" t="inlineStr">
        <is>
          <t>Commonly Used Port can support movement toward or within plant/control zones; actual reachability is governed by the assessed facility architecture.</t>
        </is>
      </c>
      <c r="P923" s="973" t="inlineStr">
        <is>
          <t>https://csrc.nist.gov/pubs/sp/800/82/r3/final</t>
        </is>
      </c>
    </row>
    <row r="924" ht="15" customHeight="1" s="508">
      <c r="A924" s="972" t="inlineStr">
        <is>
          <t>Malicious Insider</t>
        </is>
      </c>
      <c r="B924" s="972" t="inlineStr">
        <is>
          <t>Destructive or Integrity Attack</t>
        </is>
      </c>
      <c r="C924" s="972" t="inlineStr">
        <is>
          <t>T0884</t>
        </is>
      </c>
      <c r="D924" s="972" t="inlineStr">
        <is>
          <t>Connection Proxy</t>
        </is>
      </c>
      <c r="E924" s="972" t="inlineStr">
        <is>
          <t>S3</t>
        </is>
      </c>
      <c r="F924" s="972" t="inlineStr">
        <is>
          <t>Candidate enabling technique</t>
        </is>
      </c>
      <c r="G924" s="972" t="inlineStr">
        <is>
          <t>Yes</t>
        </is>
      </c>
      <c r="H924" s="972" t="inlineStr">
        <is>
          <t>Yes</t>
        </is>
      </c>
      <c r="I924" s="972" t="inlineStr">
        <is>
          <t>Yes</t>
        </is>
      </c>
      <c r="J924" s="972" t="n">
        <v>4</v>
      </c>
      <c r="K924" s="972" t="inlineStr">
        <is>
          <t>Model Mapping</t>
        </is>
      </c>
      <c r="L924" s="452" t="inlineStr">
        <is>
          <t>https://attack.mitre.org/techniques/T0884</t>
        </is>
      </c>
      <c r="M924" s="973" t="inlineStr">
        <is>
          <t>Yes</t>
        </is>
      </c>
      <c r="N924" s="973" t="inlineStr">
        <is>
          <t>No explicit facility gate — defaults feasible</t>
        </is>
      </c>
      <c r="O924" s="973" t="inlineStr">
        <is>
          <t>Connection Proxy can support movement toward or within plant/control zones; actual reachability is governed by the assessed facility architecture.</t>
        </is>
      </c>
      <c r="P924" s="973" t="inlineStr">
        <is>
          <t>https://csrc.nist.gov/pubs/sp/800/82/r3/final</t>
        </is>
      </c>
    </row>
    <row r="925" ht="15" customHeight="1" s="508">
      <c r="A925" s="972" t="inlineStr">
        <is>
          <t>Malicious Insider</t>
        </is>
      </c>
      <c r="B925" s="972" t="inlineStr">
        <is>
          <t>Destructive or Integrity Attack</t>
        </is>
      </c>
      <c r="C925" s="972" t="inlineStr">
        <is>
          <t>T0809</t>
        </is>
      </c>
      <c r="D925" s="972" t="inlineStr">
        <is>
          <t>Data Destruction</t>
        </is>
      </c>
      <c r="E925" s="972" t="inlineStr">
        <is>
          <t>S5</t>
        </is>
      </c>
      <c r="F925" s="972" t="inlineStr">
        <is>
          <t>Scenario-defining</t>
        </is>
      </c>
      <c r="G925" s="972" t="inlineStr">
        <is>
          <t>Yes</t>
        </is>
      </c>
      <c r="H925" s="972" t="inlineStr">
        <is>
          <t>Yes</t>
        </is>
      </c>
      <c r="I925" s="972" t="inlineStr">
        <is>
          <t>Yes</t>
        </is>
      </c>
      <c r="J925" s="972" t="n">
        <v>3</v>
      </c>
      <c r="K925" s="972" t="inlineStr">
        <is>
          <t>Model Mapping</t>
        </is>
      </c>
      <c r="L925" s="452" t="inlineStr">
        <is>
          <t>https://attack.mitre.org/techniques/T0809</t>
        </is>
      </c>
      <c r="M925" s="973" t="inlineStr">
        <is>
          <t>Yes</t>
        </is>
      </c>
      <c r="N925" s="973" t="inlineStr">
        <is>
          <t>No explicit facility gate — defaults feasible</t>
        </is>
      </c>
      <c r="O925" s="973" t="inlineStr">
        <is>
          <t>Data Destruction is an ATT&amp;CK for ICS impact or response-inhibition technique that can support one or more governed adverse scenarios; scenario role remains controlled on 09.</t>
        </is>
      </c>
      <c r="P925" s="973" t="inlineStr">
        <is>
          <t>https://csrc.nist.gov/pubs/sp/800/82/r3/final</t>
        </is>
      </c>
    </row>
    <row r="926" ht="15" customHeight="1" s="508">
      <c r="A926" s="972" t="inlineStr">
        <is>
          <t>Malicious Insider</t>
        </is>
      </c>
      <c r="B926" s="972" t="inlineStr">
        <is>
          <t>Destructive or Integrity Attack</t>
        </is>
      </c>
      <c r="C926" s="972" t="inlineStr">
        <is>
          <t>T0811</t>
        </is>
      </c>
      <c r="D926" s="972" t="inlineStr">
        <is>
          <t>Data from Information Repositories</t>
        </is>
      </c>
      <c r="E926" s="972" t="inlineStr">
        <is>
          <t>S4</t>
        </is>
      </c>
      <c r="F926" s="972" t="inlineStr">
        <is>
          <t>Candidate enabling technique</t>
        </is>
      </c>
      <c r="G926" s="972" t="inlineStr">
        <is>
          <t>Yes</t>
        </is>
      </c>
      <c r="H926" s="972" t="inlineStr">
        <is>
          <t>Yes</t>
        </is>
      </c>
      <c r="I926" s="972" t="inlineStr">
        <is>
          <t>Yes</t>
        </is>
      </c>
      <c r="J926" s="972" t="n">
        <v>6</v>
      </c>
      <c r="K926" s="972" t="inlineStr">
        <is>
          <t>Model Mapping</t>
        </is>
      </c>
      <c r="L926" s="452" t="inlineStr">
        <is>
          <t>https://attack.mitre.org/techniques/T0811</t>
        </is>
      </c>
      <c r="M926" s="973" t="inlineStr">
        <is>
          <t>Yes</t>
        </is>
      </c>
      <c r="N926" s="973" t="inlineStr">
        <is>
          <t>No explicit facility gate — defaults feasible</t>
        </is>
      </c>
      <c r="O926" s="973" t="inlineStr">
        <is>
          <t>Data from Information Repositories can support discovery or interaction with process state, control assets and operational data in Power Generation environments.</t>
        </is>
      </c>
      <c r="P926" s="973" t="inlineStr">
        <is>
          <t>https://csrc.nist.gov/pubs/sp/800/82/r3/final</t>
        </is>
      </c>
    </row>
    <row r="927" ht="15" customHeight="1" s="508">
      <c r="A927" s="972" t="inlineStr">
        <is>
          <t>Malicious Insider</t>
        </is>
      </c>
      <c r="B927" s="972" t="inlineStr">
        <is>
          <t>Destructive or Integrity Attack</t>
        </is>
      </c>
      <c r="C927" s="972" t="inlineStr">
        <is>
          <t>T0893</t>
        </is>
      </c>
      <c r="D927" s="972" t="inlineStr">
        <is>
          <t>Data from Local System</t>
        </is>
      </c>
      <c r="E927" s="972" t="inlineStr">
        <is>
          <t>S4</t>
        </is>
      </c>
      <c r="F927" s="972" t="inlineStr">
        <is>
          <t>Candidate enabling technique</t>
        </is>
      </c>
      <c r="G927" s="972" t="inlineStr">
        <is>
          <t>Yes</t>
        </is>
      </c>
      <c r="H927" s="972" t="inlineStr">
        <is>
          <t>Yes</t>
        </is>
      </c>
      <c r="I927" s="972" t="inlineStr">
        <is>
          <t>Yes</t>
        </is>
      </c>
      <c r="J927" s="972" t="n">
        <v>4</v>
      </c>
      <c r="K927" s="972" t="inlineStr">
        <is>
          <t>Model Mapping</t>
        </is>
      </c>
      <c r="L927" s="452" t="inlineStr">
        <is>
          <t>https://attack.mitre.org/techniques/T0893</t>
        </is>
      </c>
      <c r="M927" s="973" t="inlineStr">
        <is>
          <t>Yes</t>
        </is>
      </c>
      <c r="N927" s="973" t="inlineStr">
        <is>
          <t>No explicit facility gate — defaults feasible</t>
        </is>
      </c>
      <c r="O927" s="973" t="inlineStr">
        <is>
          <t>Data from Local System can support discovery or interaction with process state, control assets and operational data in Power Generation environments.</t>
        </is>
      </c>
      <c r="P927" s="973" t="inlineStr">
        <is>
          <t>https://csrc.nist.gov/pubs/sp/800/82/r3/final</t>
        </is>
      </c>
    </row>
    <row r="928" ht="15" customHeight="1" s="508">
      <c r="A928" s="972" t="inlineStr">
        <is>
          <t>Malicious Insider</t>
        </is>
      </c>
      <c r="B928" s="972" t="inlineStr">
        <is>
          <t>Destructive or Integrity Attack</t>
        </is>
      </c>
      <c r="C928" s="972" t="inlineStr">
        <is>
          <t>T1694.001</t>
        </is>
      </c>
      <c r="D928" s="972" t="inlineStr">
        <is>
          <t>Default Credentials</t>
        </is>
      </c>
      <c r="E928" s="972" t="inlineStr">
        <is>
          <t>S3</t>
        </is>
      </c>
      <c r="F928" s="972" t="inlineStr">
        <is>
          <t>Candidate enabling technique</t>
        </is>
      </c>
      <c r="G928" s="972" t="inlineStr">
        <is>
          <t>Yes</t>
        </is>
      </c>
      <c r="H928" s="972" t="inlineStr">
        <is>
          <t>Yes</t>
        </is>
      </c>
      <c r="I928" s="972" t="inlineStr">
        <is>
          <t>Yes</t>
        </is>
      </c>
      <c r="J928" s="972" t="n">
        <v>2</v>
      </c>
      <c r="K928" s="972" t="inlineStr">
        <is>
          <t>Model Mapping</t>
        </is>
      </c>
      <c r="L928" s="452" t="inlineStr">
        <is>
          <t>https://attack.mitre.org/techniques/T1694/001</t>
        </is>
      </c>
      <c r="M928" s="973" t="inlineStr">
        <is>
          <t>Yes</t>
        </is>
      </c>
      <c r="N928" s="973" t="inlineStr">
        <is>
          <t>No explicit facility gate — defaults feasible</t>
        </is>
      </c>
      <c r="O928" s="973" t="inlineStr">
        <is>
          <t>Default Credentials can support movement toward or within plant/control zones; actual reachability is governed by the assessed facility architecture.</t>
        </is>
      </c>
      <c r="P928" s="973" t="inlineStr">
        <is>
          <t>https://csrc.nist.gov/pubs/sp/800/82/r3/final</t>
        </is>
      </c>
    </row>
    <row r="929" ht="15" customHeight="1" s="508">
      <c r="A929" s="972" t="inlineStr">
        <is>
          <t>Malicious Insider</t>
        </is>
      </c>
      <c r="B929" s="972" t="inlineStr">
        <is>
          <t>Destructive or Integrity Attack</t>
        </is>
      </c>
      <c r="C929" s="972" t="inlineStr">
        <is>
          <t>T0868</t>
        </is>
      </c>
      <c r="D929" s="972" t="inlineStr">
        <is>
          <t>Detect Operating Mode</t>
        </is>
      </c>
      <c r="E929" s="972" t="inlineStr">
        <is>
          <t>S4</t>
        </is>
      </c>
      <c r="F929" s="972" t="inlineStr">
        <is>
          <t>Candidate enabling technique</t>
        </is>
      </c>
      <c r="G929" s="972" t="inlineStr">
        <is>
          <t>Yes</t>
        </is>
      </c>
      <c r="H929" s="972" t="inlineStr">
        <is>
          <t>Yes</t>
        </is>
      </c>
      <c r="I929" s="972" t="inlineStr">
        <is>
          <t>Yes</t>
        </is>
      </c>
      <c r="J929" s="972" t="n">
        <v>8</v>
      </c>
      <c r="K929" s="972" t="inlineStr">
        <is>
          <t>Model Mapping</t>
        </is>
      </c>
      <c r="L929" s="452" t="inlineStr">
        <is>
          <t>https://attack.mitre.org/techniques/T0868</t>
        </is>
      </c>
      <c r="M929" s="973" t="inlineStr">
        <is>
          <t>Yes</t>
        </is>
      </c>
      <c r="N929" s="973" t="inlineStr">
        <is>
          <t>No explicit facility gate — defaults feasible</t>
        </is>
      </c>
      <c r="O929" s="973" t="inlineStr">
        <is>
          <t>Detect Operating Mode can support discovery or interaction with process state, control assets and operational data in Power Generation environments.</t>
        </is>
      </c>
      <c r="P929" s="973" t="inlineStr">
        <is>
          <t>https://csrc.nist.gov/pubs/sp/800/82/r3/final</t>
        </is>
      </c>
    </row>
    <row r="930" ht="15" customHeight="1" s="508">
      <c r="A930" s="972" t="inlineStr">
        <is>
          <t>Malicious Insider</t>
        </is>
      </c>
      <c r="B930" s="972" t="inlineStr">
        <is>
          <t>Destructive or Integrity Attack</t>
        </is>
      </c>
      <c r="C930" s="972" t="inlineStr">
        <is>
          <t>T0843.001</t>
        </is>
      </c>
      <c r="D930" s="972" t="inlineStr">
        <is>
          <t>Download All</t>
        </is>
      </c>
      <c r="E930" s="972" t="inlineStr">
        <is>
          <t>S3</t>
        </is>
      </c>
      <c r="F930" s="972" t="inlineStr">
        <is>
          <t>Candidate enabling technique</t>
        </is>
      </c>
      <c r="G930" s="972" t="inlineStr">
        <is>
          <t>Yes</t>
        </is>
      </c>
      <c r="H930" s="972" t="inlineStr">
        <is>
          <t>Yes</t>
        </is>
      </c>
      <c r="I930" s="972" t="inlineStr">
        <is>
          <t>Yes</t>
        </is>
      </c>
      <c r="J930" s="972" t="n">
        <v>10</v>
      </c>
      <c r="K930" s="972" t="inlineStr">
        <is>
          <t>Model Mapping</t>
        </is>
      </c>
      <c r="L930" s="452" t="inlineStr">
        <is>
          <t>https://attack.mitre.org/techniques/T0843/001</t>
        </is>
      </c>
      <c r="M930" s="973" t="inlineStr">
        <is>
          <t>Yes</t>
        </is>
      </c>
      <c r="N930" s="973" t="inlineStr">
        <is>
          <t>No explicit facility gate — defaults feasible</t>
        </is>
      </c>
      <c r="O930" s="973" t="inlineStr">
        <is>
          <t>Download All can support movement toward or within plant/control zones; actual reachability is governed by the assessed facility architecture.</t>
        </is>
      </c>
      <c r="P930" s="973" t="inlineStr">
        <is>
          <t>https://csrc.nist.gov/pubs/sp/800/82/r3/final</t>
        </is>
      </c>
    </row>
    <row r="931" ht="15" customHeight="1" s="508">
      <c r="A931" s="972" t="inlineStr">
        <is>
          <t>Malicious Insider</t>
        </is>
      </c>
      <c r="B931" s="972" t="inlineStr">
        <is>
          <t>Destructive or Integrity Attack</t>
        </is>
      </c>
      <c r="C931" s="972" t="inlineStr">
        <is>
          <t>T0817</t>
        </is>
      </c>
      <c r="D931" s="972" t="inlineStr">
        <is>
          <t>Drive-by Compromise</t>
        </is>
      </c>
      <c r="E931" s="972" t="inlineStr">
        <is>
          <t>S1</t>
        </is>
      </c>
      <c r="F931" s="972" t="inlineStr">
        <is>
          <t>Candidate enabling technique</t>
        </is>
      </c>
      <c r="G931" s="972" t="inlineStr">
        <is>
          <t>No</t>
        </is>
      </c>
      <c r="H931" s="972" t="inlineStr">
        <is>
          <t>Yes</t>
        </is>
      </c>
      <c r="I931" s="972" t="inlineStr">
        <is>
          <t>No</t>
        </is>
      </c>
      <c r="J931" s="972" t="n">
        <v>4</v>
      </c>
      <c r="K931" s="972" t="inlineStr">
        <is>
          <t>Model Mapping</t>
        </is>
      </c>
      <c r="L931" s="452" t="inlineStr">
        <is>
          <t>https://attack.mitre.org/techniques/T0817</t>
        </is>
      </c>
      <c r="M931" s="973" t="inlineStr">
        <is>
          <t>Yes</t>
        </is>
      </c>
      <c r="N931" s="973" t="inlineStr">
        <is>
          <t>No explicit facility gate — defaults feasible</t>
        </is>
      </c>
      <c r="O931" s="973" t="inlineStr">
        <is>
          <t>The Drive-by Compromise route is credible for Power Generation OT when the enabling access condition exists; existing facility gates determine remote, internet, transient, supply-chain or wireless feasibility.</t>
        </is>
      </c>
      <c r="P931" s="973" t="inlineStr">
        <is>
          <t>https://csrc.nist.gov/pubs/sp/800/82/r3/final</t>
        </is>
      </c>
    </row>
    <row r="932" ht="15" customHeight="1" s="508">
      <c r="A932" s="972" t="inlineStr">
        <is>
          <t>Malicious Insider</t>
        </is>
      </c>
      <c r="B932" s="972" t="inlineStr">
        <is>
          <t>Destructive or Integrity Attack</t>
        </is>
      </c>
      <c r="C932" s="972" t="inlineStr">
        <is>
          <t>T0871</t>
        </is>
      </c>
      <c r="D932" s="972" t="inlineStr">
        <is>
          <t>Execution through API</t>
        </is>
      </c>
      <c r="E932" s="972" t="inlineStr">
        <is>
          <t>S2</t>
        </is>
      </c>
      <c r="F932" s="972" t="inlineStr">
        <is>
          <t>Candidate enabling technique</t>
        </is>
      </c>
      <c r="G932" s="972" t="inlineStr">
        <is>
          <t>Yes</t>
        </is>
      </c>
      <c r="H932" s="972" t="inlineStr">
        <is>
          <t>Yes</t>
        </is>
      </c>
      <c r="I932" s="972" t="inlineStr">
        <is>
          <t>Yes</t>
        </is>
      </c>
      <c r="J932" s="972" t="n">
        <v>4</v>
      </c>
      <c r="K932" s="972" t="inlineStr">
        <is>
          <t>Model Mapping</t>
        </is>
      </c>
      <c r="L932" s="452" t="inlineStr">
        <is>
          <t>https://attack.mitre.org/techniques/T0871</t>
        </is>
      </c>
      <c r="M932" s="973" t="inlineStr">
        <is>
          <t>Yes</t>
        </is>
      </c>
      <c r="N932" s="973" t="inlineStr">
        <is>
          <t>No explicit facility gate — defaults feasible</t>
        </is>
      </c>
      <c r="O932" s="973" t="inlineStr">
        <is>
          <t>Execution through API is applicable to execution or persistence on engineering workstations, HMIs, servers or controllers used in Power Generation facilities.</t>
        </is>
      </c>
      <c r="P932" s="973" t="inlineStr">
        <is>
          <t>https://csrc.nist.gov/pubs/sp/800/82/r3/final</t>
        </is>
      </c>
    </row>
    <row r="933" ht="15" customHeight="1" s="508">
      <c r="A933" s="972" t="inlineStr">
        <is>
          <t>Malicious Insider</t>
        </is>
      </c>
      <c r="B933" s="972" t="inlineStr">
        <is>
          <t>Destructive or Integrity Attack</t>
        </is>
      </c>
      <c r="C933" s="972" t="inlineStr">
        <is>
          <t>T0819</t>
        </is>
      </c>
      <c r="D933" s="972" t="inlineStr">
        <is>
          <t>Exploit Public-Facing Application</t>
        </is>
      </c>
      <c r="E933" s="972" t="inlineStr">
        <is>
          <t>S1</t>
        </is>
      </c>
      <c r="F933" s="972" t="inlineStr">
        <is>
          <t>Candidate enabling technique</t>
        </is>
      </c>
      <c r="G933" s="972" t="inlineStr">
        <is>
          <t>No</t>
        </is>
      </c>
      <c r="H933" s="972" t="inlineStr">
        <is>
          <t>Yes</t>
        </is>
      </c>
      <c r="I933" s="972" t="inlineStr">
        <is>
          <t>No</t>
        </is>
      </c>
      <c r="J933" s="972" t="n">
        <v>6</v>
      </c>
      <c r="K933" s="972" t="inlineStr">
        <is>
          <t>Model Mapping</t>
        </is>
      </c>
      <c r="L933" s="452" t="inlineStr">
        <is>
          <t>https://attack.mitre.org/techniques/T0819</t>
        </is>
      </c>
      <c r="M933" s="973" t="inlineStr">
        <is>
          <t>Yes</t>
        </is>
      </c>
      <c r="N933" s="973" t="inlineStr">
        <is>
          <t>No explicit facility gate — defaults feasible</t>
        </is>
      </c>
      <c r="O933" s="973" t="inlineStr">
        <is>
          <t>The Exploit Public-Facing Application route is credible for Power Generation OT when the enabling access condition exists; existing facility gates determine remote, internet, transient, supply-chain or wireless feasibility.</t>
        </is>
      </c>
      <c r="P933" s="973" t="inlineStr">
        <is>
          <t>https://csrc.nist.gov/pubs/sp/800/82/r3/final</t>
        </is>
      </c>
    </row>
    <row r="934" ht="15" customHeight="1" s="508">
      <c r="A934" s="972" t="inlineStr">
        <is>
          <t>Malicious Insider</t>
        </is>
      </c>
      <c r="B934" s="972" t="inlineStr">
        <is>
          <t>Destructive or Integrity Attack</t>
        </is>
      </c>
      <c r="C934" s="972" t="inlineStr">
        <is>
          <t>T0820</t>
        </is>
      </c>
      <c r="D934" s="972" t="inlineStr">
        <is>
          <t>Exploitation for Evasion</t>
        </is>
      </c>
      <c r="E934" s="972" t="inlineStr">
        <is>
          <t>S2</t>
        </is>
      </c>
      <c r="F934" s="972" t="inlineStr">
        <is>
          <t>Candidate enabling technique</t>
        </is>
      </c>
      <c r="G934" s="972" t="inlineStr">
        <is>
          <t>Yes</t>
        </is>
      </c>
      <c r="H934" s="972" t="inlineStr">
        <is>
          <t>Yes</t>
        </is>
      </c>
      <c r="I934" s="972" t="inlineStr">
        <is>
          <t>Yes</t>
        </is>
      </c>
      <c r="J934" s="972" t="n">
        <v>4</v>
      </c>
      <c r="K934" s="972" t="inlineStr">
        <is>
          <t>Model Mapping</t>
        </is>
      </c>
      <c r="L934" s="452" t="inlineStr">
        <is>
          <t>https://attack.mitre.org/techniques/T0820</t>
        </is>
      </c>
      <c r="M934" s="973" t="inlineStr">
        <is>
          <t>Yes</t>
        </is>
      </c>
      <c r="N934" s="973" t="inlineStr">
        <is>
          <t>No explicit facility gate — defaults feasible</t>
        </is>
      </c>
      <c r="O934" s="973" t="inlineStr">
        <is>
          <t>Exploitation for Evasion is applicable to execution or persistence on engineering workstations, HMIs, servers or controllers used in Power Generation facilities.</t>
        </is>
      </c>
      <c r="P934" s="973" t="inlineStr">
        <is>
          <t>https://csrc.nist.gov/pubs/sp/800/82/r3/final</t>
        </is>
      </c>
    </row>
    <row r="935" ht="15" customHeight="1" s="508">
      <c r="A935" s="972" t="inlineStr">
        <is>
          <t>Malicious Insider</t>
        </is>
      </c>
      <c r="B935" s="972" t="inlineStr">
        <is>
          <t>Destructive or Integrity Attack</t>
        </is>
      </c>
      <c r="C935" s="972" t="inlineStr">
        <is>
          <t>T0890</t>
        </is>
      </c>
      <c r="D935" s="972" t="inlineStr">
        <is>
          <t>Exploitation for Privilege Escalation</t>
        </is>
      </c>
      <c r="E935" s="972" t="inlineStr">
        <is>
          <t>S2</t>
        </is>
      </c>
      <c r="F935" s="972" t="inlineStr">
        <is>
          <t>Candidate enabling technique</t>
        </is>
      </c>
      <c r="G935" s="972" t="inlineStr">
        <is>
          <t>Yes</t>
        </is>
      </c>
      <c r="H935" s="972" t="inlineStr">
        <is>
          <t>Yes</t>
        </is>
      </c>
      <c r="I935" s="972" t="inlineStr">
        <is>
          <t>Yes</t>
        </is>
      </c>
      <c r="J935" s="972" t="n">
        <v>4</v>
      </c>
      <c r="K935" s="972" t="inlineStr">
        <is>
          <t>Model Mapping</t>
        </is>
      </c>
      <c r="L935" s="452" t="inlineStr">
        <is>
          <t>https://attack.mitre.org/techniques/T0890</t>
        </is>
      </c>
      <c r="M935" s="973" t="inlineStr">
        <is>
          <t>Yes</t>
        </is>
      </c>
      <c r="N935" s="973" t="inlineStr">
        <is>
          <t>No explicit facility gate — defaults feasible</t>
        </is>
      </c>
      <c r="O935" s="973" t="inlineStr">
        <is>
          <t>Exploitation for Privilege Escalation is applicable to execution or persistence on engineering workstations, HMIs, servers or controllers used in Power Generation facilities.</t>
        </is>
      </c>
      <c r="P935" s="973" t="inlineStr">
        <is>
          <t>https://csrc.nist.gov/pubs/sp/800/82/r3/final</t>
        </is>
      </c>
    </row>
    <row r="936" ht="15" customHeight="1" s="508">
      <c r="A936" s="972" t="inlineStr">
        <is>
          <t>Malicious Insider</t>
        </is>
      </c>
      <c r="B936" s="972" t="inlineStr">
        <is>
          <t>Destructive or Integrity Attack</t>
        </is>
      </c>
      <c r="C936" s="972" t="inlineStr">
        <is>
          <t>T0866</t>
        </is>
      </c>
      <c r="D936" s="972" t="inlineStr">
        <is>
          <t>Exploitation of Remote Services</t>
        </is>
      </c>
      <c r="E936" s="972" t="inlineStr">
        <is>
          <t>S1</t>
        </is>
      </c>
      <c r="F936" s="972" t="inlineStr">
        <is>
          <t>Candidate enabling technique</t>
        </is>
      </c>
      <c r="G936" s="972" t="inlineStr">
        <is>
          <t>No</t>
        </is>
      </c>
      <c r="H936" s="972" t="inlineStr">
        <is>
          <t>Yes</t>
        </is>
      </c>
      <c r="I936" s="972" t="inlineStr">
        <is>
          <t>No</t>
        </is>
      </c>
      <c r="J936" s="972" t="n">
        <v>8</v>
      </c>
      <c r="K936" s="972" t="inlineStr">
        <is>
          <t>Model Mapping</t>
        </is>
      </c>
      <c r="L936" s="452" t="inlineStr">
        <is>
          <t>https://attack.mitre.org/techniques/T0866</t>
        </is>
      </c>
      <c r="M936" s="973" t="inlineStr">
        <is>
          <t>Yes</t>
        </is>
      </c>
      <c r="N936" s="973" t="inlineStr">
        <is>
          <t>REMOTE_OR_ITOT — Remote path or IT-OT connection</t>
        </is>
      </c>
      <c r="O936" s="973" t="inlineStr">
        <is>
          <t>The Exploitation of Remote Services route is credible for Power Generation OT when the enabling access condition exists; existing facility gates determine remote, internet, transient, supply-chain or wireless feasibility.</t>
        </is>
      </c>
      <c r="P936" s="973" t="inlineStr">
        <is>
          <t>https://csrc.nist.gov/pubs/sp/800/82/r3/final</t>
        </is>
      </c>
    </row>
    <row r="937" ht="15" customHeight="1" s="508">
      <c r="A937" s="972" t="inlineStr">
        <is>
          <t>Malicious Insider</t>
        </is>
      </c>
      <c r="B937" s="972" t="inlineStr">
        <is>
          <t>Destructive or Integrity Attack</t>
        </is>
      </c>
      <c r="C937" s="972" t="inlineStr">
        <is>
          <t>T0822</t>
        </is>
      </c>
      <c r="D937" s="972" t="inlineStr">
        <is>
          <t>External Remote Services</t>
        </is>
      </c>
      <c r="E937" s="972" t="inlineStr">
        <is>
          <t>S1</t>
        </is>
      </c>
      <c r="F937" s="972" t="inlineStr">
        <is>
          <t>Candidate enabling technique</t>
        </is>
      </c>
      <c r="G937" s="972" t="inlineStr">
        <is>
          <t>No</t>
        </is>
      </c>
      <c r="H937" s="972" t="inlineStr">
        <is>
          <t>Yes</t>
        </is>
      </c>
      <c r="I937" s="972" t="inlineStr">
        <is>
          <t>No</t>
        </is>
      </c>
      <c r="J937" s="972" t="n">
        <v>7</v>
      </c>
      <c r="K937" s="972" t="inlineStr">
        <is>
          <t>Model Mapping</t>
        </is>
      </c>
      <c r="L937" s="452" t="inlineStr">
        <is>
          <t>https://attack.mitre.org/techniques/T0822</t>
        </is>
      </c>
      <c r="M937" s="973" t="inlineStr">
        <is>
          <t>Yes</t>
        </is>
      </c>
      <c r="N937" s="973" t="inlineStr">
        <is>
          <t>REMOTE_REQUIRED — Not None</t>
        </is>
      </c>
      <c r="O937" s="973" t="inlineStr">
        <is>
          <t>The External Remote Services route is credible for Power Generation OT when the enabling access condition exists; existing facility gates determine remote, internet, transient, supply-chain or wireless feasibility.</t>
        </is>
      </c>
      <c r="P937" s="973" t="inlineStr">
        <is>
          <t>https://csrc.nist.gov/pubs/sp/800/82/r3/final</t>
        </is>
      </c>
    </row>
    <row r="938" ht="15" customHeight="1" s="508">
      <c r="A938" s="972" t="inlineStr">
        <is>
          <t>Malicious Insider</t>
        </is>
      </c>
      <c r="B938" s="972" t="inlineStr">
        <is>
          <t>Destructive or Integrity Attack</t>
        </is>
      </c>
      <c r="C938" s="972" t="inlineStr">
        <is>
          <t>T0823</t>
        </is>
      </c>
      <c r="D938" s="972" t="inlineStr">
        <is>
          <t>Graphical User Interface</t>
        </is>
      </c>
      <c r="E938" s="972" t="inlineStr">
        <is>
          <t>S2</t>
        </is>
      </c>
      <c r="F938" s="972" t="inlineStr">
        <is>
          <t>Candidate enabling technique</t>
        </is>
      </c>
      <c r="G938" s="972" t="inlineStr">
        <is>
          <t>Yes</t>
        </is>
      </c>
      <c r="H938" s="972" t="inlineStr">
        <is>
          <t>Yes</t>
        </is>
      </c>
      <c r="I938" s="972" t="inlineStr">
        <is>
          <t>Yes</t>
        </is>
      </c>
      <c r="J938" s="972" t="n">
        <v>1</v>
      </c>
      <c r="K938" s="972" t="inlineStr">
        <is>
          <t>Model Mapping</t>
        </is>
      </c>
      <c r="L938" s="452" t="inlineStr">
        <is>
          <t>https://attack.mitre.org/techniques/T0823</t>
        </is>
      </c>
      <c r="M938" s="973" t="inlineStr">
        <is>
          <t>Yes</t>
        </is>
      </c>
      <c r="N938" s="973" t="inlineStr">
        <is>
          <t>No explicit facility gate — defaults feasible</t>
        </is>
      </c>
      <c r="O938" s="973" t="inlineStr">
        <is>
          <t>Graphical User Interface is applicable to execution or persistence on engineering workstations, HMIs, servers or controllers used in Power Generation facilities.</t>
        </is>
      </c>
      <c r="P938" s="973" t="inlineStr">
        <is>
          <t>https://csrc.nist.gov/pubs/sp/800/82/r3/final</t>
        </is>
      </c>
    </row>
    <row r="939" ht="15" customHeight="1" s="508">
      <c r="A939" s="972" t="inlineStr">
        <is>
          <t>Malicious Insider</t>
        </is>
      </c>
      <c r="B939" s="972" t="inlineStr">
        <is>
          <t>Destructive or Integrity Attack</t>
        </is>
      </c>
      <c r="C939" s="972" t="inlineStr">
        <is>
          <t>T1694.002</t>
        </is>
      </c>
      <c r="D939" s="972" t="inlineStr">
        <is>
          <t>Hardcoded Credentials</t>
        </is>
      </c>
      <c r="E939" s="972" t="inlineStr">
        <is>
          <t>S3</t>
        </is>
      </c>
      <c r="F939" s="972" t="inlineStr">
        <is>
          <t>Candidate enabling technique</t>
        </is>
      </c>
      <c r="G939" s="972" t="inlineStr">
        <is>
          <t>Yes</t>
        </is>
      </c>
      <c r="H939" s="972" t="inlineStr">
        <is>
          <t>Yes</t>
        </is>
      </c>
      <c r="I939" s="972" t="inlineStr">
        <is>
          <t>Yes</t>
        </is>
      </c>
      <c r="J939" s="972" t="n">
        <v>1</v>
      </c>
      <c r="K939" s="972" t="inlineStr">
        <is>
          <t>Model Mapping</t>
        </is>
      </c>
      <c r="L939" s="452" t="inlineStr">
        <is>
          <t>https://attack.mitre.org/techniques/T1694/002</t>
        </is>
      </c>
      <c r="M939" s="973" t="inlineStr">
        <is>
          <t>Yes</t>
        </is>
      </c>
      <c r="N939" s="973" t="inlineStr">
        <is>
          <t>No explicit facility gate — defaults feasible</t>
        </is>
      </c>
      <c r="O939" s="973" t="inlineStr">
        <is>
          <t>Hardcoded Credentials can support movement toward or within plant/control zones; actual reachability is governed by the assessed facility architecture.</t>
        </is>
      </c>
      <c r="P939" s="973" t="inlineStr">
        <is>
          <t>https://csrc.nist.gov/pubs/sp/800/82/r3/final</t>
        </is>
      </c>
    </row>
    <row r="940" ht="15" customHeight="1" s="508">
      <c r="A940" s="972" t="inlineStr">
        <is>
          <t>Malicious Insider</t>
        </is>
      </c>
      <c r="B940" s="972" t="inlineStr">
        <is>
          <t>Destructive or Integrity Attack</t>
        </is>
      </c>
      <c r="C940" s="972" t="inlineStr">
        <is>
          <t>T0874</t>
        </is>
      </c>
      <c r="D940" s="972" t="inlineStr">
        <is>
          <t>Hooking</t>
        </is>
      </c>
      <c r="E940" s="972" t="inlineStr">
        <is>
          <t>S2</t>
        </is>
      </c>
      <c r="F940" s="972" t="inlineStr">
        <is>
          <t>Candidate enabling technique</t>
        </is>
      </c>
      <c r="G940" s="972" t="inlineStr">
        <is>
          <t>Yes</t>
        </is>
      </c>
      <c r="H940" s="972" t="inlineStr">
        <is>
          <t>Yes</t>
        </is>
      </c>
      <c r="I940" s="972" t="inlineStr">
        <is>
          <t>Yes</t>
        </is>
      </c>
      <c r="J940" s="972" t="n">
        <v>2</v>
      </c>
      <c r="K940" s="972" t="inlineStr">
        <is>
          <t>Model Mapping</t>
        </is>
      </c>
      <c r="L940" s="452" t="inlineStr">
        <is>
          <t>https://attack.mitre.org/techniques/T0874</t>
        </is>
      </c>
      <c r="M940" s="973" t="inlineStr">
        <is>
          <t>Yes</t>
        </is>
      </c>
      <c r="N940" s="973" t="inlineStr">
        <is>
          <t>No explicit facility gate — defaults feasible</t>
        </is>
      </c>
      <c r="O940" s="973" t="inlineStr">
        <is>
          <t>Hooking is applicable to execution or persistence on engineering workstations, HMIs, servers or controllers used in Power Generation facilities.</t>
        </is>
      </c>
      <c r="P940" s="973" t="inlineStr">
        <is>
          <t>https://csrc.nist.gov/pubs/sp/800/82/r3/final</t>
        </is>
      </c>
    </row>
    <row r="941" ht="15" customHeight="1" s="508">
      <c r="A941" s="972" t="inlineStr">
        <is>
          <t>Malicious Insider</t>
        </is>
      </c>
      <c r="B941" s="972" t="inlineStr">
        <is>
          <t>Destructive or Integrity Attack</t>
        </is>
      </c>
      <c r="C941" s="972" t="inlineStr">
        <is>
          <t>T0877</t>
        </is>
      </c>
      <c r="D941" s="972" t="inlineStr">
        <is>
          <t>I/O Image</t>
        </is>
      </c>
      <c r="E941" s="972" t="inlineStr">
        <is>
          <t>S4</t>
        </is>
      </c>
      <c r="F941" s="972" t="inlineStr">
        <is>
          <t>Candidate enabling technique</t>
        </is>
      </c>
      <c r="G941" s="972" t="inlineStr">
        <is>
          <t>Yes</t>
        </is>
      </c>
      <c r="H941" s="972" t="inlineStr">
        <is>
          <t>Yes</t>
        </is>
      </c>
      <c r="I941" s="972" t="inlineStr">
        <is>
          <t>Yes</t>
        </is>
      </c>
      <c r="J941" s="972" t="n">
        <v>1</v>
      </c>
      <c r="K941" s="972" t="inlineStr">
        <is>
          <t>Model Mapping</t>
        </is>
      </c>
      <c r="L941" s="452" t="inlineStr">
        <is>
          <t>https://attack.mitre.org/techniques/T0877</t>
        </is>
      </c>
      <c r="M941" s="973" t="inlineStr">
        <is>
          <t>Yes</t>
        </is>
      </c>
      <c r="N941" s="973" t="inlineStr">
        <is>
          <t>No explicit facility gate — defaults feasible</t>
        </is>
      </c>
      <c r="O941" s="973" t="inlineStr">
        <is>
          <t>I/O Image can support discovery or interaction with process state, control assets and operational data in Power Generation environments.</t>
        </is>
      </c>
      <c r="P941" s="973" t="inlineStr">
        <is>
          <t>https://csrc.nist.gov/pubs/sp/800/82/r3/final</t>
        </is>
      </c>
    </row>
    <row r="942" ht="15" customHeight="1" s="508">
      <c r="A942" s="972" t="inlineStr">
        <is>
          <t>Malicious Insider</t>
        </is>
      </c>
      <c r="B942" s="972" t="inlineStr">
        <is>
          <t>Destructive or Integrity Attack</t>
        </is>
      </c>
      <c r="C942" s="972" t="inlineStr">
        <is>
          <t>T0872</t>
        </is>
      </c>
      <c r="D942" s="972" t="inlineStr">
        <is>
          <t>Indicator Removal on Host</t>
        </is>
      </c>
      <c r="E942" s="972" t="inlineStr">
        <is>
          <t>S2</t>
        </is>
      </c>
      <c r="F942" s="972" t="inlineStr">
        <is>
          <t>Candidate enabling technique</t>
        </is>
      </c>
      <c r="G942" s="972" t="inlineStr">
        <is>
          <t>Yes</t>
        </is>
      </c>
      <c r="H942" s="972" t="inlineStr">
        <is>
          <t>Yes</t>
        </is>
      </c>
      <c r="I942" s="972" t="inlineStr">
        <is>
          <t>Yes</t>
        </is>
      </c>
      <c r="J942" s="972" t="n">
        <v>1</v>
      </c>
      <c r="K942" s="972" t="inlineStr">
        <is>
          <t>Model Mapping</t>
        </is>
      </c>
      <c r="L942" s="452" t="inlineStr">
        <is>
          <t>https://attack.mitre.org/techniques/T0872</t>
        </is>
      </c>
      <c r="M942" s="973" t="inlineStr">
        <is>
          <t>Yes</t>
        </is>
      </c>
      <c r="N942" s="973" t="inlineStr">
        <is>
          <t>No explicit facility gate — defaults feasible</t>
        </is>
      </c>
      <c r="O942" s="973" t="inlineStr">
        <is>
          <t>Indicator Removal on Host is applicable to execution or persistence on engineering workstations, HMIs, servers or controllers used in Power Generation facilities.</t>
        </is>
      </c>
      <c r="P942" s="973" t="inlineStr">
        <is>
          <t>https://csrc.nist.gov/pubs/sp/800/82/r3/final</t>
        </is>
      </c>
    </row>
    <row r="943" ht="15" customHeight="1" s="508">
      <c r="A943" s="972" t="inlineStr">
        <is>
          <t>Malicious Insider</t>
        </is>
      </c>
      <c r="B943" s="972" t="inlineStr">
        <is>
          <t>Destructive or Integrity Attack</t>
        </is>
      </c>
      <c r="C943" s="972" t="inlineStr">
        <is>
          <t>T0883</t>
        </is>
      </c>
      <c r="D943" s="972" t="inlineStr">
        <is>
          <t>Internet Accessible Device</t>
        </is>
      </c>
      <c r="E943" s="972" t="inlineStr">
        <is>
          <t>S1</t>
        </is>
      </c>
      <c r="F943" s="972" t="inlineStr">
        <is>
          <t>Candidate enabling technique</t>
        </is>
      </c>
      <c r="G943" s="972" t="inlineStr">
        <is>
          <t>No</t>
        </is>
      </c>
      <c r="H943" s="972" t="inlineStr">
        <is>
          <t>No</t>
        </is>
      </c>
      <c r="I943" s="972" t="inlineStr">
        <is>
          <t>No</t>
        </is>
      </c>
      <c r="J943" s="972" t="n">
        <v>1</v>
      </c>
      <c r="K943" s="972" t="inlineStr">
        <is>
          <t>Model Mapping</t>
        </is>
      </c>
      <c r="L943" s="452" t="inlineStr">
        <is>
          <t>https://attack.mitre.org/techniques/T0883</t>
        </is>
      </c>
      <c r="M943" s="973" t="inlineStr">
        <is>
          <t>Yes</t>
        </is>
      </c>
      <c r="N943" s="973" t="inlineStr">
        <is>
          <t>INTERNET_OT — Yes</t>
        </is>
      </c>
      <c r="O943" s="973" t="inlineStr">
        <is>
          <t>The Internet Accessible Device route is credible for Power Generation OT when the enabling access condition exists; existing facility gates determine remote, internet, transient, supply-chain or wireless feasibility.</t>
        </is>
      </c>
      <c r="P943" s="973" t="inlineStr">
        <is>
          <t>https://csrc.nist.gov/pubs/sp/800/82/r3/final</t>
        </is>
      </c>
    </row>
    <row r="944" ht="15" customHeight="1" s="508">
      <c r="A944" s="972" t="inlineStr">
        <is>
          <t>Malicious Insider</t>
        </is>
      </c>
      <c r="B944" s="972" t="inlineStr">
        <is>
          <t>Destructive or Integrity Attack</t>
        </is>
      </c>
      <c r="C944" s="972" t="inlineStr">
        <is>
          <t>T0867</t>
        </is>
      </c>
      <c r="D944" s="972" t="inlineStr">
        <is>
          <t>Lateral Tool Transfer</t>
        </is>
      </c>
      <c r="E944" s="972" t="inlineStr">
        <is>
          <t>S3</t>
        </is>
      </c>
      <c r="F944" s="972" t="inlineStr">
        <is>
          <t>Candidate enabling technique</t>
        </is>
      </c>
      <c r="G944" s="972" t="inlineStr">
        <is>
          <t>Yes</t>
        </is>
      </c>
      <c r="H944" s="972" t="inlineStr">
        <is>
          <t>Yes</t>
        </is>
      </c>
      <c r="I944" s="972" t="inlineStr">
        <is>
          <t>Yes</t>
        </is>
      </c>
      <c r="J944" s="972" t="n">
        <v>1</v>
      </c>
      <c r="K944" s="972" t="inlineStr">
        <is>
          <t>Model Mapping</t>
        </is>
      </c>
      <c r="L944" s="452" t="inlineStr">
        <is>
          <t>https://attack.mitre.org/techniques/T0867</t>
        </is>
      </c>
      <c r="M944" s="973" t="inlineStr">
        <is>
          <t>Yes</t>
        </is>
      </c>
      <c r="N944" s="973" t="inlineStr">
        <is>
          <t>No explicit facility gate — defaults feasible</t>
        </is>
      </c>
      <c r="O944" s="973" t="inlineStr">
        <is>
          <t>Lateral Tool Transfer can support movement toward or within plant/control zones; actual reachability is governed by the assessed facility architecture.</t>
        </is>
      </c>
      <c r="P944" s="973" t="inlineStr">
        <is>
          <t>https://csrc.nist.gov/pubs/sp/800/82/r3/final</t>
        </is>
      </c>
    </row>
    <row r="945" ht="15" customHeight="1" s="508">
      <c r="A945" s="972" t="inlineStr">
        <is>
          <t>Malicious Insider</t>
        </is>
      </c>
      <c r="B945" s="972" t="inlineStr">
        <is>
          <t>Destructive or Integrity Attack</t>
        </is>
      </c>
      <c r="C945" s="972" t="inlineStr">
        <is>
          <t>T0849</t>
        </is>
      </c>
      <c r="D945" s="972" t="inlineStr">
        <is>
          <t>Masquerading</t>
        </is>
      </c>
      <c r="E945" s="972" t="inlineStr">
        <is>
          <t>S2</t>
        </is>
      </c>
      <c r="F945" s="972" t="inlineStr">
        <is>
          <t>Candidate enabling technique</t>
        </is>
      </c>
      <c r="G945" s="972" t="inlineStr">
        <is>
          <t>Yes</t>
        </is>
      </c>
      <c r="H945" s="972" t="inlineStr">
        <is>
          <t>Yes</t>
        </is>
      </c>
      <c r="I945" s="972" t="inlineStr">
        <is>
          <t>Yes</t>
        </is>
      </c>
      <c r="J945" s="972" t="n">
        <v>3</v>
      </c>
      <c r="K945" s="972" t="inlineStr">
        <is>
          <t>Model Mapping</t>
        </is>
      </c>
      <c r="L945" s="452" t="inlineStr">
        <is>
          <t>https://attack.mitre.org/techniques/T0849</t>
        </is>
      </c>
      <c r="M945" s="973" t="inlineStr">
        <is>
          <t>Yes</t>
        </is>
      </c>
      <c r="N945" s="973" t="inlineStr">
        <is>
          <t>No explicit facility gate — defaults feasible</t>
        </is>
      </c>
      <c r="O945" s="973" t="inlineStr">
        <is>
          <t>Masquerading is applicable to execution or persistence on engineering workstations, HMIs, servers or controllers used in Power Generation facilities.</t>
        </is>
      </c>
      <c r="P945" s="973" t="inlineStr">
        <is>
          <t>https://csrc.nist.gov/pubs/sp/800/82/r3/final</t>
        </is>
      </c>
    </row>
    <row r="946" ht="15" customHeight="1" s="508">
      <c r="A946" s="972" t="inlineStr">
        <is>
          <t>Malicious Insider</t>
        </is>
      </c>
      <c r="B946" s="972" t="inlineStr">
        <is>
          <t>Destructive or Integrity Attack</t>
        </is>
      </c>
      <c r="C946" s="972" t="inlineStr">
        <is>
          <t>T0821</t>
        </is>
      </c>
      <c r="D946" s="972" t="inlineStr">
        <is>
          <t>Modify Controller Tasking</t>
        </is>
      </c>
      <c r="E946" s="972" t="inlineStr">
        <is>
          <t>S5</t>
        </is>
      </c>
      <c r="F946" s="972" t="inlineStr">
        <is>
          <t>Supporting / impact</t>
        </is>
      </c>
      <c r="G946" s="972" t="inlineStr">
        <is>
          <t>Yes</t>
        </is>
      </c>
      <c r="H946" s="972" t="inlineStr">
        <is>
          <t>Yes</t>
        </is>
      </c>
      <c r="I946" s="972" t="inlineStr">
        <is>
          <t>Yes</t>
        </is>
      </c>
      <c r="J946" s="972" t="n">
        <v>4</v>
      </c>
      <c r="K946" s="972" t="inlineStr">
        <is>
          <t>STRENGTHENED v1.2: Modify Controller Tasking as a persistent integrity compromise.</t>
        </is>
      </c>
      <c r="L946" s="452" t="inlineStr">
        <is>
          <t>https://attack.mitre.org/techniques/T0821</t>
        </is>
      </c>
      <c r="M946" s="973" t="inlineStr">
        <is>
          <t>Yes</t>
        </is>
      </c>
      <c r="N946" s="973" t="inlineStr">
        <is>
          <t>No explicit facility gate — defaults feasible</t>
        </is>
      </c>
      <c r="O946" s="973" t="inlineStr">
        <is>
          <t>Modify Controller Tasking is applicable to execution or persistence on engineering workstations, HMIs, servers or controllers used in Power Generation facilities.</t>
        </is>
      </c>
      <c r="P946" s="973" t="inlineStr">
        <is>
          <t>https://csrc.nist.gov/pubs/sp/800/82/r3/final</t>
        </is>
      </c>
    </row>
    <row r="947" ht="15" customHeight="1" s="508">
      <c r="A947" s="972" t="inlineStr">
        <is>
          <t>Malicious Insider</t>
        </is>
      </c>
      <c r="B947" s="972" t="inlineStr">
        <is>
          <t>Destructive or Integrity Attack</t>
        </is>
      </c>
      <c r="C947" s="972" t="inlineStr">
        <is>
          <t>T0889</t>
        </is>
      </c>
      <c r="D947" s="972" t="inlineStr">
        <is>
          <t>Modify Program</t>
        </is>
      </c>
      <c r="E947" s="972" t="inlineStr">
        <is>
          <t>S5</t>
        </is>
      </c>
      <c r="F947" s="972" t="inlineStr">
        <is>
          <t>Supporting / impact</t>
        </is>
      </c>
      <c r="G947" s="972" t="inlineStr">
        <is>
          <t>Yes</t>
        </is>
      </c>
      <c r="H947" s="972" t="inlineStr">
        <is>
          <t>Yes</t>
        </is>
      </c>
      <c r="I947" s="972" t="inlineStr">
        <is>
          <t>Yes</t>
        </is>
      </c>
      <c r="J947" s="972" t="n">
        <v>4</v>
      </c>
      <c r="K947" s="972" t="inlineStr">
        <is>
          <t>STRENGTHENED v1.2: Modify Program where the modification is destructive or a persistent integrity compromise.</t>
        </is>
      </c>
      <c r="L947" s="452" t="inlineStr">
        <is>
          <t>https://attack.mitre.org/techniques/T0889</t>
        </is>
      </c>
      <c r="M947" s="973" t="inlineStr">
        <is>
          <t>Yes</t>
        </is>
      </c>
      <c r="N947" s="973" t="inlineStr">
        <is>
          <t>No explicit facility gate — defaults feasible</t>
        </is>
      </c>
      <c r="O947" s="973" t="inlineStr">
        <is>
          <t>Modify Program is applicable to execution or persistence on engineering workstations, HMIs, servers or controllers used in Power Generation facilities.</t>
        </is>
      </c>
      <c r="P947" s="973" t="inlineStr">
        <is>
          <t>https://csrc.nist.gov/pubs/sp/800/82/r3/final</t>
        </is>
      </c>
    </row>
    <row r="948" ht="15" customHeight="1" s="508">
      <c r="A948" s="972" t="inlineStr">
        <is>
          <t>Malicious Insider</t>
        </is>
      </c>
      <c r="B948" s="972" t="inlineStr">
        <is>
          <t>Destructive or Integrity Attack</t>
        </is>
      </c>
      <c r="C948" s="972" t="inlineStr">
        <is>
          <t>T1693.002</t>
        </is>
      </c>
      <c r="D948" s="972" t="inlineStr">
        <is>
          <t>Module Firmware</t>
        </is>
      </c>
      <c r="E948" s="972" t="inlineStr">
        <is>
          <t>S5</t>
        </is>
      </c>
      <c r="F948" s="972" t="inlineStr">
        <is>
          <t>Scenario-defining</t>
        </is>
      </c>
      <c r="G948" s="972" t="inlineStr">
        <is>
          <t>Yes</t>
        </is>
      </c>
      <c r="H948" s="972" t="inlineStr">
        <is>
          <t>Yes</t>
        </is>
      </c>
      <c r="I948" s="972" t="inlineStr">
        <is>
          <t>Yes</t>
        </is>
      </c>
      <c r="J948" s="972" t="n">
        <v>12</v>
      </c>
      <c r="K948" s="972" t="inlineStr">
        <is>
          <t>Model Mapping</t>
        </is>
      </c>
      <c r="L948" s="452" t="inlineStr">
        <is>
          <t>https://attack.mitre.org/techniques/T1693/002</t>
        </is>
      </c>
      <c r="M948" s="973" t="inlineStr">
        <is>
          <t>Yes</t>
        </is>
      </c>
      <c r="N948" s="973" t="inlineStr">
        <is>
          <t>No explicit facility gate — defaults feasible</t>
        </is>
      </c>
      <c r="O948" s="973" t="inlineStr">
        <is>
          <t>Module Firmware is an ATT&amp;CK for ICS impact or response-inhibition technique that can support one or more governed adverse scenarios; scenario role remains controlled on 09.</t>
        </is>
      </c>
      <c r="P948" s="973" t="inlineStr">
        <is>
          <t>https://csrc.nist.gov/pubs/sp/800/82/r3/final</t>
        </is>
      </c>
    </row>
    <row r="949" ht="15" customHeight="1" s="508">
      <c r="A949" s="972" t="inlineStr">
        <is>
          <t>Malicious Insider</t>
        </is>
      </c>
      <c r="B949" s="972" t="inlineStr">
        <is>
          <t>Destructive or Integrity Attack</t>
        </is>
      </c>
      <c r="C949" s="972" t="inlineStr">
        <is>
          <t>T0801</t>
        </is>
      </c>
      <c r="D949" s="972" t="inlineStr">
        <is>
          <t>Monitor Process State</t>
        </is>
      </c>
      <c r="E949" s="972" t="inlineStr">
        <is>
          <t>S4</t>
        </is>
      </c>
      <c r="F949" s="972" t="inlineStr">
        <is>
          <t>Candidate enabling technique</t>
        </is>
      </c>
      <c r="G949" s="972" t="inlineStr">
        <is>
          <t>Yes</t>
        </is>
      </c>
      <c r="H949" s="972" t="inlineStr">
        <is>
          <t>Yes</t>
        </is>
      </c>
      <c r="I949" s="972" t="inlineStr">
        <is>
          <t>Yes</t>
        </is>
      </c>
      <c r="J949" s="972" t="n">
        <v>1</v>
      </c>
      <c r="K949" s="972" t="inlineStr">
        <is>
          <t>Model Mapping</t>
        </is>
      </c>
      <c r="L949" s="452" t="inlineStr">
        <is>
          <t>https://attack.mitre.org/techniques/T0801</t>
        </is>
      </c>
      <c r="M949" s="973" t="inlineStr">
        <is>
          <t>Yes</t>
        </is>
      </c>
      <c r="N949" s="973" t="inlineStr">
        <is>
          <t>No explicit facility gate — defaults feasible</t>
        </is>
      </c>
      <c r="O949" s="973" t="inlineStr">
        <is>
          <t>Monitor Process State can support discovery or interaction with process state, control assets and operational data in Power Generation environments.</t>
        </is>
      </c>
      <c r="P949" s="973" t="inlineStr">
        <is>
          <t>https://csrc.nist.gov/pubs/sp/800/82/r3/final</t>
        </is>
      </c>
    </row>
    <row r="950" ht="15" customHeight="1" s="508">
      <c r="A950" s="972" t="inlineStr">
        <is>
          <t>Malicious Insider</t>
        </is>
      </c>
      <c r="B950" s="972" t="inlineStr">
        <is>
          <t>Destructive or Integrity Attack</t>
        </is>
      </c>
      <c r="C950" s="972" t="inlineStr">
        <is>
          <t>T0846.003</t>
        </is>
      </c>
      <c r="D950" s="972" t="inlineStr">
        <is>
          <t>Multicast Discovery</t>
        </is>
      </c>
      <c r="E950" s="972" t="inlineStr">
        <is>
          <t>S4</t>
        </is>
      </c>
      <c r="F950" s="972" t="inlineStr">
        <is>
          <t>Candidate enabling technique</t>
        </is>
      </c>
      <c r="G950" s="972" t="inlineStr">
        <is>
          <t>Yes</t>
        </is>
      </c>
      <c r="H950" s="972" t="inlineStr">
        <is>
          <t>Yes</t>
        </is>
      </c>
      <c r="I950" s="972" t="inlineStr">
        <is>
          <t>Yes</t>
        </is>
      </c>
      <c r="J950" s="972" t="n">
        <v>2</v>
      </c>
      <c r="K950" s="972" t="inlineStr">
        <is>
          <t>Model Mapping</t>
        </is>
      </c>
      <c r="L950" s="452" t="inlineStr">
        <is>
          <t>https://attack.mitre.org/techniques/T0846/003</t>
        </is>
      </c>
      <c r="M950" s="973" t="inlineStr">
        <is>
          <t>Yes</t>
        </is>
      </c>
      <c r="N950" s="973" t="inlineStr">
        <is>
          <t>No explicit facility gate — defaults feasible</t>
        </is>
      </c>
      <c r="O950" s="973" t="inlineStr">
        <is>
          <t>Multicast Discovery can support discovery or interaction with process state, control assets and operational data in Power Generation environments.</t>
        </is>
      </c>
      <c r="P950" s="973" t="inlineStr">
        <is>
          <t>https://csrc.nist.gov/pubs/sp/800/82/r3/final</t>
        </is>
      </c>
    </row>
    <row r="951" ht="15" customHeight="1" s="508">
      <c r="A951" s="972" t="inlineStr">
        <is>
          <t>Malicious Insider</t>
        </is>
      </c>
      <c r="B951" s="972" t="inlineStr">
        <is>
          <t>Destructive or Integrity Attack</t>
        </is>
      </c>
      <c r="C951" s="972" t="inlineStr">
        <is>
          <t>T0834</t>
        </is>
      </c>
      <c r="D951" s="972" t="inlineStr">
        <is>
          <t>Native API</t>
        </is>
      </c>
      <c r="E951" s="972" t="inlineStr">
        <is>
          <t>S2</t>
        </is>
      </c>
      <c r="F951" s="972" t="inlineStr">
        <is>
          <t>Candidate enabling technique</t>
        </is>
      </c>
      <c r="G951" s="972" t="inlineStr">
        <is>
          <t>Yes</t>
        </is>
      </c>
      <c r="H951" s="972" t="inlineStr">
        <is>
          <t>Yes</t>
        </is>
      </c>
      <c r="I951" s="972" t="inlineStr">
        <is>
          <t>Yes</t>
        </is>
      </c>
      <c r="J951" s="972" t="n">
        <v>1</v>
      </c>
      <c r="K951" s="972" t="inlineStr">
        <is>
          <t>Model Mapping</t>
        </is>
      </c>
      <c r="L951" s="452" t="inlineStr">
        <is>
          <t>https://attack.mitre.org/techniques/T0834</t>
        </is>
      </c>
      <c r="M951" s="973" t="inlineStr">
        <is>
          <t>Yes</t>
        </is>
      </c>
      <c r="N951" s="973" t="inlineStr">
        <is>
          <t>No explicit facility gate — defaults feasible</t>
        </is>
      </c>
      <c r="O951" s="973" t="inlineStr">
        <is>
          <t>Native API is applicable to execution or persistence on engineering workstations, HMIs, servers or controllers used in Power Generation facilities.</t>
        </is>
      </c>
      <c r="P951" s="973" t="inlineStr">
        <is>
          <t>https://csrc.nist.gov/pubs/sp/800/82/r3/final</t>
        </is>
      </c>
    </row>
    <row r="952" ht="15" customHeight="1" s="508">
      <c r="A952" s="972" t="inlineStr">
        <is>
          <t>Malicious Insider</t>
        </is>
      </c>
      <c r="B952" s="972" t="inlineStr">
        <is>
          <t>Destructive or Integrity Attack</t>
        </is>
      </c>
      <c r="C952" s="972" t="inlineStr">
        <is>
          <t>T0840</t>
        </is>
      </c>
      <c r="D952" s="972" t="inlineStr">
        <is>
          <t>Network Connection Enumeration</t>
        </is>
      </c>
      <c r="E952" s="972" t="inlineStr">
        <is>
          <t>S4</t>
        </is>
      </c>
      <c r="F952" s="972" t="inlineStr">
        <is>
          <t>Candidate enabling technique</t>
        </is>
      </c>
      <c r="G952" s="972" t="inlineStr">
        <is>
          <t>Yes</t>
        </is>
      </c>
      <c r="H952" s="972" t="inlineStr">
        <is>
          <t>Yes</t>
        </is>
      </c>
      <c r="I952" s="972" t="inlineStr">
        <is>
          <t>Yes</t>
        </is>
      </c>
      <c r="J952" s="972" t="n">
        <v>1</v>
      </c>
      <c r="K952" s="972" t="inlineStr">
        <is>
          <t>Model Mapping</t>
        </is>
      </c>
      <c r="L952" s="452" t="inlineStr">
        <is>
          <t>https://attack.mitre.org/techniques/T0840</t>
        </is>
      </c>
      <c r="M952" s="973" t="inlineStr">
        <is>
          <t>Yes</t>
        </is>
      </c>
      <c r="N952" s="973" t="inlineStr">
        <is>
          <t>No explicit facility gate — defaults feasible</t>
        </is>
      </c>
      <c r="O952" s="973" t="inlineStr">
        <is>
          <t>Network Connection Enumeration can support discovery or interaction with process state, control assets and operational data in Power Generation environments.</t>
        </is>
      </c>
      <c r="P952" s="973" t="inlineStr">
        <is>
          <t>https://csrc.nist.gov/pubs/sp/800/82/r3/final</t>
        </is>
      </c>
    </row>
    <row r="953" ht="15" customHeight="1" s="508">
      <c r="A953" s="972" t="inlineStr">
        <is>
          <t>Malicious Insider</t>
        </is>
      </c>
      <c r="B953" s="972" t="inlineStr">
        <is>
          <t>Destructive or Integrity Attack</t>
        </is>
      </c>
      <c r="C953" s="972" t="inlineStr">
        <is>
          <t>T0842</t>
        </is>
      </c>
      <c r="D953" s="972" t="inlineStr">
        <is>
          <t>Network Sniffing</t>
        </is>
      </c>
      <c r="E953" s="972" t="inlineStr">
        <is>
          <t>S4</t>
        </is>
      </c>
      <c r="F953" s="972" t="inlineStr">
        <is>
          <t>Candidate enabling technique</t>
        </is>
      </c>
      <c r="G953" s="972" t="inlineStr">
        <is>
          <t>Yes</t>
        </is>
      </c>
      <c r="H953" s="972" t="inlineStr">
        <is>
          <t>Yes</t>
        </is>
      </c>
      <c r="I953" s="972" t="inlineStr">
        <is>
          <t>Yes</t>
        </is>
      </c>
      <c r="J953" s="972" t="n">
        <v>5</v>
      </c>
      <c r="K953" s="972" t="inlineStr">
        <is>
          <t>Model Mapping</t>
        </is>
      </c>
      <c r="L953" s="452" t="inlineStr">
        <is>
          <t>https://attack.mitre.org/techniques/T0842</t>
        </is>
      </c>
      <c r="M953" s="973" t="inlineStr">
        <is>
          <t>Yes</t>
        </is>
      </c>
      <c r="N953" s="973" t="inlineStr">
        <is>
          <t>No explicit facility gate — defaults feasible</t>
        </is>
      </c>
      <c r="O953" s="973" t="inlineStr">
        <is>
          <t>Network Sniffing can support discovery or interaction with process state, control assets and operational data in Power Generation environments.</t>
        </is>
      </c>
      <c r="P953" s="973" t="inlineStr">
        <is>
          <t>https://csrc.nist.gov/pubs/sp/800/82/r3/final</t>
        </is>
      </c>
    </row>
    <row r="954" ht="15" customHeight="1" s="508">
      <c r="A954" s="972" t="inlineStr">
        <is>
          <t>Malicious Insider</t>
        </is>
      </c>
      <c r="B954" s="972" t="inlineStr">
        <is>
          <t>Destructive or Integrity Attack</t>
        </is>
      </c>
      <c r="C954" s="972" t="inlineStr">
        <is>
          <t>T0843.002</t>
        </is>
      </c>
      <c r="D954" s="972" t="inlineStr">
        <is>
          <t>Online Edit</t>
        </is>
      </c>
      <c r="E954" s="972" t="inlineStr">
        <is>
          <t>S3</t>
        </is>
      </c>
      <c r="F954" s="972" t="inlineStr">
        <is>
          <t>Candidate enabling technique</t>
        </is>
      </c>
      <c r="G954" s="972" t="inlineStr">
        <is>
          <t>Yes</t>
        </is>
      </c>
      <c r="H954" s="972" t="inlineStr">
        <is>
          <t>Yes</t>
        </is>
      </c>
      <c r="I954" s="972" t="inlineStr">
        <is>
          <t>Yes</t>
        </is>
      </c>
      <c r="J954" s="972" t="n">
        <v>10</v>
      </c>
      <c r="K954" s="972" t="inlineStr">
        <is>
          <t>Model Mapping</t>
        </is>
      </c>
      <c r="L954" s="452" t="inlineStr">
        <is>
          <t>https://attack.mitre.org/techniques/T0843/002</t>
        </is>
      </c>
      <c r="M954" s="973" t="inlineStr">
        <is>
          <t>Yes</t>
        </is>
      </c>
      <c r="N954" s="973" t="inlineStr">
        <is>
          <t>No explicit facility gate — defaults feasible</t>
        </is>
      </c>
      <c r="O954" s="973" t="inlineStr">
        <is>
          <t>Online Edit can support movement toward or within plant/control zones; actual reachability is governed by the assessed facility architecture.</t>
        </is>
      </c>
      <c r="P954" s="973" t="inlineStr">
        <is>
          <t>https://csrc.nist.gov/pubs/sp/800/82/r3/final</t>
        </is>
      </c>
    </row>
    <row r="955" ht="15" customHeight="1" s="508">
      <c r="A955" s="972" t="inlineStr">
        <is>
          <t>Malicious Insider</t>
        </is>
      </c>
      <c r="B955" s="972" t="inlineStr">
        <is>
          <t>Destructive or Integrity Attack</t>
        </is>
      </c>
      <c r="C955" s="972" t="inlineStr">
        <is>
          <t>T0861</t>
        </is>
      </c>
      <c r="D955" s="972" t="inlineStr">
        <is>
          <t>Point &amp; Tag Identification</t>
        </is>
      </c>
      <c r="E955" s="972" t="inlineStr">
        <is>
          <t>S4</t>
        </is>
      </c>
      <c r="F955" s="972" t="inlineStr">
        <is>
          <t>Candidate enabling technique</t>
        </is>
      </c>
      <c r="G955" s="972" t="inlineStr">
        <is>
          <t>Yes</t>
        </is>
      </c>
      <c r="H955" s="972" t="inlineStr">
        <is>
          <t>Yes</t>
        </is>
      </c>
      <c r="I955" s="972" t="inlineStr">
        <is>
          <t>Yes</t>
        </is>
      </c>
      <c r="J955" s="972" t="n">
        <v>8</v>
      </c>
      <c r="K955" s="972" t="inlineStr">
        <is>
          <t>Model Mapping</t>
        </is>
      </c>
      <c r="L955" s="452" t="inlineStr">
        <is>
          <t>https://attack.mitre.org/techniques/T0861</t>
        </is>
      </c>
      <c r="M955" s="973" t="inlineStr">
        <is>
          <t>Yes</t>
        </is>
      </c>
      <c r="N955" s="973" t="inlineStr">
        <is>
          <t>No explicit facility gate — defaults feasible</t>
        </is>
      </c>
      <c r="O955" s="973" t="inlineStr">
        <is>
          <t>Point &amp; Tag Identification can support discovery or interaction with process state, control assets and operational data in Power Generation environments.</t>
        </is>
      </c>
      <c r="P955" s="973" t="inlineStr">
        <is>
          <t>https://csrc.nist.gov/pubs/sp/800/82/r3/final</t>
        </is>
      </c>
    </row>
    <row r="956" ht="15" customHeight="1" s="508">
      <c r="A956" s="972" t="inlineStr">
        <is>
          <t>Malicious Insider</t>
        </is>
      </c>
      <c r="B956" s="972" t="inlineStr">
        <is>
          <t>Destructive or Integrity Attack</t>
        </is>
      </c>
      <c r="C956" s="972" t="inlineStr">
        <is>
          <t>T0846.001</t>
        </is>
      </c>
      <c r="D956" s="972" t="inlineStr">
        <is>
          <t>Port Scan</t>
        </is>
      </c>
      <c r="E956" s="972" t="inlineStr">
        <is>
          <t>S4</t>
        </is>
      </c>
      <c r="F956" s="972" t="inlineStr">
        <is>
          <t>Candidate enabling technique</t>
        </is>
      </c>
      <c r="G956" s="972" t="inlineStr">
        <is>
          <t>Yes</t>
        </is>
      </c>
      <c r="H956" s="972" t="inlineStr">
        <is>
          <t>Yes</t>
        </is>
      </c>
      <c r="I956" s="972" t="inlineStr">
        <is>
          <t>Yes</t>
        </is>
      </c>
      <c r="J956" s="972" t="n">
        <v>3</v>
      </c>
      <c r="K956" s="972" t="inlineStr">
        <is>
          <t>Model Mapping</t>
        </is>
      </c>
      <c r="L956" s="452" t="inlineStr">
        <is>
          <t>https://attack.mitre.org/techniques/T0846/001</t>
        </is>
      </c>
      <c r="M956" s="973" t="inlineStr">
        <is>
          <t>Yes</t>
        </is>
      </c>
      <c r="N956" s="973" t="inlineStr">
        <is>
          <t>No explicit facility gate — defaults feasible</t>
        </is>
      </c>
      <c r="O956" s="973" t="inlineStr">
        <is>
          <t>Port Scan can support discovery or interaction with process state, control assets and operational data in Power Generation environments.</t>
        </is>
      </c>
      <c r="P956" s="973" t="inlineStr">
        <is>
          <t>https://csrc.nist.gov/pubs/sp/800/82/r3/final</t>
        </is>
      </c>
    </row>
    <row r="957" ht="15" customHeight="1" s="508">
      <c r="A957" s="972" t="inlineStr">
        <is>
          <t>Malicious Insider</t>
        </is>
      </c>
      <c r="B957" s="972" t="inlineStr">
        <is>
          <t>Destructive or Integrity Attack</t>
        </is>
      </c>
      <c r="C957" s="972" t="inlineStr">
        <is>
          <t>T0843.003</t>
        </is>
      </c>
      <c r="D957" s="972" t="inlineStr">
        <is>
          <t>Program Append</t>
        </is>
      </c>
      <c r="E957" s="972" t="inlineStr">
        <is>
          <t>S3</t>
        </is>
      </c>
      <c r="F957" s="972" t="inlineStr">
        <is>
          <t>Candidate enabling technique</t>
        </is>
      </c>
      <c r="G957" s="972" t="inlineStr">
        <is>
          <t>Yes</t>
        </is>
      </c>
      <c r="H957" s="972" t="inlineStr">
        <is>
          <t>Yes</t>
        </is>
      </c>
      <c r="I957" s="972" t="inlineStr">
        <is>
          <t>Yes</t>
        </is>
      </c>
      <c r="J957" s="972" t="n">
        <v>10</v>
      </c>
      <c r="K957" s="972" t="inlineStr">
        <is>
          <t>Model Mapping</t>
        </is>
      </c>
      <c r="L957" s="452" t="inlineStr">
        <is>
          <t>https://attack.mitre.org/techniques/T0843/003</t>
        </is>
      </c>
      <c r="M957" s="973" t="inlineStr">
        <is>
          <t>Yes</t>
        </is>
      </c>
      <c r="N957" s="973" t="inlineStr">
        <is>
          <t>No explicit facility gate — defaults feasible</t>
        </is>
      </c>
      <c r="O957" s="973" t="inlineStr">
        <is>
          <t>Program Append can support movement toward or within plant/control zones; actual reachability is governed by the assessed facility architecture.</t>
        </is>
      </c>
      <c r="P957" s="973" t="inlineStr">
        <is>
          <t>https://csrc.nist.gov/pubs/sp/800/82/r3/final</t>
        </is>
      </c>
    </row>
    <row r="958" ht="15" customHeight="1" s="508">
      <c r="A958" s="972" t="inlineStr">
        <is>
          <t>Malicious Insider</t>
        </is>
      </c>
      <c r="B958" s="972" t="inlineStr">
        <is>
          <t>Destructive or Integrity Attack</t>
        </is>
      </c>
      <c r="C958" s="972" t="inlineStr">
        <is>
          <t>T0845</t>
        </is>
      </c>
      <c r="D958" s="972" t="inlineStr">
        <is>
          <t>Program Upload</t>
        </is>
      </c>
      <c r="E958" s="972" t="inlineStr">
        <is>
          <t>S4</t>
        </is>
      </c>
      <c r="F958" s="972" t="inlineStr">
        <is>
          <t>Candidate enabling technique</t>
        </is>
      </c>
      <c r="G958" s="972" t="inlineStr">
        <is>
          <t>Yes</t>
        </is>
      </c>
      <c r="H958" s="972" t="inlineStr">
        <is>
          <t>Yes</t>
        </is>
      </c>
      <c r="I958" s="972" t="inlineStr">
        <is>
          <t>Yes</t>
        </is>
      </c>
      <c r="J958" s="972" t="n">
        <v>8</v>
      </c>
      <c r="K958" s="972" t="inlineStr">
        <is>
          <t>Model Mapping</t>
        </is>
      </c>
      <c r="L958" s="452" t="inlineStr">
        <is>
          <t>https://attack.mitre.org/techniques/T0845</t>
        </is>
      </c>
      <c r="M958" s="973" t="inlineStr">
        <is>
          <t>Yes</t>
        </is>
      </c>
      <c r="N958" s="973" t="inlineStr">
        <is>
          <t>No explicit facility gate — defaults feasible</t>
        </is>
      </c>
      <c r="O958" s="973" t="inlineStr">
        <is>
          <t>Program Upload can support discovery or interaction with process state, control assets and operational data in Power Generation environments.</t>
        </is>
      </c>
      <c r="P958" s="973" t="inlineStr">
        <is>
          <t>https://csrc.nist.gov/pubs/sp/800/82/r3/final</t>
        </is>
      </c>
    </row>
    <row r="959" ht="15" customHeight="1" s="508">
      <c r="A959" s="972" t="inlineStr">
        <is>
          <t>Malicious Insider</t>
        </is>
      </c>
      <c r="B959" s="972" t="inlineStr">
        <is>
          <t>Destructive or Integrity Attack</t>
        </is>
      </c>
      <c r="C959" s="972" t="inlineStr">
        <is>
          <t>T0886</t>
        </is>
      </c>
      <c r="D959" s="972" t="inlineStr">
        <is>
          <t>Remote Services</t>
        </is>
      </c>
      <c r="E959" s="972" t="inlineStr">
        <is>
          <t>S1</t>
        </is>
      </c>
      <c r="F959" s="972" t="inlineStr">
        <is>
          <t>Candidate enabling technique</t>
        </is>
      </c>
      <c r="G959" s="972" t="inlineStr">
        <is>
          <t>No</t>
        </is>
      </c>
      <c r="H959" s="972" t="inlineStr">
        <is>
          <t>Yes</t>
        </is>
      </c>
      <c r="I959" s="972" t="inlineStr">
        <is>
          <t>No</t>
        </is>
      </c>
      <c r="J959" s="972" t="n">
        <v>9</v>
      </c>
      <c r="K959" s="972" t="inlineStr">
        <is>
          <t>Model Mapping</t>
        </is>
      </c>
      <c r="L959" s="452" t="inlineStr">
        <is>
          <t>https://attack.mitre.org/techniques/T0886</t>
        </is>
      </c>
      <c r="M959" s="973" t="inlineStr">
        <is>
          <t>Yes</t>
        </is>
      </c>
      <c r="N959" s="973" t="inlineStr">
        <is>
          <t>REMOTE_OR_ITOT — Remote path or IT-OT connection</t>
        </is>
      </c>
      <c r="O959" s="973" t="inlineStr">
        <is>
          <t>The Remote Services route is credible for Power Generation OT when the enabling access condition exists; existing facility gates determine remote, internet, transient, supply-chain or wireless feasibility.</t>
        </is>
      </c>
      <c r="P959" s="973" t="inlineStr">
        <is>
          <t>https://csrc.nist.gov/pubs/sp/800/82/r3/final</t>
        </is>
      </c>
    </row>
    <row r="960" ht="15" customHeight="1" s="508">
      <c r="A960" s="972" t="inlineStr">
        <is>
          <t>Malicious Insider</t>
        </is>
      </c>
      <c r="B960" s="972" t="inlineStr">
        <is>
          <t>Destructive or Integrity Attack</t>
        </is>
      </c>
      <c r="C960" s="972" t="inlineStr">
        <is>
          <t>T0888</t>
        </is>
      </c>
      <c r="D960" s="972" t="inlineStr">
        <is>
          <t>Remote System Information Discovery</t>
        </is>
      </c>
      <c r="E960" s="972" t="inlineStr">
        <is>
          <t>S4</t>
        </is>
      </c>
      <c r="F960" s="972" t="inlineStr">
        <is>
          <t>Candidate enabling technique</t>
        </is>
      </c>
      <c r="G960" s="972" t="inlineStr">
        <is>
          <t>Yes</t>
        </is>
      </c>
      <c r="H960" s="972" t="inlineStr">
        <is>
          <t>Yes</t>
        </is>
      </c>
      <c r="I960" s="972" t="inlineStr">
        <is>
          <t>Yes</t>
        </is>
      </c>
      <c r="J960" s="972" t="n">
        <v>1</v>
      </c>
      <c r="K960" s="972" t="inlineStr">
        <is>
          <t>Model Mapping</t>
        </is>
      </c>
      <c r="L960" s="452" t="inlineStr">
        <is>
          <t>https://attack.mitre.org/techniques/T0888</t>
        </is>
      </c>
      <c r="M960" s="973" t="inlineStr">
        <is>
          <t>Yes</t>
        </is>
      </c>
      <c r="N960" s="973" t="inlineStr">
        <is>
          <t>No explicit facility gate — defaults feasible</t>
        </is>
      </c>
      <c r="O960" s="973" t="inlineStr">
        <is>
          <t>Remote System Information Discovery can support discovery or interaction with process state, control assets and operational data in Power Generation environments.</t>
        </is>
      </c>
      <c r="P960" s="973" t="inlineStr">
        <is>
          <t>https://csrc.nist.gov/pubs/sp/800/82/r3/final</t>
        </is>
      </c>
    </row>
    <row r="961" ht="15" customHeight="1" s="508">
      <c r="A961" s="972" t="inlineStr">
        <is>
          <t>Malicious Insider</t>
        </is>
      </c>
      <c r="B961" s="972" t="inlineStr">
        <is>
          <t>Destructive or Integrity Attack</t>
        </is>
      </c>
      <c r="C961" s="972" t="inlineStr">
        <is>
          <t>T0847</t>
        </is>
      </c>
      <c r="D961" s="972" t="inlineStr">
        <is>
          <t>Replication Through Removable Media</t>
        </is>
      </c>
      <c r="E961" s="972" t="inlineStr">
        <is>
          <t>S1</t>
        </is>
      </c>
      <c r="F961" s="972" t="inlineStr">
        <is>
          <t>Candidate enabling technique</t>
        </is>
      </c>
      <c r="G961" s="972" t="inlineStr">
        <is>
          <t>No</t>
        </is>
      </c>
      <c r="H961" s="972" t="inlineStr">
        <is>
          <t>Yes</t>
        </is>
      </c>
      <c r="I961" s="972" t="inlineStr">
        <is>
          <t>No</t>
        </is>
      </c>
      <c r="J961" s="972" t="n">
        <v>3</v>
      </c>
      <c r="K961" s="972" t="inlineStr">
        <is>
          <t>Model Mapping</t>
        </is>
      </c>
      <c r="L961" s="452" t="inlineStr">
        <is>
          <t>https://attack.mitre.org/techniques/T0847</t>
        </is>
      </c>
      <c r="M961" s="973" t="inlineStr">
        <is>
          <t>Yes</t>
        </is>
      </c>
      <c r="N961" s="973" t="inlineStr">
        <is>
          <t>TRANSIENT_REQUIRED — Not None</t>
        </is>
      </c>
      <c r="O961" s="973" t="inlineStr">
        <is>
          <t>The Replication Through Removable Media route is credible for Power Generation OT when the enabling access condition exists; existing facility gates determine remote, internet, transient, supply-chain or wireless feasibility.</t>
        </is>
      </c>
      <c r="P961" s="973" t="inlineStr">
        <is>
          <t>https://csrc.nist.gov/pubs/sp/800/82/r3/final</t>
        </is>
      </c>
    </row>
    <row r="962" ht="15" customHeight="1" s="508">
      <c r="A962" s="972" t="inlineStr">
        <is>
          <t>Malicious Insider</t>
        </is>
      </c>
      <c r="B962" s="972" t="inlineStr">
        <is>
          <t>Destructive or Integrity Attack</t>
        </is>
      </c>
      <c r="C962" s="972" t="inlineStr">
        <is>
          <t>T0848</t>
        </is>
      </c>
      <c r="D962" s="972" t="inlineStr">
        <is>
          <t>Rogue Master</t>
        </is>
      </c>
      <c r="E962" s="972" t="inlineStr">
        <is>
          <t>S1</t>
        </is>
      </c>
      <c r="F962" s="972" t="inlineStr">
        <is>
          <t>Candidate enabling technique</t>
        </is>
      </c>
      <c r="G962" s="972" t="inlineStr">
        <is>
          <t>No</t>
        </is>
      </c>
      <c r="H962" s="972" t="inlineStr">
        <is>
          <t>Yes</t>
        </is>
      </c>
      <c r="I962" s="972" t="inlineStr">
        <is>
          <t>No</t>
        </is>
      </c>
      <c r="J962" s="972" t="n">
        <v>5</v>
      </c>
      <c r="K962" s="972" t="inlineStr">
        <is>
          <t>Model Mapping</t>
        </is>
      </c>
      <c r="L962" s="452" t="inlineStr">
        <is>
          <t>https://attack.mitre.org/techniques/T0848</t>
        </is>
      </c>
      <c r="M962" s="973" t="inlineStr">
        <is>
          <t>Yes</t>
        </is>
      </c>
      <c r="N962" s="973" t="inlineStr">
        <is>
          <t>No explicit facility gate — defaults feasible</t>
        </is>
      </c>
      <c r="O962" s="973" t="inlineStr">
        <is>
          <t>The Rogue Master route is credible for Power Generation OT when the enabling access condition exists; existing facility gates determine remote, internet, transient, supply-chain or wireless feasibility.</t>
        </is>
      </c>
      <c r="P962" s="973" t="inlineStr">
        <is>
          <t>https://csrc.nist.gov/pubs/sp/800/82/r3/final</t>
        </is>
      </c>
    </row>
    <row r="963" ht="15" customHeight="1" s="508">
      <c r="A963" s="972" t="inlineStr">
        <is>
          <t>Malicious Insider</t>
        </is>
      </c>
      <c r="B963" s="972" t="inlineStr">
        <is>
          <t>Destructive or Integrity Attack</t>
        </is>
      </c>
      <c r="C963" s="972" t="inlineStr">
        <is>
          <t>T0851</t>
        </is>
      </c>
      <c r="D963" s="972" t="inlineStr">
        <is>
          <t>Rootkit</t>
        </is>
      </c>
      <c r="E963" s="972" t="inlineStr">
        <is>
          <t>S2</t>
        </is>
      </c>
      <c r="F963" s="972" t="inlineStr">
        <is>
          <t>Candidate enabling technique</t>
        </is>
      </c>
      <c r="G963" s="972" t="inlineStr">
        <is>
          <t>Yes</t>
        </is>
      </c>
      <c r="H963" s="972" t="inlineStr">
        <is>
          <t>Yes</t>
        </is>
      </c>
      <c r="I963" s="972" t="inlineStr">
        <is>
          <t>Yes</t>
        </is>
      </c>
      <c r="J963" s="972" t="n">
        <v>2</v>
      </c>
      <c r="K963" s="972" t="inlineStr">
        <is>
          <t>RECLASSIFIED v1.2: As above: evasion, not a destructive or integrity outcome.</t>
        </is>
      </c>
      <c r="L963" s="452" t="inlineStr">
        <is>
          <t>https://attack.mitre.org/techniques/T0851</t>
        </is>
      </c>
      <c r="M963" s="973" t="inlineStr">
        <is>
          <t>Yes</t>
        </is>
      </c>
      <c r="N963" s="973" t="inlineStr">
        <is>
          <t>No explicit facility gate — defaults feasible</t>
        </is>
      </c>
      <c r="O963" s="973" t="inlineStr">
        <is>
          <t>Rootkit is an ATT&amp;CK for ICS impact or response-inhibition technique that can support one or more governed adverse scenarios; scenario role remains controlled on 09.</t>
        </is>
      </c>
      <c r="P963" s="973" t="inlineStr">
        <is>
          <t>https://csrc.nist.gov/pubs/sp/800/82/r3/final</t>
        </is>
      </c>
    </row>
    <row r="964" ht="15" customHeight="1" s="508">
      <c r="A964" s="972" t="inlineStr">
        <is>
          <t>Malicious Insider</t>
        </is>
      </c>
      <c r="B964" s="972" t="inlineStr">
        <is>
          <t>Destructive or Integrity Attack</t>
        </is>
      </c>
      <c r="C964" s="972" t="inlineStr">
        <is>
          <t>T0852</t>
        </is>
      </c>
      <c r="D964" s="972" t="inlineStr">
        <is>
          <t>Screen Capture</t>
        </is>
      </c>
      <c r="E964" s="972" t="inlineStr">
        <is>
          <t>S4</t>
        </is>
      </c>
      <c r="F964" s="972" t="inlineStr">
        <is>
          <t>Candidate enabling technique</t>
        </is>
      </c>
      <c r="G964" s="972" t="inlineStr">
        <is>
          <t>Yes</t>
        </is>
      </c>
      <c r="H964" s="972" t="inlineStr">
        <is>
          <t>Yes</t>
        </is>
      </c>
      <c r="I964" s="972" t="inlineStr">
        <is>
          <t>Yes</t>
        </is>
      </c>
      <c r="J964" s="972" t="n">
        <v>1</v>
      </c>
      <c r="K964" s="972" t="inlineStr">
        <is>
          <t>Model Mapping</t>
        </is>
      </c>
      <c r="L964" s="452" t="inlineStr">
        <is>
          <t>https://attack.mitre.org/techniques/T0852</t>
        </is>
      </c>
      <c r="M964" s="973" t="inlineStr">
        <is>
          <t>Yes</t>
        </is>
      </c>
      <c r="N964" s="973" t="inlineStr">
        <is>
          <t>No explicit facility gate — defaults feasible</t>
        </is>
      </c>
      <c r="O964" s="973" t="inlineStr">
        <is>
          <t>Screen Capture can support discovery or interaction with process state, control assets and operational data in Power Generation environments.</t>
        </is>
      </c>
      <c r="P964" s="973" t="inlineStr">
        <is>
          <t>https://csrc.nist.gov/pubs/sp/800/82/r3/final</t>
        </is>
      </c>
    </row>
    <row r="965" ht="15" customHeight="1" s="508">
      <c r="A965" s="972" t="inlineStr">
        <is>
          <t>Malicious Insider</t>
        </is>
      </c>
      <c r="B965" s="972" t="inlineStr">
        <is>
          <t>Destructive or Integrity Attack</t>
        </is>
      </c>
      <c r="C965" s="972" t="inlineStr">
        <is>
          <t>T0853</t>
        </is>
      </c>
      <c r="D965" s="972" t="inlineStr">
        <is>
          <t>Scripting</t>
        </is>
      </c>
      <c r="E965" s="972" t="inlineStr">
        <is>
          <t>S2</t>
        </is>
      </c>
      <c r="F965" s="972" t="inlineStr">
        <is>
          <t>Candidate enabling technique</t>
        </is>
      </c>
      <c r="G965" s="972" t="inlineStr">
        <is>
          <t>Yes</t>
        </is>
      </c>
      <c r="H965" s="972" t="inlineStr">
        <is>
          <t>Yes</t>
        </is>
      </c>
      <c r="I965" s="972" t="inlineStr">
        <is>
          <t>Yes</t>
        </is>
      </c>
      <c r="J965" s="972" t="n">
        <v>3</v>
      </c>
      <c r="K965" s="972" t="inlineStr">
        <is>
          <t>Model Mapping</t>
        </is>
      </c>
      <c r="L965" s="452" t="inlineStr">
        <is>
          <t>https://attack.mitre.org/techniques/T0853</t>
        </is>
      </c>
      <c r="M965" s="973" t="inlineStr">
        <is>
          <t>Yes</t>
        </is>
      </c>
      <c r="N965" s="973" t="inlineStr">
        <is>
          <t>No explicit facility gate — defaults feasible</t>
        </is>
      </c>
      <c r="O965" s="973" t="inlineStr">
        <is>
          <t>Scripting is applicable to execution or persistence on engineering workstations, HMIs, servers or controllers used in Power Generation facilities.</t>
        </is>
      </c>
      <c r="P965" s="973" t="inlineStr">
        <is>
          <t>https://csrc.nist.gov/pubs/sp/800/82/r3/final</t>
        </is>
      </c>
    </row>
    <row r="966" ht="15" customHeight="1" s="508">
      <c r="A966" s="972" t="inlineStr">
        <is>
          <t>Malicious Insider</t>
        </is>
      </c>
      <c r="B966" s="972" t="inlineStr">
        <is>
          <t>Destructive or Integrity Attack</t>
        </is>
      </c>
      <c r="C966" s="972" t="inlineStr">
        <is>
          <t>T0873.001</t>
        </is>
      </c>
      <c r="D966" s="972" t="inlineStr">
        <is>
          <t>Siemens Project File Format</t>
        </is>
      </c>
      <c r="E966" s="972" t="inlineStr">
        <is>
          <t>S2</t>
        </is>
      </c>
      <c r="F966" s="972" t="inlineStr">
        <is>
          <t>Candidate enabling technique</t>
        </is>
      </c>
      <c r="G966" s="972" t="inlineStr">
        <is>
          <t>Yes</t>
        </is>
      </c>
      <c r="H966" s="972" t="inlineStr">
        <is>
          <t>Yes</t>
        </is>
      </c>
      <c r="I966" s="972" t="inlineStr">
        <is>
          <t>Yes</t>
        </is>
      </c>
      <c r="J966" s="972" t="n">
        <v>4</v>
      </c>
      <c r="K966" s="972" t="inlineStr">
        <is>
          <t>Model Mapping</t>
        </is>
      </c>
      <c r="L966" s="452" t="inlineStr">
        <is>
          <t>https://attack.mitre.org/techniques/T0873/001</t>
        </is>
      </c>
      <c r="M966" s="973" t="inlineStr">
        <is>
          <t>Yes</t>
        </is>
      </c>
      <c r="N966" s="973" t="inlineStr">
        <is>
          <t>No explicit facility gate — defaults feasible</t>
        </is>
      </c>
      <c r="O966" s="973" t="inlineStr">
        <is>
          <t>Siemens Project File Format is applicable to execution or persistence on engineering workstations, HMIs, servers or controllers used in Power Generation facilities.</t>
        </is>
      </c>
      <c r="P966" s="973" t="inlineStr">
        <is>
          <t>https://csrc.nist.gov/pubs/sp/800/82/r3/final</t>
        </is>
      </c>
    </row>
    <row r="967" ht="15" customHeight="1" s="508">
      <c r="A967" s="972" t="inlineStr">
        <is>
          <t>Malicious Insider</t>
        </is>
      </c>
      <c r="B967" s="972" t="inlineStr">
        <is>
          <t>Destructive or Integrity Attack</t>
        </is>
      </c>
      <c r="C967" s="972" t="inlineStr">
        <is>
          <t>T0865</t>
        </is>
      </c>
      <c r="D967" s="972" t="inlineStr">
        <is>
          <t>Spearphishing Attachment</t>
        </is>
      </c>
      <c r="E967" s="972" t="inlineStr">
        <is>
          <t>S1</t>
        </is>
      </c>
      <c r="F967" s="972" t="inlineStr">
        <is>
          <t>Candidate enabling technique</t>
        </is>
      </c>
      <c r="G967" s="972" t="inlineStr">
        <is>
          <t>No</t>
        </is>
      </c>
      <c r="H967" s="972" t="inlineStr">
        <is>
          <t>Yes</t>
        </is>
      </c>
      <c r="I967" s="972" t="inlineStr">
        <is>
          <t>No</t>
        </is>
      </c>
      <c r="J967" s="972" t="n">
        <v>4</v>
      </c>
      <c r="K967" s="972" t="inlineStr">
        <is>
          <t>Model Mapping</t>
        </is>
      </c>
      <c r="L967" s="452" t="inlineStr">
        <is>
          <t>https://attack.mitre.org/techniques/T0865</t>
        </is>
      </c>
      <c r="M967" s="973" t="inlineStr">
        <is>
          <t>Yes</t>
        </is>
      </c>
      <c r="N967" s="973" t="inlineStr">
        <is>
          <t>No explicit facility gate — defaults feasible</t>
        </is>
      </c>
      <c r="O967" s="973" t="inlineStr">
        <is>
          <t>The Spearphishing Attachment route is credible for Power Generation OT when the enabling access condition exists; existing facility gates determine remote, internet, transient, supply-chain or wireless feasibility.</t>
        </is>
      </c>
      <c r="P967" s="973" t="inlineStr">
        <is>
          <t>https://csrc.nist.gov/pubs/sp/800/82/r3/final</t>
        </is>
      </c>
    </row>
    <row r="968" ht="15" customHeight="1" s="508">
      <c r="A968" s="972" t="inlineStr">
        <is>
          <t>Malicious Insider</t>
        </is>
      </c>
      <c r="B968" s="972" t="inlineStr">
        <is>
          <t>Destructive or Integrity Attack</t>
        </is>
      </c>
      <c r="C968" s="972" t="inlineStr">
        <is>
          <t>T0869</t>
        </is>
      </c>
      <c r="D968" s="972" t="inlineStr">
        <is>
          <t>Standard Application Layer Protocol</t>
        </is>
      </c>
      <c r="E968" s="972" t="inlineStr">
        <is>
          <t>S3</t>
        </is>
      </c>
      <c r="F968" s="972" t="inlineStr">
        <is>
          <t>Candidate enabling technique</t>
        </is>
      </c>
      <c r="G968" s="972" t="inlineStr">
        <is>
          <t>Yes</t>
        </is>
      </c>
      <c r="H968" s="972" t="inlineStr">
        <is>
          <t>Yes</t>
        </is>
      </c>
      <c r="I968" s="972" t="inlineStr">
        <is>
          <t>Yes</t>
        </is>
      </c>
      <c r="J968" s="972" t="n">
        <v>3</v>
      </c>
      <c r="K968" s="972" t="inlineStr">
        <is>
          <t>Model Mapping</t>
        </is>
      </c>
      <c r="L968" s="452" t="inlineStr">
        <is>
          <t>https://attack.mitre.org/techniques/T0869</t>
        </is>
      </c>
      <c r="M968" s="973" t="inlineStr">
        <is>
          <t>Yes</t>
        </is>
      </c>
      <c r="N968" s="973" t="inlineStr">
        <is>
          <t>No explicit facility gate — defaults feasible</t>
        </is>
      </c>
      <c r="O968" s="973" t="inlineStr">
        <is>
          <t>Standard Application Layer Protocol can support movement toward or within plant/control zones; actual reachability is governed by the assessed facility architecture.</t>
        </is>
      </c>
      <c r="P968" s="973" t="inlineStr">
        <is>
          <t>https://csrc.nist.gov/pubs/sp/800/82/r3/final</t>
        </is>
      </c>
    </row>
    <row r="969" ht="15" customHeight="1" s="508">
      <c r="A969" s="972" t="inlineStr">
        <is>
          <t>Malicious Insider</t>
        </is>
      </c>
      <c r="B969" s="972" t="inlineStr">
        <is>
          <t>Destructive or Integrity Attack</t>
        </is>
      </c>
      <c r="C969" s="972" t="inlineStr">
        <is>
          <t>T0862</t>
        </is>
      </c>
      <c r="D969" s="972" t="inlineStr">
        <is>
          <t>Supply Chain Compromise</t>
        </is>
      </c>
      <c r="E969" s="972" t="inlineStr">
        <is>
          <t>S1</t>
        </is>
      </c>
      <c r="F969" s="972" t="inlineStr">
        <is>
          <t>Candidate enabling technique</t>
        </is>
      </c>
      <c r="G969" s="972" t="inlineStr">
        <is>
          <t>No</t>
        </is>
      </c>
      <c r="H969" s="972" t="inlineStr">
        <is>
          <t>Yes</t>
        </is>
      </c>
      <c r="I969" s="972" t="inlineStr">
        <is>
          <t>No</t>
        </is>
      </c>
      <c r="J969" s="972" t="n">
        <v>5</v>
      </c>
      <c r="K969" s="972" t="inlineStr">
        <is>
          <t>Model Mapping</t>
        </is>
      </c>
      <c r="L969" s="452" t="inlineStr">
        <is>
          <t>https://attack.mitre.org/techniques/T0862</t>
        </is>
      </c>
      <c r="M969" s="973" t="inlineStr">
        <is>
          <t>Yes</t>
        </is>
      </c>
      <c r="N969" s="973" t="inlineStr">
        <is>
          <t>SUPPLY_CHAIN — Yes</t>
        </is>
      </c>
      <c r="O969" s="973" t="inlineStr">
        <is>
          <t>The Supply Chain Compromise route is credible for Power Generation OT when the enabling access condition exists; existing facility gates determine remote, internet, transient, supply-chain or wireless feasibility.</t>
        </is>
      </c>
      <c r="P969" s="973" t="inlineStr">
        <is>
          <t>https://csrc.nist.gov/pubs/sp/800/82/r3/final</t>
        </is>
      </c>
    </row>
    <row r="970" ht="15" customHeight="1" s="508">
      <c r="A970" s="972" t="inlineStr">
        <is>
          <t>Malicious Insider</t>
        </is>
      </c>
      <c r="B970" s="972" t="inlineStr">
        <is>
          <t>Destructive or Integrity Attack</t>
        </is>
      </c>
      <c r="C970" s="972" t="inlineStr">
        <is>
          <t>T0894</t>
        </is>
      </c>
      <c r="D970" s="972" t="inlineStr">
        <is>
          <t>System Binary Proxy Execution</t>
        </is>
      </c>
      <c r="E970" s="972" t="inlineStr">
        <is>
          <t>S2</t>
        </is>
      </c>
      <c r="F970" s="972" t="inlineStr">
        <is>
          <t>Candidate enabling technique</t>
        </is>
      </c>
      <c r="G970" s="972" t="inlineStr">
        <is>
          <t>Yes</t>
        </is>
      </c>
      <c r="H970" s="972" t="inlineStr">
        <is>
          <t>Yes</t>
        </is>
      </c>
      <c r="I970" s="972" t="inlineStr">
        <is>
          <t>Yes</t>
        </is>
      </c>
      <c r="J970" s="972" t="n">
        <v>1</v>
      </c>
      <c r="K970" s="972" t="inlineStr">
        <is>
          <t>Model Mapping</t>
        </is>
      </c>
      <c r="L970" s="452" t="inlineStr">
        <is>
          <t>https://attack.mitre.org/techniques/T0894</t>
        </is>
      </c>
      <c r="M970" s="973" t="inlineStr">
        <is>
          <t>Yes</t>
        </is>
      </c>
      <c r="N970" s="973" t="inlineStr">
        <is>
          <t>No explicit facility gate — defaults feasible</t>
        </is>
      </c>
      <c r="O970" s="973" t="inlineStr">
        <is>
          <t>System Binary Proxy Execution is applicable to execution or persistence on engineering workstations, HMIs, servers or controllers used in Power Generation facilities.</t>
        </is>
      </c>
      <c r="P970" s="973" t="inlineStr">
        <is>
          <t>https://csrc.nist.gov/pubs/sp/800/82/r3/final</t>
        </is>
      </c>
    </row>
    <row r="971" ht="15" customHeight="1" s="508">
      <c r="A971" s="972" t="inlineStr">
        <is>
          <t>Malicious Insider</t>
        </is>
      </c>
      <c r="B971" s="972" t="inlineStr">
        <is>
          <t>Destructive or Integrity Attack</t>
        </is>
      </c>
      <c r="C971" s="972" t="inlineStr">
        <is>
          <t>T1693.001</t>
        </is>
      </c>
      <c r="D971" s="972" t="inlineStr">
        <is>
          <t>System Firmware</t>
        </is>
      </c>
      <c r="E971" s="972" t="inlineStr">
        <is>
          <t>S5</t>
        </is>
      </c>
      <c r="F971" s="972" t="inlineStr">
        <is>
          <t>Scenario-defining</t>
        </is>
      </c>
      <c r="G971" s="972" t="inlineStr">
        <is>
          <t>Yes</t>
        </is>
      </c>
      <c r="H971" s="972" t="inlineStr">
        <is>
          <t>Yes</t>
        </is>
      </c>
      <c r="I971" s="972" t="inlineStr">
        <is>
          <t>Yes</t>
        </is>
      </c>
      <c r="J971" s="972" t="n">
        <v>13</v>
      </c>
      <c r="K971" s="972" t="inlineStr">
        <is>
          <t>Model Mapping</t>
        </is>
      </c>
      <c r="L971" s="452" t="inlineStr">
        <is>
          <t>https://attack.mitre.org/techniques/T1693/001</t>
        </is>
      </c>
      <c r="M971" s="973" t="inlineStr">
        <is>
          <t>Yes</t>
        </is>
      </c>
      <c r="N971" s="973" t="inlineStr">
        <is>
          <t>No explicit facility gate — defaults feasible</t>
        </is>
      </c>
      <c r="O971" s="973" t="inlineStr">
        <is>
          <t>System Firmware is an ATT&amp;CK for ICS impact or response-inhibition technique that can support one or more governed adverse scenarios; scenario role remains controlled on 09.</t>
        </is>
      </c>
      <c r="P971" s="973" t="inlineStr">
        <is>
          <t>https://csrc.nist.gov/pubs/sp/800/82/r3/final</t>
        </is>
      </c>
    </row>
    <row r="972" ht="15" customHeight="1" s="508">
      <c r="A972" s="972" t="inlineStr">
        <is>
          <t>Malicious Insider</t>
        </is>
      </c>
      <c r="B972" s="972" t="inlineStr">
        <is>
          <t>Destructive or Integrity Attack</t>
        </is>
      </c>
      <c r="C972" s="972" t="inlineStr">
        <is>
          <t>T0864</t>
        </is>
      </c>
      <c r="D972" s="972" t="inlineStr">
        <is>
          <t>Transient Cyber Asset</t>
        </is>
      </c>
      <c r="E972" s="972" t="inlineStr">
        <is>
          <t>S1</t>
        </is>
      </c>
      <c r="F972" s="972" t="inlineStr">
        <is>
          <t>Candidate enabling technique</t>
        </is>
      </c>
      <c r="G972" s="972" t="inlineStr">
        <is>
          <t>No</t>
        </is>
      </c>
      <c r="H972" s="972" t="inlineStr">
        <is>
          <t>Yes</t>
        </is>
      </c>
      <c r="I972" s="972" t="inlineStr">
        <is>
          <t>No</t>
        </is>
      </c>
      <c r="J972" s="972" t="n">
        <v>5</v>
      </c>
      <c r="K972" s="972" t="inlineStr">
        <is>
          <t>Model Mapping</t>
        </is>
      </c>
      <c r="L972" s="452" t="inlineStr">
        <is>
          <t>https://attack.mitre.org/techniques/T0864</t>
        </is>
      </c>
      <c r="M972" s="973" t="inlineStr">
        <is>
          <t>Yes</t>
        </is>
      </c>
      <c r="N972" s="973" t="inlineStr">
        <is>
          <t>TRANSIENT_REQUIRED — Not None</t>
        </is>
      </c>
      <c r="O972" s="973" t="inlineStr">
        <is>
          <t>The Transient Cyber Asset route is credible for Power Generation OT when the enabling access condition exists; existing facility gates determine remote, internet, transient, supply-chain or wireless feasibility.</t>
        </is>
      </c>
      <c r="P972" s="973" t="inlineStr">
        <is>
          <t>https://csrc.nist.gov/pubs/sp/800/82/r3/final</t>
        </is>
      </c>
    </row>
    <row r="973" ht="15" customHeight="1" s="508">
      <c r="A973" s="972" t="inlineStr">
        <is>
          <t>Malicious Insider</t>
        </is>
      </c>
      <c r="B973" s="972" t="inlineStr">
        <is>
          <t>Destructive or Integrity Attack</t>
        </is>
      </c>
      <c r="C973" s="972" t="inlineStr">
        <is>
          <t>T0863</t>
        </is>
      </c>
      <c r="D973" s="972" t="inlineStr">
        <is>
          <t>User Execution</t>
        </is>
      </c>
      <c r="E973" s="972" t="inlineStr">
        <is>
          <t>S2</t>
        </is>
      </c>
      <c r="F973" s="972" t="inlineStr">
        <is>
          <t>Candidate enabling technique</t>
        </is>
      </c>
      <c r="G973" s="972" t="inlineStr">
        <is>
          <t>Yes</t>
        </is>
      </c>
      <c r="H973" s="972" t="inlineStr">
        <is>
          <t>Yes</t>
        </is>
      </c>
      <c r="I973" s="972" t="inlineStr">
        <is>
          <t>Yes</t>
        </is>
      </c>
      <c r="J973" s="972" t="n">
        <v>6</v>
      </c>
      <c r="K973" s="972" t="inlineStr">
        <is>
          <t>Model Mapping</t>
        </is>
      </c>
      <c r="L973" s="452" t="inlineStr">
        <is>
          <t>https://attack.mitre.org/techniques/T0863</t>
        </is>
      </c>
      <c r="M973" s="973" t="inlineStr">
        <is>
          <t>Yes</t>
        </is>
      </c>
      <c r="N973" s="973" t="inlineStr">
        <is>
          <t>No explicit facility gate — defaults feasible</t>
        </is>
      </c>
      <c r="O973" s="973" t="inlineStr">
        <is>
          <t>User Execution is applicable to execution or persistence on engineering workstations, HMIs, servers or controllers used in Power Generation facilities.</t>
        </is>
      </c>
      <c r="P973" s="973" t="inlineStr">
        <is>
          <t>https://csrc.nist.gov/pubs/sp/800/82/r3/final</t>
        </is>
      </c>
    </row>
    <row r="974" ht="15" customHeight="1" s="508">
      <c r="A974" s="972" t="inlineStr">
        <is>
          <t>Malicious Insider</t>
        </is>
      </c>
      <c r="B974" s="972" t="inlineStr">
        <is>
          <t>Destructive or Integrity Attack</t>
        </is>
      </c>
      <c r="C974" s="972" t="inlineStr">
        <is>
          <t>T0859</t>
        </is>
      </c>
      <c r="D974" s="972" t="inlineStr">
        <is>
          <t>Valid Accounts</t>
        </is>
      </c>
      <c r="E974" s="972" t="inlineStr">
        <is>
          <t>S3</t>
        </is>
      </c>
      <c r="F974" s="972" t="inlineStr">
        <is>
          <t>Candidate enabling technique</t>
        </is>
      </c>
      <c r="G974" s="972" t="inlineStr">
        <is>
          <t>Yes</t>
        </is>
      </c>
      <c r="H974" s="972" t="inlineStr">
        <is>
          <t>Yes</t>
        </is>
      </c>
      <c r="I974" s="972" t="inlineStr">
        <is>
          <t>Yes</t>
        </is>
      </c>
      <c r="J974" s="972" t="n">
        <v>10</v>
      </c>
      <c r="K974" s="972" t="inlineStr">
        <is>
          <t>Model Mapping</t>
        </is>
      </c>
      <c r="L974" s="452" t="inlineStr">
        <is>
          <t>https://attack.mitre.org/techniques/T0859</t>
        </is>
      </c>
      <c r="M974" s="973" t="inlineStr">
        <is>
          <t>Yes</t>
        </is>
      </c>
      <c r="N974" s="973" t="inlineStr">
        <is>
          <t>No explicit facility gate — defaults feasible</t>
        </is>
      </c>
      <c r="O974" s="973" t="inlineStr">
        <is>
          <t>Valid Accounts can support movement toward or within plant/control zones; actual reachability is governed by the assessed facility architecture.</t>
        </is>
      </c>
      <c r="P974" s="973" t="inlineStr">
        <is>
          <t>https://csrc.nist.gov/pubs/sp/800/82/r3/final</t>
        </is>
      </c>
    </row>
    <row r="975" ht="15" customHeight="1" s="508">
      <c r="A975" s="972" t="inlineStr">
        <is>
          <t>Malicious Insider</t>
        </is>
      </c>
      <c r="B975" s="972" t="inlineStr">
        <is>
          <t>Destructive or Integrity Attack</t>
        </is>
      </c>
      <c r="C975" s="972" t="inlineStr">
        <is>
          <t>T0860</t>
        </is>
      </c>
      <c r="D975" s="972" t="inlineStr">
        <is>
          <t>Wireless Compromise</t>
        </is>
      </c>
      <c r="E975" s="972" t="inlineStr">
        <is>
          <t>S1</t>
        </is>
      </c>
      <c r="F975" s="972" t="inlineStr">
        <is>
          <t>Candidate enabling technique</t>
        </is>
      </c>
      <c r="G975" s="972" t="inlineStr">
        <is>
          <t>No</t>
        </is>
      </c>
      <c r="H975" s="972" t="inlineStr">
        <is>
          <t>No</t>
        </is>
      </c>
      <c r="I975" s="972" t="inlineStr">
        <is>
          <t>No</t>
        </is>
      </c>
      <c r="J975" s="972" t="n">
        <v>4</v>
      </c>
      <c r="K975" s="972" t="inlineStr">
        <is>
          <t>Model Mapping</t>
        </is>
      </c>
      <c r="L975" s="452" t="inlineStr">
        <is>
          <t>https://attack.mitre.org/techniques/T0860</t>
        </is>
      </c>
      <c r="M975" s="973" t="inlineStr">
        <is>
          <t>Yes</t>
        </is>
      </c>
      <c r="N975" s="973" t="inlineStr">
        <is>
          <t>WIRELESS — Yes</t>
        </is>
      </c>
      <c r="O975" s="973" t="inlineStr">
        <is>
          <t>The Wireless Compromise route is credible for Power Generation OT when the enabling access condition exists; existing facility gates determine remote, internet, transient, supply-chain or wireless feasibility.</t>
        </is>
      </c>
      <c r="P975" s="973" t="inlineStr">
        <is>
          <t>https://csrc.nist.gov/pubs/sp/800/82/r3/final</t>
        </is>
      </c>
    </row>
    <row r="976" ht="15" customHeight="1" s="508">
      <c r="A976" s="972" t="inlineStr">
        <is>
          <t>Malicious Insider</t>
        </is>
      </c>
      <c r="B976" s="972" t="inlineStr">
        <is>
          <t>Destructive or Integrity Attack</t>
        </is>
      </c>
      <c r="C976" s="972" t="inlineStr">
        <is>
          <t>T0887</t>
        </is>
      </c>
      <c r="D976" s="972" t="inlineStr">
        <is>
          <t>Wireless Sniffing</t>
        </is>
      </c>
      <c r="E976" s="972" t="inlineStr">
        <is>
          <t>S4</t>
        </is>
      </c>
      <c r="F976" s="972" t="inlineStr">
        <is>
          <t>Candidate enabling technique</t>
        </is>
      </c>
      <c r="G976" s="972" t="inlineStr">
        <is>
          <t>Yes</t>
        </is>
      </c>
      <c r="H976" s="972" t="inlineStr">
        <is>
          <t>No</t>
        </is>
      </c>
      <c r="I976" s="972" t="inlineStr">
        <is>
          <t>No</t>
        </is>
      </c>
      <c r="J976" s="972" t="n">
        <v>2</v>
      </c>
      <c r="K976" s="972" t="inlineStr">
        <is>
          <t>Model Mapping</t>
        </is>
      </c>
      <c r="L976" s="452" t="inlineStr">
        <is>
          <t>https://attack.mitre.org/techniques/T0887</t>
        </is>
      </c>
      <c r="M976" s="973" t="inlineStr">
        <is>
          <t>Yes</t>
        </is>
      </c>
      <c r="N976" s="973" t="inlineStr">
        <is>
          <t>WIRELESS — Yes</t>
        </is>
      </c>
      <c r="O976" s="973" t="inlineStr">
        <is>
          <t>Wireless Sniffing can support discovery or interaction with process state, control assets and operational data in Power Generation environments.</t>
        </is>
      </c>
      <c r="P976" s="973" t="inlineStr">
        <is>
          <t>https://csrc.nist.gov/pubs/sp/800/82/r3/final</t>
        </is>
      </c>
    </row>
    <row r="977" ht="15" customHeight="1" s="508">
      <c r="A977" s="972" t="inlineStr">
        <is>
          <t>Malicious Insider</t>
        </is>
      </c>
      <c r="B977" s="972" t="inlineStr">
        <is>
          <t>Destructive or Integrity Attack</t>
        </is>
      </c>
      <c r="C977" s="972" t="inlineStr">
        <is>
          <t>T0879</t>
        </is>
      </c>
      <c r="D977" s="972" t="inlineStr">
        <is>
          <t>Damage to Property</t>
        </is>
      </c>
      <c r="E977" s="972" t="inlineStr">
        <is>
          <t>S5</t>
        </is>
      </c>
      <c r="F977" s="972" t="inlineStr">
        <is>
          <t>Supporting / impact</t>
        </is>
      </c>
      <c r="G977" s="972" t="inlineStr">
        <is>
          <t>Yes</t>
        </is>
      </c>
      <c r="H977" s="972" t="inlineStr">
        <is>
          <t>Yes</t>
        </is>
      </c>
      <c r="I977" s="972" t="inlineStr">
        <is>
          <t>Yes</t>
        </is>
      </c>
      <c r="J977" s="972" t="n">
        <v>3</v>
      </c>
      <c r="K977" s="972" t="inlineStr">
        <is>
          <t>ADDED v1.2: Damage to Property — destruction of infrastructure, operational equipment and surrounding environment.</t>
        </is>
      </c>
      <c r="L977" s="452" t="inlineStr">
        <is>
          <t>https://attack.mitre.org/techniques/T0879</t>
        </is>
      </c>
      <c r="M977" s="973" t="inlineStr">
        <is>
          <t>Yes</t>
        </is>
      </c>
      <c r="N977" s="973" t="inlineStr">
        <is>
          <t>No explicit facility gate — defaults feasible</t>
        </is>
      </c>
      <c r="O977" s="973" t="inlineStr">
        <is>
          <t>Damage to Property is an ATT&amp;CK for ICS impact or response-inhibition technique that can support one or more governed adverse scenarios; scenario role remains controlled on 09.</t>
        </is>
      </c>
      <c r="P977" s="973" t="inlineStr">
        <is>
          <t>https://csrc.nist.gov/pubs/sp/800/82/r3/final</t>
        </is>
      </c>
    </row>
    <row r="978" ht="15" customHeight="1" s="508">
      <c r="A978" s="972" t="inlineStr">
        <is>
          <t>Malicious Insider</t>
        </is>
      </c>
      <c r="B978" s="972" t="inlineStr">
        <is>
          <t>Destructive or Integrity Attack</t>
        </is>
      </c>
      <c r="C978" s="972" t="inlineStr">
        <is>
          <t>T0836</t>
        </is>
      </c>
      <c r="D978" s="972" t="inlineStr">
        <is>
          <t>Modify Parameter</t>
        </is>
      </c>
      <c r="E978" s="972" t="inlineStr">
        <is>
          <t>S5</t>
        </is>
      </c>
      <c r="F978" s="972" t="inlineStr">
        <is>
          <t>Supporting / impact</t>
        </is>
      </c>
      <c r="G978" s="972" t="inlineStr">
        <is>
          <t>Yes</t>
        </is>
      </c>
      <c r="H978" s="972" t="inlineStr">
        <is>
          <t>Yes</t>
        </is>
      </c>
      <c r="I978" s="972" t="inlineStr">
        <is>
          <t>Yes</t>
        </is>
      </c>
      <c r="J978" s="972" t="n">
        <v>4</v>
      </c>
      <c r="K978" s="972" t="inlineStr">
        <is>
          <t>ADDED v1.2: Modify Parameter where the purpose is destructive.</t>
        </is>
      </c>
      <c r="L978" s="452" t="inlineStr">
        <is>
          <t>https://attack.mitre.org/techniques/T0836</t>
        </is>
      </c>
      <c r="M978" s="973" t="inlineStr">
        <is>
          <t>Yes</t>
        </is>
      </c>
      <c r="N978" s="973" t="inlineStr">
        <is>
          <t>No explicit facility gate — defaults feasible</t>
        </is>
      </c>
      <c r="O978" s="973" t="inlineStr">
        <is>
          <t>Modify Parameter is an ATT&amp;CK for ICS impact or response-inhibition technique that can support one or more governed adverse scenarios; scenario role remains controlled on 09.</t>
        </is>
      </c>
      <c r="P978" s="973" t="inlineStr">
        <is>
          <t>https://csrc.nist.gov/pubs/sp/800/82/r3/final</t>
        </is>
      </c>
    </row>
    <row r="979" ht="15" customHeight="1" s="508">
      <c r="L979" s="452" t="n"/>
    </row>
    <row r="980" ht="15" customHeight="1" s="508">
      <c r="L980" s="452" t="n"/>
    </row>
    <row r="981" ht="15" customHeight="1" s="508">
      <c r="L981" s="452" t="n"/>
    </row>
    <row r="982" ht="15" customHeight="1" s="508">
      <c r="L982" s="452" t="n"/>
    </row>
    <row r="983" ht="15" customHeight="1" s="508">
      <c r="L983" s="452" t="n"/>
    </row>
    <row r="984" ht="15" customHeight="1" s="508">
      <c r="L984" s="452" t="n"/>
    </row>
    <row r="985" ht="15" customHeight="1" s="508">
      <c r="L985" s="452" t="n"/>
    </row>
    <row r="986" ht="15" customHeight="1" s="508">
      <c r="L986" s="452" t="n"/>
    </row>
    <row r="987" ht="15" customHeight="1" s="508">
      <c r="L987" s="452" t="n"/>
    </row>
    <row r="988" ht="15" customHeight="1" s="508">
      <c r="L988" s="452" t="n"/>
    </row>
    <row r="989" ht="15" customHeight="1" s="508">
      <c r="L989" s="452" t="n"/>
    </row>
    <row r="990" ht="15" customHeight="1" s="508">
      <c r="L990" s="452" t="n"/>
    </row>
    <row r="991" ht="15" customHeight="1" s="508">
      <c r="L991" s="452" t="n"/>
    </row>
    <row r="992" ht="15" customHeight="1" s="508">
      <c r="L992" s="452" t="n"/>
    </row>
    <row r="993" ht="15" customHeight="1" s="508">
      <c r="L993" s="452" t="n"/>
    </row>
    <row r="994" ht="15" customHeight="1" s="508">
      <c r="L994" s="452" t="n"/>
    </row>
    <row r="995" ht="15" customHeight="1" s="508">
      <c r="L995" s="452" t="n"/>
    </row>
    <row r="996" ht="15" customHeight="1" s="508">
      <c r="L996" s="452" t="n"/>
    </row>
    <row r="997" ht="15" customHeight="1" s="508">
      <c r="L997" s="452" t="n"/>
    </row>
    <row r="998" ht="15" customHeight="1" s="508">
      <c r="L998" s="452" t="n"/>
    </row>
    <row r="999" ht="15" customHeight="1" s="508">
      <c r="L999" s="452" t="n"/>
    </row>
    <row r="1000" ht="15" customHeight="1" s="508">
      <c r="L1000" s="452" t="n"/>
    </row>
    <row r="1001" ht="15" customHeight="1" s="508">
      <c r="L1001" s="452" t="n"/>
    </row>
    <row r="1002" ht="15" customHeight="1" s="508">
      <c r="L1002" s="452" t="n"/>
    </row>
    <row r="1003" ht="15" customHeight="1" s="508">
      <c r="L1003" s="452" t="n"/>
    </row>
    <row r="1004" ht="15" customHeight="1" s="508">
      <c r="L1004" s="452" t="n"/>
    </row>
    <row r="1005" ht="15" customHeight="1" s="508">
      <c r="L1005" s="452" t="n"/>
    </row>
    <row r="1006" ht="15" customHeight="1" s="508">
      <c r="L1006" s="452" t="n"/>
    </row>
    <row r="1007" ht="15" customHeight="1" s="508">
      <c r="L1007" s="452" t="n"/>
    </row>
    <row r="1008" ht="15" customHeight="1" s="508">
      <c r="L1008" s="452" t="n"/>
    </row>
    <row r="1009" ht="15" customHeight="1" s="508">
      <c r="L1009" s="452" t="n"/>
    </row>
    <row r="1010" ht="15" customHeight="1" s="508">
      <c r="L1010" s="452" t="n"/>
    </row>
    <row r="1011" ht="15" customHeight="1" s="508">
      <c r="L1011" s="452" t="n"/>
    </row>
    <row r="1012" ht="15" customHeight="1" s="508">
      <c r="L1012" s="452" t="n"/>
    </row>
    <row r="1013" ht="15" customHeight="1" s="508">
      <c r="L1013" s="452" t="n"/>
    </row>
    <row r="1014" ht="15" customHeight="1" s="508">
      <c r="L1014" s="452" t="n"/>
    </row>
    <row r="1015" ht="15" customHeight="1" s="508">
      <c r="L1015" s="452" t="n"/>
    </row>
    <row r="1016" ht="15" customHeight="1" s="508">
      <c r="L1016" s="452" t="n"/>
    </row>
    <row r="1017" ht="15" customHeight="1" s="508">
      <c r="L1017" s="452" t="n"/>
    </row>
    <row r="1018" ht="15" customHeight="1" s="508">
      <c r="L1018" s="452" t="n"/>
    </row>
    <row r="1019" ht="15" customHeight="1" s="508">
      <c r="L1019" s="452" t="n"/>
    </row>
    <row r="1020" ht="15" customHeight="1" s="508">
      <c r="L1020" s="452" t="n"/>
    </row>
    <row r="1021" ht="15" customHeight="1" s="508">
      <c r="L1021" s="452" t="n"/>
    </row>
    <row r="1022" ht="15" customHeight="1" s="508">
      <c r="L1022" s="452" t="n"/>
    </row>
    <row r="1023" ht="15" customHeight="1" s="508">
      <c r="L1023" s="452" t="n"/>
    </row>
    <row r="1024" ht="15" customHeight="1" s="508">
      <c r="L1024" s="452" t="n"/>
    </row>
    <row r="1025" ht="15" customHeight="1" s="508">
      <c r="L1025" s="452" t="n"/>
    </row>
    <row r="1026" ht="15" customHeight="1" s="508">
      <c r="L1026" s="452" t="n"/>
    </row>
    <row r="1027" ht="15" customHeight="1" s="508">
      <c r="L1027" s="452" t="n"/>
    </row>
    <row r="1028" ht="15" customHeight="1" s="508">
      <c r="L1028" s="452" t="n"/>
    </row>
    <row r="1029" ht="15" customHeight="1" s="508">
      <c r="L1029" s="452" t="n"/>
    </row>
    <row r="1030" ht="15" customHeight="1" s="508">
      <c r="L1030" s="452" t="n"/>
    </row>
    <row r="1031" ht="15" customHeight="1" s="508">
      <c r="L1031" s="452" t="n"/>
    </row>
    <row r="1032" ht="15" customHeight="1" s="508">
      <c r="L1032" s="452" t="n"/>
    </row>
    <row r="1033" ht="15" customHeight="1" s="508">
      <c r="L1033" s="452" t="n"/>
    </row>
    <row r="1034" ht="15" customHeight="1" s="508">
      <c r="L1034" s="452" t="n"/>
    </row>
    <row r="1035" ht="15" customHeight="1" s="508">
      <c r="L1035" s="452" t="n"/>
    </row>
    <row r="1036" ht="15" customHeight="1" s="508">
      <c r="L1036" s="452" t="n"/>
    </row>
    <row r="1037" ht="15" customHeight="1" s="508">
      <c r="L1037" s="452" t="n"/>
    </row>
    <row r="1038" ht="15" customHeight="1" s="508">
      <c r="L1038" s="452" t="n"/>
    </row>
    <row r="1039" ht="15" customHeight="1" s="508">
      <c r="L1039" s="452" t="n"/>
    </row>
    <row r="1040" ht="15" customHeight="1" s="508">
      <c r="L1040" s="452" t="n"/>
    </row>
    <row r="1041" ht="15" customHeight="1" s="508">
      <c r="L1041" s="452" t="n"/>
    </row>
    <row r="1042" ht="15" customHeight="1" s="508">
      <c r="L1042" s="452" t="n"/>
    </row>
    <row r="1043" ht="15" customHeight="1" s="508">
      <c r="L1043" s="452" t="n"/>
    </row>
    <row r="1044" ht="15" customHeight="1" s="508">
      <c r="L1044" s="452" t="n"/>
    </row>
    <row r="1045" ht="15" customHeight="1" s="508">
      <c r="L1045" s="452" t="n"/>
    </row>
    <row r="1046" ht="15" customHeight="1" s="508">
      <c r="L1046" s="452" t="n"/>
    </row>
    <row r="1047" ht="15" customHeight="1" s="508">
      <c r="L1047" s="452" t="n"/>
    </row>
    <row r="1048" ht="15" customHeight="1" s="508">
      <c r="L1048" s="452" t="n"/>
    </row>
    <row r="1049" ht="15" customHeight="1" s="508">
      <c r="L1049" s="452" t="n"/>
    </row>
    <row r="1050" ht="15" customHeight="1" s="508">
      <c r="L1050" s="452" t="n"/>
    </row>
    <row r="1051" ht="15" customHeight="1" s="508">
      <c r="L1051" s="452" t="n"/>
    </row>
    <row r="1052" ht="15" customHeight="1" s="508">
      <c r="L1052" s="452" t="n"/>
    </row>
    <row r="1053" ht="15" customHeight="1" s="508">
      <c r="L1053" s="452" t="n"/>
    </row>
    <row r="1054" ht="15" customHeight="1" s="508">
      <c r="L1054" s="452" t="n"/>
    </row>
    <row r="1055" ht="15" customHeight="1" s="508">
      <c r="L1055" s="452" t="n"/>
    </row>
    <row r="1056" ht="15" customHeight="1" s="508">
      <c r="L1056" s="452" t="n"/>
    </row>
    <row r="1057" ht="15" customHeight="1" s="508">
      <c r="L1057" s="452" t="n"/>
    </row>
    <row r="1058" ht="15" customHeight="1" s="508">
      <c r="L1058" s="452" t="n"/>
    </row>
    <row r="1059" ht="15" customHeight="1" s="508">
      <c r="L1059" s="452" t="n"/>
    </row>
    <row r="1060" ht="15" customHeight="1" s="508">
      <c r="L1060" s="452" t="n"/>
    </row>
    <row r="1061" ht="15" customHeight="1" s="508">
      <c r="L1061" s="452" t="n"/>
    </row>
    <row r="1062" ht="15" customHeight="1" s="508">
      <c r="L1062" s="452" t="n"/>
    </row>
    <row r="1063" ht="15" customHeight="1" s="508">
      <c r="L1063" s="452" t="n"/>
    </row>
    <row r="1064" ht="15" customHeight="1" s="508">
      <c r="L1064" s="452" t="n"/>
    </row>
    <row r="1065" ht="15" customHeight="1" s="508">
      <c r="L1065" s="452" t="n"/>
    </row>
    <row r="1066" ht="15" customHeight="1" s="508">
      <c r="L1066" s="452" t="n"/>
    </row>
    <row r="1067" ht="15" customHeight="1" s="508">
      <c r="L1067" s="452" t="n"/>
    </row>
    <row r="1068" ht="15" customHeight="1" s="508">
      <c r="L1068" s="452" t="n"/>
    </row>
    <row r="1069" ht="15" customHeight="1" s="508">
      <c r="L1069" s="452" t="n"/>
    </row>
    <row r="1070" ht="15" customHeight="1" s="508">
      <c r="L1070" s="452" t="n"/>
    </row>
    <row r="1071" ht="15" customHeight="1" s="508">
      <c r="L1071" s="452" t="n"/>
    </row>
    <row r="1072" ht="15" customHeight="1" s="508">
      <c r="L1072" s="452" t="n"/>
    </row>
    <row r="1073" ht="15" customHeight="1" s="508">
      <c r="L1073" s="452" t="n"/>
    </row>
    <row r="1074" ht="15" customHeight="1" s="508">
      <c r="L1074" s="452" t="n"/>
    </row>
    <row r="1075" ht="15" customHeight="1" s="508">
      <c r="L1075" s="452" t="n"/>
    </row>
    <row r="1076" ht="15" customHeight="1" s="508">
      <c r="L1076" s="452" t="n"/>
    </row>
    <row r="1077" ht="15" customHeight="1" s="508">
      <c r="L1077" s="452" t="n"/>
    </row>
    <row r="1078" ht="15" customHeight="1" s="508">
      <c r="L1078" s="452" t="n"/>
    </row>
    <row r="1079" ht="15" customHeight="1" s="508">
      <c r="L1079" s="452" t="n"/>
    </row>
    <row r="1080" ht="15" customHeight="1" s="508">
      <c r="L1080" s="452" t="n"/>
    </row>
    <row r="1081" ht="15" customHeight="1" s="508">
      <c r="L1081" s="452" t="n"/>
    </row>
    <row r="1082" ht="15" customHeight="1" s="508">
      <c r="L1082" s="452" t="n"/>
    </row>
    <row r="1083" ht="15" customHeight="1" s="508">
      <c r="L1083" s="452" t="n"/>
    </row>
    <row r="1084" ht="15" customHeight="1" s="508">
      <c r="L1084" s="452" t="n"/>
    </row>
    <row r="1085" ht="15" customHeight="1" s="508">
      <c r="L1085" s="452" t="n"/>
    </row>
    <row r="1086" ht="15" customHeight="1" s="508">
      <c r="L1086" s="452" t="n"/>
    </row>
    <row r="1087" ht="15" customHeight="1" s="508">
      <c r="L1087" s="452" t="n"/>
    </row>
    <row r="1088" ht="15" customHeight="1" s="508">
      <c r="L1088" s="452" t="n"/>
    </row>
    <row r="1089" ht="15" customHeight="1" s="508">
      <c r="L1089" s="452" t="n"/>
    </row>
    <row r="1090" ht="15" customHeight="1" s="508">
      <c r="L1090" s="452" t="n"/>
    </row>
    <row r="1091" ht="15" customHeight="1" s="508">
      <c r="L1091" s="452" t="n"/>
    </row>
    <row r="1092" ht="15" customHeight="1" s="508">
      <c r="L1092" s="452" t="n"/>
    </row>
    <row r="1093" ht="15" customHeight="1" s="508">
      <c r="L1093" s="452" t="n"/>
    </row>
    <row r="1094" ht="15" customHeight="1" s="508">
      <c r="L1094" s="452" t="n"/>
    </row>
    <row r="1095" ht="15" customHeight="1" s="508">
      <c r="L1095" s="452" t="n"/>
    </row>
    <row r="1096" ht="15" customHeight="1" s="508">
      <c r="L1096" s="452" t="n"/>
    </row>
    <row r="1097" ht="15" customHeight="1" s="508">
      <c r="L1097" s="452" t="n"/>
    </row>
    <row r="1098" ht="15" customHeight="1" s="508">
      <c r="L1098" s="452" t="n"/>
    </row>
    <row r="1099" ht="15" customHeight="1" s="508">
      <c r="L1099" s="452" t="n"/>
    </row>
    <row r="1100" ht="15" customHeight="1" s="508">
      <c r="L1100" s="452" t="n"/>
    </row>
    <row r="1101" ht="15" customHeight="1" s="508">
      <c r="L1101" s="452" t="n"/>
    </row>
    <row r="1102" ht="15" customHeight="1" s="508">
      <c r="L1102" s="452" t="n"/>
    </row>
    <row r="1103" ht="15" customHeight="1" s="508">
      <c r="L1103" s="452" t="n"/>
    </row>
    <row r="1104" ht="15" customHeight="1" s="508">
      <c r="L1104" s="452" t="n"/>
    </row>
    <row r="1105" ht="15" customHeight="1" s="508">
      <c r="L1105" s="452" t="n"/>
    </row>
    <row r="1106" ht="15" customHeight="1" s="508">
      <c r="L1106" s="452" t="n"/>
    </row>
    <row r="1107" ht="15" customHeight="1" s="508">
      <c r="L1107" s="452" t="n"/>
    </row>
    <row r="1108" ht="15" customHeight="1" s="508">
      <c r="L1108" s="452" t="n"/>
    </row>
    <row r="1109" ht="15" customHeight="1" s="508">
      <c r="L1109" s="452" t="n"/>
    </row>
    <row r="1110" ht="15" customHeight="1" s="508">
      <c r="L1110" s="452" t="n"/>
    </row>
    <row r="1111" ht="15" customHeight="1" s="508">
      <c r="L1111" s="452" t="n"/>
    </row>
    <row r="1112" ht="15" customHeight="1" s="508">
      <c r="L1112" s="452" t="n"/>
    </row>
    <row r="1113" ht="15" customHeight="1" s="508">
      <c r="L1113" s="452" t="n"/>
    </row>
    <row r="1114" ht="15" customHeight="1" s="508">
      <c r="L1114" s="452" t="n"/>
    </row>
    <row r="1115" ht="15" customHeight="1" s="508">
      <c r="L1115" s="452" t="n"/>
    </row>
    <row r="1116" ht="15" customHeight="1" s="508">
      <c r="L1116" s="452" t="n"/>
    </row>
    <row r="1117" ht="15" customHeight="1" s="508">
      <c r="L1117" s="452" t="n"/>
    </row>
    <row r="1118" ht="15" customHeight="1" s="508">
      <c r="L1118" s="452" t="n"/>
    </row>
    <row r="1119" ht="15" customHeight="1" s="508">
      <c r="L1119" s="452" t="n"/>
    </row>
    <row r="1120" ht="15" customHeight="1" s="508">
      <c r="L1120" s="452" t="n"/>
    </row>
    <row r="1121" ht="15" customHeight="1" s="508">
      <c r="L1121" s="452" t="n"/>
    </row>
    <row r="1122" ht="15" customHeight="1" s="508">
      <c r="L1122" s="452" t="n"/>
    </row>
    <row r="1123" ht="15" customHeight="1" s="508">
      <c r="L1123" s="452" t="n"/>
    </row>
    <row r="1124" ht="15" customHeight="1" s="508">
      <c r="L1124" s="452" t="n"/>
    </row>
    <row r="1125" ht="15" customHeight="1" s="508">
      <c r="L1125" s="452" t="n"/>
    </row>
    <row r="1126" ht="15" customHeight="1" s="508">
      <c r="L1126" s="452" t="n"/>
    </row>
    <row r="1127" ht="15" customHeight="1" s="508">
      <c r="L1127" s="452" t="n"/>
    </row>
    <row r="1128" ht="15" customHeight="1" s="508">
      <c r="L1128" s="452" t="n"/>
    </row>
    <row r="1129" ht="15" customHeight="1" s="508">
      <c r="L1129" s="452" t="n"/>
    </row>
    <row r="1130" ht="15" customHeight="1" s="508">
      <c r="L1130" s="452" t="n"/>
    </row>
    <row r="1131" ht="15" customHeight="1" s="508">
      <c r="L1131" s="452" t="n"/>
    </row>
    <row r="1132" ht="15" customHeight="1" s="508">
      <c r="L1132" s="452" t="n"/>
    </row>
    <row r="1133" ht="15" customHeight="1" s="508">
      <c r="L1133" s="452" t="n"/>
    </row>
    <row r="1134" ht="15" customHeight="1" s="508">
      <c r="L1134" s="452" t="n"/>
    </row>
    <row r="1135" ht="15" customHeight="1" s="508">
      <c r="L1135" s="452" t="n"/>
    </row>
    <row r="1136" ht="15" customHeight="1" s="508">
      <c r="L1136" s="452" t="n"/>
    </row>
    <row r="1137" ht="15" customHeight="1" s="508">
      <c r="L1137" s="452" t="n"/>
    </row>
    <row r="1138" ht="15" customHeight="1" s="508">
      <c r="L1138" s="452" t="n"/>
    </row>
    <row r="1139" ht="15" customHeight="1" s="508">
      <c r="L1139" s="452" t="n"/>
    </row>
    <row r="1140" ht="15" customHeight="1" s="508">
      <c r="L1140" s="452" t="n"/>
    </row>
    <row r="1141" ht="15" customHeight="1" s="508">
      <c r="L1141" s="452" t="n"/>
    </row>
    <row r="1142" ht="15" customHeight="1" s="508">
      <c r="L1142" s="452" t="n"/>
    </row>
    <row r="1143" ht="15" customHeight="1" s="508">
      <c r="L1143" s="452" t="n"/>
    </row>
    <row r="1144" ht="15" customHeight="1" s="508">
      <c r="L1144" s="452" t="n"/>
    </row>
    <row r="1145" ht="15" customHeight="1" s="508">
      <c r="L1145" s="452" t="n"/>
    </row>
    <row r="1146" ht="15" customHeight="1" s="508">
      <c r="L1146" s="452" t="n"/>
    </row>
    <row r="1147" ht="15" customHeight="1" s="508">
      <c r="L1147" s="452" t="n"/>
    </row>
    <row r="1148" ht="15" customHeight="1" s="508">
      <c r="L1148" s="452" t="n"/>
    </row>
    <row r="1149" ht="15" customHeight="1" s="508">
      <c r="L1149" s="452" t="n"/>
    </row>
    <row r="1150" ht="15" customHeight="1" s="508">
      <c r="L1150" s="452" t="n"/>
    </row>
    <row r="1151" ht="15" customHeight="1" s="508">
      <c r="L1151" s="452" t="n"/>
    </row>
    <row r="1152" ht="15" customHeight="1" s="508">
      <c r="L1152" s="452" t="n"/>
    </row>
    <row r="1153" ht="15" customHeight="1" s="508">
      <c r="L1153" s="452" t="n"/>
    </row>
    <row r="1154" ht="15" customHeight="1" s="508">
      <c r="L1154" s="452" t="n"/>
    </row>
    <row r="1155" ht="15" customHeight="1" s="508">
      <c r="L1155" s="452" t="n"/>
    </row>
    <row r="1156" ht="15" customHeight="1" s="508">
      <c r="L1156" s="452" t="n"/>
    </row>
    <row r="1157" ht="15" customHeight="1" s="508">
      <c r="L1157" s="452" t="n"/>
    </row>
    <row r="1158" ht="15" customHeight="1" s="508">
      <c r="L1158" s="452" t="n"/>
    </row>
    <row r="1159" ht="15" customHeight="1" s="508">
      <c r="L1159" s="452" t="n"/>
    </row>
    <row r="1160" ht="15" customHeight="1" s="508">
      <c r="L1160" s="452" t="n"/>
    </row>
    <row r="1161" ht="15" customHeight="1" s="508">
      <c r="L1161" s="452" t="n"/>
    </row>
    <row r="1162" ht="15" customHeight="1" s="508">
      <c r="L1162" s="452" t="n"/>
    </row>
    <row r="1163" ht="15" customHeight="1" s="508">
      <c r="L1163" s="452" t="n"/>
    </row>
    <row r="1164" ht="15" customHeight="1" s="508">
      <c r="L1164" s="452" t="n"/>
    </row>
    <row r="1165" ht="15" customHeight="1" s="508">
      <c r="L1165" s="452" t="n"/>
    </row>
    <row r="1166" ht="15" customHeight="1" s="508">
      <c r="L1166" s="452" t="n"/>
    </row>
    <row r="1167" ht="15" customHeight="1" s="508">
      <c r="L1167" s="452" t="n"/>
    </row>
    <row r="1168" ht="15" customHeight="1" s="508">
      <c r="L1168" s="452" t="n"/>
    </row>
    <row r="1169" ht="15" customHeight="1" s="508">
      <c r="L1169" s="452" t="n"/>
    </row>
    <row r="1170" ht="15" customHeight="1" s="508">
      <c r="L1170" s="452" t="n"/>
    </row>
    <row r="1171" ht="15" customHeight="1" s="508">
      <c r="L1171" s="452" t="n"/>
    </row>
    <row r="1172" ht="15" customHeight="1" s="508">
      <c r="L1172" s="452" t="n"/>
    </row>
    <row r="1173" ht="15" customHeight="1" s="508">
      <c r="L1173" s="452" t="n"/>
    </row>
    <row r="1174" ht="15" customHeight="1" s="508">
      <c r="L1174" s="452" t="n"/>
    </row>
    <row r="1175" ht="15" customHeight="1" s="508">
      <c r="L1175" s="452" t="n"/>
    </row>
    <row r="1176" ht="15" customHeight="1" s="508">
      <c r="L1176" s="452" t="n"/>
    </row>
    <row r="1177" ht="15" customHeight="1" s="508">
      <c r="L1177" s="452" t="n"/>
    </row>
    <row r="1178" ht="15" customHeight="1" s="508">
      <c r="L1178" s="452" t="n"/>
    </row>
    <row r="1179" ht="15" customHeight="1" s="508">
      <c r="L1179" s="452" t="n"/>
    </row>
    <row r="1180" ht="15" customHeight="1" s="508">
      <c r="L1180" s="452" t="n"/>
    </row>
    <row r="1181" ht="15" customHeight="1" s="508">
      <c r="L1181" s="452" t="n"/>
    </row>
    <row r="1182" ht="15" customHeight="1" s="508">
      <c r="L1182" s="452" t="n"/>
    </row>
    <row r="1183" ht="15" customHeight="1" s="508">
      <c r="L1183" s="452" t="n"/>
    </row>
    <row r="1184" ht="15" customHeight="1" s="508">
      <c r="L1184" s="452" t="n"/>
    </row>
    <row r="1185" ht="15" customHeight="1" s="508">
      <c r="L1185" s="452" t="n"/>
    </row>
    <row r="1186" ht="15" customHeight="1" s="508">
      <c r="L1186" s="452" t="n"/>
    </row>
    <row r="1187" ht="15" customHeight="1" s="508">
      <c r="L1187" s="452" t="n"/>
    </row>
    <row r="1188" ht="15" customHeight="1" s="508">
      <c r="L1188" s="452" t="n"/>
    </row>
    <row r="1189" ht="15" customHeight="1" s="508">
      <c r="L1189" s="452" t="n"/>
    </row>
    <row r="1190" ht="15" customHeight="1" s="508">
      <c r="L1190" s="452" t="n"/>
    </row>
    <row r="1191" ht="15" customHeight="1" s="508">
      <c r="L1191" s="452" t="n"/>
    </row>
    <row r="1192" ht="15" customHeight="1" s="508">
      <c r="L1192" s="452" t="n"/>
    </row>
    <row r="1193" ht="15" customHeight="1" s="508">
      <c r="L1193" s="452" t="n"/>
    </row>
    <row r="1194" ht="15" customHeight="1" s="508">
      <c r="L1194" s="452" t="n"/>
    </row>
    <row r="1195" ht="15" customHeight="1" s="508">
      <c r="L1195" s="452" t="n"/>
    </row>
    <row r="1196" ht="15" customHeight="1" s="508">
      <c r="L1196" s="452" t="n"/>
    </row>
    <row r="1197" ht="15" customHeight="1" s="508">
      <c r="L1197" s="452" t="n"/>
    </row>
    <row r="1198" ht="15" customHeight="1" s="508">
      <c r="L1198" s="452" t="n"/>
    </row>
    <row r="1199" ht="15" customHeight="1" s="508">
      <c r="L1199" s="452" t="n"/>
    </row>
    <row r="1200" ht="15" customHeight="1" s="508">
      <c r="L1200" s="452" t="n"/>
    </row>
  </sheetData>
  <mergeCells count="13">
    <mergeCell ref="A2:L2"/>
    <mergeCell ref="A10:L10"/>
    <mergeCell ref="A7:L7"/>
    <mergeCell ref="A11:L11"/>
    <mergeCell ref="A1:L1"/>
    <mergeCell ref="A5:L5"/>
    <mergeCell ref="A13:L13"/>
    <mergeCell ref="A8:L8"/>
    <mergeCell ref="A6:L6"/>
    <mergeCell ref="A9:L9"/>
    <mergeCell ref="A3:L3"/>
    <mergeCell ref="A12:L12"/>
    <mergeCell ref="A4:L4"/>
  </mergeCells>
  <pageMargins left="0.7" right="0.7" top="0.75" bottom="0.75" header="0.3" footer="0.3"/>
</worksheet>
</file>

<file path=xl/worksheets/sheet52.xml><?xml version="1.0" encoding="utf-8"?>
<worksheet xmlns="http://schemas.openxmlformats.org/spreadsheetml/2006/main">
  <sheetPr>
    <tabColor rgb="007F7F7F"/>
    <outlinePr summaryBelow="1" summaryRight="1"/>
    <pageSetUpPr/>
  </sheetPr>
  <dimension ref="A1:M110"/>
  <sheetViews>
    <sheetView showGridLines="1" workbookViewId="0">
      <selection activeCell="A1" sqref="A1"/>
    </sheetView>
  </sheetViews>
  <sheetFormatPr baseColWidth="8" defaultColWidth="8.6796875" defaultRowHeight="15"/>
  <cols>
    <col width="22" customWidth="1" style="972" min="1" max="1"/>
    <col width="30" customWidth="1" style="972" min="2" max="2"/>
    <col width="10" customWidth="1" style="972" min="3" max="3"/>
    <col width="12" customWidth="1" style="972" min="4" max="4"/>
    <col width="14" customWidth="1" style="972" min="5" max="5"/>
    <col width="19" customWidth="1" style="972" min="6" max="6"/>
    <col width="20" customWidth="1" style="972" min="7" max="7"/>
    <col width="14" customWidth="1" style="972" min="8" max="8"/>
    <col width="15" customWidth="1" style="972" min="9" max="10"/>
    <col width="19" customWidth="1" style="972" min="11" max="11"/>
    <col width="16" customWidth="1" style="972" min="12" max="12"/>
    <col width="12" customWidth="1" style="972" min="13" max="13"/>
  </cols>
  <sheetData>
    <row r="1" ht="21.75" customHeight="1" s="508">
      <c r="A1" s="450" t="inlineStr">
        <is>
          <t>15 — Composite Attack Path &amp; Control Barrier Calculation</t>
        </is>
      </c>
    </row>
    <row r="2" ht="37.5" customHeight="1" s="508">
      <c r="A2" s="402" t="inlineStr">
        <is>
          <t>Purpose: Calculate conditional attack success for every actor-scenario combination using one composite five-stage pathway after adjusting reference priors for controls.</t>
        </is>
      </c>
    </row>
    <row r="3" ht="37.5" customHeight="1" s="508">
      <c r="A3" s="403" t="inlineStr">
        <is>
          <t>In plain English: the model does not enumerate or select one exact intrusion path. It pools all applicable techniques within each stage, averages their barriers, and multiplies the required stage-through probabilities.</t>
        </is>
      </c>
    </row>
    <row r="4" ht="21.75" customHeight="1" s="508">
      <c r="A4" s="409" t="inlineStr">
        <is>
          <t>SHEET TYPE: PYTHON ENGINE CALCULATION</t>
        </is>
      </c>
    </row>
    <row r="5" ht="21.75" customHeight="1" s="508">
      <c r="A5" s="405" t="inlineStr">
        <is>
          <t>Inputs / upstream sources</t>
        </is>
      </c>
    </row>
    <row r="6" ht="30" customHeight="1" s="508">
      <c r="A6" s="406" t="inlineStr">
        <is>
          <t>14 TTP Relevance Calc, 13 TTP-Control Map, 04 Control Assessment, 06 Frequency Assumptions and 07 Control Assumptions.</t>
        </is>
      </c>
    </row>
    <row r="7" ht="30" customHeight="1" s="508">
      <c r="A7" s="405" t="inlineStr">
        <is>
          <t>Calculation / decision logic</t>
        </is>
      </c>
    </row>
    <row r="8" ht="54" customHeight="1" s="508">
      <c r="A8" s="406" t="inlineStr">
        <is>
          <t>For each relevant TTP: Applied Efficacy = Base Efficacy × Maturity × Coverage; mapped controls combine with diminishing incremental credit to form a TTP barrier. Stage Barrier = simple average of all relevant TTP barriers. Residual Adjustment = (1 − Actual Barrier)/(1 − Reference Barrier). Stage Through P = Reference Prior × Adjustment. Overall P(success) = product of required stage Through probabilities. S5 requires ≥1 scenario-defining TTP; Insider bypasses S1.</t>
        </is>
      </c>
    </row>
    <row r="9" ht="30" customHeight="1" s="508">
      <c r="A9" s="405" t="inlineStr">
        <is>
          <t>Key assumptions / defaults</t>
        </is>
      </c>
    </row>
    <row r="10" ht="30" customHeight="1" s="508">
      <c r="A10" s="406" t="inlineStr">
        <is>
          <t>This is a composite stage model, not a Cartesian enumeration of S1×S2×S3×S4×S5 routes. Missing Prevent / Resist mappings contribute a 0% TTP barrier. Sector and asset rationales are visible on 14 and 29; facility gates remain on 12.</t>
        </is>
      </c>
    </row>
    <row r="11" ht="30" customHeight="1" s="508">
      <c r="A11" s="405" t="inlineStr">
        <is>
          <t>Outputs / downstream use</t>
        </is>
      </c>
    </row>
    <row r="12" ht="30" customHeight="1" s="508">
      <c r="A12" s="406" t="inlineStr">
        <is>
          <t>Overall P(success) feeds 16 Threat and Loss Frequency. A compact actor-scenario success summary is written below the stage table.</t>
        </is>
      </c>
    </row>
    <row r="13" ht="30" customHeight="1" s="508">
      <c r="A13" s="407" t="inlineStr">
        <is>
          <t>Workbook convention: yellow cells / blue font are editable inputs or calibration assumptions; engine-output cells are not manually editable.</t>
        </is>
      </c>
    </row>
    <row r="15" ht="15" customHeight="1" s="508">
      <c r="A15" s="451" t="inlineStr">
        <is>
          <t>Threat actor</t>
        </is>
      </c>
      <c r="B15" s="451" t="inlineStr">
        <is>
          <t>Scenario</t>
        </is>
      </c>
      <c r="C15" s="451" t="inlineStr">
        <is>
          <t>Stage</t>
        </is>
      </c>
      <c r="D15" s="451" t="inlineStr">
        <is>
          <t>Required?</t>
        </is>
      </c>
      <c r="E15" s="451" t="inlineStr">
        <is>
          <t>Relevant TTPs</t>
        </is>
      </c>
      <c r="F15" s="451" t="inlineStr">
        <is>
          <t>Scenario-defining TTPs</t>
        </is>
      </c>
      <c r="G15" s="451" t="inlineStr">
        <is>
          <t>Distinct Prevent controls</t>
        </is>
      </c>
      <c r="H15" s="451" t="inlineStr">
        <is>
          <t>Reference prior</t>
        </is>
      </c>
      <c r="I15" s="451" t="inlineStr">
        <is>
          <t>Reference barrier</t>
        </is>
      </c>
      <c r="J15" s="451" t="inlineStr">
        <is>
          <t>Actual barrier</t>
        </is>
      </c>
      <c r="K15" s="451" t="inlineStr">
        <is>
          <t>Residual-risk adjustment</t>
        </is>
      </c>
      <c r="L15" s="451" t="inlineStr">
        <is>
          <t>Through probability</t>
        </is>
      </c>
      <c r="M15" s="451" t="inlineStr">
        <is>
          <t>Stage valid</t>
        </is>
      </c>
    </row>
    <row r="16" ht="15" customHeight="1" s="508">
      <c r="A16" s="972" t="inlineStr">
        <is>
          <t>Nation State</t>
        </is>
      </c>
      <c r="B16" s="972" t="inlineStr">
        <is>
          <t>Operational Disruption</t>
        </is>
      </c>
      <c r="C16" s="972" t="inlineStr">
        <is>
          <t>S1</t>
        </is>
      </c>
      <c r="D16" s="972" t="inlineStr">
        <is>
          <t>Yes</t>
        </is>
      </c>
      <c r="E16" s="972" t="n">
        <v>10</v>
      </c>
      <c r="F16" s="972" t="n">
        <v>0</v>
      </c>
      <c r="G16" s="972" t="n">
        <v>26</v>
      </c>
      <c r="H16" s="453" t="n">
        <v>0.8</v>
      </c>
      <c r="I16" s="453" t="n">
        <v>0.3671621440095315</v>
      </c>
      <c r="J16" s="453" t="n">
        <v>0.5284263890098899</v>
      </c>
      <c r="K16" s="453" t="n">
        <v>0.7451728851650945</v>
      </c>
      <c r="L16" s="453" t="n">
        <v>0.5961383081320756</v>
      </c>
      <c r="M16" s="972" t="inlineStr">
        <is>
          <t>Yes</t>
        </is>
      </c>
    </row>
    <row r="17" ht="15" customHeight="1" s="508">
      <c r="A17" s="972" t="inlineStr">
        <is>
          <t>Nation State</t>
        </is>
      </c>
      <c r="B17" s="972" t="inlineStr">
        <is>
          <t>Operational Disruption</t>
        </is>
      </c>
      <c r="C17" s="972" t="inlineStr">
        <is>
          <t>S2</t>
        </is>
      </c>
      <c r="D17" s="972" t="inlineStr">
        <is>
          <t>Yes</t>
        </is>
      </c>
      <c r="E17" s="972" t="n">
        <v>17</v>
      </c>
      <c r="F17" s="972" t="n">
        <v>0</v>
      </c>
      <c r="G17" s="972" t="n">
        <v>20</v>
      </c>
      <c r="H17" s="453" t="n">
        <v>0.85</v>
      </c>
      <c r="I17" s="453" t="n">
        <v>0.3240914373190104</v>
      </c>
      <c r="J17" s="453" t="n">
        <v>0.4723430184957663</v>
      </c>
      <c r="K17" s="453" t="n">
        <v>0.7806632592599267</v>
      </c>
      <c r="L17" s="453" t="n">
        <v>0.6635637703709377</v>
      </c>
      <c r="M17" s="972" t="inlineStr">
        <is>
          <t>Yes</t>
        </is>
      </c>
    </row>
    <row r="18" ht="15" customHeight="1" s="508">
      <c r="A18" s="972" t="inlineStr">
        <is>
          <t>Nation State</t>
        </is>
      </c>
      <c r="B18" s="972" t="inlineStr">
        <is>
          <t>Operational Disruption</t>
        </is>
      </c>
      <c r="C18" s="972" t="inlineStr">
        <is>
          <t>S3</t>
        </is>
      </c>
      <c r="D18" s="972" t="inlineStr">
        <is>
          <t>Yes</t>
        </is>
      </c>
      <c r="E18" s="972" t="n">
        <v>10</v>
      </c>
      <c r="F18" s="972" t="n">
        <v>0</v>
      </c>
      <c r="G18" s="972" t="n">
        <v>17</v>
      </c>
      <c r="H18" s="453" t="n">
        <v>0.7</v>
      </c>
      <c r="I18" s="453" t="n">
        <v>0.319656340657949</v>
      </c>
      <c r="J18" s="453" t="n">
        <v>0.4631394802579741</v>
      </c>
      <c r="K18" s="453" t="n">
        <v>0.7891019668812888</v>
      </c>
      <c r="L18" s="453" t="n">
        <v>0.5523713768169021</v>
      </c>
      <c r="M18" s="972" t="inlineStr">
        <is>
          <t>Yes</t>
        </is>
      </c>
    </row>
    <row r="19" ht="15" customHeight="1" s="508">
      <c r="A19" s="972" t="inlineStr">
        <is>
          <t>Nation State</t>
        </is>
      </c>
      <c r="B19" s="972" t="inlineStr">
        <is>
          <t>Operational Disruption</t>
        </is>
      </c>
      <c r="C19" s="972" t="inlineStr">
        <is>
          <t>S4</t>
        </is>
      </c>
      <c r="D19" s="972" t="inlineStr">
        <is>
          <t>Yes</t>
        </is>
      </c>
      <c r="E19" s="972" t="n">
        <v>16</v>
      </c>
      <c r="F19" s="972" t="n">
        <v>0</v>
      </c>
      <c r="G19" s="972" t="n">
        <v>18</v>
      </c>
      <c r="H19" s="453" t="n">
        <v>0.75</v>
      </c>
      <c r="I19" s="453" t="n">
        <v>0.2680316949029872</v>
      </c>
      <c r="J19" s="453" t="n">
        <v>0.3878659755036429</v>
      </c>
      <c r="K19" s="453" t="n">
        <v>0.8362848776836407</v>
      </c>
      <c r="L19" s="453" t="n">
        <v>0.6272136582627306</v>
      </c>
      <c r="M19" s="972" t="inlineStr">
        <is>
          <t>Yes</t>
        </is>
      </c>
    </row>
    <row r="20" ht="15" customHeight="1" s="508">
      <c r="A20" s="972" t="inlineStr">
        <is>
          <t>Nation State</t>
        </is>
      </c>
      <c r="B20" s="972" t="inlineStr">
        <is>
          <t>Operational Disruption</t>
        </is>
      </c>
      <c r="C20" s="972" t="inlineStr">
        <is>
          <t>S5</t>
        </is>
      </c>
      <c r="D20" s="972" t="inlineStr">
        <is>
          <t>Yes</t>
        </is>
      </c>
      <c r="E20" s="972" t="n">
        <v>7</v>
      </c>
      <c r="F20" s="972" t="n">
        <v>4</v>
      </c>
      <c r="G20" s="972" t="n">
        <v>13</v>
      </c>
      <c r="H20" s="453" t="n">
        <v>0.8075</v>
      </c>
      <c r="I20" s="453" t="n">
        <v>0.258546767507582</v>
      </c>
      <c r="J20" s="453" t="n">
        <v>0.3732527189160769</v>
      </c>
      <c r="K20" s="453" t="n">
        <v>0.8452957700070883</v>
      </c>
      <c r="L20" s="453" t="n">
        <v>0.6825763342807238</v>
      </c>
      <c r="M20" s="972" t="inlineStr">
        <is>
          <t>Yes</t>
        </is>
      </c>
    </row>
    <row r="21" ht="15" customHeight="1" s="508">
      <c r="A21" s="972" t="inlineStr">
        <is>
          <t>Nation State</t>
        </is>
      </c>
      <c r="B21" s="972" t="inlineStr">
        <is>
          <t>Loss of Control or Visibility</t>
        </is>
      </c>
      <c r="C21" s="972" t="inlineStr">
        <is>
          <t>S1</t>
        </is>
      </c>
      <c r="D21" s="972" t="inlineStr">
        <is>
          <t>Yes</t>
        </is>
      </c>
      <c r="E21" s="972" t="n">
        <v>10</v>
      </c>
      <c r="F21" s="972" t="n">
        <v>0</v>
      </c>
      <c r="G21" s="972" t="n">
        <v>26</v>
      </c>
      <c r="H21" s="453" t="n">
        <v>0.8</v>
      </c>
      <c r="I21" s="453" t="n">
        <v>0.3671621440095315</v>
      </c>
      <c r="J21" s="453" t="n">
        <v>0.5284263890098899</v>
      </c>
      <c r="K21" s="453" t="n">
        <v>0.7451728851650945</v>
      </c>
      <c r="L21" s="453" t="n">
        <v>0.5961383081320756</v>
      </c>
      <c r="M21" s="972" t="inlineStr">
        <is>
          <t>Yes</t>
        </is>
      </c>
    </row>
    <row r="22" ht="15" customHeight="1" s="508">
      <c r="A22" s="972" t="inlineStr">
        <is>
          <t>Nation State</t>
        </is>
      </c>
      <c r="B22" s="972" t="inlineStr">
        <is>
          <t>Loss of Control or Visibility</t>
        </is>
      </c>
      <c r="C22" s="972" t="inlineStr">
        <is>
          <t>S2</t>
        </is>
      </c>
      <c r="D22" s="972" t="inlineStr">
        <is>
          <t>Yes</t>
        </is>
      </c>
      <c r="E22" s="972" t="n">
        <v>17</v>
      </c>
      <c r="F22" s="972" t="n">
        <v>0</v>
      </c>
      <c r="G22" s="972" t="n">
        <v>20</v>
      </c>
      <c r="H22" s="453" t="n">
        <v>0.85</v>
      </c>
      <c r="I22" s="453" t="n">
        <v>0.3240914373190104</v>
      </c>
      <c r="J22" s="453" t="n">
        <v>0.4723430184957663</v>
      </c>
      <c r="K22" s="453" t="n">
        <v>0.7806632592599267</v>
      </c>
      <c r="L22" s="453" t="n">
        <v>0.6635637703709377</v>
      </c>
      <c r="M22" s="972" t="inlineStr">
        <is>
          <t>Yes</t>
        </is>
      </c>
    </row>
    <row r="23" ht="15" customHeight="1" s="508">
      <c r="A23" s="972" t="inlineStr">
        <is>
          <t>Nation State</t>
        </is>
      </c>
      <c r="B23" s="972" t="inlineStr">
        <is>
          <t>Loss of Control or Visibility</t>
        </is>
      </c>
      <c r="C23" s="972" t="inlineStr">
        <is>
          <t>S3</t>
        </is>
      </c>
      <c r="D23" s="972" t="inlineStr">
        <is>
          <t>Yes</t>
        </is>
      </c>
      <c r="E23" s="972" t="n">
        <v>10</v>
      </c>
      <c r="F23" s="972" t="n">
        <v>0</v>
      </c>
      <c r="G23" s="972" t="n">
        <v>17</v>
      </c>
      <c r="H23" s="453" t="n">
        <v>0.7</v>
      </c>
      <c r="I23" s="453" t="n">
        <v>0.319656340657949</v>
      </c>
      <c r="J23" s="453" t="n">
        <v>0.4631394802579741</v>
      </c>
      <c r="K23" s="453" t="n">
        <v>0.7891019668812888</v>
      </c>
      <c r="L23" s="453" t="n">
        <v>0.5523713768169021</v>
      </c>
      <c r="M23" s="972" t="inlineStr">
        <is>
          <t>Yes</t>
        </is>
      </c>
    </row>
    <row r="24" ht="15" customHeight="1" s="508">
      <c r="A24" s="972" t="inlineStr">
        <is>
          <t>Nation State</t>
        </is>
      </c>
      <c r="B24" s="972" t="inlineStr">
        <is>
          <t>Loss of Control or Visibility</t>
        </is>
      </c>
      <c r="C24" s="972" t="inlineStr">
        <is>
          <t>S4</t>
        </is>
      </c>
      <c r="D24" s="972" t="inlineStr">
        <is>
          <t>Yes</t>
        </is>
      </c>
      <c r="E24" s="972" t="n">
        <v>16</v>
      </c>
      <c r="F24" s="972" t="n">
        <v>0</v>
      </c>
      <c r="G24" s="972" t="n">
        <v>18</v>
      </c>
      <c r="H24" s="453" t="n">
        <v>0.75</v>
      </c>
      <c r="I24" s="453" t="n">
        <v>0.2680316949029872</v>
      </c>
      <c r="J24" s="453" t="n">
        <v>0.3878659755036429</v>
      </c>
      <c r="K24" s="453" t="n">
        <v>0.8362848776836407</v>
      </c>
      <c r="L24" s="453" t="n">
        <v>0.6272136582627306</v>
      </c>
      <c r="M24" s="972" t="inlineStr">
        <is>
          <t>Yes</t>
        </is>
      </c>
    </row>
    <row r="25" ht="15" customHeight="1" s="508">
      <c r="A25" s="972" t="inlineStr">
        <is>
          <t>Nation State</t>
        </is>
      </c>
      <c r="B25" s="972" t="inlineStr">
        <is>
          <t>Loss of Control or Visibility</t>
        </is>
      </c>
      <c r="C25" s="972" t="inlineStr">
        <is>
          <t>S5</t>
        </is>
      </c>
      <c r="D25" s="972" t="inlineStr">
        <is>
          <t>Yes</t>
        </is>
      </c>
      <c r="E25" s="972" t="n">
        <v>9</v>
      </c>
      <c r="F25" s="972" t="n">
        <v>4</v>
      </c>
      <c r="G25" s="972" t="n">
        <v>7</v>
      </c>
      <c r="H25" s="453" t="n">
        <v>0.7224999999999999</v>
      </c>
      <c r="I25" s="453" t="n">
        <v>0.185928882633845</v>
      </c>
      <c r="J25" s="453" t="n">
        <v>0.2726130169573426</v>
      </c>
      <c r="K25" s="453" t="n">
        <v>0.8935177376100071</v>
      </c>
      <c r="L25" s="453" t="n">
        <v>0.64556656542323</v>
      </c>
      <c r="M25" s="972" t="inlineStr">
        <is>
          <t>Yes</t>
        </is>
      </c>
    </row>
    <row r="26" ht="15" customHeight="1" s="508">
      <c r="A26" s="972" t="inlineStr">
        <is>
          <t>Nation State</t>
        </is>
      </c>
      <c r="B26" s="972" t="inlineStr">
        <is>
          <t>Process Manipulation</t>
        </is>
      </c>
      <c r="C26" s="972" t="inlineStr">
        <is>
          <t>S1</t>
        </is>
      </c>
      <c r="D26" s="972" t="inlineStr">
        <is>
          <t>Yes</t>
        </is>
      </c>
      <c r="E26" s="972" t="n">
        <v>9</v>
      </c>
      <c r="F26" s="972" t="n">
        <v>0</v>
      </c>
      <c r="G26" s="972" t="n">
        <v>25</v>
      </c>
      <c r="H26" s="453" t="n">
        <v>0.8</v>
      </c>
      <c r="I26" s="453" t="n">
        <v>0.3670290551545232</v>
      </c>
      <c r="J26" s="453" t="n">
        <v>0.5282774152758685</v>
      </c>
      <c r="K26" s="453" t="n">
        <v>0.7452515610164226</v>
      </c>
      <c r="L26" s="453" t="n">
        <v>0.5962012488131382</v>
      </c>
      <c r="M26" s="972" t="inlineStr">
        <is>
          <t>Yes</t>
        </is>
      </c>
    </row>
    <row r="27" ht="15" customHeight="1" s="508">
      <c r="A27" s="972" t="inlineStr">
        <is>
          <t>Nation State</t>
        </is>
      </c>
      <c r="B27" s="972" t="inlineStr">
        <is>
          <t>Process Manipulation</t>
        </is>
      </c>
      <c r="C27" s="972" t="inlineStr">
        <is>
          <t>S2</t>
        </is>
      </c>
      <c r="D27" s="972" t="inlineStr">
        <is>
          <t>Yes</t>
        </is>
      </c>
      <c r="E27" s="972" t="n">
        <v>15</v>
      </c>
      <c r="F27" s="972" t="n">
        <v>0</v>
      </c>
      <c r="G27" s="972" t="n">
        <v>20</v>
      </c>
      <c r="H27" s="453" t="n">
        <v>0.85</v>
      </c>
      <c r="I27" s="453" t="n">
        <v>0.3186848789615451</v>
      </c>
      <c r="J27" s="453" t="n">
        <v>0.465241618878535</v>
      </c>
      <c r="K27" s="453" t="n">
        <v>0.7848914028304415</v>
      </c>
      <c r="L27" s="453" t="n">
        <v>0.6671576924058752</v>
      </c>
      <c r="M27" s="972" t="inlineStr">
        <is>
          <t>Yes</t>
        </is>
      </c>
    </row>
    <row r="28" ht="15" customHeight="1" s="508">
      <c r="A28" s="972" t="inlineStr">
        <is>
          <t>Nation State</t>
        </is>
      </c>
      <c r="B28" s="972" t="inlineStr">
        <is>
          <t>Process Manipulation</t>
        </is>
      </c>
      <c r="C28" s="972" t="inlineStr">
        <is>
          <t>S3</t>
        </is>
      </c>
      <c r="D28" s="972" t="inlineStr">
        <is>
          <t>Yes</t>
        </is>
      </c>
      <c r="E28" s="972" t="n">
        <v>9</v>
      </c>
      <c r="F28" s="972" t="n">
        <v>0</v>
      </c>
      <c r="G28" s="972" t="n">
        <v>17</v>
      </c>
      <c r="H28" s="453" t="n">
        <v>0.7</v>
      </c>
      <c r="I28" s="453" t="n">
        <v>0.3142175234649575</v>
      </c>
      <c r="J28" s="453" t="n">
        <v>0.455705914537895</v>
      </c>
      <c r="K28" s="453" t="n">
        <v>0.7936832801738882</v>
      </c>
      <c r="L28" s="453" t="n">
        <v>0.5555782961217217</v>
      </c>
      <c r="M28" s="972" t="inlineStr">
        <is>
          <t>Yes</t>
        </is>
      </c>
    </row>
    <row r="29" ht="15" customHeight="1" s="508">
      <c r="A29" s="972" t="inlineStr">
        <is>
          <t>Nation State</t>
        </is>
      </c>
      <c r="B29" s="972" t="inlineStr">
        <is>
          <t>Process Manipulation</t>
        </is>
      </c>
      <c r="C29" s="972" t="inlineStr">
        <is>
          <t>S4</t>
        </is>
      </c>
      <c r="D29" s="972" t="inlineStr">
        <is>
          <t>Yes</t>
        </is>
      </c>
      <c r="E29" s="972" t="n">
        <v>16</v>
      </c>
      <c r="F29" s="972" t="n">
        <v>0</v>
      </c>
      <c r="G29" s="972" t="n">
        <v>18</v>
      </c>
      <c r="H29" s="453" t="n">
        <v>0.75</v>
      </c>
      <c r="I29" s="453" t="n">
        <v>0.2680316949029872</v>
      </c>
      <c r="J29" s="453" t="n">
        <v>0.3878659755036429</v>
      </c>
      <c r="K29" s="453" t="n">
        <v>0.8362848776836407</v>
      </c>
      <c r="L29" s="453" t="n">
        <v>0.6272136582627306</v>
      </c>
      <c r="M29" s="972" t="inlineStr">
        <is>
          <t>Yes</t>
        </is>
      </c>
    </row>
    <row r="30" ht="15" customHeight="1" s="508">
      <c r="A30" s="972" t="inlineStr">
        <is>
          <t>Nation State</t>
        </is>
      </c>
      <c r="B30" s="972" t="inlineStr">
        <is>
          <t>Process Manipulation</t>
        </is>
      </c>
      <c r="C30" s="972" t="inlineStr">
        <is>
          <t>S5</t>
        </is>
      </c>
      <c r="D30" s="972" t="inlineStr">
        <is>
          <t>Yes</t>
        </is>
      </c>
      <c r="E30" s="972" t="n">
        <v>10</v>
      </c>
      <c r="F30" s="972" t="n">
        <v>3</v>
      </c>
      <c r="G30" s="972" t="n">
        <v>11</v>
      </c>
      <c r="H30" s="453" t="n">
        <v>0.595</v>
      </c>
      <c r="I30" s="453" t="n">
        <v>0.3587911324376744</v>
      </c>
      <c r="J30" s="453" t="n">
        <v>0.5187174337661959</v>
      </c>
      <c r="K30" s="453" t="n">
        <v>0.7505862607039246</v>
      </c>
      <c r="L30" s="453" t="n">
        <v>0.4465988251188351</v>
      </c>
      <c r="M30" s="972" t="inlineStr">
        <is>
          <t>Yes</t>
        </is>
      </c>
    </row>
    <row r="31" ht="15" customHeight="1" s="508">
      <c r="A31" s="972" t="inlineStr">
        <is>
          <t>Nation State</t>
        </is>
      </c>
      <c r="B31" s="972" t="inlineStr">
        <is>
          <t>Safety System Compromise</t>
        </is>
      </c>
      <c r="C31" s="972" t="inlineStr">
        <is>
          <t>S1</t>
        </is>
      </c>
      <c r="D31" s="972" t="inlineStr">
        <is>
          <t>Yes</t>
        </is>
      </c>
      <c r="E31" s="972" t="n">
        <v>10</v>
      </c>
      <c r="F31" s="972" t="n">
        <v>0</v>
      </c>
      <c r="G31" s="972" t="n">
        <v>26</v>
      </c>
      <c r="H31" s="453" t="n">
        <v>0.8</v>
      </c>
      <c r="I31" s="453" t="n">
        <v>0.3671621440095315</v>
      </c>
      <c r="J31" s="453" t="n">
        <v>0.5284263890098899</v>
      </c>
      <c r="K31" s="453" t="n">
        <v>0.7451728851650945</v>
      </c>
      <c r="L31" s="453" t="n">
        <v>0.5961383081320756</v>
      </c>
      <c r="M31" s="972" t="inlineStr">
        <is>
          <t>Yes</t>
        </is>
      </c>
    </row>
    <row r="32" ht="15" customHeight="1" s="508">
      <c r="A32" s="972" t="inlineStr">
        <is>
          <t>Nation State</t>
        </is>
      </c>
      <c r="B32" s="972" t="inlineStr">
        <is>
          <t>Safety System Compromise</t>
        </is>
      </c>
      <c r="C32" s="972" t="inlineStr">
        <is>
          <t>S2</t>
        </is>
      </c>
      <c r="D32" s="972" t="inlineStr">
        <is>
          <t>Yes</t>
        </is>
      </c>
      <c r="E32" s="972" t="n">
        <v>18</v>
      </c>
      <c r="F32" s="972" t="n">
        <v>0</v>
      </c>
      <c r="G32" s="972" t="n">
        <v>20</v>
      </c>
      <c r="H32" s="453" t="n">
        <v>0.85</v>
      </c>
      <c r="I32" s="453" t="n">
        <v>0.3227530241346209</v>
      </c>
      <c r="J32" s="453" t="n">
        <v>0.4711017396904459</v>
      </c>
      <c r="K32" s="453" t="n">
        <v>0.780953299398249</v>
      </c>
      <c r="L32" s="453" t="n">
        <v>0.6638103044885116</v>
      </c>
      <c r="M32" s="972" t="inlineStr">
        <is>
          <t>Yes</t>
        </is>
      </c>
    </row>
    <row r="33" ht="15" customHeight="1" s="508">
      <c r="A33" s="972" t="inlineStr">
        <is>
          <t>Nation State</t>
        </is>
      </c>
      <c r="B33" s="972" t="inlineStr">
        <is>
          <t>Safety System Compromise</t>
        </is>
      </c>
      <c r="C33" s="972" t="inlineStr">
        <is>
          <t>S3</t>
        </is>
      </c>
      <c r="D33" s="972" t="inlineStr">
        <is>
          <t>Yes</t>
        </is>
      </c>
      <c r="E33" s="972" t="n">
        <v>10</v>
      </c>
      <c r="F33" s="972" t="n">
        <v>0</v>
      </c>
      <c r="G33" s="972" t="n">
        <v>17</v>
      </c>
      <c r="H33" s="453" t="n">
        <v>0.7</v>
      </c>
      <c r="I33" s="453" t="n">
        <v>0.319656340657949</v>
      </c>
      <c r="J33" s="453" t="n">
        <v>0.4631394802579741</v>
      </c>
      <c r="K33" s="453" t="n">
        <v>0.7891019668812888</v>
      </c>
      <c r="L33" s="453" t="n">
        <v>0.5523713768169021</v>
      </c>
      <c r="M33" s="972" t="inlineStr">
        <is>
          <t>Yes</t>
        </is>
      </c>
    </row>
    <row r="34" ht="15" customHeight="1" s="508">
      <c r="A34" s="972" t="inlineStr">
        <is>
          <t>Nation State</t>
        </is>
      </c>
      <c r="B34" s="972" t="inlineStr">
        <is>
          <t>Safety System Compromise</t>
        </is>
      </c>
      <c r="C34" s="972" t="inlineStr">
        <is>
          <t>S4</t>
        </is>
      </c>
      <c r="D34" s="972" t="inlineStr">
        <is>
          <t>Yes</t>
        </is>
      </c>
      <c r="E34" s="972" t="n">
        <v>16</v>
      </c>
      <c r="F34" s="972" t="n">
        <v>0</v>
      </c>
      <c r="G34" s="972" t="n">
        <v>18</v>
      </c>
      <c r="H34" s="453" t="n">
        <v>0.75</v>
      </c>
      <c r="I34" s="453" t="n">
        <v>0.2680316949029872</v>
      </c>
      <c r="J34" s="453" t="n">
        <v>0.3878659755036429</v>
      </c>
      <c r="K34" s="453" t="n">
        <v>0.8362848776836407</v>
      </c>
      <c r="L34" s="453" t="n">
        <v>0.6272136582627306</v>
      </c>
      <c r="M34" s="972" t="inlineStr">
        <is>
          <t>Yes</t>
        </is>
      </c>
    </row>
    <row r="35" ht="15" customHeight="1" s="508">
      <c r="A35" s="972" t="inlineStr">
        <is>
          <t>Nation State</t>
        </is>
      </c>
      <c r="B35" s="972" t="inlineStr">
        <is>
          <t>Safety System Compromise</t>
        </is>
      </c>
      <c r="C35" s="972" t="inlineStr">
        <is>
          <t>S5</t>
        </is>
      </c>
      <c r="D35" s="972" t="inlineStr">
        <is>
          <t>Yes</t>
        </is>
      </c>
      <c r="E35" s="972" t="n">
        <v>10</v>
      </c>
      <c r="F35" s="972" t="n">
        <v>5</v>
      </c>
      <c r="G35" s="972" t="n">
        <v>11</v>
      </c>
      <c r="H35" s="453" t="n">
        <v>0.4675</v>
      </c>
      <c r="I35" s="453" t="n">
        <v>0.2459334673736147</v>
      </c>
      <c r="J35" s="453" t="n">
        <v>0.3571292296924271</v>
      </c>
      <c r="K35" s="453" t="n">
        <v>0.8525385261012424</v>
      </c>
      <c r="L35" s="453" t="n">
        <v>0.3985617609523308</v>
      </c>
      <c r="M35" s="972" t="inlineStr">
        <is>
          <t>Yes</t>
        </is>
      </c>
    </row>
    <row r="36" ht="15" customHeight="1" s="508">
      <c r="A36" s="972" t="inlineStr">
        <is>
          <t>Nation State</t>
        </is>
      </c>
      <c r="B36" s="972" t="inlineStr">
        <is>
          <t>Destructive or Integrity Attack</t>
        </is>
      </c>
      <c r="C36" s="972" t="inlineStr">
        <is>
          <t>S1</t>
        </is>
      </c>
      <c r="D36" s="972" t="inlineStr">
        <is>
          <t>Yes</t>
        </is>
      </c>
      <c r="E36" s="972" t="n">
        <v>10</v>
      </c>
      <c r="F36" s="972" t="n">
        <v>0</v>
      </c>
      <c r="G36" s="972" t="n">
        <v>26</v>
      </c>
      <c r="H36" s="453" t="n">
        <v>0.8</v>
      </c>
      <c r="I36" s="453" t="n">
        <v>0.3671621440095315</v>
      </c>
      <c r="J36" s="453" t="n">
        <v>0.5284263890098899</v>
      </c>
      <c r="K36" s="453" t="n">
        <v>0.7451728851650945</v>
      </c>
      <c r="L36" s="453" t="n">
        <v>0.5961383081320756</v>
      </c>
      <c r="M36" s="972" t="inlineStr">
        <is>
          <t>Yes</t>
        </is>
      </c>
    </row>
    <row r="37" ht="15" customHeight="1" s="508">
      <c r="A37" s="972" t="inlineStr">
        <is>
          <t>Nation State</t>
        </is>
      </c>
      <c r="B37" s="972" t="inlineStr">
        <is>
          <t>Destructive or Integrity Attack</t>
        </is>
      </c>
      <c r="C37" s="972" t="inlineStr">
        <is>
          <t>S2</t>
        </is>
      </c>
      <c r="D37" s="972" t="inlineStr">
        <is>
          <t>Yes</t>
        </is>
      </c>
      <c r="E37" s="972" t="n">
        <v>16</v>
      </c>
      <c r="F37" s="972" t="n">
        <v>0</v>
      </c>
      <c r="G37" s="972" t="n">
        <v>20</v>
      </c>
      <c r="H37" s="453" t="n">
        <v>0.85</v>
      </c>
      <c r="I37" s="453" t="n">
        <v>0.3175170740264485</v>
      </c>
      <c r="J37" s="453" t="n">
        <v>0.4642890176986266</v>
      </c>
      <c r="K37" s="453" t="n">
        <v>0.7849441530528986</v>
      </c>
      <c r="L37" s="453" t="n">
        <v>0.6672025300949638</v>
      </c>
      <c r="M37" s="972" t="inlineStr">
        <is>
          <t>Yes</t>
        </is>
      </c>
    </row>
    <row r="38" ht="15" customHeight="1" s="508">
      <c r="A38" s="972" t="inlineStr">
        <is>
          <t>Nation State</t>
        </is>
      </c>
      <c r="B38" s="972" t="inlineStr">
        <is>
          <t>Destructive or Integrity Attack</t>
        </is>
      </c>
      <c r="C38" s="972" t="inlineStr">
        <is>
          <t>S3</t>
        </is>
      </c>
      <c r="D38" s="972" t="inlineStr">
        <is>
          <t>Yes</t>
        </is>
      </c>
      <c r="E38" s="972" t="n">
        <v>10</v>
      </c>
      <c r="F38" s="972" t="n">
        <v>0</v>
      </c>
      <c r="G38" s="972" t="n">
        <v>17</v>
      </c>
      <c r="H38" s="453" t="n">
        <v>0.7</v>
      </c>
      <c r="I38" s="453" t="n">
        <v>0.319656340657949</v>
      </c>
      <c r="J38" s="453" t="n">
        <v>0.4631394802579741</v>
      </c>
      <c r="K38" s="453" t="n">
        <v>0.7891019668812888</v>
      </c>
      <c r="L38" s="453" t="n">
        <v>0.5523713768169021</v>
      </c>
      <c r="M38" s="972" t="inlineStr">
        <is>
          <t>Yes</t>
        </is>
      </c>
    </row>
    <row r="39" ht="15" customHeight="1" s="508">
      <c r="A39" s="972" t="inlineStr">
        <is>
          <t>Nation State</t>
        </is>
      </c>
      <c r="B39" s="972" t="inlineStr">
        <is>
          <t>Destructive or Integrity Attack</t>
        </is>
      </c>
      <c r="C39" s="972" t="inlineStr">
        <is>
          <t>S4</t>
        </is>
      </c>
      <c r="D39" s="972" t="inlineStr">
        <is>
          <t>Yes</t>
        </is>
      </c>
      <c r="E39" s="972" t="n">
        <v>16</v>
      </c>
      <c r="F39" s="972" t="n">
        <v>0</v>
      </c>
      <c r="G39" s="972" t="n">
        <v>18</v>
      </c>
      <c r="H39" s="453" t="n">
        <v>0.75</v>
      </c>
      <c r="I39" s="453" t="n">
        <v>0.2680316949029872</v>
      </c>
      <c r="J39" s="453" t="n">
        <v>0.3878659755036429</v>
      </c>
      <c r="K39" s="453" t="n">
        <v>0.8362848776836407</v>
      </c>
      <c r="L39" s="453" t="n">
        <v>0.6272136582627306</v>
      </c>
      <c r="M39" s="972" t="inlineStr">
        <is>
          <t>Yes</t>
        </is>
      </c>
    </row>
    <row r="40" ht="15" customHeight="1" s="508">
      <c r="A40" s="972" t="inlineStr">
        <is>
          <t>Nation State</t>
        </is>
      </c>
      <c r="B40" s="972" t="inlineStr">
        <is>
          <t>Destructive or Integrity Attack</t>
        </is>
      </c>
      <c r="C40" s="972" t="inlineStr">
        <is>
          <t>S5</t>
        </is>
      </c>
      <c r="D40" s="972" t="inlineStr">
        <is>
          <t>Yes</t>
        </is>
      </c>
      <c r="E40" s="972" t="n">
        <v>8</v>
      </c>
      <c r="F40" s="972" t="n">
        <v>3</v>
      </c>
      <c r="G40" s="972" t="n">
        <v>16</v>
      </c>
      <c r="H40" s="453" t="n">
        <v>0.51</v>
      </c>
      <c r="I40" s="453" t="n">
        <v>0.3565297403089489</v>
      </c>
      <c r="J40" s="453" t="n">
        <v>0.5161011377979379</v>
      </c>
      <c r="K40" s="453" t="n">
        <v>0.7520143393020156</v>
      </c>
      <c r="L40" s="453" t="n">
        <v>0.3835273130440279</v>
      </c>
      <c r="M40" s="972" t="inlineStr">
        <is>
          <t>Yes</t>
        </is>
      </c>
    </row>
    <row r="41" ht="15" customHeight="1" s="508">
      <c r="A41" s="972" t="inlineStr">
        <is>
          <t>Cybercriminal</t>
        </is>
      </c>
      <c r="B41" s="972" t="inlineStr">
        <is>
          <t>Operational Disruption</t>
        </is>
      </c>
      <c r="C41" s="972" t="inlineStr">
        <is>
          <t>S1</t>
        </is>
      </c>
      <c r="D41" s="972" t="inlineStr">
        <is>
          <t>Yes</t>
        </is>
      </c>
      <c r="E41" s="972" t="n">
        <v>10</v>
      </c>
      <c r="F41" s="972" t="n">
        <v>0</v>
      </c>
      <c r="G41" s="972" t="n">
        <v>26</v>
      </c>
      <c r="H41" s="453" t="n">
        <v>0.8</v>
      </c>
      <c r="I41" s="453" t="n">
        <v>0.3671621440095315</v>
      </c>
      <c r="J41" s="453" t="n">
        <v>0.5284263890098899</v>
      </c>
      <c r="K41" s="453" t="n">
        <v>0.7451728851650945</v>
      </c>
      <c r="L41" s="453" t="n">
        <v>0.5961383081320756</v>
      </c>
      <c r="M41" s="972" t="inlineStr">
        <is>
          <t>Yes</t>
        </is>
      </c>
    </row>
    <row r="42" ht="15" customHeight="1" s="508">
      <c r="A42" s="972" t="inlineStr">
        <is>
          <t>Cybercriminal</t>
        </is>
      </c>
      <c r="B42" s="972" t="inlineStr">
        <is>
          <t>Operational Disruption</t>
        </is>
      </c>
      <c r="C42" s="972" t="inlineStr">
        <is>
          <t>S2</t>
        </is>
      </c>
      <c r="D42" s="972" t="inlineStr">
        <is>
          <t>Yes</t>
        </is>
      </c>
      <c r="E42" s="972" t="n">
        <v>17</v>
      </c>
      <c r="F42" s="972" t="n">
        <v>0</v>
      </c>
      <c r="G42" s="972" t="n">
        <v>20</v>
      </c>
      <c r="H42" s="453" t="n">
        <v>0.8</v>
      </c>
      <c r="I42" s="453" t="n">
        <v>0.3240914373190104</v>
      </c>
      <c r="J42" s="453" t="n">
        <v>0.4723430184957663</v>
      </c>
      <c r="K42" s="453" t="n">
        <v>0.7806632592599267</v>
      </c>
      <c r="L42" s="453" t="n">
        <v>0.6245306074079414</v>
      </c>
      <c r="M42" s="972" t="inlineStr">
        <is>
          <t>Yes</t>
        </is>
      </c>
    </row>
    <row r="43" ht="15" customHeight="1" s="508">
      <c r="A43" s="972" t="inlineStr">
        <is>
          <t>Cybercriminal</t>
        </is>
      </c>
      <c r="B43" s="972" t="inlineStr">
        <is>
          <t>Operational Disruption</t>
        </is>
      </c>
      <c r="C43" s="972" t="inlineStr">
        <is>
          <t>S3</t>
        </is>
      </c>
      <c r="D43" s="972" t="inlineStr">
        <is>
          <t>Yes</t>
        </is>
      </c>
      <c r="E43" s="972" t="n">
        <v>10</v>
      </c>
      <c r="F43" s="972" t="n">
        <v>0</v>
      </c>
      <c r="G43" s="972" t="n">
        <v>17</v>
      </c>
      <c r="H43" s="453" t="n">
        <v>0.65</v>
      </c>
      <c r="I43" s="453" t="n">
        <v>0.319656340657949</v>
      </c>
      <c r="J43" s="453" t="n">
        <v>0.4631394802579741</v>
      </c>
      <c r="K43" s="453" t="n">
        <v>0.7891019668812888</v>
      </c>
      <c r="L43" s="453" t="n">
        <v>0.5129162784728377</v>
      </c>
      <c r="M43" s="972" t="inlineStr">
        <is>
          <t>Yes</t>
        </is>
      </c>
    </row>
    <row r="44" ht="15" customHeight="1" s="508">
      <c r="A44" s="972" t="inlineStr">
        <is>
          <t>Cybercriminal</t>
        </is>
      </c>
      <c r="B44" s="972" t="inlineStr">
        <is>
          <t>Operational Disruption</t>
        </is>
      </c>
      <c r="C44" s="972" t="inlineStr">
        <is>
          <t>S4</t>
        </is>
      </c>
      <c r="D44" s="972" t="inlineStr">
        <is>
          <t>Yes</t>
        </is>
      </c>
      <c r="E44" s="972" t="n">
        <v>16</v>
      </c>
      <c r="F44" s="972" t="n">
        <v>0</v>
      </c>
      <c r="G44" s="972" t="n">
        <v>18</v>
      </c>
      <c r="H44" s="453" t="n">
        <v>0.65</v>
      </c>
      <c r="I44" s="453" t="n">
        <v>0.2680316949029872</v>
      </c>
      <c r="J44" s="453" t="n">
        <v>0.3878659755036429</v>
      </c>
      <c r="K44" s="453" t="n">
        <v>0.8362848776836407</v>
      </c>
      <c r="L44" s="453" t="n">
        <v>0.5435851704943665</v>
      </c>
      <c r="M44" s="972" t="inlineStr">
        <is>
          <t>Yes</t>
        </is>
      </c>
    </row>
    <row r="45" ht="15" customHeight="1" s="508">
      <c r="A45" s="972" t="inlineStr">
        <is>
          <t>Cybercriminal</t>
        </is>
      </c>
      <c r="B45" s="972" t="inlineStr">
        <is>
          <t>Operational Disruption</t>
        </is>
      </c>
      <c r="C45" s="972" t="inlineStr">
        <is>
          <t>S5</t>
        </is>
      </c>
      <c r="D45" s="972" t="inlineStr">
        <is>
          <t>Yes</t>
        </is>
      </c>
      <c r="E45" s="972" t="n">
        <v>7</v>
      </c>
      <c r="F45" s="972" t="n">
        <v>4</v>
      </c>
      <c r="G45" s="972" t="n">
        <v>13</v>
      </c>
      <c r="H45" s="453" t="n">
        <v>0.6174999999999999</v>
      </c>
      <c r="I45" s="453" t="n">
        <v>0.258546767507582</v>
      </c>
      <c r="J45" s="453" t="n">
        <v>0.3732527189160769</v>
      </c>
      <c r="K45" s="453" t="n">
        <v>0.8452957700070883</v>
      </c>
      <c r="L45" s="453" t="n">
        <v>0.521970137979377</v>
      </c>
      <c r="M45" s="972" t="inlineStr">
        <is>
          <t>Yes</t>
        </is>
      </c>
    </row>
    <row r="46" ht="15" customHeight="1" s="508">
      <c r="A46" s="972" t="inlineStr">
        <is>
          <t>Cybercriminal</t>
        </is>
      </c>
      <c r="B46" s="972" t="inlineStr">
        <is>
          <t>Loss of Control or Visibility</t>
        </is>
      </c>
      <c r="C46" s="972" t="inlineStr">
        <is>
          <t>S1</t>
        </is>
      </c>
      <c r="D46" s="972" t="inlineStr">
        <is>
          <t>Yes</t>
        </is>
      </c>
      <c r="E46" s="972" t="n">
        <v>10</v>
      </c>
      <c r="F46" s="972" t="n">
        <v>0</v>
      </c>
      <c r="G46" s="972" t="n">
        <v>26</v>
      </c>
      <c r="H46" s="453" t="n">
        <v>0.8</v>
      </c>
      <c r="I46" s="453" t="n">
        <v>0.3671621440095315</v>
      </c>
      <c r="J46" s="453" t="n">
        <v>0.5284263890098899</v>
      </c>
      <c r="K46" s="453" t="n">
        <v>0.7451728851650945</v>
      </c>
      <c r="L46" s="453" t="n">
        <v>0.5961383081320756</v>
      </c>
      <c r="M46" s="972" t="inlineStr">
        <is>
          <t>Yes</t>
        </is>
      </c>
    </row>
    <row r="47" ht="15" customHeight="1" s="508">
      <c r="A47" s="972" t="inlineStr">
        <is>
          <t>Cybercriminal</t>
        </is>
      </c>
      <c r="B47" s="972" t="inlineStr">
        <is>
          <t>Loss of Control or Visibility</t>
        </is>
      </c>
      <c r="C47" s="972" t="inlineStr">
        <is>
          <t>S2</t>
        </is>
      </c>
      <c r="D47" s="972" t="inlineStr">
        <is>
          <t>Yes</t>
        </is>
      </c>
      <c r="E47" s="972" t="n">
        <v>17</v>
      </c>
      <c r="F47" s="972" t="n">
        <v>0</v>
      </c>
      <c r="G47" s="972" t="n">
        <v>20</v>
      </c>
      <c r="H47" s="453" t="n">
        <v>0.8</v>
      </c>
      <c r="I47" s="453" t="n">
        <v>0.3240914373190104</v>
      </c>
      <c r="J47" s="453" t="n">
        <v>0.4723430184957663</v>
      </c>
      <c r="K47" s="453" t="n">
        <v>0.7806632592599267</v>
      </c>
      <c r="L47" s="453" t="n">
        <v>0.6245306074079414</v>
      </c>
      <c r="M47" s="972" t="inlineStr">
        <is>
          <t>Yes</t>
        </is>
      </c>
    </row>
    <row r="48" ht="15" customHeight="1" s="508">
      <c r="A48" s="972" t="inlineStr">
        <is>
          <t>Cybercriminal</t>
        </is>
      </c>
      <c r="B48" s="972" t="inlineStr">
        <is>
          <t>Loss of Control or Visibility</t>
        </is>
      </c>
      <c r="C48" s="972" t="inlineStr">
        <is>
          <t>S3</t>
        </is>
      </c>
      <c r="D48" s="972" t="inlineStr">
        <is>
          <t>Yes</t>
        </is>
      </c>
      <c r="E48" s="972" t="n">
        <v>10</v>
      </c>
      <c r="F48" s="972" t="n">
        <v>0</v>
      </c>
      <c r="G48" s="972" t="n">
        <v>17</v>
      </c>
      <c r="H48" s="453" t="n">
        <v>0.65</v>
      </c>
      <c r="I48" s="453" t="n">
        <v>0.319656340657949</v>
      </c>
      <c r="J48" s="453" t="n">
        <v>0.4631394802579741</v>
      </c>
      <c r="K48" s="453" t="n">
        <v>0.7891019668812888</v>
      </c>
      <c r="L48" s="453" t="n">
        <v>0.5129162784728377</v>
      </c>
      <c r="M48" s="972" t="inlineStr">
        <is>
          <t>Yes</t>
        </is>
      </c>
    </row>
    <row r="49" ht="15" customHeight="1" s="508">
      <c r="A49" s="972" t="inlineStr">
        <is>
          <t>Cybercriminal</t>
        </is>
      </c>
      <c r="B49" s="972" t="inlineStr">
        <is>
          <t>Loss of Control or Visibility</t>
        </is>
      </c>
      <c r="C49" s="972" t="inlineStr">
        <is>
          <t>S4</t>
        </is>
      </c>
      <c r="D49" s="972" t="inlineStr">
        <is>
          <t>Yes</t>
        </is>
      </c>
      <c r="E49" s="972" t="n">
        <v>16</v>
      </c>
      <c r="F49" s="972" t="n">
        <v>0</v>
      </c>
      <c r="G49" s="972" t="n">
        <v>18</v>
      </c>
      <c r="H49" s="453" t="n">
        <v>0.65</v>
      </c>
      <c r="I49" s="453" t="n">
        <v>0.2680316949029872</v>
      </c>
      <c r="J49" s="453" t="n">
        <v>0.3878659755036429</v>
      </c>
      <c r="K49" s="453" t="n">
        <v>0.8362848776836407</v>
      </c>
      <c r="L49" s="453" t="n">
        <v>0.5435851704943665</v>
      </c>
      <c r="M49" s="972" t="inlineStr">
        <is>
          <t>Yes</t>
        </is>
      </c>
    </row>
    <row r="50" ht="15" customHeight="1" s="508">
      <c r="A50" s="972" t="inlineStr">
        <is>
          <t>Cybercriminal</t>
        </is>
      </c>
      <c r="B50" s="972" t="inlineStr">
        <is>
          <t>Loss of Control or Visibility</t>
        </is>
      </c>
      <c r="C50" s="972" t="inlineStr">
        <is>
          <t>S5</t>
        </is>
      </c>
      <c r="D50" s="972" t="inlineStr">
        <is>
          <t>Yes</t>
        </is>
      </c>
      <c r="E50" s="972" t="n">
        <v>9</v>
      </c>
      <c r="F50" s="972" t="n">
        <v>4</v>
      </c>
      <c r="G50" s="972" t="n">
        <v>7</v>
      </c>
      <c r="H50" s="453" t="n">
        <v>0.5525</v>
      </c>
      <c r="I50" s="453" t="n">
        <v>0.185928882633845</v>
      </c>
      <c r="J50" s="453" t="n">
        <v>0.2726130169573426</v>
      </c>
      <c r="K50" s="453" t="n">
        <v>0.8935177376100071</v>
      </c>
      <c r="L50" s="453" t="n">
        <v>0.4936685500295289</v>
      </c>
      <c r="M50" s="972" t="inlineStr">
        <is>
          <t>Yes</t>
        </is>
      </c>
    </row>
    <row r="51" ht="15" customHeight="1" s="508">
      <c r="A51" s="972" t="inlineStr">
        <is>
          <t>Cybercriminal</t>
        </is>
      </c>
      <c r="B51" s="972" t="inlineStr">
        <is>
          <t>Process Manipulation</t>
        </is>
      </c>
      <c r="C51" s="972" t="inlineStr">
        <is>
          <t>S1</t>
        </is>
      </c>
      <c r="D51" s="972" t="inlineStr">
        <is>
          <t>Yes</t>
        </is>
      </c>
      <c r="E51" s="972" t="n">
        <v>9</v>
      </c>
      <c r="F51" s="972" t="n">
        <v>0</v>
      </c>
      <c r="G51" s="972" t="n">
        <v>25</v>
      </c>
      <c r="H51" s="453" t="n">
        <v>0.8</v>
      </c>
      <c r="I51" s="453" t="n">
        <v>0.3670290551545232</v>
      </c>
      <c r="J51" s="453" t="n">
        <v>0.5282774152758685</v>
      </c>
      <c r="K51" s="453" t="n">
        <v>0.7452515610164226</v>
      </c>
      <c r="L51" s="453" t="n">
        <v>0.5962012488131382</v>
      </c>
      <c r="M51" s="972" t="inlineStr">
        <is>
          <t>Yes</t>
        </is>
      </c>
    </row>
    <row r="52" ht="15" customHeight="1" s="508">
      <c r="A52" s="972" t="inlineStr">
        <is>
          <t>Cybercriminal</t>
        </is>
      </c>
      <c r="B52" s="972" t="inlineStr">
        <is>
          <t>Process Manipulation</t>
        </is>
      </c>
      <c r="C52" s="972" t="inlineStr">
        <is>
          <t>S2</t>
        </is>
      </c>
      <c r="D52" s="972" t="inlineStr">
        <is>
          <t>Yes</t>
        </is>
      </c>
      <c r="E52" s="972" t="n">
        <v>15</v>
      </c>
      <c r="F52" s="972" t="n">
        <v>0</v>
      </c>
      <c r="G52" s="972" t="n">
        <v>20</v>
      </c>
      <c r="H52" s="453" t="n">
        <v>0.8</v>
      </c>
      <c r="I52" s="453" t="n">
        <v>0.3186848789615451</v>
      </c>
      <c r="J52" s="453" t="n">
        <v>0.465241618878535</v>
      </c>
      <c r="K52" s="453" t="n">
        <v>0.7848914028304415</v>
      </c>
      <c r="L52" s="453" t="n">
        <v>0.6279131222643533</v>
      </c>
      <c r="M52" s="972" t="inlineStr">
        <is>
          <t>Yes</t>
        </is>
      </c>
    </row>
    <row r="53" ht="15" customHeight="1" s="508">
      <c r="A53" s="972" t="inlineStr">
        <is>
          <t>Cybercriminal</t>
        </is>
      </c>
      <c r="B53" s="972" t="inlineStr">
        <is>
          <t>Process Manipulation</t>
        </is>
      </c>
      <c r="C53" s="972" t="inlineStr">
        <is>
          <t>S3</t>
        </is>
      </c>
      <c r="D53" s="972" t="inlineStr">
        <is>
          <t>Yes</t>
        </is>
      </c>
      <c r="E53" s="972" t="n">
        <v>9</v>
      </c>
      <c r="F53" s="972" t="n">
        <v>0</v>
      </c>
      <c r="G53" s="972" t="n">
        <v>17</v>
      </c>
      <c r="H53" s="453" t="n">
        <v>0.65</v>
      </c>
      <c r="I53" s="453" t="n">
        <v>0.3142175234649575</v>
      </c>
      <c r="J53" s="453" t="n">
        <v>0.455705914537895</v>
      </c>
      <c r="K53" s="453" t="n">
        <v>0.7936832801738882</v>
      </c>
      <c r="L53" s="453" t="n">
        <v>0.5158941321130274</v>
      </c>
      <c r="M53" s="972" t="inlineStr">
        <is>
          <t>Yes</t>
        </is>
      </c>
    </row>
    <row r="54" ht="15" customHeight="1" s="508">
      <c r="A54" s="972" t="inlineStr">
        <is>
          <t>Cybercriminal</t>
        </is>
      </c>
      <c r="B54" s="972" t="inlineStr">
        <is>
          <t>Process Manipulation</t>
        </is>
      </c>
      <c r="C54" s="972" t="inlineStr">
        <is>
          <t>S4</t>
        </is>
      </c>
      <c r="D54" s="972" t="inlineStr">
        <is>
          <t>Yes</t>
        </is>
      </c>
      <c r="E54" s="972" t="n">
        <v>16</v>
      </c>
      <c r="F54" s="972" t="n">
        <v>0</v>
      </c>
      <c r="G54" s="972" t="n">
        <v>18</v>
      </c>
      <c r="H54" s="453" t="n">
        <v>0.65</v>
      </c>
      <c r="I54" s="453" t="n">
        <v>0.2680316949029872</v>
      </c>
      <c r="J54" s="453" t="n">
        <v>0.3878659755036429</v>
      </c>
      <c r="K54" s="453" t="n">
        <v>0.8362848776836407</v>
      </c>
      <c r="L54" s="453" t="n">
        <v>0.5435851704943665</v>
      </c>
      <c r="M54" s="972" t="inlineStr">
        <is>
          <t>Yes</t>
        </is>
      </c>
    </row>
    <row r="55" ht="15" customHeight="1" s="508">
      <c r="A55" s="972" t="inlineStr">
        <is>
          <t>Cybercriminal</t>
        </is>
      </c>
      <c r="B55" s="972" t="inlineStr">
        <is>
          <t>Process Manipulation</t>
        </is>
      </c>
      <c r="C55" s="972" t="inlineStr">
        <is>
          <t>S5</t>
        </is>
      </c>
      <c r="D55" s="972" t="inlineStr">
        <is>
          <t>Yes</t>
        </is>
      </c>
      <c r="E55" s="972" t="n">
        <v>10</v>
      </c>
      <c r="F55" s="972" t="n">
        <v>3</v>
      </c>
      <c r="G55" s="972" t="n">
        <v>11</v>
      </c>
      <c r="H55" s="453" t="n">
        <v>0.455</v>
      </c>
      <c r="I55" s="453" t="n">
        <v>0.3587911324376744</v>
      </c>
      <c r="J55" s="453" t="n">
        <v>0.5187174337661959</v>
      </c>
      <c r="K55" s="453" t="n">
        <v>0.7505862607039246</v>
      </c>
      <c r="L55" s="453" t="n">
        <v>0.3415167486202857</v>
      </c>
      <c r="M55" s="972" t="inlineStr">
        <is>
          <t>Yes</t>
        </is>
      </c>
    </row>
    <row r="56" ht="15" customHeight="1" s="508">
      <c r="A56" s="972" t="inlineStr">
        <is>
          <t>Cybercriminal</t>
        </is>
      </c>
      <c r="B56" s="972" t="inlineStr">
        <is>
          <t>Safety System Compromise</t>
        </is>
      </c>
      <c r="C56" s="972" t="inlineStr">
        <is>
          <t>S1</t>
        </is>
      </c>
      <c r="D56" s="972" t="inlineStr">
        <is>
          <t>Yes</t>
        </is>
      </c>
      <c r="E56" s="972" t="n">
        <v>10</v>
      </c>
      <c r="F56" s="972" t="n">
        <v>0</v>
      </c>
      <c r="G56" s="972" t="n">
        <v>26</v>
      </c>
      <c r="H56" s="453" t="n">
        <v>0.8</v>
      </c>
      <c r="I56" s="453" t="n">
        <v>0.3671621440095315</v>
      </c>
      <c r="J56" s="453" t="n">
        <v>0.5284263890098899</v>
      </c>
      <c r="K56" s="453" t="n">
        <v>0.7451728851650945</v>
      </c>
      <c r="L56" s="453" t="n">
        <v>0.5961383081320756</v>
      </c>
      <c r="M56" s="972" t="inlineStr">
        <is>
          <t>Yes</t>
        </is>
      </c>
    </row>
    <row r="57" ht="15" customHeight="1" s="508">
      <c r="A57" s="972" t="inlineStr">
        <is>
          <t>Cybercriminal</t>
        </is>
      </c>
      <c r="B57" s="972" t="inlineStr">
        <is>
          <t>Safety System Compromise</t>
        </is>
      </c>
      <c r="C57" s="972" t="inlineStr">
        <is>
          <t>S2</t>
        </is>
      </c>
      <c r="D57" s="972" t="inlineStr">
        <is>
          <t>Yes</t>
        </is>
      </c>
      <c r="E57" s="972" t="n">
        <v>18</v>
      </c>
      <c r="F57" s="972" t="n">
        <v>0</v>
      </c>
      <c r="G57" s="972" t="n">
        <v>20</v>
      </c>
      <c r="H57" s="453" t="n">
        <v>0.8</v>
      </c>
      <c r="I57" s="453" t="n">
        <v>0.3227530241346209</v>
      </c>
      <c r="J57" s="453" t="n">
        <v>0.4711017396904459</v>
      </c>
      <c r="K57" s="453" t="n">
        <v>0.780953299398249</v>
      </c>
      <c r="L57" s="453" t="n">
        <v>0.6247626395185992</v>
      </c>
      <c r="M57" s="972" t="inlineStr">
        <is>
          <t>Yes</t>
        </is>
      </c>
    </row>
    <row r="58" ht="15" customHeight="1" s="508">
      <c r="A58" s="972" t="inlineStr">
        <is>
          <t>Cybercriminal</t>
        </is>
      </c>
      <c r="B58" s="972" t="inlineStr">
        <is>
          <t>Safety System Compromise</t>
        </is>
      </c>
      <c r="C58" s="972" t="inlineStr">
        <is>
          <t>S3</t>
        </is>
      </c>
      <c r="D58" s="972" t="inlineStr">
        <is>
          <t>Yes</t>
        </is>
      </c>
      <c r="E58" s="972" t="n">
        <v>10</v>
      </c>
      <c r="F58" s="972" t="n">
        <v>0</v>
      </c>
      <c r="G58" s="972" t="n">
        <v>17</v>
      </c>
      <c r="H58" s="453" t="n">
        <v>0.65</v>
      </c>
      <c r="I58" s="453" t="n">
        <v>0.319656340657949</v>
      </c>
      <c r="J58" s="453" t="n">
        <v>0.4631394802579741</v>
      </c>
      <c r="K58" s="453" t="n">
        <v>0.7891019668812888</v>
      </c>
      <c r="L58" s="453" t="n">
        <v>0.5129162784728377</v>
      </c>
      <c r="M58" s="972" t="inlineStr">
        <is>
          <t>Yes</t>
        </is>
      </c>
    </row>
    <row r="59" ht="15" customHeight="1" s="508">
      <c r="A59" s="972" t="inlineStr">
        <is>
          <t>Cybercriminal</t>
        </is>
      </c>
      <c r="B59" s="972" t="inlineStr">
        <is>
          <t>Safety System Compromise</t>
        </is>
      </c>
      <c r="C59" s="972" t="inlineStr">
        <is>
          <t>S4</t>
        </is>
      </c>
      <c r="D59" s="972" t="inlineStr">
        <is>
          <t>Yes</t>
        </is>
      </c>
      <c r="E59" s="972" t="n">
        <v>16</v>
      </c>
      <c r="F59" s="972" t="n">
        <v>0</v>
      </c>
      <c r="G59" s="972" t="n">
        <v>18</v>
      </c>
      <c r="H59" s="453" t="n">
        <v>0.65</v>
      </c>
      <c r="I59" s="453" t="n">
        <v>0.2680316949029872</v>
      </c>
      <c r="J59" s="453" t="n">
        <v>0.3878659755036429</v>
      </c>
      <c r="K59" s="453" t="n">
        <v>0.8362848776836407</v>
      </c>
      <c r="L59" s="453" t="n">
        <v>0.5435851704943665</v>
      </c>
      <c r="M59" s="972" t="inlineStr">
        <is>
          <t>Yes</t>
        </is>
      </c>
    </row>
    <row r="60" ht="15" customHeight="1" s="508">
      <c r="A60" s="972" t="inlineStr">
        <is>
          <t>Cybercriminal</t>
        </is>
      </c>
      <c r="B60" s="972" t="inlineStr">
        <is>
          <t>Safety System Compromise</t>
        </is>
      </c>
      <c r="C60" s="972" t="inlineStr">
        <is>
          <t>S5</t>
        </is>
      </c>
      <c r="D60" s="972" t="inlineStr">
        <is>
          <t>Yes</t>
        </is>
      </c>
      <c r="E60" s="972" t="n">
        <v>10</v>
      </c>
      <c r="F60" s="972" t="n">
        <v>5</v>
      </c>
      <c r="G60" s="972" t="n">
        <v>11</v>
      </c>
      <c r="H60" s="453" t="n">
        <v>0.3575</v>
      </c>
      <c r="I60" s="453" t="n">
        <v>0.2459334673736147</v>
      </c>
      <c r="J60" s="453" t="n">
        <v>0.3571292296924271</v>
      </c>
      <c r="K60" s="453" t="n">
        <v>0.8525385261012424</v>
      </c>
      <c r="L60" s="453" t="n">
        <v>0.3047825230811942</v>
      </c>
      <c r="M60" s="972" t="inlineStr">
        <is>
          <t>Yes</t>
        </is>
      </c>
    </row>
    <row r="61" ht="15" customHeight="1" s="508">
      <c r="A61" s="972" t="inlineStr">
        <is>
          <t>Cybercriminal</t>
        </is>
      </c>
      <c r="B61" s="972" t="inlineStr">
        <is>
          <t>Destructive or Integrity Attack</t>
        </is>
      </c>
      <c r="C61" s="972" t="inlineStr">
        <is>
          <t>S1</t>
        </is>
      </c>
      <c r="D61" s="972" t="inlineStr">
        <is>
          <t>Yes</t>
        </is>
      </c>
      <c r="E61" s="972" t="n">
        <v>10</v>
      </c>
      <c r="F61" s="972" t="n">
        <v>0</v>
      </c>
      <c r="G61" s="972" t="n">
        <v>26</v>
      </c>
      <c r="H61" s="453" t="n">
        <v>0.8</v>
      </c>
      <c r="I61" s="453" t="n">
        <v>0.3671621440095315</v>
      </c>
      <c r="J61" s="453" t="n">
        <v>0.5284263890098899</v>
      </c>
      <c r="K61" s="453" t="n">
        <v>0.7451728851650945</v>
      </c>
      <c r="L61" s="453" t="n">
        <v>0.5961383081320756</v>
      </c>
      <c r="M61" s="972" t="inlineStr">
        <is>
          <t>Yes</t>
        </is>
      </c>
    </row>
    <row r="62" ht="15" customHeight="1" s="508">
      <c r="A62" s="972" t="inlineStr">
        <is>
          <t>Cybercriminal</t>
        </is>
      </c>
      <c r="B62" s="972" t="inlineStr">
        <is>
          <t>Destructive or Integrity Attack</t>
        </is>
      </c>
      <c r="C62" s="972" t="inlineStr">
        <is>
          <t>S2</t>
        </is>
      </c>
      <c r="D62" s="972" t="inlineStr">
        <is>
          <t>Yes</t>
        </is>
      </c>
      <c r="E62" s="972" t="n">
        <v>16</v>
      </c>
      <c r="F62" s="972" t="n">
        <v>0</v>
      </c>
      <c r="G62" s="972" t="n">
        <v>20</v>
      </c>
      <c r="H62" s="453" t="n">
        <v>0.8</v>
      </c>
      <c r="I62" s="453" t="n">
        <v>0.3175170740264485</v>
      </c>
      <c r="J62" s="453" t="n">
        <v>0.4642890176986266</v>
      </c>
      <c r="K62" s="453" t="n">
        <v>0.7849441530528986</v>
      </c>
      <c r="L62" s="453" t="n">
        <v>0.6279553224423189</v>
      </c>
      <c r="M62" s="972" t="inlineStr">
        <is>
          <t>Yes</t>
        </is>
      </c>
    </row>
    <row r="63" ht="15" customHeight="1" s="508">
      <c r="A63" s="972" t="inlineStr">
        <is>
          <t>Cybercriminal</t>
        </is>
      </c>
      <c r="B63" s="972" t="inlineStr">
        <is>
          <t>Destructive or Integrity Attack</t>
        </is>
      </c>
      <c r="C63" s="972" t="inlineStr">
        <is>
          <t>S3</t>
        </is>
      </c>
      <c r="D63" s="972" t="inlineStr">
        <is>
          <t>Yes</t>
        </is>
      </c>
      <c r="E63" s="972" t="n">
        <v>10</v>
      </c>
      <c r="F63" s="972" t="n">
        <v>0</v>
      </c>
      <c r="G63" s="972" t="n">
        <v>17</v>
      </c>
      <c r="H63" s="453" t="n">
        <v>0.65</v>
      </c>
      <c r="I63" s="453" t="n">
        <v>0.319656340657949</v>
      </c>
      <c r="J63" s="453" t="n">
        <v>0.4631394802579741</v>
      </c>
      <c r="K63" s="453" t="n">
        <v>0.7891019668812888</v>
      </c>
      <c r="L63" s="453" t="n">
        <v>0.5129162784728377</v>
      </c>
      <c r="M63" s="972" t="inlineStr">
        <is>
          <t>Yes</t>
        </is>
      </c>
    </row>
    <row r="64" ht="15" customHeight="1" s="508">
      <c r="A64" s="972" t="inlineStr">
        <is>
          <t>Cybercriminal</t>
        </is>
      </c>
      <c r="B64" s="972" t="inlineStr">
        <is>
          <t>Destructive or Integrity Attack</t>
        </is>
      </c>
      <c r="C64" s="972" t="inlineStr">
        <is>
          <t>S4</t>
        </is>
      </c>
      <c r="D64" s="972" t="inlineStr">
        <is>
          <t>Yes</t>
        </is>
      </c>
      <c r="E64" s="972" t="n">
        <v>16</v>
      </c>
      <c r="F64" s="972" t="n">
        <v>0</v>
      </c>
      <c r="G64" s="972" t="n">
        <v>18</v>
      </c>
      <c r="H64" s="453" t="n">
        <v>0.65</v>
      </c>
      <c r="I64" s="453" t="n">
        <v>0.2680316949029872</v>
      </c>
      <c r="J64" s="453" t="n">
        <v>0.3878659755036429</v>
      </c>
      <c r="K64" s="453" t="n">
        <v>0.8362848776836407</v>
      </c>
      <c r="L64" s="453" t="n">
        <v>0.5435851704943665</v>
      </c>
      <c r="M64" s="972" t="inlineStr">
        <is>
          <t>Yes</t>
        </is>
      </c>
    </row>
    <row r="65" ht="15" customHeight="1" s="508">
      <c r="A65" s="972" t="inlineStr">
        <is>
          <t>Cybercriminal</t>
        </is>
      </c>
      <c r="B65" s="972" t="inlineStr">
        <is>
          <t>Destructive or Integrity Attack</t>
        </is>
      </c>
      <c r="C65" s="972" t="inlineStr">
        <is>
          <t>S5</t>
        </is>
      </c>
      <c r="D65" s="972" t="inlineStr">
        <is>
          <t>Yes</t>
        </is>
      </c>
      <c r="E65" s="972" t="n">
        <v>8</v>
      </c>
      <c r="F65" s="972" t="n">
        <v>3</v>
      </c>
      <c r="G65" s="972" t="n">
        <v>16</v>
      </c>
      <c r="H65" s="453" t="n">
        <v>0.39</v>
      </c>
      <c r="I65" s="453" t="n">
        <v>0.3565297403089489</v>
      </c>
      <c r="J65" s="453" t="n">
        <v>0.5161011377979379</v>
      </c>
      <c r="K65" s="453" t="n">
        <v>0.7520143393020156</v>
      </c>
      <c r="L65" s="453" t="n">
        <v>0.2932855923277861</v>
      </c>
      <c r="M65" s="972" t="inlineStr">
        <is>
          <t>Yes</t>
        </is>
      </c>
    </row>
    <row r="66" ht="15" customHeight="1" s="508">
      <c r="A66" s="972" t="inlineStr">
        <is>
          <t>Malicious Insider</t>
        </is>
      </c>
      <c r="B66" s="972" t="inlineStr">
        <is>
          <t>Operational Disruption</t>
        </is>
      </c>
      <c r="C66" s="972" t="inlineStr">
        <is>
          <t>S1</t>
        </is>
      </c>
      <c r="D66" s="972" t="inlineStr">
        <is>
          <t>No</t>
        </is>
      </c>
      <c r="E66" s="972" t="n">
        <v>0</v>
      </c>
      <c r="F66" s="972" t="n">
        <v>0</v>
      </c>
      <c r="G66" s="972" t="n">
        <v>0</v>
      </c>
      <c r="H66" s="453" t="n">
        <v>1</v>
      </c>
      <c r="I66" s="453" t="n">
        <v>0</v>
      </c>
      <c r="J66" s="453" t="n">
        <v>0</v>
      </c>
      <c r="K66" s="453" t="n">
        <v>1</v>
      </c>
      <c r="L66" s="453" t="n">
        <v>1</v>
      </c>
      <c r="M66" s="972" t="inlineStr">
        <is>
          <t>Yes</t>
        </is>
      </c>
    </row>
    <row r="67" ht="15" customHeight="1" s="508">
      <c r="A67" s="972" t="inlineStr">
        <is>
          <t>Malicious Insider</t>
        </is>
      </c>
      <c r="B67" s="972" t="inlineStr">
        <is>
          <t>Operational Disruption</t>
        </is>
      </c>
      <c r="C67" s="972" t="inlineStr">
        <is>
          <t>S2</t>
        </is>
      </c>
      <c r="D67" s="972" t="inlineStr">
        <is>
          <t>Yes</t>
        </is>
      </c>
      <c r="E67" s="972" t="n">
        <v>17</v>
      </c>
      <c r="F67" s="972" t="n">
        <v>0</v>
      </c>
      <c r="G67" s="972" t="n">
        <v>20</v>
      </c>
      <c r="H67" s="453" t="n">
        <v>0.9</v>
      </c>
      <c r="I67" s="453" t="n">
        <v>0.3240914373190104</v>
      </c>
      <c r="J67" s="453" t="n">
        <v>0.4723430184957663</v>
      </c>
      <c r="K67" s="453" t="n">
        <v>0.7806632592599267</v>
      </c>
      <c r="L67" s="453" t="n">
        <v>0.7025969333339341</v>
      </c>
      <c r="M67" s="972" t="inlineStr">
        <is>
          <t>Yes</t>
        </is>
      </c>
    </row>
    <row r="68" ht="15" customHeight="1" s="508">
      <c r="A68" s="972" t="inlineStr">
        <is>
          <t>Malicious Insider</t>
        </is>
      </c>
      <c r="B68" s="972" t="inlineStr">
        <is>
          <t>Operational Disruption</t>
        </is>
      </c>
      <c r="C68" s="972" t="inlineStr">
        <is>
          <t>S3</t>
        </is>
      </c>
      <c r="D68" s="972" t="inlineStr">
        <is>
          <t>Yes</t>
        </is>
      </c>
      <c r="E68" s="972" t="n">
        <v>10</v>
      </c>
      <c r="F68" s="972" t="n">
        <v>0</v>
      </c>
      <c r="G68" s="972" t="n">
        <v>17</v>
      </c>
      <c r="H68" s="453" t="n">
        <v>0.8</v>
      </c>
      <c r="I68" s="453" t="n">
        <v>0.319656340657949</v>
      </c>
      <c r="J68" s="453" t="n">
        <v>0.4631394802579741</v>
      </c>
      <c r="K68" s="453" t="n">
        <v>0.7891019668812888</v>
      </c>
      <c r="L68" s="453" t="n">
        <v>0.631281573505031</v>
      </c>
      <c r="M68" s="972" t="inlineStr">
        <is>
          <t>Yes</t>
        </is>
      </c>
    </row>
    <row r="69" ht="15" customHeight="1" s="508">
      <c r="A69" s="972" t="inlineStr">
        <is>
          <t>Malicious Insider</t>
        </is>
      </c>
      <c r="B69" s="972" t="inlineStr">
        <is>
          <t>Operational Disruption</t>
        </is>
      </c>
      <c r="C69" s="972" t="inlineStr">
        <is>
          <t>S4</t>
        </is>
      </c>
      <c r="D69" s="972" t="inlineStr">
        <is>
          <t>Yes</t>
        </is>
      </c>
      <c r="E69" s="972" t="n">
        <v>16</v>
      </c>
      <c r="F69" s="972" t="n">
        <v>0</v>
      </c>
      <c r="G69" s="972" t="n">
        <v>18</v>
      </c>
      <c r="H69" s="453" t="n">
        <v>0.75</v>
      </c>
      <c r="I69" s="453" t="n">
        <v>0.2680316949029872</v>
      </c>
      <c r="J69" s="453" t="n">
        <v>0.3878659755036429</v>
      </c>
      <c r="K69" s="453" t="n">
        <v>0.8362848776836407</v>
      </c>
      <c r="L69" s="453" t="n">
        <v>0.6272136582627306</v>
      </c>
      <c r="M69" s="972" t="inlineStr">
        <is>
          <t>Yes</t>
        </is>
      </c>
    </row>
    <row r="70" ht="15" customHeight="1" s="508">
      <c r="A70" s="972" t="inlineStr">
        <is>
          <t>Malicious Insider</t>
        </is>
      </c>
      <c r="B70" s="972" t="inlineStr">
        <is>
          <t>Operational Disruption</t>
        </is>
      </c>
      <c r="C70" s="972" t="inlineStr">
        <is>
          <t>S5</t>
        </is>
      </c>
      <c r="D70" s="972" t="inlineStr">
        <is>
          <t>Yes</t>
        </is>
      </c>
      <c r="E70" s="972" t="n">
        <v>7</v>
      </c>
      <c r="F70" s="972" t="n">
        <v>4</v>
      </c>
      <c r="G70" s="972" t="n">
        <v>13</v>
      </c>
      <c r="H70" s="453" t="n">
        <v>0.7124999999999999</v>
      </c>
      <c r="I70" s="453" t="n">
        <v>0.258546767507582</v>
      </c>
      <c r="J70" s="453" t="n">
        <v>0.3732527189160769</v>
      </c>
      <c r="K70" s="453" t="n">
        <v>0.8452957700070883</v>
      </c>
      <c r="L70" s="453" t="n">
        <v>0.6022732361300503</v>
      </c>
      <c r="M70" s="972" t="inlineStr">
        <is>
          <t>Yes</t>
        </is>
      </c>
    </row>
    <row r="71" ht="15" customHeight="1" s="508">
      <c r="A71" s="972" t="inlineStr">
        <is>
          <t>Malicious Insider</t>
        </is>
      </c>
      <c r="B71" s="972" t="inlineStr">
        <is>
          <t>Loss of Control or Visibility</t>
        </is>
      </c>
      <c r="C71" s="972" t="inlineStr">
        <is>
          <t>S1</t>
        </is>
      </c>
      <c r="D71" s="972" t="inlineStr">
        <is>
          <t>No</t>
        </is>
      </c>
      <c r="E71" s="972" t="n">
        <v>0</v>
      </c>
      <c r="F71" s="972" t="n">
        <v>0</v>
      </c>
      <c r="G71" s="972" t="n">
        <v>0</v>
      </c>
      <c r="H71" s="453" t="n">
        <v>1</v>
      </c>
      <c r="I71" s="453" t="n">
        <v>0</v>
      </c>
      <c r="J71" s="453" t="n">
        <v>0</v>
      </c>
      <c r="K71" s="453" t="n">
        <v>1</v>
      </c>
      <c r="L71" s="453" t="n">
        <v>1</v>
      </c>
      <c r="M71" s="972" t="inlineStr">
        <is>
          <t>Yes</t>
        </is>
      </c>
    </row>
    <row r="72" ht="15" customHeight="1" s="508">
      <c r="A72" s="972" t="inlineStr">
        <is>
          <t>Malicious Insider</t>
        </is>
      </c>
      <c r="B72" s="972" t="inlineStr">
        <is>
          <t>Loss of Control or Visibility</t>
        </is>
      </c>
      <c r="C72" s="972" t="inlineStr">
        <is>
          <t>S2</t>
        </is>
      </c>
      <c r="D72" s="972" t="inlineStr">
        <is>
          <t>Yes</t>
        </is>
      </c>
      <c r="E72" s="972" t="n">
        <v>17</v>
      </c>
      <c r="F72" s="972" t="n">
        <v>0</v>
      </c>
      <c r="G72" s="972" t="n">
        <v>20</v>
      </c>
      <c r="H72" s="453" t="n">
        <v>0.9</v>
      </c>
      <c r="I72" s="453" t="n">
        <v>0.3240914373190104</v>
      </c>
      <c r="J72" s="453" t="n">
        <v>0.4723430184957663</v>
      </c>
      <c r="K72" s="453" t="n">
        <v>0.7806632592599267</v>
      </c>
      <c r="L72" s="453" t="n">
        <v>0.7025969333339341</v>
      </c>
      <c r="M72" s="972" t="inlineStr">
        <is>
          <t>Yes</t>
        </is>
      </c>
    </row>
    <row r="73" ht="15" customHeight="1" s="508">
      <c r="A73" s="972" t="inlineStr">
        <is>
          <t>Malicious Insider</t>
        </is>
      </c>
      <c r="B73" s="972" t="inlineStr">
        <is>
          <t>Loss of Control or Visibility</t>
        </is>
      </c>
      <c r="C73" s="972" t="inlineStr">
        <is>
          <t>S3</t>
        </is>
      </c>
      <c r="D73" s="972" t="inlineStr">
        <is>
          <t>Yes</t>
        </is>
      </c>
      <c r="E73" s="972" t="n">
        <v>10</v>
      </c>
      <c r="F73" s="972" t="n">
        <v>0</v>
      </c>
      <c r="G73" s="972" t="n">
        <v>17</v>
      </c>
      <c r="H73" s="453" t="n">
        <v>0.8</v>
      </c>
      <c r="I73" s="453" t="n">
        <v>0.319656340657949</v>
      </c>
      <c r="J73" s="453" t="n">
        <v>0.4631394802579741</v>
      </c>
      <c r="K73" s="453" t="n">
        <v>0.7891019668812888</v>
      </c>
      <c r="L73" s="453" t="n">
        <v>0.631281573505031</v>
      </c>
      <c r="M73" s="972" t="inlineStr">
        <is>
          <t>Yes</t>
        </is>
      </c>
    </row>
    <row r="74" ht="15" customHeight="1" s="508">
      <c r="A74" s="972" t="inlineStr">
        <is>
          <t>Malicious Insider</t>
        </is>
      </c>
      <c r="B74" s="972" t="inlineStr">
        <is>
          <t>Loss of Control or Visibility</t>
        </is>
      </c>
      <c r="C74" s="972" t="inlineStr">
        <is>
          <t>S4</t>
        </is>
      </c>
      <c r="D74" s="972" t="inlineStr">
        <is>
          <t>Yes</t>
        </is>
      </c>
      <c r="E74" s="972" t="n">
        <v>16</v>
      </c>
      <c r="F74" s="972" t="n">
        <v>0</v>
      </c>
      <c r="G74" s="972" t="n">
        <v>18</v>
      </c>
      <c r="H74" s="453" t="n">
        <v>0.75</v>
      </c>
      <c r="I74" s="453" t="n">
        <v>0.2680316949029872</v>
      </c>
      <c r="J74" s="453" t="n">
        <v>0.3878659755036429</v>
      </c>
      <c r="K74" s="453" t="n">
        <v>0.8362848776836407</v>
      </c>
      <c r="L74" s="453" t="n">
        <v>0.6272136582627306</v>
      </c>
      <c r="M74" s="972" t="inlineStr">
        <is>
          <t>Yes</t>
        </is>
      </c>
    </row>
    <row r="75" ht="15" customHeight="1" s="508">
      <c r="A75" s="972" t="inlineStr">
        <is>
          <t>Malicious Insider</t>
        </is>
      </c>
      <c r="B75" s="972" t="inlineStr">
        <is>
          <t>Loss of Control or Visibility</t>
        </is>
      </c>
      <c r="C75" s="972" t="inlineStr">
        <is>
          <t>S5</t>
        </is>
      </c>
      <c r="D75" s="972" t="inlineStr">
        <is>
          <t>Yes</t>
        </is>
      </c>
      <c r="E75" s="972" t="n">
        <v>9</v>
      </c>
      <c r="F75" s="972" t="n">
        <v>4</v>
      </c>
      <c r="G75" s="972" t="n">
        <v>7</v>
      </c>
      <c r="H75" s="453" t="n">
        <v>0.6375</v>
      </c>
      <c r="I75" s="453" t="n">
        <v>0.185928882633845</v>
      </c>
      <c r="J75" s="453" t="n">
        <v>0.2726130169573426</v>
      </c>
      <c r="K75" s="453" t="n">
        <v>0.8935177376100071</v>
      </c>
      <c r="L75" s="453" t="n">
        <v>0.5696175577263795</v>
      </c>
      <c r="M75" s="972" t="inlineStr">
        <is>
          <t>Yes</t>
        </is>
      </c>
    </row>
    <row r="76" ht="15" customHeight="1" s="508">
      <c r="A76" s="972" t="inlineStr">
        <is>
          <t>Malicious Insider</t>
        </is>
      </c>
      <c r="B76" s="972" t="inlineStr">
        <is>
          <t>Process Manipulation</t>
        </is>
      </c>
      <c r="C76" s="972" t="inlineStr">
        <is>
          <t>S1</t>
        </is>
      </c>
      <c r="D76" s="972" t="inlineStr">
        <is>
          <t>No</t>
        </is>
      </c>
      <c r="E76" s="972" t="n">
        <v>0</v>
      </c>
      <c r="F76" s="972" t="n">
        <v>0</v>
      </c>
      <c r="G76" s="972" t="n">
        <v>0</v>
      </c>
      <c r="H76" s="453" t="n">
        <v>1</v>
      </c>
      <c r="I76" s="453" t="n">
        <v>0</v>
      </c>
      <c r="J76" s="453" t="n">
        <v>0</v>
      </c>
      <c r="K76" s="453" t="n">
        <v>1</v>
      </c>
      <c r="L76" s="453" t="n">
        <v>1</v>
      </c>
      <c r="M76" s="972" t="inlineStr">
        <is>
          <t>Yes</t>
        </is>
      </c>
    </row>
    <row r="77" ht="15" customHeight="1" s="508">
      <c r="A77" s="972" t="inlineStr">
        <is>
          <t>Malicious Insider</t>
        </is>
      </c>
      <c r="B77" s="972" t="inlineStr">
        <is>
          <t>Process Manipulation</t>
        </is>
      </c>
      <c r="C77" s="972" t="inlineStr">
        <is>
          <t>S2</t>
        </is>
      </c>
      <c r="D77" s="972" t="inlineStr">
        <is>
          <t>Yes</t>
        </is>
      </c>
      <c r="E77" s="972" t="n">
        <v>15</v>
      </c>
      <c r="F77" s="972" t="n">
        <v>0</v>
      </c>
      <c r="G77" s="972" t="n">
        <v>20</v>
      </c>
      <c r="H77" s="453" t="n">
        <v>0.9</v>
      </c>
      <c r="I77" s="453" t="n">
        <v>0.3186848789615451</v>
      </c>
      <c r="J77" s="453" t="n">
        <v>0.465241618878535</v>
      </c>
      <c r="K77" s="453" t="n">
        <v>0.7848914028304415</v>
      </c>
      <c r="L77" s="453" t="n">
        <v>0.7064022625473974</v>
      </c>
      <c r="M77" s="972" t="inlineStr">
        <is>
          <t>Yes</t>
        </is>
      </c>
    </row>
    <row r="78" ht="15" customHeight="1" s="508">
      <c r="A78" s="972" t="inlineStr">
        <is>
          <t>Malicious Insider</t>
        </is>
      </c>
      <c r="B78" s="972" t="inlineStr">
        <is>
          <t>Process Manipulation</t>
        </is>
      </c>
      <c r="C78" s="972" t="inlineStr">
        <is>
          <t>S3</t>
        </is>
      </c>
      <c r="D78" s="972" t="inlineStr">
        <is>
          <t>Yes</t>
        </is>
      </c>
      <c r="E78" s="972" t="n">
        <v>9</v>
      </c>
      <c r="F78" s="972" t="n">
        <v>0</v>
      </c>
      <c r="G78" s="972" t="n">
        <v>17</v>
      </c>
      <c r="H78" s="453" t="n">
        <v>0.8</v>
      </c>
      <c r="I78" s="453" t="n">
        <v>0.3142175234649575</v>
      </c>
      <c r="J78" s="453" t="n">
        <v>0.455705914537895</v>
      </c>
      <c r="K78" s="453" t="n">
        <v>0.7936832801738882</v>
      </c>
      <c r="L78" s="453" t="n">
        <v>0.6349466241391106</v>
      </c>
      <c r="M78" s="972" t="inlineStr">
        <is>
          <t>Yes</t>
        </is>
      </c>
    </row>
    <row r="79" ht="15" customHeight="1" s="508">
      <c r="A79" s="972" t="inlineStr">
        <is>
          <t>Malicious Insider</t>
        </is>
      </c>
      <c r="B79" s="972" t="inlineStr">
        <is>
          <t>Process Manipulation</t>
        </is>
      </c>
      <c r="C79" s="972" t="inlineStr">
        <is>
          <t>S4</t>
        </is>
      </c>
      <c r="D79" s="972" t="inlineStr">
        <is>
          <t>Yes</t>
        </is>
      </c>
      <c r="E79" s="972" t="n">
        <v>16</v>
      </c>
      <c r="F79" s="972" t="n">
        <v>0</v>
      </c>
      <c r="G79" s="972" t="n">
        <v>18</v>
      </c>
      <c r="H79" s="453" t="n">
        <v>0.75</v>
      </c>
      <c r="I79" s="453" t="n">
        <v>0.2680316949029872</v>
      </c>
      <c r="J79" s="453" t="n">
        <v>0.3878659755036429</v>
      </c>
      <c r="K79" s="453" t="n">
        <v>0.8362848776836407</v>
      </c>
      <c r="L79" s="453" t="n">
        <v>0.6272136582627306</v>
      </c>
      <c r="M79" s="972" t="inlineStr">
        <is>
          <t>Yes</t>
        </is>
      </c>
    </row>
    <row r="80" ht="15" customHeight="1" s="508">
      <c r="A80" s="972" t="inlineStr">
        <is>
          <t>Malicious Insider</t>
        </is>
      </c>
      <c r="B80" s="972" t="inlineStr">
        <is>
          <t>Process Manipulation</t>
        </is>
      </c>
      <c r="C80" s="972" t="inlineStr">
        <is>
          <t>S5</t>
        </is>
      </c>
      <c r="D80" s="972" t="inlineStr">
        <is>
          <t>Yes</t>
        </is>
      </c>
      <c r="E80" s="972" t="n">
        <v>9</v>
      </c>
      <c r="F80" s="972" t="n">
        <v>3</v>
      </c>
      <c r="G80" s="972" t="n">
        <v>11</v>
      </c>
      <c r="H80" s="453" t="n">
        <v>0.5249999999999999</v>
      </c>
      <c r="I80" s="453" t="n">
        <v>0.3577279311857932</v>
      </c>
      <c r="J80" s="453" t="n">
        <v>0.5174896872273195</v>
      </c>
      <c r="K80" s="453" t="n">
        <v>0.7512553265215377</v>
      </c>
      <c r="L80" s="453" t="n">
        <v>0.3944090464238073</v>
      </c>
      <c r="M80" s="972" t="inlineStr">
        <is>
          <t>Yes</t>
        </is>
      </c>
    </row>
    <row r="81" ht="15" customHeight="1" s="508">
      <c r="A81" s="972" t="inlineStr">
        <is>
          <t>Malicious Insider</t>
        </is>
      </c>
      <c r="B81" s="972" t="inlineStr">
        <is>
          <t>Safety System Compromise</t>
        </is>
      </c>
      <c r="C81" s="972" t="inlineStr">
        <is>
          <t>S1</t>
        </is>
      </c>
      <c r="D81" s="972" t="inlineStr">
        <is>
          <t>No</t>
        </is>
      </c>
      <c r="E81" s="972" t="n">
        <v>0</v>
      </c>
      <c r="F81" s="972" t="n">
        <v>0</v>
      </c>
      <c r="G81" s="972" t="n">
        <v>0</v>
      </c>
      <c r="H81" s="453" t="n">
        <v>1</v>
      </c>
      <c r="I81" s="453" t="n">
        <v>0</v>
      </c>
      <c r="J81" s="453" t="n">
        <v>0</v>
      </c>
      <c r="K81" s="453" t="n">
        <v>1</v>
      </c>
      <c r="L81" s="453" t="n">
        <v>1</v>
      </c>
      <c r="M81" s="972" t="inlineStr">
        <is>
          <t>Yes</t>
        </is>
      </c>
    </row>
    <row r="82" ht="15" customHeight="1" s="508">
      <c r="A82" s="972" t="inlineStr">
        <is>
          <t>Malicious Insider</t>
        </is>
      </c>
      <c r="B82" s="972" t="inlineStr">
        <is>
          <t>Safety System Compromise</t>
        </is>
      </c>
      <c r="C82" s="972" t="inlineStr">
        <is>
          <t>S2</t>
        </is>
      </c>
      <c r="D82" s="972" t="inlineStr">
        <is>
          <t>Yes</t>
        </is>
      </c>
      <c r="E82" s="972" t="n">
        <v>18</v>
      </c>
      <c r="F82" s="972" t="n">
        <v>0</v>
      </c>
      <c r="G82" s="972" t="n">
        <v>20</v>
      </c>
      <c r="H82" s="453" t="n">
        <v>0.9</v>
      </c>
      <c r="I82" s="453" t="n">
        <v>0.3227530241346209</v>
      </c>
      <c r="J82" s="453" t="n">
        <v>0.4711017396904459</v>
      </c>
      <c r="K82" s="453" t="n">
        <v>0.780953299398249</v>
      </c>
      <c r="L82" s="453" t="n">
        <v>0.702857969458424</v>
      </c>
      <c r="M82" s="972" t="inlineStr">
        <is>
          <t>Yes</t>
        </is>
      </c>
    </row>
    <row r="83" ht="15" customHeight="1" s="508">
      <c r="A83" s="972" t="inlineStr">
        <is>
          <t>Malicious Insider</t>
        </is>
      </c>
      <c r="B83" s="972" t="inlineStr">
        <is>
          <t>Safety System Compromise</t>
        </is>
      </c>
      <c r="C83" s="972" t="inlineStr">
        <is>
          <t>S3</t>
        </is>
      </c>
      <c r="D83" s="972" t="inlineStr">
        <is>
          <t>Yes</t>
        </is>
      </c>
      <c r="E83" s="972" t="n">
        <v>10</v>
      </c>
      <c r="F83" s="972" t="n">
        <v>0</v>
      </c>
      <c r="G83" s="972" t="n">
        <v>17</v>
      </c>
      <c r="H83" s="453" t="n">
        <v>0.8</v>
      </c>
      <c r="I83" s="453" t="n">
        <v>0.319656340657949</v>
      </c>
      <c r="J83" s="453" t="n">
        <v>0.4631394802579741</v>
      </c>
      <c r="K83" s="453" t="n">
        <v>0.7891019668812888</v>
      </c>
      <c r="L83" s="453" t="n">
        <v>0.631281573505031</v>
      </c>
      <c r="M83" s="972" t="inlineStr">
        <is>
          <t>Yes</t>
        </is>
      </c>
    </row>
    <row r="84" ht="15" customHeight="1" s="508">
      <c r="A84" s="972" t="inlineStr">
        <is>
          <t>Malicious Insider</t>
        </is>
      </c>
      <c r="B84" s="972" t="inlineStr">
        <is>
          <t>Safety System Compromise</t>
        </is>
      </c>
      <c r="C84" s="972" t="inlineStr">
        <is>
          <t>S4</t>
        </is>
      </c>
      <c r="D84" s="972" t="inlineStr">
        <is>
          <t>Yes</t>
        </is>
      </c>
      <c r="E84" s="972" t="n">
        <v>16</v>
      </c>
      <c r="F84" s="972" t="n">
        <v>0</v>
      </c>
      <c r="G84" s="972" t="n">
        <v>18</v>
      </c>
      <c r="H84" s="453" t="n">
        <v>0.75</v>
      </c>
      <c r="I84" s="453" t="n">
        <v>0.2680316949029872</v>
      </c>
      <c r="J84" s="453" t="n">
        <v>0.3878659755036429</v>
      </c>
      <c r="K84" s="453" t="n">
        <v>0.8362848776836407</v>
      </c>
      <c r="L84" s="453" t="n">
        <v>0.6272136582627306</v>
      </c>
      <c r="M84" s="972" t="inlineStr">
        <is>
          <t>Yes</t>
        </is>
      </c>
    </row>
    <row r="85" ht="15" customHeight="1" s="508">
      <c r="A85" s="972" t="inlineStr">
        <is>
          <t>Malicious Insider</t>
        </is>
      </c>
      <c r="B85" s="972" t="inlineStr">
        <is>
          <t>Safety System Compromise</t>
        </is>
      </c>
      <c r="C85" s="972" t="inlineStr">
        <is>
          <t>S5</t>
        </is>
      </c>
      <c r="D85" s="972" t="inlineStr">
        <is>
          <t>Yes</t>
        </is>
      </c>
      <c r="E85" s="972" t="n">
        <v>10</v>
      </c>
      <c r="F85" s="972" t="n">
        <v>5</v>
      </c>
      <c r="G85" s="972" t="n">
        <v>11</v>
      </c>
      <c r="H85" s="453" t="n">
        <v>0.4125</v>
      </c>
      <c r="I85" s="453" t="n">
        <v>0.2459334673736147</v>
      </c>
      <c r="J85" s="453" t="n">
        <v>0.3571292296924271</v>
      </c>
      <c r="K85" s="453" t="n">
        <v>0.8525385261012424</v>
      </c>
      <c r="L85" s="453" t="n">
        <v>0.3516721420167625</v>
      </c>
      <c r="M85" s="972" t="inlineStr">
        <is>
          <t>Yes</t>
        </is>
      </c>
    </row>
    <row r="86" ht="15" customHeight="1" s="508">
      <c r="A86" s="972" t="inlineStr">
        <is>
          <t>Malicious Insider</t>
        </is>
      </c>
      <c r="B86" s="972" t="inlineStr">
        <is>
          <t>Destructive or Integrity Attack</t>
        </is>
      </c>
      <c r="C86" s="972" t="inlineStr">
        <is>
          <t>S1</t>
        </is>
      </c>
      <c r="D86" s="972" t="inlineStr">
        <is>
          <t>No</t>
        </is>
      </c>
      <c r="E86" s="972" t="n">
        <v>0</v>
      </c>
      <c r="F86" s="972" t="n">
        <v>0</v>
      </c>
      <c r="G86" s="972" t="n">
        <v>0</v>
      </c>
      <c r="H86" s="453" t="n">
        <v>1</v>
      </c>
      <c r="I86" s="453" t="n">
        <v>0</v>
      </c>
      <c r="J86" s="453" t="n">
        <v>0</v>
      </c>
      <c r="K86" s="453" t="n">
        <v>1</v>
      </c>
      <c r="L86" s="453" t="n">
        <v>1</v>
      </c>
      <c r="M86" s="972" t="inlineStr">
        <is>
          <t>Yes</t>
        </is>
      </c>
    </row>
    <row r="87" ht="15" customHeight="1" s="508">
      <c r="A87" s="972" t="inlineStr">
        <is>
          <t>Malicious Insider</t>
        </is>
      </c>
      <c r="B87" s="972" t="inlineStr">
        <is>
          <t>Destructive or Integrity Attack</t>
        </is>
      </c>
      <c r="C87" s="972" t="inlineStr">
        <is>
          <t>S2</t>
        </is>
      </c>
      <c r="D87" s="972" t="inlineStr">
        <is>
          <t>Yes</t>
        </is>
      </c>
      <c r="E87" s="972" t="n">
        <v>16</v>
      </c>
      <c r="F87" s="972" t="n">
        <v>0</v>
      </c>
      <c r="G87" s="972" t="n">
        <v>20</v>
      </c>
      <c r="H87" s="453" t="n">
        <v>0.9</v>
      </c>
      <c r="I87" s="453" t="n">
        <v>0.3175170740264485</v>
      </c>
      <c r="J87" s="453" t="n">
        <v>0.4642890176986266</v>
      </c>
      <c r="K87" s="453" t="n">
        <v>0.7849441530528986</v>
      </c>
      <c r="L87" s="453" t="n">
        <v>0.7064497377476087</v>
      </c>
      <c r="M87" s="972" t="inlineStr">
        <is>
          <t>Yes</t>
        </is>
      </c>
    </row>
    <row r="88" ht="15" customHeight="1" s="508">
      <c r="A88" s="972" t="inlineStr">
        <is>
          <t>Malicious Insider</t>
        </is>
      </c>
      <c r="B88" s="972" t="inlineStr">
        <is>
          <t>Destructive or Integrity Attack</t>
        </is>
      </c>
      <c r="C88" s="972" t="inlineStr">
        <is>
          <t>S3</t>
        </is>
      </c>
      <c r="D88" s="972" t="inlineStr">
        <is>
          <t>Yes</t>
        </is>
      </c>
      <c r="E88" s="972" t="n">
        <v>10</v>
      </c>
      <c r="F88" s="972" t="n">
        <v>0</v>
      </c>
      <c r="G88" s="972" t="n">
        <v>17</v>
      </c>
      <c r="H88" s="453" t="n">
        <v>0.8</v>
      </c>
      <c r="I88" s="453" t="n">
        <v>0.319656340657949</v>
      </c>
      <c r="J88" s="453" t="n">
        <v>0.4631394802579741</v>
      </c>
      <c r="K88" s="453" t="n">
        <v>0.7891019668812888</v>
      </c>
      <c r="L88" s="453" t="n">
        <v>0.631281573505031</v>
      </c>
      <c r="M88" s="972" t="inlineStr">
        <is>
          <t>Yes</t>
        </is>
      </c>
    </row>
    <row r="89" ht="15" customHeight="1" s="508">
      <c r="A89" s="972" t="inlineStr">
        <is>
          <t>Malicious Insider</t>
        </is>
      </c>
      <c r="B89" s="972" t="inlineStr">
        <is>
          <t>Destructive or Integrity Attack</t>
        </is>
      </c>
      <c r="C89" s="972" t="inlineStr">
        <is>
          <t>S4</t>
        </is>
      </c>
      <c r="D89" s="972" t="inlineStr">
        <is>
          <t>Yes</t>
        </is>
      </c>
      <c r="E89" s="972" t="n">
        <v>16</v>
      </c>
      <c r="F89" s="972" t="n">
        <v>0</v>
      </c>
      <c r="G89" s="972" t="n">
        <v>18</v>
      </c>
      <c r="H89" s="453" t="n">
        <v>0.75</v>
      </c>
      <c r="I89" s="453" t="n">
        <v>0.2680316949029872</v>
      </c>
      <c r="J89" s="453" t="n">
        <v>0.3878659755036429</v>
      </c>
      <c r="K89" s="453" t="n">
        <v>0.8362848776836407</v>
      </c>
      <c r="L89" s="453" t="n">
        <v>0.6272136582627306</v>
      </c>
      <c r="M89" s="972" t="inlineStr">
        <is>
          <t>Yes</t>
        </is>
      </c>
    </row>
    <row r="90" ht="15" customHeight="1" s="508">
      <c r="A90" s="972" t="inlineStr">
        <is>
          <t>Malicious Insider</t>
        </is>
      </c>
      <c r="B90" s="972" t="inlineStr">
        <is>
          <t>Destructive or Integrity Attack</t>
        </is>
      </c>
      <c r="C90" s="972" t="inlineStr">
        <is>
          <t>S5</t>
        </is>
      </c>
      <c r="D90" s="972" t="inlineStr">
        <is>
          <t>Yes</t>
        </is>
      </c>
      <c r="E90" s="972" t="n">
        <v>8</v>
      </c>
      <c r="F90" s="972" t="n">
        <v>3</v>
      </c>
      <c r="G90" s="972" t="n">
        <v>16</v>
      </c>
      <c r="H90" s="453" t="n">
        <v>0.45</v>
      </c>
      <c r="I90" s="453" t="n">
        <v>0.3565297403089489</v>
      </c>
      <c r="J90" s="453" t="n">
        <v>0.5161011377979379</v>
      </c>
      <c r="K90" s="453" t="n">
        <v>0.7520143393020156</v>
      </c>
      <c r="L90" s="453" t="n">
        <v>0.338406452685907</v>
      </c>
      <c r="M90" s="972" t="inlineStr">
        <is>
          <t>Yes</t>
        </is>
      </c>
    </row>
    <row r="91" ht="15" customHeight="1" s="508">
      <c r="H91" s="453" t="n"/>
      <c r="I91" s="453" t="n"/>
      <c r="J91" s="453" t="n"/>
      <c r="K91" s="453" t="n"/>
      <c r="L91" s="453" t="n"/>
    </row>
    <row r="92" ht="15" customHeight="1" s="508">
      <c r="A92" s="409" t="n"/>
      <c r="J92" s="453" t="n"/>
      <c r="K92" s="453" t="n"/>
      <c r="L92" s="453" t="n"/>
    </row>
    <row r="93" ht="15" customHeight="1" s="508">
      <c r="H93" s="453" t="n"/>
      <c r="I93" s="453" t="n"/>
      <c r="J93" s="453" t="n"/>
      <c r="K93" s="453" t="n"/>
      <c r="L93" s="453" t="n"/>
    </row>
    <row r="94" ht="15" customHeight="1" s="508">
      <c r="H94" s="453" t="n"/>
      <c r="I94" s="453" t="n"/>
      <c r="J94" s="453" t="n"/>
      <c r="K94" s="453" t="n"/>
      <c r="L94" s="453" t="n"/>
    </row>
    <row r="95" ht="15" customHeight="1" s="508">
      <c r="A95" s="451" t="inlineStr">
        <is>
          <t>Threat actor</t>
        </is>
      </c>
      <c r="B95" s="451" t="inlineStr">
        <is>
          <t>Scenario</t>
        </is>
      </c>
      <c r="C95" s="451" t="inlineStr">
        <is>
          <t>S1</t>
        </is>
      </c>
      <c r="D95" s="451" t="inlineStr">
        <is>
          <t>S2</t>
        </is>
      </c>
      <c r="E95" s="451" t="inlineStr">
        <is>
          <t>S3</t>
        </is>
      </c>
      <c r="F95" s="451" t="inlineStr">
        <is>
          <t>S4</t>
        </is>
      </c>
      <c r="G95" s="451" t="inlineStr">
        <is>
          <t>S5</t>
        </is>
      </c>
      <c r="H95" s="454" t="inlineStr">
        <is>
          <t>Overall P(success)</t>
        </is>
      </c>
      <c r="I95" s="454" t="inlineStr">
        <is>
          <t>Path valid</t>
        </is>
      </c>
      <c r="J95" s="453" t="n"/>
      <c r="K95" s="453" t="n"/>
      <c r="L95" s="453" t="n"/>
    </row>
    <row r="96" ht="15" customHeight="1" s="508">
      <c r="A96" s="972" t="inlineStr">
        <is>
          <t>Nation State</t>
        </is>
      </c>
      <c r="B96" s="972" t="inlineStr">
        <is>
          <t>Operational Disruption</t>
        </is>
      </c>
      <c r="C96" s="972" t="n">
        <v>0.5961383081320756</v>
      </c>
      <c r="D96" s="972" t="n">
        <v>0.6635637703709377</v>
      </c>
      <c r="E96" s="972" t="n">
        <v>0.5523713768169021</v>
      </c>
      <c r="F96" s="972" t="n">
        <v>0.6272136582627306</v>
      </c>
      <c r="G96" s="972" t="n">
        <v>0.6825763342807238</v>
      </c>
      <c r="H96" s="453" t="n">
        <v>0.0935465114714585</v>
      </c>
      <c r="I96" s="453" t="inlineStr">
        <is>
          <t>Yes</t>
        </is>
      </c>
      <c r="J96" s="453" t="n"/>
      <c r="K96" s="453" t="n"/>
      <c r="L96" s="453" t="n"/>
    </row>
    <row r="97" ht="15" customHeight="1" s="508">
      <c r="A97" s="972" t="inlineStr">
        <is>
          <t>Nation State</t>
        </is>
      </c>
      <c r="B97" s="972" t="inlineStr">
        <is>
          <t>Loss of Control or Visibility</t>
        </is>
      </c>
      <c r="C97" s="972" t="n">
        <v>0.5961383081320756</v>
      </c>
      <c r="D97" s="972" t="n">
        <v>0.6635637703709377</v>
      </c>
      <c r="E97" s="972" t="n">
        <v>0.5523713768169021</v>
      </c>
      <c r="F97" s="972" t="n">
        <v>0.6272136582627306</v>
      </c>
      <c r="G97" s="972" t="n">
        <v>0.64556656542323</v>
      </c>
      <c r="H97" s="453" t="n">
        <v>0.08847435383412719</v>
      </c>
      <c r="I97" s="453" t="inlineStr">
        <is>
          <t>Yes</t>
        </is>
      </c>
      <c r="J97" s="453" t="n"/>
      <c r="K97" s="453" t="n"/>
      <c r="L97" s="453" t="n"/>
    </row>
    <row r="98" ht="15" customHeight="1" s="508">
      <c r="A98" s="972" t="inlineStr">
        <is>
          <t>Nation State</t>
        </is>
      </c>
      <c r="B98" s="972" t="inlineStr">
        <is>
          <t>Process Manipulation</t>
        </is>
      </c>
      <c r="C98" s="972" t="n">
        <v>0.5962012488131382</v>
      </c>
      <c r="D98" s="972" t="n">
        <v>0.6671576924058752</v>
      </c>
      <c r="E98" s="972" t="n">
        <v>0.5555782961217217</v>
      </c>
      <c r="F98" s="972" t="n">
        <v>0.6272136582627306</v>
      </c>
      <c r="G98" s="972" t="n">
        <v>0.4465988251188351</v>
      </c>
      <c r="H98" s="453" t="n">
        <v>0.06190129489478453</v>
      </c>
      <c r="I98" s="453" t="inlineStr">
        <is>
          <t>Yes</t>
        </is>
      </c>
      <c r="J98" s="453" t="n"/>
      <c r="K98" s="453" t="n"/>
      <c r="L98" s="453" t="n"/>
    </row>
    <row r="99" ht="15" customHeight="1" s="508">
      <c r="A99" s="972" t="inlineStr">
        <is>
          <t>Nation State</t>
        </is>
      </c>
      <c r="B99" s="972" t="inlineStr">
        <is>
          <t>Safety System Compromise</t>
        </is>
      </c>
      <c r="C99" s="972" t="n">
        <v>0.5961383081320756</v>
      </c>
      <c r="D99" s="972" t="n">
        <v>0.6638103044885116</v>
      </c>
      <c r="E99" s="972" t="n">
        <v>0.5523713768169021</v>
      </c>
      <c r="F99" s="972" t="n">
        <v>0.6272136582627306</v>
      </c>
      <c r="G99" s="972" t="n">
        <v>0.3985617609523308</v>
      </c>
      <c r="H99" s="453" t="n">
        <v>0.05464284744821452</v>
      </c>
      <c r="I99" s="453" t="inlineStr">
        <is>
          <t>Yes</t>
        </is>
      </c>
      <c r="J99" s="453" t="n"/>
      <c r="K99" s="453" t="n"/>
      <c r="L99" s="453" t="n"/>
    </row>
    <row r="100" ht="15" customHeight="1" s="508">
      <c r="A100" s="972" t="inlineStr">
        <is>
          <t>Nation State</t>
        </is>
      </c>
      <c r="B100" s="972" t="inlineStr">
        <is>
          <t>Destructive or Integrity Attack</t>
        </is>
      </c>
      <c r="C100" s="972" t="n">
        <v>0.5961383081320756</v>
      </c>
      <c r="D100" s="972" t="n">
        <v>0.6672025300949638</v>
      </c>
      <c r="E100" s="972" t="n">
        <v>0.5523713768169021</v>
      </c>
      <c r="F100" s="972" t="n">
        <v>0.6272136582627306</v>
      </c>
      <c r="G100" s="972" t="n">
        <v>0.3835273130440279</v>
      </c>
      <c r="H100" s="453" t="n">
        <v>0.052850327877553</v>
      </c>
      <c r="I100" s="453" t="inlineStr">
        <is>
          <t>Yes</t>
        </is>
      </c>
      <c r="J100" s="453" t="n"/>
      <c r="K100" s="453" t="n"/>
      <c r="L100" s="453" t="n"/>
    </row>
    <row r="101" ht="15" customHeight="1" s="508">
      <c r="A101" s="972" t="inlineStr">
        <is>
          <t>Cybercriminal</t>
        </is>
      </c>
      <c r="B101" s="972" t="inlineStr">
        <is>
          <t>Operational Disruption</t>
        </is>
      </c>
      <c r="C101" s="972" t="n">
        <v>0.5961383081320756</v>
      </c>
      <c r="D101" s="972" t="n">
        <v>0.6245306074079414</v>
      </c>
      <c r="E101" s="972" t="n">
        <v>0.5129162784728377</v>
      </c>
      <c r="F101" s="972" t="n">
        <v>0.5435851704943665</v>
      </c>
      <c r="G101" s="972" t="n">
        <v>0.521970137979377</v>
      </c>
      <c r="H101" s="972" t="n">
        <v>0.05418268201095253</v>
      </c>
      <c r="I101" s="972" t="inlineStr">
        <is>
          <t>Yes</t>
        </is>
      </c>
    </row>
    <row r="102" ht="15" customHeight="1" s="508">
      <c r="A102" s="972" t="inlineStr">
        <is>
          <t>Cybercriminal</t>
        </is>
      </c>
      <c r="B102" s="972" t="inlineStr">
        <is>
          <t>Loss of Control or Visibility</t>
        </is>
      </c>
      <c r="C102" s="972" t="n">
        <v>0.5961383081320756</v>
      </c>
      <c r="D102" s="972" t="n">
        <v>0.6245306074079414</v>
      </c>
      <c r="E102" s="972" t="n">
        <v>0.5129162784728377</v>
      </c>
      <c r="F102" s="972" t="n">
        <v>0.5435851704943665</v>
      </c>
      <c r="G102" s="972" t="n">
        <v>0.4936685500295289</v>
      </c>
      <c r="H102" s="972" t="n">
        <v>0.05124485888906312</v>
      </c>
      <c r="I102" s="972" t="inlineStr">
        <is>
          <t>Yes</t>
        </is>
      </c>
    </row>
    <row r="103" ht="15" customHeight="1" s="508">
      <c r="A103" s="972" t="inlineStr">
        <is>
          <t>Cybercriminal</t>
        </is>
      </c>
      <c r="B103" s="972" t="inlineStr">
        <is>
          <t>Process Manipulation</t>
        </is>
      </c>
      <c r="C103" s="972" t="n">
        <v>0.5962012488131382</v>
      </c>
      <c r="D103" s="972" t="n">
        <v>0.6279131222643533</v>
      </c>
      <c r="E103" s="972" t="n">
        <v>0.5158941321130274</v>
      </c>
      <c r="F103" s="972" t="n">
        <v>0.5435851704943665</v>
      </c>
      <c r="G103" s="972" t="n">
        <v>0.3415167486202857</v>
      </c>
      <c r="H103" s="972" t="n">
        <v>0.03585358902852968</v>
      </c>
      <c r="I103" s="972" t="inlineStr">
        <is>
          <t>Yes</t>
        </is>
      </c>
    </row>
    <row r="104" ht="15" customHeight="1" s="508">
      <c r="A104" s="972" t="inlineStr">
        <is>
          <t>Cybercriminal</t>
        </is>
      </c>
      <c r="B104" s="972" t="inlineStr">
        <is>
          <t>Safety System Compromise</t>
        </is>
      </c>
      <c r="C104" s="972" t="n">
        <v>0.5961383081320756</v>
      </c>
      <c r="D104" s="972" t="n">
        <v>0.6247626395185992</v>
      </c>
      <c r="E104" s="972" t="n">
        <v>0.5129162784728377</v>
      </c>
      <c r="F104" s="972" t="n">
        <v>0.5435851704943665</v>
      </c>
      <c r="G104" s="972" t="n">
        <v>0.3047825230811942</v>
      </c>
      <c r="H104" s="972" t="n">
        <v>0.03164945416872034</v>
      </c>
      <c r="I104" s="972" t="inlineStr">
        <is>
          <t>Yes</t>
        </is>
      </c>
    </row>
    <row r="105" ht="15" customHeight="1" s="508">
      <c r="A105" s="972" t="inlineStr">
        <is>
          <t>Cybercriminal</t>
        </is>
      </c>
      <c r="B105" s="972" t="inlineStr">
        <is>
          <t>Destructive or Integrity Attack</t>
        </is>
      </c>
      <c r="C105" s="972" t="n">
        <v>0.5961383081320756</v>
      </c>
      <c r="D105" s="972" t="n">
        <v>0.6279553224423189</v>
      </c>
      <c r="E105" s="972" t="n">
        <v>0.5129162784728377</v>
      </c>
      <c r="F105" s="972" t="n">
        <v>0.5435851704943665</v>
      </c>
      <c r="G105" s="972" t="n">
        <v>0.2932855923277861</v>
      </c>
      <c r="H105" s="972" t="n">
        <v>0.03061121643683875</v>
      </c>
      <c r="I105" s="972" t="inlineStr">
        <is>
          <t>Yes</t>
        </is>
      </c>
    </row>
    <row r="106" ht="15" customHeight="1" s="508">
      <c r="A106" s="972" t="inlineStr">
        <is>
          <t>Malicious Insider</t>
        </is>
      </c>
      <c r="B106" s="972" t="inlineStr">
        <is>
          <t>Operational Disruption</t>
        </is>
      </c>
      <c r="C106" s="972" t="n">
        <v>1</v>
      </c>
      <c r="D106" s="972" t="n">
        <v>0.7025969333339341</v>
      </c>
      <c r="E106" s="972" t="n">
        <v>0.631281573505031</v>
      </c>
      <c r="F106" s="972" t="n">
        <v>0.6272136582627306</v>
      </c>
      <c r="G106" s="972" t="n">
        <v>0.6022732361300503</v>
      </c>
      <c r="H106" s="972" t="n">
        <v>0.1675476859899848</v>
      </c>
      <c r="I106" s="972" t="inlineStr">
        <is>
          <t>Yes</t>
        </is>
      </c>
    </row>
    <row r="107" ht="15" customHeight="1" s="508">
      <c r="A107" s="972" t="inlineStr">
        <is>
          <t>Malicious Insider</t>
        </is>
      </c>
      <c r="B107" s="972" t="inlineStr">
        <is>
          <t>Loss of Control or Visibility</t>
        </is>
      </c>
      <c r="C107" s="972" t="n">
        <v>1</v>
      </c>
      <c r="D107" s="972" t="n">
        <v>0.7025969333339341</v>
      </c>
      <c r="E107" s="972" t="n">
        <v>0.631281573505031</v>
      </c>
      <c r="F107" s="972" t="n">
        <v>0.6272136582627306</v>
      </c>
      <c r="G107" s="972" t="n">
        <v>0.5696175577263795</v>
      </c>
      <c r="H107" s="972" t="n">
        <v>0.1584631326299103</v>
      </c>
      <c r="I107" s="972" t="inlineStr">
        <is>
          <t>Yes</t>
        </is>
      </c>
    </row>
    <row r="108" ht="15" customHeight="1" s="508">
      <c r="A108" s="972" t="inlineStr">
        <is>
          <t>Malicious Insider</t>
        </is>
      </c>
      <c r="B108" s="972" t="inlineStr">
        <is>
          <t>Process Manipulation</t>
        </is>
      </c>
      <c r="C108" s="972" t="n">
        <v>1</v>
      </c>
      <c r="D108" s="972" t="n">
        <v>0.7064022625473974</v>
      </c>
      <c r="E108" s="972" t="n">
        <v>0.6349466241391106</v>
      </c>
      <c r="F108" s="972" t="n">
        <v>0.6272136582627306</v>
      </c>
      <c r="G108" s="972" t="n">
        <v>0.3944090464238073</v>
      </c>
      <c r="H108" s="972" t="n">
        <v>0.1109562255551452</v>
      </c>
      <c r="I108" s="972" t="inlineStr">
        <is>
          <t>Yes</t>
        </is>
      </c>
    </row>
    <row r="109" ht="15" customHeight="1" s="508">
      <c r="A109" s="972" t="inlineStr">
        <is>
          <t>Malicious Insider</t>
        </is>
      </c>
      <c r="B109" s="972" t="inlineStr">
        <is>
          <t>Safety System Compromise</t>
        </is>
      </c>
      <c r="C109" s="972" t="n">
        <v>1</v>
      </c>
      <c r="D109" s="972" t="n">
        <v>0.702857969458424</v>
      </c>
      <c r="E109" s="972" t="n">
        <v>0.631281573505031</v>
      </c>
      <c r="F109" s="972" t="n">
        <v>0.6272136582627306</v>
      </c>
      <c r="G109" s="972" t="n">
        <v>0.3516721420167625</v>
      </c>
      <c r="H109" s="972" t="n">
        <v>0.09786877673835445</v>
      </c>
      <c r="I109" s="972" t="inlineStr">
        <is>
          <t>Yes</t>
        </is>
      </c>
    </row>
    <row r="110" ht="15" customHeight="1" s="508">
      <c r="A110" s="972" t="inlineStr">
        <is>
          <t>Malicious Insider</t>
        </is>
      </c>
      <c r="B110" s="972" t="inlineStr">
        <is>
          <t>Destructive or Integrity Attack</t>
        </is>
      </c>
      <c r="C110" s="972" t="n">
        <v>1</v>
      </c>
      <c r="D110" s="972" t="n">
        <v>0.7064497377476087</v>
      </c>
      <c r="E110" s="972" t="n">
        <v>0.631281573505031</v>
      </c>
      <c r="F110" s="972" t="n">
        <v>0.6272136582627306</v>
      </c>
      <c r="G110" s="972" t="n">
        <v>0.338406452685907</v>
      </c>
      <c r="H110" s="972" t="n">
        <v>0.0946582614403283</v>
      </c>
      <c r="I110" s="972" t="inlineStr">
        <is>
          <t>Yes</t>
        </is>
      </c>
    </row>
  </sheetData>
  <mergeCells count="14">
    <mergeCell ref="A13:M13"/>
    <mergeCell ref="A11:M11"/>
    <mergeCell ref="A1:M1"/>
    <mergeCell ref="A5:M5"/>
    <mergeCell ref="A8:M8"/>
    <mergeCell ref="A6:M6"/>
    <mergeCell ref="A9:M9"/>
    <mergeCell ref="A4:M4"/>
    <mergeCell ref="A12:M12"/>
    <mergeCell ref="A3:M3"/>
    <mergeCell ref="A7:M7"/>
    <mergeCell ref="A2:M2"/>
    <mergeCell ref="A92:I92"/>
    <mergeCell ref="A10:M10"/>
  </mergeCells>
  <pageMargins left="0.7" right="0.7" top="0.75" bottom="0.75" header="0.3" footer="0.3"/>
</worksheet>
</file>

<file path=xl/worksheets/sheet53.xml><?xml version="1.0" encoding="utf-8"?>
<worksheet xmlns="http://schemas.openxmlformats.org/spreadsheetml/2006/main">
  <sheetPr>
    <tabColor rgb="007F7F7F"/>
    <outlinePr summaryBelow="1" summaryRight="1"/>
    <pageSetUpPr/>
  </sheetPr>
  <dimension ref="A1:N40"/>
  <sheetViews>
    <sheetView showGridLines="1" workbookViewId="0">
      <selection activeCell="A1" sqref="A1"/>
    </sheetView>
  </sheetViews>
  <sheetFormatPr baseColWidth="8" defaultColWidth="8.6796875" defaultRowHeight="15"/>
  <cols>
    <col width="22" customWidth="1" style="972" min="1" max="1"/>
    <col width="30" customWidth="1" style="972" min="2" max="2"/>
    <col width="12" customWidth="1" style="972" min="3" max="3"/>
    <col width="15" customWidth="1" style="972" min="4" max="4"/>
    <col width="18" customWidth="1" style="972" min="5" max="6"/>
    <col width="17" customWidth="1" style="972" min="7" max="7"/>
    <col width="13" customWidth="1" style="972" min="8" max="8"/>
    <col width="15" customWidth="1" style="972" min="9" max="9"/>
    <col width="18" customWidth="1" style="972" min="10" max="10"/>
    <col width="16" customWidth="1" style="972" min="11" max="11"/>
    <col width="18" customWidth="1" style="972" min="12" max="12"/>
    <col width="20" customWidth="1" style="972" min="13" max="13"/>
  </cols>
  <sheetData>
    <row r="1" ht="21.75" customHeight="1" s="508">
      <c r="A1" s="450" t="inlineStr">
        <is>
          <t>16 — Threat-Event &amp; Loss-Event Frequency</t>
        </is>
      </c>
    </row>
    <row r="2" ht="37.5" customHeight="1" s="508">
      <c r="A2" s="402" t="inlineStr">
        <is>
          <t>Purpose: Explain and report attempt frequency and successful-event frequency for all 15 actor-scenario cells.</t>
        </is>
      </c>
    </row>
    <row r="3" ht="37.5" customHeight="1" s="508">
      <c r="A3" s="403" t="inlineStr">
        <is>
          <t>In plain English: this tells you how often each actor/scenario is attempted and how often it becomes a successful loss event after controls.</t>
        </is>
      </c>
    </row>
    <row r="4" ht="21.75" customHeight="1" s="508">
      <c r="A4" s="409" t="inlineStr">
        <is>
          <t>SHEET TYPE: PYTHON ENGINE CALCULATION</t>
        </is>
      </c>
    </row>
    <row r="5" ht="21.75" customHeight="1" s="508">
      <c r="A5" s="405" t="inlineStr">
        <is>
          <t>Inputs / upstream sources</t>
        </is>
      </c>
    </row>
    <row r="6" ht="30" customHeight="1" s="508">
      <c r="A6" s="406" t="inlineStr">
        <is>
          <t>06 Frequency Assumptions, 03 Facility Inputs and 15 Attack Path Calc.</t>
        </is>
      </c>
    </row>
    <row r="7" ht="30" customHeight="1" s="508">
      <c r="A7" s="405" t="inlineStr">
        <is>
          <t>Calculation / decision logic</t>
        </is>
      </c>
    </row>
    <row r="8" ht="30" customHeight="1" s="508">
      <c r="A8" s="406" t="inlineStr">
        <is>
          <t>The engine calculates two Poisson arrival rates: Best Estimate λ = reference campaign rate × Facility Exposure × Σ(Actor Share × Threat Activity × Sector × Asset Type × Geography), and Prudent λ = Best Estimate λ × the user-entered prudence factor. The asset-type overlay is applied exactly once. Each campaign receives exactly one actor and one feasible scenario. Successful-event frequency = attempts × stage/control-derived P(success).</t>
        </is>
      </c>
    </row>
    <row r="9" ht="30" customHeight="1" s="508">
      <c r="A9" s="405" t="inlineStr">
        <is>
          <t>Key assumptions / defaults</t>
        </is>
      </c>
    </row>
    <row r="10" ht="30" customHeight="1" s="508">
      <c r="A10" s="406" t="inlineStr">
        <is>
          <t>No independent success-probability shock is applied. Detailed rows use the selected detailed basis; the Executive Summary, Tail Risk Metrics and Aggregate LECs compare Best Estimate and Prudent when Both is selected.</t>
        </is>
      </c>
    </row>
    <row r="11" ht="30" customHeight="1" s="508">
      <c r="A11" s="405" t="inlineStr">
        <is>
          <t>Outputs / downstream use</t>
        </is>
      </c>
    </row>
    <row r="12" ht="30" customHeight="1" s="508">
      <c r="A12" s="406" t="inlineStr">
        <is>
          <t>Feeds facility aggregate loss simulation and actor/scenario decompositions on 02 and 18–24.</t>
        </is>
      </c>
    </row>
    <row r="13" ht="30" customHeight="1" s="508">
      <c r="A13" s="407" t="inlineStr">
        <is>
          <t>Workbook convention: yellow cells / blue font are editable inputs or calibration assumptions; engine-output cells are not manually editable.</t>
        </is>
      </c>
    </row>
    <row r="15" ht="21.75" customHeight="1" s="508">
      <c r="A15" s="451" t="inlineStr">
        <is>
          <t>Threat actor</t>
        </is>
      </c>
      <c r="B15" s="451" t="inlineStr">
        <is>
          <t>Scenario</t>
        </is>
      </c>
      <c r="C15" s="451" t="inlineStr">
        <is>
          <t>Path valid</t>
        </is>
      </c>
      <c r="D15" s="451" t="inlineStr">
        <is>
          <t>Input actor share</t>
        </is>
      </c>
      <c r="E15" s="451" t="inlineStr">
        <is>
          <t>Effective actor probability</t>
        </is>
      </c>
      <c r="F15" s="451" t="inlineStr">
        <is>
          <t>Scenario propensity</t>
        </is>
      </c>
      <c r="G15" s="451" t="inlineStr">
        <is>
          <t>Threat activity mult.</t>
        </is>
      </c>
      <c r="H15" s="451" t="inlineStr">
        <is>
          <t>Sector mult.</t>
        </is>
      </c>
      <c r="I15" s="451" t="inlineStr">
        <is>
          <t>Asset type mult.</t>
        </is>
      </c>
      <c r="J15" s="451" t="inlineStr">
        <is>
          <t>Geography mult.</t>
        </is>
      </c>
      <c r="K15" s="451" t="inlineStr">
        <is>
          <t>Facility exposure mult.</t>
        </is>
      </c>
      <c r="L15" s="451" t="inlineStr">
        <is>
          <t>Attempt rate / yr</t>
        </is>
      </c>
      <c r="M15" s="451" t="inlineStr">
        <is>
          <t>P(success | attempt)</t>
        </is>
      </c>
      <c r="N15" s="972" t="inlineStr">
        <is>
          <t>Successful event freq. / yr</t>
        </is>
      </c>
    </row>
    <row r="16" ht="15" customHeight="1" s="508">
      <c r="A16" s="972" t="inlineStr">
        <is>
          <t>Nation State</t>
        </is>
      </c>
      <c r="B16" s="972" t="inlineStr">
        <is>
          <t>Operational Disruption</t>
        </is>
      </c>
      <c r="C16" s="972" t="inlineStr">
        <is>
          <t>Yes</t>
        </is>
      </c>
      <c r="D16" s="453" t="n">
        <v>0.2</v>
      </c>
      <c r="E16" s="453" t="n">
        <v>0.2</v>
      </c>
      <c r="F16" s="453" t="n">
        <v>0.25</v>
      </c>
      <c r="G16" s="453" t="n">
        <v>1</v>
      </c>
      <c r="H16" s="453" t="n">
        <v>1</v>
      </c>
      <c r="I16" s="453" t="n">
        <v>1</v>
      </c>
      <c r="J16" s="453" t="n">
        <v>1</v>
      </c>
      <c r="K16" s="453" t="n">
        <v>1.1</v>
      </c>
      <c r="L16" s="453" t="n">
        <v>0.044942</v>
      </c>
      <c r="M16" s="453" t="n">
        <v>0.0935465114714585</v>
      </c>
      <c r="N16" s="972" t="n">
        <v>0.0042</v>
      </c>
    </row>
    <row r="17" ht="15" customHeight="1" s="508">
      <c r="A17" s="972" t="inlineStr">
        <is>
          <t>Nation State</t>
        </is>
      </c>
      <c r="B17" s="972" t="inlineStr">
        <is>
          <t>Loss of Control or Visibility</t>
        </is>
      </c>
      <c r="C17" s="972" t="inlineStr">
        <is>
          <t>Yes</t>
        </is>
      </c>
      <c r="D17" s="453" t="n">
        <v>0.2</v>
      </c>
      <c r="E17" s="453" t="n">
        <v>0.2</v>
      </c>
      <c r="F17" s="453" t="n">
        <v>0.15</v>
      </c>
      <c r="G17" s="453" t="n">
        <v>1</v>
      </c>
      <c r="H17" s="453" t="n">
        <v>1</v>
      </c>
      <c r="I17" s="453" t="n">
        <v>1</v>
      </c>
      <c r="J17" s="453" t="n">
        <v>1</v>
      </c>
      <c r="K17" s="453" t="n">
        <v>1.1</v>
      </c>
      <c r="L17" s="453" t="n">
        <v>0.0272</v>
      </c>
      <c r="M17" s="453" t="n">
        <v>0.08847435383412718</v>
      </c>
      <c r="N17" s="972" t="n">
        <v>0.002476</v>
      </c>
    </row>
    <row r="18" ht="15" customHeight="1" s="508">
      <c r="A18" s="972" t="inlineStr">
        <is>
          <t>Nation State</t>
        </is>
      </c>
      <c r="B18" s="972" t="inlineStr">
        <is>
          <t>Process Manipulation</t>
        </is>
      </c>
      <c r="C18" s="972" t="inlineStr">
        <is>
          <t>Yes</t>
        </is>
      </c>
      <c r="D18" s="453" t="n">
        <v>0.2</v>
      </c>
      <c r="E18" s="453" t="n">
        <v>0.2</v>
      </c>
      <c r="F18" s="453" t="n">
        <v>0.25</v>
      </c>
      <c r="G18" s="453" t="n">
        <v>1</v>
      </c>
      <c r="H18" s="453" t="n">
        <v>1</v>
      </c>
      <c r="I18" s="453" t="n">
        <v>1</v>
      </c>
      <c r="J18" s="453" t="n">
        <v>1</v>
      </c>
      <c r="K18" s="453" t="n">
        <v>1.1</v>
      </c>
      <c r="L18" s="453" t="n">
        <v>0.044902</v>
      </c>
      <c r="M18" s="453" t="n">
        <v>0.06190129489478453</v>
      </c>
      <c r="N18" s="972" t="n">
        <v>0.002762</v>
      </c>
    </row>
    <row r="19" ht="15" customHeight="1" s="508">
      <c r="A19" s="972" t="inlineStr">
        <is>
          <t>Nation State</t>
        </is>
      </c>
      <c r="B19" s="972" t="inlineStr">
        <is>
          <t>Safety System Compromise</t>
        </is>
      </c>
      <c r="C19" s="972" t="inlineStr">
        <is>
          <t>Yes</t>
        </is>
      </c>
      <c r="D19" s="453" t="n">
        <v>0.2</v>
      </c>
      <c r="E19" s="453" t="n">
        <v>0.2</v>
      </c>
      <c r="F19" s="453" t="n">
        <v>0.15</v>
      </c>
      <c r="G19" s="453" t="n">
        <v>1</v>
      </c>
      <c r="H19" s="453" t="n">
        <v>1</v>
      </c>
      <c r="I19" s="453" t="n">
        <v>1</v>
      </c>
      <c r="J19" s="453" t="n">
        <v>1</v>
      </c>
      <c r="K19" s="453" t="n">
        <v>1.1</v>
      </c>
      <c r="L19" s="453" t="n">
        <v>0.027152</v>
      </c>
      <c r="M19" s="453" t="n">
        <v>0.05464284744821452</v>
      </c>
      <c r="N19" s="972" t="n">
        <v>0.00143</v>
      </c>
    </row>
    <row r="20" ht="15" customHeight="1" s="508">
      <c r="A20" s="972" t="inlineStr">
        <is>
          <t>Nation State</t>
        </is>
      </c>
      <c r="B20" s="972" t="inlineStr">
        <is>
          <t>Destructive or Integrity Attack</t>
        </is>
      </c>
      <c r="C20" s="972" t="inlineStr">
        <is>
          <t>Yes</t>
        </is>
      </c>
      <c r="D20" s="453" t="n">
        <v>0.2</v>
      </c>
      <c r="E20" s="453" t="n">
        <v>0.2</v>
      </c>
      <c r="F20" s="453" t="n">
        <v>0.2</v>
      </c>
      <c r="G20" s="453" t="n">
        <v>1</v>
      </c>
      <c r="H20" s="453" t="n">
        <v>1</v>
      </c>
      <c r="I20" s="453" t="n">
        <v>1</v>
      </c>
      <c r="J20" s="453" t="n">
        <v>1</v>
      </c>
      <c r="K20" s="453" t="n">
        <v>1.1</v>
      </c>
      <c r="L20" s="453" t="n">
        <v>0.036048</v>
      </c>
      <c r="M20" s="453" t="n">
        <v>0.052850327877553</v>
      </c>
      <c r="N20" s="972" t="n">
        <v>0.001878</v>
      </c>
    </row>
    <row r="21" ht="15" customHeight="1" s="508">
      <c r="A21" s="972" t="inlineStr">
        <is>
          <t>Cybercriminal</t>
        </is>
      </c>
      <c r="B21" s="972" t="inlineStr">
        <is>
          <t>Operational Disruption</t>
        </is>
      </c>
      <c r="C21" s="972" t="inlineStr">
        <is>
          <t>Yes</t>
        </is>
      </c>
      <c r="D21" s="453" t="n">
        <v>0.75</v>
      </c>
      <c r="E21" s="453" t="n">
        <v>0.75</v>
      </c>
      <c r="F21" s="453" t="n">
        <v>0.7</v>
      </c>
      <c r="G21" s="453" t="n">
        <v>1</v>
      </c>
      <c r="H21" s="453" t="n">
        <v>1</v>
      </c>
      <c r="I21" s="453" t="n">
        <v>1</v>
      </c>
      <c r="J21" s="453" t="n">
        <v>1</v>
      </c>
      <c r="K21" s="453" t="n">
        <v>1.1</v>
      </c>
      <c r="L21" s="453" t="n">
        <v>0.477594</v>
      </c>
      <c r="M21" s="453" t="n">
        <v>0.05418268201095253</v>
      </c>
      <c r="N21" s="972" t="n">
        <v>0.02554</v>
      </c>
    </row>
    <row r="22" ht="15" customHeight="1" s="508">
      <c r="A22" s="972" t="inlineStr">
        <is>
          <t>Cybercriminal</t>
        </is>
      </c>
      <c r="B22" s="972" t="inlineStr">
        <is>
          <t>Loss of Control or Visibility</t>
        </is>
      </c>
      <c r="C22" s="972" t="inlineStr">
        <is>
          <t>Yes</t>
        </is>
      </c>
      <c r="D22" s="453" t="n">
        <v>0.75</v>
      </c>
      <c r="E22" s="453" t="n">
        <v>0.75</v>
      </c>
      <c r="F22" s="453" t="n">
        <v>0.1</v>
      </c>
      <c r="G22" s="453" t="n">
        <v>1</v>
      </c>
      <c r="H22" s="453" t="n">
        <v>1</v>
      </c>
      <c r="I22" s="453" t="n">
        <v>1</v>
      </c>
      <c r="J22" s="453" t="n">
        <v>1</v>
      </c>
      <c r="K22" s="453" t="n">
        <v>1.1</v>
      </c>
      <c r="L22" s="453" t="n">
        <v>0.067796</v>
      </c>
      <c r="M22" s="453" t="n">
        <v>0.05124485888906311</v>
      </c>
      <c r="N22" s="972" t="n">
        <v>0.003426</v>
      </c>
    </row>
    <row r="23" ht="15" customHeight="1" s="508">
      <c r="A23" s="972" t="inlineStr">
        <is>
          <t>Cybercriminal</t>
        </is>
      </c>
      <c r="B23" s="972" t="inlineStr">
        <is>
          <t>Process Manipulation</t>
        </is>
      </c>
      <c r="C23" s="972" t="inlineStr">
        <is>
          <t>Yes</t>
        </is>
      </c>
      <c r="D23" s="453" t="n">
        <v>0.75</v>
      </c>
      <c r="E23" s="453" t="n">
        <v>0.75</v>
      </c>
      <c r="F23" s="453" t="n">
        <v>0.05</v>
      </c>
      <c r="G23" s="453" t="n">
        <v>1</v>
      </c>
      <c r="H23" s="453" t="n">
        <v>1</v>
      </c>
      <c r="I23" s="453" t="n">
        <v>1</v>
      </c>
      <c r="J23" s="453" t="n">
        <v>1</v>
      </c>
      <c r="K23" s="453" t="n">
        <v>1.1</v>
      </c>
      <c r="L23" s="453" t="n">
        <v>0.034056</v>
      </c>
      <c r="M23" s="453" t="n">
        <v>0.0358535890285297</v>
      </c>
      <c r="N23" s="972" t="n">
        <v>0.001186</v>
      </c>
    </row>
    <row r="24" ht="15" customHeight="1" s="508">
      <c r="A24" s="972" t="inlineStr">
        <is>
          <t>Cybercriminal</t>
        </is>
      </c>
      <c r="B24" s="972" t="inlineStr">
        <is>
          <t>Safety System Compromise</t>
        </is>
      </c>
      <c r="C24" s="972" t="inlineStr">
        <is>
          <t>Yes</t>
        </is>
      </c>
      <c r="D24" s="453" t="n">
        <v>0.75</v>
      </c>
      <c r="E24" s="453" t="n">
        <v>0.75</v>
      </c>
      <c r="F24" s="453" t="n">
        <v>0.02</v>
      </c>
      <c r="G24" s="453" t="n">
        <v>1</v>
      </c>
      <c r="H24" s="453" t="n">
        <v>1</v>
      </c>
      <c r="I24" s="453" t="n">
        <v>1</v>
      </c>
      <c r="J24" s="453" t="n">
        <v>1</v>
      </c>
      <c r="K24" s="453" t="n">
        <v>1.1</v>
      </c>
      <c r="L24" s="453" t="n">
        <v>0.013668</v>
      </c>
      <c r="M24" s="453" t="n">
        <v>0.03164945416872034</v>
      </c>
      <c r="N24" s="972" t="n">
        <v>0.000434</v>
      </c>
    </row>
    <row r="25" ht="15" customHeight="1" s="508">
      <c r="A25" s="972" t="inlineStr">
        <is>
          <t>Cybercriminal</t>
        </is>
      </c>
      <c r="B25" s="972" t="inlineStr">
        <is>
          <t>Destructive or Integrity Attack</t>
        </is>
      </c>
      <c r="C25" s="972" t="inlineStr">
        <is>
          <t>Yes</t>
        </is>
      </c>
      <c r="D25" s="453" t="n">
        <v>0.75</v>
      </c>
      <c r="E25" s="453" t="n">
        <v>0.75</v>
      </c>
      <c r="F25" s="453" t="n">
        <v>0.13</v>
      </c>
      <c r="G25" s="453" t="n">
        <v>1</v>
      </c>
      <c r="H25" s="453" t="n">
        <v>1</v>
      </c>
      <c r="I25" s="453" t="n">
        <v>1</v>
      </c>
      <c r="J25" s="453" t="n">
        <v>1</v>
      </c>
      <c r="K25" s="453" t="n">
        <v>1.1</v>
      </c>
      <c r="L25" s="453" t="n">
        <v>0.088102</v>
      </c>
      <c r="M25" s="453" t="n">
        <v>0.03061121643683875</v>
      </c>
      <c r="N25" s="972" t="n">
        <v>0.00259</v>
      </c>
    </row>
    <row r="26" ht="15" customHeight="1" s="508">
      <c r="A26" s="972" t="inlineStr">
        <is>
          <t>Malicious Insider</t>
        </is>
      </c>
      <c r="B26" s="972" t="inlineStr">
        <is>
          <t>Operational Disruption</t>
        </is>
      </c>
      <c r="C26" s="972" t="inlineStr">
        <is>
          <t>Yes</t>
        </is>
      </c>
      <c r="D26" s="453" t="n">
        <v>0.05</v>
      </c>
      <c r="E26" s="453" t="n">
        <v>0.05</v>
      </c>
      <c r="F26" s="453" t="n">
        <v>0.3</v>
      </c>
      <c r="G26" s="453" t="n">
        <v>1</v>
      </c>
      <c r="H26" s="453" t="n">
        <v>1</v>
      </c>
      <c r="I26" s="453" t="n">
        <v>1</v>
      </c>
      <c r="J26" s="453" t="n">
        <v>1</v>
      </c>
      <c r="K26" s="453" t="n">
        <v>1.1</v>
      </c>
      <c r="L26" s="453" t="n">
        <v>0.013408</v>
      </c>
      <c r="M26" s="453" t="n">
        <v>0.1675476859899847</v>
      </c>
      <c r="N26" s="972" t="n">
        <v>0.002222</v>
      </c>
    </row>
    <row r="27" ht="15" customHeight="1" s="508">
      <c r="A27" s="972" t="inlineStr">
        <is>
          <t>Malicious Insider</t>
        </is>
      </c>
      <c r="B27" s="972" t="inlineStr">
        <is>
          <t>Loss of Control or Visibility</t>
        </is>
      </c>
      <c r="C27" s="972" t="inlineStr">
        <is>
          <t>Yes</t>
        </is>
      </c>
      <c r="D27" s="453" t="n">
        <v>0.05</v>
      </c>
      <c r="E27" s="453" t="n">
        <v>0.05</v>
      </c>
      <c r="F27" s="453" t="n">
        <v>0.15</v>
      </c>
      <c r="G27" s="453" t="n">
        <v>1</v>
      </c>
      <c r="H27" s="453" t="n">
        <v>1</v>
      </c>
      <c r="I27" s="453" t="n">
        <v>1</v>
      </c>
      <c r="J27" s="453" t="n">
        <v>1</v>
      </c>
      <c r="K27" s="453" t="n">
        <v>1.1</v>
      </c>
      <c r="L27" s="453" t="n">
        <v>0.00679</v>
      </c>
      <c r="M27" s="453" t="n">
        <v>0.1584631326299102</v>
      </c>
      <c r="N27" s="972" t="n">
        <v>0.001104</v>
      </c>
    </row>
    <row r="28" ht="15" customHeight="1" s="508">
      <c r="A28" s="972" t="inlineStr">
        <is>
          <t>Malicious Insider</t>
        </is>
      </c>
      <c r="B28" s="972" t="inlineStr">
        <is>
          <t>Process Manipulation</t>
        </is>
      </c>
      <c r="C28" s="972" t="inlineStr">
        <is>
          <t>Yes</t>
        </is>
      </c>
      <c r="D28" s="453" t="n">
        <v>0.05</v>
      </c>
      <c r="E28" s="453" t="n">
        <v>0.05</v>
      </c>
      <c r="F28" s="453" t="n">
        <v>0.2</v>
      </c>
      <c r="G28" s="453" t="n">
        <v>1</v>
      </c>
      <c r="H28" s="453" t="n">
        <v>1</v>
      </c>
      <c r="I28" s="453" t="n">
        <v>1</v>
      </c>
      <c r="J28" s="453" t="n">
        <v>1</v>
      </c>
      <c r="K28" s="453" t="n">
        <v>1.1</v>
      </c>
      <c r="L28" s="453" t="n">
        <v>0.008996000000000001</v>
      </c>
      <c r="M28" s="453" t="n">
        <v>0.1109562255551452</v>
      </c>
      <c r="N28" s="972" t="n">
        <v>0.000936</v>
      </c>
    </row>
    <row r="29" ht="15" customHeight="1" s="508">
      <c r="A29" s="972" t="inlineStr">
        <is>
          <t>Malicious Insider</t>
        </is>
      </c>
      <c r="B29" s="972" t="inlineStr">
        <is>
          <t>Safety System Compromise</t>
        </is>
      </c>
      <c r="C29" s="972" t="inlineStr">
        <is>
          <t>Yes</t>
        </is>
      </c>
      <c r="D29" s="453" t="n">
        <v>0.05</v>
      </c>
      <c r="E29" s="453" t="n">
        <v>0.05</v>
      </c>
      <c r="F29" s="453" t="n">
        <v>0.1</v>
      </c>
      <c r="G29" s="453" t="n">
        <v>1</v>
      </c>
      <c r="H29" s="453" t="n">
        <v>1</v>
      </c>
      <c r="I29" s="453" t="n">
        <v>1</v>
      </c>
      <c r="J29" s="453" t="n">
        <v>1</v>
      </c>
      <c r="K29" s="453" t="n">
        <v>1.1</v>
      </c>
      <c r="L29" s="453" t="n">
        <v>0.004582</v>
      </c>
      <c r="M29" s="453" t="n">
        <v>0.09786877673835447</v>
      </c>
      <c r="N29" s="972" t="n">
        <v>0.000454</v>
      </c>
    </row>
    <row r="30" ht="15" customHeight="1" s="508">
      <c r="A30" s="972" t="inlineStr">
        <is>
          <t>Malicious Insider</t>
        </is>
      </c>
      <c r="B30" s="972" t="inlineStr">
        <is>
          <t>Destructive or Integrity Attack</t>
        </is>
      </c>
      <c r="C30" s="972" t="inlineStr">
        <is>
          <t>Yes</t>
        </is>
      </c>
      <c r="D30" s="453" t="n">
        <v>0.05</v>
      </c>
      <c r="E30" s="453" t="n">
        <v>0.05</v>
      </c>
      <c r="F30" s="453" t="n">
        <v>0.25</v>
      </c>
      <c r="G30" s="453" t="n">
        <v>1</v>
      </c>
      <c r="H30" s="453" t="n">
        <v>1</v>
      </c>
      <c r="I30" s="453" t="n">
        <v>1</v>
      </c>
      <c r="J30" s="453" t="n">
        <v>1</v>
      </c>
      <c r="K30" s="453" t="n">
        <v>1.1</v>
      </c>
      <c r="L30" s="453" t="n">
        <v>0.011348</v>
      </c>
      <c r="M30" s="453" t="n">
        <v>0.0946582614403283</v>
      </c>
      <c r="N30" s="972" t="n">
        <v>0.00114</v>
      </c>
    </row>
    <row r="31" ht="15" customHeight="1" s="508">
      <c r="D31" s="453" t="n"/>
      <c r="E31" s="453" t="n"/>
      <c r="F31" s="453" t="n"/>
      <c r="G31" s="453" t="n"/>
      <c r="H31" s="453" t="n"/>
      <c r="I31" s="453" t="n"/>
      <c r="J31" s="453" t="n"/>
      <c r="K31" s="453" t="n"/>
      <c r="L31" s="453" t="n"/>
      <c r="M31" s="453" t="n"/>
    </row>
    <row r="32" ht="15" customHeight="1" s="508">
      <c r="D32" s="453" t="n"/>
      <c r="E32" s="453" t="n"/>
      <c r="F32" s="453" t="n"/>
      <c r="G32" s="453" t="n"/>
      <c r="H32" s="453" t="n"/>
      <c r="I32" s="453" t="n"/>
      <c r="J32" s="453" t="n"/>
      <c r="K32" s="453" t="n"/>
      <c r="L32" s="453" t="n"/>
      <c r="M32" s="453" t="n"/>
    </row>
    <row r="33" ht="15" customHeight="1" s="508">
      <c r="D33" s="453" t="n"/>
      <c r="E33" s="453" t="n"/>
      <c r="F33" s="453" t="n"/>
      <c r="G33" s="453" t="n"/>
      <c r="H33" s="453" t="n"/>
      <c r="I33" s="453" t="n"/>
      <c r="J33" s="453" t="n"/>
      <c r="K33" s="453" t="n"/>
      <c r="L33" s="453" t="n"/>
      <c r="M33" s="453" t="n"/>
    </row>
    <row r="34" ht="15" customHeight="1" s="508">
      <c r="D34" s="453" t="n"/>
      <c r="E34" s="453" t="n"/>
      <c r="F34" s="453" t="n"/>
      <c r="G34" s="453" t="n"/>
      <c r="H34" s="453" t="n"/>
      <c r="I34" s="453" t="n"/>
      <c r="J34" s="453" t="n"/>
      <c r="K34" s="453" t="n"/>
      <c r="L34" s="453" t="n"/>
      <c r="M34" s="453" t="n"/>
    </row>
    <row r="35" ht="15" customHeight="1" s="508">
      <c r="D35" s="453" t="n"/>
      <c r="E35" s="453" t="n"/>
      <c r="F35" s="453" t="n"/>
      <c r="G35" s="453" t="n"/>
      <c r="H35" s="453" t="n"/>
      <c r="I35" s="453" t="n"/>
      <c r="J35" s="453" t="n"/>
      <c r="K35" s="453" t="n"/>
      <c r="L35" s="453" t="n"/>
      <c r="M35" s="453" t="n"/>
    </row>
    <row r="36" ht="15" customHeight="1" s="508">
      <c r="D36" s="453" t="n"/>
      <c r="E36" s="453" t="n"/>
      <c r="F36" s="453" t="n"/>
      <c r="G36" s="453" t="n"/>
      <c r="H36" s="453" t="n"/>
      <c r="I36" s="453" t="n"/>
      <c r="J36" s="453" t="n"/>
      <c r="K36" s="453" t="n"/>
      <c r="L36" s="453" t="n"/>
      <c r="M36" s="453" t="n"/>
    </row>
    <row r="37" ht="15" customHeight="1" s="508">
      <c r="D37" s="453" t="n"/>
      <c r="E37" s="453" t="n"/>
      <c r="F37" s="453" t="n"/>
      <c r="G37" s="453" t="n"/>
      <c r="H37" s="453" t="n"/>
      <c r="I37" s="453" t="n"/>
      <c r="J37" s="453" t="n"/>
      <c r="K37" s="453" t="n"/>
      <c r="L37" s="453" t="n"/>
      <c r="M37" s="453" t="n"/>
    </row>
    <row r="38" ht="15" customHeight="1" s="508">
      <c r="D38" s="453" t="n"/>
      <c r="E38" s="453" t="n"/>
      <c r="F38" s="453" t="n"/>
      <c r="G38" s="453" t="n"/>
      <c r="H38" s="453" t="n"/>
      <c r="I38" s="453" t="n"/>
      <c r="J38" s="453" t="n"/>
      <c r="K38" s="453" t="n"/>
      <c r="L38" s="453" t="n"/>
      <c r="M38" s="453" t="n"/>
    </row>
    <row r="39" ht="15" customHeight="1" s="508">
      <c r="D39" s="453" t="n"/>
      <c r="E39" s="453" t="n"/>
      <c r="F39" s="453" t="n"/>
      <c r="G39" s="453" t="n"/>
      <c r="H39" s="453" t="n"/>
      <c r="I39" s="453" t="n"/>
      <c r="J39" s="453" t="n"/>
      <c r="K39" s="453" t="n"/>
      <c r="L39" s="453" t="n"/>
      <c r="M39" s="453" t="n"/>
    </row>
    <row r="40" ht="15" customHeight="1" s="508">
      <c r="D40" s="453" t="n"/>
      <c r="E40" s="453" t="n"/>
      <c r="F40" s="453" t="n"/>
      <c r="G40" s="453" t="n"/>
      <c r="H40" s="453" t="n"/>
      <c r="I40" s="453" t="n"/>
      <c r="J40" s="453" t="n"/>
      <c r="K40" s="453" t="n"/>
      <c r="L40" s="453" t="n"/>
      <c r="M40" s="453" t="n"/>
    </row>
  </sheetData>
  <mergeCells count="13">
    <mergeCell ref="A13:M13"/>
    <mergeCell ref="A1:M1"/>
    <mergeCell ref="A5:M5"/>
    <mergeCell ref="A8:M8"/>
    <mergeCell ref="A6:M6"/>
    <mergeCell ref="A9:M9"/>
    <mergeCell ref="A4:M4"/>
    <mergeCell ref="A12:M12"/>
    <mergeCell ref="A3:M3"/>
    <mergeCell ref="A7:M7"/>
    <mergeCell ref="A2:M2"/>
    <mergeCell ref="A11:M11"/>
    <mergeCell ref="A10:M10"/>
  </mergeCells>
  <pageMargins left="0.7" right="0.7" top="0.75" bottom="0.75" header="0.3" footer="0.3"/>
</worksheet>
</file>

<file path=xl/worksheets/sheet54.xml><?xml version="1.0" encoding="utf-8"?>
<worksheet xmlns="http://schemas.openxmlformats.org/spreadsheetml/2006/main">
  <sheetPr>
    <tabColor rgb="007F7F7F"/>
    <outlinePr summaryBelow="1" summaryRight="1"/>
    <pageSetUpPr/>
  </sheetPr>
  <dimension ref="A1:P40"/>
  <sheetViews>
    <sheetView showGridLines="1" workbookViewId="0">
      <selection activeCell="A1" sqref="A1"/>
    </sheetView>
  </sheetViews>
  <sheetFormatPr baseColWidth="8" defaultColWidth="8.6796875" defaultRowHeight="15"/>
  <cols>
    <col width="22" customWidth="1" style="972" min="1" max="1"/>
    <col width="30" customWidth="1" style="972" min="2" max="2"/>
    <col width="12" customWidth="1" style="972" min="3" max="4"/>
    <col width="14" customWidth="1" style="972" min="5" max="6"/>
    <col width="17" customWidth="1" style="972" min="7" max="12"/>
    <col width="15" customWidth="1" style="972" min="13" max="14"/>
    <col width="16" customWidth="1" style="508" min="15" max="15"/>
    <col width="16" customWidth="1" style="508" min="16" max="16"/>
  </cols>
  <sheetData>
    <row r="1" ht="21.75" customHeight="1" s="508">
      <c r="A1" s="450" t="inlineStr">
        <is>
          <t>17 — Scenario Consequence Calculation</t>
        </is>
      </c>
      <c r="O1" s="973" t="n"/>
      <c r="P1" s="973" t="n"/>
    </row>
    <row r="2" ht="37.5" customHeight="1" s="508">
      <c r="A2" s="402" t="inlineStr">
        <is>
          <t>Purpose: Build the Base/Stress event-loss inputs and control adjustment factors used for severity and downtime simulation.</t>
        </is>
      </c>
      <c r="O2" s="973" t="n"/>
      <c r="P2" s="973" t="n"/>
    </row>
    <row r="3" ht="37.5" customHeight="1" s="508">
      <c r="A3" s="403" t="inlineStr">
        <is>
          <t>In plain English: this converts BIA/engineering assumptions into the event-loss distributions sampled by the Monte Carlo engine.</t>
        </is>
      </c>
      <c r="O3" s="973" t="n"/>
      <c r="P3" s="973" t="n"/>
    </row>
    <row r="4" ht="21.75" customHeight="1" s="508">
      <c r="A4" s="497" t="inlineStr">
        <is>
          <t>SHEET TYPE: PYTHON ENGINE CALCULATION</t>
        </is>
      </c>
      <c r="O4" s="973" t="n"/>
      <c r="P4" s="973" t="n"/>
    </row>
    <row r="5" ht="21.75" customHeight="1" s="508">
      <c r="A5" s="405" t="inlineStr">
        <is>
          <t>Inputs / upstream sources</t>
        </is>
      </c>
      <c r="O5" s="973" t="n"/>
      <c r="P5" s="973" t="n"/>
    </row>
    <row r="6" ht="30" customHeight="1" s="508">
      <c r="A6" s="406" t="inlineStr">
        <is>
          <t>05 Impact and BIA, 13 TTP-Control Map and relevant Detect/Recover/Safety controls from the actor-scenario TTP path.</t>
        </is>
      </c>
      <c r="O6" s="973" t="n"/>
      <c r="P6" s="973" t="n"/>
    </row>
    <row r="7" ht="30" customHeight="1" s="508">
      <c r="A7" s="405" t="inlineStr">
        <is>
          <t>Calculation / decision logic</t>
        </is>
      </c>
      <c r="O7" s="973" t="n"/>
      <c r="P7" s="973" t="n"/>
    </row>
    <row r="8" ht="30" customHeight="1" s="508">
      <c r="A8" s="406" t="inlineStr">
        <is>
          <t>Conditional impact is built from the editable OT driver matrix on 05. BI = Annual Revenue at Risk ÷ 365 × BI Factor × scenario downtime × capacity. Non-BI driver costs use the visible unit-rate, duration, asset-count, direct-amount or revenue-share equations. Detect/Recover modify duration; Recover/Safety modify causally relevant non-BI components.</t>
        </is>
      </c>
      <c r="O8" s="973" t="n"/>
      <c r="P8" s="973" t="n"/>
    </row>
    <row r="9" ht="30" customHeight="1" s="508">
      <c r="A9" s="405" t="inlineStr">
        <is>
          <t>Key assumptions / defaults</t>
        </is>
      </c>
      <c r="O9" s="973" t="n"/>
      <c r="P9" s="973" t="n"/>
    </row>
    <row r="10" ht="30" customHeight="1" s="508">
      <c r="A10" s="406" t="inlineStr">
        <is>
          <t>P50/P99 are conditional severity percentiles, not annual return periods. Scenario applicability and actor applicability are applied before sampling; driver assumptions marked as working priors require facility calibration.</t>
        </is>
      </c>
      <c r="O10" s="973" t="n"/>
      <c r="P10" s="973" t="n"/>
    </row>
    <row r="11" ht="30" customHeight="1" s="508">
      <c r="A11" s="405" t="inlineStr">
        <is>
          <t>Outputs / downstream use</t>
        </is>
      </c>
      <c r="O11" s="973" t="n"/>
      <c r="P11" s="973" t="n"/>
    </row>
    <row r="12" ht="30" customHeight="1" s="508">
      <c r="A12" s="406" t="inlineStr">
        <is>
          <t>Feeds event severity and downtime sampling in the 500,000-year Monte Carlo engine.</t>
        </is>
      </c>
      <c r="O12" s="973" t="n"/>
      <c r="P12" s="973" t="n"/>
    </row>
    <row r="13" ht="30" customHeight="1" s="508">
      <c r="A13" s="407" t="inlineStr">
        <is>
          <t>Workbook convention: yellow cells / blue font are editable inputs or calibration assumptions; engine-output cells are not manually editable.</t>
        </is>
      </c>
      <c r="O13" s="973" t="n"/>
      <c r="P13" s="973" t="n"/>
    </row>
    <row r="14">
      <c r="A14" s="973" t="n"/>
      <c r="B14" s="973" t="n"/>
      <c r="C14" s="973" t="n"/>
      <c r="D14" s="973" t="n"/>
      <c r="E14" s="973" t="n"/>
      <c r="F14" s="973" t="n"/>
      <c r="G14" s="973" t="n"/>
      <c r="H14" s="973" t="n"/>
      <c r="I14" s="973" t="n"/>
      <c r="J14" s="973" t="n"/>
      <c r="K14" s="973" t="n"/>
      <c r="L14" s="973" t="n"/>
      <c r="M14" s="973" t="n"/>
      <c r="N14" s="973" t="n"/>
      <c r="O14" s="973" t="n"/>
      <c r="P14" s="973" t="n"/>
    </row>
    <row r="15" ht="15" customHeight="1" s="508">
      <c r="A15" s="154" t="inlineStr">
        <is>
          <t>Threat actor</t>
        </is>
      </c>
      <c r="B15" s="154" t="inlineStr">
        <is>
          <t>Scenario</t>
        </is>
      </c>
      <c r="C15" s="154" t="inlineStr">
        <is>
          <t>P50 days</t>
        </is>
      </c>
      <c r="D15" s="154" t="inlineStr">
        <is>
          <t>P99 days</t>
        </is>
      </c>
      <c r="E15" s="154" t="inlineStr">
        <is>
          <t>P50 capacity</t>
        </is>
      </c>
      <c r="F15" s="154" t="inlineStr">
        <is>
          <t>P99 capacity</t>
        </is>
      </c>
      <c r="G15" s="154" t="inlineStr">
        <is>
          <t>P50 gross revenue disruption</t>
        </is>
      </c>
      <c r="H15" s="154" t="inlineStr">
        <is>
          <t>P99 gross revenue disruption</t>
        </is>
      </c>
      <c r="I15" s="154" t="inlineStr">
        <is>
          <t>P50 modelled BI</t>
        </is>
      </c>
      <c r="J15" s="154" t="inlineStr">
        <is>
          <t>P99 modelled BI</t>
        </is>
      </c>
      <c r="K15" s="154" t="inlineStr">
        <is>
          <t>P50 non-BI</t>
        </is>
      </c>
      <c r="L15" s="154" t="inlineStr">
        <is>
          <t>P99 non-BI</t>
        </is>
      </c>
      <c r="M15" s="154" t="inlineStr">
        <is>
          <t>P50 total</t>
        </is>
      </c>
      <c r="N15" s="154" t="inlineStr">
        <is>
          <t>P99 total</t>
        </is>
      </c>
      <c r="O15" s="138" t="inlineStr">
        <is>
          <t>Duration factor</t>
        </is>
      </c>
      <c r="P15" s="138" t="inlineStr">
        <is>
          <t>Non-BI factor</t>
        </is>
      </c>
    </row>
    <row r="16" ht="15" customHeight="1" s="508">
      <c r="A16" s="973" t="inlineStr">
        <is>
          <t>Nation State</t>
        </is>
      </c>
      <c r="B16" s="973" t="inlineStr">
        <is>
          <t>Operational Disruption</t>
        </is>
      </c>
      <c r="C16" s="973" t="n">
        <v>5</v>
      </c>
      <c r="D16" s="973" t="n">
        <v>45</v>
      </c>
      <c r="E16" s="444" t="n">
        <v>0.75</v>
      </c>
      <c r="F16" s="444" t="n">
        <v>1</v>
      </c>
      <c r="G16" s="498" t="n">
        <v>10273972.60273973</v>
      </c>
      <c r="H16" s="498" t="n">
        <v>123287671.2328767</v>
      </c>
      <c r="I16" s="498" t="n">
        <v>10273972.60273973</v>
      </c>
      <c r="J16" s="498" t="n">
        <v>123287671.2328767</v>
      </c>
      <c r="K16" s="498" t="n">
        <v>6750000</v>
      </c>
      <c r="L16" s="498" t="n">
        <v>112750000</v>
      </c>
      <c r="M16" s="498" t="n">
        <v>17023972.60273973</v>
      </c>
      <c r="N16" s="498" t="n">
        <v>236037671.2328767</v>
      </c>
      <c r="O16" s="499" t="n">
        <v>0.6061868625209156</v>
      </c>
      <c r="P16" s="499" t="n">
        <v>0.8275755261877391</v>
      </c>
    </row>
    <row r="17" ht="15" customHeight="1" s="508">
      <c r="A17" s="973" t="inlineStr">
        <is>
          <t>Nation State</t>
        </is>
      </c>
      <c r="B17" s="973" t="inlineStr">
        <is>
          <t>Loss of Control or Visibility</t>
        </is>
      </c>
      <c r="C17" s="973" t="n">
        <v>3</v>
      </c>
      <c r="D17" s="973" t="n">
        <v>30</v>
      </c>
      <c r="E17" s="444" t="n">
        <v>0.5</v>
      </c>
      <c r="F17" s="444" t="n">
        <v>1</v>
      </c>
      <c r="G17" s="498" t="n">
        <v>4109589.04109589</v>
      </c>
      <c r="H17" s="498" t="n">
        <v>82191780.8219178</v>
      </c>
      <c r="I17" s="498" t="n">
        <v>4109589.04109589</v>
      </c>
      <c r="J17" s="498" t="n">
        <v>82191780.8219178</v>
      </c>
      <c r="K17" s="498" t="n">
        <v>6350000</v>
      </c>
      <c r="L17" s="498" t="n">
        <v>98500000</v>
      </c>
      <c r="M17" s="498" t="n">
        <v>10459589.04109589</v>
      </c>
      <c r="N17" s="498" t="n">
        <v>180691780.8219178</v>
      </c>
      <c r="O17" s="499" t="n">
        <v>0.5947935974508824</v>
      </c>
      <c r="P17" s="499" t="n">
        <v>0.8238887624450589</v>
      </c>
    </row>
    <row r="18" ht="15" customHeight="1" s="508">
      <c r="A18" s="973" t="inlineStr">
        <is>
          <t>Nation State</t>
        </is>
      </c>
      <c r="B18" s="973" t="inlineStr">
        <is>
          <t>Process Manipulation</t>
        </is>
      </c>
      <c r="C18" s="973" t="n">
        <v>7</v>
      </c>
      <c r="D18" s="973" t="n">
        <v>60</v>
      </c>
      <c r="E18" s="444" t="n">
        <v>0.75</v>
      </c>
      <c r="F18" s="444" t="n">
        <v>1</v>
      </c>
      <c r="G18" s="498" t="n">
        <v>14383561.64383562</v>
      </c>
      <c r="H18" s="498" t="n">
        <v>164383561.6438356</v>
      </c>
      <c r="I18" s="498" t="n">
        <v>14383561.64383562</v>
      </c>
      <c r="J18" s="498" t="n">
        <v>164383561.6438356</v>
      </c>
      <c r="K18" s="498" t="n">
        <v>11650000</v>
      </c>
      <c r="L18" s="498" t="n">
        <v>362000000</v>
      </c>
      <c r="M18" s="498" t="n">
        <v>26033561.64383562</v>
      </c>
      <c r="N18" s="498" t="n">
        <v>526383561.6438356</v>
      </c>
      <c r="O18" s="499" t="n">
        <v>0.6055750683915241</v>
      </c>
      <c r="P18" s="499" t="n">
        <v>0.9358116570079636</v>
      </c>
    </row>
    <row r="19" ht="15" customHeight="1" s="508">
      <c r="A19" s="973" t="inlineStr">
        <is>
          <t>Nation State</t>
        </is>
      </c>
      <c r="B19" s="973" t="inlineStr">
        <is>
          <t>Safety System Compromise</t>
        </is>
      </c>
      <c r="C19" s="973" t="n">
        <v>14</v>
      </c>
      <c r="D19" s="973" t="n">
        <v>120</v>
      </c>
      <c r="E19" s="444" t="n">
        <v>0.8</v>
      </c>
      <c r="F19" s="444" t="n">
        <v>1</v>
      </c>
      <c r="G19" s="498" t="n">
        <v>30684931.50684932</v>
      </c>
      <c r="H19" s="498" t="n">
        <v>328767123.2876712</v>
      </c>
      <c r="I19" s="498" t="n">
        <v>30684931.50684932</v>
      </c>
      <c r="J19" s="498" t="n">
        <v>328767123.2876712</v>
      </c>
      <c r="K19" s="498" t="n">
        <v>13050000</v>
      </c>
      <c r="L19" s="498" t="n">
        <v>419000000</v>
      </c>
      <c r="M19" s="498" t="n">
        <v>43734931.50684932</v>
      </c>
      <c r="N19" s="498" t="n">
        <v>747767123.2876712</v>
      </c>
      <c r="O19" s="499" t="n">
        <v>0.6095571500511756</v>
      </c>
      <c r="P19" s="499" t="n">
        <v>0.7856514871840687</v>
      </c>
    </row>
    <row r="20" ht="15" customHeight="1" s="508">
      <c r="A20" s="973" t="inlineStr">
        <is>
          <t>Nation State</t>
        </is>
      </c>
      <c r="B20" s="973" t="inlineStr">
        <is>
          <t>Destructive or Integrity Attack</t>
        </is>
      </c>
      <c r="C20" s="973" t="n">
        <v>30</v>
      </c>
      <c r="D20" s="973" t="n">
        <v>180</v>
      </c>
      <c r="E20" s="444" t="n">
        <v>1</v>
      </c>
      <c r="F20" s="444" t="n">
        <v>1</v>
      </c>
      <c r="G20" s="498" t="n">
        <v>82191780.8219178</v>
      </c>
      <c r="H20" s="498" t="n">
        <v>493150684.9315068</v>
      </c>
      <c r="I20" s="498" t="n">
        <v>82191780.8219178</v>
      </c>
      <c r="J20" s="498" t="n">
        <v>493150684.9315068</v>
      </c>
      <c r="K20" s="498" t="n">
        <v>16250000</v>
      </c>
      <c r="L20" s="498" t="n">
        <v>476000000</v>
      </c>
      <c r="M20" s="498" t="n">
        <v>98441780.8219178</v>
      </c>
      <c r="N20" s="498" t="n">
        <v>969150684.9315069</v>
      </c>
      <c r="O20" s="499" t="n">
        <v>0.6138786975464345</v>
      </c>
      <c r="P20" s="499" t="n">
        <v>0.787329083418469</v>
      </c>
    </row>
    <row r="21" ht="15" customHeight="1" s="508">
      <c r="A21" s="973" t="inlineStr">
        <is>
          <t>Cybercriminal</t>
        </is>
      </c>
      <c r="B21" s="973" t="inlineStr">
        <is>
          <t>Operational Disruption</t>
        </is>
      </c>
      <c r="C21" s="973" t="n">
        <v>5</v>
      </c>
      <c r="D21" s="973" t="n">
        <v>45</v>
      </c>
      <c r="E21" s="444" t="n">
        <v>0.75</v>
      </c>
      <c r="F21" s="444" t="n">
        <v>1</v>
      </c>
      <c r="G21" s="498" t="n">
        <v>10273972.60273973</v>
      </c>
      <c r="H21" s="498" t="n">
        <v>123287671.2328767</v>
      </c>
      <c r="I21" s="498" t="n">
        <v>10273972.60273973</v>
      </c>
      <c r="J21" s="498" t="n">
        <v>123287671.2328767</v>
      </c>
      <c r="K21" s="498" t="n">
        <v>8750000</v>
      </c>
      <c r="L21" s="498" t="n">
        <v>137750000</v>
      </c>
      <c r="M21" s="498" t="n">
        <v>19023972.60273973</v>
      </c>
      <c r="N21" s="498" t="n">
        <v>261037671.2328767</v>
      </c>
      <c r="O21" s="499" t="n">
        <v>0.6061868625209156</v>
      </c>
      <c r="P21" s="499" t="n">
        <v>0.8593534155592821</v>
      </c>
    </row>
    <row r="22" ht="15" customHeight="1" s="508">
      <c r="A22" s="973" t="inlineStr">
        <is>
          <t>Cybercriminal</t>
        </is>
      </c>
      <c r="B22" s="973" t="inlineStr">
        <is>
          <t>Loss of Control or Visibility</t>
        </is>
      </c>
      <c r="C22" s="973" t="n">
        <v>3</v>
      </c>
      <c r="D22" s="973" t="n">
        <v>30</v>
      </c>
      <c r="E22" s="444" t="n">
        <v>0.5</v>
      </c>
      <c r="F22" s="444" t="n">
        <v>1</v>
      </c>
      <c r="G22" s="498" t="n">
        <v>4109589.04109589</v>
      </c>
      <c r="H22" s="498" t="n">
        <v>82191780.8219178</v>
      </c>
      <c r="I22" s="498" t="n">
        <v>4109589.04109589</v>
      </c>
      <c r="J22" s="498" t="n">
        <v>82191780.8219178</v>
      </c>
      <c r="K22" s="498" t="n">
        <v>6350000</v>
      </c>
      <c r="L22" s="498" t="n">
        <v>98500000</v>
      </c>
      <c r="M22" s="498" t="n">
        <v>10459589.04109589</v>
      </c>
      <c r="N22" s="498" t="n">
        <v>180691780.8219178</v>
      </c>
      <c r="O22" s="499" t="n">
        <v>0.5947935974508824</v>
      </c>
      <c r="P22" s="499" t="n">
        <v>0.8238887624450589</v>
      </c>
    </row>
    <row r="23" ht="15" customHeight="1" s="508">
      <c r="A23" s="973" t="inlineStr">
        <is>
          <t>Cybercriminal</t>
        </is>
      </c>
      <c r="B23" s="973" t="inlineStr">
        <is>
          <t>Process Manipulation</t>
        </is>
      </c>
      <c r="C23" s="973" t="n">
        <v>7</v>
      </c>
      <c r="D23" s="973" t="n">
        <v>60</v>
      </c>
      <c r="E23" s="444" t="n">
        <v>0.75</v>
      </c>
      <c r="F23" s="444" t="n">
        <v>1</v>
      </c>
      <c r="G23" s="498" t="n">
        <v>14383561.64383562</v>
      </c>
      <c r="H23" s="498" t="n">
        <v>164383561.6438356</v>
      </c>
      <c r="I23" s="498" t="n">
        <v>14383561.64383562</v>
      </c>
      <c r="J23" s="498" t="n">
        <v>164383561.6438356</v>
      </c>
      <c r="K23" s="498" t="n">
        <v>11650000</v>
      </c>
      <c r="L23" s="498" t="n">
        <v>362000000</v>
      </c>
      <c r="M23" s="498" t="n">
        <v>26033561.64383562</v>
      </c>
      <c r="N23" s="498" t="n">
        <v>526383561.6438356</v>
      </c>
      <c r="O23" s="499" t="n">
        <v>0.6055750683915241</v>
      </c>
      <c r="P23" s="499" t="n">
        <v>0.9358116570079636</v>
      </c>
    </row>
    <row r="24" ht="15" customHeight="1" s="508">
      <c r="A24" s="973" t="inlineStr">
        <is>
          <t>Cybercriminal</t>
        </is>
      </c>
      <c r="B24" s="973" t="inlineStr">
        <is>
          <t>Safety System Compromise</t>
        </is>
      </c>
      <c r="C24" s="973" t="n">
        <v>14</v>
      </c>
      <c r="D24" s="973" t="n">
        <v>120</v>
      </c>
      <c r="E24" s="444" t="n">
        <v>0.8</v>
      </c>
      <c r="F24" s="444" t="n">
        <v>1</v>
      </c>
      <c r="G24" s="498" t="n">
        <v>30684931.50684932</v>
      </c>
      <c r="H24" s="498" t="n">
        <v>328767123.2876712</v>
      </c>
      <c r="I24" s="498" t="n">
        <v>30684931.50684932</v>
      </c>
      <c r="J24" s="498" t="n">
        <v>328767123.2876712</v>
      </c>
      <c r="K24" s="498" t="n">
        <v>13050000</v>
      </c>
      <c r="L24" s="498" t="n">
        <v>419000000</v>
      </c>
      <c r="M24" s="498" t="n">
        <v>43734931.50684932</v>
      </c>
      <c r="N24" s="498" t="n">
        <v>747767123.2876712</v>
      </c>
      <c r="O24" s="499" t="n">
        <v>0.6095571500511756</v>
      </c>
      <c r="P24" s="499" t="n">
        <v>0.7856514871840687</v>
      </c>
    </row>
    <row r="25" ht="15" customHeight="1" s="508">
      <c r="A25" s="973" t="inlineStr">
        <is>
          <t>Cybercriminal</t>
        </is>
      </c>
      <c r="B25" s="973" t="inlineStr">
        <is>
          <t>Destructive or Integrity Attack</t>
        </is>
      </c>
      <c r="C25" s="973" t="n">
        <v>30</v>
      </c>
      <c r="D25" s="973" t="n">
        <v>180</v>
      </c>
      <c r="E25" s="444" t="n">
        <v>1</v>
      </c>
      <c r="F25" s="444" t="n">
        <v>1</v>
      </c>
      <c r="G25" s="498" t="n">
        <v>82191780.8219178</v>
      </c>
      <c r="H25" s="498" t="n">
        <v>493150684.9315068</v>
      </c>
      <c r="I25" s="498" t="n">
        <v>82191780.8219178</v>
      </c>
      <c r="J25" s="498" t="n">
        <v>493150684.9315068</v>
      </c>
      <c r="K25" s="498" t="n">
        <v>18250000</v>
      </c>
      <c r="L25" s="498" t="n">
        <v>501000000</v>
      </c>
      <c r="M25" s="498" t="n">
        <v>100441780.8219178</v>
      </c>
      <c r="N25" s="498" t="n">
        <v>994150684.9315069</v>
      </c>
      <c r="O25" s="499" t="n">
        <v>0.6138786975464345</v>
      </c>
      <c r="P25" s="499" t="n">
        <v>0.7983875615074458</v>
      </c>
    </row>
    <row r="26" ht="15" customHeight="1" s="508">
      <c r="A26" s="973" t="inlineStr">
        <is>
          <t>Malicious Insider</t>
        </is>
      </c>
      <c r="B26" s="973" t="inlineStr">
        <is>
          <t>Operational Disruption</t>
        </is>
      </c>
      <c r="C26" s="973" t="n">
        <v>5</v>
      </c>
      <c r="D26" s="973" t="n">
        <v>45</v>
      </c>
      <c r="E26" s="444" t="n">
        <v>0.75</v>
      </c>
      <c r="F26" s="444" t="n">
        <v>1</v>
      </c>
      <c r="G26" s="498" t="n">
        <v>10273972.60273973</v>
      </c>
      <c r="H26" s="498" t="n">
        <v>123287671.2328767</v>
      </c>
      <c r="I26" s="498" t="n">
        <v>10273972.60273973</v>
      </c>
      <c r="J26" s="498" t="n">
        <v>123287671.2328767</v>
      </c>
      <c r="K26" s="498" t="n">
        <v>6750000</v>
      </c>
      <c r="L26" s="498" t="n">
        <v>112750000</v>
      </c>
      <c r="M26" s="498" t="n">
        <v>17023972.60273973</v>
      </c>
      <c r="N26" s="498" t="n">
        <v>236037671.2328767</v>
      </c>
      <c r="O26" s="499" t="n">
        <v>0.607655201638986</v>
      </c>
      <c r="P26" s="499" t="n">
        <v>0.8275755261877391</v>
      </c>
    </row>
    <row r="27" ht="15" customHeight="1" s="508">
      <c r="A27" s="973" t="inlineStr">
        <is>
          <t>Malicious Insider</t>
        </is>
      </c>
      <c r="B27" s="973" t="inlineStr">
        <is>
          <t>Loss of Control or Visibility</t>
        </is>
      </c>
      <c r="C27" s="973" t="n">
        <v>3</v>
      </c>
      <c r="D27" s="973" t="n">
        <v>30</v>
      </c>
      <c r="E27" s="444" t="n">
        <v>0.5</v>
      </c>
      <c r="F27" s="444" t="n">
        <v>1</v>
      </c>
      <c r="G27" s="498" t="n">
        <v>4109589.04109589</v>
      </c>
      <c r="H27" s="498" t="n">
        <v>82191780.8219178</v>
      </c>
      <c r="I27" s="498" t="n">
        <v>4109589.04109589</v>
      </c>
      <c r="J27" s="498" t="n">
        <v>82191780.8219178</v>
      </c>
      <c r="K27" s="498" t="n">
        <v>6350000</v>
      </c>
      <c r="L27" s="498" t="n">
        <v>98500000</v>
      </c>
      <c r="M27" s="498" t="n">
        <v>10459589.04109589</v>
      </c>
      <c r="N27" s="498" t="n">
        <v>180691780.8219178</v>
      </c>
      <c r="O27" s="499" t="n">
        <v>0.5962343391764338</v>
      </c>
      <c r="P27" s="499" t="n">
        <v>0.8238887624450589</v>
      </c>
    </row>
    <row r="28" ht="15" customHeight="1" s="508">
      <c r="A28" s="973" t="inlineStr">
        <is>
          <t>Malicious Insider</t>
        </is>
      </c>
      <c r="B28" s="973" t="inlineStr">
        <is>
          <t>Process Manipulation</t>
        </is>
      </c>
      <c r="C28" s="973" t="n">
        <v>7</v>
      </c>
      <c r="D28" s="973" t="n">
        <v>60</v>
      </c>
      <c r="E28" s="444" t="n">
        <v>0.75</v>
      </c>
      <c r="F28" s="444" t="n">
        <v>1</v>
      </c>
      <c r="G28" s="498" t="n">
        <v>14383561.64383562</v>
      </c>
      <c r="H28" s="498" t="n">
        <v>164383561.6438356</v>
      </c>
      <c r="I28" s="498" t="n">
        <v>14383561.64383562</v>
      </c>
      <c r="J28" s="498" t="n">
        <v>164383561.6438356</v>
      </c>
      <c r="K28" s="498" t="n">
        <v>11650000</v>
      </c>
      <c r="L28" s="498" t="n">
        <v>362000000</v>
      </c>
      <c r="M28" s="498" t="n">
        <v>26033561.64383562</v>
      </c>
      <c r="N28" s="498" t="n">
        <v>526383561.6438356</v>
      </c>
      <c r="O28" s="499" t="n">
        <v>0.6070074377435121</v>
      </c>
      <c r="P28" s="499" t="n">
        <v>0.9358116570079636</v>
      </c>
    </row>
    <row r="29" ht="15" customHeight="1" s="508">
      <c r="A29" s="973" t="inlineStr">
        <is>
          <t>Malicious Insider</t>
        </is>
      </c>
      <c r="B29" s="973" t="inlineStr">
        <is>
          <t>Safety System Compromise</t>
        </is>
      </c>
      <c r="C29" s="973" t="n">
        <v>14</v>
      </c>
      <c r="D29" s="973" t="n">
        <v>120</v>
      </c>
      <c r="E29" s="444" t="n">
        <v>0.8</v>
      </c>
      <c r="F29" s="444" t="n">
        <v>1</v>
      </c>
      <c r="G29" s="498" t="n">
        <v>30684931.50684932</v>
      </c>
      <c r="H29" s="498" t="n">
        <v>328767123.2876712</v>
      </c>
      <c r="I29" s="498" t="n">
        <v>30684931.50684932</v>
      </c>
      <c r="J29" s="498" t="n">
        <v>328767123.2876712</v>
      </c>
      <c r="K29" s="498" t="n">
        <v>13050000</v>
      </c>
      <c r="L29" s="498" t="n">
        <v>419000000</v>
      </c>
      <c r="M29" s="498" t="n">
        <v>43734931.50684932</v>
      </c>
      <c r="N29" s="498" t="n">
        <v>747767123.2876712</v>
      </c>
      <c r="O29" s="499" t="n">
        <v>0.6109989382382909</v>
      </c>
      <c r="P29" s="499" t="n">
        <v>0.7856514871840687</v>
      </c>
    </row>
    <row r="30" ht="15" customHeight="1" s="508">
      <c r="A30" s="973" t="inlineStr">
        <is>
          <t>Malicious Insider</t>
        </is>
      </c>
      <c r="B30" s="973" t="inlineStr">
        <is>
          <t>Destructive or Integrity Attack</t>
        </is>
      </c>
      <c r="C30" s="973" t="n">
        <v>30</v>
      </c>
      <c r="D30" s="973" t="n">
        <v>180</v>
      </c>
      <c r="E30" s="444" t="n">
        <v>1</v>
      </c>
      <c r="F30" s="444" t="n">
        <v>1</v>
      </c>
      <c r="G30" s="498" t="n">
        <v>82191780.8219178</v>
      </c>
      <c r="H30" s="498" t="n">
        <v>493150684.9315068</v>
      </c>
      <c r="I30" s="498" t="n">
        <v>82191780.8219178</v>
      </c>
      <c r="J30" s="498" t="n">
        <v>493150684.9315068</v>
      </c>
      <c r="K30" s="498" t="n">
        <v>16250000</v>
      </c>
      <c r="L30" s="498" t="n">
        <v>476000000</v>
      </c>
      <c r="M30" s="498" t="n">
        <v>98441780.8219178</v>
      </c>
      <c r="N30" s="498" t="n">
        <v>969150684.9315069</v>
      </c>
      <c r="O30" s="499" t="n">
        <v>0.6152278989398963</v>
      </c>
      <c r="P30" s="499" t="n">
        <v>0.787329083418469</v>
      </c>
    </row>
    <row r="31" ht="15" customHeight="1" s="508">
      <c r="A31" s="973" t="n"/>
      <c r="B31" s="973" t="n"/>
      <c r="C31" s="973" t="n"/>
      <c r="D31" s="973" t="n"/>
      <c r="E31" s="444" t="n"/>
      <c r="F31" s="444" t="n"/>
      <c r="G31" s="498" t="n"/>
      <c r="H31" s="498" t="n"/>
      <c r="I31" s="498" t="n"/>
      <c r="J31" s="498" t="n"/>
      <c r="K31" s="498" t="n"/>
      <c r="L31" s="498" t="n"/>
      <c r="M31" s="498" t="n"/>
      <c r="N31" s="498" t="n"/>
      <c r="O31" s="499" t="n"/>
      <c r="P31" s="499" t="n"/>
    </row>
    <row r="32" ht="15" customHeight="1" s="508">
      <c r="A32" s="973" t="n"/>
      <c r="B32" s="973" t="n"/>
      <c r="C32" s="973" t="n"/>
      <c r="D32" s="973" t="n"/>
      <c r="E32" s="444" t="n"/>
      <c r="F32" s="444" t="n"/>
      <c r="G32" s="498" t="n"/>
      <c r="H32" s="498" t="n"/>
      <c r="I32" s="498" t="n"/>
      <c r="J32" s="498" t="n"/>
      <c r="K32" s="498" t="n"/>
      <c r="L32" s="498" t="n"/>
      <c r="M32" s="498" t="n"/>
      <c r="N32" s="498" t="n"/>
      <c r="O32" s="499" t="n"/>
      <c r="P32" s="499" t="n"/>
    </row>
    <row r="33" ht="15" customHeight="1" s="508">
      <c r="A33" s="973" t="n"/>
      <c r="B33" s="973" t="n"/>
      <c r="C33" s="973" t="n"/>
      <c r="D33" s="973" t="n"/>
      <c r="E33" s="444" t="n"/>
      <c r="F33" s="444" t="n"/>
      <c r="G33" s="498" t="n"/>
      <c r="H33" s="498" t="n"/>
      <c r="I33" s="498" t="n"/>
      <c r="J33" s="498" t="n"/>
      <c r="K33" s="498" t="n"/>
      <c r="L33" s="498" t="n"/>
      <c r="M33" s="498" t="n"/>
      <c r="N33" s="498" t="n"/>
      <c r="O33" s="499" t="n"/>
      <c r="P33" s="499" t="n"/>
    </row>
    <row r="34" ht="15" customHeight="1" s="508">
      <c r="A34" s="973" t="n"/>
      <c r="B34" s="973" t="n"/>
      <c r="C34" s="973" t="n"/>
      <c r="D34" s="973" t="n"/>
      <c r="E34" s="444" t="n"/>
      <c r="F34" s="444" t="n"/>
      <c r="G34" s="498" t="n"/>
      <c r="H34" s="498" t="n"/>
      <c r="I34" s="498" t="n"/>
      <c r="J34" s="498" t="n"/>
      <c r="K34" s="498" t="n"/>
      <c r="L34" s="498" t="n"/>
      <c r="M34" s="498" t="n"/>
      <c r="N34" s="498" t="n"/>
      <c r="O34" s="499" t="n"/>
      <c r="P34" s="499" t="n"/>
    </row>
    <row r="35" ht="15" customHeight="1" s="508">
      <c r="A35" s="973" t="n"/>
      <c r="B35" s="973" t="n"/>
      <c r="C35" s="973" t="n"/>
      <c r="D35" s="973" t="n"/>
      <c r="E35" s="444" t="n"/>
      <c r="F35" s="444" t="n"/>
      <c r="G35" s="498" t="n"/>
      <c r="H35" s="498" t="n"/>
      <c r="I35" s="498" t="n"/>
      <c r="J35" s="498" t="n"/>
      <c r="K35" s="498" t="n"/>
      <c r="L35" s="498" t="n"/>
      <c r="M35" s="498" t="n"/>
      <c r="N35" s="498" t="n"/>
      <c r="O35" s="499" t="n"/>
      <c r="P35" s="499" t="n"/>
    </row>
    <row r="36" ht="15" customHeight="1" s="508">
      <c r="A36" s="973" t="n"/>
      <c r="B36" s="973" t="n"/>
      <c r="C36" s="973" t="n"/>
      <c r="D36" s="973" t="n"/>
      <c r="E36" s="444" t="n"/>
      <c r="F36" s="444" t="n"/>
      <c r="G36" s="498" t="n"/>
      <c r="H36" s="498" t="n"/>
      <c r="I36" s="498" t="n"/>
      <c r="J36" s="498" t="n"/>
      <c r="K36" s="498" t="n"/>
      <c r="L36" s="498" t="n"/>
      <c r="M36" s="498" t="n"/>
      <c r="N36" s="498" t="n"/>
      <c r="O36" s="499" t="n"/>
      <c r="P36" s="499" t="n"/>
    </row>
    <row r="37" ht="15" customHeight="1" s="508">
      <c r="A37" s="973" t="n"/>
      <c r="B37" s="973" t="n"/>
      <c r="C37" s="973" t="n"/>
      <c r="D37" s="973" t="n"/>
      <c r="E37" s="444" t="n"/>
      <c r="F37" s="444" t="n"/>
      <c r="G37" s="498" t="n"/>
      <c r="H37" s="498" t="n"/>
      <c r="I37" s="498" t="n"/>
      <c r="J37" s="498" t="n"/>
      <c r="K37" s="498" t="n"/>
      <c r="L37" s="498" t="n"/>
      <c r="M37" s="498" t="n"/>
      <c r="N37" s="498" t="n"/>
      <c r="O37" s="499" t="n"/>
      <c r="P37" s="499" t="n"/>
    </row>
    <row r="38" ht="15" customHeight="1" s="508">
      <c r="A38" s="973" t="n"/>
      <c r="B38" s="973" t="n"/>
      <c r="C38" s="973" t="n"/>
      <c r="D38" s="973" t="n"/>
      <c r="E38" s="444" t="n"/>
      <c r="F38" s="444" t="n"/>
      <c r="G38" s="498" t="n"/>
      <c r="H38" s="498" t="n"/>
      <c r="I38" s="498" t="n"/>
      <c r="J38" s="498" t="n"/>
      <c r="K38" s="498" t="n"/>
      <c r="L38" s="498" t="n"/>
      <c r="M38" s="498" t="n"/>
      <c r="N38" s="498" t="n"/>
      <c r="O38" s="499" t="n"/>
      <c r="P38" s="499" t="n"/>
    </row>
    <row r="39" ht="15" customHeight="1" s="508">
      <c r="A39" s="973" t="n"/>
      <c r="B39" s="973" t="n"/>
      <c r="C39" s="973" t="n"/>
      <c r="D39" s="973" t="n"/>
      <c r="E39" s="444" t="n"/>
      <c r="F39" s="444" t="n"/>
      <c r="G39" s="498" t="n"/>
      <c r="H39" s="498" t="n"/>
      <c r="I39" s="498" t="n"/>
      <c r="J39" s="498" t="n"/>
      <c r="K39" s="498" t="n"/>
      <c r="L39" s="498" t="n"/>
      <c r="M39" s="498" t="n"/>
      <c r="N39" s="498" t="n"/>
      <c r="O39" s="499" t="n"/>
      <c r="P39" s="499" t="n"/>
    </row>
    <row r="40" ht="15" customHeight="1" s="508">
      <c r="A40" s="973" t="n"/>
      <c r="B40" s="973" t="n"/>
      <c r="C40" s="973" t="n"/>
      <c r="D40" s="973" t="n"/>
      <c r="E40" s="444" t="n"/>
      <c r="F40" s="444" t="n"/>
      <c r="G40" s="498" t="n"/>
      <c r="H40" s="498" t="n"/>
      <c r="I40" s="498" t="n"/>
      <c r="J40" s="498" t="n"/>
      <c r="K40" s="498" t="n"/>
      <c r="L40" s="498" t="n"/>
      <c r="M40" s="498" t="n"/>
      <c r="N40" s="498" t="n"/>
      <c r="O40" s="499" t="n"/>
      <c r="P40" s="499" t="n"/>
    </row>
  </sheetData>
  <mergeCells count="13">
    <mergeCell ref="A9:N9"/>
    <mergeCell ref="A8:N8"/>
    <mergeCell ref="A3:N3"/>
    <mergeCell ref="A6:N6"/>
    <mergeCell ref="A12:N12"/>
    <mergeCell ref="A4:N4"/>
    <mergeCell ref="A2:N2"/>
    <mergeCell ref="A7:N7"/>
    <mergeCell ref="A11:N11"/>
    <mergeCell ref="A10:N10"/>
    <mergeCell ref="A5:N5"/>
    <mergeCell ref="A13:N13"/>
    <mergeCell ref="A1:N1"/>
  </mergeCells>
  <pageMargins left="0.7" right="0.7" top="0.75" bottom="0.75" header="0.3" footer="0.3"/>
</worksheet>
</file>

<file path=xl/worksheets/sheet55.xml><?xml version="1.0" encoding="utf-8"?>
<worksheet xmlns="http://schemas.openxmlformats.org/spreadsheetml/2006/main">
  <sheetPr>
    <tabColor rgb="007F7F7F"/>
    <outlinePr summaryBelow="1" summaryRight="1"/>
    <pageSetUpPr/>
  </sheetPr>
  <dimension ref="A1:F34"/>
  <sheetViews>
    <sheetView showGridLines="1" workbookViewId="0">
      <selection activeCell="A1" sqref="A1"/>
    </sheetView>
  </sheetViews>
  <sheetFormatPr baseColWidth="8" defaultColWidth="8.6796875" defaultRowHeight="15"/>
  <cols>
    <col width="25" customWidth="1" style="972" min="1" max="4"/>
    <col width="26" customWidth="1" style="972" min="5" max="5"/>
    <col width="28" customWidth="1" style="972" min="6" max="6"/>
  </cols>
  <sheetData>
    <row r="1" ht="21.75" customHeight="1" s="508">
      <c r="A1" s="456" t="inlineStr">
        <is>
          <t>18 — Actor × Scenario Risk Matrix</t>
        </is>
      </c>
    </row>
    <row r="2" ht="37.5" customHeight="1" s="508">
      <c r="A2" s="402" t="inlineStr">
        <is>
          <t>Purpose: Compare AAL, successful-event frequency and conditional attack-success probability across all 15 actor-scenario cells.</t>
        </is>
      </c>
    </row>
    <row r="3" ht="37.5" customHeight="1" s="508">
      <c r="A3" s="403" t="inlineStr">
        <is>
          <t>In plain English: this is the quick 3 × 5 comparison view showing which combinations matter most.</t>
        </is>
      </c>
    </row>
    <row r="4" ht="21.75" customHeight="1" s="508">
      <c r="A4" s="457" t="inlineStr">
        <is>
          <t>SHEET TYPE: MODEL RESULT</t>
        </is>
      </c>
    </row>
    <row r="5" ht="21.75" customHeight="1" s="508">
      <c r="A5" s="405" t="inlineStr">
        <is>
          <t>Inputs / upstream sources</t>
        </is>
      </c>
    </row>
    <row r="6" ht="30" customHeight="1" s="508">
      <c r="A6" s="406" t="inlineStr">
        <is>
          <t>Same coherent 500,000-year facility simulation used by 02 Executive Summary.</t>
        </is>
      </c>
    </row>
    <row r="7" ht="30" customHeight="1" s="508">
      <c r="A7" s="405" t="inlineStr">
        <is>
          <t>Calculation / decision logic</t>
        </is>
      </c>
    </row>
    <row r="8" ht="30" customHeight="1" s="508">
      <c r="A8" s="406" t="inlineStr">
        <is>
          <t>AAL matrix cells are mean annual losses attributable to each actor-scenario cell. Successful-event frequency is events / simulated years. P(success | attempt) is the mean sampled success probability for attempts in that cell.</t>
        </is>
      </c>
    </row>
    <row r="9" ht="30" customHeight="1" s="508">
      <c r="A9" s="405" t="inlineStr">
        <is>
          <t>Key assumptions / defaults</t>
        </is>
      </c>
    </row>
    <row r="10" ht="30" customHeight="1" s="508">
      <c r="A10" s="406" t="inlineStr">
        <is>
          <t>The 15 cells are not simulated as 15 independent Poisson processes; they are decompositions of campaigns that each have exactly one actor and one scenario.</t>
        </is>
      </c>
    </row>
    <row r="11" ht="30" customHeight="1" s="508">
      <c r="A11" s="405" t="inlineStr">
        <is>
          <t>Outputs / downstream use</t>
        </is>
      </c>
    </row>
    <row r="12" ht="30" customHeight="1" s="508">
      <c r="A12" s="406" t="inlineStr">
        <is>
          <t>Detailed results basis: Prudent (reporting selection: Both)</t>
        </is>
      </c>
    </row>
    <row r="13" ht="30" customHeight="1" s="508">
      <c r="A13" s="407" t="inlineStr">
        <is>
          <t>Workbook convention: yellow cells / blue font are editable inputs or calibration assumptions; engine-output cells are not manually editable.</t>
        </is>
      </c>
    </row>
    <row r="15" ht="15" customHeight="1" s="508">
      <c r="A15" s="458" t="inlineStr">
        <is>
          <t>AAL contribution</t>
        </is>
      </c>
      <c r="B15" s="458" t="inlineStr">
        <is>
          <t>Operational Disruption</t>
        </is>
      </c>
      <c r="C15" s="458" t="inlineStr">
        <is>
          <t>Loss of Control or Visibility</t>
        </is>
      </c>
      <c r="D15" s="458" t="inlineStr">
        <is>
          <t>Process Manipulation</t>
        </is>
      </c>
      <c r="E15" s="458" t="inlineStr">
        <is>
          <t>Safety System Compromise</t>
        </is>
      </c>
      <c r="F15" s="458" t="inlineStr">
        <is>
          <t>Destructive or Integrity Attack</t>
        </is>
      </c>
    </row>
    <row r="16" ht="15" customHeight="1" s="508">
      <c r="A16" s="972" t="inlineStr">
        <is>
          <t>Nation State</t>
        </is>
      </c>
      <c r="B16" s="422" t="n">
        <v>92924.066640986</v>
      </c>
      <c r="C16" s="422" t="n">
        <v>41653.96287767745</v>
      </c>
      <c r="D16" s="422" t="n">
        <v>125015.945294825</v>
      </c>
      <c r="E16" s="422" t="n">
        <v>97957.55499585599</v>
      </c>
      <c r="F16" s="422" t="n">
        <v>199300.3321640753</v>
      </c>
    </row>
    <row r="17" ht="15" customHeight="1" s="508">
      <c r="A17" s="972" t="inlineStr">
        <is>
          <t>Cybercriminal</t>
        </is>
      </c>
      <c r="B17" s="422" t="n">
        <v>668409.3864888496</v>
      </c>
      <c r="C17" s="422" t="n">
        <v>58622.66493337096</v>
      </c>
      <c r="D17" s="422" t="n">
        <v>53447.59753350171</v>
      </c>
      <c r="E17" s="422" t="n">
        <v>32971.29688727984</v>
      </c>
      <c r="F17" s="422" t="n">
        <v>289112.80386214</v>
      </c>
    </row>
    <row r="18" ht="15" customHeight="1" s="508">
      <c r="A18" s="972" t="inlineStr">
        <is>
          <t>Malicious Insider</t>
        </is>
      </c>
      <c r="B18" s="422" t="n">
        <v>51109.23098349786</v>
      </c>
      <c r="C18" s="422" t="n">
        <v>18408.88308527843</v>
      </c>
      <c r="D18" s="422" t="n">
        <v>48054.52137350215</v>
      </c>
      <c r="E18" s="422" t="n">
        <v>34120.16439993525</v>
      </c>
      <c r="F18" s="422" t="n">
        <v>124634.5672660176</v>
      </c>
    </row>
    <row r="23" ht="15" customHeight="1" s="508">
      <c r="A23" s="458" t="inlineStr">
        <is>
          <t>Successful event frequency / year</t>
        </is>
      </c>
      <c r="B23" s="458" t="inlineStr">
        <is>
          <t>Operational Disruption</t>
        </is>
      </c>
      <c r="C23" s="458" t="inlineStr">
        <is>
          <t>Loss of Control or Visibility</t>
        </is>
      </c>
      <c r="D23" s="458" t="inlineStr">
        <is>
          <t>Process Manipulation</t>
        </is>
      </c>
      <c r="E23" s="458" t="inlineStr">
        <is>
          <t>Safety System Compromise</t>
        </is>
      </c>
      <c r="F23" s="458" t="inlineStr">
        <is>
          <t>Destructive or Integrity Attack</t>
        </is>
      </c>
    </row>
    <row r="24" ht="15" customHeight="1" s="508">
      <c r="A24" s="972" t="inlineStr">
        <is>
          <t>Nation State</t>
        </is>
      </c>
      <c r="B24" s="453" t="n">
        <v>0.0042</v>
      </c>
      <c r="C24" s="453" t="n">
        <v>0.002476</v>
      </c>
      <c r="D24" s="453" t="n">
        <v>0.002762</v>
      </c>
      <c r="E24" s="453" t="n">
        <v>0.00143</v>
      </c>
      <c r="F24" s="453" t="n">
        <v>0.001878</v>
      </c>
    </row>
    <row r="25" ht="15" customHeight="1" s="508">
      <c r="A25" s="972" t="inlineStr">
        <is>
          <t>Cybercriminal</t>
        </is>
      </c>
      <c r="B25" s="453" t="n">
        <v>0.02554</v>
      </c>
      <c r="C25" s="453" t="n">
        <v>0.003426</v>
      </c>
      <c r="D25" s="453" t="n">
        <v>0.001186</v>
      </c>
      <c r="E25" s="453" t="n">
        <v>0.000434</v>
      </c>
      <c r="F25" s="453" t="n">
        <v>0.00259</v>
      </c>
    </row>
    <row r="26" ht="15" customHeight="1" s="508">
      <c r="A26" s="972" t="inlineStr">
        <is>
          <t>Malicious Insider</t>
        </is>
      </c>
      <c r="B26" s="453" t="n">
        <v>0.002222</v>
      </c>
      <c r="C26" s="453" t="n">
        <v>0.001104</v>
      </c>
      <c r="D26" s="453" t="n">
        <v>0.000936</v>
      </c>
      <c r="E26" s="453" t="n">
        <v>0.000454</v>
      </c>
      <c r="F26" s="453" t="n">
        <v>0.00114</v>
      </c>
    </row>
    <row r="31" ht="15" customHeight="1" s="508">
      <c r="A31" s="458" t="inlineStr">
        <is>
          <t>P(success | attempt)</t>
        </is>
      </c>
      <c r="B31" s="458" t="inlineStr">
        <is>
          <t>Operational Disruption</t>
        </is>
      </c>
      <c r="C31" s="458" t="inlineStr">
        <is>
          <t>Loss of Control or Visibility</t>
        </is>
      </c>
      <c r="D31" s="458" t="inlineStr">
        <is>
          <t>Process Manipulation</t>
        </is>
      </c>
      <c r="E31" s="458" t="inlineStr">
        <is>
          <t>Safety System Compromise</t>
        </is>
      </c>
      <c r="F31" s="458" t="inlineStr">
        <is>
          <t>Destructive or Integrity Attack</t>
        </is>
      </c>
    </row>
    <row r="32" ht="15" customHeight="1" s="508">
      <c r="A32" s="972" t="inlineStr">
        <is>
          <t>Nation State</t>
        </is>
      </c>
      <c r="B32" s="455" t="n">
        <v>0.0935465114714585</v>
      </c>
      <c r="C32" s="455" t="n">
        <v>0.08847435383412718</v>
      </c>
      <c r="D32" s="455" t="n">
        <v>0.06190129489478453</v>
      </c>
      <c r="E32" s="455" t="n">
        <v>0.05464284744821452</v>
      </c>
      <c r="F32" s="455" t="n">
        <v>0.052850327877553</v>
      </c>
    </row>
    <row r="33" ht="15" customHeight="1" s="508">
      <c r="A33" s="972" t="inlineStr">
        <is>
          <t>Cybercriminal</t>
        </is>
      </c>
      <c r="B33" s="455" t="n">
        <v>0.05418268201095253</v>
      </c>
      <c r="C33" s="455" t="n">
        <v>0.05124485888906311</v>
      </c>
      <c r="D33" s="455" t="n">
        <v>0.0358535890285297</v>
      </c>
      <c r="E33" s="455" t="n">
        <v>0.03164945416872034</v>
      </c>
      <c r="F33" s="455" t="n">
        <v>0.03061121643683875</v>
      </c>
    </row>
    <row r="34" ht="15" customHeight="1" s="508">
      <c r="A34" s="972" t="inlineStr">
        <is>
          <t>Malicious Insider</t>
        </is>
      </c>
      <c r="B34" s="455" t="n">
        <v>0.1675476859899847</v>
      </c>
      <c r="C34" s="455" t="n">
        <v>0.1584631326299102</v>
      </c>
      <c r="D34" s="455" t="n">
        <v>0.1109562255551452</v>
      </c>
      <c r="E34" s="455" t="n">
        <v>0.09786877673835447</v>
      </c>
      <c r="F34" s="455" t="n">
        <v>0.0946582614403283</v>
      </c>
    </row>
  </sheetData>
  <mergeCells count="13">
    <mergeCell ref="A2:F2"/>
    <mergeCell ref="A11:F11"/>
    <mergeCell ref="A10:F10"/>
    <mergeCell ref="A13:F13"/>
    <mergeCell ref="A1:F1"/>
    <mergeCell ref="A5:F5"/>
    <mergeCell ref="A9:F9"/>
    <mergeCell ref="A8:F8"/>
    <mergeCell ref="A6:F6"/>
    <mergeCell ref="A12:F12"/>
    <mergeCell ref="A4:F4"/>
    <mergeCell ref="A3:F3"/>
    <mergeCell ref="A7:F7"/>
  </mergeCells>
  <conditionalFormatting sqref="B16:F18">
    <cfRule type="colorScale" priority="2">
      <colorScale>
        <cfvo type="min" val="0"/>
        <cfvo type="percentile" val="50"/>
        <cfvo type="max" val="0"/>
        <color rgb="FFE2F0D9"/>
        <color rgb="FFFFF2CC"/>
        <color rgb="FFF4CCCC"/>
      </colorScale>
    </cfRule>
  </conditionalFormatting>
  <conditionalFormatting sqref="B24:F26">
    <cfRule type="colorScale" priority="3">
      <colorScale>
        <cfvo type="min" val="0"/>
        <cfvo type="percentile" val="50"/>
        <cfvo type="max" val="0"/>
        <color rgb="FFE2F0D9"/>
        <color rgb="FFFFF2CC"/>
        <color rgb="FFF4CCCC"/>
      </colorScale>
    </cfRule>
  </conditionalFormatting>
  <conditionalFormatting sqref="B32:F34">
    <cfRule type="colorScale" priority="4">
      <colorScale>
        <cfvo type="min" val="0"/>
        <cfvo type="percentile" val="50"/>
        <cfvo type="max" val="0"/>
        <color rgb="FFE2F0D9"/>
        <color rgb="FFFFF2CC"/>
        <color rgb="FFF4CCCC"/>
      </colorScale>
    </cfRule>
  </conditionalFormatting>
  <pageMargins left="0.7" right="0.7" top="0.75" bottom="0.75" header="0.3" footer="0.3"/>
</worksheet>
</file>

<file path=xl/worksheets/sheet56.xml><?xml version="1.0" encoding="utf-8"?>
<worksheet xmlns="http://schemas.openxmlformats.org/spreadsheetml/2006/main">
  <sheetPr>
    <tabColor rgb="007F7F7F"/>
    <outlinePr summaryBelow="1" summaryRight="1"/>
    <pageSetUpPr/>
  </sheetPr>
  <dimension ref="A1:O40"/>
  <sheetViews>
    <sheetView showGridLines="1" workbookViewId="0">
      <selection activeCell="A1" sqref="A1"/>
    </sheetView>
  </sheetViews>
  <sheetFormatPr baseColWidth="8" defaultColWidth="8.6796875" defaultRowHeight="15"/>
  <cols>
    <col width="18" customWidth="1" style="972" min="1" max="1"/>
    <col width="15" customWidth="1" style="508" min="2" max="2"/>
    <col width="18" customWidth="1" style="508" min="3" max="3"/>
    <col width="18" customWidth="1" style="508" min="4" max="4"/>
    <col width="18" customWidth="1" style="508" min="5" max="5"/>
    <col width="18" customWidth="1" style="972" min="6" max="6"/>
    <col width="24" customWidth="1" style="972" min="7" max="7"/>
    <col width="24" customWidth="1" style="972" min="8" max="8"/>
    <col width="24" customWidth="1" style="972" min="9" max="9"/>
    <col width="24" customWidth="1" style="508" min="10" max="10"/>
    <col width="22" customWidth="1" style="508" min="12" max="12"/>
    <col width="22" customWidth="1" style="508" min="13" max="13"/>
    <col width="22" customWidth="1" style="508" min="14" max="14"/>
    <col width="22" customWidth="1" style="508" min="15" max="15"/>
  </cols>
  <sheetData>
    <row r="1" ht="21.75" customHeight="1" s="508">
      <c r="A1" s="456" t="inlineStr">
        <is>
          <t>19 — AEP / OEP Tail Risk &amp; Expected Shortfall</t>
        </is>
      </c>
    </row>
    <row r="2" ht="37.5" customHeight="1" s="508">
      <c r="A2" s="402" t="inlineStr">
        <is>
          <t>Purpose: Report annual aggregate and single-occurrence financial/downtime tail metrics at multiple return periods.</t>
        </is>
      </c>
    </row>
    <row r="3" ht="37.5" customHeight="1" s="508">
      <c r="A3" s="403" t="inlineStr">
        <is>
          <t>In plain English: this table answers how severe a bad year can be, and distinguishes total annual loss from the largest single event.</t>
        </is>
      </c>
    </row>
    <row r="4" ht="21.75" customHeight="1" s="508">
      <c r="A4" s="457" t="inlineStr">
        <is>
          <t>SHEET TYPE: MODEL RESULT</t>
        </is>
      </c>
    </row>
    <row r="5" ht="21.75" customHeight="1" s="508">
      <c r="A5" s="405" t="inlineStr">
        <is>
          <t>Inputs / upstream sources</t>
        </is>
      </c>
    </row>
    <row r="6" ht="30" customHeight="1" s="508">
      <c r="A6" s="406" t="inlineStr">
        <is>
          <t>500,000 simulated annual aggregate and occurrence loss/downtime arrays.</t>
        </is>
      </c>
    </row>
    <row r="7" ht="30" customHeight="1" s="508">
      <c r="A7" s="405" t="inlineStr">
        <is>
          <t>Calculation / decision logic</t>
        </is>
      </c>
    </row>
    <row r="8" ht="30" customHeight="1" s="508">
      <c r="A8" s="406" t="inlineStr">
        <is>
          <t>Tail metrics are calculated from unconditional annual loss distributions, including zero-loss years. When Both is selected, the table reports Best Estimate and Prudent separately. Risk financing uses the selected TVaR basis less retention; it is not expected loss above retention.</t>
        </is>
      </c>
      <c r="J8" s="972" t="n"/>
      <c r="K8" s="972" t="n"/>
      <c r="L8" s="972" t="n"/>
      <c r="M8" s="972" t="n"/>
      <c r="N8" s="972" t="n"/>
      <c r="O8" s="972" t="n"/>
    </row>
    <row r="9" ht="30" customHeight="1" s="508">
      <c r="A9" s="405" t="inlineStr">
        <is>
          <t>Key assumptions / defaults</t>
        </is>
      </c>
    </row>
    <row r="10" ht="30" customHeight="1" s="508">
      <c r="A10" s="406" t="inlineStr">
        <is>
          <t>Return-period labels are annual distribution percentiles; they are not statements that a conditional event-severity Stress input is a 1-in-100-year event. Expected Shortfall is calculated from the upper tail itself rather than by including every observation equal to a zero VaR threshold.</t>
        </is>
      </c>
    </row>
    <row r="11" ht="30" customHeight="1" s="508">
      <c r="A11" s="405" t="inlineStr">
        <is>
          <t>Outputs / downstream use</t>
        </is>
      </c>
    </row>
    <row r="12" ht="30" customHeight="1" s="508">
      <c r="A12" s="406" t="inlineStr">
        <is>
          <t>Feeds insurance/risk-appetite discussion and the loss exceedance curves.</t>
        </is>
      </c>
    </row>
    <row r="13" ht="30" customHeight="1" s="508">
      <c r="A13" s="407" t="inlineStr">
        <is>
          <t>Workbook convention: yellow cells / blue font are editable inputs or calibration assumptions; engine-output cells are not manually editable.</t>
        </is>
      </c>
    </row>
    <row r="15" ht="15" customHeight="1" s="508">
      <c r="A15" s="154" t="inlineStr">
        <is>
          <t>Reporting basis</t>
        </is>
      </c>
      <c r="B15" s="154" t="inlineStr">
        <is>
          <t>Return period</t>
        </is>
      </c>
      <c r="C15" s="154" t="inlineStr">
        <is>
          <t>AEP VaR</t>
        </is>
      </c>
      <c r="D15" s="154" t="inlineStr">
        <is>
          <t>AEP TVaR</t>
        </is>
      </c>
      <c r="E15" s="154" t="inlineStr">
        <is>
          <t>OEP VaR</t>
        </is>
      </c>
      <c r="F15" s="154" t="inlineStr">
        <is>
          <t>OEP TVaR</t>
        </is>
      </c>
      <c r="G15" s="154" t="inlineStr">
        <is>
          <t>AEP downtime VaR (h)</t>
        </is>
      </c>
      <c r="H15" s="154" t="inlineStr">
        <is>
          <t>AEP downtime TVaR (h)</t>
        </is>
      </c>
      <c r="I15" s="154" t="inlineStr">
        <is>
          <t>OEP downtime VaR (h)</t>
        </is>
      </c>
      <c r="J15" s="138" t="inlineStr">
        <is>
          <t>OEP downtime TVaR (h)</t>
        </is>
      </c>
      <c r="L15" s="138" t="inlineStr">
        <is>
          <t>RISK FINANCING</t>
        </is>
      </c>
      <c r="M15" s="138" t="n"/>
      <c r="N15" s="138" t="n"/>
      <c r="O15" s="138" t="n"/>
    </row>
    <row r="16" ht="15" customHeight="1" s="508">
      <c r="A16" s="972" t="inlineStr">
        <is>
          <t>Best Estimate</t>
        </is>
      </c>
      <c r="B16" s="528" t="n">
        <v>2</v>
      </c>
      <c r="C16" s="514" t="n">
        <v>0</v>
      </c>
      <c r="D16" s="514" t="n">
        <v>2646995.548832406</v>
      </c>
      <c r="E16" s="514" t="n">
        <v>0</v>
      </c>
      <c r="F16" s="514" t="n">
        <v>2624800.981766358</v>
      </c>
      <c r="G16" s="529" t="n">
        <v>0</v>
      </c>
      <c r="H16" s="529" t="n">
        <v>12.25784679992052</v>
      </c>
      <c r="I16" s="529" t="n">
        <v>0</v>
      </c>
      <c r="J16" s="530" t="n">
        <v>12.14477458092723</v>
      </c>
      <c r="L16" s="972" t="inlineStr">
        <is>
          <t>INSURANCE_RETENTION</t>
        </is>
      </c>
      <c r="M16" s="226" t="n">
        <v>0</v>
      </c>
      <c r="N16" s="972" t="inlineStr">
        <is>
          <t>USD</t>
        </is>
      </c>
      <c r="O16" s="972" t="inlineStr">
        <is>
          <t>Amount deliberately retained by the organisation.</t>
        </is>
      </c>
    </row>
    <row r="17" ht="15" customHeight="1" s="508">
      <c r="A17" s="972" t="inlineStr">
        <is>
          <t>Best Estimate</t>
        </is>
      </c>
      <c r="B17" s="528" t="n">
        <v>5</v>
      </c>
      <c r="C17" s="514" t="n">
        <v>0</v>
      </c>
      <c r="D17" s="514" t="n">
        <v>6617488.872081015</v>
      </c>
      <c r="E17" s="514" t="n">
        <v>0</v>
      </c>
      <c r="F17" s="514" t="n">
        <v>6562002.454415892</v>
      </c>
      <c r="G17" s="529" t="n">
        <v>0</v>
      </c>
      <c r="H17" s="529" t="n">
        <v>30.64461699980129</v>
      </c>
      <c r="I17" s="529" t="n">
        <v>0</v>
      </c>
      <c r="J17" s="530" t="n">
        <v>30.36193645231806</v>
      </c>
      <c r="L17" s="972" t="inlineStr">
        <is>
          <t>TAIL_BASIS</t>
        </is>
      </c>
      <c r="M17" s="227" t="inlineStr">
        <is>
          <t>TVaR 99%</t>
        </is>
      </c>
      <c r="N17" s="972" t="inlineStr">
        <is>
          <t>selection</t>
        </is>
      </c>
      <c r="O17" s="972" t="inlineStr">
        <is>
          <t>TVaR 95% or TVaR 99%.</t>
        </is>
      </c>
    </row>
    <row r="18" ht="15" customHeight="1" s="508">
      <c r="A18" s="972" t="inlineStr">
        <is>
          <t>Best Estimate</t>
        </is>
      </c>
      <c r="B18" s="528" t="n">
        <v>10</v>
      </c>
      <c r="C18" s="514" t="n">
        <v>0</v>
      </c>
      <c r="D18" s="514" t="n">
        <v>13234977.74416203</v>
      </c>
      <c r="E18" s="514" t="n">
        <v>0</v>
      </c>
      <c r="F18" s="514" t="n">
        <v>13124004.90883178</v>
      </c>
      <c r="G18" s="529" t="n">
        <v>0</v>
      </c>
      <c r="H18" s="529" t="n">
        <v>61.28923399960258</v>
      </c>
      <c r="I18" s="529" t="n">
        <v>0</v>
      </c>
      <c r="J18" s="530" t="n">
        <v>60.72387290463612</v>
      </c>
      <c r="L18" s="972" t="n"/>
      <c r="M18" s="972" t="n"/>
      <c r="N18" s="972" t="n"/>
      <c r="O18" s="972" t="n"/>
    </row>
    <row r="19" ht="15" customHeight="1" s="508">
      <c r="A19" s="972" t="inlineStr">
        <is>
          <t>Best Estimate</t>
        </is>
      </c>
      <c r="B19" s="528" t="n">
        <v>20</v>
      </c>
      <c r="C19" s="514" t="n">
        <v>0</v>
      </c>
      <c r="D19" s="514" t="n">
        <v>26469955.48832406</v>
      </c>
      <c r="E19" s="514" t="n">
        <v>0</v>
      </c>
      <c r="F19" s="514" t="n">
        <v>26248009.81766357</v>
      </c>
      <c r="G19" s="529" t="n">
        <v>0</v>
      </c>
      <c r="H19" s="529" t="n">
        <v>122.5784679992052</v>
      </c>
      <c r="I19" s="529" t="n">
        <v>0</v>
      </c>
      <c r="J19" s="530" t="n">
        <v>121.4477458092722</v>
      </c>
      <c r="L19" s="972" t="inlineStr">
        <is>
          <t>Selected TVaR</t>
        </is>
      </c>
      <c r="M19" s="228" t="n">
        <v>128228296.3987958</v>
      </c>
      <c r="N19" s="972" t="inlineStr">
        <is>
          <t>USD</t>
        </is>
      </c>
      <c r="O19" s="972" t="inlineStr">
        <is>
          <t>Engine output for the detailed reporting basis.</t>
        </is>
      </c>
    </row>
    <row r="20" ht="15" customHeight="1" s="508">
      <c r="A20" s="972" t="inlineStr">
        <is>
          <t>Best Estimate</t>
        </is>
      </c>
      <c r="B20" s="528" t="n">
        <v>25</v>
      </c>
      <c r="C20" s="514" t="n">
        <v>0</v>
      </c>
      <c r="D20" s="514" t="n">
        <v>33087444.36040508</v>
      </c>
      <c r="E20" s="514" t="n">
        <v>0</v>
      </c>
      <c r="F20" s="514" t="n">
        <v>32810012.27207948</v>
      </c>
      <c r="G20" s="529" t="n">
        <v>0</v>
      </c>
      <c r="H20" s="529" t="n">
        <v>153.2230849990065</v>
      </c>
      <c r="I20" s="529" t="n">
        <v>0</v>
      </c>
      <c r="J20" s="530" t="n">
        <v>151.8096822615903</v>
      </c>
      <c r="L20" s="972" t="inlineStr">
        <is>
          <t>Tail loss to transfer above retention</t>
        </is>
      </c>
      <c r="M20" s="228" t="n">
        <v>128228296.3987958</v>
      </c>
      <c r="N20" s="972" t="inlineStr">
        <is>
          <t>USD</t>
        </is>
      </c>
      <c r="O20" s="972" t="inlineStr">
        <is>
          <t>Selected TVaR less retention, floored at zero.</t>
        </is>
      </c>
    </row>
    <row r="21" ht="15" customHeight="1" s="508">
      <c r="A21" s="972" t="inlineStr">
        <is>
          <t>Best Estimate</t>
        </is>
      </c>
      <c r="B21" s="528" t="n">
        <v>50</v>
      </c>
      <c r="C21" s="514" t="n">
        <v>13554360.75526441</v>
      </c>
      <c r="D21" s="514" t="n">
        <v>61396359.9668932</v>
      </c>
      <c r="E21" s="514" t="n">
        <v>13507898.56742446</v>
      </c>
      <c r="F21" s="514" t="n">
        <v>60856144.52441026</v>
      </c>
      <c r="G21" s="529" t="n">
        <v>69.45364418787156</v>
      </c>
      <c r="H21" s="529" t="n">
        <v>279.9846928535828</v>
      </c>
      <c r="I21" s="529" t="n">
        <v>69.18805799583531</v>
      </c>
      <c r="J21" s="530" t="n">
        <v>277.2415802010619</v>
      </c>
    </row>
    <row r="22" ht="15" customHeight="1" s="508">
      <c r="A22" s="972" t="inlineStr">
        <is>
          <t>Best Estimate</t>
        </is>
      </c>
      <c r="B22" s="528" t="n">
        <v>100</v>
      </c>
      <c r="C22" s="514" t="n">
        <v>34846254.94240714</v>
      </c>
      <c r="D22" s="514" t="n">
        <v>100626039.5584437</v>
      </c>
      <c r="E22" s="514" t="n">
        <v>34570591.31358013</v>
      </c>
      <c r="F22" s="514" t="n">
        <v>99691173.93514207</v>
      </c>
      <c r="G22" s="529" t="n">
        <v>166.5079080120507</v>
      </c>
      <c r="H22" s="529" t="n">
        <v>450.9060912746629</v>
      </c>
      <c r="I22" s="529" t="n">
        <v>164.4489091583831</v>
      </c>
      <c r="J22" s="530" t="n">
        <v>446.2443898894185</v>
      </c>
    </row>
    <row r="23" ht="15" customHeight="1" s="508">
      <c r="A23" s="972" t="inlineStr">
        <is>
          <t>Best Estimate</t>
        </is>
      </c>
      <c r="B23" s="528" t="n">
        <v>200</v>
      </c>
      <c r="C23" s="514" t="n">
        <v>65812770.63667529</v>
      </c>
      <c r="D23" s="514" t="n">
        <v>153468636.2772969</v>
      </c>
      <c r="E23" s="514" t="n">
        <v>65452361.25783737</v>
      </c>
      <c r="F23" s="514" t="n">
        <v>152035287.2313639</v>
      </c>
      <c r="G23" s="529" t="n">
        <v>308.0368687938882</v>
      </c>
      <c r="H23" s="529" t="n">
        <v>676.3076895330332</v>
      </c>
      <c r="I23" s="529" t="n">
        <v>305.0479849634563</v>
      </c>
      <c r="J23" s="530" t="n">
        <v>669.1921094919236</v>
      </c>
    </row>
    <row r="24" ht="15" customHeight="1" s="508">
      <c r="A24" s="972" t="inlineStr">
        <is>
          <t>Best Estimate</t>
        </is>
      </c>
      <c r="B24" s="528" t="n">
        <v>250</v>
      </c>
      <c r="C24" s="514" t="n">
        <v>77710824.20365383</v>
      </c>
      <c r="D24" s="514" t="n">
        <v>173954327.3652702</v>
      </c>
      <c r="E24" s="514" t="n">
        <v>77232311.37029304</v>
      </c>
      <c r="F24" s="514" t="n">
        <v>172308425.1559377</v>
      </c>
      <c r="G24" s="529" t="n">
        <v>366.9291402917412</v>
      </c>
      <c r="H24" s="529" t="n">
        <v>761.2305805298017</v>
      </c>
      <c r="I24" s="529" t="n">
        <v>363.4551111923583</v>
      </c>
      <c r="J24" s="530" t="n">
        <v>753.2119278110855</v>
      </c>
    </row>
    <row r="25" ht="15" customHeight="1" s="508">
      <c r="A25" s="972" t="inlineStr">
        <is>
          <t>Best Estimate</t>
        </is>
      </c>
      <c r="B25" s="528" t="n">
        <v>500</v>
      </c>
      <c r="C25" s="514" t="n">
        <v>123767457.6475534</v>
      </c>
      <c r="D25" s="514" t="n">
        <v>251218129.5317833</v>
      </c>
      <c r="E25" s="514" t="n">
        <v>122151023.8700738</v>
      </c>
      <c r="F25" s="514" t="n">
        <v>248995852.9694393</v>
      </c>
      <c r="G25" s="529" t="n">
        <v>593.9414211292966</v>
      </c>
      <c r="H25" s="529" t="n">
        <v>1060.618439653329</v>
      </c>
      <c r="I25" s="529" t="n">
        <v>587.4220705292737</v>
      </c>
      <c r="J25" s="530" t="n">
        <v>1049.906055100705</v>
      </c>
    </row>
    <row r="26" ht="15" customHeight="1" s="508">
      <c r="A26" s="972" t="inlineStr">
        <is>
          <t>Prudent</t>
        </is>
      </c>
      <c r="B26" s="528" t="n">
        <v>2</v>
      </c>
      <c r="C26" s="514" t="n">
        <v>0</v>
      </c>
      <c r="D26" s="514" t="n">
        <v>3871485.957573587</v>
      </c>
      <c r="E26" s="514" t="n">
        <v>0</v>
      </c>
      <c r="F26" s="514" t="n">
        <v>3836524.760042823</v>
      </c>
      <c r="G26" s="529" t="n">
        <v>0</v>
      </c>
      <c r="H26" s="529" t="n">
        <v>17.99960857558719</v>
      </c>
      <c r="I26" s="529" t="n">
        <v>0</v>
      </c>
      <c r="J26" s="530" t="n">
        <v>17.8212220851979</v>
      </c>
    </row>
    <row r="27" ht="15" customHeight="1" s="508">
      <c r="A27" s="972" t="inlineStr">
        <is>
          <t>Prudent</t>
        </is>
      </c>
      <c r="B27" s="528" t="n">
        <v>5</v>
      </c>
      <c r="C27" s="514" t="n">
        <v>0</v>
      </c>
      <c r="D27" s="514" t="n">
        <v>9678714.893933967</v>
      </c>
      <c r="E27" s="514" t="n">
        <v>0</v>
      </c>
      <c r="F27" s="514" t="n">
        <v>9591311.900107058</v>
      </c>
      <c r="G27" s="529" t="n">
        <v>0</v>
      </c>
      <c r="H27" s="529" t="n">
        <v>44.99902143896797</v>
      </c>
      <c r="I27" s="529" t="n">
        <v>0</v>
      </c>
      <c r="J27" s="530" t="n">
        <v>44.55305521299473</v>
      </c>
    </row>
    <row r="28" ht="15" customHeight="1" s="508">
      <c r="A28" s="972" t="inlineStr">
        <is>
          <t>Prudent</t>
        </is>
      </c>
      <c r="B28" s="528" t="n">
        <v>10</v>
      </c>
      <c r="C28" s="514" t="n">
        <v>0</v>
      </c>
      <c r="D28" s="514" t="n">
        <v>19357429.78786793</v>
      </c>
      <c r="E28" s="514" t="n">
        <v>0</v>
      </c>
      <c r="F28" s="514" t="n">
        <v>19182623.80021412</v>
      </c>
      <c r="G28" s="529" t="n">
        <v>0</v>
      </c>
      <c r="H28" s="529" t="n">
        <v>89.99804287793593</v>
      </c>
      <c r="I28" s="529" t="n">
        <v>0</v>
      </c>
      <c r="J28" s="530" t="n">
        <v>89.10611042598946</v>
      </c>
    </row>
    <row r="29" ht="15" customHeight="1" s="508">
      <c r="A29" s="972" t="inlineStr">
        <is>
          <t>Prudent</t>
        </is>
      </c>
      <c r="B29" s="528" t="n">
        <v>20</v>
      </c>
      <c r="C29" s="514" t="n">
        <v>924397.2530921894</v>
      </c>
      <c r="D29" s="514" t="n">
        <v>38708768.41348451</v>
      </c>
      <c r="E29" s="514" t="n">
        <v>924397.2530921894</v>
      </c>
      <c r="F29" s="514" t="n">
        <v>38359156.43817688</v>
      </c>
      <c r="G29" s="529" t="n">
        <v>7.135874754224128</v>
      </c>
      <c r="H29" s="529" t="n">
        <v>179.9466381558617</v>
      </c>
      <c r="I29" s="529" t="n">
        <v>7.135874754224128</v>
      </c>
      <c r="J29" s="530" t="n">
        <v>178.1627732519687</v>
      </c>
    </row>
    <row r="30" ht="15" customHeight="1" s="508">
      <c r="A30" s="972" t="inlineStr">
        <is>
          <t>Prudent</t>
        </is>
      </c>
      <c r="B30" s="528" t="n">
        <v>25</v>
      </c>
      <c r="C30" s="514" t="n">
        <v>6303612.632750219</v>
      </c>
      <c r="D30" s="514" t="n">
        <v>47442818.22667214</v>
      </c>
      <c r="E30" s="514" t="n">
        <v>6284647.206953734</v>
      </c>
      <c r="F30" s="514" t="n">
        <v>47007773.43272036</v>
      </c>
      <c r="G30" s="529" t="n">
        <v>35.66976675594746</v>
      </c>
      <c r="H30" s="529" t="n">
        <v>219.2846535854413</v>
      </c>
      <c r="I30" s="529" t="n">
        <v>35.55143967276776</v>
      </c>
      <c r="J30" s="530" t="n">
        <v>217.0650291101018</v>
      </c>
    </row>
    <row r="31" ht="15" customHeight="1" s="508">
      <c r="A31" s="972" t="inlineStr">
        <is>
          <t>Prudent</t>
        </is>
      </c>
      <c r="B31" s="528" t="n">
        <v>50</v>
      </c>
      <c r="C31" s="514" t="n">
        <v>24005790.3574536</v>
      </c>
      <c r="D31" s="514" t="n">
        <v>81385302.64416616</v>
      </c>
      <c r="E31" s="514" t="n">
        <v>23735616.53526804</v>
      </c>
      <c r="F31" s="514" t="n">
        <v>80611055.94492437</v>
      </c>
      <c r="G31" s="529" t="n">
        <v>117.9106729554567</v>
      </c>
      <c r="H31" s="529" t="n">
        <v>368.3798712834993</v>
      </c>
      <c r="I31" s="529" t="n">
        <v>116.8961238031911</v>
      </c>
      <c r="J31" s="530" t="n">
        <v>364.4903184220955</v>
      </c>
    </row>
    <row r="32" ht="15" customHeight="1" s="508">
      <c r="A32" s="972" t="inlineStr">
        <is>
          <t>Prudent</t>
        </is>
      </c>
      <c r="B32" s="528" t="n">
        <v>100</v>
      </c>
      <c r="C32" s="514" t="n">
        <v>50166813.79479161</v>
      </c>
      <c r="D32" s="514" t="n">
        <v>128228296.3987958</v>
      </c>
      <c r="E32" s="514" t="n">
        <v>49547079.72183502</v>
      </c>
      <c r="F32" s="514" t="n">
        <v>127056550.0827889</v>
      </c>
      <c r="G32" s="529" t="n">
        <v>239.2838439219513</v>
      </c>
      <c r="H32" s="529" t="n">
        <v>570.0076960579155</v>
      </c>
      <c r="I32" s="529" t="n">
        <v>235.5926765773652</v>
      </c>
      <c r="J32" s="530" t="n">
        <v>564.2009010560674</v>
      </c>
    </row>
    <row r="33" ht="15" customHeight="1" s="508">
      <c r="A33" s="972" t="inlineStr">
        <is>
          <t>Prudent</t>
        </is>
      </c>
      <c r="B33" s="528" t="n">
        <v>200</v>
      </c>
      <c r="C33" s="514" t="n">
        <v>87428940.74709849</v>
      </c>
      <c r="D33" s="514" t="n">
        <v>190763252.1008365</v>
      </c>
      <c r="E33" s="514" t="n">
        <v>85934071.091096</v>
      </c>
      <c r="F33" s="514" t="n">
        <v>189353779.7372304</v>
      </c>
      <c r="G33" s="529" t="n">
        <v>415.6197022579678</v>
      </c>
      <c r="H33" s="529" t="n">
        <v>827.0152639774427</v>
      </c>
      <c r="I33" s="529" t="n">
        <v>410.5778809535211</v>
      </c>
      <c r="J33" s="530" t="n">
        <v>819.6402060192155</v>
      </c>
    </row>
    <row r="34" ht="15" customHeight="1" s="508">
      <c r="A34" s="972" t="inlineStr">
        <is>
          <t>Prudent</t>
        </is>
      </c>
      <c r="B34" s="528" t="n">
        <v>250</v>
      </c>
      <c r="C34" s="514" t="n">
        <v>101919527.674163</v>
      </c>
      <c r="D34" s="514" t="n">
        <v>214943073.2612506</v>
      </c>
      <c r="E34" s="514" t="n">
        <v>100655702.3909139</v>
      </c>
      <c r="F34" s="514" t="n">
        <v>213463629.057757</v>
      </c>
      <c r="G34" s="529" t="n">
        <v>488.5569931495281</v>
      </c>
      <c r="H34" s="529" t="n">
        <v>921.0210906365181</v>
      </c>
      <c r="I34" s="529" t="n">
        <v>480.397249724052</v>
      </c>
      <c r="J34" s="530" t="n">
        <v>913.5383925294603</v>
      </c>
    </row>
    <row r="35" ht="15" customHeight="1" s="508">
      <c r="A35" s="972" t="inlineStr">
        <is>
          <t>Prudent</t>
        </is>
      </c>
      <c r="B35" s="528" t="n">
        <v>500</v>
      </c>
      <c r="C35" s="514" t="n">
        <v>153579967.1662669</v>
      </c>
      <c r="D35" s="514" t="n">
        <v>306614947.8578328</v>
      </c>
      <c r="E35" s="514" t="n">
        <v>152314382.572781</v>
      </c>
      <c r="F35" s="514" t="n">
        <v>305006486.5750424</v>
      </c>
      <c r="G35" s="529" t="n">
        <v>736.4105349535993</v>
      </c>
      <c r="H35" s="529" t="n">
        <v>1250.834415114582</v>
      </c>
      <c r="I35" s="529" t="n">
        <v>731.6179768247822</v>
      </c>
      <c r="J35" s="530" t="n">
        <v>1242.892697884861</v>
      </c>
    </row>
    <row r="36" ht="15" customHeight="1" s="508">
      <c r="B36" s="422" t="n"/>
      <c r="C36" s="422" t="n"/>
      <c r="D36" s="422" t="n"/>
      <c r="E36" s="422" t="n"/>
      <c r="F36" s="459" t="n"/>
      <c r="G36" s="459" t="n"/>
      <c r="H36" s="459" t="n"/>
      <c r="I36" s="459" t="n"/>
    </row>
    <row r="37" ht="15" customHeight="1" s="508">
      <c r="B37" s="422" t="n"/>
      <c r="C37" s="422" t="n"/>
      <c r="D37" s="422" t="n"/>
      <c r="E37" s="422" t="n"/>
      <c r="F37" s="459" t="n"/>
      <c r="G37" s="459" t="n"/>
      <c r="H37" s="459" t="n"/>
      <c r="I37" s="459" t="n"/>
    </row>
    <row r="38" ht="15" customHeight="1" s="508">
      <c r="B38" s="422" t="n"/>
      <c r="C38" s="422" t="n"/>
      <c r="D38" s="422" t="n"/>
      <c r="E38" s="422" t="n"/>
      <c r="F38" s="459" t="n"/>
      <c r="G38" s="459" t="n"/>
      <c r="H38" s="459" t="n"/>
      <c r="I38" s="459" t="n"/>
    </row>
    <row r="39" ht="15" customHeight="1" s="508">
      <c r="B39" s="422" t="n"/>
      <c r="C39" s="422" t="n"/>
      <c r="D39" s="422" t="n"/>
      <c r="E39" s="422" t="n"/>
      <c r="F39" s="459" t="n"/>
      <c r="G39" s="459" t="n"/>
      <c r="H39" s="459" t="n"/>
      <c r="I39" s="459" t="n"/>
    </row>
    <row r="40" ht="15" customHeight="1" s="508">
      <c r="B40" s="422" t="n"/>
      <c r="C40" s="422" t="n"/>
      <c r="D40" s="422" t="n"/>
      <c r="E40" s="422" t="n"/>
      <c r="F40" s="459" t="n"/>
      <c r="G40" s="459" t="n"/>
      <c r="H40" s="459" t="n"/>
      <c r="I40" s="459" t="n"/>
    </row>
  </sheetData>
  <mergeCells count="13">
    <mergeCell ref="A7:I7"/>
    <mergeCell ref="A2:I2"/>
    <mergeCell ref="A11:I11"/>
    <mergeCell ref="A10:I10"/>
    <mergeCell ref="A5:I5"/>
    <mergeCell ref="A13:I13"/>
    <mergeCell ref="A1:I1"/>
    <mergeCell ref="A9:I9"/>
    <mergeCell ref="A8:I8"/>
    <mergeCell ref="A3:I3"/>
    <mergeCell ref="A6:I6"/>
    <mergeCell ref="A12:I12"/>
    <mergeCell ref="A4:I4"/>
  </mergeCells>
  <dataValidations count="1">
    <dataValidation sqref="M17" showDropDown="0" showInputMessage="0" showErrorMessage="0" allowBlank="0" type="list">
      <formula1>"TVaR 95%,TVaR 99%"</formula1>
    </dataValidation>
  </dataValidations>
  <pageMargins left="0.7" right="0.7" top="0.75" bottom="0.75" header="0.3" footer="0.3"/>
</worksheet>
</file>

<file path=xl/worksheets/sheet57.xml><?xml version="1.0" encoding="utf-8"?>
<worksheet xmlns="http://schemas.openxmlformats.org/spreadsheetml/2006/main">
  <sheetPr>
    <tabColor rgb="007F7F7F"/>
    <outlinePr summaryBelow="1" summaryRight="1"/>
    <pageSetUpPr/>
  </sheetPr>
  <dimension ref="A1:M80"/>
  <sheetViews>
    <sheetView showGridLines="1" workbookViewId="0">
      <selection activeCell="A1" sqref="A1"/>
    </sheetView>
  </sheetViews>
  <sheetFormatPr baseColWidth="8" defaultColWidth="8.6796875" defaultRowHeight="15"/>
  <cols>
    <col width="14" customWidth="1" style="972" min="1" max="1"/>
    <col width="35" customWidth="1" style="972" min="2" max="2"/>
    <col width="22" customWidth="1" style="972" min="3" max="3"/>
    <col width="18" customWidth="1" style="972" min="4" max="8"/>
    <col width="14" customWidth="1" style="972" min="9" max="9"/>
    <col width="17" customWidth="1" style="508" min="10" max="10"/>
    <col width="17" customWidth="1" style="508" min="11" max="11"/>
    <col width="17" customWidth="1" style="508" min="12" max="12"/>
    <col width="17" customWidth="1" style="508" min="13" max="13"/>
  </cols>
  <sheetData>
    <row r="1" ht="21.75" customHeight="1" s="508">
      <c r="A1" s="456" t="inlineStr">
        <is>
          <t>20 — Control What-If Risk Reduction</t>
        </is>
      </c>
    </row>
    <row r="2" ht="37.5" customHeight="1" s="508">
      <c r="A2" s="402" t="inlineStr">
        <is>
          <t>Purpose: Quantify the marginal AAL impact of independently improving each control by one maturity level.</t>
        </is>
      </c>
    </row>
    <row r="3" ht="37.5" customHeight="1" s="508">
      <c r="A3" s="403" t="inlineStr">
        <is>
          <t>In plain English: this ranks the single control improvements that reduce expected annual loss the most in the current model.</t>
        </is>
      </c>
    </row>
    <row r="4" ht="21.75" customHeight="1" s="508">
      <c r="A4" s="457" t="inlineStr">
        <is>
          <t>SHEET TYPE: MODEL RESULT</t>
        </is>
      </c>
    </row>
    <row r="5" ht="21.75" customHeight="1" s="508">
      <c r="A5" s="405" t="inlineStr">
        <is>
          <t>Inputs / upstream sources</t>
        </is>
      </c>
    </row>
    <row r="6" ht="30" customHeight="1" s="508">
      <c r="A6" s="406" t="inlineStr">
        <is>
          <t>04 Control Assessment, 13 TTP-Control Map and the same simulation skeleton used for baseline.</t>
        </is>
      </c>
    </row>
    <row r="7" ht="30" customHeight="1" s="508">
      <c r="A7" s="405" t="inlineStr">
        <is>
          <t>Calculation / decision logic</t>
        </is>
      </c>
    </row>
    <row r="8" ht="30" customHeight="1" s="508">
      <c r="A8" s="406" t="inlineStr">
        <is>
          <t>Each mapped control is improved by one maturity level and re-simulated for 500,000 years using common random numbers within each basis. AAL reduction is ranked by the engine.</t>
        </is>
      </c>
      <c r="J8" s="972" t="n"/>
      <c r="K8" s="972" t="n"/>
      <c r="L8" s="972" t="n"/>
      <c r="M8" s="972" t="n"/>
    </row>
    <row r="9" ht="30" customHeight="1" s="508">
      <c r="A9" s="405" t="inlineStr">
        <is>
          <t>Key assumptions / defaults</t>
        </is>
      </c>
    </row>
    <row r="10" ht="30" customHeight="1" s="508">
      <c r="A10" s="406" t="inlineStr">
        <is>
          <t>One-control-at-a-time results are marginal and NOT additive. Control what-if magnitudes are provisional while row-level Base Efficacy values on 13 remain neutral working priors.</t>
        </is>
      </c>
    </row>
    <row r="11" ht="30" customHeight="1" s="508">
      <c r="A11" s="405" t="inlineStr">
        <is>
          <t>Outputs / downstream use</t>
        </is>
      </c>
    </row>
    <row r="12" ht="30" customHeight="1" s="508">
      <c r="A12" s="406" t="inlineStr">
        <is>
          <t>Decision-support ranking for remediation; does not automatically represent ROI unless implementation cost is added separately.</t>
        </is>
      </c>
    </row>
    <row r="13" ht="30" customHeight="1" s="508">
      <c r="A13" s="407" t="inlineStr">
        <is>
          <t>Workbook convention: yellow cells / blue font are editable inputs or calibration assumptions; engine-output cells are not manually editable.</t>
        </is>
      </c>
    </row>
    <row r="15" ht="15" customHeight="1" s="508">
      <c r="A15" s="154" t="inlineStr">
        <is>
          <t>Control ID</t>
        </is>
      </c>
      <c r="B15" s="154" t="inlineStr">
        <is>
          <t>Control</t>
        </is>
      </c>
      <c r="C15" s="154" t="inlineStr">
        <is>
          <t>Channel</t>
        </is>
      </c>
      <c r="D15" s="154" t="inlineStr">
        <is>
          <t>Current maturity</t>
        </is>
      </c>
      <c r="E15" s="154" t="inlineStr">
        <is>
          <t>What-if maturity</t>
        </is>
      </c>
      <c r="F15" s="154" t="inlineStr">
        <is>
          <t>BE baseline AAL</t>
        </is>
      </c>
      <c r="G15" s="154" t="inlineStr">
        <is>
          <t>BE what-if AAL</t>
        </is>
      </c>
      <c r="H15" s="154" t="inlineStr">
        <is>
          <t>BE reduction</t>
        </is>
      </c>
      <c r="I15" s="154" t="inlineStr">
        <is>
          <t>BE reduction %</t>
        </is>
      </c>
      <c r="J15" s="138" t="inlineStr">
        <is>
          <t>Prudent baseline AAL</t>
        </is>
      </c>
      <c r="K15" s="138" t="inlineStr">
        <is>
          <t>Prudent what-if AAL</t>
        </is>
      </c>
      <c r="L15" s="138" t="inlineStr">
        <is>
          <t>Prudent reduction</t>
        </is>
      </c>
      <c r="M15" s="138" t="inlineStr">
        <is>
          <t>Prudent reduction %</t>
        </is>
      </c>
    </row>
    <row r="16" ht="15" customHeight="1" s="508">
      <c r="A16" s="972" t="inlineStr">
        <is>
          <t>M0801</t>
        </is>
      </c>
      <c r="B16" s="972" t="inlineStr">
        <is>
          <t>Access Management</t>
        </is>
      </c>
      <c r="C16" s="972" t="inlineStr">
        <is>
          <t>Prevent / Resist</t>
        </is>
      </c>
      <c r="D16" s="972" t="inlineStr">
        <is>
          <t>Managed</t>
        </is>
      </c>
      <c r="E16" s="972" t="inlineStr">
        <is>
          <t>Optimised</t>
        </is>
      </c>
      <c r="F16" s="484" t="n">
        <v>1323497.774416203</v>
      </c>
      <c r="G16" s="484" t="n">
        <v>1323497.774416203</v>
      </c>
      <c r="H16" s="484" t="n">
        <v>0</v>
      </c>
      <c r="I16" s="505" t="n">
        <v>0</v>
      </c>
      <c r="J16" s="485" t="n">
        <v>1935742.978786793</v>
      </c>
      <c r="K16" s="485" t="n">
        <v>1935742.978786793</v>
      </c>
      <c r="L16" s="485" t="n">
        <v>0</v>
      </c>
      <c r="M16" s="506" t="n">
        <v>0</v>
      </c>
    </row>
    <row r="17" ht="15" customHeight="1" s="508">
      <c r="A17" s="972" t="inlineStr">
        <is>
          <t>M0936</t>
        </is>
      </c>
      <c r="B17" s="972" t="inlineStr">
        <is>
          <t>Account Use Policies</t>
        </is>
      </c>
      <c r="C17" s="972" t="inlineStr">
        <is>
          <t>Prevent / Resist</t>
        </is>
      </c>
      <c r="D17" s="972" t="inlineStr">
        <is>
          <t>Managed</t>
        </is>
      </c>
      <c r="E17" s="972" t="inlineStr">
        <is>
          <t>Optimised</t>
        </is>
      </c>
      <c r="F17" s="484" t="n">
        <v>1323497.774416203</v>
      </c>
      <c r="G17" s="484" t="n">
        <v>1323497.774416203</v>
      </c>
      <c r="H17" s="484" t="n">
        <v>0</v>
      </c>
      <c r="I17" s="505" t="n">
        <v>0</v>
      </c>
      <c r="J17" s="485" t="n">
        <v>1935742.978786793</v>
      </c>
      <c r="K17" s="485" t="n">
        <v>1935742.978786793</v>
      </c>
      <c r="L17" s="485" t="n">
        <v>0</v>
      </c>
      <c r="M17" s="506" t="n">
        <v>0</v>
      </c>
    </row>
    <row r="18" ht="15" customHeight="1" s="508">
      <c r="A18" s="972" t="inlineStr">
        <is>
          <t>M0915</t>
        </is>
      </c>
      <c r="B18" s="972" t="inlineStr">
        <is>
          <t>Active Directory Configuration</t>
        </is>
      </c>
      <c r="C18" s="972" t="inlineStr">
        <is>
          <t>Prevent / Resist</t>
        </is>
      </c>
      <c r="D18" s="972" t="inlineStr">
        <is>
          <t>Managed</t>
        </is>
      </c>
      <c r="E18" s="972" t="inlineStr">
        <is>
          <t>Optimised</t>
        </is>
      </c>
      <c r="F18" s="484" t="n">
        <v>1323497.774416203</v>
      </c>
      <c r="G18" s="484" t="n">
        <v>1323497.774416203</v>
      </c>
      <c r="H18" s="484" t="n">
        <v>0</v>
      </c>
      <c r="I18" s="505" t="n">
        <v>0</v>
      </c>
      <c r="J18" s="485" t="n">
        <v>1935742.978786793</v>
      </c>
      <c r="K18" s="485" t="n">
        <v>1935742.978786793</v>
      </c>
      <c r="L18" s="485" t="n">
        <v>0</v>
      </c>
      <c r="M18" s="506" t="n">
        <v>0</v>
      </c>
    </row>
    <row r="19" ht="15" customHeight="1" s="508">
      <c r="A19" s="972" t="inlineStr">
        <is>
          <t>M0949</t>
        </is>
      </c>
      <c r="B19" s="972" t="inlineStr">
        <is>
          <t>Antivirus/Antimalware</t>
        </is>
      </c>
      <c r="C19" s="972" t="inlineStr">
        <is>
          <t>Prevent / Resist</t>
        </is>
      </c>
      <c r="D19" s="972" t="inlineStr">
        <is>
          <t>Managed</t>
        </is>
      </c>
      <c r="E19" s="972" t="inlineStr">
        <is>
          <t>Optimised</t>
        </is>
      </c>
      <c r="F19" s="484" t="n">
        <v>1323497.774416203</v>
      </c>
      <c r="G19" s="484" t="n">
        <v>1323497.774416203</v>
      </c>
      <c r="H19" s="484" t="n">
        <v>0</v>
      </c>
      <c r="I19" s="505" t="n">
        <v>0</v>
      </c>
      <c r="J19" s="485" t="n">
        <v>1935742.978786793</v>
      </c>
      <c r="K19" s="485" t="n">
        <v>1935742.978786793</v>
      </c>
      <c r="L19" s="485" t="n">
        <v>0</v>
      </c>
      <c r="M19" s="506" t="n">
        <v>0</v>
      </c>
    </row>
    <row r="20" ht="15" customHeight="1" s="508">
      <c r="A20" s="972" t="inlineStr">
        <is>
          <t>M0913</t>
        </is>
      </c>
      <c r="B20" s="972" t="inlineStr">
        <is>
          <t>Application Developer Guidance</t>
        </is>
      </c>
      <c r="C20" s="972" t="inlineStr">
        <is>
          <t>Prevent / Resist</t>
        </is>
      </c>
      <c r="D20" s="972" t="inlineStr">
        <is>
          <t>Managed</t>
        </is>
      </c>
      <c r="E20" s="972" t="inlineStr">
        <is>
          <t>Optimised</t>
        </is>
      </c>
      <c r="F20" s="484" t="n">
        <v>1323497.774416203</v>
      </c>
      <c r="G20" s="484" t="n">
        <v>1323497.774416203</v>
      </c>
      <c r="H20" s="484" t="n">
        <v>0</v>
      </c>
      <c r="I20" s="505" t="n">
        <v>0</v>
      </c>
      <c r="J20" s="485" t="n">
        <v>1935742.978786793</v>
      </c>
      <c r="K20" s="485" t="n">
        <v>1935742.978786793</v>
      </c>
      <c r="L20" s="485" t="n">
        <v>0</v>
      </c>
      <c r="M20" s="506" t="n">
        <v>0</v>
      </c>
    </row>
    <row r="21" ht="15" customHeight="1" s="508">
      <c r="A21" s="972" t="inlineStr">
        <is>
          <t>M0948</t>
        </is>
      </c>
      <c r="B21" s="972" t="inlineStr">
        <is>
          <t>Application Isolation and Sandboxing</t>
        </is>
      </c>
      <c r="C21" s="972" t="inlineStr">
        <is>
          <t>Prevent / Resist</t>
        </is>
      </c>
      <c r="D21" s="972" t="inlineStr">
        <is>
          <t>Managed</t>
        </is>
      </c>
      <c r="E21" s="972" t="inlineStr">
        <is>
          <t>Optimised</t>
        </is>
      </c>
      <c r="F21" s="484" t="n">
        <v>1323497.774416203</v>
      </c>
      <c r="G21" s="484" t="n">
        <v>1323497.774416203</v>
      </c>
      <c r="H21" s="484" t="n">
        <v>0</v>
      </c>
      <c r="I21" s="505" t="n">
        <v>0</v>
      </c>
      <c r="J21" s="485" t="n">
        <v>1935742.978786793</v>
      </c>
      <c r="K21" s="485" t="n">
        <v>1935742.978786793</v>
      </c>
      <c r="L21" s="485" t="n">
        <v>0</v>
      </c>
      <c r="M21" s="506" t="n">
        <v>0</v>
      </c>
    </row>
    <row r="22" ht="15" customHeight="1" s="508">
      <c r="A22" s="972" t="inlineStr">
        <is>
          <t>M0947</t>
        </is>
      </c>
      <c r="B22" s="972" t="inlineStr">
        <is>
          <t>Audit</t>
        </is>
      </c>
      <c r="C22" s="972" t="inlineStr">
        <is>
          <t>Detect / Contain</t>
        </is>
      </c>
      <c r="D22" s="972" t="inlineStr">
        <is>
          <t>Managed</t>
        </is>
      </c>
      <c r="E22" s="972" t="inlineStr">
        <is>
          <t>Optimised</t>
        </is>
      </c>
      <c r="F22" s="484" t="n">
        <v>1323497.774416203</v>
      </c>
      <c r="G22" s="484" t="n">
        <v>1323497.774416203</v>
      </c>
      <c r="H22" s="484" t="n">
        <v>0</v>
      </c>
      <c r="I22" s="505" t="n">
        <v>0</v>
      </c>
      <c r="J22" s="485" t="n">
        <v>1935742.978786793</v>
      </c>
      <c r="K22" s="485" t="n">
        <v>1935742.978786793</v>
      </c>
      <c r="L22" s="485" t="n">
        <v>0</v>
      </c>
      <c r="M22" s="506" t="n">
        <v>0</v>
      </c>
    </row>
    <row r="23" ht="15" customHeight="1" s="508">
      <c r="A23" s="972" t="inlineStr">
        <is>
          <t>M0800</t>
        </is>
      </c>
      <c r="B23" s="972" t="inlineStr">
        <is>
          <t>Authorization Enforcement</t>
        </is>
      </c>
      <c r="C23" s="972" t="inlineStr">
        <is>
          <t>Prevent / Resist</t>
        </is>
      </c>
      <c r="D23" s="972" t="inlineStr">
        <is>
          <t>Managed</t>
        </is>
      </c>
      <c r="E23" s="972" t="inlineStr">
        <is>
          <t>Optimised</t>
        </is>
      </c>
      <c r="F23" s="484" t="n">
        <v>1323497.774416203</v>
      </c>
      <c r="G23" s="484" t="n">
        <v>1323497.774416203</v>
      </c>
      <c r="H23" s="484" t="n">
        <v>0</v>
      </c>
      <c r="I23" s="505" t="n">
        <v>0</v>
      </c>
      <c r="J23" s="485" t="n">
        <v>1935742.978786793</v>
      </c>
      <c r="K23" s="485" t="n">
        <v>1935742.978786793</v>
      </c>
      <c r="L23" s="485" t="n">
        <v>0</v>
      </c>
      <c r="M23" s="506" t="n">
        <v>0</v>
      </c>
    </row>
    <row r="24" ht="15" customHeight="1" s="508">
      <c r="A24" s="972" t="inlineStr">
        <is>
          <t>M0946</t>
        </is>
      </c>
      <c r="B24" s="972" t="inlineStr">
        <is>
          <t>Boot Integrity</t>
        </is>
      </c>
      <c r="C24" s="972" t="inlineStr">
        <is>
          <t>Prevent / Resist</t>
        </is>
      </c>
      <c r="D24" s="972" t="inlineStr">
        <is>
          <t>Managed</t>
        </is>
      </c>
      <c r="E24" s="972" t="inlineStr">
        <is>
          <t>Optimised</t>
        </is>
      </c>
      <c r="F24" s="484" t="n">
        <v>1323497.774416203</v>
      </c>
      <c r="G24" s="484" t="n">
        <v>1323497.774416203</v>
      </c>
      <c r="H24" s="484" t="n">
        <v>0</v>
      </c>
      <c r="I24" s="505" t="n">
        <v>0</v>
      </c>
      <c r="J24" s="485" t="n">
        <v>1935742.978786793</v>
      </c>
      <c r="K24" s="485" t="n">
        <v>1935742.978786793</v>
      </c>
      <c r="L24" s="485" t="n">
        <v>0</v>
      </c>
      <c r="M24" s="506" t="n">
        <v>0</v>
      </c>
    </row>
    <row r="25" ht="15" customHeight="1" s="508">
      <c r="A25" s="972" t="inlineStr">
        <is>
          <t>M0945</t>
        </is>
      </c>
      <c r="B25" s="972" t="inlineStr">
        <is>
          <t>Code Signing</t>
        </is>
      </c>
      <c r="C25" s="972" t="inlineStr">
        <is>
          <t>Prevent / Resist</t>
        </is>
      </c>
      <c r="D25" s="972" t="inlineStr">
        <is>
          <t>Managed</t>
        </is>
      </c>
      <c r="E25" s="972" t="inlineStr">
        <is>
          <t>Optimised</t>
        </is>
      </c>
      <c r="F25" s="484" t="n">
        <v>1323497.774416203</v>
      </c>
      <c r="G25" s="484" t="n">
        <v>1323497.774416203</v>
      </c>
      <c r="H25" s="484" t="n">
        <v>0</v>
      </c>
      <c r="I25" s="505" t="n">
        <v>0</v>
      </c>
      <c r="J25" s="485" t="n">
        <v>1935742.978786793</v>
      </c>
      <c r="K25" s="485" t="n">
        <v>1935742.978786793</v>
      </c>
      <c r="L25" s="485" t="n">
        <v>0</v>
      </c>
      <c r="M25" s="506" t="n">
        <v>0</v>
      </c>
    </row>
    <row r="26" ht="15" customHeight="1" s="508">
      <c r="A26" s="972" t="inlineStr">
        <is>
          <t>M0802</t>
        </is>
      </c>
      <c r="B26" s="972" t="inlineStr">
        <is>
          <t>Communication Authenticity</t>
        </is>
      </c>
      <c r="C26" s="972" t="inlineStr">
        <is>
          <t>Prevent / Resist</t>
        </is>
      </c>
      <c r="D26" s="972" t="inlineStr">
        <is>
          <t>Managed</t>
        </is>
      </c>
      <c r="E26" s="972" t="inlineStr">
        <is>
          <t>Optimised</t>
        </is>
      </c>
      <c r="F26" s="484" t="n">
        <v>1323497.774416203</v>
      </c>
      <c r="G26" s="484" t="n">
        <v>1323497.774416203</v>
      </c>
      <c r="H26" s="484" t="n">
        <v>0</v>
      </c>
      <c r="I26" s="505" t="n">
        <v>0</v>
      </c>
      <c r="J26" s="485" t="n">
        <v>1935742.978786793</v>
      </c>
      <c r="K26" s="485" t="n">
        <v>1935742.978786793</v>
      </c>
      <c r="L26" s="485" t="n">
        <v>0</v>
      </c>
      <c r="M26" s="506" t="n">
        <v>0</v>
      </c>
    </row>
    <row r="27" ht="15" customHeight="1" s="508">
      <c r="A27" s="972" t="inlineStr">
        <is>
          <t>M0953</t>
        </is>
      </c>
      <c r="B27" s="972" t="inlineStr">
        <is>
          <t>Data Backup</t>
        </is>
      </c>
      <c r="C27" s="972" t="inlineStr">
        <is>
          <t>Recover / Restore</t>
        </is>
      </c>
      <c r="D27" s="972" t="inlineStr">
        <is>
          <t>Managed</t>
        </is>
      </c>
      <c r="E27" s="972" t="inlineStr">
        <is>
          <t>Optimised</t>
        </is>
      </c>
      <c r="F27" s="484" t="n">
        <v>1323497.774416203</v>
      </c>
      <c r="G27" s="484" t="n">
        <v>1323497.774416203</v>
      </c>
      <c r="H27" s="484" t="n">
        <v>0</v>
      </c>
      <c r="I27" s="505" t="n">
        <v>0</v>
      </c>
      <c r="J27" s="485" t="n">
        <v>1935742.978786793</v>
      </c>
      <c r="K27" s="485" t="n">
        <v>1935742.978786793</v>
      </c>
      <c r="L27" s="485" t="n">
        <v>0</v>
      </c>
      <c r="M27" s="506" t="n">
        <v>0</v>
      </c>
    </row>
    <row r="28" ht="15" customHeight="1" s="508">
      <c r="A28" s="972" t="inlineStr">
        <is>
          <t>M0803</t>
        </is>
      </c>
      <c r="B28" s="972" t="inlineStr">
        <is>
          <t>Data Loss Prevention</t>
        </is>
      </c>
      <c r="C28" s="972" t="inlineStr">
        <is>
          <t>Prevent / Resist</t>
        </is>
      </c>
      <c r="D28" s="972" t="inlineStr">
        <is>
          <t>Managed</t>
        </is>
      </c>
      <c r="E28" s="972" t="inlineStr">
        <is>
          <t>Optimised</t>
        </is>
      </c>
      <c r="F28" s="484" t="n">
        <v>1323497.774416203</v>
      </c>
      <c r="G28" s="484" t="n">
        <v>1323497.774416203</v>
      </c>
      <c r="H28" s="484" t="n">
        <v>0</v>
      </c>
      <c r="I28" s="505" t="n">
        <v>0</v>
      </c>
      <c r="J28" s="485" t="n">
        <v>1935742.978786793</v>
      </c>
      <c r="K28" s="485" t="n">
        <v>1935742.978786793</v>
      </c>
      <c r="L28" s="485" t="n">
        <v>0</v>
      </c>
      <c r="M28" s="506" t="n">
        <v>0</v>
      </c>
    </row>
    <row r="29" ht="15" customHeight="1" s="508">
      <c r="A29" s="972" t="inlineStr">
        <is>
          <t>M0942</t>
        </is>
      </c>
      <c r="B29" s="972" t="inlineStr">
        <is>
          <t>Disable or Remove Feature or Program</t>
        </is>
      </c>
      <c r="C29" s="972" t="inlineStr">
        <is>
          <t>Prevent / Resist</t>
        </is>
      </c>
      <c r="D29" s="972" t="inlineStr">
        <is>
          <t>Managed</t>
        </is>
      </c>
      <c r="E29" s="972" t="inlineStr">
        <is>
          <t>Optimised</t>
        </is>
      </c>
      <c r="F29" s="484" t="n">
        <v>1323497.774416203</v>
      </c>
      <c r="G29" s="484" t="n">
        <v>1323497.774416203</v>
      </c>
      <c r="H29" s="484" t="n">
        <v>0</v>
      </c>
      <c r="I29" s="505" t="n">
        <v>0</v>
      </c>
      <c r="J29" s="485" t="n">
        <v>1935742.978786793</v>
      </c>
      <c r="K29" s="485" t="n">
        <v>1935742.978786793</v>
      </c>
      <c r="L29" s="485" t="n">
        <v>0</v>
      </c>
      <c r="M29" s="506" t="n">
        <v>0</v>
      </c>
    </row>
    <row r="30" ht="15" customHeight="1" s="508">
      <c r="A30" s="972" t="inlineStr">
        <is>
          <t>M0808</t>
        </is>
      </c>
      <c r="B30" s="972" t="inlineStr">
        <is>
          <t>Encrypt Network Traffic</t>
        </is>
      </c>
      <c r="C30" s="972" t="inlineStr">
        <is>
          <t>Prevent / Resist</t>
        </is>
      </c>
      <c r="D30" s="972" t="inlineStr">
        <is>
          <t>Managed</t>
        </is>
      </c>
      <c r="E30" s="972" t="inlineStr">
        <is>
          <t>Optimised</t>
        </is>
      </c>
      <c r="F30" s="484" t="n">
        <v>1323497.774416203</v>
      </c>
      <c r="G30" s="484" t="n">
        <v>1323497.774416203</v>
      </c>
      <c r="H30" s="484" t="n">
        <v>0</v>
      </c>
      <c r="I30" s="505" t="n">
        <v>0</v>
      </c>
      <c r="J30" s="485" t="n">
        <v>1935742.978786793</v>
      </c>
      <c r="K30" s="485" t="n">
        <v>1935742.978786793</v>
      </c>
      <c r="L30" s="485" t="n">
        <v>0</v>
      </c>
      <c r="M30" s="506" t="n">
        <v>0</v>
      </c>
    </row>
    <row r="31" ht="15" customHeight="1" s="508">
      <c r="A31" s="972" t="inlineStr">
        <is>
          <t>M0941</t>
        </is>
      </c>
      <c r="B31" s="972" t="inlineStr">
        <is>
          <t>Encrypt Sensitive Information</t>
        </is>
      </c>
      <c r="C31" s="972" t="inlineStr">
        <is>
          <t>Prevent / Resist</t>
        </is>
      </c>
      <c r="D31" s="972" t="inlineStr">
        <is>
          <t>Managed</t>
        </is>
      </c>
      <c r="E31" s="972" t="inlineStr">
        <is>
          <t>Optimised</t>
        </is>
      </c>
      <c r="F31" s="484" t="n">
        <v>1323497.774416203</v>
      </c>
      <c r="G31" s="484" t="n">
        <v>1323497.774416203</v>
      </c>
      <c r="H31" s="484" t="n">
        <v>0</v>
      </c>
      <c r="I31" s="505" t="n">
        <v>0</v>
      </c>
      <c r="J31" s="485" t="n">
        <v>1935742.978786793</v>
      </c>
      <c r="K31" s="485" t="n">
        <v>1935742.978786793</v>
      </c>
      <c r="L31" s="485" t="n">
        <v>0</v>
      </c>
      <c r="M31" s="506" t="n">
        <v>0</v>
      </c>
    </row>
    <row r="32" ht="15" customHeight="1" s="508">
      <c r="A32" s="972" t="inlineStr">
        <is>
          <t>M0938</t>
        </is>
      </c>
      <c r="B32" s="972" t="inlineStr">
        <is>
          <t>Execution Prevention</t>
        </is>
      </c>
      <c r="C32" s="972" t="inlineStr">
        <is>
          <t>Prevent / Resist</t>
        </is>
      </c>
      <c r="D32" s="972" t="inlineStr">
        <is>
          <t>Managed</t>
        </is>
      </c>
      <c r="E32" s="972" t="inlineStr">
        <is>
          <t>Optimised</t>
        </is>
      </c>
      <c r="F32" s="484" t="n">
        <v>1323497.774416203</v>
      </c>
      <c r="G32" s="484" t="n">
        <v>1323497.774416203</v>
      </c>
      <c r="H32" s="484" t="n">
        <v>0</v>
      </c>
      <c r="I32" s="505" t="n">
        <v>0</v>
      </c>
      <c r="J32" s="485" t="n">
        <v>1935742.978786793</v>
      </c>
      <c r="K32" s="485" t="n">
        <v>1935742.978786793</v>
      </c>
      <c r="L32" s="485" t="n">
        <v>0</v>
      </c>
      <c r="M32" s="506" t="n">
        <v>0</v>
      </c>
    </row>
    <row r="33" ht="15" customHeight="1" s="508">
      <c r="A33" s="972" t="inlineStr">
        <is>
          <t>M0950</t>
        </is>
      </c>
      <c r="B33" s="972" t="inlineStr">
        <is>
          <t>Exploit Protection</t>
        </is>
      </c>
      <c r="C33" s="972" t="inlineStr">
        <is>
          <t>Prevent / Resist</t>
        </is>
      </c>
      <c r="D33" s="972" t="inlineStr">
        <is>
          <t>Managed</t>
        </is>
      </c>
      <c r="E33" s="972" t="inlineStr">
        <is>
          <t>Optimised</t>
        </is>
      </c>
      <c r="F33" s="484" t="n">
        <v>1323497.774416203</v>
      </c>
      <c r="G33" s="484" t="n">
        <v>1323497.774416203</v>
      </c>
      <c r="H33" s="484" t="n">
        <v>0</v>
      </c>
      <c r="I33" s="505" t="n">
        <v>0</v>
      </c>
      <c r="J33" s="485" t="n">
        <v>1935742.978786793</v>
      </c>
      <c r="K33" s="485" t="n">
        <v>1935742.978786793</v>
      </c>
      <c r="L33" s="485" t="n">
        <v>0</v>
      </c>
      <c r="M33" s="506" t="n">
        <v>0</v>
      </c>
    </row>
    <row r="34" ht="15" customHeight="1" s="508">
      <c r="A34" s="972" t="inlineStr">
        <is>
          <t>M0937</t>
        </is>
      </c>
      <c r="B34" s="972" t="inlineStr">
        <is>
          <t>Filter Network Traffic</t>
        </is>
      </c>
      <c r="C34" s="972" t="inlineStr">
        <is>
          <t>Prevent / Resist</t>
        </is>
      </c>
      <c r="D34" s="972" t="inlineStr">
        <is>
          <t>Managed</t>
        </is>
      </c>
      <c r="E34" s="972" t="inlineStr">
        <is>
          <t>Optimised</t>
        </is>
      </c>
      <c r="F34" s="484" t="n">
        <v>1323497.774416203</v>
      </c>
      <c r="G34" s="484" t="n">
        <v>1323497.774416203</v>
      </c>
      <c r="H34" s="484" t="n">
        <v>0</v>
      </c>
      <c r="I34" s="505" t="n">
        <v>0</v>
      </c>
      <c r="J34" s="485" t="n">
        <v>1935742.978786793</v>
      </c>
      <c r="K34" s="485" t="n">
        <v>1935742.978786793</v>
      </c>
      <c r="L34" s="485" t="n">
        <v>0</v>
      </c>
      <c r="M34" s="506" t="n">
        <v>0</v>
      </c>
    </row>
    <row r="35" ht="15" customHeight="1" s="508">
      <c r="A35" s="972" t="inlineStr">
        <is>
          <t>M0804</t>
        </is>
      </c>
      <c r="B35" s="972" t="inlineStr">
        <is>
          <t>Human User Authentication</t>
        </is>
      </c>
      <c r="C35" s="972" t="inlineStr">
        <is>
          <t>Prevent / Resist</t>
        </is>
      </c>
      <c r="D35" s="972" t="inlineStr">
        <is>
          <t>Managed</t>
        </is>
      </c>
      <c r="E35" s="972" t="inlineStr">
        <is>
          <t>Optimised</t>
        </is>
      </c>
      <c r="F35" s="484" t="n">
        <v>1323497.774416203</v>
      </c>
      <c r="G35" s="484" t="n">
        <v>1323497.774416203</v>
      </c>
      <c r="H35" s="484" t="n">
        <v>0</v>
      </c>
      <c r="I35" s="505" t="n">
        <v>0</v>
      </c>
      <c r="J35" s="485" t="n">
        <v>1935742.978786793</v>
      </c>
      <c r="K35" s="485" t="n">
        <v>1935742.978786793</v>
      </c>
      <c r="L35" s="485" t="n">
        <v>0</v>
      </c>
      <c r="M35" s="506" t="n">
        <v>0</v>
      </c>
    </row>
    <row r="36" ht="15" customHeight="1" s="508">
      <c r="A36" s="972" t="inlineStr">
        <is>
          <t>M0935</t>
        </is>
      </c>
      <c r="B36" s="972" t="inlineStr">
        <is>
          <t>Limit Access to Resource Over Network</t>
        </is>
      </c>
      <c r="C36" s="972" t="inlineStr">
        <is>
          <t>Prevent / Resist</t>
        </is>
      </c>
      <c r="D36" s="972" t="inlineStr">
        <is>
          <t>Managed</t>
        </is>
      </c>
      <c r="E36" s="972" t="inlineStr">
        <is>
          <t>Optimised</t>
        </is>
      </c>
      <c r="F36" s="484" t="n">
        <v>1323497.774416203</v>
      </c>
      <c r="G36" s="484" t="n">
        <v>1323497.774416203</v>
      </c>
      <c r="H36" s="484" t="n">
        <v>0</v>
      </c>
      <c r="I36" s="505" t="n">
        <v>0</v>
      </c>
      <c r="J36" s="485" t="n">
        <v>1935742.978786793</v>
      </c>
      <c r="K36" s="485" t="n">
        <v>1935742.978786793</v>
      </c>
      <c r="L36" s="485" t="n">
        <v>0</v>
      </c>
      <c r="M36" s="506" t="n">
        <v>0</v>
      </c>
    </row>
    <row r="37" ht="15" customHeight="1" s="508">
      <c r="A37" s="972" t="inlineStr">
        <is>
          <t>M0934</t>
        </is>
      </c>
      <c r="B37" s="972" t="inlineStr">
        <is>
          <t>Limit Hardware Installation</t>
        </is>
      </c>
      <c r="C37" s="972" t="inlineStr">
        <is>
          <t>Prevent / Resist</t>
        </is>
      </c>
      <c r="D37" s="972" t="inlineStr">
        <is>
          <t>Managed</t>
        </is>
      </c>
      <c r="E37" s="972" t="inlineStr">
        <is>
          <t>Optimised</t>
        </is>
      </c>
      <c r="F37" s="484" t="n">
        <v>1323497.774416203</v>
      </c>
      <c r="G37" s="484" t="n">
        <v>1323497.774416203</v>
      </c>
      <c r="H37" s="484" t="n">
        <v>0</v>
      </c>
      <c r="I37" s="505" t="n">
        <v>0</v>
      </c>
      <c r="J37" s="485" t="n">
        <v>1935742.978786793</v>
      </c>
      <c r="K37" s="485" t="n">
        <v>1935742.978786793</v>
      </c>
      <c r="L37" s="485" t="n">
        <v>0</v>
      </c>
      <c r="M37" s="506" t="n">
        <v>0</v>
      </c>
    </row>
    <row r="38" ht="15" customHeight="1" s="508">
      <c r="A38" s="972" t="inlineStr">
        <is>
          <t>M0805</t>
        </is>
      </c>
      <c r="B38" s="972" t="inlineStr">
        <is>
          <t>Mechanical Protection Layers</t>
        </is>
      </c>
      <c r="C38" s="972" t="inlineStr">
        <is>
          <t>Safety / Resilience</t>
        </is>
      </c>
      <c r="D38" s="972" t="inlineStr">
        <is>
          <t>Managed</t>
        </is>
      </c>
      <c r="E38" s="972" t="inlineStr">
        <is>
          <t>Optimised</t>
        </is>
      </c>
      <c r="F38" s="484" t="n">
        <v>1323497.774416203</v>
      </c>
      <c r="G38" s="484" t="n">
        <v>1323497.774416203</v>
      </c>
      <c r="H38" s="484" t="n">
        <v>0</v>
      </c>
      <c r="I38" s="505" t="n">
        <v>0</v>
      </c>
      <c r="J38" s="485" t="n">
        <v>1935742.978786793</v>
      </c>
      <c r="K38" s="485" t="n">
        <v>1935742.978786793</v>
      </c>
      <c r="L38" s="485" t="n">
        <v>0</v>
      </c>
      <c r="M38" s="506" t="n">
        <v>0</v>
      </c>
    </row>
    <row r="39" ht="15" customHeight="1" s="508">
      <c r="A39" s="972" t="inlineStr">
        <is>
          <t>M0806</t>
        </is>
      </c>
      <c r="B39" s="972" t="inlineStr">
        <is>
          <t>Minimize Wireless Signal Propagation</t>
        </is>
      </c>
      <c r="C39" s="972" t="inlineStr">
        <is>
          <t>Prevent / Resist</t>
        </is>
      </c>
      <c r="D39" s="972" t="inlineStr">
        <is>
          <t>Managed</t>
        </is>
      </c>
      <c r="E39" s="972" t="inlineStr">
        <is>
          <t>Optimised</t>
        </is>
      </c>
      <c r="F39" s="484" t="n">
        <v>1323497.774416203</v>
      </c>
      <c r="G39" s="484" t="n">
        <v>1323497.774416203</v>
      </c>
      <c r="H39" s="484" t="n">
        <v>0</v>
      </c>
      <c r="I39" s="505" t="n">
        <v>0</v>
      </c>
      <c r="J39" s="485" t="n">
        <v>1935742.978786793</v>
      </c>
      <c r="K39" s="485" t="n">
        <v>1935742.978786793</v>
      </c>
      <c r="L39" s="485" t="n">
        <v>0</v>
      </c>
      <c r="M39" s="506" t="n">
        <v>0</v>
      </c>
    </row>
    <row r="40" ht="15" customHeight="1" s="508">
      <c r="A40" s="972" t="inlineStr">
        <is>
          <t>M0816</t>
        </is>
      </c>
      <c r="B40" s="972" t="inlineStr">
        <is>
          <t>Mitigation Limited or Not Effective</t>
        </is>
      </c>
      <c r="C40" s="972" t="inlineStr">
        <is>
          <t>Excluded — no modelled effect</t>
        </is>
      </c>
      <c r="D40" s="972" t="inlineStr">
        <is>
          <t>Managed</t>
        </is>
      </c>
      <c r="E40" s="972" t="inlineStr">
        <is>
          <t>Optimised</t>
        </is>
      </c>
      <c r="F40" s="484" t="n">
        <v>1323497.774416203</v>
      </c>
      <c r="G40" s="484" t="n">
        <v>1323497.774416203</v>
      </c>
      <c r="H40" s="484" t="n">
        <v>0</v>
      </c>
      <c r="I40" s="505" t="n">
        <v>0</v>
      </c>
      <c r="J40" s="485" t="n">
        <v>1935742.978786793</v>
      </c>
      <c r="K40" s="485" t="n">
        <v>1935742.978786793</v>
      </c>
      <c r="L40" s="485" t="n">
        <v>0</v>
      </c>
      <c r="M40" s="506" t="n">
        <v>0</v>
      </c>
    </row>
    <row r="41" ht="15" customHeight="1" s="508">
      <c r="A41" s="972" t="inlineStr">
        <is>
          <t>M0932</t>
        </is>
      </c>
      <c r="B41" s="972" t="inlineStr">
        <is>
          <t>Multi-factor Authentication</t>
        </is>
      </c>
      <c r="C41" s="972" t="inlineStr">
        <is>
          <t>Prevent / Resist</t>
        </is>
      </c>
      <c r="D41" s="972" t="inlineStr">
        <is>
          <t>Managed</t>
        </is>
      </c>
      <c r="E41" s="972" t="inlineStr">
        <is>
          <t>Optimised</t>
        </is>
      </c>
      <c r="F41" s="484" t="n">
        <v>1323497.774416203</v>
      </c>
      <c r="G41" s="484" t="n">
        <v>1323497.774416203</v>
      </c>
      <c r="H41" s="484" t="n">
        <v>0</v>
      </c>
      <c r="I41" s="505" t="n">
        <v>0</v>
      </c>
      <c r="J41" s="485" t="n">
        <v>1935742.978786793</v>
      </c>
      <c r="K41" s="485" t="n">
        <v>1935742.978786793</v>
      </c>
      <c r="L41" s="485" t="n">
        <v>0</v>
      </c>
      <c r="M41" s="506" t="n">
        <v>0</v>
      </c>
    </row>
    <row r="42" ht="15" customHeight="1" s="508">
      <c r="A42" s="972" t="inlineStr">
        <is>
          <t>M0807</t>
        </is>
      </c>
      <c r="B42" s="972" t="inlineStr">
        <is>
          <t>Network Allowlists</t>
        </is>
      </c>
      <c r="C42" s="972" t="inlineStr">
        <is>
          <t>Prevent / Resist</t>
        </is>
      </c>
      <c r="D42" s="972" t="inlineStr">
        <is>
          <t>Managed</t>
        </is>
      </c>
      <c r="E42" s="972" t="inlineStr">
        <is>
          <t>Optimised</t>
        </is>
      </c>
      <c r="F42" s="484" t="n">
        <v>1323497.774416203</v>
      </c>
      <c r="G42" s="484" t="n">
        <v>1323497.774416203</v>
      </c>
      <c r="H42" s="484" t="n">
        <v>0</v>
      </c>
      <c r="I42" s="505" t="n">
        <v>0</v>
      </c>
      <c r="J42" s="485" t="n">
        <v>1935742.978786793</v>
      </c>
      <c r="K42" s="485" t="n">
        <v>1935742.978786793</v>
      </c>
      <c r="L42" s="485" t="n">
        <v>0</v>
      </c>
      <c r="M42" s="506" t="n">
        <v>0</v>
      </c>
    </row>
    <row r="43" ht="15" customHeight="1" s="508">
      <c r="A43" s="972" t="inlineStr">
        <is>
          <t>M0931</t>
        </is>
      </c>
      <c r="B43" s="972" t="inlineStr">
        <is>
          <t>Network Intrusion Prevention</t>
        </is>
      </c>
      <c r="C43" s="972" t="inlineStr">
        <is>
          <t>Detect / Contain</t>
        </is>
      </c>
      <c r="D43" s="972" t="inlineStr">
        <is>
          <t>Managed</t>
        </is>
      </c>
      <c r="E43" s="972" t="inlineStr">
        <is>
          <t>Optimised</t>
        </is>
      </c>
      <c r="F43" s="484" t="n">
        <v>1323497.774416203</v>
      </c>
      <c r="G43" s="484" t="n">
        <v>1323497.774416203</v>
      </c>
      <c r="H43" s="484" t="n">
        <v>0</v>
      </c>
      <c r="I43" s="505" t="n">
        <v>0</v>
      </c>
      <c r="J43" s="485" t="n">
        <v>1935742.978786793</v>
      </c>
      <c r="K43" s="485" t="n">
        <v>1935742.978786793</v>
      </c>
      <c r="L43" s="485" t="n">
        <v>0</v>
      </c>
      <c r="M43" s="506" t="n">
        <v>0</v>
      </c>
    </row>
    <row r="44" ht="15" customHeight="1" s="508">
      <c r="A44" s="972" t="inlineStr">
        <is>
          <t>M0930</t>
        </is>
      </c>
      <c r="B44" s="972" t="inlineStr">
        <is>
          <t>Network Segmentation</t>
        </is>
      </c>
      <c r="C44" s="972" t="inlineStr">
        <is>
          <t>Prevent / Resist</t>
        </is>
      </c>
      <c r="D44" s="972" t="inlineStr">
        <is>
          <t>Managed</t>
        </is>
      </c>
      <c r="E44" s="972" t="inlineStr">
        <is>
          <t>Optimised</t>
        </is>
      </c>
      <c r="F44" s="484" t="n">
        <v>1323497.774416203</v>
      </c>
      <c r="G44" s="484" t="n">
        <v>1323497.774416203</v>
      </c>
      <c r="H44" s="484" t="n">
        <v>0</v>
      </c>
      <c r="I44" s="505" t="n">
        <v>0</v>
      </c>
      <c r="J44" s="485" t="n">
        <v>1935742.978786793</v>
      </c>
      <c r="K44" s="485" t="n">
        <v>1935742.978786793</v>
      </c>
      <c r="L44" s="485" t="n">
        <v>0</v>
      </c>
      <c r="M44" s="506" t="n">
        <v>0</v>
      </c>
    </row>
    <row r="45" ht="15" customHeight="1" s="508">
      <c r="A45" s="972" t="inlineStr">
        <is>
          <t>M0928</t>
        </is>
      </c>
      <c r="B45" s="972" t="inlineStr">
        <is>
          <t>Operating System Configuration</t>
        </is>
      </c>
      <c r="C45" s="972" t="inlineStr">
        <is>
          <t>Prevent / Resist</t>
        </is>
      </c>
      <c r="D45" s="972" t="inlineStr">
        <is>
          <t>Managed</t>
        </is>
      </c>
      <c r="E45" s="972" t="inlineStr">
        <is>
          <t>Optimised</t>
        </is>
      </c>
      <c r="F45" s="484" t="n">
        <v>1323497.774416203</v>
      </c>
      <c r="G45" s="484" t="n">
        <v>1323497.774416203</v>
      </c>
      <c r="H45" s="484" t="n">
        <v>0</v>
      </c>
      <c r="I45" s="505" t="n">
        <v>0</v>
      </c>
      <c r="J45" s="485" t="n">
        <v>1935742.978786793</v>
      </c>
      <c r="K45" s="485" t="n">
        <v>1935742.978786793</v>
      </c>
      <c r="L45" s="485" t="n">
        <v>0</v>
      </c>
      <c r="M45" s="506" t="n">
        <v>0</v>
      </c>
    </row>
    <row r="46" ht="15" customHeight="1" s="508">
      <c r="A46" s="972" t="inlineStr">
        <is>
          <t>M0809</t>
        </is>
      </c>
      <c r="B46" s="972" t="inlineStr">
        <is>
          <t>Operational Information Confidentiality</t>
        </is>
      </c>
      <c r="C46" s="972" t="inlineStr">
        <is>
          <t>Prevent / Resist</t>
        </is>
      </c>
      <c r="D46" s="972" t="inlineStr">
        <is>
          <t>Managed</t>
        </is>
      </c>
      <c r="E46" s="972" t="inlineStr">
        <is>
          <t>Optimised</t>
        </is>
      </c>
      <c r="F46" s="484" t="n">
        <v>1323497.774416203</v>
      </c>
      <c r="G46" s="484" t="n">
        <v>1323497.774416203</v>
      </c>
      <c r="H46" s="484" t="n">
        <v>0</v>
      </c>
      <c r="I46" s="505" t="n">
        <v>0</v>
      </c>
      <c r="J46" s="485" t="n">
        <v>1935742.978786793</v>
      </c>
      <c r="K46" s="485" t="n">
        <v>1935742.978786793</v>
      </c>
      <c r="L46" s="485" t="n">
        <v>0</v>
      </c>
      <c r="M46" s="506" t="n">
        <v>0</v>
      </c>
    </row>
    <row r="47" ht="15" customHeight="1" s="508">
      <c r="A47" s="972" t="inlineStr">
        <is>
          <t>M0810</t>
        </is>
      </c>
      <c r="B47" s="972" t="inlineStr">
        <is>
          <t>Out-of-Band Communications Channel</t>
        </is>
      </c>
      <c r="C47" s="972" t="inlineStr">
        <is>
          <t>Recover / Restore</t>
        </is>
      </c>
      <c r="D47" s="972" t="inlineStr">
        <is>
          <t>Managed</t>
        </is>
      </c>
      <c r="E47" s="972" t="inlineStr">
        <is>
          <t>Optimised</t>
        </is>
      </c>
      <c r="F47" s="484" t="n">
        <v>1323497.774416203</v>
      </c>
      <c r="G47" s="484" t="n">
        <v>1323497.774416203</v>
      </c>
      <c r="H47" s="484" t="n">
        <v>0</v>
      </c>
      <c r="I47" s="505" t="n">
        <v>0</v>
      </c>
      <c r="J47" s="485" t="n">
        <v>1935742.978786793</v>
      </c>
      <c r="K47" s="485" t="n">
        <v>1935742.978786793</v>
      </c>
      <c r="L47" s="485" t="n">
        <v>0</v>
      </c>
      <c r="M47" s="506" t="n">
        <v>0</v>
      </c>
    </row>
    <row r="48" ht="15" customHeight="1" s="508">
      <c r="A48" s="972" t="inlineStr">
        <is>
          <t>M0927</t>
        </is>
      </c>
      <c r="B48" s="972" t="inlineStr">
        <is>
          <t>Password Policies</t>
        </is>
      </c>
      <c r="C48" s="972" t="inlineStr">
        <is>
          <t>Prevent / Resist</t>
        </is>
      </c>
      <c r="D48" s="972" t="inlineStr">
        <is>
          <t>Managed</t>
        </is>
      </c>
      <c r="E48" s="972" t="inlineStr">
        <is>
          <t>Optimised</t>
        </is>
      </c>
      <c r="F48" s="484" t="n">
        <v>1323497.774416203</v>
      </c>
      <c r="G48" s="484" t="n">
        <v>1323497.774416203</v>
      </c>
      <c r="H48" s="484" t="n">
        <v>0</v>
      </c>
      <c r="I48" s="505" t="n">
        <v>0</v>
      </c>
      <c r="J48" s="485" t="n">
        <v>1935742.978786793</v>
      </c>
      <c r="K48" s="485" t="n">
        <v>1935742.978786793</v>
      </c>
      <c r="L48" s="485" t="n">
        <v>0</v>
      </c>
      <c r="M48" s="506" t="n">
        <v>0</v>
      </c>
    </row>
    <row r="49" ht="15" customHeight="1" s="508">
      <c r="A49" s="972" t="inlineStr">
        <is>
          <t>M0926</t>
        </is>
      </c>
      <c r="B49" s="972" t="inlineStr">
        <is>
          <t>Privileged Account Management</t>
        </is>
      </c>
      <c r="C49" s="972" t="inlineStr">
        <is>
          <t>Prevent / Resist</t>
        </is>
      </c>
      <c r="D49" s="972" t="inlineStr">
        <is>
          <t>Managed</t>
        </is>
      </c>
      <c r="E49" s="972" t="inlineStr">
        <is>
          <t>Optimised</t>
        </is>
      </c>
      <c r="F49" s="484" t="n">
        <v>1323497.774416203</v>
      </c>
      <c r="G49" s="484" t="n">
        <v>1323497.774416203</v>
      </c>
      <c r="H49" s="484" t="n">
        <v>0</v>
      </c>
      <c r="I49" s="505" t="n">
        <v>0</v>
      </c>
      <c r="J49" s="485" t="n">
        <v>1935742.978786793</v>
      </c>
      <c r="K49" s="485" t="n">
        <v>1935742.978786793</v>
      </c>
      <c r="L49" s="485" t="n">
        <v>0</v>
      </c>
      <c r="M49" s="506" t="n">
        <v>0</v>
      </c>
    </row>
    <row r="50" ht="15" customHeight="1" s="508">
      <c r="A50" s="972" t="inlineStr">
        <is>
          <t>M0811</t>
        </is>
      </c>
      <c r="B50" s="972" t="inlineStr">
        <is>
          <t>Redundancy of Service</t>
        </is>
      </c>
      <c r="C50" s="972" t="inlineStr">
        <is>
          <t>Recover / Restore</t>
        </is>
      </c>
      <c r="D50" s="972" t="inlineStr">
        <is>
          <t>Managed</t>
        </is>
      </c>
      <c r="E50" s="972" t="inlineStr">
        <is>
          <t>Optimised</t>
        </is>
      </c>
      <c r="F50" s="484" t="n">
        <v>1323497.774416203</v>
      </c>
      <c r="G50" s="484" t="n">
        <v>1323497.774416203</v>
      </c>
      <c r="H50" s="484" t="n">
        <v>0</v>
      </c>
      <c r="I50" s="505" t="n">
        <v>0</v>
      </c>
      <c r="J50" s="485" t="n">
        <v>1935742.978786793</v>
      </c>
      <c r="K50" s="485" t="n">
        <v>1935742.978786793</v>
      </c>
      <c r="L50" s="485" t="n">
        <v>0</v>
      </c>
      <c r="M50" s="506" t="n">
        <v>0</v>
      </c>
    </row>
    <row r="51" ht="15" customHeight="1" s="508">
      <c r="A51" s="972" t="inlineStr">
        <is>
          <t>M0922</t>
        </is>
      </c>
      <c r="B51" s="972" t="inlineStr">
        <is>
          <t>Restrict File and Directory Permissions</t>
        </is>
      </c>
      <c r="C51" s="972" t="inlineStr">
        <is>
          <t>Prevent / Resist</t>
        </is>
      </c>
      <c r="D51" s="972" t="inlineStr">
        <is>
          <t>Managed</t>
        </is>
      </c>
      <c r="E51" s="972" t="inlineStr">
        <is>
          <t>Optimised</t>
        </is>
      </c>
      <c r="F51" s="484" t="n">
        <v>1323497.774416203</v>
      </c>
      <c r="G51" s="484" t="n">
        <v>1323497.774416203</v>
      </c>
      <c r="H51" s="484" t="n">
        <v>0</v>
      </c>
      <c r="I51" s="505" t="n">
        <v>0</v>
      </c>
      <c r="J51" s="485" t="n">
        <v>1935742.978786793</v>
      </c>
      <c r="K51" s="485" t="n">
        <v>1935742.978786793</v>
      </c>
      <c r="L51" s="485" t="n">
        <v>0</v>
      </c>
      <c r="M51" s="506" t="n">
        <v>0</v>
      </c>
    </row>
    <row r="52" ht="15" customHeight="1" s="508">
      <c r="A52" s="972" t="inlineStr">
        <is>
          <t>M0944</t>
        </is>
      </c>
      <c r="B52" s="972" t="inlineStr">
        <is>
          <t>Restrict Library Loading</t>
        </is>
      </c>
      <c r="C52" s="972" t="inlineStr">
        <is>
          <t>Prevent / Resist</t>
        </is>
      </c>
      <c r="D52" s="972" t="inlineStr">
        <is>
          <t>Managed</t>
        </is>
      </c>
      <c r="E52" s="972" t="inlineStr">
        <is>
          <t>Optimised</t>
        </is>
      </c>
      <c r="F52" s="484" t="n">
        <v>1323497.774416203</v>
      </c>
      <c r="G52" s="484" t="n">
        <v>1323497.774416203</v>
      </c>
      <c r="H52" s="484" t="n">
        <v>0</v>
      </c>
      <c r="I52" s="505" t="n">
        <v>0</v>
      </c>
      <c r="J52" s="485" t="n">
        <v>1935742.978786793</v>
      </c>
      <c r="K52" s="485" t="n">
        <v>1935742.978786793</v>
      </c>
      <c r="L52" s="485" t="n">
        <v>0</v>
      </c>
      <c r="M52" s="506" t="n">
        <v>0</v>
      </c>
    </row>
    <row r="53" ht="15" customHeight="1" s="508">
      <c r="A53" s="972" t="inlineStr">
        <is>
          <t>M0924</t>
        </is>
      </c>
      <c r="B53" s="972" t="inlineStr">
        <is>
          <t>Restrict Registry Permissions</t>
        </is>
      </c>
      <c r="C53" s="972" t="inlineStr">
        <is>
          <t>Prevent / Resist</t>
        </is>
      </c>
      <c r="D53" s="972" t="inlineStr">
        <is>
          <t>Managed</t>
        </is>
      </c>
      <c r="E53" s="972" t="inlineStr">
        <is>
          <t>Optimised</t>
        </is>
      </c>
      <c r="F53" s="484" t="n">
        <v>1323497.774416203</v>
      </c>
      <c r="G53" s="484" t="n">
        <v>1323497.774416203</v>
      </c>
      <c r="H53" s="484" t="n">
        <v>0</v>
      </c>
      <c r="I53" s="505" t="n">
        <v>0</v>
      </c>
      <c r="J53" s="485" t="n">
        <v>1935742.978786793</v>
      </c>
      <c r="K53" s="485" t="n">
        <v>1935742.978786793</v>
      </c>
      <c r="L53" s="485" t="n">
        <v>0</v>
      </c>
      <c r="M53" s="506" t="n">
        <v>0</v>
      </c>
    </row>
    <row r="54" ht="15" customHeight="1" s="508">
      <c r="A54" s="972" t="inlineStr">
        <is>
          <t>M0921</t>
        </is>
      </c>
      <c r="B54" s="972" t="inlineStr">
        <is>
          <t>Restrict Web-Based Content</t>
        </is>
      </c>
      <c r="C54" s="972" t="inlineStr">
        <is>
          <t>Prevent / Resist</t>
        </is>
      </c>
      <c r="D54" s="972" t="inlineStr">
        <is>
          <t>Managed</t>
        </is>
      </c>
      <c r="E54" s="972" t="inlineStr">
        <is>
          <t>Optimised</t>
        </is>
      </c>
      <c r="F54" s="484" t="n">
        <v>1323497.774416203</v>
      </c>
      <c r="G54" s="484" t="n">
        <v>1323497.774416203</v>
      </c>
      <c r="H54" s="484" t="n">
        <v>0</v>
      </c>
      <c r="I54" s="505" t="n">
        <v>0</v>
      </c>
      <c r="J54" s="485" t="n">
        <v>1935742.978786793</v>
      </c>
      <c r="K54" s="485" t="n">
        <v>1935742.978786793</v>
      </c>
      <c r="L54" s="485" t="n">
        <v>0</v>
      </c>
      <c r="M54" s="506" t="n">
        <v>0</v>
      </c>
    </row>
    <row r="55" ht="15" customHeight="1" s="508">
      <c r="A55" s="972" t="inlineStr">
        <is>
          <t>M0920</t>
        </is>
      </c>
      <c r="B55" s="972" t="inlineStr">
        <is>
          <t>SSL/TLS Inspection</t>
        </is>
      </c>
      <c r="C55" s="972" t="inlineStr">
        <is>
          <t>Detect / Contain</t>
        </is>
      </c>
      <c r="D55" s="972" t="inlineStr">
        <is>
          <t>Managed</t>
        </is>
      </c>
      <c r="E55" s="972" t="inlineStr">
        <is>
          <t>Optimised</t>
        </is>
      </c>
      <c r="F55" s="484" t="n">
        <v>1323497.774416203</v>
      </c>
      <c r="G55" s="484" t="n">
        <v>1323497.774416203</v>
      </c>
      <c r="H55" s="484" t="n">
        <v>0</v>
      </c>
      <c r="I55" s="505" t="n">
        <v>0</v>
      </c>
      <c r="J55" s="485" t="n">
        <v>1935742.978786793</v>
      </c>
      <c r="K55" s="485" t="n">
        <v>1935742.978786793</v>
      </c>
      <c r="L55" s="485" t="n">
        <v>0</v>
      </c>
      <c r="M55" s="506" t="n">
        <v>0</v>
      </c>
    </row>
    <row r="56" ht="15" customHeight="1" s="508">
      <c r="A56" s="972" t="inlineStr">
        <is>
          <t>M0812</t>
        </is>
      </c>
      <c r="B56" s="972" t="inlineStr">
        <is>
          <t>Safety Instrumented Systems</t>
        </is>
      </c>
      <c r="C56" s="972" t="inlineStr">
        <is>
          <t>Safety / Resilience</t>
        </is>
      </c>
      <c r="D56" s="972" t="inlineStr">
        <is>
          <t>Managed</t>
        </is>
      </c>
      <c r="E56" s="972" t="inlineStr">
        <is>
          <t>Optimised</t>
        </is>
      </c>
      <c r="F56" s="484" t="n">
        <v>1323497.774416203</v>
      </c>
      <c r="G56" s="484" t="n">
        <v>1323497.774416203</v>
      </c>
      <c r="H56" s="484" t="n">
        <v>0</v>
      </c>
      <c r="I56" s="505" t="n">
        <v>0</v>
      </c>
      <c r="J56" s="485" t="n">
        <v>1935742.978786793</v>
      </c>
      <c r="K56" s="485" t="n">
        <v>1935742.978786793</v>
      </c>
      <c r="L56" s="485" t="n">
        <v>0</v>
      </c>
      <c r="M56" s="506" t="n">
        <v>0</v>
      </c>
    </row>
    <row r="57" ht="15" customHeight="1" s="508">
      <c r="A57" s="972" t="inlineStr">
        <is>
          <t>M0954</t>
        </is>
      </c>
      <c r="B57" s="972" t="inlineStr">
        <is>
          <t>Software Configuration</t>
        </is>
      </c>
      <c r="C57" s="972" t="inlineStr">
        <is>
          <t>Prevent / Resist</t>
        </is>
      </c>
      <c r="D57" s="972" t="inlineStr">
        <is>
          <t>Managed</t>
        </is>
      </c>
      <c r="E57" s="972" t="inlineStr">
        <is>
          <t>Optimised</t>
        </is>
      </c>
      <c r="F57" s="484" t="n">
        <v>1323497.774416203</v>
      </c>
      <c r="G57" s="484" t="n">
        <v>1323497.774416203</v>
      </c>
      <c r="H57" s="484" t="n">
        <v>0</v>
      </c>
      <c r="I57" s="505" t="n">
        <v>0</v>
      </c>
      <c r="J57" s="485" t="n">
        <v>1935742.978786793</v>
      </c>
      <c r="K57" s="485" t="n">
        <v>1935742.978786793</v>
      </c>
      <c r="L57" s="485" t="n">
        <v>0</v>
      </c>
      <c r="M57" s="506" t="n">
        <v>0</v>
      </c>
    </row>
    <row r="58" ht="15" customHeight="1" s="508">
      <c r="A58" s="972" t="inlineStr">
        <is>
          <t>M0813</t>
        </is>
      </c>
      <c r="B58" s="972" t="inlineStr">
        <is>
          <t>Software Process and Device Authentication</t>
        </is>
      </c>
      <c r="C58" s="972" t="inlineStr">
        <is>
          <t>Prevent / Resist</t>
        </is>
      </c>
      <c r="D58" s="972" t="inlineStr">
        <is>
          <t>Managed</t>
        </is>
      </c>
      <c r="E58" s="972" t="inlineStr">
        <is>
          <t>Optimised</t>
        </is>
      </c>
      <c r="F58" s="484" t="n">
        <v>1323497.774416203</v>
      </c>
      <c r="G58" s="484" t="n">
        <v>1323497.774416203</v>
      </c>
      <c r="H58" s="484" t="n">
        <v>0</v>
      </c>
      <c r="I58" s="505" t="n">
        <v>0</v>
      </c>
      <c r="J58" s="485" t="n">
        <v>1935742.978786793</v>
      </c>
      <c r="K58" s="485" t="n">
        <v>1935742.978786793</v>
      </c>
      <c r="L58" s="485" t="n">
        <v>0</v>
      </c>
      <c r="M58" s="506" t="n">
        <v>0</v>
      </c>
    </row>
    <row r="59" ht="15" customHeight="1" s="508">
      <c r="A59" s="972" t="inlineStr">
        <is>
          <t>M0814</t>
        </is>
      </c>
      <c r="B59" s="972" t="inlineStr">
        <is>
          <t>Static Network Configuration</t>
        </is>
      </c>
      <c r="C59" s="972" t="inlineStr">
        <is>
          <t>Prevent / Resist</t>
        </is>
      </c>
      <c r="D59" s="972" t="inlineStr">
        <is>
          <t>Managed</t>
        </is>
      </c>
      <c r="E59" s="972" t="inlineStr">
        <is>
          <t>Optimised</t>
        </is>
      </c>
      <c r="F59" s="484" t="n">
        <v>1323497.774416203</v>
      </c>
      <c r="G59" s="484" t="n">
        <v>1323497.774416203</v>
      </c>
      <c r="H59" s="484" t="n">
        <v>0</v>
      </c>
      <c r="I59" s="505" t="n">
        <v>0</v>
      </c>
      <c r="J59" s="485" t="n">
        <v>1935742.978786793</v>
      </c>
      <c r="K59" s="485" t="n">
        <v>1935742.978786793</v>
      </c>
      <c r="L59" s="485" t="n">
        <v>0</v>
      </c>
      <c r="M59" s="506" t="n">
        <v>0</v>
      </c>
    </row>
    <row r="60" ht="15" customHeight="1" s="508">
      <c r="A60" s="972" t="inlineStr">
        <is>
          <t>M0817</t>
        </is>
      </c>
      <c r="B60" s="972" t="inlineStr">
        <is>
          <t>Supply Chain Management</t>
        </is>
      </c>
      <c r="C60" s="972" t="inlineStr">
        <is>
          <t>Prevent / Resist</t>
        </is>
      </c>
      <c r="D60" s="972" t="inlineStr">
        <is>
          <t>Managed</t>
        </is>
      </c>
      <c r="E60" s="972" t="inlineStr">
        <is>
          <t>Optimised</t>
        </is>
      </c>
      <c r="F60" s="484" t="n">
        <v>1323497.774416203</v>
      </c>
      <c r="G60" s="484" t="n">
        <v>1323497.774416203</v>
      </c>
      <c r="H60" s="484" t="n">
        <v>0</v>
      </c>
      <c r="I60" s="505" t="n">
        <v>0</v>
      </c>
      <c r="J60" s="485" t="n">
        <v>1935742.978786793</v>
      </c>
      <c r="K60" s="485" t="n">
        <v>1935742.978786793</v>
      </c>
      <c r="L60" s="485" t="n">
        <v>0</v>
      </c>
      <c r="M60" s="506" t="n">
        <v>0</v>
      </c>
    </row>
    <row r="61" ht="15" customHeight="1" s="508">
      <c r="A61" s="972" t="inlineStr">
        <is>
          <t>M0919</t>
        </is>
      </c>
      <c r="B61" s="972" t="inlineStr">
        <is>
          <t>Threat Intelligence Program</t>
        </is>
      </c>
      <c r="C61" s="972" t="inlineStr">
        <is>
          <t>Detect / Contain</t>
        </is>
      </c>
      <c r="D61" s="972" t="inlineStr">
        <is>
          <t>Managed</t>
        </is>
      </c>
      <c r="E61" s="972" t="inlineStr">
        <is>
          <t>Optimised</t>
        </is>
      </c>
      <c r="F61" s="484" t="n">
        <v>1323497.774416203</v>
      </c>
      <c r="G61" s="484" t="n">
        <v>1323497.774416203</v>
      </c>
      <c r="H61" s="484" t="n">
        <v>0</v>
      </c>
      <c r="I61" s="505" t="n">
        <v>0</v>
      </c>
      <c r="J61" s="485" t="n">
        <v>1935742.978786793</v>
      </c>
      <c r="K61" s="485" t="n">
        <v>1935742.978786793</v>
      </c>
      <c r="L61" s="485" t="n">
        <v>0</v>
      </c>
      <c r="M61" s="506" t="n">
        <v>0</v>
      </c>
    </row>
    <row r="62" ht="15" customHeight="1" s="508">
      <c r="A62" s="972" t="inlineStr">
        <is>
          <t>M0951</t>
        </is>
      </c>
      <c r="B62" s="972" t="inlineStr">
        <is>
          <t>Update Software</t>
        </is>
      </c>
      <c r="C62" s="972" t="inlineStr">
        <is>
          <t>Prevent / Resist</t>
        </is>
      </c>
      <c r="D62" s="972" t="inlineStr">
        <is>
          <t>Managed</t>
        </is>
      </c>
      <c r="E62" s="972" t="inlineStr">
        <is>
          <t>Optimised</t>
        </is>
      </c>
      <c r="F62" s="484" t="n">
        <v>1323497.774416203</v>
      </c>
      <c r="G62" s="484" t="n">
        <v>1323497.774416203</v>
      </c>
      <c r="H62" s="484" t="n">
        <v>0</v>
      </c>
      <c r="I62" s="505" t="n">
        <v>0</v>
      </c>
      <c r="J62" s="485" t="n">
        <v>1935742.978786793</v>
      </c>
      <c r="K62" s="485" t="n">
        <v>1935742.978786793</v>
      </c>
      <c r="L62" s="485" t="n">
        <v>0</v>
      </c>
      <c r="M62" s="506" t="n">
        <v>0</v>
      </c>
    </row>
    <row r="63" ht="15" customHeight="1" s="508">
      <c r="A63" s="972" t="inlineStr">
        <is>
          <t>M0918</t>
        </is>
      </c>
      <c r="B63" s="972" t="inlineStr">
        <is>
          <t>User Account Management</t>
        </is>
      </c>
      <c r="C63" s="972" t="inlineStr">
        <is>
          <t>Prevent / Resist</t>
        </is>
      </c>
      <c r="D63" s="972" t="inlineStr">
        <is>
          <t>Managed</t>
        </is>
      </c>
      <c r="E63" s="972" t="inlineStr">
        <is>
          <t>Optimised</t>
        </is>
      </c>
      <c r="F63" s="484" t="n">
        <v>1323497.774416203</v>
      </c>
      <c r="G63" s="484" t="n">
        <v>1323497.774416203</v>
      </c>
      <c r="H63" s="484" t="n">
        <v>0</v>
      </c>
      <c r="I63" s="505" t="n">
        <v>0</v>
      </c>
      <c r="J63" s="485" t="n">
        <v>1935742.978786793</v>
      </c>
      <c r="K63" s="485" t="n">
        <v>1935742.978786793</v>
      </c>
      <c r="L63" s="485" t="n">
        <v>0</v>
      </c>
      <c r="M63" s="506" t="n">
        <v>0</v>
      </c>
    </row>
    <row r="64" ht="15" customHeight="1" s="508">
      <c r="A64" s="972" t="inlineStr">
        <is>
          <t>M0917</t>
        </is>
      </c>
      <c r="B64" s="972" t="inlineStr">
        <is>
          <t>User Training</t>
        </is>
      </c>
      <c r="C64" s="972" t="inlineStr">
        <is>
          <t>Prevent / Resist</t>
        </is>
      </c>
      <c r="D64" s="972" t="inlineStr">
        <is>
          <t>Managed</t>
        </is>
      </c>
      <c r="E64" s="972" t="inlineStr">
        <is>
          <t>Optimised</t>
        </is>
      </c>
      <c r="F64" s="484" t="n">
        <v>1323497.774416203</v>
      </c>
      <c r="G64" s="484" t="n">
        <v>1323497.774416203</v>
      </c>
      <c r="H64" s="484" t="n">
        <v>0</v>
      </c>
      <c r="I64" s="505" t="n">
        <v>0</v>
      </c>
      <c r="J64" s="485" t="n">
        <v>1935742.978786793</v>
      </c>
      <c r="K64" s="485" t="n">
        <v>1935742.978786793</v>
      </c>
      <c r="L64" s="485" t="n">
        <v>0</v>
      </c>
      <c r="M64" s="506" t="n">
        <v>0</v>
      </c>
    </row>
    <row r="65" ht="15" customHeight="1" s="508">
      <c r="A65" s="972" t="inlineStr">
        <is>
          <t>M0818</t>
        </is>
      </c>
      <c r="B65" s="972" t="inlineStr">
        <is>
          <t>Validate Program Inputs</t>
        </is>
      </c>
      <c r="C65" s="972" t="inlineStr">
        <is>
          <t>Prevent / Resist</t>
        </is>
      </c>
      <c r="D65" s="972" t="inlineStr">
        <is>
          <t>Managed</t>
        </is>
      </c>
      <c r="E65" s="972" t="inlineStr">
        <is>
          <t>Optimised</t>
        </is>
      </c>
      <c r="F65" s="484" t="n">
        <v>1323497.774416203</v>
      </c>
      <c r="G65" s="484" t="n">
        <v>1323497.774416203</v>
      </c>
      <c r="H65" s="484" t="n">
        <v>0</v>
      </c>
      <c r="I65" s="505" t="n">
        <v>0</v>
      </c>
      <c r="J65" s="485" t="n">
        <v>1935742.978786793</v>
      </c>
      <c r="K65" s="485" t="n">
        <v>1935742.978786793</v>
      </c>
      <c r="L65" s="485" t="n">
        <v>0</v>
      </c>
      <c r="M65" s="506" t="n">
        <v>0</v>
      </c>
    </row>
    <row r="66" ht="15" customHeight="1" s="508">
      <c r="A66" s="972" t="inlineStr">
        <is>
          <t>M0916</t>
        </is>
      </c>
      <c r="B66" s="972" t="inlineStr">
        <is>
          <t>Vulnerability Scanning</t>
        </is>
      </c>
      <c r="C66" s="972" t="inlineStr">
        <is>
          <t>Detect / Contain</t>
        </is>
      </c>
      <c r="D66" s="972" t="inlineStr">
        <is>
          <t>Managed</t>
        </is>
      </c>
      <c r="E66" s="972" t="inlineStr">
        <is>
          <t>Optimised</t>
        </is>
      </c>
      <c r="F66" s="484" t="n">
        <v>1323497.774416203</v>
      </c>
      <c r="G66" s="484" t="n">
        <v>1323497.774416203</v>
      </c>
      <c r="H66" s="484" t="n">
        <v>0</v>
      </c>
      <c r="I66" s="505" t="n">
        <v>0</v>
      </c>
      <c r="J66" s="485" t="n">
        <v>1935742.978786793</v>
      </c>
      <c r="K66" s="485" t="n">
        <v>1935742.978786793</v>
      </c>
      <c r="L66" s="485" t="n">
        <v>0</v>
      </c>
      <c r="M66" s="506" t="n">
        <v>0</v>
      </c>
    </row>
    <row r="67" ht="15" customHeight="1" s="508">
      <c r="A67" s="972" t="inlineStr">
        <is>
          <t>M0815</t>
        </is>
      </c>
      <c r="B67" s="972" t="inlineStr">
        <is>
          <t>Watchdog Timers</t>
        </is>
      </c>
      <c r="C67" s="972" t="inlineStr">
        <is>
          <t>Safety / Resilience</t>
        </is>
      </c>
      <c r="D67" s="972" t="inlineStr">
        <is>
          <t>Managed</t>
        </is>
      </c>
      <c r="E67" s="972" t="inlineStr">
        <is>
          <t>Optimised</t>
        </is>
      </c>
      <c r="F67" s="484" t="n">
        <v>1323497.774416203</v>
      </c>
      <c r="G67" s="484" t="n">
        <v>1323497.774416203</v>
      </c>
      <c r="H67" s="484" t="n">
        <v>0</v>
      </c>
      <c r="I67" s="505" t="n">
        <v>0</v>
      </c>
      <c r="J67" s="485" t="n">
        <v>1935742.978786793</v>
      </c>
      <c r="K67" s="485" t="n">
        <v>1935742.978786793</v>
      </c>
      <c r="L67" s="485" t="n">
        <v>0</v>
      </c>
      <c r="M67" s="506" t="n">
        <v>0</v>
      </c>
    </row>
    <row r="68" ht="15" customHeight="1" s="508">
      <c r="F68" s="484" t="n"/>
      <c r="G68" s="484" t="n"/>
      <c r="H68" s="484" t="n"/>
      <c r="I68" s="505" t="n"/>
      <c r="J68" s="485" t="n"/>
      <c r="K68" s="485" t="n"/>
      <c r="L68" s="485" t="n"/>
      <c r="M68" s="506" t="n"/>
    </row>
    <row r="69" ht="15" customHeight="1" s="508">
      <c r="F69" s="484" t="n"/>
      <c r="G69" s="484" t="n"/>
      <c r="H69" s="484" t="n"/>
      <c r="I69" s="505" t="n"/>
      <c r="J69" s="485" t="n"/>
      <c r="K69" s="485" t="n"/>
      <c r="L69" s="485" t="n"/>
      <c r="M69" s="506" t="n"/>
    </row>
    <row r="70" ht="15" customHeight="1" s="508">
      <c r="F70" s="484" t="n"/>
      <c r="G70" s="484" t="n"/>
      <c r="H70" s="484" t="n"/>
      <c r="I70" s="505" t="n"/>
      <c r="J70" s="485" t="n"/>
      <c r="K70" s="485" t="n"/>
      <c r="L70" s="485" t="n"/>
      <c r="M70" s="506" t="n"/>
    </row>
    <row r="71" ht="15" customHeight="1" s="508">
      <c r="F71" s="484" t="n"/>
      <c r="G71" s="484" t="n"/>
      <c r="H71" s="484" t="n"/>
      <c r="I71" s="505" t="n"/>
      <c r="J71" s="485" t="n"/>
      <c r="K71" s="485" t="n"/>
      <c r="L71" s="485" t="n"/>
      <c r="M71" s="506" t="n"/>
    </row>
    <row r="72" ht="15" customHeight="1" s="508">
      <c r="F72" s="484" t="n"/>
      <c r="G72" s="484" t="n"/>
      <c r="H72" s="484" t="n"/>
      <c r="I72" s="505" t="n"/>
      <c r="J72" s="485" t="n"/>
      <c r="K72" s="485" t="n"/>
      <c r="L72" s="485" t="n"/>
      <c r="M72" s="506" t="n"/>
    </row>
    <row r="73" ht="15" customHeight="1" s="508">
      <c r="F73" s="484" t="n"/>
      <c r="G73" s="484" t="n"/>
      <c r="H73" s="484" t="n"/>
      <c r="I73" s="505" t="n"/>
      <c r="J73" s="485" t="n"/>
      <c r="K73" s="485" t="n"/>
      <c r="L73" s="485" t="n"/>
      <c r="M73" s="506" t="n"/>
    </row>
    <row r="74" ht="15" customHeight="1" s="508">
      <c r="F74" s="484" t="n"/>
      <c r="G74" s="484" t="n"/>
      <c r="H74" s="484" t="n"/>
      <c r="I74" s="505" t="n"/>
      <c r="J74" s="485" t="n"/>
      <c r="K74" s="485" t="n"/>
      <c r="L74" s="485" t="n"/>
      <c r="M74" s="506" t="n"/>
    </row>
    <row r="75" ht="15" customHeight="1" s="508">
      <c r="F75" s="484" t="n"/>
      <c r="G75" s="484" t="n"/>
      <c r="H75" s="484" t="n"/>
      <c r="I75" s="505" t="n"/>
      <c r="J75" s="485" t="n"/>
      <c r="K75" s="485" t="n"/>
      <c r="L75" s="485" t="n"/>
      <c r="M75" s="506" t="n"/>
    </row>
    <row r="76" ht="15" customHeight="1" s="508">
      <c r="F76" s="484" t="n"/>
      <c r="G76" s="484" t="n"/>
      <c r="H76" s="484" t="n"/>
      <c r="I76" s="505" t="n"/>
      <c r="J76" s="485" t="n"/>
      <c r="K76" s="485" t="n"/>
      <c r="L76" s="485" t="n"/>
      <c r="M76" s="506" t="n"/>
    </row>
    <row r="77" ht="15" customHeight="1" s="508">
      <c r="F77" s="484" t="n"/>
      <c r="G77" s="484" t="n"/>
      <c r="H77" s="484" t="n"/>
      <c r="I77" s="505" t="n"/>
      <c r="J77" s="485" t="n"/>
      <c r="K77" s="485" t="n"/>
      <c r="L77" s="485" t="n"/>
      <c r="M77" s="506" t="n"/>
    </row>
    <row r="78" ht="15" customHeight="1" s="508">
      <c r="F78" s="484" t="n"/>
      <c r="G78" s="484" t="n"/>
      <c r="H78" s="484" t="n"/>
      <c r="I78" s="505" t="n"/>
      <c r="J78" s="485" t="n"/>
      <c r="K78" s="485" t="n"/>
      <c r="L78" s="485" t="n"/>
      <c r="M78" s="506" t="n"/>
    </row>
    <row r="79" ht="15" customHeight="1" s="508">
      <c r="F79" s="484" t="n"/>
      <c r="G79" s="484" t="n"/>
      <c r="H79" s="484" t="n"/>
      <c r="I79" s="505" t="n"/>
      <c r="J79" s="485" t="n"/>
      <c r="K79" s="485" t="n"/>
      <c r="L79" s="485" t="n"/>
      <c r="M79" s="506" t="n"/>
    </row>
    <row r="80" ht="15" customHeight="1" s="508">
      <c r="F80" s="484" t="n"/>
      <c r="G80" s="484" t="n"/>
      <c r="H80" s="484" t="n"/>
      <c r="I80" s="505" t="n"/>
      <c r="J80" s="485" t="n"/>
      <c r="K80" s="485" t="n"/>
      <c r="L80" s="485" t="n"/>
      <c r="M80" s="506" t="n"/>
    </row>
  </sheetData>
  <mergeCells count="13">
    <mergeCell ref="A7:I7"/>
    <mergeCell ref="A2:I2"/>
    <mergeCell ref="A11:I11"/>
    <mergeCell ref="A10:I10"/>
    <mergeCell ref="A5:I5"/>
    <mergeCell ref="A13:I13"/>
    <mergeCell ref="A1:I1"/>
    <mergeCell ref="A9:I9"/>
    <mergeCell ref="A8:I8"/>
    <mergeCell ref="A3:I3"/>
    <mergeCell ref="A6:I6"/>
    <mergeCell ref="A12:I12"/>
    <mergeCell ref="A4:I4"/>
  </mergeCells>
  <pageMargins left="0.7" right="0.7" top="0.75" bottom="0.75" header="0.3" footer="0.3"/>
</worksheet>
</file>

<file path=xl/worksheets/sheet58.xml><?xml version="1.0" encoding="utf-8"?>
<worksheet xmlns="http://schemas.openxmlformats.org/spreadsheetml/2006/main">
  <sheetPr>
    <tabColor rgb="007F7F7F"/>
    <outlinePr summaryBelow="1" summaryRight="1"/>
    <pageSetUpPr/>
  </sheetPr>
  <dimension ref="A1:I40"/>
  <sheetViews>
    <sheetView showGridLines="1" workbookViewId="0">
      <selection activeCell="A1" sqref="A1"/>
    </sheetView>
  </sheetViews>
  <sheetFormatPr baseColWidth="8" defaultColWidth="8.6796875" defaultRowHeight="15"/>
  <cols>
    <col width="24" customWidth="1" style="972" min="1" max="1"/>
    <col width="20" customWidth="1" style="972" min="2" max="3"/>
    <col width="22" customWidth="1" style="972" min="4" max="5"/>
    <col width="19" customWidth="1" style="508" min="6" max="6"/>
    <col width="19" customWidth="1" style="508" min="7" max="7"/>
    <col width="19" customWidth="1" style="508" min="8" max="8"/>
    <col width="19" customWidth="1" style="508" min="9" max="9"/>
  </cols>
  <sheetData>
    <row r="1" ht="21.75" customHeight="1" s="508">
      <c r="A1" s="456" t="inlineStr">
        <is>
          <t>21 — Facility Loss Exceedance Curves (LECs)</t>
        </is>
      </c>
    </row>
    <row r="2" ht="37.5" customHeight="1" s="508">
      <c r="A2" s="402" t="inlineStr">
        <is>
          <t>Purpose: Provide facility-level Loss Exceedance Curve data for annual aggregate loss (AEP) and largest single occurrence (OEP), plus equivalent downtime exceedance data.</t>
        </is>
      </c>
    </row>
    <row r="3" ht="37.5" customHeight="1" s="508">
      <c r="A3" s="403" t="inlineStr">
        <is>
          <t>In plain English: an LEC shows the annual probability that a financial loss level will be exceeded. AEP is the primary annual-risk curve; OEP shows single-event severity.</t>
        </is>
      </c>
    </row>
    <row r="4" ht="21.75" customHeight="1" s="508">
      <c r="A4" s="457" t="inlineStr">
        <is>
          <t>SHEET TYPE: MODEL RESULT</t>
        </is>
      </c>
    </row>
    <row r="5" ht="21.75" customHeight="1" s="508">
      <c r="A5" s="405" t="inlineStr">
        <is>
          <t>Inputs / upstream sources</t>
        </is>
      </c>
    </row>
    <row r="6" ht="30" customHeight="1" s="508">
      <c r="A6" s="406" t="inlineStr">
        <is>
          <t>Facility annual loss and downtime arrays from the 500,000-year simulation.</t>
        </is>
      </c>
    </row>
    <row r="7" ht="30" customHeight="1" s="508">
      <c r="A7" s="405" t="inlineStr">
        <is>
          <t>Calculation / decision logic</t>
        </is>
      </c>
    </row>
    <row r="8" ht="30" customHeight="1" s="508">
      <c r="A8" s="406" t="inlineStr">
        <is>
          <t>Return-period points compare Best Estimate and Prudent annual aggregate (AEP) and occurrence (OEP) losses and downtime. The primary risk charts use the detailed reporting basis selected by the engine.</t>
        </is>
      </c>
      <c r="F8" s="972" t="n"/>
      <c r="G8" s="972" t="n"/>
      <c r="H8" s="972" t="n"/>
      <c r="I8" s="972" t="n"/>
    </row>
    <row r="9" ht="30" customHeight="1" s="508">
      <c r="A9" s="405" t="inlineStr">
        <is>
          <t>Key assumptions / defaults</t>
        </is>
      </c>
    </row>
    <row r="10" ht="30" customHeight="1" s="508">
      <c r="A10" s="406" t="inlineStr">
        <is>
          <t>LECs are unconditional annual distributions and retain zero-loss years. Consequently, a conventional empirical curve starts at P(any loss), not necessarily 100%; this differs from a loss-severity curve conditional on an event occurring.</t>
        </is>
      </c>
    </row>
    <row r="11" ht="30" customHeight="1" s="508">
      <c r="A11" s="405" t="inlineStr">
        <is>
          <t>Outputs / downstream use</t>
        </is>
      </c>
    </row>
    <row r="12" ht="30" customHeight="1" s="508">
      <c r="A12" s="406" t="inlineStr">
        <is>
          <t>Feeds conventional LEC visualisations on 25 Risk Charts; complemented by scenario, actor and actor-scenario LECs on 22–24.</t>
        </is>
      </c>
    </row>
    <row r="13" ht="30" customHeight="1" s="508">
      <c r="A13" s="407" t="inlineStr">
        <is>
          <t>Workbook convention: yellow cells / blue font are editable inputs or calibration assumptions; engine-output cells are not manually editable.</t>
        </is>
      </c>
    </row>
    <row r="15" ht="15" customHeight="1" s="508">
      <c r="A15" s="154" t="inlineStr">
        <is>
          <t>Exceedance probability</t>
        </is>
      </c>
      <c r="B15" s="154" t="inlineStr">
        <is>
          <t>BE AEP loss</t>
        </is>
      </c>
      <c r="C15" s="154" t="inlineStr">
        <is>
          <t>BE OEP loss</t>
        </is>
      </c>
      <c r="D15" s="154" t="inlineStr">
        <is>
          <t>Prudent AEP loss</t>
        </is>
      </c>
      <c r="E15" s="154" t="inlineStr">
        <is>
          <t>Prudent OEP loss</t>
        </is>
      </c>
      <c r="F15" s="138" t="inlineStr">
        <is>
          <t>BE AEP downtime (h)</t>
        </is>
      </c>
      <c r="G15" s="138" t="inlineStr">
        <is>
          <t>BE OEP downtime (h)</t>
        </is>
      </c>
      <c r="H15" s="138" t="inlineStr">
        <is>
          <t>Prudent AEP downtime (h)</t>
        </is>
      </c>
      <c r="I15" s="138" t="inlineStr">
        <is>
          <t>Prudent OEP downtime (h)</t>
        </is>
      </c>
    </row>
    <row r="16" ht="15" customHeight="1" s="508">
      <c r="A16" s="455" t="n">
        <v>0.5</v>
      </c>
      <c r="B16" s="484" t="n">
        <v>0</v>
      </c>
      <c r="C16" s="484" t="n">
        <v>0</v>
      </c>
      <c r="D16" s="484" t="n">
        <v>0</v>
      </c>
      <c r="E16" s="484" t="n">
        <v>0</v>
      </c>
      <c r="F16" s="507" t="n">
        <v>0</v>
      </c>
      <c r="G16" s="507" t="n">
        <v>0</v>
      </c>
      <c r="H16" s="507" t="n">
        <v>0</v>
      </c>
      <c r="I16" s="507" t="n">
        <v>0</v>
      </c>
    </row>
    <row r="17" ht="15" customHeight="1" s="508">
      <c r="A17" s="455" t="n">
        <v>0.2</v>
      </c>
      <c r="B17" s="484" t="n">
        <v>0</v>
      </c>
      <c r="C17" s="484" t="n">
        <v>0</v>
      </c>
      <c r="D17" s="484" t="n">
        <v>0</v>
      </c>
      <c r="E17" s="484" t="n">
        <v>0</v>
      </c>
      <c r="F17" s="507" t="n">
        <v>0</v>
      </c>
      <c r="G17" s="507" t="n">
        <v>0</v>
      </c>
      <c r="H17" s="507" t="n">
        <v>0</v>
      </c>
      <c r="I17" s="507" t="n">
        <v>0</v>
      </c>
    </row>
    <row r="18" ht="15" customHeight="1" s="508">
      <c r="A18" s="455" t="n">
        <v>0.1</v>
      </c>
      <c r="B18" s="484" t="n">
        <v>0</v>
      </c>
      <c r="C18" s="484" t="n">
        <v>0</v>
      </c>
      <c r="D18" s="484" t="n">
        <v>0</v>
      </c>
      <c r="E18" s="484" t="n">
        <v>0</v>
      </c>
      <c r="F18" s="507" t="n">
        <v>0</v>
      </c>
      <c r="G18" s="507" t="n">
        <v>0</v>
      </c>
      <c r="H18" s="507" t="n">
        <v>0</v>
      </c>
      <c r="I18" s="507" t="n">
        <v>0</v>
      </c>
    </row>
    <row r="19" ht="15" customHeight="1" s="508">
      <c r="A19" s="455" t="n">
        <v>0.05</v>
      </c>
      <c r="B19" s="484" t="n">
        <v>0</v>
      </c>
      <c r="C19" s="484" t="n">
        <v>0</v>
      </c>
      <c r="D19" s="484" t="n">
        <v>924397.2530921894</v>
      </c>
      <c r="E19" s="484" t="n">
        <v>924397.2530921894</v>
      </c>
      <c r="F19" s="507" t="n">
        <v>0</v>
      </c>
      <c r="G19" s="507" t="n">
        <v>0</v>
      </c>
      <c r="H19" s="507" t="n">
        <v>7.135874754224128</v>
      </c>
      <c r="I19" s="507" t="n">
        <v>7.135874754224128</v>
      </c>
    </row>
    <row r="20" ht="15" customHeight="1" s="508">
      <c r="A20" s="455" t="n">
        <v>0.04</v>
      </c>
      <c r="B20" s="484" t="n">
        <v>0</v>
      </c>
      <c r="C20" s="484" t="n">
        <v>0</v>
      </c>
      <c r="D20" s="484" t="n">
        <v>6303612.632750219</v>
      </c>
      <c r="E20" s="484" t="n">
        <v>6284647.206953734</v>
      </c>
      <c r="F20" s="507" t="n">
        <v>0</v>
      </c>
      <c r="G20" s="507" t="n">
        <v>0</v>
      </c>
      <c r="H20" s="507" t="n">
        <v>35.66976675594746</v>
      </c>
      <c r="I20" s="507" t="n">
        <v>35.55143967276776</v>
      </c>
    </row>
    <row r="21" ht="15" customHeight="1" s="508">
      <c r="A21" s="455" t="n">
        <v>0.02</v>
      </c>
      <c r="B21" s="484" t="n">
        <v>13554360.75526441</v>
      </c>
      <c r="C21" s="484" t="n">
        <v>13507898.56742446</v>
      </c>
      <c r="D21" s="484" t="n">
        <v>24005790.3574536</v>
      </c>
      <c r="E21" s="484" t="n">
        <v>23735616.53526804</v>
      </c>
      <c r="F21" s="507" t="n">
        <v>69.45364418787156</v>
      </c>
      <c r="G21" s="507" t="n">
        <v>69.18805799583531</v>
      </c>
      <c r="H21" s="507" t="n">
        <v>117.9106729554567</v>
      </c>
      <c r="I21" s="507" t="n">
        <v>116.8961238031911</v>
      </c>
    </row>
    <row r="22" ht="15" customHeight="1" s="508">
      <c r="A22" s="455" t="n">
        <v>0.01</v>
      </c>
      <c r="B22" s="484" t="n">
        <v>34846254.94240714</v>
      </c>
      <c r="C22" s="484" t="n">
        <v>34570591.31358013</v>
      </c>
      <c r="D22" s="484" t="n">
        <v>50166813.79479161</v>
      </c>
      <c r="E22" s="484" t="n">
        <v>49547079.72183502</v>
      </c>
      <c r="F22" s="507" t="n">
        <v>166.5079080120507</v>
      </c>
      <c r="G22" s="507" t="n">
        <v>164.4489091583831</v>
      </c>
      <c r="H22" s="507" t="n">
        <v>239.2838439219513</v>
      </c>
      <c r="I22" s="507" t="n">
        <v>235.5926765773652</v>
      </c>
    </row>
    <row r="23" ht="15" customHeight="1" s="508">
      <c r="A23" s="455" t="n">
        <v>0.005</v>
      </c>
      <c r="B23" s="484" t="n">
        <v>65812770.63667529</v>
      </c>
      <c r="C23" s="484" t="n">
        <v>65452361.25783737</v>
      </c>
      <c r="D23" s="484" t="n">
        <v>87428940.74709849</v>
      </c>
      <c r="E23" s="484" t="n">
        <v>85934071.091096</v>
      </c>
      <c r="F23" s="507" t="n">
        <v>308.0368687938882</v>
      </c>
      <c r="G23" s="507" t="n">
        <v>305.0479849634563</v>
      </c>
      <c r="H23" s="507" t="n">
        <v>415.6197022579678</v>
      </c>
      <c r="I23" s="507" t="n">
        <v>410.5778809535211</v>
      </c>
    </row>
    <row r="24" ht="15" customHeight="1" s="508">
      <c r="A24" s="455" t="n">
        <v>0.004</v>
      </c>
      <c r="B24" s="484" t="n">
        <v>77710824.20365383</v>
      </c>
      <c r="C24" s="484" t="n">
        <v>77232311.37029304</v>
      </c>
      <c r="D24" s="484" t="n">
        <v>101919527.674163</v>
      </c>
      <c r="E24" s="484" t="n">
        <v>100655702.3909139</v>
      </c>
      <c r="F24" s="507" t="n">
        <v>366.9291402917412</v>
      </c>
      <c r="G24" s="507" t="n">
        <v>363.4551111923583</v>
      </c>
      <c r="H24" s="507" t="n">
        <v>488.5569931495281</v>
      </c>
      <c r="I24" s="507" t="n">
        <v>480.397249724052</v>
      </c>
    </row>
    <row r="25" ht="15" customHeight="1" s="508">
      <c r="A25" s="455" t="n">
        <v>0.002</v>
      </c>
      <c r="B25" s="484" t="n">
        <v>123767457.6475534</v>
      </c>
      <c r="C25" s="484" t="n">
        <v>122151023.8700738</v>
      </c>
      <c r="D25" s="484" t="n">
        <v>153579967.1662669</v>
      </c>
      <c r="E25" s="484" t="n">
        <v>152314382.572781</v>
      </c>
      <c r="F25" s="507" t="n">
        <v>593.9414211292966</v>
      </c>
      <c r="G25" s="507" t="n">
        <v>587.4220705292737</v>
      </c>
      <c r="H25" s="507" t="n">
        <v>736.4105349535993</v>
      </c>
      <c r="I25" s="507" t="n">
        <v>731.6179768247822</v>
      </c>
    </row>
    <row r="26" ht="15" customHeight="1" s="508">
      <c r="A26" s="455" t="n">
        <v>0.001</v>
      </c>
      <c r="B26" s="484" t="n">
        <v>186477269.7280668</v>
      </c>
      <c r="C26" s="484" t="n">
        <v>183634058.6197334</v>
      </c>
      <c r="D26" s="484" t="n">
        <v>220708143.5389195</v>
      </c>
      <c r="E26" s="484" t="n">
        <v>216649747.1916394</v>
      </c>
      <c r="F26" s="507" t="n">
        <v>878.8379073548947</v>
      </c>
      <c r="G26" s="507" t="n">
        <v>864.0793823486597</v>
      </c>
      <c r="H26" s="507" t="n">
        <v>1017.395126283758</v>
      </c>
      <c r="I26" s="507" t="n">
        <v>1011.717228931388</v>
      </c>
    </row>
    <row r="27" ht="15" customHeight="1" s="508">
      <c r="A27" s="455" t="n"/>
      <c r="B27" s="484" t="n"/>
      <c r="C27" s="484" t="n"/>
      <c r="D27" s="484" t="n"/>
      <c r="E27" s="484" t="n"/>
      <c r="F27" s="507" t="n"/>
      <c r="G27" s="507" t="n"/>
      <c r="H27" s="507" t="n"/>
      <c r="I27" s="507" t="n"/>
    </row>
    <row r="28" ht="15" customHeight="1" s="508">
      <c r="A28" s="455" t="n"/>
      <c r="B28" s="484" t="n"/>
      <c r="C28" s="484" t="n"/>
      <c r="D28" s="484" t="n"/>
      <c r="E28" s="484" t="n"/>
      <c r="F28" s="507" t="n"/>
      <c r="G28" s="507" t="n"/>
      <c r="H28" s="507" t="n"/>
      <c r="I28" s="507" t="n"/>
    </row>
    <row r="29" ht="15" customHeight="1" s="508">
      <c r="A29" s="455" t="n"/>
      <c r="B29" s="484" t="n"/>
      <c r="C29" s="484" t="n"/>
      <c r="D29" s="484" t="n"/>
      <c r="E29" s="484" t="n"/>
      <c r="F29" s="507" t="n"/>
      <c r="G29" s="507" t="n"/>
      <c r="H29" s="507" t="n"/>
      <c r="I29" s="507" t="n"/>
    </row>
    <row r="30" ht="15" customHeight="1" s="508">
      <c r="A30" s="455" t="n"/>
      <c r="B30" s="484" t="n"/>
      <c r="C30" s="484" t="n"/>
      <c r="D30" s="484" t="n"/>
      <c r="E30" s="484" t="n"/>
      <c r="F30" s="507" t="n"/>
      <c r="G30" s="507" t="n"/>
      <c r="H30" s="507" t="n"/>
      <c r="I30" s="507" t="n"/>
    </row>
    <row r="31" ht="15" customHeight="1" s="508">
      <c r="A31" s="455" t="n"/>
      <c r="B31" s="484" t="n"/>
      <c r="C31" s="484" t="n"/>
      <c r="D31" s="484" t="n"/>
      <c r="E31" s="484" t="n"/>
      <c r="F31" s="507" t="n"/>
      <c r="G31" s="507" t="n"/>
      <c r="H31" s="507" t="n"/>
      <c r="I31" s="507" t="n"/>
    </row>
    <row r="32" ht="15" customHeight="1" s="508">
      <c r="A32" s="455" t="n"/>
      <c r="B32" s="484" t="n"/>
      <c r="C32" s="484" t="n"/>
      <c r="D32" s="484" t="n"/>
      <c r="E32" s="484" t="n"/>
      <c r="F32" s="507" t="n"/>
      <c r="G32" s="507" t="n"/>
      <c r="H32" s="507" t="n"/>
      <c r="I32" s="507" t="n"/>
    </row>
    <row r="33" ht="15" customHeight="1" s="508">
      <c r="A33" s="455" t="n"/>
      <c r="B33" s="484" t="n"/>
      <c r="C33" s="484" t="n"/>
      <c r="D33" s="484" t="n"/>
      <c r="E33" s="484" t="n"/>
      <c r="F33" s="507" t="n"/>
      <c r="G33" s="507" t="n"/>
      <c r="H33" s="507" t="n"/>
      <c r="I33" s="507" t="n"/>
    </row>
    <row r="34" ht="15" customHeight="1" s="508">
      <c r="A34" s="455" t="n"/>
      <c r="B34" s="484" t="n"/>
      <c r="C34" s="484" t="n"/>
      <c r="D34" s="484" t="n"/>
      <c r="E34" s="484" t="n"/>
      <c r="F34" s="507" t="n"/>
      <c r="G34" s="507" t="n"/>
      <c r="H34" s="507" t="n"/>
      <c r="I34" s="507" t="n"/>
    </row>
    <row r="35" ht="15" customHeight="1" s="508">
      <c r="A35" s="455" t="n"/>
      <c r="B35" s="484" t="n"/>
      <c r="C35" s="484" t="n"/>
      <c r="D35" s="484" t="n"/>
      <c r="E35" s="484" t="n"/>
      <c r="F35" s="507" t="n"/>
      <c r="G35" s="507" t="n"/>
      <c r="H35" s="507" t="n"/>
      <c r="I35" s="507" t="n"/>
    </row>
    <row r="36" ht="15" customHeight="1" s="508">
      <c r="A36" s="455" t="n"/>
      <c r="B36" s="484" t="n"/>
      <c r="C36" s="484" t="n"/>
      <c r="D36" s="484" t="n"/>
      <c r="E36" s="484" t="n"/>
      <c r="F36" s="507" t="n"/>
      <c r="G36" s="507" t="n"/>
      <c r="H36" s="507" t="n"/>
      <c r="I36" s="507" t="n"/>
    </row>
    <row r="37" ht="15" customHeight="1" s="508">
      <c r="A37" s="455" t="n"/>
      <c r="B37" s="484" t="n"/>
      <c r="C37" s="484" t="n"/>
      <c r="D37" s="484" t="n"/>
      <c r="E37" s="484" t="n"/>
      <c r="F37" s="507" t="n"/>
      <c r="G37" s="507" t="n"/>
      <c r="H37" s="507" t="n"/>
      <c r="I37" s="507" t="n"/>
    </row>
    <row r="38" ht="15" customHeight="1" s="508">
      <c r="A38" s="455" t="n"/>
      <c r="B38" s="484" t="n"/>
      <c r="C38" s="484" t="n"/>
      <c r="D38" s="484" t="n"/>
      <c r="E38" s="484" t="n"/>
      <c r="F38" s="507" t="n"/>
      <c r="G38" s="507" t="n"/>
      <c r="H38" s="507" t="n"/>
      <c r="I38" s="507" t="n"/>
    </row>
    <row r="39" ht="15" customHeight="1" s="508">
      <c r="A39" s="455" t="n"/>
      <c r="B39" s="484" t="n"/>
      <c r="C39" s="484" t="n"/>
      <c r="D39" s="484" t="n"/>
      <c r="E39" s="484" t="n"/>
      <c r="F39" s="507" t="n"/>
      <c r="G39" s="507" t="n"/>
      <c r="H39" s="507" t="n"/>
      <c r="I39" s="507" t="n"/>
    </row>
    <row r="40" ht="15" customHeight="1" s="508">
      <c r="A40" s="455" t="n"/>
      <c r="B40" s="484" t="n"/>
      <c r="C40" s="484" t="n"/>
      <c r="D40" s="484" t="n"/>
      <c r="E40" s="484" t="n"/>
      <c r="F40" s="507" t="n"/>
      <c r="G40" s="507" t="n"/>
      <c r="H40" s="507" t="n"/>
      <c r="I40" s="507" t="n"/>
    </row>
  </sheetData>
  <mergeCells count="13">
    <mergeCell ref="A12:E12"/>
    <mergeCell ref="A4:E4"/>
    <mergeCell ref="A2:E2"/>
    <mergeCell ref="A7:E7"/>
    <mergeCell ref="A10:E10"/>
    <mergeCell ref="A11:E11"/>
    <mergeCell ref="A1:E1"/>
    <mergeCell ref="A5:E5"/>
    <mergeCell ref="A13:E13"/>
    <mergeCell ref="A8:E8"/>
    <mergeCell ref="A6:E6"/>
    <mergeCell ref="A9:E9"/>
    <mergeCell ref="A3:E3"/>
  </mergeCells>
  <pageMargins left="0.7" right="0.7" top="0.75" bottom="0.75" header="0.3" footer="0.3"/>
</worksheet>
</file>

<file path=xl/worksheets/sheet59.xml><?xml version="1.0" encoding="utf-8"?>
<worksheet xmlns="http://schemas.openxmlformats.org/spreadsheetml/2006/main">
  <sheetPr>
    <tabColor rgb="007F7F7F"/>
    <outlinePr summaryBelow="1" summaryRight="1"/>
    <pageSetUpPr/>
  </sheetPr>
  <dimension ref="A1:K40"/>
  <sheetViews>
    <sheetView showGridLines="1" workbookViewId="0">
      <selection activeCell="A1" sqref="A1"/>
    </sheetView>
  </sheetViews>
  <sheetFormatPr baseColWidth="8" defaultColWidth="8.6796875" defaultRowHeight="15"/>
  <cols>
    <col width="24" customWidth="1" style="972" min="1" max="1"/>
    <col width="20" customWidth="1" style="972" min="2" max="11"/>
  </cols>
  <sheetData>
    <row r="1" ht="21.75" customHeight="1" s="508">
      <c r="A1" s="456" t="inlineStr">
        <is>
          <t>22 — Loss Exceedance Curves by Scenario</t>
        </is>
      </c>
    </row>
    <row r="2" ht="37.5" customHeight="1" s="508">
      <c r="A2" s="402" t="inlineStr">
        <is>
          <t>Purpose: Provide AEP and OEP annual loss exceedance curves separately for each of the five adverse OT scenarios.</t>
        </is>
      </c>
    </row>
    <row r="3" ht="37.5" customHeight="1" s="508">
      <c r="A3" s="403" t="inlineStr">
        <is>
          <t>In plain English: this shows the tail-loss shape of each scenario rather than only its AAL contribution.</t>
        </is>
      </c>
    </row>
    <row r="4" ht="21.75" customHeight="1" s="508">
      <c r="A4" s="457" t="inlineStr">
        <is>
          <t>SHEET TYPE: MODEL RESULT</t>
        </is>
      </c>
    </row>
    <row r="5" ht="21.75" customHeight="1" s="508">
      <c r="A5" s="405" t="inlineStr">
        <is>
          <t>Inputs / upstream sources</t>
        </is>
      </c>
    </row>
    <row r="6" ht="30" customHeight="1" s="508">
      <c r="A6" s="406" t="inlineStr">
        <is>
          <t>Scenario-attributed annual loss arrays from the same coherent facility simulation.</t>
        </is>
      </c>
    </row>
    <row r="7" ht="30" customHeight="1" s="508">
      <c r="A7" s="405" t="inlineStr">
        <is>
          <t>Calculation / decision logic</t>
        </is>
      </c>
    </row>
    <row r="8" ht="30" customHeight="1" s="508">
      <c r="A8" s="406" t="inlineStr">
        <is>
          <t>For each scenario and exceedance probability p: Scenario AEP = quantile(total annual losses from that scenario, 1−p); Scenario OEP = quantile(largest single event from that scenario in a year, 1−p). Years with no event for that scenario remain zero.</t>
        </is>
      </c>
    </row>
    <row r="9" ht="30" customHeight="1" s="508">
      <c r="A9" s="405" t="inlineStr">
        <is>
          <t>Key assumptions / defaults</t>
        </is>
      </c>
    </row>
    <row r="10" ht="30" customHeight="1" s="508">
      <c r="A10" s="406" t="inlineStr">
        <is>
          <t>Scenario LECs are unconditional annual distributions and therefore incorporate both scenario frequency and severity. These are unconditional annual LECs; zero-loss years are retained.</t>
        </is>
      </c>
    </row>
    <row r="11" ht="30" customHeight="1" s="508">
      <c r="A11" s="405" t="inlineStr">
        <is>
          <t>Outputs / downstream use</t>
        </is>
      </c>
    </row>
    <row r="12" ht="30" customHeight="1" s="508">
      <c r="A12" s="406" t="inlineStr">
        <is>
          <t>Detailed results use the engine-selected basis: Prudent when REPORTING_VIEW is Both; otherwise the selected single view.</t>
        </is>
      </c>
    </row>
    <row r="13" ht="30" customHeight="1" s="508">
      <c r="A13" s="407" t="inlineStr">
        <is>
          <t>Workbook convention: yellow cells / blue font are editable inputs or calibration assumptions; engine-output cells are not manually editable.</t>
        </is>
      </c>
    </row>
    <row r="15" ht="21.75" customHeight="1" s="508">
      <c r="A15" s="458" t="inlineStr">
        <is>
          <t>Exceedance probability</t>
        </is>
      </c>
      <c r="B15" s="458" t="inlineStr">
        <is>
          <t>Operational Disruption AEP</t>
        </is>
      </c>
      <c r="C15" s="458" t="inlineStr">
        <is>
          <t>Operational Disruption OEP</t>
        </is>
      </c>
      <c r="D15" s="458" t="inlineStr">
        <is>
          <t>Loss of Control or Visibility AEP</t>
        </is>
      </c>
      <c r="E15" s="458" t="inlineStr">
        <is>
          <t>Loss of Control or Visibility OEP</t>
        </is>
      </c>
      <c r="F15" s="458" t="inlineStr">
        <is>
          <t>Process Manipulation AEP</t>
        </is>
      </c>
      <c r="G15" s="458" t="inlineStr">
        <is>
          <t>Process Manipulation OEP</t>
        </is>
      </c>
      <c r="H15" s="458" t="inlineStr">
        <is>
          <t>Safety System Compromise AEP</t>
        </is>
      </c>
      <c r="I15" s="458" t="inlineStr">
        <is>
          <t>Safety System Compromise OEP</t>
        </is>
      </c>
      <c r="J15" s="458" t="inlineStr">
        <is>
          <t>Destructive or Integrity Attack AEP</t>
        </is>
      </c>
      <c r="K15" s="458" t="inlineStr">
        <is>
          <t>Destructive or Integrity Attack OEP</t>
        </is>
      </c>
    </row>
    <row r="16" ht="15" customHeight="1" s="508">
      <c r="A16" s="455" t="n">
        <v>0.5</v>
      </c>
      <c r="B16" s="422" t="n">
        <v>0</v>
      </c>
      <c r="C16" s="422" t="n">
        <v>0</v>
      </c>
      <c r="D16" s="422" t="n">
        <v>0</v>
      </c>
      <c r="E16" s="422" t="n">
        <v>0</v>
      </c>
      <c r="F16" s="422" t="n">
        <v>0</v>
      </c>
      <c r="G16" s="422" t="n">
        <v>0</v>
      </c>
      <c r="H16" s="422" t="n">
        <v>0</v>
      </c>
      <c r="I16" s="422" t="n">
        <v>0</v>
      </c>
      <c r="J16" s="422" t="n">
        <v>0</v>
      </c>
      <c r="K16" s="422" t="n">
        <v>0</v>
      </c>
    </row>
    <row r="17" ht="15" customHeight="1" s="508">
      <c r="A17" s="455" t="n">
        <v>0.2</v>
      </c>
      <c r="B17" s="422" t="n">
        <v>0</v>
      </c>
      <c r="C17" s="422" t="n">
        <v>0</v>
      </c>
      <c r="D17" s="422" t="n">
        <v>0</v>
      </c>
      <c r="E17" s="422" t="n">
        <v>0</v>
      </c>
      <c r="F17" s="422" t="n">
        <v>0</v>
      </c>
      <c r="G17" s="422" t="n">
        <v>0</v>
      </c>
      <c r="H17" s="422" t="n">
        <v>0</v>
      </c>
      <c r="I17" s="422" t="n">
        <v>0</v>
      </c>
      <c r="J17" s="422" t="n">
        <v>0</v>
      </c>
      <c r="K17" s="422" t="n">
        <v>0</v>
      </c>
    </row>
    <row r="18" ht="15" customHeight="1" s="508">
      <c r="A18" s="455" t="n">
        <v>0.1</v>
      </c>
      <c r="B18" s="422" t="n">
        <v>0</v>
      </c>
      <c r="C18" s="422" t="n">
        <v>0</v>
      </c>
      <c r="D18" s="422" t="n">
        <v>0</v>
      </c>
      <c r="E18" s="422" t="n">
        <v>0</v>
      </c>
      <c r="F18" s="422" t="n">
        <v>0</v>
      </c>
      <c r="G18" s="422" t="n">
        <v>0</v>
      </c>
      <c r="H18" s="422" t="n">
        <v>0</v>
      </c>
      <c r="I18" s="422" t="n">
        <v>0</v>
      </c>
      <c r="J18" s="422" t="n">
        <v>0</v>
      </c>
      <c r="K18" s="422" t="n">
        <v>0</v>
      </c>
    </row>
    <row r="19" ht="15" customHeight="1" s="508">
      <c r="A19" s="455" t="n">
        <v>0.05</v>
      </c>
      <c r="B19" s="422" t="n">
        <v>0</v>
      </c>
      <c r="C19" s="422" t="n">
        <v>0</v>
      </c>
      <c r="D19" s="422" t="n">
        <v>0</v>
      </c>
      <c r="E19" s="422" t="n">
        <v>0</v>
      </c>
      <c r="F19" s="422" t="n">
        <v>0</v>
      </c>
      <c r="G19" s="422" t="n">
        <v>0</v>
      </c>
      <c r="H19" s="422" t="n">
        <v>0</v>
      </c>
      <c r="I19" s="422" t="n">
        <v>0</v>
      </c>
      <c r="J19" s="422" t="n">
        <v>0</v>
      </c>
      <c r="K19" s="422" t="n">
        <v>0</v>
      </c>
    </row>
    <row r="20" ht="15" customHeight="1" s="508">
      <c r="A20" s="455" t="n">
        <v>0.04</v>
      </c>
      <c r="B20" s="422" t="n">
        <v>0</v>
      </c>
      <c r="C20" s="422" t="n">
        <v>0</v>
      </c>
      <c r="D20" s="422" t="n">
        <v>0</v>
      </c>
      <c r="E20" s="422" t="n">
        <v>0</v>
      </c>
      <c r="F20" s="422" t="n">
        <v>0</v>
      </c>
      <c r="G20" s="422" t="n">
        <v>0</v>
      </c>
      <c r="H20" s="422" t="n">
        <v>0</v>
      </c>
      <c r="I20" s="422" t="n">
        <v>0</v>
      </c>
      <c r="J20" s="422" t="n">
        <v>0</v>
      </c>
      <c r="K20" s="422" t="n">
        <v>0</v>
      </c>
    </row>
    <row r="21" ht="15" customHeight="1" s="508">
      <c r="A21" s="455" t="n">
        <v>0.02</v>
      </c>
      <c r="B21" s="422" t="n">
        <v>9884696.403999474</v>
      </c>
      <c r="C21" s="422" t="n">
        <v>9851058.545564421</v>
      </c>
      <c r="D21" s="422" t="n">
        <v>0</v>
      </c>
      <c r="E21" s="422" t="n">
        <v>0</v>
      </c>
      <c r="F21" s="422" t="n">
        <v>0</v>
      </c>
      <c r="G21" s="422" t="n">
        <v>0</v>
      </c>
      <c r="H21" s="422" t="n">
        <v>0</v>
      </c>
      <c r="I21" s="422" t="n">
        <v>0</v>
      </c>
      <c r="J21" s="422" t="n">
        <v>0</v>
      </c>
      <c r="K21" s="422" t="n">
        <v>0</v>
      </c>
    </row>
    <row r="22" ht="15" customHeight="1" s="508">
      <c r="A22" s="455" t="n">
        <v>0.01</v>
      </c>
      <c r="B22" s="422" t="n">
        <v>24334738.15526144</v>
      </c>
      <c r="C22" s="422" t="n">
        <v>24135567.89133326</v>
      </c>
      <c r="D22" s="422" t="n">
        <v>0</v>
      </c>
      <c r="E22" s="422" t="n">
        <v>0</v>
      </c>
      <c r="F22" s="422" t="n">
        <v>0</v>
      </c>
      <c r="G22" s="422" t="n">
        <v>0</v>
      </c>
      <c r="H22" s="422" t="n">
        <v>0</v>
      </c>
      <c r="I22" s="422" t="n">
        <v>0</v>
      </c>
      <c r="J22" s="422" t="n">
        <v>0</v>
      </c>
      <c r="K22" s="422" t="n">
        <v>0</v>
      </c>
    </row>
    <row r="23" ht="15" customHeight="1" s="508">
      <c r="A23" s="455" t="n">
        <v>0.005</v>
      </c>
      <c r="B23" s="422" t="n">
        <v>41882041.43948924</v>
      </c>
      <c r="C23" s="422" t="n">
        <v>41487794.92973118</v>
      </c>
      <c r="D23" s="422" t="n">
        <v>4263399.209217459</v>
      </c>
      <c r="E23" s="422" t="n">
        <v>4263399.209217459</v>
      </c>
      <c r="F23" s="422" t="n">
        <v>0</v>
      </c>
      <c r="G23" s="422" t="n">
        <v>0</v>
      </c>
      <c r="H23" s="422" t="n">
        <v>0</v>
      </c>
      <c r="I23" s="422" t="n">
        <v>0</v>
      </c>
      <c r="J23" s="422" t="n">
        <v>22943432.98761095</v>
      </c>
      <c r="K23" s="422" t="n">
        <v>22943432.98761095</v>
      </c>
    </row>
    <row r="24" ht="15" customHeight="1" s="508">
      <c r="A24" s="455" t="n">
        <v>0.004</v>
      </c>
      <c r="B24" s="422" t="n">
        <v>49605542.64688401</v>
      </c>
      <c r="C24" s="422" t="n">
        <v>49206128.55115561</v>
      </c>
      <c r="D24" s="422" t="n">
        <v>6599280.585578738</v>
      </c>
      <c r="E24" s="422" t="n">
        <v>6599058.080011115</v>
      </c>
      <c r="F24" s="422" t="n">
        <v>6976969.927528962</v>
      </c>
      <c r="G24" s="422" t="n">
        <v>6976969.927528962</v>
      </c>
      <c r="H24" s="422" t="n">
        <v>0</v>
      </c>
      <c r="I24" s="422" t="n">
        <v>0</v>
      </c>
      <c r="J24" s="422" t="n">
        <v>40870650.44103769</v>
      </c>
      <c r="K24" s="422" t="n">
        <v>40650250.58777107</v>
      </c>
    </row>
    <row r="25" ht="15" customHeight="1" s="508">
      <c r="A25" s="455" t="n">
        <v>0.002</v>
      </c>
      <c r="B25" s="422" t="n">
        <v>76069333.99484316</v>
      </c>
      <c r="C25" s="422" t="n">
        <v>75200703.77170905</v>
      </c>
      <c r="D25" s="422" t="n">
        <v>16610224.73899319</v>
      </c>
      <c r="E25" s="422" t="n">
        <v>16529158.71988637</v>
      </c>
      <c r="F25" s="422" t="n">
        <v>27049359.63773426</v>
      </c>
      <c r="G25" s="422" t="n">
        <v>27040558.0580076</v>
      </c>
      <c r="H25" s="422" t="n">
        <v>9807865.090085359</v>
      </c>
      <c r="I25" s="422" t="n">
        <v>9807865.090085359</v>
      </c>
      <c r="J25" s="422" t="n">
        <v>92793830.41231647</v>
      </c>
      <c r="K25" s="422" t="n">
        <v>92793830.41231647</v>
      </c>
    </row>
    <row r="26" ht="15" customHeight="1" s="508">
      <c r="A26" s="455" t="n">
        <v>0.001</v>
      </c>
      <c r="B26" s="422" t="n">
        <v>107437797.6060482</v>
      </c>
      <c r="C26" s="422" t="n">
        <v>106611222.8656131</v>
      </c>
      <c r="D26" s="422" t="n">
        <v>30763183.55606546</v>
      </c>
      <c r="E26" s="422" t="n">
        <v>30667569.05688832</v>
      </c>
      <c r="F26" s="422" t="n">
        <v>57151536.87019882</v>
      </c>
      <c r="G26" s="422" t="n">
        <v>56952384.60832651</v>
      </c>
      <c r="H26" s="422" t="n">
        <v>40483097.57616412</v>
      </c>
      <c r="I26" s="422" t="n">
        <v>40483097.57616412</v>
      </c>
      <c r="J26" s="422" t="n">
        <v>154103539.5601186</v>
      </c>
      <c r="K26" s="422" t="n">
        <v>153537106.2239683</v>
      </c>
    </row>
    <row r="27" ht="15" customHeight="1" s="508">
      <c r="A27" s="455" t="n"/>
      <c r="B27" s="422" t="n"/>
      <c r="C27" s="422" t="n"/>
      <c r="D27" s="422" t="n"/>
      <c r="E27" s="422" t="n"/>
      <c r="F27" s="422" t="n"/>
      <c r="G27" s="422" t="n"/>
      <c r="H27" s="422" t="n"/>
      <c r="I27" s="422" t="n"/>
      <c r="J27" s="422" t="n"/>
      <c r="K27" s="422" t="n"/>
    </row>
    <row r="28" ht="15" customHeight="1" s="508">
      <c r="A28" s="455" t="n"/>
      <c r="B28" s="422" t="n"/>
      <c r="C28" s="422" t="n"/>
      <c r="D28" s="422" t="n"/>
      <c r="E28" s="422" t="n"/>
      <c r="F28" s="422" t="n"/>
      <c r="G28" s="422" t="n"/>
      <c r="H28" s="422" t="n"/>
      <c r="I28" s="422" t="n"/>
      <c r="J28" s="422" t="n"/>
      <c r="K28" s="422" t="n"/>
    </row>
    <row r="29" ht="15" customHeight="1" s="508">
      <c r="A29" s="455" t="n"/>
      <c r="B29" s="422" t="n"/>
      <c r="C29" s="422" t="n"/>
      <c r="D29" s="422" t="n"/>
      <c r="E29" s="422" t="n"/>
      <c r="F29" s="422" t="n"/>
      <c r="G29" s="422" t="n"/>
      <c r="H29" s="422" t="n"/>
      <c r="I29" s="422" t="n"/>
      <c r="J29" s="422" t="n"/>
      <c r="K29" s="422" t="n"/>
    </row>
    <row r="30" ht="15" customHeight="1" s="508">
      <c r="A30" s="455" t="n"/>
      <c r="B30" s="422" t="n"/>
      <c r="C30" s="422" t="n"/>
      <c r="D30" s="422" t="n"/>
      <c r="E30" s="422" t="n"/>
      <c r="F30" s="422" t="n"/>
      <c r="G30" s="422" t="n"/>
      <c r="H30" s="422" t="n"/>
      <c r="I30" s="422" t="n"/>
      <c r="J30" s="422" t="n"/>
      <c r="K30" s="422" t="n"/>
    </row>
    <row r="31" ht="15" customHeight="1" s="508">
      <c r="A31" s="455" t="n"/>
      <c r="B31" s="422" t="n"/>
      <c r="C31" s="422" t="n"/>
      <c r="D31" s="422" t="n"/>
      <c r="E31" s="422" t="n"/>
      <c r="F31" s="422" t="n"/>
      <c r="G31" s="422" t="n"/>
      <c r="H31" s="422" t="n"/>
      <c r="I31" s="422" t="n"/>
      <c r="J31" s="422" t="n"/>
      <c r="K31" s="422" t="n"/>
    </row>
    <row r="32" ht="15" customHeight="1" s="508">
      <c r="A32" s="455" t="n"/>
      <c r="B32" s="422" t="n"/>
      <c r="C32" s="422" t="n"/>
      <c r="D32" s="422" t="n"/>
      <c r="E32" s="422" t="n"/>
      <c r="F32" s="422" t="n"/>
      <c r="G32" s="422" t="n"/>
      <c r="H32" s="422" t="n"/>
      <c r="I32" s="422" t="n"/>
      <c r="J32" s="422" t="n"/>
      <c r="K32" s="422" t="n"/>
    </row>
    <row r="33" ht="15" customHeight="1" s="508">
      <c r="A33" s="455" t="n"/>
      <c r="B33" s="422" t="n"/>
      <c r="C33" s="422" t="n"/>
      <c r="D33" s="422" t="n"/>
      <c r="E33" s="422" t="n"/>
      <c r="F33" s="422" t="n"/>
      <c r="G33" s="422" t="n"/>
      <c r="H33" s="422" t="n"/>
      <c r="I33" s="422" t="n"/>
      <c r="J33" s="422" t="n"/>
      <c r="K33" s="422" t="n"/>
    </row>
    <row r="34" ht="15" customHeight="1" s="508">
      <c r="A34" s="455" t="n"/>
      <c r="B34" s="422" t="n"/>
      <c r="C34" s="422" t="n"/>
      <c r="D34" s="422" t="n"/>
      <c r="E34" s="422" t="n"/>
      <c r="F34" s="422" t="n"/>
      <c r="G34" s="422" t="n"/>
      <c r="H34" s="422" t="n"/>
      <c r="I34" s="422" t="n"/>
      <c r="J34" s="422" t="n"/>
      <c r="K34" s="422" t="n"/>
    </row>
    <row r="35" ht="15" customHeight="1" s="508">
      <c r="A35" s="455" t="n"/>
      <c r="B35" s="422" t="n"/>
      <c r="C35" s="422" t="n"/>
      <c r="D35" s="422" t="n"/>
      <c r="E35" s="422" t="n"/>
      <c r="F35" s="422" t="n"/>
      <c r="G35" s="422" t="n"/>
      <c r="H35" s="422" t="n"/>
      <c r="I35" s="422" t="n"/>
      <c r="J35" s="422" t="n"/>
      <c r="K35" s="422" t="n"/>
    </row>
    <row r="36" ht="15" customHeight="1" s="508">
      <c r="A36" s="455" t="n"/>
      <c r="B36" s="422" t="n"/>
      <c r="C36" s="422" t="n"/>
      <c r="D36" s="422" t="n"/>
      <c r="E36" s="422" t="n"/>
      <c r="F36" s="422" t="n"/>
      <c r="G36" s="422" t="n"/>
      <c r="H36" s="422" t="n"/>
      <c r="I36" s="422" t="n"/>
      <c r="J36" s="422" t="n"/>
      <c r="K36" s="422" t="n"/>
    </row>
    <row r="37" ht="15" customHeight="1" s="508">
      <c r="A37" s="455" t="n"/>
      <c r="B37" s="422" t="n"/>
      <c r="C37" s="422" t="n"/>
      <c r="D37" s="422" t="n"/>
      <c r="E37" s="422" t="n"/>
      <c r="F37" s="422" t="n"/>
      <c r="G37" s="422" t="n"/>
      <c r="H37" s="422" t="n"/>
      <c r="I37" s="422" t="n"/>
      <c r="J37" s="422" t="n"/>
      <c r="K37" s="422" t="n"/>
    </row>
    <row r="38" ht="15" customHeight="1" s="508">
      <c r="A38" s="455" t="n"/>
      <c r="B38" s="422" t="n"/>
      <c r="C38" s="422" t="n"/>
      <c r="D38" s="422" t="n"/>
      <c r="E38" s="422" t="n"/>
      <c r="F38" s="422" t="n"/>
      <c r="G38" s="422" t="n"/>
      <c r="H38" s="422" t="n"/>
      <c r="I38" s="422" t="n"/>
      <c r="J38" s="422" t="n"/>
      <c r="K38" s="422" t="n"/>
    </row>
    <row r="39" ht="15" customHeight="1" s="508">
      <c r="A39" s="455" t="n"/>
      <c r="B39" s="422" t="n"/>
      <c r="C39" s="422" t="n"/>
      <c r="D39" s="422" t="n"/>
      <c r="E39" s="422" t="n"/>
      <c r="F39" s="422" t="n"/>
      <c r="G39" s="422" t="n"/>
      <c r="H39" s="422" t="n"/>
      <c r="I39" s="422" t="n"/>
      <c r="J39" s="422" t="n"/>
      <c r="K39" s="422" t="n"/>
    </row>
    <row r="40" ht="15" customHeight="1" s="508">
      <c r="A40" s="455" t="n"/>
      <c r="B40" s="422" t="n"/>
      <c r="C40" s="422" t="n"/>
      <c r="D40" s="422" t="n"/>
      <c r="E40" s="422" t="n"/>
      <c r="F40" s="422" t="n"/>
      <c r="G40" s="422" t="n"/>
      <c r="H40" s="422" t="n"/>
      <c r="I40" s="422" t="n"/>
      <c r="J40" s="422" t="n"/>
      <c r="K40" s="422" t="n"/>
    </row>
  </sheetData>
  <mergeCells count="13">
    <mergeCell ref="A6:K6"/>
    <mergeCell ref="A12:K12"/>
    <mergeCell ref="A4:K4"/>
    <mergeCell ref="A3:K3"/>
    <mergeCell ref="A7:K7"/>
    <mergeCell ref="A2:K2"/>
    <mergeCell ref="A11:K11"/>
    <mergeCell ref="A1:K1"/>
    <mergeCell ref="A10:K10"/>
    <mergeCell ref="A13:K13"/>
    <mergeCell ref="A5:K5"/>
    <mergeCell ref="A9:K9"/>
    <mergeCell ref="A8:K8"/>
  </mergeCells>
  <pageMargins left="0.7" right="0.7" top="0.75" bottom="0.75" header="0.3" footer="0.3"/>
</worksheet>
</file>

<file path=xl/worksheets/sheet60.xml><?xml version="1.0" encoding="utf-8"?>
<worksheet xmlns="http://schemas.openxmlformats.org/spreadsheetml/2006/main">
  <sheetPr>
    <tabColor rgb="007F7F7F"/>
    <outlinePr summaryBelow="1" summaryRight="1"/>
    <pageSetUpPr/>
  </sheetPr>
  <dimension ref="A1:G40"/>
  <sheetViews>
    <sheetView showGridLines="1" workbookViewId="0">
      <selection activeCell="A1" sqref="A1"/>
    </sheetView>
  </sheetViews>
  <sheetFormatPr baseColWidth="8" defaultColWidth="8.6796875" defaultRowHeight="15"/>
  <cols>
    <col width="24" customWidth="1" style="972" min="1" max="1"/>
    <col width="21" customWidth="1" style="972" min="2" max="7"/>
  </cols>
  <sheetData>
    <row r="1" ht="21.75" customHeight="1" s="508">
      <c r="A1" s="456" t="inlineStr">
        <is>
          <t>23 — Loss Exceedance Curves by Threat Actor</t>
        </is>
      </c>
    </row>
    <row r="2" ht="37.5" customHeight="1" s="508">
      <c r="A2" s="402" t="inlineStr">
        <is>
          <t>Purpose: Provide AEP and OEP annual loss exceedance curves separately for Nation State, Cybercriminal and Malicious Insider.</t>
        </is>
      </c>
    </row>
    <row r="3" ht="37.5" customHeight="1" s="508">
      <c r="A3" s="403" t="inlineStr">
        <is>
          <t>In plain English: this shows the tail-loss shape attributable to each threat actor archetype.</t>
        </is>
      </c>
    </row>
    <row r="4" ht="21.75" customHeight="1" s="508">
      <c r="A4" s="457" t="inlineStr">
        <is>
          <t>SHEET TYPE: MODEL RESULT</t>
        </is>
      </c>
    </row>
    <row r="5" ht="21.75" customHeight="1" s="508">
      <c r="A5" s="405" t="inlineStr">
        <is>
          <t>Inputs / upstream sources</t>
        </is>
      </c>
    </row>
    <row r="6" ht="30" customHeight="1" s="508">
      <c r="A6" s="406" t="inlineStr">
        <is>
          <t>Actor-attributed annual loss arrays from the same coherent facility simulation.</t>
        </is>
      </c>
    </row>
    <row r="7" ht="30" customHeight="1" s="508">
      <c r="A7" s="405" t="inlineStr">
        <is>
          <t>Calculation / decision logic</t>
        </is>
      </c>
    </row>
    <row r="8" ht="30" customHeight="1" s="508">
      <c r="A8" s="406" t="inlineStr">
        <is>
          <t>For each actor and exceedance probability p: Actor AEP = quantile(total annual losses attributed to that actor, 1−p); Actor OEP = quantile(largest single event attributed to that actor in a year, 1−p).</t>
        </is>
      </c>
    </row>
    <row r="9" ht="30" customHeight="1" s="508">
      <c r="A9" s="405" t="inlineStr">
        <is>
          <t>Key assumptions / defaults</t>
        </is>
      </c>
    </row>
    <row r="10" ht="30" customHeight="1" s="508">
      <c r="A10" s="406" t="inlineStr">
        <is>
          <t>Actor LECs include zero-loss years and therefore incorporate both actor frequency and severity. These are unconditional annual LECs; zero-loss years are retained.</t>
        </is>
      </c>
    </row>
    <row r="11" ht="30" customHeight="1" s="508">
      <c r="A11" s="405" t="inlineStr">
        <is>
          <t>Outputs / downstream use</t>
        </is>
      </c>
    </row>
    <row r="12" ht="30" customHeight="1" s="508">
      <c r="A12" s="406" t="inlineStr">
        <is>
          <t>Detailed results use the engine-selected basis: Prudent when REPORTING_VIEW is Both; otherwise the selected single view.</t>
        </is>
      </c>
    </row>
    <row r="13" ht="30" customHeight="1" s="508">
      <c r="A13" s="407" t="inlineStr">
        <is>
          <t>Workbook convention: yellow cells / blue font are editable inputs or calibration assumptions; engine-output cells are not manually editable.</t>
        </is>
      </c>
    </row>
    <row r="15" ht="15" customHeight="1" s="508">
      <c r="A15" s="458" t="inlineStr">
        <is>
          <t>Exceedance probability</t>
        </is>
      </c>
      <c r="B15" s="458" t="inlineStr">
        <is>
          <t>Nation State AEP</t>
        </is>
      </c>
      <c r="C15" s="458" t="inlineStr">
        <is>
          <t>Nation State OEP</t>
        </is>
      </c>
      <c r="D15" s="458" t="inlineStr">
        <is>
          <t>Cybercriminal AEP</t>
        </is>
      </c>
      <c r="E15" s="458" t="inlineStr">
        <is>
          <t>Cybercriminal OEP</t>
        </is>
      </c>
      <c r="F15" s="458" t="inlineStr">
        <is>
          <t>Malicious Insider AEP</t>
        </is>
      </c>
      <c r="G15" s="458" t="inlineStr">
        <is>
          <t>Malicious Insider OEP</t>
        </is>
      </c>
    </row>
    <row r="16" ht="15" customHeight="1" s="508">
      <c r="A16" s="455" t="n">
        <v>0.5</v>
      </c>
      <c r="B16" s="422" t="n">
        <v>0</v>
      </c>
      <c r="C16" s="422" t="n">
        <v>0</v>
      </c>
      <c r="D16" s="422" t="n">
        <v>0</v>
      </c>
      <c r="E16" s="422" t="n">
        <v>0</v>
      </c>
      <c r="F16" s="422" t="n">
        <v>0</v>
      </c>
      <c r="G16" s="422" t="n">
        <v>0</v>
      </c>
    </row>
    <row r="17" ht="15" customHeight="1" s="508">
      <c r="A17" s="455" t="n">
        <v>0.2</v>
      </c>
      <c r="B17" s="422" t="n">
        <v>0</v>
      </c>
      <c r="C17" s="422" t="n">
        <v>0</v>
      </c>
      <c r="D17" s="422" t="n">
        <v>0</v>
      </c>
      <c r="E17" s="422" t="n">
        <v>0</v>
      </c>
      <c r="F17" s="422" t="n">
        <v>0</v>
      </c>
      <c r="G17" s="422" t="n">
        <v>0</v>
      </c>
    </row>
    <row r="18" ht="15" customHeight="1" s="508">
      <c r="A18" s="455" t="n">
        <v>0.1</v>
      </c>
      <c r="B18" s="422" t="n">
        <v>0</v>
      </c>
      <c r="C18" s="422" t="n">
        <v>0</v>
      </c>
      <c r="D18" s="422" t="n">
        <v>0</v>
      </c>
      <c r="E18" s="422" t="n">
        <v>0</v>
      </c>
      <c r="F18" s="422" t="n">
        <v>0</v>
      </c>
      <c r="G18" s="422" t="n">
        <v>0</v>
      </c>
    </row>
    <row r="19" ht="15" customHeight="1" s="508">
      <c r="A19" s="455" t="n">
        <v>0.05</v>
      </c>
      <c r="B19" s="422" t="n">
        <v>0</v>
      </c>
      <c r="C19" s="422" t="n">
        <v>0</v>
      </c>
      <c r="D19" s="422" t="n">
        <v>0</v>
      </c>
      <c r="E19" s="422" t="n">
        <v>0</v>
      </c>
      <c r="F19" s="422" t="n">
        <v>0</v>
      </c>
      <c r="G19" s="422" t="n">
        <v>0</v>
      </c>
    </row>
    <row r="20" ht="15" customHeight="1" s="508">
      <c r="A20" s="455" t="n">
        <v>0.04</v>
      </c>
      <c r="B20" s="422" t="n">
        <v>0</v>
      </c>
      <c r="C20" s="422" t="n">
        <v>0</v>
      </c>
      <c r="D20" s="422" t="n">
        <v>0</v>
      </c>
      <c r="E20" s="422" t="n">
        <v>0</v>
      </c>
      <c r="F20" s="422" t="n">
        <v>0</v>
      </c>
      <c r="G20" s="422" t="n">
        <v>0</v>
      </c>
    </row>
    <row r="21" ht="15" customHeight="1" s="508">
      <c r="A21" s="455" t="n">
        <v>0.02</v>
      </c>
      <c r="B21" s="422" t="n">
        <v>0</v>
      </c>
      <c r="C21" s="422" t="n">
        <v>0</v>
      </c>
      <c r="D21" s="422" t="n">
        <v>11333602.68358344</v>
      </c>
      <c r="E21" s="422" t="n">
        <v>11285161.83231198</v>
      </c>
      <c r="F21" s="422" t="n">
        <v>0</v>
      </c>
      <c r="G21" s="422" t="n">
        <v>0</v>
      </c>
    </row>
    <row r="22" ht="15" customHeight="1" s="508">
      <c r="A22" s="455" t="n">
        <v>0.01</v>
      </c>
      <c r="B22" s="422" t="n">
        <v>6510374.940110574</v>
      </c>
      <c r="C22" s="422" t="n">
        <v>6510374.940110574</v>
      </c>
      <c r="D22" s="422" t="n">
        <v>29383433.61961467</v>
      </c>
      <c r="E22" s="422" t="n">
        <v>29161984.38764146</v>
      </c>
      <c r="F22" s="422" t="n">
        <v>0</v>
      </c>
      <c r="G22" s="422" t="n">
        <v>0</v>
      </c>
    </row>
    <row r="23" ht="15" customHeight="1" s="508">
      <c r="A23" s="455" t="n">
        <v>0.005</v>
      </c>
      <c r="B23" s="422" t="n">
        <v>27116708.45838836</v>
      </c>
      <c r="C23" s="422" t="n">
        <v>27068049.11268009</v>
      </c>
      <c r="D23" s="422" t="n">
        <v>54926718.09929772</v>
      </c>
      <c r="E23" s="422" t="n">
        <v>54373729.57206455</v>
      </c>
      <c r="F23" s="422" t="n">
        <v>4649616.28026839</v>
      </c>
      <c r="G23" s="422" t="n">
        <v>4646672.126033599</v>
      </c>
    </row>
    <row r="24" ht="15" customHeight="1" s="508">
      <c r="A24" s="455" t="n">
        <v>0.004</v>
      </c>
      <c r="B24" s="422" t="n">
        <v>35305390.99009144</v>
      </c>
      <c r="C24" s="422" t="n">
        <v>35281695.06249824</v>
      </c>
      <c r="D24" s="422" t="n">
        <v>65052028.65205695</v>
      </c>
      <c r="E24" s="422" t="n">
        <v>64414672.73993539</v>
      </c>
      <c r="F24" s="422" t="n">
        <v>10001557.14061587</v>
      </c>
      <c r="G24" s="422" t="n">
        <v>10001557.14061587</v>
      </c>
    </row>
    <row r="25" ht="15" customHeight="1" s="508">
      <c r="A25" s="455" t="n">
        <v>0.002</v>
      </c>
      <c r="B25" s="422" t="n">
        <v>72408005.70393695</v>
      </c>
      <c r="C25" s="422" t="n">
        <v>72271118.89603917</v>
      </c>
      <c r="D25" s="422" t="n">
        <v>104923549.3451357</v>
      </c>
      <c r="E25" s="422" t="n">
        <v>103844277.9731019</v>
      </c>
      <c r="F25" s="422" t="n">
        <v>33588186.60303321</v>
      </c>
      <c r="G25" s="422" t="n">
        <v>33507681.30372696</v>
      </c>
    </row>
    <row r="26" ht="15" customHeight="1" s="508">
      <c r="A26" s="455" t="n">
        <v>0.001</v>
      </c>
      <c r="B26" s="422" t="n">
        <v>120345465.4181491</v>
      </c>
      <c r="C26" s="422" t="n">
        <v>120206813.0070026</v>
      </c>
      <c r="D26" s="422" t="n">
        <v>149649045.9556028</v>
      </c>
      <c r="E26" s="422" t="n">
        <v>148295217.6614585</v>
      </c>
      <c r="F26" s="422" t="n">
        <v>69290933.89056678</v>
      </c>
      <c r="G26" s="422" t="n">
        <v>69290933.89056678</v>
      </c>
    </row>
    <row r="27" ht="15" customHeight="1" s="508">
      <c r="A27" s="455" t="n"/>
      <c r="B27" s="422" t="n"/>
      <c r="C27" s="422" t="n"/>
      <c r="D27" s="422" t="n"/>
      <c r="E27" s="422" t="n"/>
      <c r="F27" s="422" t="n"/>
      <c r="G27" s="422" t="n"/>
    </row>
    <row r="28" ht="15" customHeight="1" s="508">
      <c r="A28" s="455" t="n"/>
      <c r="B28" s="422" t="n"/>
      <c r="C28" s="422" t="n"/>
      <c r="D28" s="422" t="n"/>
      <c r="E28" s="422" t="n"/>
      <c r="F28" s="422" t="n"/>
      <c r="G28" s="422" t="n"/>
    </row>
    <row r="29" ht="15" customHeight="1" s="508">
      <c r="A29" s="455" t="n"/>
      <c r="B29" s="422" t="n"/>
      <c r="C29" s="422" t="n"/>
      <c r="D29" s="422" t="n"/>
      <c r="E29" s="422" t="n"/>
      <c r="F29" s="422" t="n"/>
      <c r="G29" s="422" t="n"/>
    </row>
    <row r="30" ht="15" customHeight="1" s="508">
      <c r="A30" s="455" t="n"/>
      <c r="B30" s="422" t="n"/>
      <c r="C30" s="422" t="n"/>
      <c r="D30" s="422" t="n"/>
      <c r="E30" s="422" t="n"/>
      <c r="F30" s="422" t="n"/>
      <c r="G30" s="422" t="n"/>
    </row>
    <row r="31" ht="15" customHeight="1" s="508">
      <c r="A31" s="455" t="n"/>
      <c r="B31" s="422" t="n"/>
      <c r="C31" s="422" t="n"/>
      <c r="D31" s="422" t="n"/>
      <c r="E31" s="422" t="n"/>
      <c r="F31" s="422" t="n"/>
      <c r="G31" s="422" t="n"/>
    </row>
    <row r="32" ht="15" customHeight="1" s="508">
      <c r="A32" s="455" t="n"/>
      <c r="B32" s="422" t="n"/>
      <c r="C32" s="422" t="n"/>
      <c r="D32" s="422" t="n"/>
      <c r="E32" s="422" t="n"/>
      <c r="F32" s="422" t="n"/>
      <c r="G32" s="422" t="n"/>
    </row>
    <row r="33" ht="15" customHeight="1" s="508">
      <c r="A33" s="455" t="n"/>
      <c r="B33" s="422" t="n"/>
      <c r="C33" s="422" t="n"/>
      <c r="D33" s="422" t="n"/>
      <c r="E33" s="422" t="n"/>
      <c r="F33" s="422" t="n"/>
      <c r="G33" s="422" t="n"/>
    </row>
    <row r="34" ht="15" customHeight="1" s="508">
      <c r="A34" s="455" t="n"/>
      <c r="B34" s="422" t="n"/>
      <c r="C34" s="422" t="n"/>
      <c r="D34" s="422" t="n"/>
      <c r="E34" s="422" t="n"/>
      <c r="F34" s="422" t="n"/>
      <c r="G34" s="422" t="n"/>
    </row>
    <row r="35" ht="15" customHeight="1" s="508">
      <c r="A35" s="455" t="n"/>
      <c r="B35" s="422" t="n"/>
      <c r="C35" s="422" t="n"/>
      <c r="D35" s="422" t="n"/>
      <c r="E35" s="422" t="n"/>
      <c r="F35" s="422" t="n"/>
      <c r="G35" s="422" t="n"/>
    </row>
    <row r="36" ht="15" customHeight="1" s="508">
      <c r="A36" s="455" t="n"/>
      <c r="B36" s="422" t="n"/>
      <c r="C36" s="422" t="n"/>
      <c r="D36" s="422" t="n"/>
      <c r="E36" s="422" t="n"/>
      <c r="F36" s="422" t="n"/>
      <c r="G36" s="422" t="n"/>
    </row>
    <row r="37" ht="15" customHeight="1" s="508">
      <c r="A37" s="455" t="n"/>
      <c r="B37" s="422" t="n"/>
      <c r="C37" s="422" t="n"/>
      <c r="D37" s="422" t="n"/>
      <c r="E37" s="422" t="n"/>
      <c r="F37" s="422" t="n"/>
      <c r="G37" s="422" t="n"/>
    </row>
    <row r="38" ht="15" customHeight="1" s="508">
      <c r="A38" s="455" t="n"/>
      <c r="B38" s="422" t="n"/>
      <c r="C38" s="422" t="n"/>
      <c r="D38" s="422" t="n"/>
      <c r="E38" s="422" t="n"/>
      <c r="F38" s="422" t="n"/>
      <c r="G38" s="422" t="n"/>
    </row>
    <row r="39" ht="15" customHeight="1" s="508">
      <c r="A39" s="455" t="n"/>
      <c r="B39" s="422" t="n"/>
      <c r="C39" s="422" t="n"/>
      <c r="D39" s="422" t="n"/>
      <c r="E39" s="422" t="n"/>
      <c r="F39" s="422" t="n"/>
      <c r="G39" s="422" t="n"/>
    </row>
    <row r="40" ht="15" customHeight="1" s="508">
      <c r="A40" s="455" t="n"/>
      <c r="B40" s="422" t="n"/>
      <c r="C40" s="422" t="n"/>
      <c r="D40" s="422" t="n"/>
      <c r="E40" s="422" t="n"/>
      <c r="F40" s="422" t="n"/>
      <c r="G40" s="422" t="n"/>
    </row>
  </sheetData>
  <mergeCells count="13">
    <mergeCell ref="A13:G13"/>
    <mergeCell ref="A1:G1"/>
    <mergeCell ref="A9:G9"/>
    <mergeCell ref="A8:G8"/>
    <mergeCell ref="A3:G3"/>
    <mergeCell ref="A6:G6"/>
    <mergeCell ref="A12:G12"/>
    <mergeCell ref="A4:G4"/>
    <mergeCell ref="A2:G2"/>
    <mergeCell ref="A7:G7"/>
    <mergeCell ref="A11:G11"/>
    <mergeCell ref="A10:G10"/>
    <mergeCell ref="A5:G5"/>
  </mergeCells>
  <pageMargins left="0.7" right="0.7" top="0.75" bottom="0.75" header="0.3" footer="0.3"/>
</worksheet>
</file>

<file path=xl/worksheets/sheet61.xml><?xml version="1.0" encoding="utf-8"?>
<worksheet xmlns="http://schemas.openxmlformats.org/spreadsheetml/2006/main">
  <sheetPr>
    <tabColor rgb="007F7F7F"/>
    <outlinePr summaryBelow="1" summaryRight="1"/>
    <pageSetUpPr/>
  </sheetPr>
  <dimension ref="A1:E220"/>
  <sheetViews>
    <sheetView showGridLines="1" workbookViewId="0">
      <selection activeCell="A1" sqref="A1"/>
    </sheetView>
  </sheetViews>
  <sheetFormatPr baseColWidth="8" defaultColWidth="8.6796875" defaultRowHeight="15"/>
  <cols>
    <col width="22" customWidth="1" style="972" min="1" max="1"/>
    <col width="31" customWidth="1" style="972" min="2" max="2"/>
    <col width="24" customWidth="1" style="972" min="3" max="3"/>
    <col width="20" customWidth="1" style="972" min="4" max="5"/>
  </cols>
  <sheetData>
    <row r="1" ht="21.75" customHeight="1" s="508">
      <c r="A1" s="456" t="inlineStr">
        <is>
          <t>24 — Actor × Scenario LEC Data</t>
        </is>
      </c>
    </row>
    <row r="2" ht="37.5" customHeight="1" s="508">
      <c r="A2" s="402" t="inlineStr">
        <is>
          <t>Purpose: Provide the detailed annual AEP/OEP exceedance data for every one of the 15 actor-scenario risk cells.</t>
        </is>
      </c>
    </row>
    <row r="3" ht="37.5" customHeight="1" s="508">
      <c r="A3" s="403" t="inlineStr">
        <is>
          <t>In plain English: this is the most granular LEC dataset: it lets a reviewer isolate Nation State × Process Manipulation, Cybercriminal × Operational Disruption, and every other modelled combination.</t>
        </is>
      </c>
    </row>
    <row r="4" ht="21.75" customHeight="1" s="508">
      <c r="A4" s="457" t="inlineStr">
        <is>
          <t>SHEET TYPE: MODEL RESULT</t>
        </is>
      </c>
    </row>
    <row r="5" ht="21.75" customHeight="1" s="508">
      <c r="A5" s="405" t="inlineStr">
        <is>
          <t>Inputs / upstream sources</t>
        </is>
      </c>
    </row>
    <row r="6" ht="30" customHeight="1" s="508">
      <c r="A6" s="406" t="inlineStr">
        <is>
          <t>Actor-scenario annual loss arrays from the coherent 500,000-year simulation.</t>
        </is>
      </c>
    </row>
    <row r="7" ht="30" customHeight="1" s="508">
      <c r="A7" s="405" t="inlineStr">
        <is>
          <t>Calculation / decision logic</t>
        </is>
      </c>
    </row>
    <row r="8" ht="30" customHeight="1" s="508">
      <c r="A8" s="406" t="inlineStr">
        <is>
          <t>Each row contains one actor, one scenario and one exceedance probability. AEP is total annual loss from that cell; OEP is the largest single event from that cell. The 15 cells are decompositions of the same campaign simulation, not independent Poisson processes.</t>
        </is>
      </c>
    </row>
    <row r="9" ht="30" customHeight="1" s="508">
      <c r="A9" s="405" t="inlineStr">
        <is>
          <t>Key assumptions / defaults</t>
        </is>
      </c>
    </row>
    <row r="10" ht="30" customHeight="1" s="508">
      <c r="A10" s="406" t="inlineStr">
        <is>
          <t>Detailed LEC data can be used for bespoke charts or model validation. Many high return-period values can be zero for very low-frequency cells; that is a legitimate result of the unconditional annual distribution. These are unconditional annual LECs; zero-loss years are retained.</t>
        </is>
      </c>
    </row>
    <row r="11" ht="30" customHeight="1" s="508">
      <c r="A11" s="405" t="inlineStr">
        <is>
          <t>Outputs / downstream use</t>
        </is>
      </c>
    </row>
    <row r="12" ht="30" customHeight="1" s="508">
      <c r="A12" s="406" t="inlineStr">
        <is>
          <t>Detailed results use the engine-selected basis: Prudent when REPORTING_VIEW is Both; otherwise the selected single view.</t>
        </is>
      </c>
    </row>
    <row r="13" ht="30" customHeight="1" s="508">
      <c r="A13" s="407" t="inlineStr">
        <is>
          <t>Workbook convention: yellow cells / blue font are editable inputs or calibration assumptions; engine-output cells are not manually editable.</t>
        </is>
      </c>
    </row>
    <row r="15" ht="15" customHeight="1" s="508">
      <c r="A15" s="458" t="inlineStr">
        <is>
          <t>Threat actor</t>
        </is>
      </c>
      <c r="B15" s="458" t="inlineStr">
        <is>
          <t>Scenario</t>
        </is>
      </c>
      <c r="C15" s="458" t="inlineStr">
        <is>
          <t>Exceedance probability</t>
        </is>
      </c>
      <c r="D15" s="458" t="inlineStr">
        <is>
          <t>AEP loss</t>
        </is>
      </c>
      <c r="E15" s="458" t="inlineStr">
        <is>
          <t>OEP loss</t>
        </is>
      </c>
    </row>
    <row r="16" ht="15" customHeight="1" s="508">
      <c r="A16" s="972" t="inlineStr">
        <is>
          <t>Nation State</t>
        </is>
      </c>
      <c r="B16" s="972" t="inlineStr">
        <is>
          <t>Operational Disruption</t>
        </is>
      </c>
      <c r="C16" s="455" t="n">
        <v>0.5</v>
      </c>
      <c r="D16" s="422" t="n">
        <v>0</v>
      </c>
      <c r="E16" s="422" t="n">
        <v>0</v>
      </c>
    </row>
    <row r="17" ht="15" customHeight="1" s="508">
      <c r="A17" s="972" t="inlineStr">
        <is>
          <t>Nation State</t>
        </is>
      </c>
      <c r="B17" s="972" t="inlineStr">
        <is>
          <t>Operational Disruption</t>
        </is>
      </c>
      <c r="C17" s="455" t="n">
        <v>0.2</v>
      </c>
      <c r="D17" s="422" t="n">
        <v>0</v>
      </c>
      <c r="E17" s="422" t="n">
        <v>0</v>
      </c>
    </row>
    <row r="18" ht="15" customHeight="1" s="508">
      <c r="A18" s="972" t="inlineStr">
        <is>
          <t>Nation State</t>
        </is>
      </c>
      <c r="B18" s="972" t="inlineStr">
        <is>
          <t>Operational Disruption</t>
        </is>
      </c>
      <c r="C18" s="455" t="n">
        <v>0.1</v>
      </c>
      <c r="D18" s="422" t="n">
        <v>0</v>
      </c>
      <c r="E18" s="422" t="n">
        <v>0</v>
      </c>
    </row>
    <row r="19" ht="15" customHeight="1" s="508">
      <c r="A19" s="972" t="inlineStr">
        <is>
          <t>Nation State</t>
        </is>
      </c>
      <c r="B19" s="972" t="inlineStr">
        <is>
          <t>Operational Disruption</t>
        </is>
      </c>
      <c r="C19" s="455" t="n">
        <v>0.05</v>
      </c>
      <c r="D19" s="422" t="n">
        <v>0</v>
      </c>
      <c r="E19" s="422" t="n">
        <v>0</v>
      </c>
    </row>
    <row r="20" ht="15" customHeight="1" s="508">
      <c r="A20" s="972" t="inlineStr">
        <is>
          <t>Nation State</t>
        </is>
      </c>
      <c r="B20" s="972" t="inlineStr">
        <is>
          <t>Operational Disruption</t>
        </is>
      </c>
      <c r="C20" s="455" t="n">
        <v>0.04</v>
      </c>
      <c r="D20" s="422" t="n">
        <v>0</v>
      </c>
      <c r="E20" s="422" t="n">
        <v>0</v>
      </c>
    </row>
    <row r="21" ht="15" customHeight="1" s="508">
      <c r="A21" s="972" t="inlineStr">
        <is>
          <t>Nation State</t>
        </is>
      </c>
      <c r="B21" s="972" t="inlineStr">
        <is>
          <t>Operational Disruption</t>
        </is>
      </c>
      <c r="C21" s="455" t="n">
        <v>0.02</v>
      </c>
      <c r="D21" s="422" t="n">
        <v>0</v>
      </c>
      <c r="E21" s="422" t="n">
        <v>0</v>
      </c>
    </row>
    <row r="22" ht="15" customHeight="1" s="508">
      <c r="A22" s="972" t="inlineStr">
        <is>
          <t>Nation State</t>
        </is>
      </c>
      <c r="B22" s="972" t="inlineStr">
        <is>
          <t>Operational Disruption</t>
        </is>
      </c>
      <c r="C22" s="455" t="n">
        <v>0.01</v>
      </c>
      <c r="D22" s="422" t="n">
        <v>0</v>
      </c>
      <c r="E22" s="422" t="n">
        <v>0</v>
      </c>
    </row>
    <row r="23" ht="15" customHeight="1" s="508">
      <c r="A23" s="972" t="inlineStr">
        <is>
          <t>Nation State</t>
        </is>
      </c>
      <c r="B23" s="972" t="inlineStr">
        <is>
          <t>Operational Disruption</t>
        </is>
      </c>
      <c r="C23" s="455" t="n">
        <v>0.005</v>
      </c>
      <c r="D23" s="422" t="n">
        <v>0</v>
      </c>
      <c r="E23" s="422" t="n">
        <v>0</v>
      </c>
    </row>
    <row r="24" ht="15" customHeight="1" s="508">
      <c r="A24" s="972" t="inlineStr">
        <is>
          <t>Nation State</t>
        </is>
      </c>
      <c r="B24" s="972" t="inlineStr">
        <is>
          <t>Operational Disruption</t>
        </is>
      </c>
      <c r="C24" s="455" t="n">
        <v>0.004</v>
      </c>
      <c r="D24" s="422" t="n">
        <v>2089482.984994682</v>
      </c>
      <c r="E24" s="422" t="n">
        <v>2089482.984994682</v>
      </c>
    </row>
    <row r="25" ht="15" customHeight="1" s="508">
      <c r="A25" s="972" t="inlineStr">
        <is>
          <t>Nation State</t>
        </is>
      </c>
      <c r="B25" s="972" t="inlineStr">
        <is>
          <t>Operational Disruption</t>
        </is>
      </c>
      <c r="C25" s="455" t="n">
        <v>0.002</v>
      </c>
      <c r="D25" s="422" t="n">
        <v>13743266.20974497</v>
      </c>
      <c r="E25" s="422" t="n">
        <v>13743266.20974497</v>
      </c>
    </row>
    <row r="26" ht="15" customHeight="1" s="508">
      <c r="A26" s="972" t="inlineStr">
        <is>
          <t>Nation State</t>
        </is>
      </c>
      <c r="B26" s="972" t="inlineStr">
        <is>
          <t>Operational Disruption</t>
        </is>
      </c>
      <c r="C26" s="455" t="n">
        <v>0.001</v>
      </c>
      <c r="D26" s="422" t="n">
        <v>27572388.00281879</v>
      </c>
      <c r="E26" s="422" t="n">
        <v>27572388.00281879</v>
      </c>
    </row>
    <row r="27" ht="15" customHeight="1" s="508">
      <c r="A27" s="972" t="inlineStr">
        <is>
          <t>Nation State</t>
        </is>
      </c>
      <c r="B27" s="972" t="inlineStr">
        <is>
          <t>Loss of Control or Visibility</t>
        </is>
      </c>
      <c r="C27" s="455" t="n">
        <v>0.5</v>
      </c>
      <c r="D27" s="422" t="n">
        <v>0</v>
      </c>
      <c r="E27" s="422" t="n">
        <v>0</v>
      </c>
    </row>
    <row r="28" ht="15" customHeight="1" s="508">
      <c r="A28" s="972" t="inlineStr">
        <is>
          <t>Nation State</t>
        </is>
      </c>
      <c r="B28" s="972" t="inlineStr">
        <is>
          <t>Loss of Control or Visibility</t>
        </is>
      </c>
      <c r="C28" s="455" t="n">
        <v>0.2</v>
      </c>
      <c r="D28" s="422" t="n">
        <v>0</v>
      </c>
      <c r="E28" s="422" t="n">
        <v>0</v>
      </c>
    </row>
    <row r="29" ht="15" customHeight="1" s="508">
      <c r="A29" s="972" t="inlineStr">
        <is>
          <t>Nation State</t>
        </is>
      </c>
      <c r="B29" s="972" t="inlineStr">
        <is>
          <t>Loss of Control or Visibility</t>
        </is>
      </c>
      <c r="C29" s="455" t="n">
        <v>0.1</v>
      </c>
      <c r="D29" s="422" t="n">
        <v>0</v>
      </c>
      <c r="E29" s="422" t="n">
        <v>0</v>
      </c>
    </row>
    <row r="30" ht="15" customHeight="1" s="508">
      <c r="A30" s="972" t="inlineStr">
        <is>
          <t>Nation State</t>
        </is>
      </c>
      <c r="B30" s="972" t="inlineStr">
        <is>
          <t>Loss of Control or Visibility</t>
        </is>
      </c>
      <c r="C30" s="455" t="n">
        <v>0.05</v>
      </c>
      <c r="D30" s="422" t="n">
        <v>0</v>
      </c>
      <c r="E30" s="422" t="n">
        <v>0</v>
      </c>
    </row>
    <row r="31" ht="15" customHeight="1" s="508">
      <c r="A31" s="972" t="inlineStr">
        <is>
          <t>Nation State</t>
        </is>
      </c>
      <c r="B31" s="972" t="inlineStr">
        <is>
          <t>Loss of Control or Visibility</t>
        </is>
      </c>
      <c r="C31" s="455" t="n">
        <v>0.04</v>
      </c>
      <c r="D31" s="422" t="n">
        <v>0</v>
      </c>
      <c r="E31" s="422" t="n">
        <v>0</v>
      </c>
    </row>
    <row r="32" ht="15" customHeight="1" s="508">
      <c r="A32" s="972" t="inlineStr">
        <is>
          <t>Nation State</t>
        </is>
      </c>
      <c r="B32" s="972" t="inlineStr">
        <is>
          <t>Loss of Control or Visibility</t>
        </is>
      </c>
      <c r="C32" s="455" t="n">
        <v>0.02</v>
      </c>
      <c r="D32" s="422" t="n">
        <v>0</v>
      </c>
      <c r="E32" s="422" t="n">
        <v>0</v>
      </c>
    </row>
    <row r="33" ht="15" customHeight="1" s="508">
      <c r="A33" s="972" t="inlineStr">
        <is>
          <t>Nation State</t>
        </is>
      </c>
      <c r="B33" s="972" t="inlineStr">
        <is>
          <t>Loss of Control or Visibility</t>
        </is>
      </c>
      <c r="C33" s="455" t="n">
        <v>0.01</v>
      </c>
      <c r="D33" s="422" t="n">
        <v>0</v>
      </c>
      <c r="E33" s="422" t="n">
        <v>0</v>
      </c>
    </row>
    <row r="34" ht="15" customHeight="1" s="508">
      <c r="A34" s="972" t="inlineStr">
        <is>
          <t>Nation State</t>
        </is>
      </c>
      <c r="B34" s="972" t="inlineStr">
        <is>
          <t>Loss of Control or Visibility</t>
        </is>
      </c>
      <c r="C34" s="455" t="n">
        <v>0.005</v>
      </c>
      <c r="D34" s="422" t="n">
        <v>0</v>
      </c>
      <c r="E34" s="422" t="n">
        <v>0</v>
      </c>
    </row>
    <row r="35" ht="15" customHeight="1" s="508">
      <c r="A35" s="972" t="inlineStr">
        <is>
          <t>Nation State</t>
        </is>
      </c>
      <c r="B35" s="972" t="inlineStr">
        <is>
          <t>Loss of Control or Visibility</t>
        </is>
      </c>
      <c r="C35" s="455" t="n">
        <v>0.004</v>
      </c>
      <c r="D35" s="422" t="n">
        <v>0</v>
      </c>
      <c r="E35" s="422" t="n">
        <v>0</v>
      </c>
    </row>
    <row r="36" ht="15" customHeight="1" s="508">
      <c r="A36" s="972" t="inlineStr">
        <is>
          <t>Nation State</t>
        </is>
      </c>
      <c r="B36" s="972" t="inlineStr">
        <is>
          <t>Loss of Control or Visibility</t>
        </is>
      </c>
      <c r="C36" s="455" t="n">
        <v>0.002</v>
      </c>
      <c r="D36" s="422" t="n">
        <v>3143397.25427249</v>
      </c>
      <c r="E36" s="422" t="n">
        <v>3143397.25427249</v>
      </c>
    </row>
    <row r="37" ht="15" customHeight="1" s="508">
      <c r="A37" s="972" t="inlineStr">
        <is>
          <t>Nation State</t>
        </is>
      </c>
      <c r="B37" s="972" t="inlineStr">
        <is>
          <t>Loss of Control or Visibility</t>
        </is>
      </c>
      <c r="C37" s="455" t="n">
        <v>0.001</v>
      </c>
      <c r="D37" s="422" t="n">
        <v>11259601.17723997</v>
      </c>
      <c r="E37" s="422" t="n">
        <v>11211881.58330374</v>
      </c>
    </row>
    <row r="38" ht="15" customHeight="1" s="508">
      <c r="A38" s="972" t="inlineStr">
        <is>
          <t>Nation State</t>
        </is>
      </c>
      <c r="B38" s="972" t="inlineStr">
        <is>
          <t>Process Manipulation</t>
        </is>
      </c>
      <c r="C38" s="455" t="n">
        <v>0.5</v>
      </c>
      <c r="D38" s="422" t="n">
        <v>0</v>
      </c>
      <c r="E38" s="422" t="n">
        <v>0</v>
      </c>
    </row>
    <row r="39" ht="15" customHeight="1" s="508">
      <c r="A39" s="972" t="inlineStr">
        <is>
          <t>Nation State</t>
        </is>
      </c>
      <c r="B39" s="972" t="inlineStr">
        <is>
          <t>Process Manipulation</t>
        </is>
      </c>
      <c r="C39" s="455" t="n">
        <v>0.2</v>
      </c>
      <c r="D39" s="422" t="n">
        <v>0</v>
      </c>
      <c r="E39" s="422" t="n">
        <v>0</v>
      </c>
    </row>
    <row r="40" ht="15" customHeight="1" s="508">
      <c r="A40" s="972" t="inlineStr">
        <is>
          <t>Nation State</t>
        </is>
      </c>
      <c r="B40" s="972" t="inlineStr">
        <is>
          <t>Process Manipulation</t>
        </is>
      </c>
      <c r="C40" s="455" t="n">
        <v>0.1</v>
      </c>
      <c r="D40" s="422" t="n">
        <v>0</v>
      </c>
      <c r="E40" s="422" t="n">
        <v>0</v>
      </c>
    </row>
    <row r="41" ht="15" customHeight="1" s="508">
      <c r="A41" s="972" t="inlineStr">
        <is>
          <t>Nation State</t>
        </is>
      </c>
      <c r="B41" s="972" t="inlineStr">
        <is>
          <t>Process Manipulation</t>
        </is>
      </c>
      <c r="C41" s="455" t="n">
        <v>0.05</v>
      </c>
      <c r="D41" s="422" t="n">
        <v>0</v>
      </c>
      <c r="E41" s="422" t="n">
        <v>0</v>
      </c>
    </row>
    <row r="42" ht="15" customHeight="1" s="508">
      <c r="A42" s="972" t="inlineStr">
        <is>
          <t>Nation State</t>
        </is>
      </c>
      <c r="B42" s="972" t="inlineStr">
        <is>
          <t>Process Manipulation</t>
        </is>
      </c>
      <c r="C42" s="455" t="n">
        <v>0.04</v>
      </c>
      <c r="D42" s="422" t="n">
        <v>0</v>
      </c>
      <c r="E42" s="422" t="n">
        <v>0</v>
      </c>
    </row>
    <row r="43" ht="15" customHeight="1" s="508">
      <c r="A43" s="972" t="inlineStr">
        <is>
          <t>Nation State</t>
        </is>
      </c>
      <c r="B43" s="972" t="inlineStr">
        <is>
          <t>Process Manipulation</t>
        </is>
      </c>
      <c r="C43" s="455" t="n">
        <v>0.02</v>
      </c>
      <c r="D43" s="422" t="n">
        <v>0</v>
      </c>
      <c r="E43" s="422" t="n">
        <v>0</v>
      </c>
    </row>
    <row r="44" ht="15" customHeight="1" s="508">
      <c r="A44" s="972" t="inlineStr">
        <is>
          <t>Nation State</t>
        </is>
      </c>
      <c r="B44" s="972" t="inlineStr">
        <is>
          <t>Process Manipulation</t>
        </is>
      </c>
      <c r="C44" s="455" t="n">
        <v>0.01</v>
      </c>
      <c r="D44" s="422" t="n">
        <v>0</v>
      </c>
      <c r="E44" s="422" t="n">
        <v>0</v>
      </c>
    </row>
    <row r="45" ht="15" customHeight="1" s="508">
      <c r="A45" s="972" t="inlineStr">
        <is>
          <t>Nation State</t>
        </is>
      </c>
      <c r="B45" s="972" t="inlineStr">
        <is>
          <t>Process Manipulation</t>
        </is>
      </c>
      <c r="C45" s="455" t="n">
        <v>0.005</v>
      </c>
      <c r="D45" s="422" t="n">
        <v>0</v>
      </c>
      <c r="E45" s="422" t="n">
        <v>0</v>
      </c>
    </row>
    <row r="46" ht="15" customHeight="1" s="508">
      <c r="A46" s="972" t="inlineStr">
        <is>
          <t>Nation State</t>
        </is>
      </c>
      <c r="B46" s="972" t="inlineStr">
        <is>
          <t>Process Manipulation</t>
        </is>
      </c>
      <c r="C46" s="455" t="n">
        <v>0.004</v>
      </c>
      <c r="D46" s="422" t="n">
        <v>0</v>
      </c>
      <c r="E46" s="422" t="n">
        <v>0</v>
      </c>
    </row>
    <row r="47" ht="15" customHeight="1" s="508">
      <c r="A47" s="972" t="inlineStr">
        <is>
          <t>Nation State</t>
        </is>
      </c>
      <c r="B47" s="972" t="inlineStr">
        <is>
          <t>Process Manipulation</t>
        </is>
      </c>
      <c r="C47" s="455" t="n">
        <v>0.002</v>
      </c>
      <c r="D47" s="422" t="n">
        <v>9967368.200700879</v>
      </c>
      <c r="E47" s="422" t="n">
        <v>9967368.200700879</v>
      </c>
    </row>
    <row r="48" ht="15" customHeight="1" s="508">
      <c r="A48" s="972" t="inlineStr">
        <is>
          <t>Nation State</t>
        </is>
      </c>
      <c r="B48" s="972" t="inlineStr">
        <is>
          <t>Process Manipulation</t>
        </is>
      </c>
      <c r="C48" s="455" t="n">
        <v>0.001</v>
      </c>
      <c r="D48" s="422" t="n">
        <v>32162861.21374215</v>
      </c>
      <c r="E48" s="422" t="n">
        <v>32162861.21374215</v>
      </c>
    </row>
    <row r="49" ht="15" customHeight="1" s="508">
      <c r="A49" s="972" t="inlineStr">
        <is>
          <t>Nation State</t>
        </is>
      </c>
      <c r="B49" s="972" t="inlineStr">
        <is>
          <t>Safety System Compromise</t>
        </is>
      </c>
      <c r="C49" s="455" t="n">
        <v>0.5</v>
      </c>
      <c r="D49" s="422" t="n">
        <v>0</v>
      </c>
      <c r="E49" s="422" t="n">
        <v>0</v>
      </c>
    </row>
    <row r="50" ht="15" customHeight="1" s="508">
      <c r="A50" s="972" t="inlineStr">
        <is>
          <t>Nation State</t>
        </is>
      </c>
      <c r="B50" s="972" t="inlineStr">
        <is>
          <t>Safety System Compromise</t>
        </is>
      </c>
      <c r="C50" s="455" t="n">
        <v>0.2</v>
      </c>
      <c r="D50" s="422" t="n">
        <v>0</v>
      </c>
      <c r="E50" s="422" t="n">
        <v>0</v>
      </c>
    </row>
    <row r="51" ht="15" customHeight="1" s="508">
      <c r="A51" s="972" t="inlineStr">
        <is>
          <t>Nation State</t>
        </is>
      </c>
      <c r="B51" s="972" t="inlineStr">
        <is>
          <t>Safety System Compromise</t>
        </is>
      </c>
      <c r="C51" s="455" t="n">
        <v>0.1</v>
      </c>
      <c r="D51" s="422" t="n">
        <v>0</v>
      </c>
      <c r="E51" s="422" t="n">
        <v>0</v>
      </c>
    </row>
    <row r="52" ht="15" customHeight="1" s="508">
      <c r="A52" s="972" t="inlineStr">
        <is>
          <t>Nation State</t>
        </is>
      </c>
      <c r="B52" s="972" t="inlineStr">
        <is>
          <t>Safety System Compromise</t>
        </is>
      </c>
      <c r="C52" s="455" t="n">
        <v>0.05</v>
      </c>
      <c r="D52" s="422" t="n">
        <v>0</v>
      </c>
      <c r="E52" s="422" t="n">
        <v>0</v>
      </c>
    </row>
    <row r="53" ht="15" customHeight="1" s="508">
      <c r="A53" s="972" t="inlineStr">
        <is>
          <t>Nation State</t>
        </is>
      </c>
      <c r="B53" s="972" t="inlineStr">
        <is>
          <t>Safety System Compromise</t>
        </is>
      </c>
      <c r="C53" s="455" t="n">
        <v>0.04</v>
      </c>
      <c r="D53" s="422" t="n">
        <v>0</v>
      </c>
      <c r="E53" s="422" t="n">
        <v>0</v>
      </c>
    </row>
    <row r="54" ht="15" customHeight="1" s="508">
      <c r="A54" s="972" t="inlineStr">
        <is>
          <t>Nation State</t>
        </is>
      </c>
      <c r="B54" s="972" t="inlineStr">
        <is>
          <t>Safety System Compromise</t>
        </is>
      </c>
      <c r="C54" s="455" t="n">
        <v>0.02</v>
      </c>
      <c r="D54" s="422" t="n">
        <v>0</v>
      </c>
      <c r="E54" s="422" t="n">
        <v>0</v>
      </c>
    </row>
    <row r="55" ht="15" customHeight="1" s="508">
      <c r="A55" s="972" t="inlineStr">
        <is>
          <t>Nation State</t>
        </is>
      </c>
      <c r="B55" s="972" t="inlineStr">
        <is>
          <t>Safety System Compromise</t>
        </is>
      </c>
      <c r="C55" s="455" t="n">
        <v>0.01</v>
      </c>
      <c r="D55" s="422" t="n">
        <v>0</v>
      </c>
      <c r="E55" s="422" t="n">
        <v>0</v>
      </c>
    </row>
    <row r="56" ht="15" customHeight="1" s="508">
      <c r="A56" s="972" t="inlineStr">
        <is>
          <t>Nation State</t>
        </is>
      </c>
      <c r="B56" s="972" t="inlineStr">
        <is>
          <t>Safety System Compromise</t>
        </is>
      </c>
      <c r="C56" s="455" t="n">
        <v>0.005</v>
      </c>
      <c r="D56" s="422" t="n">
        <v>0</v>
      </c>
      <c r="E56" s="422" t="n">
        <v>0</v>
      </c>
    </row>
    <row r="57" ht="15" customHeight="1" s="508">
      <c r="A57" s="972" t="inlineStr">
        <is>
          <t>Nation State</t>
        </is>
      </c>
      <c r="B57" s="972" t="inlineStr">
        <is>
          <t>Safety System Compromise</t>
        </is>
      </c>
      <c r="C57" s="455" t="n">
        <v>0.004</v>
      </c>
      <c r="D57" s="422" t="n">
        <v>0</v>
      </c>
      <c r="E57" s="422" t="n">
        <v>0</v>
      </c>
    </row>
    <row r="58" ht="15" customHeight="1" s="508">
      <c r="A58" s="972" t="inlineStr">
        <is>
          <t>Nation State</t>
        </is>
      </c>
      <c r="B58" s="972" t="inlineStr">
        <is>
          <t>Safety System Compromise</t>
        </is>
      </c>
      <c r="C58" s="455" t="n">
        <v>0.002</v>
      </c>
      <c r="D58" s="422" t="n">
        <v>0</v>
      </c>
      <c r="E58" s="422" t="n">
        <v>0</v>
      </c>
    </row>
    <row r="59" ht="15" customHeight="1" s="508">
      <c r="A59" s="972" t="inlineStr">
        <is>
          <t>Nation State</t>
        </is>
      </c>
      <c r="B59" s="972" t="inlineStr">
        <is>
          <t>Safety System Compromise</t>
        </is>
      </c>
      <c r="C59" s="455" t="n">
        <v>0.001</v>
      </c>
      <c r="D59" s="422" t="n">
        <v>18338684.94529028</v>
      </c>
      <c r="E59" s="422" t="n">
        <v>18338684.94529028</v>
      </c>
    </row>
    <row r="60" ht="15" customHeight="1" s="508">
      <c r="A60" s="972" t="inlineStr">
        <is>
          <t>Nation State</t>
        </is>
      </c>
      <c r="B60" s="972" t="inlineStr">
        <is>
          <t>Destructive or Integrity Attack</t>
        </is>
      </c>
      <c r="C60" s="455" t="n">
        <v>0.5</v>
      </c>
      <c r="D60" s="422" t="n">
        <v>0</v>
      </c>
      <c r="E60" s="422" t="n">
        <v>0</v>
      </c>
    </row>
    <row r="61" ht="15" customHeight="1" s="508">
      <c r="A61" s="972" t="inlineStr">
        <is>
          <t>Nation State</t>
        </is>
      </c>
      <c r="B61" s="972" t="inlineStr">
        <is>
          <t>Destructive or Integrity Attack</t>
        </is>
      </c>
      <c r="C61" s="455" t="n">
        <v>0.2</v>
      </c>
      <c r="D61" s="422" t="n">
        <v>0</v>
      </c>
      <c r="E61" s="422" t="n">
        <v>0</v>
      </c>
    </row>
    <row r="62" ht="15" customHeight="1" s="508">
      <c r="A62" s="972" t="inlineStr">
        <is>
          <t>Nation State</t>
        </is>
      </c>
      <c r="B62" s="972" t="inlineStr">
        <is>
          <t>Destructive or Integrity Attack</t>
        </is>
      </c>
      <c r="C62" s="455" t="n">
        <v>0.1</v>
      </c>
      <c r="D62" s="422" t="n">
        <v>0</v>
      </c>
      <c r="E62" s="422" t="n">
        <v>0</v>
      </c>
    </row>
    <row r="63" ht="15" customHeight="1" s="508">
      <c r="A63" s="972" t="inlineStr">
        <is>
          <t>Nation State</t>
        </is>
      </c>
      <c r="B63" s="972" t="inlineStr">
        <is>
          <t>Destructive or Integrity Attack</t>
        </is>
      </c>
      <c r="C63" s="455" t="n">
        <v>0.05</v>
      </c>
      <c r="D63" s="422" t="n">
        <v>0</v>
      </c>
      <c r="E63" s="422" t="n">
        <v>0</v>
      </c>
    </row>
    <row r="64" ht="15" customHeight="1" s="508">
      <c r="A64" s="972" t="inlineStr">
        <is>
          <t>Nation State</t>
        </is>
      </c>
      <c r="B64" s="972" t="inlineStr">
        <is>
          <t>Destructive or Integrity Attack</t>
        </is>
      </c>
      <c r="C64" s="455" t="n">
        <v>0.04</v>
      </c>
      <c r="D64" s="422" t="n">
        <v>0</v>
      </c>
      <c r="E64" s="422" t="n">
        <v>0</v>
      </c>
    </row>
    <row r="65" ht="15" customHeight="1" s="508">
      <c r="A65" s="972" t="inlineStr">
        <is>
          <t>Nation State</t>
        </is>
      </c>
      <c r="B65" s="972" t="inlineStr">
        <is>
          <t>Destructive or Integrity Attack</t>
        </is>
      </c>
      <c r="C65" s="455" t="n">
        <v>0.02</v>
      </c>
      <c r="D65" s="422" t="n">
        <v>0</v>
      </c>
      <c r="E65" s="422" t="n">
        <v>0</v>
      </c>
    </row>
    <row r="66" ht="15" customHeight="1" s="508">
      <c r="A66" s="972" t="inlineStr">
        <is>
          <t>Nation State</t>
        </is>
      </c>
      <c r="B66" s="972" t="inlineStr">
        <is>
          <t>Destructive or Integrity Attack</t>
        </is>
      </c>
      <c r="C66" s="455" t="n">
        <v>0.01</v>
      </c>
      <c r="D66" s="422" t="n">
        <v>0</v>
      </c>
      <c r="E66" s="422" t="n">
        <v>0</v>
      </c>
    </row>
    <row r="67" ht="15" customHeight="1" s="508">
      <c r="A67" s="972" t="inlineStr">
        <is>
          <t>Nation State</t>
        </is>
      </c>
      <c r="B67" s="972" t="inlineStr">
        <is>
          <t>Destructive or Integrity Attack</t>
        </is>
      </c>
      <c r="C67" s="455" t="n">
        <v>0.005</v>
      </c>
      <c r="D67" s="422" t="n">
        <v>0</v>
      </c>
      <c r="E67" s="422" t="n">
        <v>0</v>
      </c>
    </row>
    <row r="68" ht="15" customHeight="1" s="508">
      <c r="A68" s="972" t="inlineStr">
        <is>
          <t>Nation State</t>
        </is>
      </c>
      <c r="B68" s="972" t="inlineStr">
        <is>
          <t>Destructive or Integrity Attack</t>
        </is>
      </c>
      <c r="C68" s="455" t="n">
        <v>0.004</v>
      </c>
      <c r="D68" s="422" t="n">
        <v>0</v>
      </c>
      <c r="E68" s="422" t="n">
        <v>0</v>
      </c>
    </row>
    <row r="69" ht="15" customHeight="1" s="508">
      <c r="A69" s="972" t="inlineStr">
        <is>
          <t>Nation State</t>
        </is>
      </c>
      <c r="B69" s="972" t="inlineStr">
        <is>
          <t>Destructive or Integrity Attack</t>
        </is>
      </c>
      <c r="C69" s="455" t="n">
        <v>0.002</v>
      </c>
      <c r="D69" s="422" t="n">
        <v>0</v>
      </c>
      <c r="E69" s="422" t="n">
        <v>0</v>
      </c>
    </row>
    <row r="70" ht="15" customHeight="1" s="508">
      <c r="A70" s="972" t="inlineStr">
        <is>
          <t>Nation State</t>
        </is>
      </c>
      <c r="B70" s="972" t="inlineStr">
        <is>
          <t>Destructive or Integrity Attack</t>
        </is>
      </c>
      <c r="C70" s="455" t="n">
        <v>0.001</v>
      </c>
      <c r="D70" s="422" t="n">
        <v>60604235.44692466</v>
      </c>
      <c r="E70" s="422" t="n">
        <v>60604235.44692466</v>
      </c>
    </row>
    <row r="71" ht="15" customHeight="1" s="508">
      <c r="A71" s="972" t="inlineStr">
        <is>
          <t>Cybercriminal</t>
        </is>
      </c>
      <c r="B71" s="972" t="inlineStr">
        <is>
          <t>Operational Disruption</t>
        </is>
      </c>
      <c r="C71" s="455" t="n">
        <v>0.5</v>
      </c>
      <c r="D71" s="422" t="n">
        <v>0</v>
      </c>
      <c r="E71" s="422" t="n">
        <v>0</v>
      </c>
    </row>
    <row r="72" ht="15" customHeight="1" s="508">
      <c r="A72" s="972" t="inlineStr">
        <is>
          <t>Cybercriminal</t>
        </is>
      </c>
      <c r="B72" s="972" t="inlineStr">
        <is>
          <t>Operational Disruption</t>
        </is>
      </c>
      <c r="C72" s="455" t="n">
        <v>0.2</v>
      </c>
      <c r="D72" s="422" t="n">
        <v>0</v>
      </c>
      <c r="E72" s="422" t="n">
        <v>0</v>
      </c>
    </row>
    <row r="73" ht="15" customHeight="1" s="508">
      <c r="A73" s="972" t="inlineStr">
        <is>
          <t>Cybercriminal</t>
        </is>
      </c>
      <c r="B73" s="972" t="inlineStr">
        <is>
          <t>Operational Disruption</t>
        </is>
      </c>
      <c r="C73" s="455" t="n">
        <v>0.1</v>
      </c>
      <c r="D73" s="422" t="n">
        <v>0</v>
      </c>
      <c r="E73" s="422" t="n">
        <v>0</v>
      </c>
    </row>
    <row r="74" ht="15" customHeight="1" s="508">
      <c r="A74" s="972" t="inlineStr">
        <is>
          <t>Cybercriminal</t>
        </is>
      </c>
      <c r="B74" s="972" t="inlineStr">
        <is>
          <t>Operational Disruption</t>
        </is>
      </c>
      <c r="C74" s="455" t="n">
        <v>0.05</v>
      </c>
      <c r="D74" s="422" t="n">
        <v>0</v>
      </c>
      <c r="E74" s="422" t="n">
        <v>0</v>
      </c>
    </row>
    <row r="75" ht="15" customHeight="1" s="508">
      <c r="A75" s="972" t="inlineStr">
        <is>
          <t>Cybercriminal</t>
        </is>
      </c>
      <c r="B75" s="972" t="inlineStr">
        <is>
          <t>Operational Disruption</t>
        </is>
      </c>
      <c r="C75" s="455" t="n">
        <v>0.04</v>
      </c>
      <c r="D75" s="422" t="n">
        <v>0</v>
      </c>
      <c r="E75" s="422" t="n">
        <v>0</v>
      </c>
    </row>
    <row r="76" ht="15" customHeight="1" s="508">
      <c r="A76" s="972" t="inlineStr">
        <is>
          <t>Cybercriminal</t>
        </is>
      </c>
      <c r="B76" s="972" t="inlineStr">
        <is>
          <t>Operational Disruption</t>
        </is>
      </c>
      <c r="C76" s="455" t="n">
        <v>0.02</v>
      </c>
      <c r="D76" s="422" t="n">
        <v>6075444.876635876</v>
      </c>
      <c r="E76" s="422" t="n">
        <v>6068284.684103915</v>
      </c>
    </row>
    <row r="77" ht="15" customHeight="1" s="508">
      <c r="A77" s="972" t="inlineStr">
        <is>
          <t>Cybercriminal</t>
        </is>
      </c>
      <c r="B77" s="972" t="inlineStr">
        <is>
          <t>Operational Disruption</t>
        </is>
      </c>
      <c r="C77" s="455" t="n">
        <v>0.01</v>
      </c>
      <c r="D77" s="422" t="n">
        <v>19615474.37654318</v>
      </c>
      <c r="E77" s="422" t="n">
        <v>19521007.24932913</v>
      </c>
    </row>
    <row r="78" ht="15" customHeight="1" s="508">
      <c r="A78" s="972" t="inlineStr">
        <is>
          <t>Cybercriminal</t>
        </is>
      </c>
      <c r="B78" s="972" t="inlineStr">
        <is>
          <t>Operational Disruption</t>
        </is>
      </c>
      <c r="C78" s="455" t="n">
        <v>0.005</v>
      </c>
      <c r="D78" s="422" t="n">
        <v>36822502.96270489</v>
      </c>
      <c r="E78" s="422" t="n">
        <v>36464842.86507672</v>
      </c>
    </row>
    <row r="79" ht="15" customHeight="1" s="508">
      <c r="A79" s="972" t="inlineStr">
        <is>
          <t>Cybercriminal</t>
        </is>
      </c>
      <c r="B79" s="972" t="inlineStr">
        <is>
          <t>Operational Disruption</t>
        </is>
      </c>
      <c r="C79" s="455" t="n">
        <v>0.004</v>
      </c>
      <c r="D79" s="422" t="n">
        <v>43030973.23766414</v>
      </c>
      <c r="E79" s="422" t="n">
        <v>42572696.13167778</v>
      </c>
    </row>
    <row r="80" ht="15" customHeight="1" s="508">
      <c r="A80" s="972" t="inlineStr">
        <is>
          <t>Cybercriminal</t>
        </is>
      </c>
      <c r="B80" s="972" t="inlineStr">
        <is>
          <t>Operational Disruption</t>
        </is>
      </c>
      <c r="C80" s="455" t="n">
        <v>0.002</v>
      </c>
      <c r="D80" s="422" t="n">
        <v>69117990.5289216</v>
      </c>
      <c r="E80" s="422" t="n">
        <v>68479273.94583264</v>
      </c>
    </row>
    <row r="81" ht="15" customHeight="1" s="508">
      <c r="A81" s="972" t="inlineStr">
        <is>
          <t>Cybercriminal</t>
        </is>
      </c>
      <c r="B81" s="972" t="inlineStr">
        <is>
          <t>Operational Disruption</t>
        </is>
      </c>
      <c r="C81" s="455" t="n">
        <v>0.001</v>
      </c>
      <c r="D81" s="422" t="n">
        <v>99348569.1997218</v>
      </c>
      <c r="E81" s="422" t="n">
        <v>98811779.37071633</v>
      </c>
    </row>
    <row r="82" ht="15" customHeight="1" s="508">
      <c r="A82" s="972" t="inlineStr">
        <is>
          <t>Cybercriminal</t>
        </is>
      </c>
      <c r="B82" s="972" t="inlineStr">
        <is>
          <t>Loss of Control or Visibility</t>
        </is>
      </c>
      <c r="C82" s="455" t="n">
        <v>0.5</v>
      </c>
      <c r="D82" s="422" t="n">
        <v>0</v>
      </c>
      <c r="E82" s="422" t="n">
        <v>0</v>
      </c>
    </row>
    <row r="83" ht="15" customHeight="1" s="508">
      <c r="A83" s="972" t="inlineStr">
        <is>
          <t>Cybercriminal</t>
        </is>
      </c>
      <c r="B83" s="972" t="inlineStr">
        <is>
          <t>Loss of Control or Visibility</t>
        </is>
      </c>
      <c r="C83" s="455" t="n">
        <v>0.2</v>
      </c>
      <c r="D83" s="422" t="n">
        <v>0</v>
      </c>
      <c r="E83" s="422" t="n">
        <v>0</v>
      </c>
    </row>
    <row r="84" ht="15" customHeight="1" s="508">
      <c r="A84" s="972" t="inlineStr">
        <is>
          <t>Cybercriminal</t>
        </is>
      </c>
      <c r="B84" s="972" t="inlineStr">
        <is>
          <t>Loss of Control or Visibility</t>
        </is>
      </c>
      <c r="C84" s="455" t="n">
        <v>0.1</v>
      </c>
      <c r="D84" s="422" t="n">
        <v>0</v>
      </c>
      <c r="E84" s="422" t="n">
        <v>0</v>
      </c>
    </row>
    <row r="85" ht="15" customHeight="1" s="508">
      <c r="A85" s="972" t="inlineStr">
        <is>
          <t>Cybercriminal</t>
        </is>
      </c>
      <c r="B85" s="972" t="inlineStr">
        <is>
          <t>Loss of Control or Visibility</t>
        </is>
      </c>
      <c r="C85" s="455" t="n">
        <v>0.05</v>
      </c>
      <c r="D85" s="422" t="n">
        <v>0</v>
      </c>
      <c r="E85" s="422" t="n">
        <v>0</v>
      </c>
    </row>
    <row r="86" ht="15" customHeight="1" s="508">
      <c r="A86" s="972" t="inlineStr">
        <is>
          <t>Cybercriminal</t>
        </is>
      </c>
      <c r="B86" s="972" t="inlineStr">
        <is>
          <t>Loss of Control or Visibility</t>
        </is>
      </c>
      <c r="C86" s="455" t="n">
        <v>0.04</v>
      </c>
      <c r="D86" s="422" t="n">
        <v>0</v>
      </c>
      <c r="E86" s="422" t="n">
        <v>0</v>
      </c>
    </row>
    <row r="87" ht="15" customHeight="1" s="508">
      <c r="A87" s="972" t="inlineStr">
        <is>
          <t>Cybercriminal</t>
        </is>
      </c>
      <c r="B87" s="972" t="inlineStr">
        <is>
          <t>Loss of Control or Visibility</t>
        </is>
      </c>
      <c r="C87" s="455" t="n">
        <v>0.02</v>
      </c>
      <c r="D87" s="422" t="n">
        <v>0</v>
      </c>
      <c r="E87" s="422" t="n">
        <v>0</v>
      </c>
    </row>
    <row r="88" ht="15" customHeight="1" s="508">
      <c r="A88" s="972" t="inlineStr">
        <is>
          <t>Cybercriminal</t>
        </is>
      </c>
      <c r="B88" s="972" t="inlineStr">
        <is>
          <t>Loss of Control or Visibility</t>
        </is>
      </c>
      <c r="C88" s="455" t="n">
        <v>0.01</v>
      </c>
      <c r="D88" s="422" t="n">
        <v>0</v>
      </c>
      <c r="E88" s="422" t="n">
        <v>0</v>
      </c>
    </row>
    <row r="89" ht="15" customHeight="1" s="508">
      <c r="A89" s="972" t="inlineStr">
        <is>
          <t>Cybercriminal</t>
        </is>
      </c>
      <c r="B89" s="972" t="inlineStr">
        <is>
          <t>Loss of Control or Visibility</t>
        </is>
      </c>
      <c r="C89" s="455" t="n">
        <v>0.005</v>
      </c>
      <c r="D89" s="422" t="n">
        <v>0</v>
      </c>
      <c r="E89" s="422" t="n">
        <v>0</v>
      </c>
    </row>
    <row r="90" ht="15" customHeight="1" s="508">
      <c r="A90" s="972" t="inlineStr">
        <is>
          <t>Cybercriminal</t>
        </is>
      </c>
      <c r="B90" s="972" t="inlineStr">
        <is>
          <t>Loss of Control or Visibility</t>
        </is>
      </c>
      <c r="C90" s="455" t="n">
        <v>0.004</v>
      </c>
      <c r="D90" s="422" t="n">
        <v>0</v>
      </c>
      <c r="E90" s="422" t="n">
        <v>0</v>
      </c>
    </row>
    <row r="91" ht="15" customHeight="1" s="508">
      <c r="A91" s="972" t="inlineStr">
        <is>
          <t>Cybercriminal</t>
        </is>
      </c>
      <c r="B91" s="972" t="inlineStr">
        <is>
          <t>Loss of Control or Visibility</t>
        </is>
      </c>
      <c r="C91" s="455" t="n">
        <v>0.002</v>
      </c>
      <c r="D91" s="422" t="n">
        <v>6374019.764026305</v>
      </c>
      <c r="E91" s="422" t="n">
        <v>6374019.764026305</v>
      </c>
    </row>
    <row r="92" ht="15" customHeight="1" s="508">
      <c r="A92" s="972" t="inlineStr">
        <is>
          <t>Cybercriminal</t>
        </is>
      </c>
      <c r="B92" s="972" t="inlineStr">
        <is>
          <t>Loss of Control or Visibility</t>
        </is>
      </c>
      <c r="C92" s="455" t="n">
        <v>0.001</v>
      </c>
      <c r="D92" s="422" t="n">
        <v>16228038.56730293</v>
      </c>
      <c r="E92" s="422" t="n">
        <v>16173335.95764256</v>
      </c>
    </row>
    <row r="93" ht="15" customHeight="1" s="508">
      <c r="A93" s="972" t="inlineStr">
        <is>
          <t>Cybercriminal</t>
        </is>
      </c>
      <c r="B93" s="972" t="inlineStr">
        <is>
          <t>Process Manipulation</t>
        </is>
      </c>
      <c r="C93" s="455" t="n">
        <v>0.5</v>
      </c>
      <c r="D93" s="422" t="n">
        <v>0</v>
      </c>
      <c r="E93" s="422" t="n">
        <v>0</v>
      </c>
    </row>
    <row r="94" ht="15" customHeight="1" s="508">
      <c r="A94" s="972" t="inlineStr">
        <is>
          <t>Cybercriminal</t>
        </is>
      </c>
      <c r="B94" s="972" t="inlineStr">
        <is>
          <t>Process Manipulation</t>
        </is>
      </c>
      <c r="C94" s="455" t="n">
        <v>0.2</v>
      </c>
      <c r="D94" s="422" t="n">
        <v>0</v>
      </c>
      <c r="E94" s="422" t="n">
        <v>0</v>
      </c>
    </row>
    <row r="95" ht="15" customHeight="1" s="508">
      <c r="A95" s="972" t="inlineStr">
        <is>
          <t>Cybercriminal</t>
        </is>
      </c>
      <c r="B95" s="972" t="inlineStr">
        <is>
          <t>Process Manipulation</t>
        </is>
      </c>
      <c r="C95" s="455" t="n">
        <v>0.1</v>
      </c>
      <c r="D95" s="422" t="n">
        <v>0</v>
      </c>
      <c r="E95" s="422" t="n">
        <v>0</v>
      </c>
    </row>
    <row r="96" ht="15" customHeight="1" s="508">
      <c r="A96" s="972" t="inlineStr">
        <is>
          <t>Cybercriminal</t>
        </is>
      </c>
      <c r="B96" s="972" t="inlineStr">
        <is>
          <t>Process Manipulation</t>
        </is>
      </c>
      <c r="C96" s="455" t="n">
        <v>0.05</v>
      </c>
      <c r="D96" s="422" t="n">
        <v>0</v>
      </c>
      <c r="E96" s="422" t="n">
        <v>0</v>
      </c>
    </row>
    <row r="97" ht="15" customHeight="1" s="508">
      <c r="A97" s="972" t="inlineStr">
        <is>
          <t>Cybercriminal</t>
        </is>
      </c>
      <c r="B97" s="972" t="inlineStr">
        <is>
          <t>Process Manipulation</t>
        </is>
      </c>
      <c r="C97" s="455" t="n">
        <v>0.04</v>
      </c>
      <c r="D97" s="422" t="n">
        <v>0</v>
      </c>
      <c r="E97" s="422" t="n">
        <v>0</v>
      </c>
    </row>
    <row r="98" ht="15" customHeight="1" s="508">
      <c r="A98" s="972" t="inlineStr">
        <is>
          <t>Cybercriminal</t>
        </is>
      </c>
      <c r="B98" s="972" t="inlineStr">
        <is>
          <t>Process Manipulation</t>
        </is>
      </c>
      <c r="C98" s="455" t="n">
        <v>0.02</v>
      </c>
      <c r="D98" s="422" t="n">
        <v>0</v>
      </c>
      <c r="E98" s="422" t="n">
        <v>0</v>
      </c>
    </row>
    <row r="99" ht="15" customHeight="1" s="508">
      <c r="A99" s="972" t="inlineStr">
        <is>
          <t>Cybercriminal</t>
        </is>
      </c>
      <c r="B99" s="972" t="inlineStr">
        <is>
          <t>Process Manipulation</t>
        </is>
      </c>
      <c r="C99" s="455" t="n">
        <v>0.01</v>
      </c>
      <c r="D99" s="422" t="n">
        <v>0</v>
      </c>
      <c r="E99" s="422" t="n">
        <v>0</v>
      </c>
    </row>
    <row r="100" ht="15" customHeight="1" s="508">
      <c r="A100" s="972" t="inlineStr">
        <is>
          <t>Cybercriminal</t>
        </is>
      </c>
      <c r="B100" s="972" t="inlineStr">
        <is>
          <t>Process Manipulation</t>
        </is>
      </c>
      <c r="C100" s="455" t="n">
        <v>0.005</v>
      </c>
      <c r="D100" s="422" t="n">
        <v>0</v>
      </c>
      <c r="E100" s="422" t="n">
        <v>0</v>
      </c>
    </row>
    <row r="101" ht="15" customHeight="1" s="508">
      <c r="A101" s="972" t="inlineStr">
        <is>
          <t>Cybercriminal</t>
        </is>
      </c>
      <c r="B101" s="972" t="inlineStr">
        <is>
          <t>Process Manipulation</t>
        </is>
      </c>
      <c r="C101" s="455" t="n">
        <v>0.004</v>
      </c>
      <c r="D101" s="422" t="n">
        <v>0</v>
      </c>
      <c r="E101" s="422" t="n">
        <v>0</v>
      </c>
    </row>
    <row r="102" ht="15" customHeight="1" s="508">
      <c r="A102" s="972" t="inlineStr">
        <is>
          <t>Cybercriminal</t>
        </is>
      </c>
      <c r="B102" s="972" t="inlineStr">
        <is>
          <t>Process Manipulation</t>
        </is>
      </c>
      <c r="C102" s="455" t="n">
        <v>0.002</v>
      </c>
      <c r="D102" s="422" t="n">
        <v>0</v>
      </c>
      <c r="E102" s="422" t="n">
        <v>0</v>
      </c>
    </row>
    <row r="103" ht="15" customHeight="1" s="508">
      <c r="A103" s="972" t="inlineStr">
        <is>
          <t>Cybercriminal</t>
        </is>
      </c>
      <c r="B103" s="972" t="inlineStr">
        <is>
          <t>Process Manipulation</t>
        </is>
      </c>
      <c r="C103" s="455" t="n">
        <v>0.001</v>
      </c>
      <c r="D103" s="422" t="n">
        <v>6816206.073341364</v>
      </c>
      <c r="E103" s="422" t="n">
        <v>6816206.073341364</v>
      </c>
    </row>
    <row r="104" ht="15" customHeight="1" s="508">
      <c r="A104" s="972" t="inlineStr">
        <is>
          <t>Cybercriminal</t>
        </is>
      </c>
      <c r="B104" s="972" t="inlineStr">
        <is>
          <t>Safety System Compromise</t>
        </is>
      </c>
      <c r="C104" s="455" t="n">
        <v>0.5</v>
      </c>
      <c r="D104" s="422" t="n">
        <v>0</v>
      </c>
      <c r="E104" s="422" t="n">
        <v>0</v>
      </c>
    </row>
    <row r="105" ht="15" customHeight="1" s="508">
      <c r="A105" s="972" t="inlineStr">
        <is>
          <t>Cybercriminal</t>
        </is>
      </c>
      <c r="B105" s="972" t="inlineStr">
        <is>
          <t>Safety System Compromise</t>
        </is>
      </c>
      <c r="C105" s="455" t="n">
        <v>0.2</v>
      </c>
      <c r="D105" s="422" t="n">
        <v>0</v>
      </c>
      <c r="E105" s="422" t="n">
        <v>0</v>
      </c>
    </row>
    <row r="106" ht="15" customHeight="1" s="508">
      <c r="A106" s="972" t="inlineStr">
        <is>
          <t>Cybercriminal</t>
        </is>
      </c>
      <c r="B106" s="972" t="inlineStr">
        <is>
          <t>Safety System Compromise</t>
        </is>
      </c>
      <c r="C106" s="455" t="n">
        <v>0.1</v>
      </c>
      <c r="D106" s="422" t="n">
        <v>0</v>
      </c>
      <c r="E106" s="422" t="n">
        <v>0</v>
      </c>
    </row>
    <row r="107" ht="15" customHeight="1" s="508">
      <c r="A107" s="972" t="inlineStr">
        <is>
          <t>Cybercriminal</t>
        </is>
      </c>
      <c r="B107" s="972" t="inlineStr">
        <is>
          <t>Safety System Compromise</t>
        </is>
      </c>
      <c r="C107" s="455" t="n">
        <v>0.05</v>
      </c>
      <c r="D107" s="422" t="n">
        <v>0</v>
      </c>
      <c r="E107" s="422" t="n">
        <v>0</v>
      </c>
    </row>
    <row r="108" ht="15" customHeight="1" s="508">
      <c r="A108" s="972" t="inlineStr">
        <is>
          <t>Cybercriminal</t>
        </is>
      </c>
      <c r="B108" s="972" t="inlineStr">
        <is>
          <t>Safety System Compromise</t>
        </is>
      </c>
      <c r="C108" s="455" t="n">
        <v>0.04</v>
      </c>
      <c r="D108" s="422" t="n">
        <v>0</v>
      </c>
      <c r="E108" s="422" t="n">
        <v>0</v>
      </c>
    </row>
    <row r="109" ht="15" customHeight="1" s="508">
      <c r="A109" s="972" t="inlineStr">
        <is>
          <t>Cybercriminal</t>
        </is>
      </c>
      <c r="B109" s="972" t="inlineStr">
        <is>
          <t>Safety System Compromise</t>
        </is>
      </c>
      <c r="C109" s="455" t="n">
        <v>0.02</v>
      </c>
      <c r="D109" s="422" t="n">
        <v>0</v>
      </c>
      <c r="E109" s="422" t="n">
        <v>0</v>
      </c>
    </row>
    <row r="110" ht="15" customHeight="1" s="508">
      <c r="A110" s="972" t="inlineStr">
        <is>
          <t>Cybercriminal</t>
        </is>
      </c>
      <c r="B110" s="972" t="inlineStr">
        <is>
          <t>Safety System Compromise</t>
        </is>
      </c>
      <c r="C110" s="455" t="n">
        <v>0.01</v>
      </c>
      <c r="D110" s="422" t="n">
        <v>0</v>
      </c>
      <c r="E110" s="422" t="n">
        <v>0</v>
      </c>
    </row>
    <row r="111" ht="15" customHeight="1" s="508">
      <c r="A111" s="972" t="inlineStr">
        <is>
          <t>Cybercriminal</t>
        </is>
      </c>
      <c r="B111" s="972" t="inlineStr">
        <is>
          <t>Safety System Compromise</t>
        </is>
      </c>
      <c r="C111" s="455" t="n">
        <v>0.005</v>
      </c>
      <c r="D111" s="422" t="n">
        <v>0</v>
      </c>
      <c r="E111" s="422" t="n">
        <v>0</v>
      </c>
    </row>
    <row r="112" ht="15" customHeight="1" s="508">
      <c r="A112" s="972" t="inlineStr">
        <is>
          <t>Cybercriminal</t>
        </is>
      </c>
      <c r="B112" s="972" t="inlineStr">
        <is>
          <t>Safety System Compromise</t>
        </is>
      </c>
      <c r="C112" s="455" t="n">
        <v>0.004</v>
      </c>
      <c r="D112" s="422" t="n">
        <v>0</v>
      </c>
      <c r="E112" s="422" t="n">
        <v>0</v>
      </c>
    </row>
    <row r="113" ht="15" customHeight="1" s="508">
      <c r="A113" s="972" t="inlineStr">
        <is>
          <t>Cybercriminal</t>
        </is>
      </c>
      <c r="B113" s="972" t="inlineStr">
        <is>
          <t>Safety System Compromise</t>
        </is>
      </c>
      <c r="C113" s="455" t="n">
        <v>0.002</v>
      </c>
      <c r="D113" s="422" t="n">
        <v>0</v>
      </c>
      <c r="E113" s="422" t="n">
        <v>0</v>
      </c>
    </row>
    <row r="114" ht="15" customHeight="1" s="508">
      <c r="A114" s="972" t="inlineStr">
        <is>
          <t>Cybercriminal</t>
        </is>
      </c>
      <c r="B114" s="972" t="inlineStr">
        <is>
          <t>Safety System Compromise</t>
        </is>
      </c>
      <c r="C114" s="455" t="n">
        <v>0.001</v>
      </c>
      <c r="D114" s="422" t="n">
        <v>0</v>
      </c>
      <c r="E114" s="422" t="n">
        <v>0</v>
      </c>
    </row>
    <row r="115" ht="15" customHeight="1" s="508">
      <c r="A115" s="972" t="inlineStr">
        <is>
          <t>Cybercriminal</t>
        </is>
      </c>
      <c r="B115" s="972" t="inlineStr">
        <is>
          <t>Destructive or Integrity Attack</t>
        </is>
      </c>
      <c r="C115" s="455" t="n">
        <v>0.5</v>
      </c>
      <c r="D115" s="422" t="n">
        <v>0</v>
      </c>
      <c r="E115" s="422" t="n">
        <v>0</v>
      </c>
    </row>
    <row r="116" ht="15" customHeight="1" s="508">
      <c r="A116" s="972" t="inlineStr">
        <is>
          <t>Cybercriminal</t>
        </is>
      </c>
      <c r="B116" s="972" t="inlineStr">
        <is>
          <t>Destructive or Integrity Attack</t>
        </is>
      </c>
      <c r="C116" s="455" t="n">
        <v>0.2</v>
      </c>
      <c r="D116" s="422" t="n">
        <v>0</v>
      </c>
      <c r="E116" s="422" t="n">
        <v>0</v>
      </c>
    </row>
    <row r="117" ht="15" customHeight="1" s="508">
      <c r="A117" s="972" t="inlineStr">
        <is>
          <t>Cybercriminal</t>
        </is>
      </c>
      <c r="B117" s="972" t="inlineStr">
        <is>
          <t>Destructive or Integrity Attack</t>
        </is>
      </c>
      <c r="C117" s="455" t="n">
        <v>0.1</v>
      </c>
      <c r="D117" s="422" t="n">
        <v>0</v>
      </c>
      <c r="E117" s="422" t="n">
        <v>0</v>
      </c>
    </row>
    <row r="118" ht="15" customHeight="1" s="508">
      <c r="A118" s="972" t="inlineStr">
        <is>
          <t>Cybercriminal</t>
        </is>
      </c>
      <c r="B118" s="972" t="inlineStr">
        <is>
          <t>Destructive or Integrity Attack</t>
        </is>
      </c>
      <c r="C118" s="455" t="n">
        <v>0.05</v>
      </c>
      <c r="D118" s="422" t="n">
        <v>0</v>
      </c>
      <c r="E118" s="422" t="n">
        <v>0</v>
      </c>
    </row>
    <row r="119" ht="15" customHeight="1" s="508">
      <c r="A119" s="972" t="inlineStr">
        <is>
          <t>Cybercriminal</t>
        </is>
      </c>
      <c r="B119" s="972" t="inlineStr">
        <is>
          <t>Destructive or Integrity Attack</t>
        </is>
      </c>
      <c r="C119" s="455" t="n">
        <v>0.04</v>
      </c>
      <c r="D119" s="422" t="n">
        <v>0</v>
      </c>
      <c r="E119" s="422" t="n">
        <v>0</v>
      </c>
    </row>
    <row r="120" ht="15" customHeight="1" s="508">
      <c r="A120" s="972" t="inlineStr">
        <is>
          <t>Cybercriminal</t>
        </is>
      </c>
      <c r="B120" s="972" t="inlineStr">
        <is>
          <t>Destructive or Integrity Attack</t>
        </is>
      </c>
      <c r="C120" s="455" t="n">
        <v>0.02</v>
      </c>
      <c r="D120" s="422" t="n">
        <v>0</v>
      </c>
      <c r="E120" s="422" t="n">
        <v>0</v>
      </c>
    </row>
    <row r="121" ht="15" customHeight="1" s="508">
      <c r="A121" s="972" t="inlineStr">
        <is>
          <t>Cybercriminal</t>
        </is>
      </c>
      <c r="B121" s="972" t="inlineStr">
        <is>
          <t>Destructive or Integrity Attack</t>
        </is>
      </c>
      <c r="C121" s="455" t="n">
        <v>0.01</v>
      </c>
      <c r="D121" s="422" t="n">
        <v>0</v>
      </c>
      <c r="E121" s="422" t="n">
        <v>0</v>
      </c>
    </row>
    <row r="122" ht="15" customHeight="1" s="508">
      <c r="A122" s="972" t="inlineStr">
        <is>
          <t>Cybercriminal</t>
        </is>
      </c>
      <c r="B122" s="972" t="inlineStr">
        <is>
          <t>Destructive or Integrity Attack</t>
        </is>
      </c>
      <c r="C122" s="455" t="n">
        <v>0.005</v>
      </c>
      <c r="D122" s="422" t="n">
        <v>0</v>
      </c>
      <c r="E122" s="422" t="n">
        <v>0</v>
      </c>
    </row>
    <row r="123" ht="15" customHeight="1" s="508">
      <c r="A123" s="972" t="inlineStr">
        <is>
          <t>Cybercriminal</t>
        </is>
      </c>
      <c r="B123" s="972" t="inlineStr">
        <is>
          <t>Destructive or Integrity Attack</t>
        </is>
      </c>
      <c r="C123" s="455" t="n">
        <v>0.004</v>
      </c>
      <c r="D123" s="422" t="n">
        <v>0</v>
      </c>
      <c r="E123" s="422" t="n">
        <v>0</v>
      </c>
    </row>
    <row r="124" ht="15" customHeight="1" s="508">
      <c r="A124" s="972" t="inlineStr">
        <is>
          <t>Cybercriminal</t>
        </is>
      </c>
      <c r="B124" s="972" t="inlineStr">
        <is>
          <t>Destructive or Integrity Attack</t>
        </is>
      </c>
      <c r="C124" s="455" t="n">
        <v>0.002</v>
      </c>
      <c r="D124" s="422" t="n">
        <v>34127170.98915731</v>
      </c>
      <c r="E124" s="422" t="n">
        <v>34127170.98915731</v>
      </c>
    </row>
    <row r="125" ht="15" customHeight="1" s="508">
      <c r="A125" s="972" t="inlineStr">
        <is>
          <t>Cybercriminal</t>
        </is>
      </c>
      <c r="B125" s="972" t="inlineStr">
        <is>
          <t>Destructive or Integrity Attack</t>
        </is>
      </c>
      <c r="C125" s="455" t="n">
        <v>0.001</v>
      </c>
      <c r="D125" s="422" t="n">
        <v>86095805.65796006</v>
      </c>
      <c r="E125" s="422" t="n">
        <v>86095805.65796006</v>
      </c>
    </row>
    <row r="126" ht="15" customHeight="1" s="508">
      <c r="A126" s="972" t="inlineStr">
        <is>
          <t>Malicious Insider</t>
        </is>
      </c>
      <c r="B126" s="972" t="inlineStr">
        <is>
          <t>Operational Disruption</t>
        </is>
      </c>
      <c r="C126" s="455" t="n">
        <v>0.5</v>
      </c>
      <c r="D126" s="422" t="n">
        <v>0</v>
      </c>
      <c r="E126" s="422" t="n">
        <v>0</v>
      </c>
    </row>
    <row r="127" ht="15" customHeight="1" s="508">
      <c r="A127" s="972" t="inlineStr">
        <is>
          <t>Malicious Insider</t>
        </is>
      </c>
      <c r="B127" s="972" t="inlineStr">
        <is>
          <t>Operational Disruption</t>
        </is>
      </c>
      <c r="C127" s="455" t="n">
        <v>0.2</v>
      </c>
      <c r="D127" s="422" t="n">
        <v>0</v>
      </c>
      <c r="E127" s="422" t="n">
        <v>0</v>
      </c>
    </row>
    <row r="128" ht="15" customHeight="1" s="508">
      <c r="A128" s="972" t="inlineStr">
        <is>
          <t>Malicious Insider</t>
        </is>
      </c>
      <c r="B128" s="972" t="inlineStr">
        <is>
          <t>Operational Disruption</t>
        </is>
      </c>
      <c r="C128" s="455" t="n">
        <v>0.1</v>
      </c>
      <c r="D128" s="422" t="n">
        <v>0</v>
      </c>
      <c r="E128" s="422" t="n">
        <v>0</v>
      </c>
    </row>
    <row r="129" ht="15" customHeight="1" s="508">
      <c r="A129" s="972" t="inlineStr">
        <is>
          <t>Malicious Insider</t>
        </is>
      </c>
      <c r="B129" s="972" t="inlineStr">
        <is>
          <t>Operational Disruption</t>
        </is>
      </c>
      <c r="C129" s="455" t="n">
        <v>0.05</v>
      </c>
      <c r="D129" s="422" t="n">
        <v>0</v>
      </c>
      <c r="E129" s="422" t="n">
        <v>0</v>
      </c>
    </row>
    <row r="130" ht="15" customHeight="1" s="508">
      <c r="A130" s="972" t="inlineStr">
        <is>
          <t>Malicious Insider</t>
        </is>
      </c>
      <c r="B130" s="972" t="inlineStr">
        <is>
          <t>Operational Disruption</t>
        </is>
      </c>
      <c r="C130" s="455" t="n">
        <v>0.04</v>
      </c>
      <c r="D130" s="422" t="n">
        <v>0</v>
      </c>
      <c r="E130" s="422" t="n">
        <v>0</v>
      </c>
    </row>
    <row r="131" ht="15" customHeight="1" s="508">
      <c r="A131" s="972" t="inlineStr">
        <is>
          <t>Malicious Insider</t>
        </is>
      </c>
      <c r="B131" s="972" t="inlineStr">
        <is>
          <t>Operational Disruption</t>
        </is>
      </c>
      <c r="C131" s="455" t="n">
        <v>0.02</v>
      </c>
      <c r="D131" s="422" t="n">
        <v>0</v>
      </c>
      <c r="E131" s="422" t="n">
        <v>0</v>
      </c>
    </row>
    <row r="132" ht="15" customHeight="1" s="508">
      <c r="A132" s="972" t="inlineStr">
        <is>
          <t>Malicious Insider</t>
        </is>
      </c>
      <c r="B132" s="972" t="inlineStr">
        <is>
          <t>Operational Disruption</t>
        </is>
      </c>
      <c r="C132" s="455" t="n">
        <v>0.01</v>
      </c>
      <c r="D132" s="422" t="n">
        <v>0</v>
      </c>
      <c r="E132" s="422" t="n">
        <v>0</v>
      </c>
    </row>
    <row r="133" ht="15" customHeight="1" s="508">
      <c r="A133" s="972" t="inlineStr">
        <is>
          <t>Malicious Insider</t>
        </is>
      </c>
      <c r="B133" s="972" t="inlineStr">
        <is>
          <t>Operational Disruption</t>
        </is>
      </c>
      <c r="C133" s="455" t="n">
        <v>0.005</v>
      </c>
      <c r="D133" s="422" t="n">
        <v>0</v>
      </c>
      <c r="E133" s="422" t="n">
        <v>0</v>
      </c>
    </row>
    <row r="134" ht="15" customHeight="1" s="508">
      <c r="A134" s="972" t="inlineStr">
        <is>
          <t>Malicious Insider</t>
        </is>
      </c>
      <c r="B134" s="972" t="inlineStr">
        <is>
          <t>Operational Disruption</t>
        </is>
      </c>
      <c r="C134" s="455" t="n">
        <v>0.004</v>
      </c>
      <c r="D134" s="422" t="n">
        <v>0</v>
      </c>
      <c r="E134" s="422" t="n">
        <v>0</v>
      </c>
    </row>
    <row r="135" ht="15" customHeight="1" s="508">
      <c r="A135" s="972" t="inlineStr">
        <is>
          <t>Malicious Insider</t>
        </is>
      </c>
      <c r="B135" s="972" t="inlineStr">
        <is>
          <t>Operational Disruption</t>
        </is>
      </c>
      <c r="C135" s="455" t="n">
        <v>0.002</v>
      </c>
      <c r="D135" s="422" t="n">
        <v>3237274.576036499</v>
      </c>
      <c r="E135" s="422" t="n">
        <v>3237274.576036499</v>
      </c>
    </row>
    <row r="136" ht="15" customHeight="1" s="508">
      <c r="A136" s="972" t="inlineStr">
        <is>
          <t>Malicious Insider</t>
        </is>
      </c>
      <c r="B136" s="972" t="inlineStr">
        <is>
          <t>Operational Disruption</t>
        </is>
      </c>
      <c r="C136" s="455" t="n">
        <v>0.001</v>
      </c>
      <c r="D136" s="422" t="n">
        <v>15006813.5621376</v>
      </c>
      <c r="E136" s="422" t="n">
        <v>15006813.5621376</v>
      </c>
    </row>
    <row r="137" ht="15" customHeight="1" s="508">
      <c r="A137" s="972" t="inlineStr">
        <is>
          <t>Malicious Insider</t>
        </is>
      </c>
      <c r="B137" s="972" t="inlineStr">
        <is>
          <t>Loss of Control or Visibility</t>
        </is>
      </c>
      <c r="C137" s="455" t="n">
        <v>0.5</v>
      </c>
      <c r="D137" s="422" t="n">
        <v>0</v>
      </c>
      <c r="E137" s="422" t="n">
        <v>0</v>
      </c>
    </row>
    <row r="138" ht="15" customHeight="1" s="508">
      <c r="A138" s="972" t="inlineStr">
        <is>
          <t>Malicious Insider</t>
        </is>
      </c>
      <c r="B138" s="972" t="inlineStr">
        <is>
          <t>Loss of Control or Visibility</t>
        </is>
      </c>
      <c r="C138" s="455" t="n">
        <v>0.2</v>
      </c>
      <c r="D138" s="422" t="n">
        <v>0</v>
      </c>
      <c r="E138" s="422" t="n">
        <v>0</v>
      </c>
    </row>
    <row r="139" ht="15" customHeight="1" s="508">
      <c r="A139" s="972" t="inlineStr">
        <is>
          <t>Malicious Insider</t>
        </is>
      </c>
      <c r="B139" s="972" t="inlineStr">
        <is>
          <t>Loss of Control or Visibility</t>
        </is>
      </c>
      <c r="C139" s="455" t="n">
        <v>0.1</v>
      </c>
      <c r="D139" s="422" t="n">
        <v>0</v>
      </c>
      <c r="E139" s="422" t="n">
        <v>0</v>
      </c>
    </row>
    <row r="140" ht="15" customHeight="1" s="508">
      <c r="A140" s="972" t="inlineStr">
        <is>
          <t>Malicious Insider</t>
        </is>
      </c>
      <c r="B140" s="972" t="inlineStr">
        <is>
          <t>Loss of Control or Visibility</t>
        </is>
      </c>
      <c r="C140" s="455" t="n">
        <v>0.05</v>
      </c>
      <c r="D140" s="422" t="n">
        <v>0</v>
      </c>
      <c r="E140" s="422" t="n">
        <v>0</v>
      </c>
    </row>
    <row r="141" ht="15" customHeight="1" s="508">
      <c r="A141" s="972" t="inlineStr">
        <is>
          <t>Malicious Insider</t>
        </is>
      </c>
      <c r="B141" s="972" t="inlineStr">
        <is>
          <t>Loss of Control or Visibility</t>
        </is>
      </c>
      <c r="C141" s="455" t="n">
        <v>0.04</v>
      </c>
      <c r="D141" s="422" t="n">
        <v>0</v>
      </c>
      <c r="E141" s="422" t="n">
        <v>0</v>
      </c>
    </row>
    <row r="142" ht="15" customHeight="1" s="508">
      <c r="A142" s="972" t="inlineStr">
        <is>
          <t>Malicious Insider</t>
        </is>
      </c>
      <c r="B142" s="972" t="inlineStr">
        <is>
          <t>Loss of Control or Visibility</t>
        </is>
      </c>
      <c r="C142" s="455" t="n">
        <v>0.02</v>
      </c>
      <c r="D142" s="422" t="n">
        <v>0</v>
      </c>
      <c r="E142" s="422" t="n">
        <v>0</v>
      </c>
    </row>
    <row r="143" ht="15" customHeight="1" s="508">
      <c r="A143" s="972" t="inlineStr">
        <is>
          <t>Malicious Insider</t>
        </is>
      </c>
      <c r="B143" s="972" t="inlineStr">
        <is>
          <t>Loss of Control or Visibility</t>
        </is>
      </c>
      <c r="C143" s="455" t="n">
        <v>0.01</v>
      </c>
      <c r="D143" s="422" t="n">
        <v>0</v>
      </c>
      <c r="E143" s="422" t="n">
        <v>0</v>
      </c>
    </row>
    <row r="144" ht="15" customHeight="1" s="508">
      <c r="A144" s="972" t="inlineStr">
        <is>
          <t>Malicious Insider</t>
        </is>
      </c>
      <c r="B144" s="972" t="inlineStr">
        <is>
          <t>Loss of Control or Visibility</t>
        </is>
      </c>
      <c r="C144" s="455" t="n">
        <v>0.005</v>
      </c>
      <c r="D144" s="422" t="n">
        <v>0</v>
      </c>
      <c r="E144" s="422" t="n">
        <v>0</v>
      </c>
    </row>
    <row r="145" ht="15" customHeight="1" s="508">
      <c r="A145" s="972" t="inlineStr">
        <is>
          <t>Malicious Insider</t>
        </is>
      </c>
      <c r="B145" s="972" t="inlineStr">
        <is>
          <t>Loss of Control or Visibility</t>
        </is>
      </c>
      <c r="C145" s="455" t="n">
        <v>0.004</v>
      </c>
      <c r="D145" s="422" t="n">
        <v>0</v>
      </c>
      <c r="E145" s="422" t="n">
        <v>0</v>
      </c>
    </row>
    <row r="146" ht="15" customHeight="1" s="508">
      <c r="A146" s="972" t="inlineStr">
        <is>
          <t>Malicious Insider</t>
        </is>
      </c>
      <c r="B146" s="972" t="inlineStr">
        <is>
          <t>Loss of Control or Visibility</t>
        </is>
      </c>
      <c r="C146" s="455" t="n">
        <v>0.002</v>
      </c>
      <c r="D146" s="422" t="n">
        <v>0</v>
      </c>
      <c r="E146" s="422" t="n">
        <v>0</v>
      </c>
    </row>
    <row r="147" ht="15" customHeight="1" s="508">
      <c r="A147" s="972" t="inlineStr">
        <is>
          <t>Malicious Insider</t>
        </is>
      </c>
      <c r="B147" s="972" t="inlineStr">
        <is>
          <t>Loss of Control or Visibility</t>
        </is>
      </c>
      <c r="C147" s="455" t="n">
        <v>0.001</v>
      </c>
      <c r="D147" s="422" t="n">
        <v>1615939.224940752</v>
      </c>
      <c r="E147" s="422" t="n">
        <v>1615939.224940752</v>
      </c>
    </row>
    <row r="148" ht="15" customHeight="1" s="508">
      <c r="A148" s="972" t="inlineStr">
        <is>
          <t>Malicious Insider</t>
        </is>
      </c>
      <c r="B148" s="972" t="inlineStr">
        <is>
          <t>Process Manipulation</t>
        </is>
      </c>
      <c r="C148" s="455" t="n">
        <v>0.5</v>
      </c>
      <c r="D148" s="422" t="n">
        <v>0</v>
      </c>
      <c r="E148" s="422" t="n">
        <v>0</v>
      </c>
    </row>
    <row r="149" ht="15" customHeight="1" s="508">
      <c r="A149" s="972" t="inlineStr">
        <is>
          <t>Malicious Insider</t>
        </is>
      </c>
      <c r="B149" s="972" t="inlineStr">
        <is>
          <t>Process Manipulation</t>
        </is>
      </c>
      <c r="C149" s="455" t="n">
        <v>0.2</v>
      </c>
      <c r="D149" s="422" t="n">
        <v>0</v>
      </c>
      <c r="E149" s="422" t="n">
        <v>0</v>
      </c>
    </row>
    <row r="150" ht="15" customHeight="1" s="508">
      <c r="A150" s="972" t="inlineStr">
        <is>
          <t>Malicious Insider</t>
        </is>
      </c>
      <c r="B150" s="972" t="inlineStr">
        <is>
          <t>Process Manipulation</t>
        </is>
      </c>
      <c r="C150" s="455" t="n">
        <v>0.1</v>
      </c>
      <c r="D150" s="422" t="n">
        <v>0</v>
      </c>
      <c r="E150" s="422" t="n">
        <v>0</v>
      </c>
    </row>
    <row r="151" ht="15" customHeight="1" s="508">
      <c r="A151" s="972" t="inlineStr">
        <is>
          <t>Malicious Insider</t>
        </is>
      </c>
      <c r="B151" s="972" t="inlineStr">
        <is>
          <t>Process Manipulation</t>
        </is>
      </c>
      <c r="C151" s="455" t="n">
        <v>0.05</v>
      </c>
      <c r="D151" s="422" t="n">
        <v>0</v>
      </c>
      <c r="E151" s="422" t="n">
        <v>0</v>
      </c>
    </row>
    <row r="152" ht="15" customHeight="1" s="508">
      <c r="A152" s="972" t="inlineStr">
        <is>
          <t>Malicious Insider</t>
        </is>
      </c>
      <c r="B152" s="972" t="inlineStr">
        <is>
          <t>Process Manipulation</t>
        </is>
      </c>
      <c r="C152" s="455" t="n">
        <v>0.04</v>
      </c>
      <c r="D152" s="422" t="n">
        <v>0</v>
      </c>
      <c r="E152" s="422" t="n">
        <v>0</v>
      </c>
    </row>
    <row r="153" ht="15" customHeight="1" s="508">
      <c r="A153" s="972" t="inlineStr">
        <is>
          <t>Malicious Insider</t>
        </is>
      </c>
      <c r="B153" s="972" t="inlineStr">
        <is>
          <t>Process Manipulation</t>
        </is>
      </c>
      <c r="C153" s="455" t="n">
        <v>0.02</v>
      </c>
      <c r="D153" s="422" t="n">
        <v>0</v>
      </c>
      <c r="E153" s="422" t="n">
        <v>0</v>
      </c>
    </row>
    <row r="154" ht="15" customHeight="1" s="508">
      <c r="A154" s="972" t="inlineStr">
        <is>
          <t>Malicious Insider</t>
        </is>
      </c>
      <c r="B154" s="972" t="inlineStr">
        <is>
          <t>Process Manipulation</t>
        </is>
      </c>
      <c r="C154" s="455" t="n">
        <v>0.01</v>
      </c>
      <c r="D154" s="422" t="n">
        <v>0</v>
      </c>
      <c r="E154" s="422" t="n">
        <v>0</v>
      </c>
    </row>
    <row r="155" ht="15" customHeight="1" s="508">
      <c r="A155" s="972" t="inlineStr">
        <is>
          <t>Malicious Insider</t>
        </is>
      </c>
      <c r="B155" s="972" t="inlineStr">
        <is>
          <t>Process Manipulation</t>
        </is>
      </c>
      <c r="C155" s="455" t="n">
        <v>0.005</v>
      </c>
      <c r="D155" s="422" t="n">
        <v>0</v>
      </c>
      <c r="E155" s="422" t="n">
        <v>0</v>
      </c>
    </row>
    <row r="156" ht="15" customHeight="1" s="508">
      <c r="A156" s="972" t="inlineStr">
        <is>
          <t>Malicious Insider</t>
        </is>
      </c>
      <c r="B156" s="972" t="inlineStr">
        <is>
          <t>Process Manipulation</t>
        </is>
      </c>
      <c r="C156" s="455" t="n">
        <v>0.004</v>
      </c>
      <c r="D156" s="422" t="n">
        <v>0</v>
      </c>
      <c r="E156" s="422" t="n">
        <v>0</v>
      </c>
    </row>
    <row r="157" ht="15" customHeight="1" s="508">
      <c r="A157" s="972" t="inlineStr">
        <is>
          <t>Malicious Insider</t>
        </is>
      </c>
      <c r="B157" s="972" t="inlineStr">
        <is>
          <t>Process Manipulation</t>
        </is>
      </c>
      <c r="C157" s="455" t="n">
        <v>0.002</v>
      </c>
      <c r="D157" s="422" t="n">
        <v>0</v>
      </c>
      <c r="E157" s="422" t="n">
        <v>0</v>
      </c>
    </row>
    <row r="158" ht="15" customHeight="1" s="508">
      <c r="A158" s="972" t="inlineStr">
        <is>
          <t>Malicious Insider</t>
        </is>
      </c>
      <c r="B158" s="972" t="inlineStr">
        <is>
          <t>Process Manipulation</t>
        </is>
      </c>
      <c r="C158" s="455" t="n">
        <v>0.001</v>
      </c>
      <c r="D158" s="422" t="n">
        <v>0</v>
      </c>
      <c r="E158" s="422" t="n">
        <v>0</v>
      </c>
    </row>
    <row r="159" ht="15" customHeight="1" s="508">
      <c r="A159" s="972" t="inlineStr">
        <is>
          <t>Malicious Insider</t>
        </is>
      </c>
      <c r="B159" s="972" t="inlineStr">
        <is>
          <t>Safety System Compromise</t>
        </is>
      </c>
      <c r="C159" s="455" t="n">
        <v>0.5</v>
      </c>
      <c r="D159" s="422" t="n">
        <v>0</v>
      </c>
      <c r="E159" s="422" t="n">
        <v>0</v>
      </c>
    </row>
    <row r="160" ht="15" customHeight="1" s="508">
      <c r="A160" s="972" t="inlineStr">
        <is>
          <t>Malicious Insider</t>
        </is>
      </c>
      <c r="B160" s="972" t="inlineStr">
        <is>
          <t>Safety System Compromise</t>
        </is>
      </c>
      <c r="C160" s="455" t="n">
        <v>0.2</v>
      </c>
      <c r="D160" s="422" t="n">
        <v>0</v>
      </c>
      <c r="E160" s="422" t="n">
        <v>0</v>
      </c>
    </row>
    <row r="161" ht="15" customHeight="1" s="508">
      <c r="A161" s="972" t="inlineStr">
        <is>
          <t>Malicious Insider</t>
        </is>
      </c>
      <c r="B161" s="972" t="inlineStr">
        <is>
          <t>Safety System Compromise</t>
        </is>
      </c>
      <c r="C161" s="455" t="n">
        <v>0.1</v>
      </c>
      <c r="D161" s="422" t="n">
        <v>0</v>
      </c>
      <c r="E161" s="422" t="n">
        <v>0</v>
      </c>
    </row>
    <row r="162" ht="15" customHeight="1" s="508">
      <c r="A162" s="972" t="inlineStr">
        <is>
          <t>Malicious Insider</t>
        </is>
      </c>
      <c r="B162" s="972" t="inlineStr">
        <is>
          <t>Safety System Compromise</t>
        </is>
      </c>
      <c r="C162" s="455" t="n">
        <v>0.05</v>
      </c>
      <c r="D162" s="422" t="n">
        <v>0</v>
      </c>
      <c r="E162" s="422" t="n">
        <v>0</v>
      </c>
    </row>
    <row r="163" ht="15" customHeight="1" s="508">
      <c r="A163" s="972" t="inlineStr">
        <is>
          <t>Malicious Insider</t>
        </is>
      </c>
      <c r="B163" s="972" t="inlineStr">
        <is>
          <t>Safety System Compromise</t>
        </is>
      </c>
      <c r="C163" s="455" t="n">
        <v>0.04</v>
      </c>
      <c r="D163" s="422" t="n">
        <v>0</v>
      </c>
      <c r="E163" s="422" t="n">
        <v>0</v>
      </c>
    </row>
    <row r="164" ht="15" customHeight="1" s="508">
      <c r="A164" s="972" t="inlineStr">
        <is>
          <t>Malicious Insider</t>
        </is>
      </c>
      <c r="B164" s="972" t="inlineStr">
        <is>
          <t>Safety System Compromise</t>
        </is>
      </c>
      <c r="C164" s="455" t="n">
        <v>0.02</v>
      </c>
      <c r="D164" s="422" t="n">
        <v>0</v>
      </c>
      <c r="E164" s="422" t="n">
        <v>0</v>
      </c>
    </row>
    <row r="165" ht="15" customHeight="1" s="508">
      <c r="A165" s="972" t="inlineStr">
        <is>
          <t>Malicious Insider</t>
        </is>
      </c>
      <c r="B165" s="972" t="inlineStr">
        <is>
          <t>Safety System Compromise</t>
        </is>
      </c>
      <c r="C165" s="455" t="n">
        <v>0.01</v>
      </c>
      <c r="D165" s="422" t="n">
        <v>0</v>
      </c>
      <c r="E165" s="422" t="n">
        <v>0</v>
      </c>
    </row>
    <row r="166" ht="15" customHeight="1" s="508">
      <c r="A166" s="972" t="inlineStr">
        <is>
          <t>Malicious Insider</t>
        </is>
      </c>
      <c r="B166" s="972" t="inlineStr">
        <is>
          <t>Safety System Compromise</t>
        </is>
      </c>
      <c r="C166" s="455" t="n">
        <v>0.005</v>
      </c>
      <c r="D166" s="422" t="n">
        <v>0</v>
      </c>
      <c r="E166" s="422" t="n">
        <v>0</v>
      </c>
    </row>
    <row r="167" ht="15" customHeight="1" s="508">
      <c r="A167" s="972" t="inlineStr">
        <is>
          <t>Malicious Insider</t>
        </is>
      </c>
      <c r="B167" s="972" t="inlineStr">
        <is>
          <t>Safety System Compromise</t>
        </is>
      </c>
      <c r="C167" s="455" t="n">
        <v>0.004</v>
      </c>
      <c r="D167" s="422" t="n">
        <v>0</v>
      </c>
      <c r="E167" s="422" t="n">
        <v>0</v>
      </c>
    </row>
    <row r="168" ht="15" customHeight="1" s="508">
      <c r="A168" s="972" t="inlineStr">
        <is>
          <t>Malicious Insider</t>
        </is>
      </c>
      <c r="B168" s="972" t="inlineStr">
        <is>
          <t>Safety System Compromise</t>
        </is>
      </c>
      <c r="C168" s="455" t="n">
        <v>0.002</v>
      </c>
      <c r="D168" s="422" t="n">
        <v>0</v>
      </c>
      <c r="E168" s="422" t="n">
        <v>0</v>
      </c>
    </row>
    <row r="169" ht="15" customHeight="1" s="508">
      <c r="A169" s="972" t="inlineStr">
        <is>
          <t>Malicious Insider</t>
        </is>
      </c>
      <c r="B169" s="972" t="inlineStr">
        <is>
          <t>Safety System Compromise</t>
        </is>
      </c>
      <c r="C169" s="455" t="n">
        <v>0.001</v>
      </c>
      <c r="D169" s="422" t="n">
        <v>0</v>
      </c>
      <c r="E169" s="422" t="n">
        <v>0</v>
      </c>
    </row>
    <row r="170" ht="15" customHeight="1" s="508">
      <c r="A170" s="972" t="inlineStr">
        <is>
          <t>Malicious Insider</t>
        </is>
      </c>
      <c r="B170" s="972" t="inlineStr">
        <is>
          <t>Destructive or Integrity Attack</t>
        </is>
      </c>
      <c r="C170" s="455" t="n">
        <v>0.5</v>
      </c>
      <c r="D170" s="422" t="n">
        <v>0</v>
      </c>
      <c r="E170" s="422" t="n">
        <v>0</v>
      </c>
    </row>
    <row r="171" ht="15" customHeight="1" s="508">
      <c r="A171" s="972" t="inlineStr">
        <is>
          <t>Malicious Insider</t>
        </is>
      </c>
      <c r="B171" s="972" t="inlineStr">
        <is>
          <t>Destructive or Integrity Attack</t>
        </is>
      </c>
      <c r="C171" s="455" t="n">
        <v>0.2</v>
      </c>
      <c r="D171" s="422" t="n">
        <v>0</v>
      </c>
      <c r="E171" s="422" t="n">
        <v>0</v>
      </c>
    </row>
    <row r="172" ht="15" customHeight="1" s="508">
      <c r="A172" s="972" t="inlineStr">
        <is>
          <t>Malicious Insider</t>
        </is>
      </c>
      <c r="B172" s="972" t="inlineStr">
        <is>
          <t>Destructive or Integrity Attack</t>
        </is>
      </c>
      <c r="C172" s="455" t="n">
        <v>0.1</v>
      </c>
      <c r="D172" s="422" t="n">
        <v>0</v>
      </c>
      <c r="E172" s="422" t="n">
        <v>0</v>
      </c>
    </row>
    <row r="173" ht="15" customHeight="1" s="508">
      <c r="A173" s="972" t="inlineStr">
        <is>
          <t>Malicious Insider</t>
        </is>
      </c>
      <c r="B173" s="972" t="inlineStr">
        <is>
          <t>Destructive or Integrity Attack</t>
        </is>
      </c>
      <c r="C173" s="455" t="n">
        <v>0.05</v>
      </c>
      <c r="D173" s="422" t="n">
        <v>0</v>
      </c>
      <c r="E173" s="422" t="n">
        <v>0</v>
      </c>
    </row>
    <row r="174" ht="15" customHeight="1" s="508">
      <c r="A174" s="972" t="inlineStr">
        <is>
          <t>Malicious Insider</t>
        </is>
      </c>
      <c r="B174" s="972" t="inlineStr">
        <is>
          <t>Destructive or Integrity Attack</t>
        </is>
      </c>
      <c r="C174" s="455" t="n">
        <v>0.04</v>
      </c>
      <c r="D174" s="422" t="n">
        <v>0</v>
      </c>
      <c r="E174" s="422" t="n">
        <v>0</v>
      </c>
    </row>
    <row r="175" ht="15" customHeight="1" s="508">
      <c r="A175" s="972" t="inlineStr">
        <is>
          <t>Malicious Insider</t>
        </is>
      </c>
      <c r="B175" s="972" t="inlineStr">
        <is>
          <t>Destructive or Integrity Attack</t>
        </is>
      </c>
      <c r="C175" s="455" t="n">
        <v>0.02</v>
      </c>
      <c r="D175" s="422" t="n">
        <v>0</v>
      </c>
      <c r="E175" s="422" t="n">
        <v>0</v>
      </c>
    </row>
    <row r="176" ht="15" customHeight="1" s="508">
      <c r="A176" s="972" t="inlineStr">
        <is>
          <t>Malicious Insider</t>
        </is>
      </c>
      <c r="B176" s="972" t="inlineStr">
        <is>
          <t>Destructive or Integrity Attack</t>
        </is>
      </c>
      <c r="C176" s="455" t="n">
        <v>0.01</v>
      </c>
      <c r="D176" s="422" t="n">
        <v>0</v>
      </c>
      <c r="E176" s="422" t="n">
        <v>0</v>
      </c>
    </row>
    <row r="177" ht="15" customHeight="1" s="508">
      <c r="A177" s="972" t="inlineStr">
        <is>
          <t>Malicious Insider</t>
        </is>
      </c>
      <c r="B177" s="972" t="inlineStr">
        <is>
          <t>Destructive or Integrity Attack</t>
        </is>
      </c>
      <c r="C177" s="455" t="n">
        <v>0.005</v>
      </c>
      <c r="D177" s="422" t="n">
        <v>0</v>
      </c>
      <c r="E177" s="422" t="n">
        <v>0</v>
      </c>
    </row>
    <row r="178" ht="15" customHeight="1" s="508">
      <c r="A178" s="972" t="inlineStr">
        <is>
          <t>Malicious Insider</t>
        </is>
      </c>
      <c r="B178" s="972" t="inlineStr">
        <is>
          <t>Destructive or Integrity Attack</t>
        </is>
      </c>
      <c r="C178" s="455" t="n">
        <v>0.004</v>
      </c>
      <c r="D178" s="422" t="n">
        <v>0</v>
      </c>
      <c r="E178" s="422" t="n">
        <v>0</v>
      </c>
    </row>
    <row r="179" ht="15" customHeight="1" s="508">
      <c r="A179" s="972" t="inlineStr">
        <is>
          <t>Malicious Insider</t>
        </is>
      </c>
      <c r="B179" s="972" t="inlineStr">
        <is>
          <t>Destructive or Integrity Attack</t>
        </is>
      </c>
      <c r="C179" s="455" t="n">
        <v>0.002</v>
      </c>
      <c r="D179" s="422" t="n">
        <v>0</v>
      </c>
      <c r="E179" s="422" t="n">
        <v>0</v>
      </c>
    </row>
    <row r="180" ht="15" customHeight="1" s="508">
      <c r="A180" s="972" t="inlineStr">
        <is>
          <t>Malicious Insider</t>
        </is>
      </c>
      <c r="B180" s="972" t="inlineStr">
        <is>
          <t>Destructive or Integrity Attack</t>
        </is>
      </c>
      <c r="C180" s="455" t="n">
        <v>0.001</v>
      </c>
      <c r="D180" s="422" t="n">
        <v>24942685.10871652</v>
      </c>
      <c r="E180" s="422" t="n">
        <v>24942685.10871652</v>
      </c>
    </row>
    <row r="181" ht="15" customHeight="1" s="508">
      <c r="C181" s="455" t="n"/>
      <c r="D181" s="422" t="n"/>
      <c r="E181" s="422" t="n"/>
    </row>
    <row r="182" ht="15" customHeight="1" s="508">
      <c r="C182" s="455" t="n"/>
      <c r="D182" s="422" t="n"/>
      <c r="E182" s="422" t="n"/>
    </row>
    <row r="183" ht="15" customHeight="1" s="508">
      <c r="C183" s="455" t="n"/>
      <c r="D183" s="422" t="n"/>
      <c r="E183" s="422" t="n"/>
    </row>
    <row r="184" ht="15" customHeight="1" s="508">
      <c r="C184" s="455" t="n"/>
      <c r="D184" s="422" t="n"/>
      <c r="E184" s="422" t="n"/>
    </row>
    <row r="185" ht="15" customHeight="1" s="508">
      <c r="C185" s="455" t="n"/>
      <c r="D185" s="422" t="n"/>
      <c r="E185" s="422" t="n"/>
    </row>
    <row r="186" ht="15" customHeight="1" s="508">
      <c r="C186" s="455" t="n"/>
      <c r="D186" s="422" t="n"/>
      <c r="E186" s="422" t="n"/>
    </row>
    <row r="187" ht="15" customHeight="1" s="508">
      <c r="C187" s="455" t="n"/>
      <c r="D187" s="422" t="n"/>
      <c r="E187" s="422" t="n"/>
    </row>
    <row r="188" ht="15" customHeight="1" s="508">
      <c r="C188" s="455" t="n"/>
      <c r="D188" s="422" t="n"/>
      <c r="E188" s="422" t="n"/>
    </row>
    <row r="189" ht="15" customHeight="1" s="508">
      <c r="C189" s="455" t="n"/>
      <c r="D189" s="422" t="n"/>
      <c r="E189" s="422" t="n"/>
    </row>
    <row r="190" ht="15" customHeight="1" s="508">
      <c r="C190" s="455" t="n"/>
      <c r="D190" s="422" t="n"/>
      <c r="E190" s="422" t="n"/>
    </row>
    <row r="191" ht="15" customHeight="1" s="508">
      <c r="C191" s="455" t="n"/>
      <c r="D191" s="422" t="n"/>
      <c r="E191" s="422" t="n"/>
    </row>
    <row r="192" ht="15" customHeight="1" s="508">
      <c r="C192" s="455" t="n"/>
      <c r="D192" s="422" t="n"/>
      <c r="E192" s="422" t="n"/>
    </row>
    <row r="193" ht="15" customHeight="1" s="508">
      <c r="C193" s="455" t="n"/>
      <c r="D193" s="422" t="n"/>
      <c r="E193" s="422" t="n"/>
    </row>
    <row r="194" ht="15" customHeight="1" s="508">
      <c r="C194" s="455" t="n"/>
      <c r="D194" s="422" t="n"/>
      <c r="E194" s="422" t="n"/>
    </row>
    <row r="195" ht="15" customHeight="1" s="508">
      <c r="C195" s="455" t="n"/>
      <c r="D195" s="422" t="n"/>
      <c r="E195" s="422" t="n"/>
    </row>
    <row r="196" ht="15" customHeight="1" s="508">
      <c r="C196" s="455" t="n"/>
      <c r="D196" s="422" t="n"/>
      <c r="E196" s="422" t="n"/>
    </row>
    <row r="197" ht="15" customHeight="1" s="508">
      <c r="C197" s="455" t="n"/>
      <c r="D197" s="422" t="n"/>
      <c r="E197" s="422" t="n"/>
    </row>
    <row r="198" ht="15" customHeight="1" s="508">
      <c r="C198" s="455" t="n"/>
      <c r="D198" s="422" t="n"/>
      <c r="E198" s="422" t="n"/>
    </row>
    <row r="199" ht="15" customHeight="1" s="508">
      <c r="C199" s="455" t="n"/>
      <c r="D199" s="422" t="n"/>
      <c r="E199" s="422" t="n"/>
    </row>
    <row r="200" ht="15" customHeight="1" s="508">
      <c r="C200" s="455" t="n"/>
      <c r="D200" s="422" t="n"/>
      <c r="E200" s="422" t="n"/>
    </row>
    <row r="201" ht="15" customHeight="1" s="508">
      <c r="C201" s="455" t="n"/>
      <c r="D201" s="422" t="n"/>
      <c r="E201" s="422" t="n"/>
    </row>
    <row r="202" ht="15" customHeight="1" s="508">
      <c r="C202" s="455" t="n"/>
      <c r="D202" s="422" t="n"/>
      <c r="E202" s="422" t="n"/>
    </row>
    <row r="203" ht="15" customHeight="1" s="508">
      <c r="C203" s="455" t="n"/>
      <c r="D203" s="422" t="n"/>
      <c r="E203" s="422" t="n"/>
    </row>
    <row r="204" ht="15" customHeight="1" s="508">
      <c r="C204" s="455" t="n"/>
      <c r="D204" s="422" t="n"/>
      <c r="E204" s="422" t="n"/>
    </row>
    <row r="205" ht="15" customHeight="1" s="508">
      <c r="C205" s="455" t="n"/>
      <c r="D205" s="422" t="n"/>
      <c r="E205" s="422" t="n"/>
    </row>
    <row r="206" ht="15" customHeight="1" s="508">
      <c r="C206" s="455" t="n"/>
      <c r="D206" s="422" t="n"/>
      <c r="E206" s="422" t="n"/>
    </row>
    <row r="207" ht="15" customHeight="1" s="508">
      <c r="C207" s="455" t="n"/>
      <c r="D207" s="422" t="n"/>
      <c r="E207" s="422" t="n"/>
    </row>
    <row r="208" ht="15" customHeight="1" s="508">
      <c r="C208" s="455" t="n"/>
      <c r="D208" s="422" t="n"/>
      <c r="E208" s="422" t="n"/>
    </row>
    <row r="209" ht="15" customHeight="1" s="508">
      <c r="C209" s="455" t="n"/>
      <c r="D209" s="422" t="n"/>
      <c r="E209" s="422" t="n"/>
    </row>
    <row r="210" ht="15" customHeight="1" s="508">
      <c r="C210" s="455" t="n"/>
      <c r="D210" s="422" t="n"/>
      <c r="E210" s="422" t="n"/>
    </row>
    <row r="211" ht="15" customHeight="1" s="508">
      <c r="C211" s="455" t="n"/>
      <c r="D211" s="422" t="n"/>
      <c r="E211" s="422" t="n"/>
    </row>
    <row r="212" ht="15" customHeight="1" s="508">
      <c r="C212" s="455" t="n"/>
      <c r="D212" s="422" t="n"/>
      <c r="E212" s="422" t="n"/>
    </row>
    <row r="213" ht="15" customHeight="1" s="508">
      <c r="C213" s="455" t="n"/>
      <c r="D213" s="422" t="n"/>
      <c r="E213" s="422" t="n"/>
    </row>
    <row r="214" ht="15" customHeight="1" s="508">
      <c r="C214" s="455" t="n"/>
      <c r="D214" s="422" t="n"/>
      <c r="E214" s="422" t="n"/>
    </row>
    <row r="215" ht="15" customHeight="1" s="508">
      <c r="C215" s="455" t="n"/>
      <c r="D215" s="422" t="n"/>
      <c r="E215" s="422" t="n"/>
    </row>
    <row r="216" ht="15" customHeight="1" s="508">
      <c r="C216" s="455" t="n"/>
      <c r="D216" s="422" t="n"/>
      <c r="E216" s="422" t="n"/>
    </row>
    <row r="217" ht="15" customHeight="1" s="508">
      <c r="C217" s="455" t="n"/>
      <c r="D217" s="422" t="n"/>
      <c r="E217" s="422" t="n"/>
    </row>
    <row r="218" ht="15" customHeight="1" s="508">
      <c r="C218" s="455" t="n"/>
      <c r="D218" s="422" t="n"/>
      <c r="E218" s="422" t="n"/>
    </row>
    <row r="219" ht="15" customHeight="1" s="508">
      <c r="C219" s="455" t="n"/>
      <c r="D219" s="422" t="n"/>
      <c r="E219" s="422" t="n"/>
    </row>
    <row r="220" ht="15" customHeight="1" s="508">
      <c r="C220" s="455" t="n"/>
      <c r="D220" s="422" t="n"/>
      <c r="E220" s="422" t="n"/>
    </row>
  </sheetData>
  <mergeCells count="13">
    <mergeCell ref="A12:E12"/>
    <mergeCell ref="A4:E4"/>
    <mergeCell ref="A2:E2"/>
    <mergeCell ref="A7:E7"/>
    <mergeCell ref="A10:E10"/>
    <mergeCell ref="A11:E11"/>
    <mergeCell ref="A1:E1"/>
    <mergeCell ref="A5:E5"/>
    <mergeCell ref="A13:E13"/>
    <mergeCell ref="A8:E8"/>
    <mergeCell ref="A6:E6"/>
    <mergeCell ref="A9:E9"/>
    <mergeCell ref="A3:E3"/>
  </mergeCells>
  <pageMargins left="0.7" right="0.7" top="0.75" bottom="0.75" header="0.3" footer="0.3"/>
</worksheet>
</file>

<file path=xl/worksheets/sheet62.xml><?xml version="1.0" encoding="utf-8"?>
<worksheet xmlns="http://schemas.openxmlformats.org/spreadsheetml/2006/main">
  <sheetPr>
    <tabColor rgb="007F7F7F"/>
    <outlinePr summaryBelow="1" summaryRight="1"/>
    <pageSetUpPr/>
  </sheetPr>
  <dimension ref="A1:BD233"/>
  <sheetViews>
    <sheetView showGridLines="1" workbookViewId="0">
      <selection activeCell="A1" sqref="A1"/>
    </sheetView>
  </sheetViews>
  <sheetFormatPr baseColWidth="8" defaultColWidth="8.6796875" defaultRowHeight="15"/>
  <cols>
    <col width="18" customWidth="1" style="972" min="1" max="14"/>
    <col width="18" customWidth="1" style="972" min="16" max="44"/>
  </cols>
  <sheetData>
    <row r="1" ht="21.75" customHeight="1" s="508">
      <c r="A1" s="460" t="inlineStr">
        <is>
          <t>25 — Risk Charts &amp; Visualisations</t>
        </is>
      </c>
    </row>
    <row r="2" ht="37.5" customHeight="1" s="508">
      <c r="A2" s="402" t="inlineStr">
        <is>
          <t>Purpose: Present the principal model outputs using native Excel charts that remain linked to engine-populated result tables.</t>
        </is>
      </c>
    </row>
    <row r="3" ht="37.5" customHeight="1" s="508">
      <c r="A3" s="403" t="inlineStr">
        <is>
          <t>In plain English: use this sheet for the visual story: who drives risk, which scenarios drive risk, how the tail behaves, and which controls move AAL.</t>
        </is>
      </c>
    </row>
    <row r="4" ht="21.75" customHeight="1" s="508">
      <c r="A4" s="461" t="inlineStr">
        <is>
          <t>SHEET TYPE: CHARTS / VISUALISATION</t>
        </is>
      </c>
    </row>
    <row r="5" ht="21.75" customHeight="1" s="508">
      <c r="A5" s="405" t="inlineStr">
        <is>
          <t>Inputs / upstream sources</t>
        </is>
      </c>
    </row>
    <row r="6" ht="30" customHeight="1" s="508">
      <c r="A6" s="406" t="inlineStr">
        <is>
          <t>02 Executive Summary, 20 Control What-If, 21 Aggregate LECs, 22 Scenario LECs and 23 Actor LECs.</t>
        </is>
      </c>
    </row>
    <row r="7" ht="30" customHeight="1" s="508">
      <c r="A7" s="405" t="inlineStr">
        <is>
          <t>Calculation / decision logic</t>
        </is>
      </c>
    </row>
    <row r="8" ht="30" customHeight="1" s="508">
      <c r="A8" s="406" t="inlineStr">
        <is>
          <t>Charts are native Excel objects linked to helper ranges on this sheet. LEC charts use the conventional orientation: Loss ($) or Downtime (h) on the X-axis and Annual Exceedance Probability (%) on the Y-axis. The Python engine refreshes empirical helper curves after each run.</t>
        </is>
      </c>
    </row>
    <row r="9" ht="30" customHeight="1" s="508">
      <c r="A9" s="405" t="inlineStr">
        <is>
          <t>Key assumptions / defaults</t>
        </is>
      </c>
    </row>
    <row r="10" ht="30" customHeight="1" s="508">
      <c r="A10" s="406" t="inlineStr">
        <is>
          <t>Native Excel charts are resolution-independent. LECs are unconditional annual curves, so their left-hand probability begins at P(any positive annual loss/downtime), not necessarily 100%. Helper tables are retained to the right for auditability.</t>
        </is>
      </c>
    </row>
    <row r="11" ht="30" customHeight="1" s="508">
      <c r="A11" s="405" t="inlineStr">
        <is>
          <t>Outputs / downstream use</t>
        </is>
      </c>
    </row>
    <row r="12" ht="30" customHeight="1" s="508">
      <c r="A12" s="406" t="inlineStr">
        <is>
          <t>Detailed results use the engine-selected basis: Prudent when REPORTING_VIEW is Both; otherwise the selected single view.</t>
        </is>
      </c>
    </row>
    <row r="13" ht="30" customHeight="1" s="508">
      <c r="A13" s="407" t="inlineStr">
        <is>
          <t>Workbook convention: yellow cells / blue font are editable inputs or calibration assumptions; engine-output cells are not manually editable.</t>
        </is>
      </c>
    </row>
    <row r="15" ht="15" customHeight="1" s="508">
      <c r="P15" s="462" t="inlineStr">
        <is>
          <t>Threat actor</t>
        </is>
      </c>
      <c r="Q15" s="462" t="inlineStr">
        <is>
          <t>AAL</t>
        </is>
      </c>
      <c r="R15" s="462" t="n"/>
      <c r="S15" s="462" t="inlineStr">
        <is>
          <t>Scenario</t>
        </is>
      </c>
      <c r="T15" s="462" t="inlineStr">
        <is>
          <t>AAL</t>
        </is>
      </c>
      <c r="U15" s="462" t="n"/>
      <c r="V15" s="462" t="inlineStr">
        <is>
          <t>AEP loss ($)</t>
        </is>
      </c>
      <c r="W15" s="462" t="inlineStr">
        <is>
          <t>AEP exceedance probability</t>
        </is>
      </c>
      <c r="X15" s="462" t="inlineStr">
        <is>
          <t>OEP loss ($)</t>
        </is>
      </c>
      <c r="Y15" s="462" t="inlineStr">
        <is>
          <t>OEP exceedance probability</t>
        </is>
      </c>
      <c r="Z15" s="462" t="n"/>
      <c r="AA15" s="462" t="inlineStr">
        <is>
          <t>Operational Disruption AEP loss ($)</t>
        </is>
      </c>
      <c r="AB15" s="462" t="inlineStr">
        <is>
          <t>Operational Disruption exceedance probability</t>
        </is>
      </c>
      <c r="AC15" s="462" t="inlineStr">
        <is>
          <t>Loss of Control or Visibility AEP loss ($)</t>
        </is>
      </c>
      <c r="AD15" s="462" t="inlineStr">
        <is>
          <t>Loss of Control or Visibility exceedance probability</t>
        </is>
      </c>
      <c r="AE15" s="462" t="inlineStr">
        <is>
          <t>Process Manipulation AEP loss ($)</t>
        </is>
      </c>
      <c r="AF15" s="462" t="inlineStr">
        <is>
          <t>Process Manipulation exceedance probability</t>
        </is>
      </c>
      <c r="AG15" s="462" t="inlineStr">
        <is>
          <t>Safety System Compromise AEP loss ($)</t>
        </is>
      </c>
      <c r="AH15" s="462" t="inlineStr">
        <is>
          <t>Safety System Compromise exceedance probability</t>
        </is>
      </c>
      <c r="AI15" s="462" t="inlineStr">
        <is>
          <t>Destructive or Integrity Attack AEP loss ($)</t>
        </is>
      </c>
      <c r="AJ15" s="462" t="inlineStr">
        <is>
          <t>Destructive or Integrity Attack exceedance probability</t>
        </is>
      </c>
      <c r="AK15" s="462" t="n"/>
      <c r="AL15" s="462" t="inlineStr">
        <is>
          <t>Nation State AEP loss ($)</t>
        </is>
      </c>
      <c r="AM15" s="462" t="inlineStr">
        <is>
          <t>Nation State exceedance probability</t>
        </is>
      </c>
      <c r="AN15" s="462" t="inlineStr">
        <is>
          <t>Cybercriminal AEP loss ($)</t>
        </is>
      </c>
      <c r="AO15" s="462" t="inlineStr">
        <is>
          <t>Cybercriminal exceedance probability</t>
        </is>
      </c>
      <c r="AP15" s="462" t="inlineStr">
        <is>
          <t>Malicious Insider AEP loss ($)</t>
        </is>
      </c>
      <c r="AQ15" s="462" t="inlineStr">
        <is>
          <t>Malicious Insider exceedance probability</t>
        </is>
      </c>
      <c r="AR15" s="462" t="n"/>
      <c r="AS15" s="972" t="inlineStr">
        <is>
          <t>AEP downtime (h)</t>
        </is>
      </c>
      <c r="AT15" s="972" t="inlineStr">
        <is>
          <t>AEP exceedance probability</t>
        </is>
      </c>
      <c r="AU15" s="972" t="inlineStr">
        <is>
          <t>OEP downtime (h)</t>
        </is>
      </c>
      <c r="AV15" s="972" t="inlineStr">
        <is>
          <t>OEP exceedance probability</t>
        </is>
      </c>
      <c r="BA15" s="972" t="inlineStr">
        <is>
          <t>AEP loss ($m)</t>
        </is>
      </c>
      <c r="BB15" s="972" t="inlineStr">
        <is>
          <t>AEP probability</t>
        </is>
      </c>
      <c r="BC15" s="972" t="inlineStr">
        <is>
          <t>OEP loss ($m)</t>
        </is>
      </c>
      <c r="BD15" s="972" t="inlineStr">
        <is>
          <t>OEP probability</t>
        </is>
      </c>
    </row>
    <row r="16" ht="15" customHeight="1" s="508">
      <c r="P16" s="972" t="inlineStr">
        <is>
          <t>Cybercriminal</t>
        </is>
      </c>
      <c r="Q16" s="972" t="n">
        <v>1102563.749705142</v>
      </c>
      <c r="S16" s="972" t="inlineStr">
        <is>
          <t>Operational Disruption</t>
        </is>
      </c>
      <c r="T16" s="972" t="n">
        <v>812442.6841133335</v>
      </c>
      <c r="V16" s="972" t="n">
        <v>0</v>
      </c>
      <c r="W16" s="506" t="n">
        <v>0.05048</v>
      </c>
      <c r="X16" s="972" t="n">
        <v>0</v>
      </c>
      <c r="Y16" s="506" t="n">
        <v>0.05048</v>
      </c>
      <c r="AA16" s="972" t="n">
        <v>0</v>
      </c>
      <c r="AB16" s="506" t="n">
        <v>0.031472</v>
      </c>
      <c r="AC16" s="972" t="n">
        <v>0</v>
      </c>
      <c r="AD16" s="506" t="n">
        <v>0.006974</v>
      </c>
      <c r="AE16" s="972" t="n">
        <v>0</v>
      </c>
      <c r="AF16" s="506" t="n">
        <v>0.004866</v>
      </c>
      <c r="AG16" s="972" t="n">
        <v>0</v>
      </c>
      <c r="AH16" s="506" t="n">
        <v>0.002318</v>
      </c>
      <c r="AI16" s="972" t="n">
        <v>0</v>
      </c>
      <c r="AJ16" s="506" t="n">
        <v>0.0056</v>
      </c>
      <c r="AL16" s="972" t="n">
        <v>0</v>
      </c>
      <c r="AM16" s="506" t="n">
        <v>0.012666</v>
      </c>
      <c r="AN16" s="972" t="n">
        <v>0</v>
      </c>
      <c r="AO16" s="506" t="n">
        <v>0.032634</v>
      </c>
      <c r="AP16" s="972" t="n">
        <v>0</v>
      </c>
      <c r="AQ16" s="506" t="n">
        <v>0.005836</v>
      </c>
      <c r="AS16" s="972" t="n">
        <v>0</v>
      </c>
      <c r="AT16" s="531" t="n">
        <v>0.05048</v>
      </c>
      <c r="AU16" s="972" t="n">
        <v>0</v>
      </c>
      <c r="AV16" s="531" t="n">
        <v>0.05048</v>
      </c>
      <c r="BA16" s="972">
        <f>V16/1000000</f>
        <v/>
      </c>
      <c r="BB16" s="972">
        <f>W16</f>
        <v/>
      </c>
      <c r="BC16" s="972">
        <f>X16/1000000</f>
        <v/>
      </c>
      <c r="BD16" s="972">
        <f>Y16</f>
        <v/>
      </c>
    </row>
    <row r="17" ht="15" customHeight="1" s="508">
      <c r="P17" s="972" t="inlineStr">
        <is>
          <t>Nation State</t>
        </is>
      </c>
      <c r="Q17" s="972" t="n">
        <v>556851.8619734197</v>
      </c>
      <c r="S17" s="972" t="inlineStr">
        <is>
          <t>Destructive or Integrity Attack</t>
        </is>
      </c>
      <c r="T17" s="972" t="n">
        <v>613047.7032922329</v>
      </c>
      <c r="V17" s="972" t="n">
        <v>66449.55969223697</v>
      </c>
      <c r="W17" s="506" t="n">
        <v>0.05048</v>
      </c>
      <c r="X17" s="972" t="n">
        <v>66449.55969223697</v>
      </c>
      <c r="Y17" s="506" t="n">
        <v>0.05048</v>
      </c>
      <c r="AA17" s="972" t="n">
        <v>161792.9577907246</v>
      </c>
      <c r="AB17" s="506" t="n">
        <v>0.031472</v>
      </c>
      <c r="AC17" s="972" t="n">
        <v>102809.6832688109</v>
      </c>
      <c r="AD17" s="506" t="n">
        <v>0.006974</v>
      </c>
      <c r="AE17" s="972" t="n">
        <v>66449.55969223697</v>
      </c>
      <c r="AF17" s="506" t="n">
        <v>0.004866</v>
      </c>
      <c r="AG17" s="972" t="n">
        <v>831755.7277581178</v>
      </c>
      <c r="AH17" s="506" t="n">
        <v>0.002318</v>
      </c>
      <c r="AI17" s="972" t="n">
        <v>3341055.760087481</v>
      </c>
      <c r="AJ17" s="506" t="n">
        <v>0.0056</v>
      </c>
      <c r="AL17" s="972" t="n">
        <v>102809.6832688109</v>
      </c>
      <c r="AM17" s="506" t="n">
        <v>0.012666</v>
      </c>
      <c r="AN17" s="972" t="n">
        <v>66449.55969223697</v>
      </c>
      <c r="AO17" s="506" t="n">
        <v>0.032634</v>
      </c>
      <c r="AP17" s="972" t="n">
        <v>203472.115799198</v>
      </c>
      <c r="AQ17" s="506" t="n">
        <v>0.005836</v>
      </c>
      <c r="AS17" s="972" t="n">
        <v>1.13303405009923</v>
      </c>
      <c r="AT17" s="531" t="n">
        <v>0.05048</v>
      </c>
      <c r="AU17" s="972" t="n">
        <v>1.13303405009923</v>
      </c>
      <c r="AV17" s="531" t="n">
        <v>0.05048</v>
      </c>
      <c r="BA17" s="972">
        <f>V17/1000000</f>
        <v/>
      </c>
      <c r="BB17" s="972">
        <f>W17</f>
        <v/>
      </c>
      <c r="BC17" s="972">
        <f>X17/1000000</f>
        <v/>
      </c>
      <c r="BD17" s="972">
        <f>Y17</f>
        <v/>
      </c>
    </row>
    <row r="18" ht="15" customHeight="1" s="508">
      <c r="P18" s="972" t="inlineStr">
        <is>
          <t>Malicious Insider</t>
        </is>
      </c>
      <c r="Q18" s="972" t="n">
        <v>276327.3671082312</v>
      </c>
      <c r="S18" s="972" t="inlineStr">
        <is>
          <t>Process Manipulation</t>
        </is>
      </c>
      <c r="T18" s="972" t="n">
        <v>226518.0642018289</v>
      </c>
      <c r="V18" s="972" t="n">
        <v>701525.592313919</v>
      </c>
      <c r="W18" s="506" t="n">
        <v>0.050228</v>
      </c>
      <c r="X18" s="972" t="n">
        <v>701525.592313919</v>
      </c>
      <c r="Y18" s="506" t="n">
        <v>0.050228</v>
      </c>
      <c r="AA18" s="972" t="n">
        <v>835557.9678890248</v>
      </c>
      <c r="AB18" s="506" t="n">
        <v>0.031314</v>
      </c>
      <c r="AC18" s="972" t="n">
        <v>339718.6851805493</v>
      </c>
      <c r="AD18" s="506" t="n">
        <v>0.00694</v>
      </c>
      <c r="AE18" s="972" t="n">
        <v>803524.6625191085</v>
      </c>
      <c r="AF18" s="506" t="n">
        <v>0.004842</v>
      </c>
      <c r="AG18" s="972" t="n">
        <v>1513338.847619801</v>
      </c>
      <c r="AH18" s="506" t="n">
        <v>0.002308</v>
      </c>
      <c r="AI18" s="972" t="n">
        <v>7877590.374182033</v>
      </c>
      <c r="AJ18" s="506" t="n">
        <v>0.005572</v>
      </c>
      <c r="AL18" s="972" t="n">
        <v>676519.6487093227</v>
      </c>
      <c r="AM18" s="506" t="n">
        <v>0.012604</v>
      </c>
      <c r="AN18" s="972" t="n">
        <v>699674.9108719332</v>
      </c>
      <c r="AO18" s="506" t="n">
        <v>0.032472</v>
      </c>
      <c r="AP18" s="972" t="n">
        <v>588934.9555583021</v>
      </c>
      <c r="AQ18" s="506" t="n">
        <v>0.005808</v>
      </c>
      <c r="AS18" s="972" t="n">
        <v>5.566810892300342</v>
      </c>
      <c r="AT18" s="531" t="n">
        <v>0.050228</v>
      </c>
      <c r="AU18" s="972" t="n">
        <v>5.566810892300342</v>
      </c>
      <c r="AV18" s="531" t="n">
        <v>0.050228</v>
      </c>
      <c r="BA18" s="972">
        <f>V18/1000000</f>
        <v/>
      </c>
      <c r="BB18" s="972">
        <f>W18</f>
        <v/>
      </c>
      <c r="BC18" s="972">
        <f>X18/1000000</f>
        <v/>
      </c>
      <c r="BD18" s="972">
        <f>Y18</f>
        <v/>
      </c>
    </row>
    <row r="19" ht="15" customHeight="1" s="508">
      <c r="S19" s="972" t="inlineStr">
        <is>
          <t>Safety System Compromise</t>
        </is>
      </c>
      <c r="T19" s="972" t="n">
        <v>165049.0162830711</v>
      </c>
      <c r="V19" s="972" t="n">
        <v>956044.4447589992</v>
      </c>
      <c r="W19" s="506" t="n">
        <v>0.049974</v>
      </c>
      <c r="X19" s="972" t="n">
        <v>956044.4447589992</v>
      </c>
      <c r="Y19" s="506" t="n">
        <v>0.049974</v>
      </c>
      <c r="AA19" s="972" t="n">
        <v>1158515.210489695</v>
      </c>
      <c r="AB19" s="506" t="n">
        <v>0.031156</v>
      </c>
      <c r="AC19" s="972" t="n">
        <v>432974.4670684366</v>
      </c>
      <c r="AD19" s="506" t="n">
        <v>0.006904</v>
      </c>
      <c r="AE19" s="972" t="n">
        <v>1089187.311263676</v>
      </c>
      <c r="AF19" s="506" t="n">
        <v>0.004818</v>
      </c>
      <c r="AG19" s="972" t="n">
        <v>2519541.87795168</v>
      </c>
      <c r="AH19" s="506" t="n">
        <v>0.002296</v>
      </c>
      <c r="AI19" s="972" t="n">
        <v>9399027.327175263</v>
      </c>
      <c r="AJ19" s="506" t="n">
        <v>0.005544</v>
      </c>
      <c r="AL19" s="972" t="n">
        <v>863736.8190738391</v>
      </c>
      <c r="AM19" s="506" t="n">
        <v>0.01254</v>
      </c>
      <c r="AN19" s="972" t="n">
        <v>976962.1810529348</v>
      </c>
      <c r="AO19" s="506" t="n">
        <v>0.032308</v>
      </c>
      <c r="AP19" s="972" t="n">
        <v>921856.6934829481</v>
      </c>
      <c r="AQ19" s="506" t="n">
        <v>0.005778</v>
      </c>
      <c r="AS19" s="972" t="n">
        <v>7.294736361587227</v>
      </c>
      <c r="AT19" s="531" t="n">
        <v>0.049974</v>
      </c>
      <c r="AU19" s="972" t="n">
        <v>7.294736361587227</v>
      </c>
      <c r="AV19" s="531" t="n">
        <v>0.049974</v>
      </c>
      <c r="BA19" s="972">
        <f>V19/1000000</f>
        <v/>
      </c>
      <c r="BB19" s="972">
        <f>W19</f>
        <v/>
      </c>
      <c r="BC19" s="972">
        <f>X19/1000000</f>
        <v/>
      </c>
      <c r="BD19" s="972">
        <f>Y19</f>
        <v/>
      </c>
    </row>
    <row r="20" ht="15" customHeight="1" s="508">
      <c r="S20" s="972" t="inlineStr">
        <is>
          <t>Loss of Control or Visibility</t>
        </is>
      </c>
      <c r="T20" s="972" t="n">
        <v>118685.5108963268</v>
      </c>
      <c r="V20" s="972" t="n">
        <v>1179707.598970419</v>
      </c>
      <c r="W20" s="506" t="n">
        <v>0.04972</v>
      </c>
      <c r="X20" s="972" t="n">
        <v>1179707.598970419</v>
      </c>
      <c r="Y20" s="506" t="n">
        <v>0.04972</v>
      </c>
      <c r="AA20" s="972" t="n">
        <v>1345963.002284242</v>
      </c>
      <c r="AB20" s="506" t="n">
        <v>0.030998</v>
      </c>
      <c r="AC20" s="972" t="n">
        <v>559572.8563768414</v>
      </c>
      <c r="AD20" s="506" t="n">
        <v>0.00687</v>
      </c>
      <c r="AE20" s="972" t="n">
        <v>1272629.271511406</v>
      </c>
      <c r="AF20" s="506" t="n">
        <v>0.004794</v>
      </c>
      <c r="AG20" s="972" t="n">
        <v>3340287.028281018</v>
      </c>
      <c r="AH20" s="506" t="n">
        <v>0.002284</v>
      </c>
      <c r="AI20" s="972" t="n">
        <v>10827314.81237434</v>
      </c>
      <c r="AJ20" s="506" t="n">
        <v>0.005516</v>
      </c>
      <c r="AL20" s="972" t="n">
        <v>1106688.055845486</v>
      </c>
      <c r="AM20" s="506" t="n">
        <v>0.012476</v>
      </c>
      <c r="AN20" s="972" t="n">
        <v>1230819.704690746</v>
      </c>
      <c r="AO20" s="506" t="n">
        <v>0.032144</v>
      </c>
      <c r="AP20" s="972" t="n">
        <v>1118477.749583598</v>
      </c>
      <c r="AQ20" s="506" t="n">
        <v>0.00575</v>
      </c>
      <c r="AS20" s="972" t="n">
        <v>8.710762313832198</v>
      </c>
      <c r="AT20" s="531" t="n">
        <v>0.04972</v>
      </c>
      <c r="AU20" s="972" t="n">
        <v>8.710762313832198</v>
      </c>
      <c r="AV20" s="531" t="n">
        <v>0.04972</v>
      </c>
      <c r="BA20" s="972">
        <f>V20/1000000</f>
        <v/>
      </c>
      <c r="BB20" s="972">
        <f>W20</f>
        <v/>
      </c>
      <c r="BC20" s="972">
        <f>X20/1000000</f>
        <v/>
      </c>
      <c r="BD20" s="972">
        <f>Y20</f>
        <v/>
      </c>
    </row>
    <row r="21" ht="15" customHeight="1" s="508">
      <c r="V21" s="972" t="n">
        <v>1378152.476838772</v>
      </c>
      <c r="W21" s="506" t="n">
        <v>0.049466</v>
      </c>
      <c r="X21" s="972" t="n">
        <v>1378152.476838772</v>
      </c>
      <c r="Y21" s="506" t="n">
        <v>0.049466</v>
      </c>
      <c r="AA21" s="972" t="n">
        <v>1547459.957152164</v>
      </c>
      <c r="AB21" s="506" t="n">
        <v>0.03084</v>
      </c>
      <c r="AC21" s="972" t="n">
        <v>676519.6487093227</v>
      </c>
      <c r="AD21" s="506" t="n">
        <v>0.006834</v>
      </c>
      <c r="AE21" s="972" t="n">
        <v>1605400.948232715</v>
      </c>
      <c r="AF21" s="506" t="n">
        <v>0.00477</v>
      </c>
      <c r="AG21" s="972" t="n">
        <v>3719969.799594114</v>
      </c>
      <c r="AH21" s="506" t="n">
        <v>0.002272</v>
      </c>
      <c r="AI21" s="972" t="n">
        <v>12059767.4646234</v>
      </c>
      <c r="AJ21" s="506" t="n">
        <v>0.005488</v>
      </c>
      <c r="AL21" s="972" t="n">
        <v>1292044.442810793</v>
      </c>
      <c r="AM21" s="506" t="n">
        <v>0.012412</v>
      </c>
      <c r="AN21" s="972" t="n">
        <v>1423589.754746278</v>
      </c>
      <c r="AO21" s="506" t="n">
        <v>0.03198</v>
      </c>
      <c r="AP21" s="972" t="n">
        <v>1181117.139023824</v>
      </c>
      <c r="AQ21" s="506" t="n">
        <v>0.00572</v>
      </c>
      <c r="AS21" s="972" t="n">
        <v>9.802767249336942</v>
      </c>
      <c r="AT21" s="531" t="n">
        <v>0.049466</v>
      </c>
      <c r="AU21" s="972" t="n">
        <v>9.802767249336942</v>
      </c>
      <c r="AV21" s="531" t="n">
        <v>0.049466</v>
      </c>
      <c r="BA21" s="972">
        <f>V21/1000000</f>
        <v/>
      </c>
      <c r="BB21" s="972">
        <f>W21</f>
        <v/>
      </c>
      <c r="BC21" s="972">
        <f>X21/1000000</f>
        <v/>
      </c>
      <c r="BD21" s="972">
        <f>Y21</f>
        <v/>
      </c>
    </row>
    <row r="22" ht="15" customHeight="1" s="508">
      <c r="V22" s="972" t="n">
        <v>1557556.896745085</v>
      </c>
      <c r="W22" s="506" t="n">
        <v>0.049212</v>
      </c>
      <c r="X22" s="972" t="n">
        <v>1557556.896745085</v>
      </c>
      <c r="Y22" s="506" t="n">
        <v>0.049212</v>
      </c>
      <c r="AA22" s="972" t="n">
        <v>1711237.171412374</v>
      </c>
      <c r="AB22" s="506" t="n">
        <v>0.030682</v>
      </c>
      <c r="AC22" s="972" t="n">
        <v>749450.9936727156</v>
      </c>
      <c r="AD22" s="506" t="n">
        <v>0.0068</v>
      </c>
      <c r="AE22" s="972" t="n">
        <v>1840471.830554031</v>
      </c>
      <c r="AF22" s="506" t="n">
        <v>0.004744</v>
      </c>
      <c r="AG22" s="972" t="n">
        <v>4385330.682291109</v>
      </c>
      <c r="AH22" s="506" t="n">
        <v>0.00226</v>
      </c>
      <c r="AI22" s="972" t="n">
        <v>12758257.86588115</v>
      </c>
      <c r="AJ22" s="506" t="n">
        <v>0.00546</v>
      </c>
      <c r="AL22" s="972" t="n">
        <v>1495284.012863712</v>
      </c>
      <c r="AM22" s="506" t="n">
        <v>0.012348</v>
      </c>
      <c r="AN22" s="972" t="n">
        <v>1595534.924237958</v>
      </c>
      <c r="AO22" s="506" t="n">
        <v>0.031816</v>
      </c>
      <c r="AP22" s="972" t="n">
        <v>1399482.86270311</v>
      </c>
      <c r="AQ22" s="506" t="n">
        <v>0.00569</v>
      </c>
      <c r="AS22" s="972" t="n">
        <v>10.8405447595441</v>
      </c>
      <c r="AT22" s="531" t="n">
        <v>0.049212</v>
      </c>
      <c r="AU22" s="972" t="n">
        <v>10.8405447595441</v>
      </c>
      <c r="AV22" s="531" t="n">
        <v>0.049212</v>
      </c>
      <c r="BA22" s="972">
        <f>V22/1000000</f>
        <v/>
      </c>
      <c r="BB22" s="972">
        <f>W22</f>
        <v/>
      </c>
      <c r="BC22" s="972">
        <f>X22/1000000</f>
        <v/>
      </c>
      <c r="BD22" s="972">
        <f>Y22</f>
        <v/>
      </c>
    </row>
    <row r="23" ht="15" customHeight="1" s="508">
      <c r="V23" s="972" t="n">
        <v>1714074.835114679</v>
      </c>
      <c r="W23" s="506" t="n">
        <v>0.04896</v>
      </c>
      <c r="X23" s="972" t="n">
        <v>1714074.835114679</v>
      </c>
      <c r="Y23" s="506" t="n">
        <v>0.04896</v>
      </c>
      <c r="AA23" s="972" t="n">
        <v>1862625.582971385</v>
      </c>
      <c r="AB23" s="506" t="n">
        <v>0.030524</v>
      </c>
      <c r="AC23" s="972" t="n">
        <v>838066.0951534563</v>
      </c>
      <c r="AD23" s="506" t="n">
        <v>0.006764</v>
      </c>
      <c r="AE23" s="972" t="n">
        <v>2054013.460283189</v>
      </c>
      <c r="AF23" s="506" t="n">
        <v>0.00472</v>
      </c>
      <c r="AG23" s="972" t="n">
        <v>4721469.325815132</v>
      </c>
      <c r="AH23" s="506" t="n">
        <v>0.00225</v>
      </c>
      <c r="AI23" s="972" t="n">
        <v>13549816.73479639</v>
      </c>
      <c r="AJ23" s="506" t="n">
        <v>0.005432</v>
      </c>
      <c r="AL23" s="972" t="n">
        <v>1605400.948232715</v>
      </c>
      <c r="AM23" s="506" t="n">
        <v>0.012286</v>
      </c>
      <c r="AN23" s="972" t="n">
        <v>1754167.432362536</v>
      </c>
      <c r="AO23" s="506" t="n">
        <v>0.031652</v>
      </c>
      <c r="AP23" s="972" t="n">
        <v>1560252.969004733</v>
      </c>
      <c r="AQ23" s="506" t="n">
        <v>0.005662</v>
      </c>
      <c r="AS23" s="972" t="n">
        <v>11.79775875525986</v>
      </c>
      <c r="AT23" s="531" t="n">
        <v>0.04896</v>
      </c>
      <c r="AU23" s="972" t="n">
        <v>11.79775875525986</v>
      </c>
      <c r="AV23" s="531" t="n">
        <v>0.04896</v>
      </c>
      <c r="BA23" s="972">
        <f>V23/1000000</f>
        <v/>
      </c>
      <c r="BB23" s="972">
        <f>W23</f>
        <v/>
      </c>
      <c r="BC23" s="972">
        <f>X23/1000000</f>
        <v/>
      </c>
      <c r="BD23" s="972">
        <f>Y23</f>
        <v/>
      </c>
    </row>
    <row r="24" ht="15" customHeight="1" s="508">
      <c r="V24" s="972" t="n">
        <v>1870067.541624324</v>
      </c>
      <c r="W24" s="506" t="n">
        <v>0.048706</v>
      </c>
      <c r="X24" s="972" t="n">
        <v>1870067.541624324</v>
      </c>
      <c r="Y24" s="506" t="n">
        <v>0.048706</v>
      </c>
      <c r="AA24" s="972" t="n">
        <v>1994693.250453816</v>
      </c>
      <c r="AB24" s="506" t="n">
        <v>0.030366</v>
      </c>
      <c r="AC24" s="972" t="n">
        <v>894982.8644899629</v>
      </c>
      <c r="AD24" s="506" t="n">
        <v>0.00673</v>
      </c>
      <c r="AE24" s="972" t="n">
        <v>2207515.149241481</v>
      </c>
      <c r="AF24" s="506" t="n">
        <v>0.004696</v>
      </c>
      <c r="AG24" s="972" t="n">
        <v>5128728.168059608</v>
      </c>
      <c r="AH24" s="506" t="n">
        <v>0.002238</v>
      </c>
      <c r="AI24" s="972" t="n">
        <v>14162229.73704386</v>
      </c>
      <c r="AJ24" s="506" t="n">
        <v>0.005404</v>
      </c>
      <c r="AL24" s="972" t="n">
        <v>1770095.700827933</v>
      </c>
      <c r="AM24" s="506" t="n">
        <v>0.012222</v>
      </c>
      <c r="AN24" s="972" t="n">
        <v>1910564.710883135</v>
      </c>
      <c r="AO24" s="506" t="n">
        <v>0.031488</v>
      </c>
      <c r="AP24" s="972" t="n">
        <v>1662379.688888859</v>
      </c>
      <c r="AQ24" s="506" t="n">
        <v>0.005632</v>
      </c>
      <c r="AS24" s="972" t="n">
        <v>12.76622843235727</v>
      </c>
      <c r="AT24" s="531" t="n">
        <v>0.048706</v>
      </c>
      <c r="AU24" s="972" t="n">
        <v>12.76622843235727</v>
      </c>
      <c r="AV24" s="531" t="n">
        <v>0.048706</v>
      </c>
      <c r="BA24" s="972">
        <f>V24/1000000</f>
        <v/>
      </c>
      <c r="BB24" s="972">
        <f>W24</f>
        <v/>
      </c>
      <c r="BC24" s="972">
        <f>X24/1000000</f>
        <v/>
      </c>
      <c r="BD24" s="972">
        <f>Y24</f>
        <v/>
      </c>
    </row>
    <row r="25" ht="15" customHeight="1" s="508">
      <c r="V25" s="972" t="n">
        <v>2011598.660144281</v>
      </c>
      <c r="W25" s="506" t="n">
        <v>0.048452</v>
      </c>
      <c r="X25" s="972" t="n">
        <v>2011598.660144281</v>
      </c>
      <c r="Y25" s="506" t="n">
        <v>0.048452</v>
      </c>
      <c r="AA25" s="972" t="n">
        <v>2135918.424493843</v>
      </c>
      <c r="AB25" s="506" t="n">
        <v>0.030208</v>
      </c>
      <c r="AC25" s="972" t="n">
        <v>969437.0698496602</v>
      </c>
      <c r="AD25" s="506" t="n">
        <v>0.006694</v>
      </c>
      <c r="AE25" s="972" t="n">
        <v>2428448.603896109</v>
      </c>
      <c r="AF25" s="506" t="n">
        <v>0.004672</v>
      </c>
      <c r="AG25" s="972" t="n">
        <v>5456672.683774881</v>
      </c>
      <c r="AH25" s="506" t="n">
        <v>0.002226</v>
      </c>
      <c r="AI25" s="972" t="n">
        <v>15165612.94048547</v>
      </c>
      <c r="AJ25" s="506" t="n">
        <v>0.005376</v>
      </c>
      <c r="AL25" s="972" t="n">
        <v>1895954.218755047</v>
      </c>
      <c r="AM25" s="506" t="n">
        <v>0.012158</v>
      </c>
      <c r="AN25" s="972" t="n">
        <v>2036986.220703572</v>
      </c>
      <c r="AO25" s="506" t="n">
        <v>0.031324</v>
      </c>
      <c r="AP25" s="972" t="n">
        <v>1846078.219343549</v>
      </c>
      <c r="AQ25" s="506" t="n">
        <v>0.005602</v>
      </c>
      <c r="AS25" s="972" t="n">
        <v>13.63839782178674</v>
      </c>
      <c r="AT25" s="531" t="n">
        <v>0.048452</v>
      </c>
      <c r="AU25" s="972" t="n">
        <v>13.63839782178674</v>
      </c>
      <c r="AV25" s="531" t="n">
        <v>0.048452</v>
      </c>
      <c r="BA25" s="972">
        <f>V25/1000000</f>
        <v/>
      </c>
      <c r="BB25" s="972">
        <f>W25</f>
        <v/>
      </c>
      <c r="BC25" s="972">
        <f>X25/1000000</f>
        <v/>
      </c>
      <c r="BD25" s="972">
        <f>Y25</f>
        <v/>
      </c>
    </row>
    <row r="26" ht="15" customHeight="1" s="508">
      <c r="V26" s="972" t="n">
        <v>2150789.504705441</v>
      </c>
      <c r="W26" s="506" t="n">
        <v>0.048198</v>
      </c>
      <c r="X26" s="972" t="n">
        <v>2150789.504705441</v>
      </c>
      <c r="Y26" s="506" t="n">
        <v>0.048198</v>
      </c>
      <c r="AA26" s="972" t="n">
        <v>2248264.215267472</v>
      </c>
      <c r="AB26" s="506" t="n">
        <v>0.03005</v>
      </c>
      <c r="AC26" s="972" t="n">
        <v>1022461.980483062</v>
      </c>
      <c r="AD26" s="506" t="n">
        <v>0.00666</v>
      </c>
      <c r="AE26" s="972" t="n">
        <v>2541295.203286873</v>
      </c>
      <c r="AF26" s="506" t="n">
        <v>0.004648</v>
      </c>
      <c r="AG26" s="972" t="n">
        <v>5647356.095561444</v>
      </c>
      <c r="AH26" s="506" t="n">
        <v>0.002214</v>
      </c>
      <c r="AI26" s="972" t="n">
        <v>15743606.4181849</v>
      </c>
      <c r="AJ26" s="506" t="n">
        <v>0.005348</v>
      </c>
      <c r="AL26" s="972" t="n">
        <v>2071022.229629811</v>
      </c>
      <c r="AM26" s="506" t="n">
        <v>0.012094</v>
      </c>
      <c r="AN26" s="972" t="n">
        <v>2173820.934481632</v>
      </c>
      <c r="AO26" s="506" t="n">
        <v>0.03116</v>
      </c>
      <c r="AP26" s="972" t="n">
        <v>1964898.588990666</v>
      </c>
      <c r="AQ26" s="506" t="n">
        <v>0.005574</v>
      </c>
      <c r="AS26" s="972" t="n">
        <v>14.28809814435499</v>
      </c>
      <c r="AT26" s="531" t="n">
        <v>0.048198</v>
      </c>
      <c r="AU26" s="972" t="n">
        <v>14.28809814435499</v>
      </c>
      <c r="AV26" s="531" t="n">
        <v>0.048198</v>
      </c>
      <c r="BA26" s="972">
        <f>V26/1000000</f>
        <v/>
      </c>
      <c r="BB26" s="972">
        <f>W26</f>
        <v/>
      </c>
      <c r="BC26" s="972">
        <f>X26/1000000</f>
        <v/>
      </c>
      <c r="BD26" s="972">
        <f>Y26</f>
        <v/>
      </c>
    </row>
    <row r="27" ht="15" customHeight="1" s="508">
      <c r="V27" s="972" t="n">
        <v>2288835.453995224</v>
      </c>
      <c r="W27" s="506" t="n">
        <v>0.047944</v>
      </c>
      <c r="X27" s="972" t="n">
        <v>2287355.712480579</v>
      </c>
      <c r="Y27" s="506" t="n">
        <v>0.047944</v>
      </c>
      <c r="AA27" s="972" t="n">
        <v>2392171.552967142</v>
      </c>
      <c r="AB27" s="506" t="n">
        <v>0.029892</v>
      </c>
      <c r="AC27" s="972" t="n">
        <v>1114070.02984103</v>
      </c>
      <c r="AD27" s="506" t="n">
        <v>0.006624</v>
      </c>
      <c r="AE27" s="972" t="n">
        <v>2788004.76310631</v>
      </c>
      <c r="AF27" s="506" t="n">
        <v>0.004622</v>
      </c>
      <c r="AG27" s="972" t="n">
        <v>5920857.20552057</v>
      </c>
      <c r="AH27" s="506" t="n">
        <v>0.002202</v>
      </c>
      <c r="AI27" s="972" t="n">
        <v>16427260.49441322</v>
      </c>
      <c r="AJ27" s="506" t="n">
        <v>0.00532</v>
      </c>
      <c r="AL27" s="972" t="n">
        <v>2206727.328555635</v>
      </c>
      <c r="AM27" s="506" t="n">
        <v>0.01203</v>
      </c>
      <c r="AN27" s="972" t="n">
        <v>2292523.022236366</v>
      </c>
      <c r="AO27" s="506" t="n">
        <v>0.030996</v>
      </c>
      <c r="AP27" s="972" t="n">
        <v>2117751.087521641</v>
      </c>
      <c r="AQ27" s="506" t="n">
        <v>0.005544</v>
      </c>
      <c r="AS27" s="972" t="n">
        <v>14.98311948675768</v>
      </c>
      <c r="AT27" s="531" t="n">
        <v>0.047944</v>
      </c>
      <c r="AU27" s="972" t="n">
        <v>14.98311948675768</v>
      </c>
      <c r="AV27" s="531" t="n">
        <v>0.047944</v>
      </c>
      <c r="BA27" s="972">
        <f>V27/1000000</f>
        <v/>
      </c>
      <c r="BB27" s="972">
        <f>W27</f>
        <v/>
      </c>
      <c r="BC27" s="972">
        <f>X27/1000000</f>
        <v/>
      </c>
      <c r="BD27" s="972">
        <f>Y27</f>
        <v/>
      </c>
    </row>
    <row r="28" ht="15" customHeight="1" s="508">
      <c r="V28" s="972" t="n">
        <v>2445841.926159954</v>
      </c>
      <c r="W28" s="506" t="n">
        <v>0.04769</v>
      </c>
      <c r="X28" s="972" t="n">
        <v>2443813.275785279</v>
      </c>
      <c r="Y28" s="506" t="n">
        <v>0.04769</v>
      </c>
      <c r="AA28" s="972" t="n">
        <v>2519827.074816785</v>
      </c>
      <c r="AB28" s="506" t="n">
        <v>0.029734</v>
      </c>
      <c r="AC28" s="972" t="n">
        <v>1160465.761239285</v>
      </c>
      <c r="AD28" s="506" t="n">
        <v>0.00659</v>
      </c>
      <c r="AE28" s="972" t="n">
        <v>3011129.40293039</v>
      </c>
      <c r="AF28" s="506" t="n">
        <v>0.004598</v>
      </c>
      <c r="AG28" s="972" t="n">
        <v>6233085.523704922</v>
      </c>
      <c r="AH28" s="506" t="n">
        <v>0.00219</v>
      </c>
      <c r="AI28" s="972" t="n">
        <v>17173119.16970651</v>
      </c>
      <c r="AJ28" s="506" t="n">
        <v>0.005292</v>
      </c>
      <c r="AL28" s="972" t="n">
        <v>2405448.815515499</v>
      </c>
      <c r="AM28" s="506" t="n">
        <v>0.011966</v>
      </c>
      <c r="AN28" s="972" t="n">
        <v>2440019.013805774</v>
      </c>
      <c r="AO28" s="506" t="n">
        <v>0.030832</v>
      </c>
      <c r="AP28" s="972" t="n">
        <v>2299892.310321127</v>
      </c>
      <c r="AQ28" s="506" t="n">
        <v>0.005514</v>
      </c>
      <c r="AS28" s="972" t="n">
        <v>15.72352976742188</v>
      </c>
      <c r="AT28" s="531" t="n">
        <v>0.04769</v>
      </c>
      <c r="AU28" s="972" t="n">
        <v>15.72352976742188</v>
      </c>
      <c r="AV28" s="531" t="n">
        <v>0.04769</v>
      </c>
      <c r="BA28" s="972">
        <f>V28/1000000</f>
        <v/>
      </c>
      <c r="BB28" s="972">
        <f>W28</f>
        <v/>
      </c>
      <c r="BC28" s="972">
        <f>X28/1000000</f>
        <v/>
      </c>
      <c r="BD28" s="972">
        <f>Y28</f>
        <v/>
      </c>
    </row>
    <row r="29" ht="15" customHeight="1" s="508">
      <c r="V29" s="972" t="n">
        <v>2568025.733167988</v>
      </c>
      <c r="W29" s="506" t="n">
        <v>0.047438</v>
      </c>
      <c r="X29" s="972" t="n">
        <v>2568003.125315764</v>
      </c>
      <c r="Y29" s="506" t="n">
        <v>0.047438</v>
      </c>
      <c r="AA29" s="972" t="n">
        <v>2649598.414783418</v>
      </c>
      <c r="AB29" s="506" t="n">
        <v>0.029576</v>
      </c>
      <c r="AC29" s="972" t="n">
        <v>1262306.981439611</v>
      </c>
      <c r="AD29" s="506" t="n">
        <v>0.006554</v>
      </c>
      <c r="AE29" s="972" t="n">
        <v>3172494.987755104</v>
      </c>
      <c r="AF29" s="506" t="n">
        <v>0.004574</v>
      </c>
      <c r="AG29" s="972" t="n">
        <v>6558735.861665227</v>
      </c>
      <c r="AH29" s="506" t="n">
        <v>0.00218</v>
      </c>
      <c r="AI29" s="972" t="n">
        <v>18080600.41545798</v>
      </c>
      <c r="AJ29" s="506" t="n">
        <v>0.005264</v>
      </c>
      <c r="AL29" s="972" t="n">
        <v>2544574.472190667</v>
      </c>
      <c r="AM29" s="506" t="n">
        <v>0.011904</v>
      </c>
      <c r="AN29" s="972" t="n">
        <v>2547729.313993011</v>
      </c>
      <c r="AO29" s="506" t="n">
        <v>0.030668</v>
      </c>
      <c r="AP29" s="972" t="n">
        <v>2449384.242121624</v>
      </c>
      <c r="AQ29" s="506" t="n">
        <v>0.005486</v>
      </c>
      <c r="AS29" s="972" t="n">
        <v>16.46678842525156</v>
      </c>
      <c r="AT29" s="531" t="n">
        <v>0.047438</v>
      </c>
      <c r="AU29" s="972" t="n">
        <v>16.46678842525156</v>
      </c>
      <c r="AV29" s="531" t="n">
        <v>0.047438</v>
      </c>
      <c r="BA29" s="972">
        <f>V29/1000000</f>
        <v/>
      </c>
      <c r="BB29" s="972">
        <f>W29</f>
        <v/>
      </c>
      <c r="BC29" s="972">
        <f>X29/1000000</f>
        <v/>
      </c>
      <c r="BD29" s="972">
        <f>Y29</f>
        <v/>
      </c>
    </row>
    <row r="30" ht="15" customHeight="1" s="508">
      <c r="V30" s="972" t="n">
        <v>2706959.525118064</v>
      </c>
      <c r="W30" s="506" t="n">
        <v>0.047184</v>
      </c>
      <c r="X30" s="972" t="n">
        <v>2705890.045267341</v>
      </c>
      <c r="Y30" s="506" t="n">
        <v>0.047184</v>
      </c>
      <c r="AA30" s="972" t="n">
        <v>2765530.822807988</v>
      </c>
      <c r="AB30" s="506" t="n">
        <v>0.029418</v>
      </c>
      <c r="AC30" s="972" t="n">
        <v>1329138.299413371</v>
      </c>
      <c r="AD30" s="506" t="n">
        <v>0.00652</v>
      </c>
      <c r="AE30" s="972" t="n">
        <v>3338857.110669577</v>
      </c>
      <c r="AF30" s="506" t="n">
        <v>0.00455</v>
      </c>
      <c r="AG30" s="972" t="n">
        <v>6793150.569518626</v>
      </c>
      <c r="AH30" s="506" t="n">
        <v>0.002168</v>
      </c>
      <c r="AI30" s="972" t="n">
        <v>18706805.44018201</v>
      </c>
      <c r="AJ30" s="506" t="n">
        <v>0.005236</v>
      </c>
      <c r="AL30" s="972" t="n">
        <v>2719432.41136736</v>
      </c>
      <c r="AM30" s="506" t="n">
        <v>0.01184</v>
      </c>
      <c r="AN30" s="972" t="n">
        <v>2672108.16702293</v>
      </c>
      <c r="AO30" s="506" t="n">
        <v>0.030504</v>
      </c>
      <c r="AP30" s="972" t="n">
        <v>2646952.763298011</v>
      </c>
      <c r="AQ30" s="506" t="n">
        <v>0.005456</v>
      </c>
      <c r="AS30" s="972" t="n">
        <v>17.16286490823281</v>
      </c>
      <c r="AT30" s="531" t="n">
        <v>0.047184</v>
      </c>
      <c r="AU30" s="972" t="n">
        <v>17.16286490823281</v>
      </c>
      <c r="AV30" s="531" t="n">
        <v>0.047184</v>
      </c>
      <c r="BA30" s="972">
        <f>V30/1000000</f>
        <v/>
      </c>
      <c r="BB30" s="972">
        <f>W30</f>
        <v/>
      </c>
      <c r="BC30" s="972">
        <f>X30/1000000</f>
        <v/>
      </c>
      <c r="BD30" s="972">
        <f>Y30</f>
        <v/>
      </c>
    </row>
    <row r="31" ht="15" customHeight="1" s="508">
      <c r="V31" s="972" t="n">
        <v>2839451.131685404</v>
      </c>
      <c r="W31" s="506" t="n">
        <v>0.04693</v>
      </c>
      <c r="X31" s="972" t="n">
        <v>2838558.589996791</v>
      </c>
      <c r="Y31" s="506" t="n">
        <v>0.04693</v>
      </c>
      <c r="AA31" s="972" t="n">
        <v>2883325.399429439</v>
      </c>
      <c r="AB31" s="506" t="n">
        <v>0.02926</v>
      </c>
      <c r="AC31" s="972" t="n">
        <v>1400977.468819384</v>
      </c>
      <c r="AD31" s="506" t="n">
        <v>0.006484</v>
      </c>
      <c r="AE31" s="972" t="n">
        <v>3541542.289525477</v>
      </c>
      <c r="AF31" s="506" t="n">
        <v>0.004524</v>
      </c>
      <c r="AG31" s="972" t="n">
        <v>7016662.032502036</v>
      </c>
      <c r="AH31" s="506" t="n">
        <v>0.002156</v>
      </c>
      <c r="AI31" s="972" t="n">
        <v>19284811.74611617</v>
      </c>
      <c r="AJ31" s="506" t="n">
        <v>0.005208</v>
      </c>
      <c r="AL31" s="972" t="n">
        <v>2854631.013626352</v>
      </c>
      <c r="AM31" s="506" t="n">
        <v>0.011776</v>
      </c>
      <c r="AN31" s="972" t="n">
        <v>2806453.332577731</v>
      </c>
      <c r="AO31" s="506" t="n">
        <v>0.03034</v>
      </c>
      <c r="AP31" s="972" t="n">
        <v>2752114.833445732</v>
      </c>
      <c r="AQ31" s="506" t="n">
        <v>0.005426</v>
      </c>
      <c r="AS31" s="972" t="n">
        <v>17.88748468796378</v>
      </c>
      <c r="AT31" s="531" t="n">
        <v>0.04693</v>
      </c>
      <c r="AU31" s="972" t="n">
        <v>17.88748468796378</v>
      </c>
      <c r="AV31" s="531" t="n">
        <v>0.04693</v>
      </c>
      <c r="BA31" s="972">
        <f>V31/1000000</f>
        <v/>
      </c>
      <c r="BB31" s="972">
        <f>W31</f>
        <v/>
      </c>
      <c r="BC31" s="972">
        <f>X31/1000000</f>
        <v/>
      </c>
      <c r="BD31" s="972">
        <f>Y31</f>
        <v/>
      </c>
    </row>
    <row r="32" ht="15" customHeight="1" s="508">
      <c r="P32" s="462" t="inlineStr">
        <is>
          <t>Control</t>
        </is>
      </c>
      <c r="Q32" s="462" t="inlineStr">
        <is>
          <t>AAL reduction</t>
        </is>
      </c>
      <c r="R32" s="462" t="n"/>
      <c r="S32" s="462" t="n"/>
      <c r="T32" s="462" t="n"/>
      <c r="U32" s="462" t="n"/>
      <c r="V32" s="462" t="n">
        <v>2983105.411068013</v>
      </c>
      <c r="W32" s="532" t="n">
        <v>0.046676</v>
      </c>
      <c r="X32" s="462" t="n">
        <v>2982598.178618611</v>
      </c>
      <c r="Y32" s="532" t="n">
        <v>0.046676</v>
      </c>
      <c r="Z32" s="462" t="n"/>
      <c r="AA32" s="462" t="n">
        <v>3006030.861063397</v>
      </c>
      <c r="AB32" s="532" t="n">
        <v>0.0291</v>
      </c>
      <c r="AC32" s="462" t="n">
        <v>1486256.117566457</v>
      </c>
      <c r="AD32" s="532" t="n">
        <v>0.00645</v>
      </c>
      <c r="AE32" s="462" t="n">
        <v>3675701.162073436</v>
      </c>
      <c r="AF32" s="532" t="n">
        <v>0.0045</v>
      </c>
      <c r="AG32" s="462" t="n">
        <v>7286724.56539717</v>
      </c>
      <c r="AH32" s="532" t="n">
        <v>0.002144</v>
      </c>
      <c r="AI32" s="462" t="n">
        <v>19779295.87947341</v>
      </c>
      <c r="AJ32" s="532" t="n">
        <v>0.00518</v>
      </c>
      <c r="AK32" s="462" t="n"/>
      <c r="AL32" s="462" t="n">
        <v>2991078.979417803</v>
      </c>
      <c r="AM32" s="532" t="n">
        <v>0.011712</v>
      </c>
      <c r="AN32" s="462" t="n">
        <v>2935590.109861645</v>
      </c>
      <c r="AO32" s="532" t="n">
        <v>0.030176</v>
      </c>
      <c r="AP32" s="462" t="n">
        <v>2930273.738080729</v>
      </c>
      <c r="AQ32" s="532" t="n">
        <v>0.005398</v>
      </c>
      <c r="AR32" s="462" t="n"/>
      <c r="AS32" s="972" t="n">
        <v>18.58447376034866</v>
      </c>
      <c r="AT32" s="531" t="n">
        <v>0.046676</v>
      </c>
      <c r="AU32" s="972" t="n">
        <v>18.58447376034866</v>
      </c>
      <c r="AV32" s="531" t="n">
        <v>0.046676</v>
      </c>
      <c r="BA32" s="972">
        <f>V32/1000000</f>
        <v/>
      </c>
      <c r="BB32" s="972">
        <f>W32</f>
        <v/>
      </c>
      <c r="BC32" s="972">
        <f>X32/1000000</f>
        <v/>
      </c>
      <c r="BD32" s="972">
        <f>Y32</f>
        <v/>
      </c>
    </row>
    <row r="33" ht="15" customHeight="1" s="508">
      <c r="P33" s="972" t="inlineStr">
        <is>
          <t>Access Management</t>
        </is>
      </c>
      <c r="Q33" s="972" t="n">
        <v>0</v>
      </c>
      <c r="S33" s="972" t="n"/>
      <c r="T33" s="972" t="n"/>
      <c r="U33" s="972" t="n"/>
      <c r="V33" s="972" t="n">
        <v>3107332.821004341</v>
      </c>
      <c r="W33" s="506" t="n">
        <v>0.046422</v>
      </c>
      <c r="X33" s="972" t="n">
        <v>3105688.154811086</v>
      </c>
      <c r="Y33" s="506" t="n">
        <v>0.046422</v>
      </c>
      <c r="AA33" s="972" t="n">
        <v>3118497.060424208</v>
      </c>
      <c r="AB33" s="506" t="n">
        <v>0.028942</v>
      </c>
      <c r="AC33" s="972" t="n">
        <v>1532892.074209809</v>
      </c>
      <c r="AD33" s="506" t="n">
        <v>0.006414</v>
      </c>
      <c r="AE33" s="972" t="n">
        <v>3873903.006174398</v>
      </c>
      <c r="AF33" s="506" t="n">
        <v>0.004476</v>
      </c>
      <c r="AG33" s="972" t="n">
        <v>7518331.274532767</v>
      </c>
      <c r="AH33" s="506" t="n">
        <v>0.002132</v>
      </c>
      <c r="AI33" s="972" t="n">
        <v>20351447.18899428</v>
      </c>
      <c r="AJ33" s="506" t="n">
        <v>0.00515</v>
      </c>
      <c r="AL33" s="972" t="n">
        <v>3107332.821004341</v>
      </c>
      <c r="AM33" s="506" t="n">
        <v>0.011648</v>
      </c>
      <c r="AN33" s="972" t="n">
        <v>3075344.392408016</v>
      </c>
      <c r="AO33" s="506" t="n">
        <v>0.030012</v>
      </c>
      <c r="AP33" s="972" t="n">
        <v>3071332.885048574</v>
      </c>
      <c r="AQ33" s="506" t="n">
        <v>0.005368</v>
      </c>
      <c r="AS33" s="972" t="n">
        <v>19.35627928987199</v>
      </c>
      <c r="AT33" s="531" t="n">
        <v>0.046422</v>
      </c>
      <c r="AU33" s="972" t="n">
        <v>19.35627928987199</v>
      </c>
      <c r="AV33" s="531" t="n">
        <v>0.046422</v>
      </c>
      <c r="BA33" s="972">
        <f>V33/1000000</f>
        <v/>
      </c>
      <c r="BB33" s="972">
        <f>W33</f>
        <v/>
      </c>
      <c r="BC33" s="972">
        <f>X33/1000000</f>
        <v/>
      </c>
      <c r="BD33" s="972">
        <f>Y33</f>
        <v/>
      </c>
    </row>
    <row r="34" ht="15" customHeight="1" s="508">
      <c r="P34" s="972" t="inlineStr">
        <is>
          <t>Account Use Policies</t>
        </is>
      </c>
      <c r="Q34" s="972" t="n">
        <v>0</v>
      </c>
      <c r="S34" s="972" t="n"/>
      <c r="T34" s="972" t="n"/>
      <c r="U34" s="972" t="n"/>
      <c r="V34" s="972" t="n">
        <v>3225602.218081521</v>
      </c>
      <c r="W34" s="506" t="n">
        <v>0.046168</v>
      </c>
      <c r="X34" s="972" t="n">
        <v>3219148.949156763</v>
      </c>
      <c r="Y34" s="506" t="n">
        <v>0.046168</v>
      </c>
      <c r="AA34" s="972" t="n">
        <v>3229107.11334129</v>
      </c>
      <c r="AB34" s="506" t="n">
        <v>0.028784</v>
      </c>
      <c r="AC34" s="972" t="n">
        <v>1600193.172652469</v>
      </c>
      <c r="AD34" s="506" t="n">
        <v>0.00638</v>
      </c>
      <c r="AE34" s="972" t="n">
        <v>4065439.527810598</v>
      </c>
      <c r="AF34" s="506" t="n">
        <v>0.004452</v>
      </c>
      <c r="AG34" s="972" t="n">
        <v>7618818.161610804</v>
      </c>
      <c r="AH34" s="506" t="n">
        <v>0.002122</v>
      </c>
      <c r="AI34" s="972" t="n">
        <v>20900537.67000234</v>
      </c>
      <c r="AJ34" s="506" t="n">
        <v>0.005122</v>
      </c>
      <c r="AL34" s="972" t="n">
        <v>3208408.033155674</v>
      </c>
      <c r="AM34" s="506" t="n">
        <v>0.011586</v>
      </c>
      <c r="AN34" s="972" t="n">
        <v>3192338.35741692</v>
      </c>
      <c r="AO34" s="506" t="n">
        <v>0.029848</v>
      </c>
      <c r="AP34" s="972" t="n">
        <v>3170118.66471848</v>
      </c>
      <c r="AQ34" s="506" t="n">
        <v>0.005338</v>
      </c>
      <c r="AS34" s="972" t="n">
        <v>20.04148575058426</v>
      </c>
      <c r="AT34" s="531" t="n">
        <v>0.046168</v>
      </c>
      <c r="AU34" s="972" t="n">
        <v>20.04148575058426</v>
      </c>
      <c r="AV34" s="531" t="n">
        <v>0.046168</v>
      </c>
      <c r="BA34" s="972">
        <f>V34/1000000</f>
        <v/>
      </c>
      <c r="BB34" s="972">
        <f>W34</f>
        <v/>
      </c>
      <c r="BC34" s="972">
        <f>X34/1000000</f>
        <v/>
      </c>
      <c r="BD34" s="972">
        <f>Y34</f>
        <v/>
      </c>
    </row>
    <row r="35" ht="15" customHeight="1" s="508">
      <c r="P35" s="972" t="inlineStr">
        <is>
          <t>Active Directory Configuration</t>
        </is>
      </c>
      <c r="Q35" s="972" t="n">
        <v>0</v>
      </c>
      <c r="S35" s="972" t="n"/>
      <c r="T35" s="972" t="n"/>
      <c r="U35" s="972" t="n"/>
      <c r="V35" s="972" t="n">
        <v>3358985.358469502</v>
      </c>
      <c r="W35" s="506" t="n">
        <v>0.045916</v>
      </c>
      <c r="X35" s="972" t="n">
        <v>3357504.914374055</v>
      </c>
      <c r="Y35" s="506" t="n">
        <v>0.045916</v>
      </c>
      <c r="AA35" s="972" t="n">
        <v>3358079.820164121</v>
      </c>
      <c r="AB35" s="506" t="n">
        <v>0.028626</v>
      </c>
      <c r="AC35" s="972" t="n">
        <v>1659143.449742805</v>
      </c>
      <c r="AD35" s="506" t="n">
        <v>0.006344</v>
      </c>
      <c r="AE35" s="972" t="n">
        <v>4273406.673372564</v>
      </c>
      <c r="AF35" s="506" t="n">
        <v>0.004428</v>
      </c>
      <c r="AG35" s="972" t="n">
        <v>7891548.134261427</v>
      </c>
      <c r="AH35" s="506" t="n">
        <v>0.00211</v>
      </c>
      <c r="AI35" s="972" t="n">
        <v>21290881.81247705</v>
      </c>
      <c r="AJ35" s="506" t="n">
        <v>0.005094</v>
      </c>
      <c r="AL35" s="972" t="n">
        <v>3315259.406800554</v>
      </c>
      <c r="AM35" s="506" t="n">
        <v>0.011522</v>
      </c>
      <c r="AN35" s="972" t="n">
        <v>3346931.503211506</v>
      </c>
      <c r="AO35" s="506" t="n">
        <v>0.029684</v>
      </c>
      <c r="AP35" s="972" t="n">
        <v>3320958.077123509</v>
      </c>
      <c r="AQ35" s="506" t="n">
        <v>0.00531</v>
      </c>
      <c r="AS35" s="972" t="n">
        <v>20.63858309780865</v>
      </c>
      <c r="AT35" s="531" t="n">
        <v>0.045916</v>
      </c>
      <c r="AU35" s="972" t="n">
        <v>20.61989369917488</v>
      </c>
      <c r="AV35" s="531" t="n">
        <v>0.045916</v>
      </c>
      <c r="BA35" s="972">
        <f>V35/1000000</f>
        <v/>
      </c>
      <c r="BB35" s="972">
        <f>W35</f>
        <v/>
      </c>
      <c r="BC35" s="972">
        <f>X35/1000000</f>
        <v/>
      </c>
      <c r="BD35" s="972">
        <f>Y35</f>
        <v/>
      </c>
    </row>
    <row r="36" ht="15" customHeight="1" s="508">
      <c r="P36" s="972" t="inlineStr">
        <is>
          <t>Antivirus/Antimalware</t>
        </is>
      </c>
      <c r="Q36" s="972" t="n">
        <v>0</v>
      </c>
      <c r="S36" s="972" t="n"/>
      <c r="T36" s="972" t="n"/>
      <c r="U36" s="972" t="n"/>
      <c r="V36" s="972" t="n">
        <v>3471427.227173482</v>
      </c>
      <c r="W36" s="506" t="n">
        <v>0.045662</v>
      </c>
      <c r="X36" s="972" t="n">
        <v>3468059.228297226</v>
      </c>
      <c r="Y36" s="506" t="n">
        <v>0.045662</v>
      </c>
      <c r="AA36" s="972" t="n">
        <v>3456340.853103431</v>
      </c>
      <c r="AB36" s="506" t="n">
        <v>0.028468</v>
      </c>
      <c r="AC36" s="972" t="n">
        <v>1752822.680389019</v>
      </c>
      <c r="AD36" s="506" t="n">
        <v>0.00631</v>
      </c>
      <c r="AE36" s="972" t="n">
        <v>4421030.601316602</v>
      </c>
      <c r="AF36" s="506" t="n">
        <v>0.004402</v>
      </c>
      <c r="AG36" s="972" t="n">
        <v>8087732.659055352</v>
      </c>
      <c r="AH36" s="506" t="n">
        <v>0.002098</v>
      </c>
      <c r="AI36" s="972" t="n">
        <v>21882680.67728623</v>
      </c>
      <c r="AJ36" s="506" t="n">
        <v>0.005066</v>
      </c>
      <c r="AL36" s="972" t="n">
        <v>3412399.868815216</v>
      </c>
      <c r="AM36" s="506" t="n">
        <v>0.011458</v>
      </c>
      <c r="AN36" s="972" t="n">
        <v>3453220.442257824</v>
      </c>
      <c r="AO36" s="506" t="n">
        <v>0.02952</v>
      </c>
      <c r="AP36" s="972" t="n">
        <v>3436671.511739802</v>
      </c>
      <c r="AQ36" s="506" t="n">
        <v>0.00528</v>
      </c>
      <c r="AS36" s="972" t="n">
        <v>21.27971280438687</v>
      </c>
      <c r="AT36" s="531" t="n">
        <v>0.045662</v>
      </c>
      <c r="AU36" s="972" t="n">
        <v>21.27083428478015</v>
      </c>
      <c r="AV36" s="531" t="n">
        <v>0.045662</v>
      </c>
      <c r="BA36" s="972">
        <f>V36/1000000</f>
        <v/>
      </c>
      <c r="BB36" s="972">
        <f>W36</f>
        <v/>
      </c>
      <c r="BC36" s="972">
        <f>X36/1000000</f>
        <v/>
      </c>
      <c r="BD36" s="972">
        <f>Y36</f>
        <v/>
      </c>
    </row>
    <row r="37" ht="15" customHeight="1" s="508">
      <c r="P37" s="972" t="inlineStr">
        <is>
          <t>Application Developer Guidance</t>
        </is>
      </c>
      <c r="Q37" s="972" t="n">
        <v>0</v>
      </c>
      <c r="S37" s="972" t="n"/>
      <c r="T37" s="972" t="n"/>
      <c r="U37" s="972" t="n"/>
      <c r="V37" s="972" t="n">
        <v>3598341.596159067</v>
      </c>
      <c r="W37" s="506" t="n">
        <v>0.045408</v>
      </c>
      <c r="X37" s="972" t="n">
        <v>3595661.308337133</v>
      </c>
      <c r="Y37" s="506" t="n">
        <v>0.045408</v>
      </c>
      <c r="AA37" s="972" t="n">
        <v>3574848.410673309</v>
      </c>
      <c r="AB37" s="506" t="n">
        <v>0.02831</v>
      </c>
      <c r="AC37" s="972" t="n">
        <v>1790540.486578124</v>
      </c>
      <c r="AD37" s="506" t="n">
        <v>0.006274</v>
      </c>
      <c r="AE37" s="972" t="n">
        <v>4571987.6224446</v>
      </c>
      <c r="AF37" s="506" t="n">
        <v>0.004378</v>
      </c>
      <c r="AG37" s="972" t="n">
        <v>8394019.504226089</v>
      </c>
      <c r="AH37" s="506" t="n">
        <v>0.002086</v>
      </c>
      <c r="AI37" s="972" t="n">
        <v>22312603.12472836</v>
      </c>
      <c r="AJ37" s="506" t="n">
        <v>0.005038</v>
      </c>
      <c r="AL37" s="972" t="n">
        <v>3571595.071396504</v>
      </c>
      <c r="AM37" s="506" t="n">
        <v>0.011394</v>
      </c>
      <c r="AN37" s="972" t="n">
        <v>3568029.549369591</v>
      </c>
      <c r="AO37" s="506" t="n">
        <v>0.029356</v>
      </c>
      <c r="AP37" s="972" t="n">
        <v>3594293.79565781</v>
      </c>
      <c r="AQ37" s="506" t="n">
        <v>0.00525</v>
      </c>
      <c r="AS37" s="972" t="n">
        <v>21.93899752214247</v>
      </c>
      <c r="AT37" s="531" t="n">
        <v>0.045408</v>
      </c>
      <c r="AU37" s="972" t="n">
        <v>21.93695608218492</v>
      </c>
      <c r="AV37" s="531" t="n">
        <v>0.045408</v>
      </c>
      <c r="BA37" s="972">
        <f>V37/1000000</f>
        <v/>
      </c>
      <c r="BB37" s="972">
        <f>W37</f>
        <v/>
      </c>
      <c r="BC37" s="972">
        <f>X37/1000000</f>
        <v/>
      </c>
      <c r="BD37" s="972">
        <f>Y37</f>
        <v/>
      </c>
    </row>
    <row r="38" ht="15" customHeight="1" s="508">
      <c r="P38" s="972" t="inlineStr">
        <is>
          <t>Application Isolation and Sandboxing</t>
        </is>
      </c>
      <c r="Q38" s="972" t="n">
        <v>0</v>
      </c>
      <c r="S38" s="972" t="n"/>
      <c r="T38" s="972" t="n"/>
      <c r="U38" s="972" t="n"/>
      <c r="V38" s="972" t="n">
        <v>3718956.048031273</v>
      </c>
      <c r="W38" s="506" t="n">
        <v>0.045154</v>
      </c>
      <c r="X38" s="972" t="n">
        <v>3718291.975094364</v>
      </c>
      <c r="Y38" s="506" t="n">
        <v>0.045154</v>
      </c>
      <c r="AA38" s="972" t="n">
        <v>3684808.554473603</v>
      </c>
      <c r="AB38" s="506" t="n">
        <v>0.028152</v>
      </c>
      <c r="AC38" s="972" t="n">
        <v>1851645.369165327</v>
      </c>
      <c r="AD38" s="506" t="n">
        <v>0.00624</v>
      </c>
      <c r="AE38" s="972" t="n">
        <v>4701640.753117682</v>
      </c>
      <c r="AF38" s="506" t="n">
        <v>0.004354</v>
      </c>
      <c r="AG38" s="972" t="n">
        <v>8594924.6783082</v>
      </c>
      <c r="AH38" s="506" t="n">
        <v>0.002074</v>
      </c>
      <c r="AI38" s="972" t="n">
        <v>22840960.51836377</v>
      </c>
      <c r="AJ38" s="506" t="n">
        <v>0.00501</v>
      </c>
      <c r="AL38" s="972" t="n">
        <v>3679566.704933831</v>
      </c>
      <c r="AM38" s="506" t="n">
        <v>0.01133</v>
      </c>
      <c r="AN38" s="972" t="n">
        <v>3687875.098410797</v>
      </c>
      <c r="AO38" s="506" t="n">
        <v>0.029192</v>
      </c>
      <c r="AP38" s="972" t="n">
        <v>3725313.279110884</v>
      </c>
      <c r="AQ38" s="506" t="n">
        <v>0.005222</v>
      </c>
      <c r="AS38" s="972" t="n">
        <v>22.49946019648349</v>
      </c>
      <c r="AT38" s="531" t="n">
        <v>0.045154</v>
      </c>
      <c r="AU38" s="972" t="n">
        <v>22.49128586105567</v>
      </c>
      <c r="AV38" s="531" t="n">
        <v>0.045154</v>
      </c>
      <c r="BA38" s="972">
        <f>V38/1000000</f>
        <v/>
      </c>
      <c r="BB38" s="972">
        <f>W38</f>
        <v/>
      </c>
      <c r="BC38" s="972">
        <f>X38/1000000</f>
        <v/>
      </c>
      <c r="BD38" s="972">
        <f>Y38</f>
        <v/>
      </c>
    </row>
    <row r="39" ht="15" customHeight="1" s="508">
      <c r="P39" s="972" t="inlineStr">
        <is>
          <t>Audit</t>
        </is>
      </c>
      <c r="Q39" s="972" t="n">
        <v>0</v>
      </c>
      <c r="S39" s="972" t="n"/>
      <c r="T39" s="972" t="n"/>
      <c r="U39" s="972" t="n"/>
      <c r="V39" s="972" t="n">
        <v>3838804.859739697</v>
      </c>
      <c r="W39" s="506" t="n">
        <v>0.0449</v>
      </c>
      <c r="X39" s="972" t="n">
        <v>3834016.16367179</v>
      </c>
      <c r="Y39" s="506" t="n">
        <v>0.0449</v>
      </c>
      <c r="AA39" s="972" t="n">
        <v>3783439.535480027</v>
      </c>
      <c r="AB39" s="506" t="n">
        <v>0.027994</v>
      </c>
      <c r="AC39" s="972" t="n">
        <v>1911958.326270046</v>
      </c>
      <c r="AD39" s="506" t="n">
        <v>0.006204</v>
      </c>
      <c r="AE39" s="972" t="n">
        <v>4863507.226617835</v>
      </c>
      <c r="AF39" s="506" t="n">
        <v>0.00433</v>
      </c>
      <c r="AG39" s="972" t="n">
        <v>8723954.423461573</v>
      </c>
      <c r="AH39" s="506" t="n">
        <v>0.002062</v>
      </c>
      <c r="AI39" s="972" t="n">
        <v>23276565.849604</v>
      </c>
      <c r="AJ39" s="506" t="n">
        <v>0.004982</v>
      </c>
      <c r="AL39" s="972" t="n">
        <v>3798377.831943675</v>
      </c>
      <c r="AM39" s="506" t="n">
        <v>0.011266</v>
      </c>
      <c r="AN39" s="972" t="n">
        <v>3805033.225595315</v>
      </c>
      <c r="AO39" s="506" t="n">
        <v>0.029028</v>
      </c>
      <c r="AP39" s="972" t="n">
        <v>3857144.485946318</v>
      </c>
      <c r="AQ39" s="506" t="n">
        <v>0.005192</v>
      </c>
      <c r="AS39" s="972" t="n">
        <v>23.08447211577577</v>
      </c>
      <c r="AT39" s="531" t="n">
        <v>0.0449</v>
      </c>
      <c r="AU39" s="972" t="n">
        <v>23.07639565881881</v>
      </c>
      <c r="AV39" s="531" t="n">
        <v>0.0449</v>
      </c>
      <c r="BA39" s="972">
        <f>V39/1000000</f>
        <v/>
      </c>
      <c r="BB39" s="972">
        <f>W39</f>
        <v/>
      </c>
      <c r="BC39" s="972">
        <f>X39/1000000</f>
        <v/>
      </c>
      <c r="BD39" s="972">
        <f>Y39</f>
        <v/>
      </c>
    </row>
    <row r="40" ht="15" customHeight="1" s="508">
      <c r="P40" s="972" t="inlineStr">
        <is>
          <t>Authorization Enforcement</t>
        </is>
      </c>
      <c r="Q40" s="972" t="n">
        <v>0</v>
      </c>
      <c r="S40" s="972" t="n"/>
      <c r="T40" s="972" t="n"/>
      <c r="U40" s="972" t="n"/>
      <c r="V40" s="972" t="n">
        <v>3982807.306275212</v>
      </c>
      <c r="W40" s="506" t="n">
        <v>0.044646</v>
      </c>
      <c r="X40" s="972" t="n">
        <v>3976583.190445648</v>
      </c>
      <c r="Y40" s="506" t="n">
        <v>0.044646</v>
      </c>
      <c r="AA40" s="972" t="n">
        <v>3889623.232502819</v>
      </c>
      <c r="AB40" s="506" t="n">
        <v>0.027836</v>
      </c>
      <c r="AC40" s="972" t="n">
        <v>1967730.08326204</v>
      </c>
      <c r="AD40" s="506" t="n">
        <v>0.00617</v>
      </c>
      <c r="AE40" s="972" t="n">
        <v>5093788.475833284</v>
      </c>
      <c r="AF40" s="506" t="n">
        <v>0.004304</v>
      </c>
      <c r="AG40" s="972" t="n">
        <v>9040520.504825443</v>
      </c>
      <c r="AH40" s="506" t="n">
        <v>0.002052</v>
      </c>
      <c r="AI40" s="972" t="n">
        <v>24046477.33862305</v>
      </c>
      <c r="AJ40" s="506" t="n">
        <v>0.004954</v>
      </c>
      <c r="AL40" s="972" t="n">
        <v>3929466.887256385</v>
      </c>
      <c r="AM40" s="506" t="n">
        <v>0.011204</v>
      </c>
      <c r="AN40" s="972" t="n">
        <v>3941732.599085175</v>
      </c>
      <c r="AO40" s="506" t="n">
        <v>0.028864</v>
      </c>
      <c r="AP40" s="972" t="n">
        <v>3985335.951959278</v>
      </c>
      <c r="AQ40" s="506" t="n">
        <v>0.005162</v>
      </c>
      <c r="AS40" s="972" t="n">
        <v>23.76230251862107</v>
      </c>
      <c r="AT40" s="531" t="n">
        <v>0.044646</v>
      </c>
      <c r="AU40" s="972" t="n">
        <v>23.74391410378924</v>
      </c>
      <c r="AV40" s="531" t="n">
        <v>0.044646</v>
      </c>
      <c r="BA40" s="972">
        <f>V40/1000000</f>
        <v/>
      </c>
      <c r="BB40" s="972">
        <f>W40</f>
        <v/>
      </c>
      <c r="BC40" s="972">
        <f>X40/1000000</f>
        <v/>
      </c>
      <c r="BD40" s="972">
        <f>Y40</f>
        <v/>
      </c>
    </row>
    <row r="41" ht="15" customHeight="1" s="508">
      <c r="P41" s="972" t="inlineStr">
        <is>
          <t>Boot Integrity</t>
        </is>
      </c>
      <c r="Q41" s="972" t="n">
        <v>0</v>
      </c>
      <c r="S41" s="972" t="n"/>
      <c r="T41" s="972" t="n"/>
      <c r="U41" s="972" t="n"/>
      <c r="V41" s="972" t="n">
        <v>4094353.922945202</v>
      </c>
      <c r="W41" s="506" t="n">
        <v>0.044394</v>
      </c>
      <c r="X41" s="972" t="n">
        <v>4080954.53521925</v>
      </c>
      <c r="Y41" s="506" t="n">
        <v>0.044394</v>
      </c>
      <c r="AA41" s="972" t="n">
        <v>4012500.334272656</v>
      </c>
      <c r="AB41" s="506" t="n">
        <v>0.027678</v>
      </c>
      <c r="AC41" s="972" t="n">
        <v>2030783.011824379</v>
      </c>
      <c r="AD41" s="506" t="n">
        <v>0.006134</v>
      </c>
      <c r="AE41" s="972" t="n">
        <v>5303836.235829228</v>
      </c>
      <c r="AF41" s="506" t="n">
        <v>0.00428</v>
      </c>
      <c r="AG41" s="972" t="n">
        <v>9226916.03434656</v>
      </c>
      <c r="AH41" s="506" t="n">
        <v>0.00204</v>
      </c>
      <c r="AI41" s="972" t="n">
        <v>24544423.46679511</v>
      </c>
      <c r="AJ41" s="506" t="n">
        <v>0.004926</v>
      </c>
      <c r="AL41" s="972" t="n">
        <v>4057885.875887117</v>
      </c>
      <c r="AM41" s="506" t="n">
        <v>0.01114</v>
      </c>
      <c r="AN41" s="972" t="n">
        <v>4062383.531851257</v>
      </c>
      <c r="AO41" s="506" t="n">
        <v>0.0287</v>
      </c>
      <c r="AP41" s="972" t="n">
        <v>4095157.966436185</v>
      </c>
      <c r="AQ41" s="506" t="n">
        <v>0.005134</v>
      </c>
      <c r="AS41" s="972" t="n">
        <v>24.45726840540995</v>
      </c>
      <c r="AT41" s="531" t="n">
        <v>0.044394</v>
      </c>
      <c r="AU41" s="972" t="n">
        <v>24.40255026655327</v>
      </c>
      <c r="AV41" s="531" t="n">
        <v>0.044394</v>
      </c>
      <c r="BA41" s="972">
        <f>V41/1000000</f>
        <v/>
      </c>
      <c r="BB41" s="972">
        <f>W41</f>
        <v/>
      </c>
      <c r="BC41" s="972">
        <f>X41/1000000</f>
        <v/>
      </c>
      <c r="BD41" s="972">
        <f>Y41</f>
        <v/>
      </c>
    </row>
    <row r="42" ht="15" customHeight="1" s="508">
      <c r="P42" s="972" t="inlineStr">
        <is>
          <t>Code Signing</t>
        </is>
      </c>
      <c r="Q42" s="972" t="n">
        <v>0</v>
      </c>
      <c r="S42" s="972" t="n"/>
      <c r="T42" s="972" t="n"/>
      <c r="U42" s="972" t="n"/>
      <c r="V42" s="972" t="n">
        <v>4208501.547292056</v>
      </c>
      <c r="W42" s="506" t="n">
        <v>0.04414</v>
      </c>
      <c r="X42" s="972" t="n">
        <v>4201188.109384304</v>
      </c>
      <c r="Y42" s="506" t="n">
        <v>0.04414</v>
      </c>
      <c r="AA42" s="972" t="n">
        <v>4105285.446141881</v>
      </c>
      <c r="AB42" s="506" t="n">
        <v>0.02752</v>
      </c>
      <c r="AC42" s="972" t="n">
        <v>2102284.651054687</v>
      </c>
      <c r="AD42" s="506" t="n">
        <v>0.0061</v>
      </c>
      <c r="AE42" s="972" t="n">
        <v>5476215.607243249</v>
      </c>
      <c r="AF42" s="506" t="n">
        <v>0.004256</v>
      </c>
      <c r="AG42" s="972" t="n">
        <v>9389182.712592654</v>
      </c>
      <c r="AH42" s="506" t="n">
        <v>0.002028</v>
      </c>
      <c r="AI42" s="972" t="n">
        <v>24678350.38726653</v>
      </c>
      <c r="AJ42" s="506" t="n">
        <v>0.004898</v>
      </c>
      <c r="AL42" s="972" t="n">
        <v>4146010.010794217</v>
      </c>
      <c r="AM42" s="506" t="n">
        <v>0.011076</v>
      </c>
      <c r="AN42" s="972" t="n">
        <v>4169089.611111562</v>
      </c>
      <c r="AO42" s="506" t="n">
        <v>0.028536</v>
      </c>
      <c r="AP42" s="972" t="n">
        <v>4212039.464271473</v>
      </c>
      <c r="AQ42" s="506" t="n">
        <v>0.005104</v>
      </c>
      <c r="AS42" s="972" t="n">
        <v>25.13861035664816</v>
      </c>
      <c r="AT42" s="531" t="n">
        <v>0.04414</v>
      </c>
      <c r="AU42" s="972" t="n">
        <v>25.09258161442144</v>
      </c>
      <c r="AV42" s="531" t="n">
        <v>0.04414</v>
      </c>
      <c r="BA42" s="972">
        <f>V42/1000000</f>
        <v/>
      </c>
      <c r="BB42" s="972">
        <f>W42</f>
        <v/>
      </c>
      <c r="BC42" s="972">
        <f>X42/1000000</f>
        <v/>
      </c>
      <c r="BD42" s="972">
        <f>Y42</f>
        <v/>
      </c>
    </row>
    <row r="43" ht="15" customHeight="1" s="508">
      <c r="S43" s="972" t="n"/>
      <c r="T43" s="972" t="n"/>
      <c r="U43" s="972" t="n"/>
      <c r="V43" s="972" t="n">
        <v>4350114.791938034</v>
      </c>
      <c r="W43" s="506" t="n">
        <v>0.043886</v>
      </c>
      <c r="X43" s="972" t="n">
        <v>4340261.869711516</v>
      </c>
      <c r="Y43" s="506" t="n">
        <v>0.043886</v>
      </c>
      <c r="AA43" s="972" t="n">
        <v>4232404.079392243</v>
      </c>
      <c r="AB43" s="506" t="n">
        <v>0.027362</v>
      </c>
      <c r="AC43" s="972" t="n">
        <v>2196875.127284903</v>
      </c>
      <c r="AD43" s="506" t="n">
        <v>0.006064</v>
      </c>
      <c r="AE43" s="972" t="n">
        <v>5579577.520825696</v>
      </c>
      <c r="AF43" s="506" t="n">
        <v>0.004232</v>
      </c>
      <c r="AG43" s="972" t="n">
        <v>9557727.631028565</v>
      </c>
      <c r="AH43" s="506" t="n">
        <v>0.002016</v>
      </c>
      <c r="AI43" s="972" t="n">
        <v>25168528.50348617</v>
      </c>
      <c r="AJ43" s="506" t="n">
        <v>0.00487</v>
      </c>
      <c r="AL43" s="972" t="n">
        <v>4277024.360793717</v>
      </c>
      <c r="AM43" s="506" t="n">
        <v>0.011012</v>
      </c>
      <c r="AN43" s="972" t="n">
        <v>4311732.707640299</v>
      </c>
      <c r="AO43" s="506" t="n">
        <v>0.028372</v>
      </c>
      <c r="AP43" s="972" t="n">
        <v>4373261.790057853</v>
      </c>
      <c r="AQ43" s="506" t="n">
        <v>0.005074</v>
      </c>
      <c r="AS43" s="972" t="n">
        <v>25.80082751921696</v>
      </c>
      <c r="AT43" s="531" t="n">
        <v>0.043886</v>
      </c>
      <c r="AU43" s="972" t="n">
        <v>25.76360200393724</v>
      </c>
      <c r="AV43" s="531" t="n">
        <v>0.043886</v>
      </c>
      <c r="BA43" s="972">
        <f>V43/1000000</f>
        <v/>
      </c>
      <c r="BB43" s="972">
        <f>W43</f>
        <v/>
      </c>
      <c r="BC43" s="972">
        <f>X43/1000000</f>
        <v/>
      </c>
      <c r="BD43" s="972">
        <f>Y43</f>
        <v/>
      </c>
    </row>
    <row r="44" ht="15" customHeight="1" s="508">
      <c r="S44" s="972" t="n"/>
      <c r="T44" s="972" t="n"/>
      <c r="U44" s="972" t="n"/>
      <c r="V44" s="972" t="n">
        <v>4473710.524435317</v>
      </c>
      <c r="W44" s="506" t="n">
        <v>0.043632</v>
      </c>
      <c r="X44" s="972" t="n">
        <v>4459676.390695742</v>
      </c>
      <c r="Y44" s="506" t="n">
        <v>0.043632</v>
      </c>
      <c r="AA44" s="972" t="n">
        <v>4345266.917888224</v>
      </c>
      <c r="AB44" s="506" t="n">
        <v>0.027204</v>
      </c>
      <c r="AC44" s="972" t="n">
        <v>2258609.073139331</v>
      </c>
      <c r="AD44" s="506" t="n">
        <v>0.00603</v>
      </c>
      <c r="AE44" s="972" t="n">
        <v>5693605.18973495</v>
      </c>
      <c r="AF44" s="506" t="n">
        <v>0.004208</v>
      </c>
      <c r="AG44" s="972" t="n">
        <v>9778890.766690696</v>
      </c>
      <c r="AH44" s="506" t="n">
        <v>0.002004</v>
      </c>
      <c r="AI44" s="972" t="n">
        <v>25486563.89987274</v>
      </c>
      <c r="AJ44" s="506" t="n">
        <v>0.004842</v>
      </c>
      <c r="AL44" s="972" t="n">
        <v>4421798.68949026</v>
      </c>
      <c r="AM44" s="506" t="n">
        <v>0.010948</v>
      </c>
      <c r="AN44" s="972" t="n">
        <v>4421030.601316602</v>
      </c>
      <c r="AO44" s="506" t="n">
        <v>0.028208</v>
      </c>
      <c r="AP44" s="972" t="n">
        <v>4459676.390695742</v>
      </c>
      <c r="AQ44" s="506" t="n">
        <v>0.005046</v>
      </c>
      <c r="AS44" s="972" t="n">
        <v>26.3899010169492</v>
      </c>
      <c r="AT44" s="531" t="n">
        <v>0.043632</v>
      </c>
      <c r="AU44" s="972" t="n">
        <v>26.33220597593273</v>
      </c>
      <c r="AV44" s="531" t="n">
        <v>0.043632</v>
      </c>
      <c r="BA44" s="972">
        <f>V44/1000000</f>
        <v/>
      </c>
      <c r="BB44" s="972">
        <f>W44</f>
        <v/>
      </c>
      <c r="BC44" s="972">
        <f>X44/1000000</f>
        <v/>
      </c>
      <c r="BD44" s="972">
        <f>Y44</f>
        <v/>
      </c>
    </row>
    <row r="45" ht="15" customHeight="1" s="508">
      <c r="S45" s="972" t="n"/>
      <c r="T45" s="972" t="n"/>
      <c r="U45" s="972" t="n"/>
      <c r="V45" s="972" t="n">
        <v>4589812.203518588</v>
      </c>
      <c r="W45" s="506" t="n">
        <v>0.043378</v>
      </c>
      <c r="X45" s="972" t="n">
        <v>4579888.186942126</v>
      </c>
      <c r="Y45" s="506" t="n">
        <v>0.043378</v>
      </c>
      <c r="AA45" s="972" t="n">
        <v>4449731.205237703</v>
      </c>
      <c r="AB45" s="506" t="n">
        <v>0.027046</v>
      </c>
      <c r="AC45" s="972" t="n">
        <v>2316962.989748172</v>
      </c>
      <c r="AD45" s="506" t="n">
        <v>0.005994</v>
      </c>
      <c r="AE45" s="972" t="n">
        <v>5963955.813284343</v>
      </c>
      <c r="AF45" s="506" t="n">
        <v>0.004182</v>
      </c>
      <c r="AG45" s="972" t="n">
        <v>10127463.00657478</v>
      </c>
      <c r="AH45" s="506" t="n">
        <v>0.001994</v>
      </c>
      <c r="AI45" s="972" t="n">
        <v>25910863.42510045</v>
      </c>
      <c r="AJ45" s="506" t="n">
        <v>0.004814</v>
      </c>
      <c r="AL45" s="972" t="n">
        <v>4572378.03473566</v>
      </c>
      <c r="AM45" s="506" t="n">
        <v>0.010886</v>
      </c>
      <c r="AN45" s="972" t="n">
        <v>4540872.203990333</v>
      </c>
      <c r="AO45" s="506" t="n">
        <v>0.028044</v>
      </c>
      <c r="AP45" s="972" t="n">
        <v>4601729.603762529</v>
      </c>
      <c r="AQ45" s="506" t="n">
        <v>0.005016</v>
      </c>
      <c r="AS45" s="972" t="n">
        <v>26.97507277358373</v>
      </c>
      <c r="AT45" s="531" t="n">
        <v>0.043378</v>
      </c>
      <c r="AU45" s="972" t="n">
        <v>26.9168464262661</v>
      </c>
      <c r="AV45" s="531" t="n">
        <v>0.043378</v>
      </c>
      <c r="BA45" s="972">
        <f>V45/1000000</f>
        <v/>
      </c>
      <c r="BB45" s="972">
        <f>W45</f>
        <v/>
      </c>
      <c r="BC45" s="972">
        <f>X45/1000000</f>
        <v/>
      </c>
      <c r="BD45" s="972">
        <f>Y45</f>
        <v/>
      </c>
    </row>
    <row r="46" ht="15" customHeight="1" s="508">
      <c r="S46" s="972" t="n"/>
      <c r="T46" s="972" t="n"/>
      <c r="U46" s="972" t="n"/>
      <c r="V46" s="972" t="n">
        <v>4721121.493767402</v>
      </c>
      <c r="W46" s="506" t="n">
        <v>0.043124</v>
      </c>
      <c r="X46" s="972" t="n">
        <v>4701253.796456193</v>
      </c>
      <c r="Y46" s="506" t="n">
        <v>0.043124</v>
      </c>
      <c r="AA46" s="972" t="n">
        <v>4551896.453613066</v>
      </c>
      <c r="AB46" s="506" t="n">
        <v>0.026886</v>
      </c>
      <c r="AC46" s="972" t="n">
        <v>2406515.204103657</v>
      </c>
      <c r="AD46" s="506" t="n">
        <v>0.005958</v>
      </c>
      <c r="AE46" s="972" t="n">
        <v>6068680.223669211</v>
      </c>
      <c r="AF46" s="506" t="n">
        <v>0.004158</v>
      </c>
      <c r="AG46" s="972" t="n">
        <v>10321197.84786674</v>
      </c>
      <c r="AH46" s="506" t="n">
        <v>0.001982</v>
      </c>
      <c r="AI46" s="972" t="n">
        <v>26732119.30234915</v>
      </c>
      <c r="AJ46" s="506" t="n">
        <v>0.004786</v>
      </c>
      <c r="AL46" s="972" t="n">
        <v>4744022.720431666</v>
      </c>
      <c r="AM46" s="506" t="n">
        <v>0.010822</v>
      </c>
      <c r="AN46" s="972" t="n">
        <v>4643963.47181172</v>
      </c>
      <c r="AO46" s="506" t="n">
        <v>0.02788</v>
      </c>
      <c r="AP46" s="972" t="n">
        <v>4703535.015371854</v>
      </c>
      <c r="AQ46" s="506" t="n">
        <v>0.004986</v>
      </c>
      <c r="AS46" s="972" t="n">
        <v>27.57439477471555</v>
      </c>
      <c r="AT46" s="531" t="n">
        <v>0.043124</v>
      </c>
      <c r="AU46" s="972" t="n">
        <v>27.54597986938255</v>
      </c>
      <c r="AV46" s="531" t="n">
        <v>0.043124</v>
      </c>
      <c r="BA46" s="972">
        <f>V46/1000000</f>
        <v/>
      </c>
      <c r="BB46" s="972">
        <f>W46</f>
        <v/>
      </c>
      <c r="BC46" s="972">
        <f>X46/1000000</f>
        <v/>
      </c>
      <c r="BD46" s="972">
        <f>Y46</f>
        <v/>
      </c>
    </row>
    <row r="47" ht="15" customHeight="1" s="508">
      <c r="S47" s="972" t="n"/>
      <c r="T47" s="972" t="n"/>
      <c r="U47" s="972" t="n"/>
      <c r="V47" s="972" t="n">
        <v>4850676.779228983</v>
      </c>
      <c r="W47" s="506" t="n">
        <v>0.042872</v>
      </c>
      <c r="X47" s="972" t="n">
        <v>4837454.361667609</v>
      </c>
      <c r="Y47" s="506" t="n">
        <v>0.042872</v>
      </c>
      <c r="AA47" s="972" t="n">
        <v>4663160.726405679</v>
      </c>
      <c r="AB47" s="506" t="n">
        <v>0.026728</v>
      </c>
      <c r="AC47" s="972" t="n">
        <v>2493828.590306445</v>
      </c>
      <c r="AD47" s="506" t="n">
        <v>0.005924</v>
      </c>
      <c r="AE47" s="972" t="n">
        <v>6231933.240365446</v>
      </c>
      <c r="AF47" s="506" t="n">
        <v>0.004134</v>
      </c>
      <c r="AG47" s="972" t="n">
        <v>10393150.84233266</v>
      </c>
      <c r="AH47" s="506" t="n">
        <v>0.00197</v>
      </c>
      <c r="AI47" s="972" t="n">
        <v>27304175.42191422</v>
      </c>
      <c r="AJ47" s="506" t="n">
        <v>0.004758</v>
      </c>
      <c r="AL47" s="972" t="n">
        <v>4905139.586186677</v>
      </c>
      <c r="AM47" s="506" t="n">
        <v>0.010758</v>
      </c>
      <c r="AN47" s="972" t="n">
        <v>4764337.092609338</v>
      </c>
      <c r="AO47" s="506" t="n">
        <v>0.027716</v>
      </c>
      <c r="AP47" s="972" t="n">
        <v>4855341.639803601</v>
      </c>
      <c r="AQ47" s="506" t="n">
        <v>0.004958</v>
      </c>
      <c r="AS47" s="972" t="n">
        <v>28.17886522401493</v>
      </c>
      <c r="AT47" s="531" t="n">
        <v>0.042872</v>
      </c>
      <c r="AU47" s="972" t="n">
        <v>28.11294829435816</v>
      </c>
      <c r="AV47" s="531" t="n">
        <v>0.042872</v>
      </c>
      <c r="BA47" s="972">
        <f>V47/1000000</f>
        <v/>
      </c>
      <c r="BB47" s="972">
        <f>W47</f>
        <v/>
      </c>
      <c r="BC47" s="972">
        <f>X47/1000000</f>
        <v/>
      </c>
      <c r="BD47" s="972">
        <f>Y47</f>
        <v/>
      </c>
    </row>
    <row r="48" ht="15" customHeight="1" s="508">
      <c r="S48" s="972" t="n"/>
      <c r="T48" s="972" t="n"/>
      <c r="U48" s="972" t="n"/>
      <c r="V48" s="972" t="n">
        <v>4997814.035846451</v>
      </c>
      <c r="W48" s="506" t="n">
        <v>0.042618</v>
      </c>
      <c r="X48" s="972" t="n">
        <v>4977853.555002041</v>
      </c>
      <c r="Y48" s="506" t="n">
        <v>0.042618</v>
      </c>
      <c r="AA48" s="972" t="n">
        <v>4771804.122460291</v>
      </c>
      <c r="AB48" s="506" t="n">
        <v>0.02657</v>
      </c>
      <c r="AC48" s="972" t="n">
        <v>2548638.409220432</v>
      </c>
      <c r="AD48" s="506" t="n">
        <v>0.005888</v>
      </c>
      <c r="AE48" s="972" t="n">
        <v>6397397.265721695</v>
      </c>
      <c r="AF48" s="506" t="n">
        <v>0.00411</v>
      </c>
      <c r="AG48" s="972" t="n">
        <v>10774805.12043854</v>
      </c>
      <c r="AH48" s="506" t="n">
        <v>0.001958</v>
      </c>
      <c r="AI48" s="972" t="n">
        <v>27845829.11485321</v>
      </c>
      <c r="AJ48" s="506" t="n">
        <v>0.004728</v>
      </c>
      <c r="AL48" s="972" t="n">
        <v>5070112.138532478</v>
      </c>
      <c r="AM48" s="506" t="n">
        <v>0.010694</v>
      </c>
      <c r="AN48" s="972" t="n">
        <v>4891660.658028889</v>
      </c>
      <c r="AO48" s="506" t="n">
        <v>0.027552</v>
      </c>
      <c r="AP48" s="972" t="n">
        <v>4993580.521398777</v>
      </c>
      <c r="AQ48" s="506" t="n">
        <v>0.004928</v>
      </c>
      <c r="AS48" s="972" t="n">
        <v>28.84160949168703</v>
      </c>
      <c r="AT48" s="531" t="n">
        <v>0.042618</v>
      </c>
      <c r="AU48" s="972" t="n">
        <v>28.78124343926948</v>
      </c>
      <c r="AV48" s="531" t="n">
        <v>0.042618</v>
      </c>
      <c r="BA48" s="972">
        <f>V48/1000000</f>
        <v/>
      </c>
      <c r="BB48" s="972">
        <f>W48</f>
        <v/>
      </c>
      <c r="BC48" s="972">
        <f>X48/1000000</f>
        <v/>
      </c>
      <c r="BD48" s="972">
        <f>Y48</f>
        <v/>
      </c>
    </row>
    <row r="49" ht="15" customHeight="1" s="508">
      <c r="S49" s="972" t="n"/>
      <c r="T49" s="972" t="n"/>
      <c r="U49" s="972" t="n"/>
      <c r="V49" s="972" t="n">
        <v>5134409.995733118</v>
      </c>
      <c r="W49" s="506" t="n">
        <v>0.042364</v>
      </c>
      <c r="X49" s="972" t="n">
        <v>5119856.343161697</v>
      </c>
      <c r="Y49" s="506" t="n">
        <v>0.042364</v>
      </c>
      <c r="AA49" s="972" t="n">
        <v>4909789.39894462</v>
      </c>
      <c r="AB49" s="506" t="n">
        <v>0.026412</v>
      </c>
      <c r="AC49" s="972" t="n">
        <v>2607168.395080482</v>
      </c>
      <c r="AD49" s="506" t="n">
        <v>0.005854</v>
      </c>
      <c r="AE49" s="972" t="n">
        <v>6492854.788190497</v>
      </c>
      <c r="AF49" s="506" t="n">
        <v>0.004084</v>
      </c>
      <c r="AG49" s="972" t="n">
        <v>11054144.79251585</v>
      </c>
      <c r="AH49" s="506" t="n">
        <v>0.001946</v>
      </c>
      <c r="AI49" s="972" t="n">
        <v>28226552.00528193</v>
      </c>
      <c r="AJ49" s="506" t="n">
        <v>0.0047</v>
      </c>
      <c r="AL49" s="972" t="n">
        <v>5195802.204264259</v>
      </c>
      <c r="AM49" s="506" t="n">
        <v>0.01063</v>
      </c>
      <c r="AN49" s="972" t="n">
        <v>5020013.195047154</v>
      </c>
      <c r="AO49" s="506" t="n">
        <v>0.027388</v>
      </c>
      <c r="AP49" s="972" t="n">
        <v>5134409.995733118</v>
      </c>
      <c r="AQ49" s="506" t="n">
        <v>0.004898</v>
      </c>
      <c r="AS49" s="972" t="n">
        <v>29.59713897051014</v>
      </c>
      <c r="AT49" s="531" t="n">
        <v>0.042364</v>
      </c>
      <c r="AU49" s="972" t="n">
        <v>29.52415574282099</v>
      </c>
      <c r="AV49" s="531" t="n">
        <v>0.042364</v>
      </c>
      <c r="BA49" s="972">
        <f>V49/1000000</f>
        <v/>
      </c>
      <c r="BB49" s="972">
        <f>W49</f>
        <v/>
      </c>
      <c r="BC49" s="972">
        <f>X49/1000000</f>
        <v/>
      </c>
      <c r="BD49" s="972">
        <f>Y49</f>
        <v/>
      </c>
    </row>
    <row r="50" ht="15" customHeight="1" s="508">
      <c r="S50" s="972" t="n"/>
      <c r="T50" s="972" t="n"/>
      <c r="U50" s="972" t="n"/>
      <c r="V50" s="972" t="n">
        <v>5255966.838372127</v>
      </c>
      <c r="W50" s="506" t="n">
        <v>0.04211</v>
      </c>
      <c r="X50" s="972" t="n">
        <v>5234522.474391166</v>
      </c>
      <c r="Y50" s="506" t="n">
        <v>0.04211</v>
      </c>
      <c r="AA50" s="972" t="n">
        <v>5034618.150071001</v>
      </c>
      <c r="AB50" s="506" t="n">
        <v>0.026254</v>
      </c>
      <c r="AC50" s="972" t="n">
        <v>2672495.775024343</v>
      </c>
      <c r="AD50" s="506" t="n">
        <v>0.005818</v>
      </c>
      <c r="AE50" s="972" t="n">
        <v>6654574.961627977</v>
      </c>
      <c r="AF50" s="506" t="n">
        <v>0.00406</v>
      </c>
      <c r="AG50" s="972" t="n">
        <v>11289867.15243052</v>
      </c>
      <c r="AH50" s="506" t="n">
        <v>0.001934</v>
      </c>
      <c r="AI50" s="972" t="n">
        <v>28576901.69477358</v>
      </c>
      <c r="AJ50" s="506" t="n">
        <v>0.004672</v>
      </c>
      <c r="AL50" s="972" t="n">
        <v>5365013.250549002</v>
      </c>
      <c r="AM50" s="506" t="n">
        <v>0.010566</v>
      </c>
      <c r="AN50" s="972" t="n">
        <v>5148533.990359269</v>
      </c>
      <c r="AO50" s="506" t="n">
        <v>0.027224</v>
      </c>
      <c r="AP50" s="972" t="n">
        <v>5265231.083384879</v>
      </c>
      <c r="AQ50" s="506" t="n">
        <v>0.00487</v>
      </c>
      <c r="AS50" s="972" t="n">
        <v>30.24238296515683</v>
      </c>
      <c r="AT50" s="531" t="n">
        <v>0.04211</v>
      </c>
      <c r="AU50" s="972" t="n">
        <v>30.18067978843339</v>
      </c>
      <c r="AV50" s="531" t="n">
        <v>0.04211</v>
      </c>
      <c r="BA50" s="972">
        <f>V50/1000000</f>
        <v/>
      </c>
      <c r="BB50" s="972">
        <f>W50</f>
        <v/>
      </c>
      <c r="BC50" s="972">
        <f>X50/1000000</f>
        <v/>
      </c>
      <c r="BD50" s="972">
        <f>Y50</f>
        <v/>
      </c>
    </row>
    <row r="51" ht="15" customHeight="1" s="508">
      <c r="S51" s="972" t="n"/>
      <c r="T51" s="972" t="n"/>
      <c r="U51" s="972" t="n"/>
      <c r="V51" s="972" t="n">
        <v>5390278.667097937</v>
      </c>
      <c r="W51" s="506" t="n">
        <v>0.041856</v>
      </c>
      <c r="X51" s="972" t="n">
        <v>5374675.924425658</v>
      </c>
      <c r="Y51" s="506" t="n">
        <v>0.041856</v>
      </c>
      <c r="AA51" s="972" t="n">
        <v>5139897.021744913</v>
      </c>
      <c r="AB51" s="506" t="n">
        <v>0.026096</v>
      </c>
      <c r="AC51" s="972" t="n">
        <v>2752428.741533727</v>
      </c>
      <c r="AD51" s="506" t="n">
        <v>0.005784</v>
      </c>
      <c r="AE51" s="972" t="n">
        <v>6779500.204392875</v>
      </c>
      <c r="AF51" s="506" t="n">
        <v>0.004036</v>
      </c>
      <c r="AG51" s="972" t="n">
        <v>11487142.88257752</v>
      </c>
      <c r="AH51" s="506" t="n">
        <v>0.001924</v>
      </c>
      <c r="AI51" s="972" t="n">
        <v>28973331.87058313</v>
      </c>
      <c r="AJ51" s="506" t="n">
        <v>0.004644</v>
      </c>
      <c r="AL51" s="972" t="n">
        <v>5501379.717502361</v>
      </c>
      <c r="AM51" s="506" t="n">
        <v>0.010504</v>
      </c>
      <c r="AN51" s="972" t="n">
        <v>5266708.562129936</v>
      </c>
      <c r="AO51" s="506" t="n">
        <v>0.02706</v>
      </c>
      <c r="AP51" s="972" t="n">
        <v>5413501.257702302</v>
      </c>
      <c r="AQ51" s="506" t="n">
        <v>0.00484</v>
      </c>
      <c r="AS51" s="972" t="n">
        <v>30.77611107580764</v>
      </c>
      <c r="AT51" s="531" t="n">
        <v>0.041856</v>
      </c>
      <c r="AU51" s="972" t="n">
        <v>30.68831368479062</v>
      </c>
      <c r="AV51" s="531" t="n">
        <v>0.041856</v>
      </c>
      <c r="BA51" s="972">
        <f>V51/1000000</f>
        <v/>
      </c>
      <c r="BB51" s="972">
        <f>W51</f>
        <v/>
      </c>
      <c r="BC51" s="972">
        <f>X51/1000000</f>
        <v/>
      </c>
      <c r="BD51" s="972">
        <f>Y51</f>
        <v/>
      </c>
    </row>
    <row r="52" ht="15" customHeight="1" s="508">
      <c r="S52" s="972" t="n"/>
      <c r="T52" s="972" t="n"/>
      <c r="U52" s="972" t="n"/>
      <c r="V52" s="972" t="n">
        <v>5531450.625549668</v>
      </c>
      <c r="W52" s="506" t="n">
        <v>0.041602</v>
      </c>
      <c r="X52" s="972" t="n">
        <v>5517198.736362138</v>
      </c>
      <c r="Y52" s="506" t="n">
        <v>0.041602</v>
      </c>
      <c r="AA52" s="972" t="n">
        <v>5254349.002691841</v>
      </c>
      <c r="AB52" s="506" t="n">
        <v>0.025938</v>
      </c>
      <c r="AC52" s="972" t="n">
        <v>2808821.807567102</v>
      </c>
      <c r="AD52" s="506" t="n">
        <v>0.005748</v>
      </c>
      <c r="AE52" s="972" t="n">
        <v>6927985.396807935</v>
      </c>
      <c r="AF52" s="506" t="n">
        <v>0.004012</v>
      </c>
      <c r="AG52" s="972" t="n">
        <v>11689294.99367079</v>
      </c>
      <c r="AH52" s="506" t="n">
        <v>0.001912</v>
      </c>
      <c r="AI52" s="972" t="n">
        <v>29450753.25987281</v>
      </c>
      <c r="AJ52" s="506" t="n">
        <v>0.004616</v>
      </c>
      <c r="AL52" s="972" t="n">
        <v>5608206.905677529</v>
      </c>
      <c r="AM52" s="506" t="n">
        <v>0.01044</v>
      </c>
      <c r="AN52" s="972" t="n">
        <v>5392231.603462107</v>
      </c>
      <c r="AO52" s="506" t="n">
        <v>0.026896</v>
      </c>
      <c r="AP52" s="972" t="n">
        <v>5571189.982016164</v>
      </c>
      <c r="AQ52" s="506" t="n">
        <v>0.00481</v>
      </c>
      <c r="AS52" s="972" t="n">
        <v>31.39567335010704</v>
      </c>
      <c r="AT52" s="531" t="n">
        <v>0.041602</v>
      </c>
      <c r="AU52" s="972" t="n">
        <v>31.2820694675777</v>
      </c>
      <c r="AV52" s="531" t="n">
        <v>0.041602</v>
      </c>
      <c r="BA52" s="972">
        <f>V52/1000000</f>
        <v/>
      </c>
      <c r="BB52" s="972">
        <f>W52</f>
        <v/>
      </c>
      <c r="BC52" s="972">
        <f>X52/1000000</f>
        <v/>
      </c>
      <c r="BD52" s="972">
        <f>Y52</f>
        <v/>
      </c>
    </row>
    <row r="53" ht="15" customHeight="1" s="508">
      <c r="S53" s="972" t="n"/>
      <c r="T53" s="972" t="n"/>
      <c r="U53" s="972" t="n"/>
      <c r="V53" s="972" t="n">
        <v>5650890.017243624</v>
      </c>
      <c r="W53" s="506" t="n">
        <v>0.04135</v>
      </c>
      <c r="X53" s="972" t="n">
        <v>5636635.401017763</v>
      </c>
      <c r="Y53" s="506" t="n">
        <v>0.04135</v>
      </c>
      <c r="AA53" s="972" t="n">
        <v>5379589.995482452</v>
      </c>
      <c r="AB53" s="506" t="n">
        <v>0.02578</v>
      </c>
      <c r="AC53" s="972" t="n">
        <v>2906629.024779286</v>
      </c>
      <c r="AD53" s="506" t="n">
        <v>0.005714</v>
      </c>
      <c r="AE53" s="972" t="n">
        <v>7066632.189607736</v>
      </c>
      <c r="AF53" s="506" t="n">
        <v>0.003988</v>
      </c>
      <c r="AG53" s="972" t="n">
        <v>11927040.64330674</v>
      </c>
      <c r="AH53" s="506" t="n">
        <v>0.0019</v>
      </c>
      <c r="AI53" s="972" t="n">
        <v>30318562.57067652</v>
      </c>
      <c r="AJ53" s="506" t="n">
        <v>0.004588</v>
      </c>
      <c r="AL53" s="972" t="n">
        <v>5731466.744405895</v>
      </c>
      <c r="AM53" s="506" t="n">
        <v>0.010376</v>
      </c>
      <c r="AN53" s="972" t="n">
        <v>5539178.604853433</v>
      </c>
      <c r="AO53" s="506" t="n">
        <v>0.026732</v>
      </c>
      <c r="AP53" s="972" t="n">
        <v>5675387.261523342</v>
      </c>
      <c r="AQ53" s="506" t="n">
        <v>0.004782</v>
      </c>
      <c r="AS53" s="972" t="n">
        <v>32.08733860616303</v>
      </c>
      <c r="AT53" s="531" t="n">
        <v>0.04135</v>
      </c>
      <c r="AU53" s="972" t="n">
        <v>31.99641880755461</v>
      </c>
      <c r="AV53" s="531" t="n">
        <v>0.04135</v>
      </c>
      <c r="BA53" s="972">
        <f>V53/1000000</f>
        <v/>
      </c>
      <c r="BB53" s="972">
        <f>W53</f>
        <v/>
      </c>
      <c r="BC53" s="972">
        <f>X53/1000000</f>
        <v/>
      </c>
      <c r="BD53" s="972">
        <f>Y53</f>
        <v/>
      </c>
    </row>
    <row r="54" ht="15" customHeight="1" s="508">
      <c r="S54" s="972" t="n"/>
      <c r="T54" s="972" t="n"/>
      <c r="U54" s="972" t="n"/>
      <c r="V54" s="972" t="n">
        <v>5753354.144413836</v>
      </c>
      <c r="W54" s="506" t="n">
        <v>0.041096</v>
      </c>
      <c r="X54" s="972" t="n">
        <v>5742519.874025971</v>
      </c>
      <c r="Y54" s="506" t="n">
        <v>0.041096</v>
      </c>
      <c r="AA54" s="972" t="n">
        <v>5492748.427191935</v>
      </c>
      <c r="AB54" s="506" t="n">
        <v>0.025622</v>
      </c>
      <c r="AC54" s="972" t="n">
        <v>2961705.228538016</v>
      </c>
      <c r="AD54" s="506" t="n">
        <v>0.005678</v>
      </c>
      <c r="AE54" s="972" t="n">
        <v>7214832.211588942</v>
      </c>
      <c r="AF54" s="506" t="n">
        <v>0.003962</v>
      </c>
      <c r="AG54" s="972" t="n">
        <v>12012747.83950227</v>
      </c>
      <c r="AH54" s="506" t="n">
        <v>0.001888</v>
      </c>
      <c r="AI54" s="972" t="n">
        <v>30894247.93674226</v>
      </c>
      <c r="AJ54" s="506" t="n">
        <v>0.00456</v>
      </c>
      <c r="AL54" s="972" t="n">
        <v>5823161.209302573</v>
      </c>
      <c r="AM54" s="506" t="n">
        <v>0.010312</v>
      </c>
      <c r="AN54" s="972" t="n">
        <v>5657044.733056089</v>
      </c>
      <c r="AO54" s="506" t="n">
        <v>0.026568</v>
      </c>
      <c r="AP54" s="972" t="n">
        <v>5873486.727798169</v>
      </c>
      <c r="AQ54" s="506" t="n">
        <v>0.004752</v>
      </c>
      <c r="AS54" s="972" t="n">
        <v>32.66237962217365</v>
      </c>
      <c r="AT54" s="531" t="n">
        <v>0.041096</v>
      </c>
      <c r="AU54" s="972" t="n">
        <v>32.56397638445622</v>
      </c>
      <c r="AV54" s="531" t="n">
        <v>0.041096</v>
      </c>
      <c r="BA54" s="972">
        <f>V54/1000000</f>
        <v/>
      </c>
      <c r="BB54" s="972">
        <f>W54</f>
        <v/>
      </c>
      <c r="BC54" s="972">
        <f>X54/1000000</f>
        <v/>
      </c>
      <c r="BD54" s="972">
        <f>Y54</f>
        <v/>
      </c>
    </row>
    <row r="55" ht="15" customHeight="1" s="508">
      <c r="S55" s="972" t="n"/>
      <c r="T55" s="972" t="n"/>
      <c r="U55" s="972" t="n"/>
      <c r="V55" s="972" t="n">
        <v>5889857.080227641</v>
      </c>
      <c r="W55" s="506" t="n">
        <v>0.040842</v>
      </c>
      <c r="X55" s="972" t="n">
        <v>5871953.697140359</v>
      </c>
      <c r="Y55" s="506" t="n">
        <v>0.040842</v>
      </c>
      <c r="AA55" s="972" t="n">
        <v>5612517.156400734</v>
      </c>
      <c r="AB55" s="506" t="n">
        <v>0.025464</v>
      </c>
      <c r="AC55" s="972" t="n">
        <v>3044186.035521924</v>
      </c>
      <c r="AD55" s="506" t="n">
        <v>0.005644</v>
      </c>
      <c r="AE55" s="972" t="n">
        <v>7408052.314570981</v>
      </c>
      <c r="AF55" s="506" t="n">
        <v>0.003938</v>
      </c>
      <c r="AG55" s="972" t="n">
        <v>12178925.84596172</v>
      </c>
      <c r="AH55" s="506" t="n">
        <v>0.001876</v>
      </c>
      <c r="AI55" s="972" t="n">
        <v>31503793.04195068</v>
      </c>
      <c r="AJ55" s="506" t="n">
        <v>0.004532</v>
      </c>
      <c r="AL55" s="972" t="n">
        <v>5978345.933153898</v>
      </c>
      <c r="AM55" s="506" t="n">
        <v>0.010248</v>
      </c>
      <c r="AN55" s="972" t="n">
        <v>5753210.133525576</v>
      </c>
      <c r="AO55" s="506" t="n">
        <v>0.026404</v>
      </c>
      <c r="AP55" s="972" t="n">
        <v>6064659.108715499</v>
      </c>
      <c r="AQ55" s="506" t="n">
        <v>0.004722</v>
      </c>
      <c r="AS55" s="972" t="n">
        <v>33.30939361748662</v>
      </c>
      <c r="AT55" s="531" t="n">
        <v>0.040842</v>
      </c>
      <c r="AU55" s="972" t="n">
        <v>33.17262885221118</v>
      </c>
      <c r="AV55" s="531" t="n">
        <v>0.040842</v>
      </c>
      <c r="BA55" s="972">
        <f>V55/1000000</f>
        <v/>
      </c>
      <c r="BB55" s="972">
        <f>W55</f>
        <v/>
      </c>
      <c r="BC55" s="972">
        <f>X55/1000000</f>
        <v/>
      </c>
      <c r="BD55" s="972">
        <f>Y55</f>
        <v/>
      </c>
    </row>
    <row r="56" ht="15" customHeight="1" s="508">
      <c r="S56" s="972" t="n"/>
      <c r="T56" s="972" t="n"/>
      <c r="U56" s="972" t="n"/>
      <c r="V56" s="972" t="n">
        <v>6014895.902979104</v>
      </c>
      <c r="W56" s="506" t="n">
        <v>0.040588</v>
      </c>
      <c r="X56" s="972" t="n">
        <v>5997935.60481674</v>
      </c>
      <c r="Y56" s="506" t="n">
        <v>0.040588</v>
      </c>
      <c r="AA56" s="972" t="n">
        <v>5709466.46798764</v>
      </c>
      <c r="AB56" s="506" t="n">
        <v>0.025306</v>
      </c>
      <c r="AC56" s="972" t="n">
        <v>3090278.46821725</v>
      </c>
      <c r="AD56" s="506" t="n">
        <v>0.005608</v>
      </c>
      <c r="AE56" s="972" t="n">
        <v>7602476.508886202</v>
      </c>
      <c r="AF56" s="506" t="n">
        <v>0.003914</v>
      </c>
      <c r="AG56" s="972" t="n">
        <v>12378954.55189475</v>
      </c>
      <c r="AH56" s="506" t="n">
        <v>0.001866</v>
      </c>
      <c r="AI56" s="972" t="n">
        <v>31803060.93484725</v>
      </c>
      <c r="AJ56" s="506" t="n">
        <v>0.004504</v>
      </c>
      <c r="AL56" s="972" t="n">
        <v>6058072.495937832</v>
      </c>
      <c r="AM56" s="506" t="n">
        <v>0.010186</v>
      </c>
      <c r="AN56" s="972" t="n">
        <v>5877395.601835951</v>
      </c>
      <c r="AO56" s="506" t="n">
        <v>0.02624</v>
      </c>
      <c r="AP56" s="972" t="n">
        <v>6195383.526191928</v>
      </c>
      <c r="AQ56" s="506" t="n">
        <v>0.004694</v>
      </c>
      <c r="AS56" s="972" t="n">
        <v>33.99786468260069</v>
      </c>
      <c r="AT56" s="531" t="n">
        <v>0.040588</v>
      </c>
      <c r="AU56" s="972" t="n">
        <v>33.84545798199415</v>
      </c>
      <c r="AV56" s="531" t="n">
        <v>0.040588</v>
      </c>
      <c r="BA56" s="972">
        <f>V56/1000000</f>
        <v/>
      </c>
      <c r="BB56" s="972">
        <f>W56</f>
        <v/>
      </c>
      <c r="BC56" s="972">
        <f>X56/1000000</f>
        <v/>
      </c>
      <c r="BD56" s="972">
        <f>Y56</f>
        <v/>
      </c>
    </row>
    <row r="57" ht="15" customHeight="1" s="508">
      <c r="S57" s="972" t="n"/>
      <c r="T57" s="972" t="n"/>
      <c r="U57" s="972" t="n"/>
      <c r="V57" s="972" t="n">
        <v>6144633.937759177</v>
      </c>
      <c r="W57" s="506" t="n">
        <v>0.040334</v>
      </c>
      <c r="X57" s="972" t="n">
        <v>6129086.851071406</v>
      </c>
      <c r="Y57" s="506" t="n">
        <v>0.040334</v>
      </c>
      <c r="AA57" s="972" t="n">
        <v>5802099.779462826</v>
      </c>
      <c r="AB57" s="506" t="n">
        <v>0.025148</v>
      </c>
      <c r="AC57" s="972" t="n">
        <v>3154026.339106745</v>
      </c>
      <c r="AD57" s="506" t="n">
        <v>0.005574</v>
      </c>
      <c r="AE57" s="972" t="n">
        <v>7760022.405114142</v>
      </c>
      <c r="AF57" s="506" t="n">
        <v>0.00389</v>
      </c>
      <c r="AG57" s="972" t="n">
        <v>12794553.95021877</v>
      </c>
      <c r="AH57" s="506" t="n">
        <v>0.001854</v>
      </c>
      <c r="AI57" s="972" t="n">
        <v>32313462.8434753</v>
      </c>
      <c r="AJ57" s="506" t="n">
        <v>0.004476</v>
      </c>
      <c r="AL57" s="972" t="n">
        <v>6202297.120397981</v>
      </c>
      <c r="AM57" s="506" t="n">
        <v>0.010122</v>
      </c>
      <c r="AN57" s="972" t="n">
        <v>5993352.015494773</v>
      </c>
      <c r="AO57" s="506" t="n">
        <v>0.026076</v>
      </c>
      <c r="AP57" s="972" t="n">
        <v>6346421.72013294</v>
      </c>
      <c r="AQ57" s="506" t="n">
        <v>0.004664</v>
      </c>
      <c r="AS57" s="972" t="n">
        <v>34.69091621860763</v>
      </c>
      <c r="AT57" s="531" t="n">
        <v>0.040334</v>
      </c>
      <c r="AU57" s="972" t="n">
        <v>34.52804166210837</v>
      </c>
      <c r="AV57" s="531" t="n">
        <v>0.040334</v>
      </c>
      <c r="BA57" s="972">
        <f>V57/1000000</f>
        <v/>
      </c>
      <c r="BB57" s="972">
        <f>W57</f>
        <v/>
      </c>
      <c r="BC57" s="972">
        <f>X57/1000000</f>
        <v/>
      </c>
      <c r="BD57" s="972">
        <f>Y57</f>
        <v/>
      </c>
    </row>
    <row r="58" ht="15" customHeight="1" s="508">
      <c r="S58" s="972" t="n"/>
      <c r="T58" s="972" t="n"/>
      <c r="U58" s="972" t="n"/>
      <c r="V58" s="972" t="n">
        <v>6270371.381860086</v>
      </c>
      <c r="W58" s="506" t="n">
        <v>0.040082</v>
      </c>
      <c r="X58" s="972" t="n">
        <v>6254913.947207393</v>
      </c>
      <c r="Y58" s="506" t="n">
        <v>0.040082</v>
      </c>
      <c r="AA58" s="972" t="n">
        <v>5918552.752478449</v>
      </c>
      <c r="AB58" s="506" t="n">
        <v>0.02499</v>
      </c>
      <c r="AC58" s="972" t="n">
        <v>3228676.074514328</v>
      </c>
      <c r="AD58" s="506" t="n">
        <v>0.005538</v>
      </c>
      <c r="AE58" s="972" t="n">
        <v>7870592.158855725</v>
      </c>
      <c r="AF58" s="506" t="n">
        <v>0.003864</v>
      </c>
      <c r="AG58" s="972" t="n">
        <v>12935286.44244175</v>
      </c>
      <c r="AH58" s="506" t="n">
        <v>0.001842</v>
      </c>
      <c r="AI58" s="972" t="n">
        <v>32674281.62698903</v>
      </c>
      <c r="AJ58" s="506" t="n">
        <v>0.004448</v>
      </c>
      <c r="AL58" s="972" t="n">
        <v>6377106.680459434</v>
      </c>
      <c r="AM58" s="506" t="n">
        <v>0.010058</v>
      </c>
      <c r="AN58" s="972" t="n">
        <v>6130203.956373736</v>
      </c>
      <c r="AO58" s="506" t="n">
        <v>0.025912</v>
      </c>
      <c r="AP58" s="972" t="n">
        <v>6440156.288407885</v>
      </c>
      <c r="AQ58" s="506" t="n">
        <v>0.004636</v>
      </c>
      <c r="AS58" s="972" t="n">
        <v>35.47627386351811</v>
      </c>
      <c r="AT58" s="531" t="n">
        <v>0.040082</v>
      </c>
      <c r="AU58" s="972" t="n">
        <v>35.31322072562463</v>
      </c>
      <c r="AV58" s="531" t="n">
        <v>0.040082</v>
      </c>
      <c r="BA58" s="972">
        <f>V58/1000000</f>
        <v/>
      </c>
      <c r="BB58" s="972">
        <f>W58</f>
        <v/>
      </c>
      <c r="BC58" s="972">
        <f>X58/1000000</f>
        <v/>
      </c>
      <c r="BD58" s="972">
        <f>Y58</f>
        <v/>
      </c>
    </row>
    <row r="59" ht="15" customHeight="1" s="508">
      <c r="S59" s="972" t="n"/>
      <c r="T59" s="972" t="n"/>
      <c r="U59" s="972" t="n"/>
      <c r="V59" s="972" t="n">
        <v>6411055.527588752</v>
      </c>
      <c r="W59" s="506" t="n">
        <v>0.039828</v>
      </c>
      <c r="X59" s="972" t="n">
        <v>6391364.074624093</v>
      </c>
      <c r="Y59" s="506" t="n">
        <v>0.039828</v>
      </c>
      <c r="AA59" s="972" t="n">
        <v>6023282.085888254</v>
      </c>
      <c r="AB59" s="506" t="n">
        <v>0.024832</v>
      </c>
      <c r="AC59" s="972" t="n">
        <v>3306042.831461807</v>
      </c>
      <c r="AD59" s="506" t="n">
        <v>0.005504</v>
      </c>
      <c r="AE59" s="972" t="n">
        <v>8024200.394712856</v>
      </c>
      <c r="AF59" s="506" t="n">
        <v>0.00384</v>
      </c>
      <c r="AG59" s="972" t="n">
        <v>13142470.3706744</v>
      </c>
      <c r="AH59" s="506" t="n">
        <v>0.00183</v>
      </c>
      <c r="AI59" s="972" t="n">
        <v>33432862.90521876</v>
      </c>
      <c r="AJ59" s="506" t="n">
        <v>0.00442</v>
      </c>
      <c r="AL59" s="972" t="n">
        <v>6523265.234426304</v>
      </c>
      <c r="AM59" s="506" t="n">
        <v>0.009993999999999999</v>
      </c>
      <c r="AN59" s="972" t="n">
        <v>6233407.041315902</v>
      </c>
      <c r="AO59" s="506" t="n">
        <v>0.025748</v>
      </c>
      <c r="AP59" s="972" t="n">
        <v>6546796.70911721</v>
      </c>
      <c r="AQ59" s="506" t="n">
        <v>0.004606</v>
      </c>
      <c r="AS59" s="972" t="n">
        <v>36.0622516261073</v>
      </c>
      <c r="AT59" s="531" t="n">
        <v>0.039828</v>
      </c>
      <c r="AU59" s="972" t="n">
        <v>35.92191191679129</v>
      </c>
      <c r="AV59" s="531" t="n">
        <v>0.039828</v>
      </c>
      <c r="BA59" s="972">
        <f>V59/1000000</f>
        <v/>
      </c>
      <c r="BB59" s="972">
        <f>W59</f>
        <v/>
      </c>
      <c r="BC59" s="972">
        <f>X59/1000000</f>
        <v/>
      </c>
      <c r="BD59" s="972">
        <f>Y59</f>
        <v/>
      </c>
    </row>
    <row r="60" ht="15" customHeight="1" s="508">
      <c r="S60" s="972" t="n"/>
      <c r="T60" s="972" t="n"/>
      <c r="U60" s="972" t="n"/>
      <c r="V60" s="972" t="n">
        <v>6540244.549166922</v>
      </c>
      <c r="W60" s="506" t="n">
        <v>0.039574</v>
      </c>
      <c r="X60" s="972" t="n">
        <v>6519212.501141543</v>
      </c>
      <c r="Y60" s="506" t="n">
        <v>0.039574</v>
      </c>
      <c r="AA60" s="972" t="n">
        <v>6138619.290814735</v>
      </c>
      <c r="AB60" s="506" t="n">
        <v>0.024672</v>
      </c>
      <c r="AC60" s="972" t="n">
        <v>3366533.076338519</v>
      </c>
      <c r="AD60" s="506" t="n">
        <v>0.005468</v>
      </c>
      <c r="AE60" s="972" t="n">
        <v>8137520.768806242</v>
      </c>
      <c r="AF60" s="506" t="n">
        <v>0.003816</v>
      </c>
      <c r="AG60" s="972" t="n">
        <v>13358626.77811673</v>
      </c>
      <c r="AH60" s="506" t="n">
        <v>0.001818</v>
      </c>
      <c r="AI60" s="972" t="n">
        <v>33955632.04955271</v>
      </c>
      <c r="AJ60" s="506" t="n">
        <v>0.004392</v>
      </c>
      <c r="AL60" s="972" t="n">
        <v>6695888.990059168</v>
      </c>
      <c r="AM60" s="506" t="n">
        <v>0.00993</v>
      </c>
      <c r="AN60" s="972" t="n">
        <v>6366175.014032813</v>
      </c>
      <c r="AO60" s="506" t="n">
        <v>0.025584</v>
      </c>
      <c r="AP60" s="972" t="n">
        <v>6642816.549760039</v>
      </c>
      <c r="AQ60" s="506" t="n">
        <v>0.004576</v>
      </c>
      <c r="AS60" s="972" t="n">
        <v>36.7666370949964</v>
      </c>
      <c r="AT60" s="531" t="n">
        <v>0.039574</v>
      </c>
      <c r="AU60" s="972" t="n">
        <v>36.56844979271295</v>
      </c>
      <c r="AV60" s="531" t="n">
        <v>0.039574</v>
      </c>
      <c r="BA60" s="972">
        <f>V60/1000000</f>
        <v/>
      </c>
      <c r="BB60" s="972">
        <f>W60</f>
        <v/>
      </c>
      <c r="BC60" s="972">
        <f>X60/1000000</f>
        <v/>
      </c>
      <c r="BD60" s="972">
        <f>Y60</f>
        <v/>
      </c>
    </row>
    <row r="61" ht="15" customHeight="1" s="508">
      <c r="S61" s="972" t="n"/>
      <c r="T61" s="972" t="n"/>
      <c r="U61" s="972" t="n"/>
      <c r="V61" s="972" t="n">
        <v>6678342.032147037</v>
      </c>
      <c r="W61" s="506" t="n">
        <v>0.03932</v>
      </c>
      <c r="X61" s="972" t="n">
        <v>6651635.12392249</v>
      </c>
      <c r="Y61" s="506" t="n">
        <v>0.03932</v>
      </c>
      <c r="AA61" s="972" t="n">
        <v>6258742.22552204</v>
      </c>
      <c r="AB61" s="506" t="n">
        <v>0.024514</v>
      </c>
      <c r="AC61" s="972" t="n">
        <v>3426114.860801443</v>
      </c>
      <c r="AD61" s="506" t="n">
        <v>0.005434</v>
      </c>
      <c r="AE61" s="972" t="n">
        <v>8295064.815183318</v>
      </c>
      <c r="AF61" s="506" t="n">
        <v>0.003792</v>
      </c>
      <c r="AG61" s="972" t="n">
        <v>13648857.86030949</v>
      </c>
      <c r="AH61" s="506" t="n">
        <v>0.001806</v>
      </c>
      <c r="AI61" s="972" t="n">
        <v>34489433.05250551</v>
      </c>
      <c r="AJ61" s="506" t="n">
        <v>0.004364</v>
      </c>
      <c r="AL61" s="972" t="n">
        <v>6846352.422072764</v>
      </c>
      <c r="AM61" s="506" t="n">
        <v>0.009866</v>
      </c>
      <c r="AN61" s="972" t="n">
        <v>6501364.7723688</v>
      </c>
      <c r="AO61" s="506" t="n">
        <v>0.02542</v>
      </c>
      <c r="AP61" s="972" t="n">
        <v>6793366.570546293</v>
      </c>
      <c r="AQ61" s="506" t="n">
        <v>0.004548</v>
      </c>
      <c r="AS61" s="972" t="n">
        <v>37.49631550901161</v>
      </c>
      <c r="AT61" s="531" t="n">
        <v>0.03932</v>
      </c>
      <c r="AU61" s="972" t="n">
        <v>37.33169889648388</v>
      </c>
      <c r="AV61" s="531" t="n">
        <v>0.03932</v>
      </c>
      <c r="BA61" s="972">
        <f>V61/1000000</f>
        <v/>
      </c>
      <c r="BB61" s="972">
        <f>W61</f>
        <v/>
      </c>
      <c r="BC61" s="972">
        <f>X61/1000000</f>
        <v/>
      </c>
      <c r="BD61" s="972">
        <f>Y61</f>
        <v/>
      </c>
    </row>
    <row r="62" ht="15" customHeight="1" s="508">
      <c r="S62" s="972" t="n"/>
      <c r="T62" s="972" t="n"/>
      <c r="U62" s="972" t="n"/>
      <c r="V62" s="972" t="n">
        <v>6816097.6607506</v>
      </c>
      <c r="W62" s="506" t="n">
        <v>0.039066</v>
      </c>
      <c r="X62" s="972" t="n">
        <v>6793150.569518626</v>
      </c>
      <c r="Y62" s="506" t="n">
        <v>0.039066</v>
      </c>
      <c r="AA62" s="972" t="n">
        <v>6372679.997307997</v>
      </c>
      <c r="AB62" s="506" t="n">
        <v>0.024356</v>
      </c>
      <c r="AC62" s="972" t="n">
        <v>3488192.481719211</v>
      </c>
      <c r="AD62" s="506" t="n">
        <v>0.005398</v>
      </c>
      <c r="AE62" s="972" t="n">
        <v>8456082.861530753</v>
      </c>
      <c r="AF62" s="506" t="n">
        <v>0.003768</v>
      </c>
      <c r="AG62" s="972" t="n">
        <v>13780096.58908655</v>
      </c>
      <c r="AH62" s="506" t="n">
        <v>0.001796</v>
      </c>
      <c r="AI62" s="972" t="n">
        <v>35068576.2993146</v>
      </c>
      <c r="AJ62" s="506" t="n">
        <v>0.004336</v>
      </c>
      <c r="AL62" s="972" t="n">
        <v>6944699.862264112</v>
      </c>
      <c r="AM62" s="506" t="n">
        <v>0.009804</v>
      </c>
      <c r="AN62" s="972" t="n">
        <v>6630181.889157716</v>
      </c>
      <c r="AO62" s="506" t="n">
        <v>0.025256</v>
      </c>
      <c r="AP62" s="972" t="n">
        <v>6947778.365857474</v>
      </c>
      <c r="AQ62" s="506" t="n">
        <v>0.004518</v>
      </c>
      <c r="AS62" s="972" t="n">
        <v>38.19143794643239</v>
      </c>
      <c r="AT62" s="531" t="n">
        <v>0.039066</v>
      </c>
      <c r="AU62" s="972" t="n">
        <v>37.97111403399839</v>
      </c>
      <c r="AV62" s="531" t="n">
        <v>0.039066</v>
      </c>
      <c r="BA62" s="972">
        <f>V62/1000000</f>
        <v/>
      </c>
      <c r="BB62" s="972">
        <f>W62</f>
        <v/>
      </c>
      <c r="BC62" s="972">
        <f>X62/1000000</f>
        <v/>
      </c>
      <c r="BD62" s="972">
        <f>Y62</f>
        <v/>
      </c>
    </row>
    <row r="63" ht="15" customHeight="1" s="508">
      <c r="S63" s="972" t="n"/>
      <c r="T63" s="972" t="n"/>
      <c r="U63" s="972" t="n"/>
      <c r="V63" s="972" t="n">
        <v>6946464.588313035</v>
      </c>
      <c r="W63" s="506" t="n">
        <v>0.038812</v>
      </c>
      <c r="X63" s="972" t="n">
        <v>6913175.662563565</v>
      </c>
      <c r="Y63" s="506" t="n">
        <v>0.038812</v>
      </c>
      <c r="AA63" s="972" t="n">
        <v>6500836.988634374</v>
      </c>
      <c r="AB63" s="506" t="n">
        <v>0.024198</v>
      </c>
      <c r="AC63" s="972" t="n">
        <v>3561865.101743991</v>
      </c>
      <c r="AD63" s="506" t="n">
        <v>0.005364</v>
      </c>
      <c r="AE63" s="972" t="n">
        <v>8660986.052096931</v>
      </c>
      <c r="AF63" s="506" t="n">
        <v>0.003742</v>
      </c>
      <c r="AG63" s="972" t="n">
        <v>13959903.06349022</v>
      </c>
      <c r="AH63" s="506" t="n">
        <v>0.001784</v>
      </c>
      <c r="AI63" s="972" t="n">
        <v>35601619.76330268</v>
      </c>
      <c r="AJ63" s="506" t="n">
        <v>0.004306</v>
      </c>
      <c r="AL63" s="972" t="n">
        <v>7100208.097876383</v>
      </c>
      <c r="AM63" s="506" t="n">
        <v>0.00974</v>
      </c>
      <c r="AN63" s="972" t="n">
        <v>6749251.839397549</v>
      </c>
      <c r="AO63" s="506" t="n">
        <v>0.025092</v>
      </c>
      <c r="AP63" s="972" t="n">
        <v>7146182.868537743</v>
      </c>
      <c r="AQ63" s="506" t="n">
        <v>0.004488</v>
      </c>
      <c r="AS63" s="972" t="n">
        <v>38.87375300266441</v>
      </c>
      <c r="AT63" s="531" t="n">
        <v>0.038812</v>
      </c>
      <c r="AU63" s="972" t="n">
        <v>38.70647866737718</v>
      </c>
      <c r="AV63" s="531" t="n">
        <v>0.038812</v>
      </c>
      <c r="BA63" s="972">
        <f>V63/1000000</f>
        <v/>
      </c>
      <c r="BB63" s="972">
        <f>W63</f>
        <v/>
      </c>
      <c r="BC63" s="972">
        <f>X63/1000000</f>
        <v/>
      </c>
      <c r="BD63" s="972">
        <f>Y63</f>
        <v/>
      </c>
    </row>
    <row r="64" ht="15" customHeight="1" s="508">
      <c r="S64" s="972" t="n"/>
      <c r="T64" s="972" t="n"/>
      <c r="U64" s="972" t="n"/>
      <c r="V64" s="972" t="n">
        <v>7100120.053455221</v>
      </c>
      <c r="W64" s="506" t="n">
        <v>0.03856</v>
      </c>
      <c r="X64" s="972" t="n">
        <v>7059552.290640034</v>
      </c>
      <c r="Y64" s="506" t="n">
        <v>0.03856</v>
      </c>
      <c r="AA64" s="972" t="n">
        <v>6609078.614173461</v>
      </c>
      <c r="AB64" s="506" t="n">
        <v>0.02404</v>
      </c>
      <c r="AC64" s="972" t="n">
        <v>3609261.054377876</v>
      </c>
      <c r="AD64" s="506" t="n">
        <v>0.005328</v>
      </c>
      <c r="AE64" s="972" t="n">
        <v>8812595.183908492</v>
      </c>
      <c r="AF64" s="506" t="n">
        <v>0.003718</v>
      </c>
      <c r="AG64" s="972" t="n">
        <v>14162650.21766033</v>
      </c>
      <c r="AH64" s="506" t="n">
        <v>0.001772</v>
      </c>
      <c r="AI64" s="972" t="n">
        <v>36194825.90331206</v>
      </c>
      <c r="AJ64" s="506" t="n">
        <v>0.004278</v>
      </c>
      <c r="AL64" s="972" t="n">
        <v>7293485.359720777</v>
      </c>
      <c r="AM64" s="506" t="n">
        <v>0.009676000000000001</v>
      </c>
      <c r="AN64" s="972" t="n">
        <v>6889740.159817271</v>
      </c>
      <c r="AO64" s="506" t="n">
        <v>0.024928</v>
      </c>
      <c r="AP64" s="972" t="n">
        <v>7316864.348802067</v>
      </c>
      <c r="AQ64" s="506" t="n">
        <v>0.00446</v>
      </c>
      <c r="AS64" s="972" t="n">
        <v>39.5673276099439</v>
      </c>
      <c r="AT64" s="531" t="n">
        <v>0.03856</v>
      </c>
      <c r="AU64" s="972" t="n">
        <v>39.4201637546689</v>
      </c>
      <c r="AV64" s="531" t="n">
        <v>0.03856</v>
      </c>
      <c r="BA64" s="972">
        <f>V64/1000000</f>
        <v/>
      </c>
      <c r="BB64" s="972">
        <f>W64</f>
        <v/>
      </c>
      <c r="BC64" s="972">
        <f>X64/1000000</f>
        <v/>
      </c>
      <c r="BD64" s="972">
        <f>Y64</f>
        <v/>
      </c>
    </row>
    <row r="65" ht="15" customHeight="1" s="508">
      <c r="S65" s="972" t="n"/>
      <c r="T65" s="972" t="n"/>
      <c r="U65" s="972" t="n"/>
      <c r="V65" s="972" t="n">
        <v>7247517.229595101</v>
      </c>
      <c r="W65" s="506" t="n">
        <v>0.038306</v>
      </c>
      <c r="X65" s="972" t="n">
        <v>7207151.848266399</v>
      </c>
      <c r="Y65" s="506" t="n">
        <v>0.038306</v>
      </c>
      <c r="AA65" s="972" t="n">
        <v>6721491.84980287</v>
      </c>
      <c r="AB65" s="506" t="n">
        <v>0.023882</v>
      </c>
      <c r="AC65" s="972" t="n">
        <v>3696748.956672126</v>
      </c>
      <c r="AD65" s="506" t="n">
        <v>0.005294</v>
      </c>
      <c r="AE65" s="972" t="n">
        <v>8919665.905816631</v>
      </c>
      <c r="AF65" s="506" t="n">
        <v>0.003694</v>
      </c>
      <c r="AG65" s="972" t="n">
        <v>14459787.35458106</v>
      </c>
      <c r="AH65" s="506" t="n">
        <v>0.00176</v>
      </c>
      <c r="AI65" s="972" t="n">
        <v>36787020.0056984</v>
      </c>
      <c r="AJ65" s="506" t="n">
        <v>0.00425</v>
      </c>
      <c r="AL65" s="972" t="n">
        <v>7437096.795452951</v>
      </c>
      <c r="AM65" s="506" t="n">
        <v>0.009612000000000001</v>
      </c>
      <c r="AN65" s="972" t="n">
        <v>7017950.882249749</v>
      </c>
      <c r="AO65" s="506" t="n">
        <v>0.024764</v>
      </c>
      <c r="AP65" s="972" t="n">
        <v>7471104.694027068</v>
      </c>
      <c r="AQ65" s="506" t="n">
        <v>0.00443</v>
      </c>
      <c r="AS65" s="972" t="n">
        <v>40.25406447146268</v>
      </c>
      <c r="AT65" s="531" t="n">
        <v>0.038306</v>
      </c>
      <c r="AU65" s="972" t="n">
        <v>40.10981351938662</v>
      </c>
      <c r="AV65" s="531" t="n">
        <v>0.038306</v>
      </c>
      <c r="BA65" s="972">
        <f>V65/1000000</f>
        <v/>
      </c>
      <c r="BB65" s="972">
        <f>W65</f>
        <v/>
      </c>
      <c r="BC65" s="972">
        <f>X65/1000000</f>
        <v/>
      </c>
      <c r="BD65" s="972">
        <f>Y65</f>
        <v/>
      </c>
    </row>
    <row r="66" ht="15" customHeight="1" s="508">
      <c r="S66" s="972" t="n"/>
      <c r="T66" s="972" t="n"/>
      <c r="U66" s="972" t="n"/>
      <c r="V66" s="972" t="n">
        <v>7399986.577048089</v>
      </c>
      <c r="W66" s="506" t="n">
        <v>0.038052</v>
      </c>
      <c r="X66" s="972" t="n">
        <v>7360169.929034384</v>
      </c>
      <c r="Y66" s="506" t="n">
        <v>0.038052</v>
      </c>
      <c r="AA66" s="972" t="n">
        <v>6849726.7961566</v>
      </c>
      <c r="AB66" s="506" t="n">
        <v>0.023724</v>
      </c>
      <c r="AC66" s="972" t="n">
        <v>3762400.836971136</v>
      </c>
      <c r="AD66" s="506" t="n">
        <v>0.005258</v>
      </c>
      <c r="AE66" s="972" t="n">
        <v>9159085.205750734</v>
      </c>
      <c r="AF66" s="506" t="n">
        <v>0.00367</v>
      </c>
      <c r="AG66" s="972" t="n">
        <v>14875119.15368983</v>
      </c>
      <c r="AH66" s="506" t="n">
        <v>0.001748</v>
      </c>
      <c r="AI66" s="972" t="n">
        <v>37262705.56805214</v>
      </c>
      <c r="AJ66" s="506" t="n">
        <v>0.004222</v>
      </c>
      <c r="AL66" s="972" t="n">
        <v>7653868.349209134</v>
      </c>
      <c r="AM66" s="506" t="n">
        <v>0.009547999999999999</v>
      </c>
      <c r="AN66" s="972" t="n">
        <v>7156407.361068489</v>
      </c>
      <c r="AO66" s="506" t="n">
        <v>0.0246</v>
      </c>
      <c r="AP66" s="972" t="n">
        <v>7652000.872760907</v>
      </c>
      <c r="AQ66" s="506" t="n">
        <v>0.0044</v>
      </c>
      <c r="AS66" s="972" t="n">
        <v>40.98068761085602</v>
      </c>
      <c r="AT66" s="531" t="n">
        <v>0.038052</v>
      </c>
      <c r="AU66" s="972" t="n">
        <v>40.83787290656633</v>
      </c>
      <c r="AV66" s="531" t="n">
        <v>0.038052</v>
      </c>
      <c r="BA66" s="972">
        <f>V66/1000000</f>
        <v/>
      </c>
      <c r="BB66" s="972">
        <f>W66</f>
        <v/>
      </c>
      <c r="BC66" s="972">
        <f>X66/1000000</f>
        <v/>
      </c>
      <c r="BD66" s="972">
        <f>Y66</f>
        <v/>
      </c>
    </row>
    <row r="67" ht="15" customHeight="1" s="508">
      <c r="S67" s="972" t="n"/>
      <c r="T67" s="972" t="n"/>
      <c r="U67" s="972" t="n"/>
      <c r="V67" s="972" t="n">
        <v>7548803.792181075</v>
      </c>
      <c r="W67" s="506" t="n">
        <v>0.037798</v>
      </c>
      <c r="X67" s="972" t="n">
        <v>7506907.100148495</v>
      </c>
      <c r="Y67" s="506" t="n">
        <v>0.037798</v>
      </c>
      <c r="AA67" s="972" t="n">
        <v>6963247.434107256</v>
      </c>
      <c r="AB67" s="506" t="n">
        <v>0.023566</v>
      </c>
      <c r="AC67" s="972" t="n">
        <v>3847189.875393836</v>
      </c>
      <c r="AD67" s="506" t="n">
        <v>0.005224</v>
      </c>
      <c r="AE67" s="972" t="n">
        <v>9287540.695213865</v>
      </c>
      <c r="AF67" s="506" t="n">
        <v>0.003644</v>
      </c>
      <c r="AG67" s="972" t="n">
        <v>15108013.33245289</v>
      </c>
      <c r="AH67" s="506" t="n">
        <v>0.001738</v>
      </c>
      <c r="AI67" s="972" t="n">
        <v>37552371.4152012</v>
      </c>
      <c r="AJ67" s="506" t="n">
        <v>0.004194</v>
      </c>
      <c r="AL67" s="972" t="n">
        <v>7811464.947289667</v>
      </c>
      <c r="AM67" s="506" t="n">
        <v>0.009486</v>
      </c>
      <c r="AN67" s="972" t="n">
        <v>7295980.851173994</v>
      </c>
      <c r="AO67" s="506" t="n">
        <v>0.024436</v>
      </c>
      <c r="AP67" s="972" t="n">
        <v>7767607.493056965</v>
      </c>
      <c r="AQ67" s="506" t="n">
        <v>0.004372</v>
      </c>
      <c r="AS67" s="972" t="n">
        <v>41.6666328847116</v>
      </c>
      <c r="AT67" s="531" t="n">
        <v>0.037798</v>
      </c>
      <c r="AU67" s="972" t="n">
        <v>41.47943937331182</v>
      </c>
      <c r="AV67" s="531" t="n">
        <v>0.037798</v>
      </c>
      <c r="BA67" s="972">
        <f>V67/1000000</f>
        <v/>
      </c>
      <c r="BB67" s="972">
        <f>W67</f>
        <v/>
      </c>
      <c r="BC67" s="972">
        <f>X67/1000000</f>
        <v/>
      </c>
      <c r="BD67" s="972">
        <f>Y67</f>
        <v/>
      </c>
    </row>
    <row r="68" ht="15" customHeight="1" s="508">
      <c r="S68" s="972" t="n"/>
      <c r="T68" s="972" t="n"/>
      <c r="U68" s="972" t="n"/>
      <c r="V68" s="972" t="n">
        <v>7703364.051861792</v>
      </c>
      <c r="W68" s="506" t="n">
        <v>0.037544</v>
      </c>
      <c r="X68" s="972" t="n">
        <v>7665979.429414137</v>
      </c>
      <c r="Y68" s="506" t="n">
        <v>0.037544</v>
      </c>
      <c r="AA68" s="972" t="n">
        <v>7106869.348571546</v>
      </c>
      <c r="AB68" s="506" t="n">
        <v>0.023408</v>
      </c>
      <c r="AC68" s="972" t="n">
        <v>3929466.887256385</v>
      </c>
      <c r="AD68" s="506" t="n">
        <v>0.005188</v>
      </c>
      <c r="AE68" s="972" t="n">
        <v>9480878.263259936</v>
      </c>
      <c r="AF68" s="506" t="n">
        <v>0.00362</v>
      </c>
      <c r="AG68" s="972" t="n">
        <v>15345556.78408045</v>
      </c>
      <c r="AH68" s="506" t="n">
        <v>0.001726</v>
      </c>
      <c r="AI68" s="972" t="n">
        <v>38024641.37743349</v>
      </c>
      <c r="AJ68" s="506" t="n">
        <v>0.004166</v>
      </c>
      <c r="AL68" s="972" t="n">
        <v>7958478.277475428</v>
      </c>
      <c r="AM68" s="506" t="n">
        <v>0.009422</v>
      </c>
      <c r="AN68" s="972" t="n">
        <v>7442117.143250564</v>
      </c>
      <c r="AO68" s="506" t="n">
        <v>0.024272</v>
      </c>
      <c r="AP68" s="972" t="n">
        <v>7930238.177463977</v>
      </c>
      <c r="AQ68" s="506" t="n">
        <v>0.004342</v>
      </c>
      <c r="AS68" s="972" t="n">
        <v>42.38809138025877</v>
      </c>
      <c r="AT68" s="531" t="n">
        <v>0.037544</v>
      </c>
      <c r="AU68" s="972" t="n">
        <v>42.22937072367073</v>
      </c>
      <c r="AV68" s="531" t="n">
        <v>0.037544</v>
      </c>
      <c r="BA68" s="972">
        <f>V68/1000000</f>
        <v/>
      </c>
      <c r="BB68" s="972">
        <f>W68</f>
        <v/>
      </c>
      <c r="BC68" s="972">
        <f>X68/1000000</f>
        <v/>
      </c>
      <c r="BD68" s="972">
        <f>Y68</f>
        <v/>
      </c>
    </row>
    <row r="69" ht="15" customHeight="1" s="508">
      <c r="S69" s="972" t="n"/>
      <c r="T69" s="972" t="n"/>
      <c r="U69" s="972" t="n"/>
      <c r="V69" s="972" t="n">
        <v>7832968.201685948</v>
      </c>
      <c r="W69" s="506" t="n">
        <v>0.03729</v>
      </c>
      <c r="X69" s="972" t="n">
        <v>7795492.69373115</v>
      </c>
      <c r="Y69" s="506" t="n">
        <v>0.03729</v>
      </c>
      <c r="AA69" s="972" t="n">
        <v>7244214.577406414</v>
      </c>
      <c r="AB69" s="506" t="n">
        <v>0.02325</v>
      </c>
      <c r="AC69" s="972" t="n">
        <v>3995349.538902222</v>
      </c>
      <c r="AD69" s="506" t="n">
        <v>0.005154</v>
      </c>
      <c r="AE69" s="972" t="n">
        <v>9595236.41501293</v>
      </c>
      <c r="AF69" s="506" t="n">
        <v>0.003596</v>
      </c>
      <c r="AG69" s="972" t="n">
        <v>15588613.08800142</v>
      </c>
      <c r="AH69" s="506" t="n">
        <v>0.001714</v>
      </c>
      <c r="AI69" s="972" t="n">
        <v>38453233.40620567</v>
      </c>
      <c r="AJ69" s="506" t="n">
        <v>0.004138</v>
      </c>
      <c r="AL69" s="972" t="n">
        <v>8097191.050343181</v>
      </c>
      <c r="AM69" s="506" t="n">
        <v>0.009358</v>
      </c>
      <c r="AN69" s="972" t="n">
        <v>7560088.080347443</v>
      </c>
      <c r="AO69" s="506" t="n">
        <v>0.024108</v>
      </c>
      <c r="AP69" s="972" t="n">
        <v>8179066.950948174</v>
      </c>
      <c r="AQ69" s="506" t="n">
        <v>0.004312</v>
      </c>
      <c r="AS69" s="972" t="n">
        <v>43.07282025658059</v>
      </c>
      <c r="AT69" s="531" t="n">
        <v>0.03729</v>
      </c>
      <c r="AU69" s="972" t="n">
        <v>42.89206037595522</v>
      </c>
      <c r="AV69" s="531" t="n">
        <v>0.03729</v>
      </c>
      <c r="BA69" s="972">
        <f>V69/1000000</f>
        <v/>
      </c>
      <c r="BB69" s="972">
        <f>W69</f>
        <v/>
      </c>
      <c r="BC69" s="972">
        <f>X69/1000000</f>
        <v/>
      </c>
      <c r="BD69" s="972">
        <f>Y69</f>
        <v/>
      </c>
    </row>
    <row r="70" ht="15" customHeight="1" s="508">
      <c r="S70" s="972" t="n"/>
      <c r="T70" s="972" t="n"/>
      <c r="U70" s="972" t="n"/>
      <c r="V70" s="972" t="n">
        <v>7981944.005830444</v>
      </c>
      <c r="W70" s="506" t="n">
        <v>0.037038</v>
      </c>
      <c r="X70" s="972" t="n">
        <v>7939770.557657239</v>
      </c>
      <c r="Y70" s="506" t="n">
        <v>0.037038</v>
      </c>
      <c r="AA70" s="972" t="n">
        <v>7373660.40347459</v>
      </c>
      <c r="AB70" s="506" t="n">
        <v>0.023092</v>
      </c>
      <c r="AC70" s="972" t="n">
        <v>4054237.661111402</v>
      </c>
      <c r="AD70" s="506" t="n">
        <v>0.005118</v>
      </c>
      <c r="AE70" s="972" t="n">
        <v>9838787.278688107</v>
      </c>
      <c r="AF70" s="506" t="n">
        <v>0.003572</v>
      </c>
      <c r="AG70" s="972" t="n">
        <v>16074847.0510845</v>
      </c>
      <c r="AH70" s="506" t="n">
        <v>0.001702</v>
      </c>
      <c r="AI70" s="972" t="n">
        <v>39041208.05728777</v>
      </c>
      <c r="AJ70" s="506" t="n">
        <v>0.00411</v>
      </c>
      <c r="AL70" s="972" t="n">
        <v>8263564.282884992</v>
      </c>
      <c r="AM70" s="506" t="n">
        <v>0.009294</v>
      </c>
      <c r="AN70" s="972" t="n">
        <v>7694114.142449982</v>
      </c>
      <c r="AO70" s="506" t="n">
        <v>0.023944</v>
      </c>
      <c r="AP70" s="972" t="n">
        <v>8302443.987074491</v>
      </c>
      <c r="AQ70" s="506" t="n">
        <v>0.004284</v>
      </c>
      <c r="AS70" s="972" t="n">
        <v>43.68377074426152</v>
      </c>
      <c r="AT70" s="531" t="n">
        <v>0.037038</v>
      </c>
      <c r="AU70" s="972" t="n">
        <v>43.51190815622504</v>
      </c>
      <c r="AV70" s="531" t="n">
        <v>0.037038</v>
      </c>
      <c r="BA70" s="972">
        <f>V70/1000000</f>
        <v/>
      </c>
      <c r="BB70" s="972">
        <f>W70</f>
        <v/>
      </c>
      <c r="BC70" s="972">
        <f>X70/1000000</f>
        <v/>
      </c>
      <c r="BD70" s="972">
        <f>Y70</f>
        <v/>
      </c>
    </row>
    <row r="71" ht="15" customHeight="1" s="508">
      <c r="S71" s="972" t="n"/>
      <c r="T71" s="972" t="n"/>
      <c r="U71" s="972" t="n"/>
      <c r="V71" s="972" t="n">
        <v>8112364.443232905</v>
      </c>
      <c r="W71" s="506" t="n">
        <v>0.036784</v>
      </c>
      <c r="X71" s="972" t="n">
        <v>8076561.720602619</v>
      </c>
      <c r="Y71" s="506" t="n">
        <v>0.036784</v>
      </c>
      <c r="AA71" s="972" t="n">
        <v>7484824.911133453</v>
      </c>
      <c r="AB71" s="506" t="n">
        <v>0.022934</v>
      </c>
      <c r="AC71" s="972" t="n">
        <v>4100588.118392754</v>
      </c>
      <c r="AD71" s="506" t="n">
        <v>0.005084</v>
      </c>
      <c r="AE71" s="972" t="n">
        <v>9961335.603538089</v>
      </c>
      <c r="AF71" s="506" t="n">
        <v>0.003548</v>
      </c>
      <c r="AG71" s="972" t="n">
        <v>16463482.06550529</v>
      </c>
      <c r="AH71" s="506" t="n">
        <v>0.00169</v>
      </c>
      <c r="AI71" s="972" t="n">
        <v>39561657.81406691</v>
      </c>
      <c r="AJ71" s="506" t="n">
        <v>0.004082</v>
      </c>
      <c r="AL71" s="972" t="n">
        <v>8474344.44202558</v>
      </c>
      <c r="AM71" s="506" t="n">
        <v>0.00923</v>
      </c>
      <c r="AN71" s="972" t="n">
        <v>7818736.752751439</v>
      </c>
      <c r="AO71" s="506" t="n">
        <v>0.02378</v>
      </c>
      <c r="AP71" s="972" t="n">
        <v>8485998.806685828</v>
      </c>
      <c r="AQ71" s="506" t="n">
        <v>0.004254</v>
      </c>
      <c r="AS71" s="972" t="n">
        <v>44.41032047463598</v>
      </c>
      <c r="AT71" s="531" t="n">
        <v>0.036784</v>
      </c>
      <c r="AU71" s="972" t="n">
        <v>44.16945546910368</v>
      </c>
      <c r="AV71" s="531" t="n">
        <v>0.036784</v>
      </c>
      <c r="BA71" s="972">
        <f>V71/1000000</f>
        <v/>
      </c>
      <c r="BB71" s="972">
        <f>W71</f>
        <v/>
      </c>
      <c r="BC71" s="972">
        <f>X71/1000000</f>
        <v/>
      </c>
      <c r="BD71" s="972">
        <f>Y71</f>
        <v/>
      </c>
    </row>
    <row r="72" ht="15" customHeight="1" s="508">
      <c r="S72" s="972" t="n"/>
      <c r="T72" s="972" t="n"/>
      <c r="U72" s="972" t="n"/>
      <c r="V72" s="972" t="n">
        <v>8251504.724296294</v>
      </c>
      <c r="W72" s="506" t="n">
        <v>0.03653</v>
      </c>
      <c r="X72" s="972" t="n">
        <v>8202583.410249304</v>
      </c>
      <c r="Y72" s="506" t="n">
        <v>0.03653</v>
      </c>
      <c r="AA72" s="972" t="n">
        <v>7607643.351218177</v>
      </c>
      <c r="AB72" s="506" t="n">
        <v>0.022776</v>
      </c>
      <c r="AC72" s="972" t="n">
        <v>4148234.213900199</v>
      </c>
      <c r="AD72" s="506" t="n">
        <v>0.005048</v>
      </c>
      <c r="AE72" s="972" t="n">
        <v>10055622.64424997</v>
      </c>
      <c r="AF72" s="506" t="n">
        <v>0.003522</v>
      </c>
      <c r="AG72" s="972" t="n">
        <v>16653775.0617434</v>
      </c>
      <c r="AH72" s="506" t="n">
        <v>0.001678</v>
      </c>
      <c r="AI72" s="972" t="n">
        <v>39917512.94639899</v>
      </c>
      <c r="AJ72" s="506" t="n">
        <v>0.004054</v>
      </c>
      <c r="AL72" s="972" t="n">
        <v>8668138.290052202</v>
      </c>
      <c r="AM72" s="506" t="n">
        <v>0.009166000000000001</v>
      </c>
      <c r="AN72" s="972" t="n">
        <v>7963093.447736518</v>
      </c>
      <c r="AO72" s="506" t="n">
        <v>0.023616</v>
      </c>
      <c r="AP72" s="972" t="n">
        <v>8642774.288934108</v>
      </c>
      <c r="AQ72" s="506" t="n">
        <v>0.004224</v>
      </c>
      <c r="AS72" s="972" t="n">
        <v>45.13015054285489</v>
      </c>
      <c r="AT72" s="531" t="n">
        <v>0.03653</v>
      </c>
      <c r="AU72" s="972" t="n">
        <v>44.97915889780052</v>
      </c>
      <c r="AV72" s="531" t="n">
        <v>0.03653</v>
      </c>
      <c r="BA72" s="972">
        <f>V72/1000000</f>
        <v/>
      </c>
      <c r="BB72" s="972">
        <f>W72</f>
        <v/>
      </c>
      <c r="BC72" s="972">
        <f>X72/1000000</f>
        <v/>
      </c>
      <c r="BD72" s="972">
        <f>Y72</f>
        <v/>
      </c>
    </row>
    <row r="73" ht="15" customHeight="1" s="508">
      <c r="S73" s="972" t="n"/>
      <c r="T73" s="972" t="n"/>
      <c r="U73" s="972" t="n"/>
      <c r="V73" s="972" t="n">
        <v>8408645.964385387</v>
      </c>
      <c r="W73" s="506" t="n">
        <v>0.036276</v>
      </c>
      <c r="X73" s="972" t="n">
        <v>8367366.7698288</v>
      </c>
      <c r="Y73" s="506" t="n">
        <v>0.036276</v>
      </c>
      <c r="AA73" s="972" t="n">
        <v>7729757.823493918</v>
      </c>
      <c r="AB73" s="506" t="n">
        <v>0.022618</v>
      </c>
      <c r="AC73" s="972" t="n">
        <v>4205688.850171821</v>
      </c>
      <c r="AD73" s="506" t="n">
        <v>0.005014</v>
      </c>
      <c r="AE73" s="972" t="n">
        <v>10187725.36560464</v>
      </c>
      <c r="AF73" s="506" t="n">
        <v>0.003498</v>
      </c>
      <c r="AG73" s="972" t="n">
        <v>16801905.79146418</v>
      </c>
      <c r="AH73" s="506" t="n">
        <v>0.001668</v>
      </c>
      <c r="AI73" s="972" t="n">
        <v>40283460.73028503</v>
      </c>
      <c r="AJ73" s="506" t="n">
        <v>0.004026</v>
      </c>
      <c r="AL73" s="972" t="n">
        <v>8815621.890869193</v>
      </c>
      <c r="AM73" s="506" t="n">
        <v>0.009103999999999999</v>
      </c>
      <c r="AN73" s="972" t="n">
        <v>8087717.449923253</v>
      </c>
      <c r="AO73" s="506" t="n">
        <v>0.023452</v>
      </c>
      <c r="AP73" s="972" t="n">
        <v>8793271.962161433</v>
      </c>
      <c r="AQ73" s="506" t="n">
        <v>0.004196</v>
      </c>
      <c r="AS73" s="972" t="n">
        <v>45.89811281589544</v>
      </c>
      <c r="AT73" s="531" t="n">
        <v>0.036276</v>
      </c>
      <c r="AU73" s="972" t="n">
        <v>45.6798224036811</v>
      </c>
      <c r="AV73" s="531" t="n">
        <v>0.036276</v>
      </c>
      <c r="BA73" s="972">
        <f>V73/1000000</f>
        <v/>
      </c>
      <c r="BB73" s="972">
        <f>W73</f>
        <v/>
      </c>
      <c r="BC73" s="972">
        <f>X73/1000000</f>
        <v/>
      </c>
      <c r="BD73" s="972">
        <f>Y73</f>
        <v/>
      </c>
    </row>
    <row r="74" ht="15" customHeight="1" s="508">
      <c r="S74" s="972" t="n"/>
      <c r="T74" s="972" t="n"/>
      <c r="U74" s="972" t="n"/>
      <c r="V74" s="972" t="n">
        <v>8592694.422000665</v>
      </c>
      <c r="W74" s="506" t="n">
        <v>0.036022</v>
      </c>
      <c r="X74" s="972" t="n">
        <v>8526058.065025935</v>
      </c>
      <c r="Y74" s="506" t="n">
        <v>0.036022</v>
      </c>
      <c r="AA74" s="972" t="n">
        <v>7852648.780237812</v>
      </c>
      <c r="AB74" s="506" t="n">
        <v>0.022458</v>
      </c>
      <c r="AC74" s="972" t="n">
        <v>4315512.337696454</v>
      </c>
      <c r="AD74" s="506" t="n">
        <v>0.004978</v>
      </c>
      <c r="AE74" s="972" t="n">
        <v>10365761.12719386</v>
      </c>
      <c r="AF74" s="506" t="n">
        <v>0.003474</v>
      </c>
      <c r="AG74" s="972" t="n">
        <v>16991162.01251079</v>
      </c>
      <c r="AH74" s="506" t="n">
        <v>0.001656</v>
      </c>
      <c r="AI74" s="972" t="n">
        <v>40901547.83017462</v>
      </c>
      <c r="AJ74" s="506" t="n">
        <v>0.003998</v>
      </c>
      <c r="AL74" s="972" t="n">
        <v>8990813.006171087</v>
      </c>
      <c r="AM74" s="506" t="n">
        <v>0.009039999999999999</v>
      </c>
      <c r="AN74" s="972" t="n">
        <v>8204546.541422214</v>
      </c>
      <c r="AO74" s="506" t="n">
        <v>0.023288</v>
      </c>
      <c r="AP74" s="972" t="n">
        <v>8919665.905816631</v>
      </c>
      <c r="AQ74" s="506" t="n">
        <v>0.004166</v>
      </c>
      <c r="AS74" s="972" t="n">
        <v>46.62720325129998</v>
      </c>
      <c r="AT74" s="531" t="n">
        <v>0.036022</v>
      </c>
      <c r="AU74" s="972" t="n">
        <v>46.37406973993131</v>
      </c>
      <c r="AV74" s="531" t="n">
        <v>0.036022</v>
      </c>
      <c r="BA74" s="972">
        <f>V74/1000000</f>
        <v/>
      </c>
      <c r="BB74" s="972">
        <f>W74</f>
        <v/>
      </c>
      <c r="BC74" s="972">
        <f>X74/1000000</f>
        <v/>
      </c>
      <c r="BD74" s="972">
        <f>Y74</f>
        <v/>
      </c>
    </row>
    <row r="75" ht="15" customHeight="1" s="508">
      <c r="S75" s="972" t="n"/>
      <c r="T75" s="972" t="n"/>
      <c r="U75" s="972" t="n"/>
      <c r="V75" s="972" t="n">
        <v>8729614.44029445</v>
      </c>
      <c r="W75" s="506" t="n">
        <v>0.035768</v>
      </c>
      <c r="X75" s="972" t="n">
        <v>8672608.207685128</v>
      </c>
      <c r="Y75" s="506" t="n">
        <v>0.035768</v>
      </c>
      <c r="AA75" s="972" t="n">
        <v>7989282.230669984</v>
      </c>
      <c r="AB75" s="506" t="n">
        <v>0.0223</v>
      </c>
      <c r="AC75" s="972" t="n">
        <v>4394857.903595259</v>
      </c>
      <c r="AD75" s="506" t="n">
        <v>0.004942</v>
      </c>
      <c r="AE75" s="972" t="n">
        <v>10604105.78809097</v>
      </c>
      <c r="AF75" s="506" t="n">
        <v>0.00345</v>
      </c>
      <c r="AG75" s="972" t="n">
        <v>17552620.54575017</v>
      </c>
      <c r="AH75" s="506" t="n">
        <v>0.001644</v>
      </c>
      <c r="AI75" s="972" t="n">
        <v>41499156.96387958</v>
      </c>
      <c r="AJ75" s="506" t="n">
        <v>0.00397</v>
      </c>
      <c r="AL75" s="972" t="n">
        <v>9199435.272926582</v>
      </c>
      <c r="AM75" s="506" t="n">
        <v>0.008976</v>
      </c>
      <c r="AN75" s="972" t="n">
        <v>8361412.597741207</v>
      </c>
      <c r="AO75" s="506" t="n">
        <v>0.023124</v>
      </c>
      <c r="AP75" s="972" t="n">
        <v>9102499.000576206</v>
      </c>
      <c r="AQ75" s="506" t="n">
        <v>0.004136</v>
      </c>
      <c r="AS75" s="972" t="n">
        <v>47.43829492292618</v>
      </c>
      <c r="AT75" s="531" t="n">
        <v>0.035768</v>
      </c>
      <c r="AU75" s="972" t="n">
        <v>47.24327788961492</v>
      </c>
      <c r="AV75" s="531" t="n">
        <v>0.035768</v>
      </c>
      <c r="BA75" s="972">
        <f>V75/1000000</f>
        <v/>
      </c>
      <c r="BB75" s="972">
        <f>W75</f>
        <v/>
      </c>
      <c r="BC75" s="972">
        <f>X75/1000000</f>
        <v/>
      </c>
      <c r="BD75" s="972">
        <f>Y75</f>
        <v/>
      </c>
    </row>
    <row r="76" ht="15" customHeight="1" s="508">
      <c r="S76" s="972" t="n"/>
      <c r="T76" s="972" t="n"/>
      <c r="U76" s="972" t="n"/>
      <c r="V76" s="972" t="n">
        <v>8871491.233308526</v>
      </c>
      <c r="W76" s="506" t="n">
        <v>0.035516</v>
      </c>
      <c r="X76" s="972" t="n">
        <v>8827857.321864085</v>
      </c>
      <c r="Y76" s="506" t="n">
        <v>0.035516</v>
      </c>
      <c r="AA76" s="972" t="n">
        <v>8097191.050343181</v>
      </c>
      <c r="AB76" s="506" t="n">
        <v>0.022142</v>
      </c>
      <c r="AC76" s="972" t="n">
        <v>4470723.353812177</v>
      </c>
      <c r="AD76" s="506" t="n">
        <v>0.004908</v>
      </c>
      <c r="AE76" s="972" t="n">
        <v>10914313.64993917</v>
      </c>
      <c r="AF76" s="506" t="n">
        <v>0.003424</v>
      </c>
      <c r="AG76" s="972" t="n">
        <v>17996856.25054978</v>
      </c>
      <c r="AH76" s="506" t="n">
        <v>0.001632</v>
      </c>
      <c r="AI76" s="972" t="n">
        <v>41958177.19419724</v>
      </c>
      <c r="AJ76" s="506" t="n">
        <v>0.003942</v>
      </c>
      <c r="AL76" s="972" t="n">
        <v>9389182.712592654</v>
      </c>
      <c r="AM76" s="506" t="n">
        <v>0.008912</v>
      </c>
      <c r="AN76" s="972" t="n">
        <v>8502676.316496439</v>
      </c>
      <c r="AO76" s="506" t="n">
        <v>0.02296</v>
      </c>
      <c r="AP76" s="972" t="n">
        <v>9209133.266790958</v>
      </c>
      <c r="AQ76" s="506" t="n">
        <v>0.004108</v>
      </c>
      <c r="AS76" s="972" t="n">
        <v>48.17989292831457</v>
      </c>
      <c r="AT76" s="531" t="n">
        <v>0.035516</v>
      </c>
      <c r="AU76" s="972" t="n">
        <v>47.93452349629452</v>
      </c>
      <c r="AV76" s="531" t="n">
        <v>0.035516</v>
      </c>
      <c r="BA76" s="972">
        <f>V76/1000000</f>
        <v/>
      </c>
      <c r="BB76" s="972">
        <f>W76</f>
        <v/>
      </c>
      <c r="BC76" s="972">
        <f>X76/1000000</f>
        <v/>
      </c>
      <c r="BD76" s="972">
        <f>Y76</f>
        <v/>
      </c>
    </row>
    <row r="77" ht="15" customHeight="1" s="508">
      <c r="S77" s="972" t="n"/>
      <c r="T77" s="972" t="n"/>
      <c r="U77" s="972" t="n"/>
      <c r="V77" s="972" t="n">
        <v>9040732.424328709</v>
      </c>
      <c r="W77" s="506" t="n">
        <v>0.035262</v>
      </c>
      <c r="X77" s="972" t="n">
        <v>8985606.922662783</v>
      </c>
      <c r="Y77" s="506" t="n">
        <v>0.035262</v>
      </c>
      <c r="AA77" s="972" t="n">
        <v>8202583.410249304</v>
      </c>
      <c r="AB77" s="506" t="n">
        <v>0.021984</v>
      </c>
      <c r="AC77" s="972" t="n">
        <v>4555166.316325158</v>
      </c>
      <c r="AD77" s="506" t="n">
        <v>0.004872</v>
      </c>
      <c r="AE77" s="972" t="n">
        <v>11110276.56317125</v>
      </c>
      <c r="AF77" s="506" t="n">
        <v>0.0034</v>
      </c>
      <c r="AG77" s="972" t="n">
        <v>18384949.57772207</v>
      </c>
      <c r="AH77" s="506" t="n">
        <v>0.00162</v>
      </c>
      <c r="AI77" s="972" t="n">
        <v>42352631.14170883</v>
      </c>
      <c r="AJ77" s="506" t="n">
        <v>0.003914</v>
      </c>
      <c r="AL77" s="972" t="n">
        <v>9562465.583464336</v>
      </c>
      <c r="AM77" s="506" t="n">
        <v>0.008848</v>
      </c>
      <c r="AN77" s="972" t="n">
        <v>8644928.934855437</v>
      </c>
      <c r="AO77" s="506" t="n">
        <v>0.022796</v>
      </c>
      <c r="AP77" s="972" t="n">
        <v>9375495.34216588</v>
      </c>
      <c r="AQ77" s="506" t="n">
        <v>0.004078</v>
      </c>
      <c r="AS77" s="972" t="n">
        <v>48.97380414904127</v>
      </c>
      <c r="AT77" s="531" t="n">
        <v>0.035262</v>
      </c>
      <c r="AU77" s="972" t="n">
        <v>48.70569302802392</v>
      </c>
      <c r="AV77" s="531" t="n">
        <v>0.035262</v>
      </c>
      <c r="BA77" s="972">
        <f>V77/1000000</f>
        <v/>
      </c>
      <c r="BB77" s="972">
        <f>W77</f>
        <v/>
      </c>
      <c r="BC77" s="972">
        <f>X77/1000000</f>
        <v/>
      </c>
      <c r="BD77" s="972">
        <f>Y77</f>
        <v/>
      </c>
    </row>
    <row r="78" ht="15" customHeight="1" s="508">
      <c r="S78" s="972" t="n"/>
      <c r="T78" s="972" t="n"/>
      <c r="U78" s="972" t="n"/>
      <c r="V78" s="972" t="n">
        <v>9165881.000296179</v>
      </c>
      <c r="W78" s="506" t="n">
        <v>0.035008</v>
      </c>
      <c r="X78" s="972" t="n">
        <v>9129286.631680273</v>
      </c>
      <c r="Y78" s="506" t="n">
        <v>0.035008</v>
      </c>
      <c r="AA78" s="972" t="n">
        <v>8345889.03364255</v>
      </c>
      <c r="AB78" s="506" t="n">
        <v>0.021826</v>
      </c>
      <c r="AC78" s="972" t="n">
        <v>4621419.551751855</v>
      </c>
      <c r="AD78" s="506" t="n">
        <v>0.004838</v>
      </c>
      <c r="AE78" s="972" t="n">
        <v>11279018.35025525</v>
      </c>
      <c r="AF78" s="506" t="n">
        <v>0.003376</v>
      </c>
      <c r="AG78" s="972" t="n">
        <v>18744473.18413502</v>
      </c>
      <c r="AH78" s="506" t="n">
        <v>0.00161</v>
      </c>
      <c r="AI78" s="972" t="n">
        <v>42842219.38275521</v>
      </c>
      <c r="AJ78" s="506" t="n">
        <v>0.003886</v>
      </c>
      <c r="AL78" s="972" t="n">
        <v>9768979.967510983</v>
      </c>
      <c r="AM78" s="506" t="n">
        <v>0.008786</v>
      </c>
      <c r="AN78" s="972" t="n">
        <v>8797084.322287915</v>
      </c>
      <c r="AO78" s="506" t="n">
        <v>0.022632</v>
      </c>
      <c r="AP78" s="972" t="n">
        <v>9588637.321765348</v>
      </c>
      <c r="AQ78" s="506" t="n">
        <v>0.004048</v>
      </c>
      <c r="AS78" s="972" t="n">
        <v>49.63015644130685</v>
      </c>
      <c r="AT78" s="531" t="n">
        <v>0.035008</v>
      </c>
      <c r="AU78" s="972" t="n">
        <v>49.39021228146422</v>
      </c>
      <c r="AV78" s="531" t="n">
        <v>0.035008</v>
      </c>
      <c r="BA78" s="972">
        <f>V78/1000000</f>
        <v/>
      </c>
      <c r="BB78" s="972">
        <f>W78</f>
        <v/>
      </c>
      <c r="BC78" s="972">
        <f>X78/1000000</f>
        <v/>
      </c>
      <c r="BD78" s="972">
        <f>Y78</f>
        <v/>
      </c>
    </row>
    <row r="79" ht="15" customHeight="1" s="508">
      <c r="S79" s="972" t="n"/>
      <c r="T79" s="972" t="n"/>
      <c r="U79" s="972" t="n"/>
      <c r="V79" s="972" t="n">
        <v>9295487.782821823</v>
      </c>
      <c r="W79" s="506" t="n">
        <v>0.034754</v>
      </c>
      <c r="X79" s="972" t="n">
        <v>9254582.32987396</v>
      </c>
      <c r="Y79" s="506" t="n">
        <v>0.034754</v>
      </c>
      <c r="AA79" s="972" t="n">
        <v>8485998.806685828</v>
      </c>
      <c r="AB79" s="506" t="n">
        <v>0.021668</v>
      </c>
      <c r="AC79" s="972" t="n">
        <v>4690164.346505832</v>
      </c>
      <c r="AD79" s="506" t="n">
        <v>0.004802</v>
      </c>
      <c r="AE79" s="972" t="n">
        <v>11501687.92436921</v>
      </c>
      <c r="AF79" s="506" t="n">
        <v>0.003352</v>
      </c>
      <c r="AG79" s="972" t="n">
        <v>18885366.17821222</v>
      </c>
      <c r="AH79" s="506" t="n">
        <v>0.001598</v>
      </c>
      <c r="AI79" s="972" t="n">
        <v>43497268.6611868</v>
      </c>
      <c r="AJ79" s="506" t="n">
        <v>0.003856</v>
      </c>
      <c r="AL79" s="972" t="n">
        <v>9969755.254413065</v>
      </c>
      <c r="AM79" s="506" t="n">
        <v>0.008722000000000001</v>
      </c>
      <c r="AN79" s="972" t="n">
        <v>8942496.096544445</v>
      </c>
      <c r="AO79" s="506" t="n">
        <v>0.022468</v>
      </c>
      <c r="AP79" s="972" t="n">
        <v>9848540.409494892</v>
      </c>
      <c r="AQ79" s="506" t="n">
        <v>0.00402</v>
      </c>
      <c r="AS79" s="972" t="n">
        <v>50.36644899127224</v>
      </c>
      <c r="AT79" s="531" t="n">
        <v>0.034754</v>
      </c>
      <c r="AU79" s="972" t="n">
        <v>50.16952857928172</v>
      </c>
      <c r="AV79" s="531" t="n">
        <v>0.034754</v>
      </c>
      <c r="BA79" s="972">
        <f>V79/1000000</f>
        <v/>
      </c>
      <c r="BB79" s="972">
        <f>W79</f>
        <v/>
      </c>
      <c r="BC79" s="972">
        <f>X79/1000000</f>
        <v/>
      </c>
      <c r="BD79" s="972">
        <f>Y79</f>
        <v/>
      </c>
    </row>
    <row r="80" ht="15" customHeight="1" s="508">
      <c r="S80" s="972" t="n"/>
      <c r="T80" s="972" t="n"/>
      <c r="U80" s="972" t="n"/>
      <c r="V80" s="972" t="n">
        <v>9472338.204093508</v>
      </c>
      <c r="W80" s="506" t="n">
        <v>0.0345</v>
      </c>
      <c r="X80" s="972" t="n">
        <v>9406623.224287989</v>
      </c>
      <c r="Y80" s="506" t="n">
        <v>0.0345</v>
      </c>
      <c r="AA80" s="972" t="n">
        <v>8620541.586217962</v>
      </c>
      <c r="AB80" s="506" t="n">
        <v>0.02151</v>
      </c>
      <c r="AC80" s="972" t="n">
        <v>4768023.928874993</v>
      </c>
      <c r="AD80" s="506" t="n">
        <v>0.004768</v>
      </c>
      <c r="AE80" s="972" t="n">
        <v>11672931.88322211</v>
      </c>
      <c r="AF80" s="506" t="n">
        <v>0.003328</v>
      </c>
      <c r="AG80" s="972" t="n">
        <v>19084057.53217347</v>
      </c>
      <c r="AH80" s="506" t="n">
        <v>0.001586</v>
      </c>
      <c r="AI80" s="972" t="n">
        <v>44212212.19874837</v>
      </c>
      <c r="AJ80" s="506" t="n">
        <v>0.003828</v>
      </c>
      <c r="AL80" s="972" t="n">
        <v>10125862.9233716</v>
      </c>
      <c r="AM80" s="506" t="n">
        <v>0.008658000000000001</v>
      </c>
      <c r="AN80" s="972" t="n">
        <v>9087003.249183357</v>
      </c>
      <c r="AO80" s="506" t="n">
        <v>0.022304</v>
      </c>
      <c r="AP80" s="972" t="n">
        <v>10049557.36260466</v>
      </c>
      <c r="AQ80" s="506" t="n">
        <v>0.00399</v>
      </c>
      <c r="AS80" s="972" t="n">
        <v>51.22101070377904</v>
      </c>
      <c r="AT80" s="531" t="n">
        <v>0.0345</v>
      </c>
      <c r="AU80" s="972" t="n">
        <v>50.93630808874879</v>
      </c>
      <c r="AV80" s="531" t="n">
        <v>0.0345</v>
      </c>
      <c r="BA80" s="972">
        <f>V80/1000000</f>
        <v/>
      </c>
      <c r="BB80" s="972">
        <f>W80</f>
        <v/>
      </c>
      <c r="BC80" s="972">
        <f>X80/1000000</f>
        <v/>
      </c>
      <c r="BD80" s="972">
        <f>Y80</f>
        <v/>
      </c>
    </row>
    <row r="81" ht="15" customHeight="1" s="508">
      <c r="S81" s="972" t="n"/>
      <c r="T81" s="972" t="n"/>
      <c r="U81" s="972" t="n"/>
      <c r="V81" s="972" t="n">
        <v>9659336.878991053</v>
      </c>
      <c r="W81" s="506" t="n">
        <v>0.034246</v>
      </c>
      <c r="X81" s="972" t="n">
        <v>9588355.785223849</v>
      </c>
      <c r="Y81" s="506" t="n">
        <v>0.034246</v>
      </c>
      <c r="AA81" s="972" t="n">
        <v>8746247.979835004</v>
      </c>
      <c r="AB81" s="506" t="n">
        <v>0.021352</v>
      </c>
      <c r="AC81" s="972" t="n">
        <v>4836090.47290281</v>
      </c>
      <c r="AD81" s="506" t="n">
        <v>0.004732</v>
      </c>
      <c r="AE81" s="972" t="n">
        <v>11782894.92807362</v>
      </c>
      <c r="AF81" s="506" t="n">
        <v>0.003302</v>
      </c>
      <c r="AG81" s="972" t="n">
        <v>19353600.04756046</v>
      </c>
      <c r="AH81" s="506" t="n">
        <v>0.001574</v>
      </c>
      <c r="AI81" s="972" t="n">
        <v>44664993.14091326</v>
      </c>
      <c r="AJ81" s="506" t="n">
        <v>0.0038</v>
      </c>
      <c r="AL81" s="972" t="n">
        <v>10295822.29472391</v>
      </c>
      <c r="AM81" s="506" t="n">
        <v>0.008593999999999999</v>
      </c>
      <c r="AN81" s="972" t="n">
        <v>9192383.888477501</v>
      </c>
      <c r="AO81" s="506" t="n">
        <v>0.02214</v>
      </c>
      <c r="AP81" s="972" t="n">
        <v>10228516.4576603</v>
      </c>
      <c r="AQ81" s="506" t="n">
        <v>0.00396</v>
      </c>
      <c r="AS81" s="972" t="n">
        <v>52.13303038319827</v>
      </c>
      <c r="AT81" s="531" t="n">
        <v>0.034246</v>
      </c>
      <c r="AU81" s="972" t="n">
        <v>51.85078870396134</v>
      </c>
      <c r="AV81" s="531" t="n">
        <v>0.034246</v>
      </c>
      <c r="BA81" s="972">
        <f>V81/1000000</f>
        <v/>
      </c>
      <c r="BB81" s="972">
        <f>W81</f>
        <v/>
      </c>
      <c r="BC81" s="972">
        <f>X81/1000000</f>
        <v/>
      </c>
      <c r="BD81" s="972">
        <f>Y81</f>
        <v/>
      </c>
    </row>
    <row r="82" ht="15" customHeight="1" s="508">
      <c r="S82" s="972" t="n"/>
      <c r="T82" s="972" t="n"/>
      <c r="U82" s="972" t="n"/>
      <c r="V82" s="972" t="n">
        <v>9837070.80325973</v>
      </c>
      <c r="W82" s="506" t="n">
        <v>0.033994</v>
      </c>
      <c r="X82" s="972" t="n">
        <v>9782038.68679896</v>
      </c>
      <c r="Y82" s="506" t="n">
        <v>0.033994</v>
      </c>
      <c r="AA82" s="972" t="n">
        <v>8860803.724645434</v>
      </c>
      <c r="AB82" s="506" t="n">
        <v>0.021194</v>
      </c>
      <c r="AC82" s="972" t="n">
        <v>4918881.665742462</v>
      </c>
      <c r="AD82" s="506" t="n">
        <v>0.004698</v>
      </c>
      <c r="AE82" s="972" t="n">
        <v>11941051.83924626</v>
      </c>
      <c r="AF82" s="506" t="n">
        <v>0.003278</v>
      </c>
      <c r="AG82" s="972" t="n">
        <v>19637784.02538643</v>
      </c>
      <c r="AH82" s="506" t="n">
        <v>0.001562</v>
      </c>
      <c r="AI82" s="972" t="n">
        <v>44957454.57392035</v>
      </c>
      <c r="AJ82" s="506" t="n">
        <v>0.003772</v>
      </c>
      <c r="AL82" s="972" t="n">
        <v>10442145.30283936</v>
      </c>
      <c r="AM82" s="506" t="n">
        <v>0.008529999999999999</v>
      </c>
      <c r="AN82" s="972" t="n">
        <v>9301763.402768364</v>
      </c>
      <c r="AO82" s="506" t="n">
        <v>0.021976</v>
      </c>
      <c r="AP82" s="972" t="n">
        <v>10432667.24951342</v>
      </c>
      <c r="AQ82" s="506" t="n">
        <v>0.003932</v>
      </c>
      <c r="AS82" s="972" t="n">
        <v>52.92416217390684</v>
      </c>
      <c r="AT82" s="531" t="n">
        <v>0.033994</v>
      </c>
      <c r="AU82" s="972" t="n">
        <v>52.6181459457168</v>
      </c>
      <c r="AV82" s="531" t="n">
        <v>0.033994</v>
      </c>
      <c r="BA82" s="972">
        <f>V82/1000000</f>
        <v/>
      </c>
      <c r="BB82" s="972">
        <f>W82</f>
        <v/>
      </c>
      <c r="BC82" s="972">
        <f>X82/1000000</f>
        <v/>
      </c>
      <c r="BD82" s="972">
        <f>Y82</f>
        <v/>
      </c>
    </row>
    <row r="83" ht="15" customHeight="1" s="508">
      <c r="S83" s="972" t="n"/>
      <c r="T83" s="972" t="n"/>
      <c r="U83" s="972" t="n"/>
      <c r="V83" s="972" t="n">
        <v>9987088.81592234</v>
      </c>
      <c r="W83" s="506" t="n">
        <v>0.03374</v>
      </c>
      <c r="X83" s="972" t="n">
        <v>9935533.027493393</v>
      </c>
      <c r="Y83" s="506" t="n">
        <v>0.03374</v>
      </c>
      <c r="AA83" s="972" t="n">
        <v>9009342.33854384</v>
      </c>
      <c r="AB83" s="506" t="n">
        <v>0.021036</v>
      </c>
      <c r="AC83" s="972" t="n">
        <v>4996906.936939696</v>
      </c>
      <c r="AD83" s="506" t="n">
        <v>0.004662</v>
      </c>
      <c r="AE83" s="972" t="n">
        <v>12086378.56212495</v>
      </c>
      <c r="AF83" s="506" t="n">
        <v>0.003254</v>
      </c>
      <c r="AG83" s="972" t="n">
        <v>19924710.53357833</v>
      </c>
      <c r="AH83" s="506" t="n">
        <v>0.00155</v>
      </c>
      <c r="AI83" s="972" t="n">
        <v>45990371.85791545</v>
      </c>
      <c r="AJ83" s="506" t="n">
        <v>0.003744</v>
      </c>
      <c r="AL83" s="972" t="n">
        <v>10704852.2286427</v>
      </c>
      <c r="AM83" s="506" t="n">
        <v>0.008466</v>
      </c>
      <c r="AN83" s="972" t="n">
        <v>9469877.717593964</v>
      </c>
      <c r="AO83" s="506" t="n">
        <v>0.021812</v>
      </c>
      <c r="AP83" s="972" t="n">
        <v>10588143.71648441</v>
      </c>
      <c r="AQ83" s="506" t="n">
        <v>0.003902</v>
      </c>
      <c r="AS83" s="972" t="n">
        <v>53.70851352906935</v>
      </c>
      <c r="AT83" s="531" t="n">
        <v>0.03374</v>
      </c>
      <c r="AU83" s="972" t="n">
        <v>53.40254997325189</v>
      </c>
      <c r="AV83" s="531" t="n">
        <v>0.03374</v>
      </c>
      <c r="BA83" s="972">
        <f>V83/1000000</f>
        <v/>
      </c>
      <c r="BB83" s="972">
        <f>W83</f>
        <v/>
      </c>
      <c r="BC83" s="972">
        <f>X83/1000000</f>
        <v/>
      </c>
      <c r="BD83" s="972">
        <f>Y83</f>
        <v/>
      </c>
    </row>
    <row r="84" ht="15" customHeight="1" s="508">
      <c r="S84" s="972" t="n"/>
      <c r="T84" s="972" t="n"/>
      <c r="U84" s="972" t="n"/>
      <c r="V84" s="972" t="n">
        <v>10150542.01326749</v>
      </c>
      <c r="W84" s="506" t="n">
        <v>0.033486</v>
      </c>
      <c r="X84" s="972" t="n">
        <v>10096671.37908692</v>
      </c>
      <c r="Y84" s="506" t="n">
        <v>0.033486</v>
      </c>
      <c r="AA84" s="972" t="n">
        <v>9118477.623550072</v>
      </c>
      <c r="AB84" s="506" t="n">
        <v>0.020878</v>
      </c>
      <c r="AC84" s="972" t="n">
        <v>5071422.171055751</v>
      </c>
      <c r="AD84" s="506" t="n">
        <v>0.004628</v>
      </c>
      <c r="AE84" s="972" t="n">
        <v>12296806.00128719</v>
      </c>
      <c r="AF84" s="506" t="n">
        <v>0.00323</v>
      </c>
      <c r="AG84" s="972" t="n">
        <v>20127180.72459297</v>
      </c>
      <c r="AH84" s="506" t="n">
        <v>0.00154</v>
      </c>
      <c r="AI84" s="972" t="n">
        <v>46425381.78084721</v>
      </c>
      <c r="AJ84" s="506" t="n">
        <v>0.003716</v>
      </c>
      <c r="AL84" s="972" t="n">
        <v>10943195.06222658</v>
      </c>
      <c r="AM84" s="506" t="n">
        <v>0.008404</v>
      </c>
      <c r="AN84" s="972" t="n">
        <v>9661337.520765439</v>
      </c>
      <c r="AO84" s="506" t="n">
        <v>0.021648</v>
      </c>
      <c r="AP84" s="972" t="n">
        <v>10827314.81237434</v>
      </c>
      <c r="AQ84" s="506" t="n">
        <v>0.003872</v>
      </c>
      <c r="AS84" s="972" t="n">
        <v>54.63992860607954</v>
      </c>
      <c r="AT84" s="531" t="n">
        <v>0.033486</v>
      </c>
      <c r="AU84" s="972" t="n">
        <v>54.26648035204715</v>
      </c>
      <c r="AV84" s="531" t="n">
        <v>0.033486</v>
      </c>
      <c r="BA84" s="972">
        <f>V84/1000000</f>
        <v/>
      </c>
      <c r="BB84" s="972">
        <f>W84</f>
        <v/>
      </c>
      <c r="BC84" s="972">
        <f>X84/1000000</f>
        <v/>
      </c>
      <c r="BD84" s="972">
        <f>Y84</f>
        <v/>
      </c>
    </row>
    <row r="85" ht="15" customHeight="1" s="508">
      <c r="S85" s="972" t="n"/>
      <c r="T85" s="972" t="n"/>
      <c r="U85" s="972" t="n"/>
      <c r="V85" s="972" t="n">
        <v>10310540.65314097</v>
      </c>
      <c r="W85" s="506" t="n">
        <v>0.033232</v>
      </c>
      <c r="X85" s="972" t="n">
        <v>10252123.46297763</v>
      </c>
      <c r="Y85" s="506" t="n">
        <v>0.033232</v>
      </c>
      <c r="AA85" s="972" t="n">
        <v>9212267.824674502</v>
      </c>
      <c r="AB85" s="506" t="n">
        <v>0.02072</v>
      </c>
      <c r="AC85" s="972" t="n">
        <v>5173039.934136376</v>
      </c>
      <c r="AD85" s="506" t="n">
        <v>0.004592</v>
      </c>
      <c r="AE85" s="972" t="n">
        <v>12543783.64682563</v>
      </c>
      <c r="AF85" s="506" t="n">
        <v>0.003204</v>
      </c>
      <c r="AG85" s="972" t="n">
        <v>20350541.80714808</v>
      </c>
      <c r="AH85" s="506" t="n">
        <v>0.001528</v>
      </c>
      <c r="AI85" s="972" t="n">
        <v>47315078.42016142</v>
      </c>
      <c r="AJ85" s="506" t="n">
        <v>0.003688</v>
      </c>
      <c r="AL85" s="972" t="n">
        <v>11138819.24756319</v>
      </c>
      <c r="AM85" s="506" t="n">
        <v>0.00834</v>
      </c>
      <c r="AN85" s="972" t="n">
        <v>9815007.119856047</v>
      </c>
      <c r="AO85" s="506" t="n">
        <v>0.021484</v>
      </c>
      <c r="AP85" s="972" t="n">
        <v>11005469.16956045</v>
      </c>
      <c r="AQ85" s="506" t="n">
        <v>0.003844</v>
      </c>
      <c r="AS85" s="972" t="n">
        <v>55.54723518259935</v>
      </c>
      <c r="AT85" s="531" t="n">
        <v>0.033232</v>
      </c>
      <c r="AU85" s="972" t="n">
        <v>55.13838352914486</v>
      </c>
      <c r="AV85" s="531" t="n">
        <v>0.033232</v>
      </c>
      <c r="BA85" s="972">
        <f>V85/1000000</f>
        <v/>
      </c>
      <c r="BB85" s="972">
        <f>W85</f>
        <v/>
      </c>
      <c r="BC85" s="972">
        <f>X85/1000000</f>
        <v/>
      </c>
      <c r="BD85" s="972">
        <f>Y85</f>
        <v/>
      </c>
    </row>
    <row r="86" ht="15" customHeight="1" s="508">
      <c r="S86" s="972" t="n"/>
      <c r="T86" s="972" t="n"/>
      <c r="U86" s="972" t="n"/>
      <c r="V86" s="972" t="n">
        <v>10491134.75339116</v>
      </c>
      <c r="W86" s="506" t="n">
        <v>0.032978</v>
      </c>
      <c r="X86" s="972" t="n">
        <v>10431249.18554096</v>
      </c>
      <c r="Y86" s="506" t="n">
        <v>0.032978</v>
      </c>
      <c r="AA86" s="972" t="n">
        <v>9340667.579208896</v>
      </c>
      <c r="AB86" s="506" t="n">
        <v>0.020562</v>
      </c>
      <c r="AC86" s="972" t="n">
        <v>5250427.273202666</v>
      </c>
      <c r="AD86" s="506" t="n">
        <v>0.004558</v>
      </c>
      <c r="AE86" s="972" t="n">
        <v>12659474.7718403</v>
      </c>
      <c r="AF86" s="506" t="n">
        <v>0.00318</v>
      </c>
      <c r="AG86" s="972" t="n">
        <v>20627220.62865857</v>
      </c>
      <c r="AH86" s="506" t="n">
        <v>0.001516</v>
      </c>
      <c r="AI86" s="972" t="n">
        <v>47725958.94656268</v>
      </c>
      <c r="AJ86" s="506" t="n">
        <v>0.00366</v>
      </c>
      <c r="AL86" s="972" t="n">
        <v>11346491.95590689</v>
      </c>
      <c r="AM86" s="506" t="n">
        <v>0.008276</v>
      </c>
      <c r="AN86" s="972" t="n">
        <v>9942615.326232802</v>
      </c>
      <c r="AO86" s="506" t="n">
        <v>0.02132</v>
      </c>
      <c r="AP86" s="972" t="n">
        <v>11165554.63223811</v>
      </c>
      <c r="AQ86" s="506" t="n">
        <v>0.003814</v>
      </c>
      <c r="AS86" s="972" t="n">
        <v>56.44354616112037</v>
      </c>
      <c r="AT86" s="531" t="n">
        <v>0.032978</v>
      </c>
      <c r="AU86" s="972" t="n">
        <v>55.96401155829102</v>
      </c>
      <c r="AV86" s="531" t="n">
        <v>0.032978</v>
      </c>
      <c r="BA86" s="972">
        <f>V86/1000000</f>
        <v/>
      </c>
      <c r="BB86" s="972">
        <f>W86</f>
        <v/>
      </c>
      <c r="BC86" s="972">
        <f>X86/1000000</f>
        <v/>
      </c>
      <c r="BD86" s="972">
        <f>Y86</f>
        <v/>
      </c>
    </row>
    <row r="87" ht="15" customHeight="1" s="508">
      <c r="S87" s="972" t="n"/>
      <c r="T87" s="972" t="n"/>
      <c r="U87" s="972" t="n"/>
      <c r="V87" s="972" t="n">
        <v>10678797.08393799</v>
      </c>
      <c r="W87" s="506" t="n">
        <v>0.032724</v>
      </c>
      <c r="X87" s="972" t="n">
        <v>10620635.3597207</v>
      </c>
      <c r="Y87" s="506" t="n">
        <v>0.032724</v>
      </c>
      <c r="AA87" s="972" t="n">
        <v>9515845.850385023</v>
      </c>
      <c r="AB87" s="506" t="n">
        <v>0.020404</v>
      </c>
      <c r="AC87" s="972" t="n">
        <v>5315449.176953143</v>
      </c>
      <c r="AD87" s="506" t="n">
        <v>0.004522</v>
      </c>
      <c r="AE87" s="972" t="n">
        <v>12857075.2637422</v>
      </c>
      <c r="AF87" s="506" t="n">
        <v>0.003156</v>
      </c>
      <c r="AG87" s="972" t="n">
        <v>20838975.76738344</v>
      </c>
      <c r="AH87" s="506" t="n">
        <v>0.001504</v>
      </c>
      <c r="AI87" s="972" t="n">
        <v>48301965.6626718</v>
      </c>
      <c r="AJ87" s="506" t="n">
        <v>0.003632</v>
      </c>
      <c r="AL87" s="972" t="n">
        <v>11565451.82328114</v>
      </c>
      <c r="AM87" s="506" t="n">
        <v>0.008212000000000001</v>
      </c>
      <c r="AN87" s="972" t="n">
        <v>10099690.67707789</v>
      </c>
      <c r="AO87" s="506" t="n">
        <v>0.021156</v>
      </c>
      <c r="AP87" s="972" t="n">
        <v>11321167.09128551</v>
      </c>
      <c r="AQ87" s="506" t="n">
        <v>0.003784</v>
      </c>
      <c r="AS87" s="972" t="n">
        <v>57.4477557898328</v>
      </c>
      <c r="AT87" s="531" t="n">
        <v>0.032724</v>
      </c>
      <c r="AU87" s="972" t="n">
        <v>56.96976993231097</v>
      </c>
      <c r="AV87" s="531" t="n">
        <v>0.032724</v>
      </c>
      <c r="BA87" s="972">
        <f>V87/1000000</f>
        <v/>
      </c>
      <c r="BB87" s="972">
        <f>W87</f>
        <v/>
      </c>
      <c r="BC87" s="972">
        <f>X87/1000000</f>
        <v/>
      </c>
      <c r="BD87" s="972">
        <f>Y87</f>
        <v/>
      </c>
    </row>
    <row r="88" ht="15" customHeight="1" s="508">
      <c r="S88" s="972" t="n"/>
      <c r="T88" s="972" t="n"/>
      <c r="U88" s="972" t="n"/>
      <c r="V88" s="972" t="n">
        <v>10879642.68037225</v>
      </c>
      <c r="W88" s="506" t="n">
        <v>0.032472</v>
      </c>
      <c r="X88" s="972" t="n">
        <v>10818596.6635171</v>
      </c>
      <c r="Y88" s="506" t="n">
        <v>0.032472</v>
      </c>
      <c r="AA88" s="972" t="n">
        <v>9672627.058655186</v>
      </c>
      <c r="AB88" s="506" t="n">
        <v>0.020246</v>
      </c>
      <c r="AC88" s="972" t="n">
        <v>5417645.193067496</v>
      </c>
      <c r="AD88" s="506" t="n">
        <v>0.004488</v>
      </c>
      <c r="AE88" s="972" t="n">
        <v>13152419.89535486</v>
      </c>
      <c r="AF88" s="506" t="n">
        <v>0.003132</v>
      </c>
      <c r="AG88" s="972" t="n">
        <v>21223062.21943704</v>
      </c>
      <c r="AH88" s="506" t="n">
        <v>0.001492</v>
      </c>
      <c r="AI88" s="972" t="n">
        <v>48544223.32990593</v>
      </c>
      <c r="AJ88" s="506" t="n">
        <v>0.003604</v>
      </c>
      <c r="AL88" s="972" t="n">
        <v>11763329.59380069</v>
      </c>
      <c r="AM88" s="506" t="n">
        <v>0.008148000000000001</v>
      </c>
      <c r="AN88" s="972" t="n">
        <v>10250343.0968926</v>
      </c>
      <c r="AO88" s="506" t="n">
        <v>0.020992</v>
      </c>
      <c r="AP88" s="972" t="n">
        <v>11495681.73842373</v>
      </c>
      <c r="AQ88" s="506" t="n">
        <v>0.003756</v>
      </c>
      <c r="AS88" s="972" t="n">
        <v>58.17390230399899</v>
      </c>
      <c r="AT88" s="531" t="n">
        <v>0.032472</v>
      </c>
      <c r="AU88" s="972" t="n">
        <v>57.86488617378014</v>
      </c>
      <c r="AV88" s="531" t="n">
        <v>0.032472</v>
      </c>
      <c r="BA88" s="972">
        <f>V88/1000000</f>
        <v/>
      </c>
      <c r="BB88" s="972">
        <f>W88</f>
        <v/>
      </c>
      <c r="BC88" s="972">
        <f>X88/1000000</f>
        <v/>
      </c>
      <c r="BD88" s="972">
        <f>Y88</f>
        <v/>
      </c>
    </row>
    <row r="89" ht="15" customHeight="1" s="508">
      <c r="S89" s="972" t="n"/>
      <c r="T89" s="972" t="n"/>
      <c r="U89" s="972" t="n"/>
      <c r="V89" s="972" t="n">
        <v>11075829.56954044</v>
      </c>
      <c r="W89" s="506" t="n">
        <v>0.032218</v>
      </c>
      <c r="X89" s="972" t="n">
        <v>11014171.06675295</v>
      </c>
      <c r="Y89" s="506" t="n">
        <v>0.032218</v>
      </c>
      <c r="AA89" s="972" t="n">
        <v>9817110.091814332</v>
      </c>
      <c r="AB89" s="506" t="n">
        <v>0.020086</v>
      </c>
      <c r="AC89" s="972" t="n">
        <v>5556888.561887158</v>
      </c>
      <c r="AD89" s="506" t="n">
        <v>0.004452</v>
      </c>
      <c r="AE89" s="972" t="n">
        <v>13315100.51916454</v>
      </c>
      <c r="AF89" s="506" t="n">
        <v>0.003108</v>
      </c>
      <c r="AG89" s="972" t="n">
        <v>21533458.07112888</v>
      </c>
      <c r="AH89" s="506" t="n">
        <v>0.001482</v>
      </c>
      <c r="AI89" s="972" t="n">
        <v>49336292.69288691</v>
      </c>
      <c r="AJ89" s="506" t="n">
        <v>0.003576</v>
      </c>
      <c r="AL89" s="972" t="n">
        <v>11968430.70979801</v>
      </c>
      <c r="AM89" s="506" t="n">
        <v>0.008085999999999999</v>
      </c>
      <c r="AN89" s="972" t="n">
        <v>10428827.77986959</v>
      </c>
      <c r="AO89" s="506" t="n">
        <v>0.020828</v>
      </c>
      <c r="AP89" s="972" t="n">
        <v>11679320.54151643</v>
      </c>
      <c r="AQ89" s="506" t="n">
        <v>0.003726</v>
      </c>
      <c r="AS89" s="972" t="n">
        <v>59.1880827426516</v>
      </c>
      <c r="AT89" s="531" t="n">
        <v>0.032218</v>
      </c>
      <c r="AU89" s="972" t="n">
        <v>58.76462517862456</v>
      </c>
      <c r="AV89" s="531" t="n">
        <v>0.032218</v>
      </c>
      <c r="BA89" s="972">
        <f>V89/1000000</f>
        <v/>
      </c>
      <c r="BB89" s="972">
        <f>W89</f>
        <v/>
      </c>
      <c r="BC89" s="972">
        <f>X89/1000000</f>
        <v/>
      </c>
      <c r="BD89" s="972">
        <f>Y89</f>
        <v/>
      </c>
    </row>
    <row r="90" ht="15" customHeight="1" s="508">
      <c r="S90" s="972" t="n"/>
      <c r="T90" s="972" t="n"/>
      <c r="U90" s="972" t="n"/>
      <c r="V90" s="972" t="n">
        <v>11253057.07974298</v>
      </c>
      <c r="W90" s="506" t="n">
        <v>0.031964</v>
      </c>
      <c r="X90" s="972" t="n">
        <v>11193718.60857818</v>
      </c>
      <c r="Y90" s="506" t="n">
        <v>0.031964</v>
      </c>
      <c r="AA90" s="972" t="n">
        <v>9945426.751826243</v>
      </c>
      <c r="AB90" s="506" t="n">
        <v>0.019928</v>
      </c>
      <c r="AC90" s="972" t="n">
        <v>5619792.394033034</v>
      </c>
      <c r="AD90" s="506" t="n">
        <v>0.004418</v>
      </c>
      <c r="AE90" s="972" t="n">
        <v>13604354.84366178</v>
      </c>
      <c r="AF90" s="506" t="n">
        <v>0.003082</v>
      </c>
      <c r="AG90" s="972" t="n">
        <v>21727168.8980859</v>
      </c>
      <c r="AH90" s="506" t="n">
        <v>0.00147</v>
      </c>
      <c r="AI90" s="972" t="n">
        <v>49742655.23725116</v>
      </c>
      <c r="AJ90" s="506" t="n">
        <v>0.003548</v>
      </c>
      <c r="AL90" s="972" t="n">
        <v>12182379.98385228</v>
      </c>
      <c r="AM90" s="506" t="n">
        <v>0.008022</v>
      </c>
      <c r="AN90" s="972" t="n">
        <v>10602937.69062425</v>
      </c>
      <c r="AO90" s="506" t="n">
        <v>0.020664</v>
      </c>
      <c r="AP90" s="972" t="n">
        <v>11863886.7603461</v>
      </c>
      <c r="AQ90" s="506" t="n">
        <v>0.003696</v>
      </c>
      <c r="AS90" s="972" t="n">
        <v>59.99771279195547</v>
      </c>
      <c r="AT90" s="531" t="n">
        <v>0.031964</v>
      </c>
      <c r="AU90" s="972" t="n">
        <v>59.61051718372645</v>
      </c>
      <c r="AV90" s="531" t="n">
        <v>0.031964</v>
      </c>
      <c r="BA90" s="972">
        <f>V90/1000000</f>
        <v/>
      </c>
      <c r="BB90" s="972">
        <f>W90</f>
        <v/>
      </c>
      <c r="BC90" s="972">
        <f>X90/1000000</f>
        <v/>
      </c>
      <c r="BD90" s="972">
        <f>Y90</f>
        <v/>
      </c>
    </row>
    <row r="91" ht="15" customHeight="1" s="508">
      <c r="S91" s="972" t="n"/>
      <c r="T91" s="972" t="n"/>
      <c r="U91" s="972" t="n"/>
      <c r="V91" s="972" t="n">
        <v>11450101.74486744</v>
      </c>
      <c r="W91" s="506" t="n">
        <v>0.03171</v>
      </c>
      <c r="X91" s="972" t="n">
        <v>11370985.02536342</v>
      </c>
      <c r="Y91" s="506" t="n">
        <v>0.03171</v>
      </c>
      <c r="AA91" s="972" t="n">
        <v>10089492.09779894</v>
      </c>
      <c r="AB91" s="506" t="n">
        <v>0.01977</v>
      </c>
      <c r="AC91" s="972" t="n">
        <v>5722864.893645239</v>
      </c>
      <c r="AD91" s="506" t="n">
        <v>0.004382</v>
      </c>
      <c r="AE91" s="972" t="n">
        <v>13834802.44610325</v>
      </c>
      <c r="AF91" s="506" t="n">
        <v>0.003058</v>
      </c>
      <c r="AG91" s="972" t="n">
        <v>21953552.90569017</v>
      </c>
      <c r="AH91" s="506" t="n">
        <v>0.001458</v>
      </c>
      <c r="AI91" s="972" t="n">
        <v>50279593.49809127</v>
      </c>
      <c r="AJ91" s="506" t="n">
        <v>0.00352</v>
      </c>
      <c r="AL91" s="972" t="n">
        <v>12424369.07453301</v>
      </c>
      <c r="AM91" s="506" t="n">
        <v>0.007958</v>
      </c>
      <c r="AN91" s="972" t="n">
        <v>10770922.58888914</v>
      </c>
      <c r="AO91" s="506" t="n">
        <v>0.0205</v>
      </c>
      <c r="AP91" s="972" t="n">
        <v>12074529.80784201</v>
      </c>
      <c r="AQ91" s="506" t="n">
        <v>0.003668</v>
      </c>
      <c r="AS91" s="972" t="n">
        <v>60.94893409734129</v>
      </c>
      <c r="AT91" s="531" t="n">
        <v>0.03171</v>
      </c>
      <c r="AU91" s="972" t="n">
        <v>60.52860050541011</v>
      </c>
      <c r="AV91" s="531" t="n">
        <v>0.03171</v>
      </c>
      <c r="BA91" s="972">
        <f>V91/1000000</f>
        <v/>
      </c>
      <c r="BB91" s="972">
        <f>W91</f>
        <v/>
      </c>
      <c r="BC91" s="972">
        <f>X91/1000000</f>
        <v/>
      </c>
      <c r="BD91" s="972">
        <f>Y91</f>
        <v/>
      </c>
    </row>
    <row r="92" ht="15" customHeight="1" s="508">
      <c r="S92" s="972" t="n"/>
      <c r="T92" s="972" t="n"/>
      <c r="U92" s="972" t="n"/>
      <c r="V92" s="972" t="n">
        <v>11645599.0803618</v>
      </c>
      <c r="W92" s="506" t="n">
        <v>0.031456</v>
      </c>
      <c r="X92" s="972" t="n">
        <v>11563159.31531104</v>
      </c>
      <c r="Y92" s="506" t="n">
        <v>0.031456</v>
      </c>
      <c r="AA92" s="972" t="n">
        <v>10224741.30781982</v>
      </c>
      <c r="AB92" s="506" t="n">
        <v>0.019612</v>
      </c>
      <c r="AC92" s="972" t="n">
        <v>5779172.3005583</v>
      </c>
      <c r="AD92" s="506" t="n">
        <v>0.004348</v>
      </c>
      <c r="AE92" s="972" t="n">
        <v>14112592.69583977</v>
      </c>
      <c r="AF92" s="506" t="n">
        <v>0.003034</v>
      </c>
      <c r="AG92" s="972" t="n">
        <v>22363063.56572835</v>
      </c>
      <c r="AH92" s="506" t="n">
        <v>0.001446</v>
      </c>
      <c r="AI92" s="972" t="n">
        <v>50902238.82564503</v>
      </c>
      <c r="AJ92" s="506" t="n">
        <v>0.003492</v>
      </c>
      <c r="AL92" s="972" t="n">
        <v>12642260.24150142</v>
      </c>
      <c r="AM92" s="506" t="n">
        <v>0.007894</v>
      </c>
      <c r="AN92" s="972" t="n">
        <v>10986794.64321174</v>
      </c>
      <c r="AO92" s="506" t="n">
        <v>0.020336</v>
      </c>
      <c r="AP92" s="972" t="n">
        <v>12272014.62922345</v>
      </c>
      <c r="AQ92" s="506" t="n">
        <v>0.003638</v>
      </c>
      <c r="AS92" s="972" t="n">
        <v>61.78674936554212</v>
      </c>
      <c r="AT92" s="531" t="n">
        <v>0.031456</v>
      </c>
      <c r="AU92" s="972" t="n">
        <v>61.28918730057005</v>
      </c>
      <c r="AV92" s="531" t="n">
        <v>0.031456</v>
      </c>
      <c r="BA92" s="972">
        <f>V92/1000000</f>
        <v/>
      </c>
      <c r="BB92" s="972">
        <f>W92</f>
        <v/>
      </c>
      <c r="BC92" s="972">
        <f>X92/1000000</f>
        <v/>
      </c>
      <c r="BD92" s="972">
        <f>Y92</f>
        <v/>
      </c>
    </row>
    <row r="93" ht="15" customHeight="1" s="508">
      <c r="S93" s="972" t="n"/>
      <c r="T93" s="972" t="n"/>
      <c r="U93" s="972" t="n"/>
      <c r="V93" s="972" t="n">
        <v>11848132.889668</v>
      </c>
      <c r="W93" s="506" t="n">
        <v>0.031202</v>
      </c>
      <c r="X93" s="972" t="n">
        <v>11758271.15487391</v>
      </c>
      <c r="Y93" s="506" t="n">
        <v>0.031202</v>
      </c>
      <c r="AA93" s="972" t="n">
        <v>10384558.19402749</v>
      </c>
      <c r="AB93" s="506" t="n">
        <v>0.019454</v>
      </c>
      <c r="AC93" s="972" t="n">
        <v>5833502.046332608</v>
      </c>
      <c r="AD93" s="506" t="n">
        <v>0.004312</v>
      </c>
      <c r="AE93" s="972" t="n">
        <v>14324399.52708742</v>
      </c>
      <c r="AF93" s="506" t="n">
        <v>0.00301</v>
      </c>
      <c r="AG93" s="972" t="n">
        <v>22644874.66307921</v>
      </c>
      <c r="AH93" s="506" t="n">
        <v>0.001434</v>
      </c>
      <c r="AI93" s="972" t="n">
        <v>51673089.99580185</v>
      </c>
      <c r="AJ93" s="506" t="n">
        <v>0.003464</v>
      </c>
      <c r="AL93" s="972" t="n">
        <v>12857075.2637422</v>
      </c>
      <c r="AM93" s="506" t="n">
        <v>0.00783</v>
      </c>
      <c r="AN93" s="972" t="n">
        <v>11156078.4139015</v>
      </c>
      <c r="AO93" s="506" t="n">
        <v>0.020172</v>
      </c>
      <c r="AP93" s="972" t="n">
        <v>12540175.43042929</v>
      </c>
      <c r="AQ93" s="506" t="n">
        <v>0.003608</v>
      </c>
      <c r="AS93" s="972" t="n">
        <v>62.60419902726461</v>
      </c>
      <c r="AT93" s="531" t="n">
        <v>0.031202</v>
      </c>
      <c r="AU93" s="972" t="n">
        <v>62.13211640144591</v>
      </c>
      <c r="AV93" s="531" t="n">
        <v>0.031202</v>
      </c>
      <c r="BA93" s="972">
        <f>V93/1000000</f>
        <v/>
      </c>
      <c r="BB93" s="972">
        <f>W93</f>
        <v/>
      </c>
      <c r="BC93" s="972">
        <f>X93/1000000</f>
        <v/>
      </c>
      <c r="BD93" s="972">
        <f>Y93</f>
        <v/>
      </c>
    </row>
    <row r="94" ht="15" customHeight="1" s="508">
      <c r="S94" s="972" t="n"/>
      <c r="T94" s="972" t="n"/>
      <c r="U94" s="972" t="n"/>
      <c r="V94" s="972" t="n">
        <v>12022391.6540277</v>
      </c>
      <c r="W94" s="506" t="n">
        <v>0.03095</v>
      </c>
      <c r="X94" s="972" t="n">
        <v>11961623.25311081</v>
      </c>
      <c r="Y94" s="506" t="n">
        <v>0.03095</v>
      </c>
      <c r="AA94" s="972" t="n">
        <v>10557052.48268428</v>
      </c>
      <c r="AB94" s="506" t="n">
        <v>0.019296</v>
      </c>
      <c r="AC94" s="972" t="n">
        <v>5944601.513112659</v>
      </c>
      <c r="AD94" s="506" t="n">
        <v>0.004278</v>
      </c>
      <c r="AE94" s="972" t="n">
        <v>14556722.49325079</v>
      </c>
      <c r="AF94" s="506" t="n">
        <v>0.002984</v>
      </c>
      <c r="AG94" s="972" t="n">
        <v>22984016.92360838</v>
      </c>
      <c r="AH94" s="506" t="n">
        <v>0.001422</v>
      </c>
      <c r="AI94" s="972" t="n">
        <v>52310431.2852578</v>
      </c>
      <c r="AJ94" s="506" t="n">
        <v>0.003434</v>
      </c>
      <c r="AL94" s="972" t="n">
        <v>13073052.17185992</v>
      </c>
      <c r="AM94" s="506" t="n">
        <v>0.007766</v>
      </c>
      <c r="AN94" s="972" t="n">
        <v>11330070.0122635</v>
      </c>
      <c r="AO94" s="506" t="n">
        <v>0.020008</v>
      </c>
      <c r="AP94" s="972" t="n">
        <v>12778955.45921521</v>
      </c>
      <c r="AQ94" s="506" t="n">
        <v>0.00358</v>
      </c>
      <c r="AS94" s="972" t="n">
        <v>63.42680771091013</v>
      </c>
      <c r="AT94" s="531" t="n">
        <v>0.03095</v>
      </c>
      <c r="AU94" s="972" t="n">
        <v>62.92496036672475</v>
      </c>
      <c r="AV94" s="531" t="n">
        <v>0.03095</v>
      </c>
      <c r="BA94" s="972">
        <f>V94/1000000</f>
        <v/>
      </c>
      <c r="BB94" s="972">
        <f>W94</f>
        <v/>
      </c>
      <c r="BC94" s="972">
        <f>X94/1000000</f>
        <v/>
      </c>
      <c r="BD94" s="972">
        <f>Y94</f>
        <v/>
      </c>
    </row>
    <row r="95" ht="15" customHeight="1" s="508">
      <c r="S95" s="972" t="n"/>
      <c r="T95" s="972" t="n"/>
      <c r="U95" s="972" t="n"/>
      <c r="V95" s="972" t="n">
        <v>12223901.63015174</v>
      </c>
      <c r="W95" s="506" t="n">
        <v>0.030696</v>
      </c>
      <c r="X95" s="972" t="n">
        <v>12155494.57936685</v>
      </c>
      <c r="Y95" s="506" t="n">
        <v>0.030696</v>
      </c>
      <c r="AA95" s="972" t="n">
        <v>10721128.65053599</v>
      </c>
      <c r="AB95" s="506" t="n">
        <v>0.019138</v>
      </c>
      <c r="AC95" s="972" t="n">
        <v>6006412.72860327</v>
      </c>
      <c r="AD95" s="506" t="n">
        <v>0.004242</v>
      </c>
      <c r="AE95" s="972" t="n">
        <v>14799214.04926091</v>
      </c>
      <c r="AF95" s="506" t="n">
        <v>0.00296</v>
      </c>
      <c r="AG95" s="972" t="n">
        <v>23198663.74648694</v>
      </c>
      <c r="AH95" s="506" t="n">
        <v>0.001412</v>
      </c>
      <c r="AI95" s="972" t="n">
        <v>52956590.60853054</v>
      </c>
      <c r="AJ95" s="506" t="n">
        <v>0.003406</v>
      </c>
      <c r="AL95" s="972" t="n">
        <v>13266307.84359868</v>
      </c>
      <c r="AM95" s="506" t="n">
        <v>0.007704</v>
      </c>
      <c r="AN95" s="972" t="n">
        <v>11508950.48564756</v>
      </c>
      <c r="AO95" s="506" t="n">
        <v>0.019844</v>
      </c>
      <c r="AP95" s="972" t="n">
        <v>12944573.06322534</v>
      </c>
      <c r="AQ95" s="506" t="n">
        <v>0.00355</v>
      </c>
      <c r="AS95" s="972" t="n">
        <v>64.12994497743593</v>
      </c>
      <c r="AT95" s="531" t="n">
        <v>0.030696</v>
      </c>
      <c r="AU95" s="972" t="n">
        <v>63.7557274870466</v>
      </c>
      <c r="AV95" s="531" t="n">
        <v>0.030696</v>
      </c>
      <c r="BA95" s="972">
        <f>V95/1000000</f>
        <v/>
      </c>
      <c r="BB95" s="972">
        <f>W95</f>
        <v/>
      </c>
      <c r="BC95" s="972">
        <f>X95/1000000</f>
        <v/>
      </c>
      <c r="BD95" s="972">
        <f>Y95</f>
        <v/>
      </c>
    </row>
    <row r="96" ht="15" customHeight="1" s="508">
      <c r="S96" s="972" t="n"/>
      <c r="T96" s="972" t="n"/>
      <c r="U96" s="972" t="n"/>
      <c r="V96" s="972" t="n">
        <v>12439121.05386824</v>
      </c>
      <c r="W96" s="506" t="n">
        <v>0.030442</v>
      </c>
      <c r="X96" s="972" t="n">
        <v>12340736.75889607</v>
      </c>
      <c r="Y96" s="506" t="n">
        <v>0.030442</v>
      </c>
      <c r="AA96" s="972" t="n">
        <v>10882187.35431815</v>
      </c>
      <c r="AB96" s="506" t="n">
        <v>0.01898</v>
      </c>
      <c r="AC96" s="972" t="n">
        <v>6102024.790458247</v>
      </c>
      <c r="AD96" s="506" t="n">
        <v>0.004208</v>
      </c>
      <c r="AE96" s="972" t="n">
        <v>14947623.11469495</v>
      </c>
      <c r="AF96" s="506" t="n">
        <v>0.002936</v>
      </c>
      <c r="AG96" s="972" t="n">
        <v>23826428.66051207</v>
      </c>
      <c r="AH96" s="506" t="n">
        <v>0.0014</v>
      </c>
      <c r="AI96" s="972" t="n">
        <v>53551843.78064154</v>
      </c>
      <c r="AJ96" s="506" t="n">
        <v>0.003378</v>
      </c>
      <c r="AL96" s="972" t="n">
        <v>13421803.23649767</v>
      </c>
      <c r="AM96" s="506" t="n">
        <v>0.00764</v>
      </c>
      <c r="AN96" s="972" t="n">
        <v>11708043.67821558</v>
      </c>
      <c r="AO96" s="506" t="n">
        <v>0.01968</v>
      </c>
      <c r="AP96" s="972" t="n">
        <v>13206221.73665663</v>
      </c>
      <c r="AQ96" s="506" t="n">
        <v>0.00352</v>
      </c>
      <c r="AS96" s="972" t="n">
        <v>64.98739444299015</v>
      </c>
      <c r="AT96" s="531" t="n">
        <v>0.030442</v>
      </c>
      <c r="AU96" s="972" t="n">
        <v>64.54153501597148</v>
      </c>
      <c r="AV96" s="531" t="n">
        <v>0.030442</v>
      </c>
      <c r="BA96" s="972">
        <f>V96/1000000</f>
        <v/>
      </c>
      <c r="BB96" s="972">
        <f>W96</f>
        <v/>
      </c>
      <c r="BC96" s="972">
        <f>X96/1000000</f>
        <v/>
      </c>
      <c r="BD96" s="972">
        <f>Y96</f>
        <v/>
      </c>
    </row>
    <row r="97" ht="15" customHeight="1" s="508">
      <c r="S97" s="972" t="n"/>
      <c r="T97" s="972" t="n"/>
      <c r="U97" s="972" t="n"/>
      <c r="V97" s="972" t="n">
        <v>12642260.24150142</v>
      </c>
      <c r="W97" s="506" t="n">
        <v>0.030188</v>
      </c>
      <c r="X97" s="972" t="n">
        <v>12570769.36530093</v>
      </c>
      <c r="Y97" s="506" t="n">
        <v>0.030188</v>
      </c>
      <c r="AA97" s="972" t="n">
        <v>11059327.89848432</v>
      </c>
      <c r="AB97" s="506" t="n">
        <v>0.018822</v>
      </c>
      <c r="AC97" s="972" t="n">
        <v>6175679.657087005</v>
      </c>
      <c r="AD97" s="506" t="n">
        <v>0.004172</v>
      </c>
      <c r="AE97" s="972" t="n">
        <v>15205753.46698605</v>
      </c>
      <c r="AF97" s="506" t="n">
        <v>0.002912</v>
      </c>
      <c r="AG97" s="972" t="n">
        <v>24202760.31135355</v>
      </c>
      <c r="AH97" s="506" t="n">
        <v>0.001388</v>
      </c>
      <c r="AI97" s="972" t="n">
        <v>53876363.14484204</v>
      </c>
      <c r="AJ97" s="506" t="n">
        <v>0.00335</v>
      </c>
      <c r="AL97" s="972" t="n">
        <v>13676355.87798381</v>
      </c>
      <c r="AM97" s="506" t="n">
        <v>0.007576</v>
      </c>
      <c r="AN97" s="972" t="n">
        <v>11905192.99329302</v>
      </c>
      <c r="AO97" s="506" t="n">
        <v>0.019516</v>
      </c>
      <c r="AP97" s="972" t="n">
        <v>13434625.75616254</v>
      </c>
      <c r="AQ97" s="506" t="n">
        <v>0.003492</v>
      </c>
      <c r="AS97" s="972" t="n">
        <v>66.07144233217244</v>
      </c>
      <c r="AT97" s="531" t="n">
        <v>0.030188</v>
      </c>
      <c r="AU97" s="972" t="n">
        <v>65.48122955211362</v>
      </c>
      <c r="AV97" s="531" t="n">
        <v>0.030188</v>
      </c>
      <c r="BA97" s="972">
        <f>V97/1000000</f>
        <v/>
      </c>
      <c r="BB97" s="972">
        <f>W97</f>
        <v/>
      </c>
      <c r="BC97" s="972">
        <f>X97/1000000</f>
        <v/>
      </c>
      <c r="BD97" s="972">
        <f>Y97</f>
        <v/>
      </c>
    </row>
    <row r="98" ht="15" customHeight="1" s="508">
      <c r="S98" s="972" t="n"/>
      <c r="T98" s="972" t="n"/>
      <c r="U98" s="972" t="n"/>
      <c r="V98" s="972" t="n">
        <v>12833120.16501929</v>
      </c>
      <c r="W98" s="506" t="n">
        <v>0.029934</v>
      </c>
      <c r="X98" s="972" t="n">
        <v>12782753.41326668</v>
      </c>
      <c r="Y98" s="506" t="n">
        <v>0.029934</v>
      </c>
      <c r="AA98" s="972" t="n">
        <v>11199237.07821684</v>
      </c>
      <c r="AB98" s="506" t="n">
        <v>0.018664</v>
      </c>
      <c r="AC98" s="972" t="n">
        <v>6258592.454578307</v>
      </c>
      <c r="AD98" s="506" t="n">
        <v>0.004138</v>
      </c>
      <c r="AE98" s="972" t="n">
        <v>15527538.2152185</v>
      </c>
      <c r="AF98" s="506" t="n">
        <v>0.002888</v>
      </c>
      <c r="AG98" s="972" t="n">
        <v>24665258.84661691</v>
      </c>
      <c r="AH98" s="506" t="n">
        <v>0.001376</v>
      </c>
      <c r="AI98" s="972" t="n">
        <v>54446183.12645327</v>
      </c>
      <c r="AJ98" s="506" t="n">
        <v>0.003322</v>
      </c>
      <c r="AL98" s="972" t="n">
        <v>13903508.94585752</v>
      </c>
      <c r="AM98" s="506" t="n">
        <v>0.007512</v>
      </c>
      <c r="AN98" s="972" t="n">
        <v>12080686.07156741</v>
      </c>
      <c r="AO98" s="506" t="n">
        <v>0.019352</v>
      </c>
      <c r="AP98" s="972" t="n">
        <v>13666668.99133404</v>
      </c>
      <c r="AQ98" s="506" t="n">
        <v>0.003462</v>
      </c>
      <c r="AS98" s="972" t="n">
        <v>66.93252833222243</v>
      </c>
      <c r="AT98" s="531" t="n">
        <v>0.029934</v>
      </c>
      <c r="AU98" s="972" t="n">
        <v>66.45732781566944</v>
      </c>
      <c r="AV98" s="531" t="n">
        <v>0.029934</v>
      </c>
      <c r="BA98" s="972">
        <f>V98/1000000</f>
        <v/>
      </c>
      <c r="BB98" s="972">
        <f>W98</f>
        <v/>
      </c>
      <c r="BC98" s="972">
        <f>X98/1000000</f>
        <v/>
      </c>
      <c r="BD98" s="972">
        <f>Y98</f>
        <v/>
      </c>
    </row>
    <row r="99" ht="15" customHeight="1" s="508">
      <c r="S99" s="972" t="n"/>
      <c r="T99" s="972" t="n"/>
      <c r="U99" s="972" t="n"/>
      <c r="V99" s="972" t="n">
        <v>13050774.9618547</v>
      </c>
      <c r="W99" s="506" t="n">
        <v>0.029682</v>
      </c>
      <c r="X99" s="972" t="n">
        <v>12960426.45807818</v>
      </c>
      <c r="Y99" s="506" t="n">
        <v>0.029682</v>
      </c>
      <c r="AA99" s="972" t="n">
        <v>11370971.55166528</v>
      </c>
      <c r="AB99" s="506" t="n">
        <v>0.018506</v>
      </c>
      <c r="AC99" s="972" t="n">
        <v>6301990.434793661</v>
      </c>
      <c r="AD99" s="506" t="n">
        <v>0.004102</v>
      </c>
      <c r="AE99" s="972" t="n">
        <v>15820118.5031273</v>
      </c>
      <c r="AF99" s="506" t="n">
        <v>0.002862</v>
      </c>
      <c r="AG99" s="972" t="n">
        <v>25010397.12700212</v>
      </c>
      <c r="AH99" s="506" t="n">
        <v>0.001364</v>
      </c>
      <c r="AI99" s="972" t="n">
        <v>55100800.86727697</v>
      </c>
      <c r="AJ99" s="506" t="n">
        <v>0.003294</v>
      </c>
      <c r="AL99" s="972" t="n">
        <v>14106314.21511601</v>
      </c>
      <c r="AM99" s="506" t="n">
        <v>0.007448</v>
      </c>
      <c r="AN99" s="972" t="n">
        <v>12260693.59499747</v>
      </c>
      <c r="AO99" s="506" t="n">
        <v>0.019188</v>
      </c>
      <c r="AP99" s="972" t="n">
        <v>13890198.66215295</v>
      </c>
      <c r="AQ99" s="506" t="n">
        <v>0.003434</v>
      </c>
      <c r="AS99" s="972" t="n">
        <v>68.05087212724428</v>
      </c>
      <c r="AT99" s="531" t="n">
        <v>0.029682</v>
      </c>
      <c r="AU99" s="972" t="n">
        <v>67.45892884540132</v>
      </c>
      <c r="AV99" s="531" t="n">
        <v>0.029682</v>
      </c>
      <c r="BA99" s="972">
        <f>V99/1000000</f>
        <v/>
      </c>
      <c r="BB99" s="972">
        <f>W99</f>
        <v/>
      </c>
      <c r="BC99" s="972">
        <f>X99/1000000</f>
        <v/>
      </c>
      <c r="BD99" s="972">
        <f>Y99</f>
        <v/>
      </c>
    </row>
    <row r="100" ht="15" customHeight="1" s="508">
      <c r="S100" s="972" t="n"/>
      <c r="T100" s="972" t="n"/>
      <c r="U100" s="972" t="n"/>
      <c r="V100" s="972" t="n">
        <v>13240784.3824411</v>
      </c>
      <c r="W100" s="506" t="n">
        <v>0.029428</v>
      </c>
      <c r="X100" s="972" t="n">
        <v>13173647.38291841</v>
      </c>
      <c r="Y100" s="506" t="n">
        <v>0.029428</v>
      </c>
      <c r="AA100" s="972" t="n">
        <v>11547397.19878583</v>
      </c>
      <c r="AB100" s="506" t="n">
        <v>0.018348</v>
      </c>
      <c r="AC100" s="972" t="n">
        <v>6401901.253991511</v>
      </c>
      <c r="AD100" s="506" t="n">
        <v>0.004068</v>
      </c>
      <c r="AE100" s="972" t="n">
        <v>16169746.34800933</v>
      </c>
      <c r="AF100" s="506" t="n">
        <v>0.002838</v>
      </c>
      <c r="AG100" s="972" t="n">
        <v>25224912.04091457</v>
      </c>
      <c r="AH100" s="506" t="n">
        <v>0.001354</v>
      </c>
      <c r="AI100" s="972" t="n">
        <v>55452316.91893922</v>
      </c>
      <c r="AJ100" s="506" t="n">
        <v>0.003266</v>
      </c>
      <c r="AL100" s="972" t="n">
        <v>14409607.96018378</v>
      </c>
      <c r="AM100" s="506" t="n">
        <v>0.007386</v>
      </c>
      <c r="AN100" s="972" t="n">
        <v>12476433.977847</v>
      </c>
      <c r="AO100" s="506" t="n">
        <v>0.019024</v>
      </c>
      <c r="AP100" s="972" t="n">
        <v>14165018.17177407</v>
      </c>
      <c r="AQ100" s="506" t="n">
        <v>0.003404</v>
      </c>
      <c r="AS100" s="972" t="n">
        <v>68.98996352181221</v>
      </c>
      <c r="AT100" s="531" t="n">
        <v>0.029428</v>
      </c>
      <c r="AU100" s="972" t="n">
        <v>68.43928530858975</v>
      </c>
      <c r="AV100" s="531" t="n">
        <v>0.029428</v>
      </c>
      <c r="BA100" s="972">
        <f>V100/1000000</f>
        <v/>
      </c>
      <c r="BB100" s="972">
        <f>W100</f>
        <v/>
      </c>
      <c r="BC100" s="972">
        <f>X100/1000000</f>
        <v/>
      </c>
      <c r="BD100" s="972">
        <f>Y100</f>
        <v/>
      </c>
    </row>
    <row r="101" ht="15" customHeight="1" s="508">
      <c r="S101" s="972" t="n"/>
      <c r="T101" s="972" t="n"/>
      <c r="U101" s="972" t="n"/>
      <c r="V101" s="972" t="n">
        <v>13413611.33587361</v>
      </c>
      <c r="W101" s="506" t="n">
        <v>0.029174</v>
      </c>
      <c r="X101" s="972" t="n">
        <v>13345675.82291221</v>
      </c>
      <c r="Y101" s="506" t="n">
        <v>0.029174</v>
      </c>
      <c r="AA101" s="972" t="n">
        <v>11697090.983793</v>
      </c>
      <c r="AB101" s="506" t="n">
        <v>0.01819</v>
      </c>
      <c r="AC101" s="972" t="n">
        <v>6558051.033858404</v>
      </c>
      <c r="AD101" s="506" t="n">
        <v>0.004032</v>
      </c>
      <c r="AE101" s="972" t="n">
        <v>16404361.55519124</v>
      </c>
      <c r="AF101" s="506" t="n">
        <v>0.002814</v>
      </c>
      <c r="AG101" s="972" t="n">
        <v>25431912.10187864</v>
      </c>
      <c r="AH101" s="506" t="n">
        <v>0.001342</v>
      </c>
      <c r="AI101" s="972" t="n">
        <v>56232345.66669153</v>
      </c>
      <c r="AJ101" s="506" t="n">
        <v>0.003238</v>
      </c>
      <c r="AL101" s="972" t="n">
        <v>14674607.45081973</v>
      </c>
      <c r="AM101" s="506" t="n">
        <v>0.007322</v>
      </c>
      <c r="AN101" s="972" t="n">
        <v>12663199.29710364</v>
      </c>
      <c r="AO101" s="506" t="n">
        <v>0.01886</v>
      </c>
      <c r="AP101" s="972" t="n">
        <v>14351372.71827153</v>
      </c>
      <c r="AQ101" s="506" t="n">
        <v>0.003374</v>
      </c>
      <c r="AS101" s="972" t="n">
        <v>70.08215873231453</v>
      </c>
      <c r="AT101" s="531" t="n">
        <v>0.029174</v>
      </c>
      <c r="AU101" s="972" t="n">
        <v>69.51215535863412</v>
      </c>
      <c r="AV101" s="531" t="n">
        <v>0.029174</v>
      </c>
      <c r="BA101" s="972">
        <f>V101/1000000</f>
        <v/>
      </c>
      <c r="BB101" s="972">
        <f>W101</f>
        <v/>
      </c>
      <c r="BC101" s="972">
        <f>X101/1000000</f>
        <v/>
      </c>
      <c r="BD101" s="972">
        <f>Y101</f>
        <v/>
      </c>
    </row>
    <row r="102" ht="15" customHeight="1" s="508">
      <c r="S102" s="972" t="n"/>
      <c r="T102" s="972" t="n"/>
      <c r="U102" s="972" t="n"/>
      <c r="V102" s="972" t="n">
        <v>13651127.20016793</v>
      </c>
      <c r="W102" s="506" t="n">
        <v>0.02892</v>
      </c>
      <c r="X102" s="972" t="n">
        <v>13561369.16063068</v>
      </c>
      <c r="Y102" s="506" t="n">
        <v>0.02892</v>
      </c>
      <c r="AA102" s="972" t="n">
        <v>11887287.02179961</v>
      </c>
      <c r="AB102" s="506" t="n">
        <v>0.018032</v>
      </c>
      <c r="AC102" s="972" t="n">
        <v>6603174.727054223</v>
      </c>
      <c r="AD102" s="506" t="n">
        <v>0.003998</v>
      </c>
      <c r="AE102" s="972" t="n">
        <v>16552882.79337154</v>
      </c>
      <c r="AF102" s="506" t="n">
        <v>0.00279</v>
      </c>
      <c r="AG102" s="972" t="n">
        <v>25833041.56056022</v>
      </c>
      <c r="AH102" s="506" t="n">
        <v>0.00133</v>
      </c>
      <c r="AI102" s="972" t="n">
        <v>56869124.95902263</v>
      </c>
      <c r="AJ102" s="506" t="n">
        <v>0.00321</v>
      </c>
      <c r="AL102" s="972" t="n">
        <v>14911567.59453613</v>
      </c>
      <c r="AM102" s="506" t="n">
        <v>0.007258</v>
      </c>
      <c r="AN102" s="972" t="n">
        <v>12845789.96616973</v>
      </c>
      <c r="AO102" s="506" t="n">
        <v>0.018696</v>
      </c>
      <c r="AP102" s="972" t="n">
        <v>14538356.27038553</v>
      </c>
      <c r="AQ102" s="506" t="n">
        <v>0.003346</v>
      </c>
      <c r="AS102" s="972" t="n">
        <v>71.18382879700606</v>
      </c>
      <c r="AT102" s="531" t="n">
        <v>0.02892</v>
      </c>
      <c r="AU102" s="972" t="n">
        <v>70.6082550657307</v>
      </c>
      <c r="AV102" s="531" t="n">
        <v>0.02892</v>
      </c>
      <c r="BA102" s="972">
        <f>V102/1000000</f>
        <v/>
      </c>
      <c r="BB102" s="972">
        <f>W102</f>
        <v/>
      </c>
      <c r="BC102" s="972">
        <f>X102/1000000</f>
        <v/>
      </c>
      <c r="BD102" s="972">
        <f>Y102</f>
        <v/>
      </c>
    </row>
    <row r="103" ht="15" customHeight="1" s="508">
      <c r="S103" s="972" t="n"/>
      <c r="T103" s="972" t="n"/>
      <c r="U103" s="972" t="n"/>
      <c r="V103" s="972" t="n">
        <v>13871154.8702427</v>
      </c>
      <c r="W103" s="506" t="n">
        <v>0.028666</v>
      </c>
      <c r="X103" s="972" t="n">
        <v>13780096.58908655</v>
      </c>
      <c r="Y103" s="506" t="n">
        <v>0.028666</v>
      </c>
      <c r="AA103" s="972" t="n">
        <v>12022922.19771636</v>
      </c>
      <c r="AB103" s="506" t="n">
        <v>0.017872</v>
      </c>
      <c r="AC103" s="972" t="n">
        <v>6719898.314045104</v>
      </c>
      <c r="AD103" s="506" t="n">
        <v>0.003962</v>
      </c>
      <c r="AE103" s="972" t="n">
        <v>16819423.71190918</v>
      </c>
      <c r="AF103" s="506" t="n">
        <v>0.002764</v>
      </c>
      <c r="AG103" s="972" t="n">
        <v>26357568.67796863</v>
      </c>
      <c r="AH103" s="506" t="n">
        <v>0.001318</v>
      </c>
      <c r="AI103" s="972" t="n">
        <v>57307080.40568101</v>
      </c>
      <c r="AJ103" s="506" t="n">
        <v>0.003182</v>
      </c>
      <c r="AL103" s="972" t="n">
        <v>15108013.33245289</v>
      </c>
      <c r="AM103" s="506" t="n">
        <v>0.007194</v>
      </c>
      <c r="AN103" s="972" t="n">
        <v>13062586.54239328</v>
      </c>
      <c r="AO103" s="506" t="n">
        <v>0.018532</v>
      </c>
      <c r="AP103" s="972" t="n">
        <v>14769277.22127264</v>
      </c>
      <c r="AQ103" s="506" t="n">
        <v>0.003316</v>
      </c>
      <c r="AS103" s="972" t="n">
        <v>72.38086612288619</v>
      </c>
      <c r="AT103" s="531" t="n">
        <v>0.028666</v>
      </c>
      <c r="AU103" s="972" t="n">
        <v>71.70435820127062</v>
      </c>
      <c r="AV103" s="531" t="n">
        <v>0.028666</v>
      </c>
      <c r="BA103" s="972">
        <f>V103/1000000</f>
        <v/>
      </c>
      <c r="BB103" s="972">
        <f>W103</f>
        <v/>
      </c>
      <c r="BC103" s="972">
        <f>X103/1000000</f>
        <v/>
      </c>
      <c r="BD103" s="972">
        <f>Y103</f>
        <v/>
      </c>
    </row>
    <row r="104" ht="15" customHeight="1" s="508">
      <c r="S104" s="972" t="n"/>
      <c r="T104" s="972" t="n"/>
      <c r="U104" s="972" t="n"/>
      <c r="V104" s="972" t="n">
        <v>14098533.32691394</v>
      </c>
      <c r="W104" s="506" t="n">
        <v>0.028412</v>
      </c>
      <c r="X104" s="972" t="n">
        <v>14023444.04777621</v>
      </c>
      <c r="Y104" s="506" t="n">
        <v>0.028412</v>
      </c>
      <c r="AA104" s="972" t="n">
        <v>12205660.83263836</v>
      </c>
      <c r="AB104" s="506" t="n">
        <v>0.017714</v>
      </c>
      <c r="AC104" s="972" t="n">
        <v>6809213.013801102</v>
      </c>
      <c r="AD104" s="506" t="n">
        <v>0.003926</v>
      </c>
      <c r="AE104" s="972" t="n">
        <v>17064670.38782681</v>
      </c>
      <c r="AF104" s="506" t="n">
        <v>0.00274</v>
      </c>
      <c r="AG104" s="972" t="n">
        <v>27012610.5503929</v>
      </c>
      <c r="AH104" s="506" t="n">
        <v>0.001306</v>
      </c>
      <c r="AI104" s="972" t="n">
        <v>57717915.48848184</v>
      </c>
      <c r="AJ104" s="506" t="n">
        <v>0.003154</v>
      </c>
      <c r="AL104" s="972" t="n">
        <v>15292775.11060021</v>
      </c>
      <c r="AM104" s="506" t="n">
        <v>0.00713</v>
      </c>
      <c r="AN104" s="972" t="n">
        <v>13232642.56515259</v>
      </c>
      <c r="AO104" s="506" t="n">
        <v>0.018368</v>
      </c>
      <c r="AP104" s="972" t="n">
        <v>15126647.09048693</v>
      </c>
      <c r="AQ104" s="506" t="n">
        <v>0.003286</v>
      </c>
      <c r="AS104" s="972" t="n">
        <v>73.57065333293102</v>
      </c>
      <c r="AT104" s="531" t="n">
        <v>0.028412</v>
      </c>
      <c r="AU104" s="972" t="n">
        <v>72.89501467726805</v>
      </c>
      <c r="AV104" s="531" t="n">
        <v>0.028412</v>
      </c>
      <c r="BA104" s="972">
        <f>V104/1000000</f>
        <v/>
      </c>
      <c r="BB104" s="972">
        <f>W104</f>
        <v/>
      </c>
      <c r="BC104" s="972">
        <f>X104/1000000</f>
        <v/>
      </c>
      <c r="BD104" s="972">
        <f>Y104</f>
        <v/>
      </c>
    </row>
    <row r="105" ht="15" customHeight="1" s="508">
      <c r="S105" s="972" t="n"/>
      <c r="T105" s="972" t="n"/>
      <c r="U105" s="972" t="n"/>
      <c r="V105" s="972" t="n">
        <v>14316961.73451217</v>
      </c>
      <c r="W105" s="506" t="n">
        <v>0.02816</v>
      </c>
      <c r="X105" s="972" t="n">
        <v>14240590.54524159</v>
      </c>
      <c r="Y105" s="506" t="n">
        <v>0.02816</v>
      </c>
      <c r="AA105" s="972" t="n">
        <v>12378435.5858326</v>
      </c>
      <c r="AB105" s="506" t="n">
        <v>0.017556</v>
      </c>
      <c r="AC105" s="972" t="n">
        <v>6907835.307284994</v>
      </c>
      <c r="AD105" s="506" t="n">
        <v>0.003892</v>
      </c>
      <c r="AE105" s="972" t="n">
        <v>17546998.22993891</v>
      </c>
      <c r="AF105" s="506" t="n">
        <v>0.002716</v>
      </c>
      <c r="AG105" s="972" t="n">
        <v>27221002.87537573</v>
      </c>
      <c r="AH105" s="506" t="n">
        <v>0.001294</v>
      </c>
      <c r="AI105" s="972" t="n">
        <v>58107238.53047243</v>
      </c>
      <c r="AJ105" s="506" t="n">
        <v>0.003126</v>
      </c>
      <c r="AL105" s="972" t="n">
        <v>15532224.77772941</v>
      </c>
      <c r="AM105" s="506" t="n">
        <v>0.007066</v>
      </c>
      <c r="AN105" s="972" t="n">
        <v>13396753.22074084</v>
      </c>
      <c r="AO105" s="506" t="n">
        <v>0.018204</v>
      </c>
      <c r="AP105" s="972" t="n">
        <v>15418167.04473807</v>
      </c>
      <c r="AQ105" s="506" t="n">
        <v>0.003258</v>
      </c>
      <c r="AS105" s="972" t="n">
        <v>74.69420866436406</v>
      </c>
      <c r="AT105" s="531" t="n">
        <v>0.02816</v>
      </c>
      <c r="AU105" s="972" t="n">
        <v>74.07504397019684</v>
      </c>
      <c r="AV105" s="531" t="n">
        <v>0.02816</v>
      </c>
      <c r="BA105" s="972">
        <f>V105/1000000</f>
        <v/>
      </c>
      <c r="BB105" s="972">
        <f>W105</f>
        <v/>
      </c>
      <c r="BC105" s="972">
        <f>X105/1000000</f>
        <v/>
      </c>
      <c r="BD105" s="972">
        <f>Y105</f>
        <v/>
      </c>
    </row>
    <row r="106" ht="15" customHeight="1" s="508">
      <c r="S106" s="972" t="n"/>
      <c r="T106" s="972" t="n"/>
      <c r="U106" s="972" t="n"/>
      <c r="V106" s="972" t="n">
        <v>14503739.71387948</v>
      </c>
      <c r="W106" s="506" t="n">
        <v>0.027906</v>
      </c>
      <c r="X106" s="972" t="n">
        <v>14419617.14387336</v>
      </c>
      <c r="Y106" s="506" t="n">
        <v>0.027906</v>
      </c>
      <c r="AA106" s="972" t="n">
        <v>12549006.72596489</v>
      </c>
      <c r="AB106" s="506" t="n">
        <v>0.017398</v>
      </c>
      <c r="AC106" s="972" t="n">
        <v>7015671.92375874</v>
      </c>
      <c r="AD106" s="506" t="n">
        <v>0.003856</v>
      </c>
      <c r="AE106" s="972" t="n">
        <v>17883212.60969034</v>
      </c>
      <c r="AF106" s="506" t="n">
        <v>0.002692</v>
      </c>
      <c r="AG106" s="972" t="n">
        <v>27521613.28887051</v>
      </c>
      <c r="AH106" s="506" t="n">
        <v>0.001284</v>
      </c>
      <c r="AI106" s="972" t="n">
        <v>58595019.92735587</v>
      </c>
      <c r="AJ106" s="506" t="n">
        <v>0.003098</v>
      </c>
      <c r="AL106" s="972" t="n">
        <v>15782260.063127</v>
      </c>
      <c r="AM106" s="506" t="n">
        <v>0.007004</v>
      </c>
      <c r="AN106" s="972" t="n">
        <v>13624787.71785619</v>
      </c>
      <c r="AO106" s="506" t="n">
        <v>0.01804</v>
      </c>
      <c r="AP106" s="972" t="n">
        <v>15646473.94430058</v>
      </c>
      <c r="AQ106" s="506" t="n">
        <v>0.003228</v>
      </c>
      <c r="AS106" s="972" t="n">
        <v>75.7784934064838</v>
      </c>
      <c r="AT106" s="531" t="n">
        <v>0.027906</v>
      </c>
      <c r="AU106" s="972" t="n">
        <v>75.10070420021461</v>
      </c>
      <c r="AV106" s="531" t="n">
        <v>0.027906</v>
      </c>
      <c r="BA106" s="972">
        <f>V106/1000000</f>
        <v/>
      </c>
      <c r="BB106" s="972">
        <f>W106</f>
        <v/>
      </c>
      <c r="BC106" s="972">
        <f>X106/1000000</f>
        <v/>
      </c>
      <c r="BD106" s="972">
        <f>Y106</f>
        <v/>
      </c>
    </row>
    <row r="107" ht="15" customHeight="1" s="508">
      <c r="S107" s="972" t="n"/>
      <c r="T107" s="972" t="n"/>
      <c r="U107" s="972" t="n"/>
      <c r="V107" s="972" t="n">
        <v>14710093.36980713</v>
      </c>
      <c r="W107" s="506" t="n">
        <v>0.027652</v>
      </c>
      <c r="X107" s="972" t="n">
        <v>14611416.39937764</v>
      </c>
      <c r="Y107" s="506" t="n">
        <v>0.027652</v>
      </c>
      <c r="AA107" s="972" t="n">
        <v>12752256.69235099</v>
      </c>
      <c r="AB107" s="506" t="n">
        <v>0.01724</v>
      </c>
      <c r="AC107" s="972" t="n">
        <v>7109629.522745436</v>
      </c>
      <c r="AD107" s="506" t="n">
        <v>0.003822</v>
      </c>
      <c r="AE107" s="972" t="n">
        <v>18021405.00846479</v>
      </c>
      <c r="AF107" s="506" t="n">
        <v>0.002668</v>
      </c>
      <c r="AG107" s="972" t="n">
        <v>28003814.41655289</v>
      </c>
      <c r="AH107" s="506" t="n">
        <v>0.001272</v>
      </c>
      <c r="AI107" s="972" t="n">
        <v>59294131.68302013</v>
      </c>
      <c r="AJ107" s="506" t="n">
        <v>0.00307</v>
      </c>
      <c r="AL107" s="972" t="n">
        <v>16124115.41981079</v>
      </c>
      <c r="AM107" s="506" t="n">
        <v>0.00694</v>
      </c>
      <c r="AN107" s="972" t="n">
        <v>13855531.68096067</v>
      </c>
      <c r="AO107" s="506" t="n">
        <v>0.017876</v>
      </c>
      <c r="AP107" s="972" t="n">
        <v>15860722.61259589</v>
      </c>
      <c r="AQ107" s="506" t="n">
        <v>0.003198</v>
      </c>
      <c r="AS107" s="972" t="n">
        <v>76.7600629206126</v>
      </c>
      <c r="AT107" s="531" t="n">
        <v>0.027652</v>
      </c>
      <c r="AU107" s="972" t="n">
        <v>76.1687701997898</v>
      </c>
      <c r="AV107" s="531" t="n">
        <v>0.027652</v>
      </c>
      <c r="BA107" s="972">
        <f>V107/1000000</f>
        <v/>
      </c>
      <c r="BB107" s="972">
        <f>W107</f>
        <v/>
      </c>
      <c r="BC107" s="972">
        <f>X107/1000000</f>
        <v/>
      </c>
      <c r="BD107" s="972">
        <f>Y107</f>
        <v/>
      </c>
    </row>
    <row r="108" ht="15" customHeight="1" s="508">
      <c r="S108" s="972" t="n"/>
      <c r="T108" s="972" t="n"/>
      <c r="U108" s="972" t="n"/>
      <c r="V108" s="972" t="n">
        <v>14914377.30927709</v>
      </c>
      <c r="W108" s="506" t="n">
        <v>0.027398</v>
      </c>
      <c r="X108" s="972" t="n">
        <v>14840910.12233074</v>
      </c>
      <c r="Y108" s="506" t="n">
        <v>0.027398</v>
      </c>
      <c r="AA108" s="972" t="n">
        <v>12914440.94528599</v>
      </c>
      <c r="AB108" s="506" t="n">
        <v>0.017082</v>
      </c>
      <c r="AC108" s="972" t="n">
        <v>7181964.011394425</v>
      </c>
      <c r="AD108" s="506" t="n">
        <v>0.003786</v>
      </c>
      <c r="AE108" s="972" t="n">
        <v>18272749.82040092</v>
      </c>
      <c r="AF108" s="506" t="n">
        <v>0.002642</v>
      </c>
      <c r="AG108" s="972" t="n">
        <v>28636871.72240806</v>
      </c>
      <c r="AH108" s="506" t="n">
        <v>0.00126</v>
      </c>
      <c r="AI108" s="972" t="n">
        <v>59910536.06709249</v>
      </c>
      <c r="AJ108" s="506" t="n">
        <v>0.003042</v>
      </c>
      <c r="AL108" s="972" t="n">
        <v>16449771.36554952</v>
      </c>
      <c r="AM108" s="506" t="n">
        <v>0.006876</v>
      </c>
      <c r="AN108" s="972" t="n">
        <v>14078604.99168278</v>
      </c>
      <c r="AO108" s="506" t="n">
        <v>0.017712</v>
      </c>
      <c r="AP108" s="972" t="n">
        <v>16169763.17398431</v>
      </c>
      <c r="AQ108" s="506" t="n">
        <v>0.00317</v>
      </c>
      <c r="AS108" s="972" t="n">
        <v>77.83938595018802</v>
      </c>
      <c r="AT108" s="531" t="n">
        <v>0.027398</v>
      </c>
      <c r="AU108" s="972" t="n">
        <v>77.19095192132124</v>
      </c>
      <c r="AV108" s="531" t="n">
        <v>0.027398</v>
      </c>
      <c r="BA108" s="972">
        <f>V108/1000000</f>
        <v/>
      </c>
      <c r="BB108" s="972">
        <f>W108</f>
        <v/>
      </c>
      <c r="BC108" s="972">
        <f>X108/1000000</f>
        <v/>
      </c>
      <c r="BD108" s="972">
        <f>Y108</f>
        <v/>
      </c>
    </row>
    <row r="109" ht="15" customHeight="1" s="508">
      <c r="S109" s="972" t="n"/>
      <c r="T109" s="972" t="n"/>
      <c r="U109" s="972" t="n"/>
      <c r="V109" s="972" t="n">
        <v>15156919.59143483</v>
      </c>
      <c r="W109" s="506" t="n">
        <v>0.027144</v>
      </c>
      <c r="X109" s="972" t="n">
        <v>15056256.57349707</v>
      </c>
      <c r="Y109" s="506" t="n">
        <v>0.027144</v>
      </c>
      <c r="AA109" s="972" t="n">
        <v>13073601.6797446</v>
      </c>
      <c r="AB109" s="506" t="n">
        <v>0.016924</v>
      </c>
      <c r="AC109" s="972" t="n">
        <v>7328629.032825698</v>
      </c>
      <c r="AD109" s="506" t="n">
        <v>0.003752</v>
      </c>
      <c r="AE109" s="972" t="n">
        <v>18599001.62709521</v>
      </c>
      <c r="AF109" s="506" t="n">
        <v>0.002618</v>
      </c>
      <c r="AG109" s="972" t="n">
        <v>28866160.7072008</v>
      </c>
      <c r="AH109" s="506" t="n">
        <v>0.001248</v>
      </c>
      <c r="AI109" s="972" t="n">
        <v>60414632.59410269</v>
      </c>
      <c r="AJ109" s="506" t="n">
        <v>0.003012</v>
      </c>
      <c r="AL109" s="972" t="n">
        <v>16711197.1634455</v>
      </c>
      <c r="AM109" s="506" t="n">
        <v>0.006812</v>
      </c>
      <c r="AN109" s="972" t="n">
        <v>14278168.2188637</v>
      </c>
      <c r="AO109" s="506" t="n">
        <v>0.017548</v>
      </c>
      <c r="AP109" s="972" t="n">
        <v>16411160.28976914</v>
      </c>
      <c r="AQ109" s="506" t="n">
        <v>0.00314</v>
      </c>
      <c r="AS109" s="972" t="n">
        <v>79.06848445512598</v>
      </c>
      <c r="AT109" s="531" t="n">
        <v>0.027144</v>
      </c>
      <c r="AU109" s="972" t="n">
        <v>78.31089170530424</v>
      </c>
      <c r="AV109" s="531" t="n">
        <v>0.027144</v>
      </c>
      <c r="BA109" s="972">
        <f>V109/1000000</f>
        <v/>
      </c>
      <c r="BB109" s="972">
        <f>W109</f>
        <v/>
      </c>
      <c r="BC109" s="972">
        <f>X109/1000000</f>
        <v/>
      </c>
      <c r="BD109" s="972">
        <f>Y109</f>
        <v/>
      </c>
    </row>
    <row r="110" ht="15" customHeight="1" s="508">
      <c r="S110" s="972" t="n"/>
      <c r="T110" s="972" t="n"/>
      <c r="U110" s="972" t="n"/>
      <c r="V110" s="972" t="n">
        <v>15397561.63909775</v>
      </c>
      <c r="W110" s="506" t="n">
        <v>0.02689</v>
      </c>
      <c r="X110" s="972" t="n">
        <v>15274098.5161783</v>
      </c>
      <c r="Y110" s="506" t="n">
        <v>0.02689</v>
      </c>
      <c r="AA110" s="972" t="n">
        <v>13244755.98049524</v>
      </c>
      <c r="AB110" s="506" t="n">
        <v>0.016766</v>
      </c>
      <c r="AC110" s="972" t="n">
        <v>7440398.414283198</v>
      </c>
      <c r="AD110" s="506" t="n">
        <v>0.003716</v>
      </c>
      <c r="AE110" s="972" t="n">
        <v>18837669.56236362</v>
      </c>
      <c r="AF110" s="506" t="n">
        <v>0.002594</v>
      </c>
      <c r="AG110" s="972" t="n">
        <v>29154757.13517539</v>
      </c>
      <c r="AH110" s="506" t="n">
        <v>0.001236</v>
      </c>
      <c r="AI110" s="972" t="n">
        <v>61170595.15097258</v>
      </c>
      <c r="AJ110" s="506" t="n">
        <v>0.002984</v>
      </c>
      <c r="AL110" s="972" t="n">
        <v>16991162.01251079</v>
      </c>
      <c r="AM110" s="506" t="n">
        <v>0.006748</v>
      </c>
      <c r="AN110" s="972" t="n">
        <v>14435890.35832927</v>
      </c>
      <c r="AO110" s="506" t="n">
        <v>0.017384</v>
      </c>
      <c r="AP110" s="972" t="n">
        <v>16694865.05382476</v>
      </c>
      <c r="AQ110" s="506" t="n">
        <v>0.00311</v>
      </c>
      <c r="AS110" s="972" t="n">
        <v>79.99600538396221</v>
      </c>
      <c r="AT110" s="531" t="n">
        <v>0.02689</v>
      </c>
      <c r="AU110" s="972" t="n">
        <v>79.39671679409157</v>
      </c>
      <c r="AV110" s="531" t="n">
        <v>0.02689</v>
      </c>
      <c r="BA110" s="972">
        <f>V110/1000000</f>
        <v/>
      </c>
      <c r="BB110" s="972">
        <f>W110</f>
        <v/>
      </c>
      <c r="BC110" s="972">
        <f>X110/1000000</f>
        <v/>
      </c>
      <c r="BD110" s="972">
        <f>Y110</f>
        <v/>
      </c>
    </row>
    <row r="111" ht="15" customHeight="1" s="508">
      <c r="S111" s="972" t="n"/>
      <c r="T111" s="972" t="n"/>
      <c r="U111" s="972" t="n"/>
      <c r="V111" s="972" t="n">
        <v>15644128.7982526</v>
      </c>
      <c r="W111" s="506" t="n">
        <v>0.026638</v>
      </c>
      <c r="X111" s="972" t="n">
        <v>15515475.37228736</v>
      </c>
      <c r="Y111" s="506" t="n">
        <v>0.026638</v>
      </c>
      <c r="AA111" s="972" t="n">
        <v>13388356.35868819</v>
      </c>
      <c r="AB111" s="506" t="n">
        <v>0.016608</v>
      </c>
      <c r="AC111" s="972" t="n">
        <v>7602956.809167534</v>
      </c>
      <c r="AD111" s="506" t="n">
        <v>0.003682</v>
      </c>
      <c r="AE111" s="972" t="n">
        <v>19293199.59074598</v>
      </c>
      <c r="AF111" s="506" t="n">
        <v>0.00257</v>
      </c>
      <c r="AG111" s="972" t="n">
        <v>29461064.26499591</v>
      </c>
      <c r="AH111" s="506" t="n">
        <v>0.001226</v>
      </c>
      <c r="AI111" s="972" t="n">
        <v>61899838.20752811</v>
      </c>
      <c r="AJ111" s="506" t="n">
        <v>0.002956</v>
      </c>
      <c r="AL111" s="972" t="n">
        <v>17306121.14880294</v>
      </c>
      <c r="AM111" s="506" t="n">
        <v>0.006686</v>
      </c>
      <c r="AN111" s="972" t="n">
        <v>14606015.53515617</v>
      </c>
      <c r="AO111" s="506" t="n">
        <v>0.01722</v>
      </c>
      <c r="AP111" s="972" t="n">
        <v>17052605.05837104</v>
      </c>
      <c r="AQ111" s="506" t="n">
        <v>0.003082</v>
      </c>
      <c r="AS111" s="972" t="n">
        <v>81.10740388443298</v>
      </c>
      <c r="AT111" s="531" t="n">
        <v>0.026638</v>
      </c>
      <c r="AU111" s="972" t="n">
        <v>80.37963687515497</v>
      </c>
      <c r="AV111" s="531" t="n">
        <v>0.026638</v>
      </c>
      <c r="BA111" s="972">
        <f>V111/1000000</f>
        <v/>
      </c>
      <c r="BB111" s="972">
        <f>W111</f>
        <v/>
      </c>
      <c r="BC111" s="972">
        <f>X111/1000000</f>
        <v/>
      </c>
      <c r="BD111" s="972">
        <f>Y111</f>
        <v/>
      </c>
    </row>
    <row r="112" ht="15" customHeight="1" s="508">
      <c r="S112" s="972" t="n"/>
      <c r="T112" s="972" t="n"/>
      <c r="U112" s="972" t="n"/>
      <c r="V112" s="972" t="n">
        <v>15916671.66515381</v>
      </c>
      <c r="W112" s="506" t="n">
        <v>0.026384</v>
      </c>
      <c r="X112" s="972" t="n">
        <v>15761063.74273134</v>
      </c>
      <c r="Y112" s="506" t="n">
        <v>0.026384</v>
      </c>
      <c r="AA112" s="972" t="n">
        <v>13574939.9810745</v>
      </c>
      <c r="AB112" s="506" t="n">
        <v>0.01645</v>
      </c>
      <c r="AC112" s="972" t="n">
        <v>7717429.640681189</v>
      </c>
      <c r="AD112" s="506" t="n">
        <v>0.003646</v>
      </c>
      <c r="AE112" s="972" t="n">
        <v>19465451.30666782</v>
      </c>
      <c r="AF112" s="506" t="n">
        <v>0.002544</v>
      </c>
      <c r="AG112" s="972" t="n">
        <v>30029013.92100773</v>
      </c>
      <c r="AH112" s="506" t="n">
        <v>0.001214</v>
      </c>
      <c r="AI112" s="972" t="n">
        <v>62521627.36163942</v>
      </c>
      <c r="AJ112" s="506" t="n">
        <v>0.002928</v>
      </c>
      <c r="AL112" s="972" t="n">
        <v>17652456.50774659</v>
      </c>
      <c r="AM112" s="506" t="n">
        <v>0.006622</v>
      </c>
      <c r="AN112" s="972" t="n">
        <v>14803236.60709121</v>
      </c>
      <c r="AO112" s="506" t="n">
        <v>0.017056</v>
      </c>
      <c r="AP112" s="972" t="n">
        <v>17469786.004676</v>
      </c>
      <c r="AQ112" s="506" t="n">
        <v>0.003052</v>
      </c>
      <c r="AS112" s="972" t="n">
        <v>82.20665231563021</v>
      </c>
      <c r="AT112" s="531" t="n">
        <v>0.026384</v>
      </c>
      <c r="AU112" s="972" t="n">
        <v>81.54935953640496</v>
      </c>
      <c r="AV112" s="531" t="n">
        <v>0.026384</v>
      </c>
      <c r="BA112" s="972">
        <f>V112/1000000</f>
        <v/>
      </c>
      <c r="BB112" s="972">
        <f>W112</f>
        <v/>
      </c>
      <c r="BC112" s="972">
        <f>X112/1000000</f>
        <v/>
      </c>
      <c r="BD112" s="972">
        <f>Y112</f>
        <v/>
      </c>
    </row>
    <row r="113" ht="15" customHeight="1" s="508">
      <c r="S113" s="972" t="n"/>
      <c r="T113" s="972" t="n"/>
      <c r="U113" s="972" t="n"/>
      <c r="V113" s="972" t="n">
        <v>16168001.25050798</v>
      </c>
      <c r="W113" s="506" t="n">
        <v>0.02613</v>
      </c>
      <c r="X113" s="972" t="n">
        <v>16030262.63948678</v>
      </c>
      <c r="Y113" s="506" t="n">
        <v>0.02613</v>
      </c>
      <c r="AA113" s="972" t="n">
        <v>13758681.83093766</v>
      </c>
      <c r="AB113" s="506" t="n">
        <v>0.016292</v>
      </c>
      <c r="AC113" s="972" t="n">
        <v>7840122.793740196</v>
      </c>
      <c r="AD113" s="506" t="n">
        <v>0.003612</v>
      </c>
      <c r="AE113" s="972" t="n">
        <v>19595573.79900791</v>
      </c>
      <c r="AF113" s="506" t="n">
        <v>0.00252</v>
      </c>
      <c r="AG113" s="972" t="n">
        <v>30745732.2516478</v>
      </c>
      <c r="AH113" s="506" t="n">
        <v>0.001202</v>
      </c>
      <c r="AI113" s="972" t="n">
        <v>63434917.85341801</v>
      </c>
      <c r="AJ113" s="506" t="n">
        <v>0.0029</v>
      </c>
      <c r="AL113" s="972" t="n">
        <v>17915257.06550948</v>
      </c>
      <c r="AM113" s="506" t="n">
        <v>0.006558</v>
      </c>
      <c r="AN113" s="972" t="n">
        <v>15026321.74977947</v>
      </c>
      <c r="AO113" s="506" t="n">
        <v>0.016892</v>
      </c>
      <c r="AP113" s="972" t="n">
        <v>17736487.22450154</v>
      </c>
      <c r="AQ113" s="506" t="n">
        <v>0.003022</v>
      </c>
      <c r="AS113" s="972" t="n">
        <v>83.43100500755547</v>
      </c>
      <c r="AT113" s="531" t="n">
        <v>0.02613</v>
      </c>
      <c r="AU113" s="972" t="n">
        <v>82.62262546572755</v>
      </c>
      <c r="AV113" s="531" t="n">
        <v>0.02613</v>
      </c>
      <c r="BA113" s="972">
        <f>V113/1000000</f>
        <v/>
      </c>
      <c r="BB113" s="972">
        <f>W113</f>
        <v/>
      </c>
      <c r="BC113" s="972">
        <f>X113/1000000</f>
        <v/>
      </c>
      <c r="BD113" s="972">
        <f>Y113</f>
        <v/>
      </c>
    </row>
    <row r="114" ht="15" customHeight="1" s="508">
      <c r="S114" s="972" t="n"/>
      <c r="T114" s="972" t="n"/>
      <c r="U114" s="972" t="n"/>
      <c r="V114" s="972" t="n">
        <v>16415562.3965009</v>
      </c>
      <c r="W114" s="506" t="n">
        <v>0.025876</v>
      </c>
      <c r="X114" s="972" t="n">
        <v>16304632.47087532</v>
      </c>
      <c r="Y114" s="506" t="n">
        <v>0.025876</v>
      </c>
      <c r="AA114" s="972" t="n">
        <v>13955363.5702334</v>
      </c>
      <c r="AB114" s="506" t="n">
        <v>0.016134</v>
      </c>
      <c r="AC114" s="972" t="n">
        <v>7965988.633492751</v>
      </c>
      <c r="AD114" s="506" t="n">
        <v>0.003576</v>
      </c>
      <c r="AE114" s="972" t="n">
        <v>19835509.70944037</v>
      </c>
      <c r="AF114" s="506" t="n">
        <v>0.002496</v>
      </c>
      <c r="AG114" s="972" t="n">
        <v>31162234.04717921</v>
      </c>
      <c r="AH114" s="506" t="n">
        <v>0.00119</v>
      </c>
      <c r="AI114" s="972" t="n">
        <v>63963204.49920374</v>
      </c>
      <c r="AJ114" s="506" t="n">
        <v>0.002872</v>
      </c>
      <c r="AL114" s="972" t="n">
        <v>18158889.7376433</v>
      </c>
      <c r="AM114" s="506" t="n">
        <v>0.006494</v>
      </c>
      <c r="AN114" s="972" t="n">
        <v>15266429.23402425</v>
      </c>
      <c r="AO114" s="506" t="n">
        <v>0.016728</v>
      </c>
      <c r="AP114" s="972" t="n">
        <v>18092669.68435208</v>
      </c>
      <c r="AQ114" s="506" t="n">
        <v>0.002994</v>
      </c>
      <c r="AS114" s="972" t="n">
        <v>84.67664167998051</v>
      </c>
      <c r="AT114" s="531" t="n">
        <v>0.025876</v>
      </c>
      <c r="AU114" s="972" t="n">
        <v>83.78168522042691</v>
      </c>
      <c r="AV114" s="531" t="n">
        <v>0.025876</v>
      </c>
      <c r="BA114" s="972">
        <f>V114/1000000</f>
        <v/>
      </c>
      <c r="BB114" s="972">
        <f>W114</f>
        <v/>
      </c>
      <c r="BC114" s="972">
        <f>X114/1000000</f>
        <v/>
      </c>
      <c r="BD114" s="972">
        <f>Y114</f>
        <v/>
      </c>
    </row>
    <row r="115" ht="15" customHeight="1" s="508">
      <c r="S115" s="972" t="n"/>
      <c r="T115" s="972" t="n"/>
      <c r="U115" s="972" t="n"/>
      <c r="V115" s="972" t="n">
        <v>16710161.9789502</v>
      </c>
      <c r="W115" s="506" t="n">
        <v>0.025622</v>
      </c>
      <c r="X115" s="972" t="n">
        <v>16606012.57812533</v>
      </c>
      <c r="Y115" s="506" t="n">
        <v>0.025622</v>
      </c>
      <c r="AA115" s="972" t="n">
        <v>14141379.67282687</v>
      </c>
      <c r="AB115" s="506" t="n">
        <v>0.015976</v>
      </c>
      <c r="AC115" s="972" t="n">
        <v>8105910.088377453</v>
      </c>
      <c r="AD115" s="506" t="n">
        <v>0.003542</v>
      </c>
      <c r="AE115" s="972" t="n">
        <v>20130892.99991476</v>
      </c>
      <c r="AF115" s="506" t="n">
        <v>0.002472</v>
      </c>
      <c r="AG115" s="972" t="n">
        <v>31580883.4911392</v>
      </c>
      <c r="AH115" s="506" t="n">
        <v>0.001178</v>
      </c>
      <c r="AI115" s="972" t="n">
        <v>64619349.17689255</v>
      </c>
      <c r="AJ115" s="506" t="n">
        <v>0.002844</v>
      </c>
      <c r="AL115" s="972" t="n">
        <v>18461706.62189103</v>
      </c>
      <c r="AM115" s="506" t="n">
        <v>0.00643</v>
      </c>
      <c r="AN115" s="972" t="n">
        <v>15514058.92902865</v>
      </c>
      <c r="AO115" s="506" t="n">
        <v>0.016564</v>
      </c>
      <c r="AP115" s="972" t="n">
        <v>18349627.5436203</v>
      </c>
      <c r="AQ115" s="506" t="n">
        <v>0.002964</v>
      </c>
      <c r="AS115" s="972" t="n">
        <v>85.77843054202512</v>
      </c>
      <c r="AT115" s="531" t="n">
        <v>0.025622</v>
      </c>
      <c r="AU115" s="972" t="n">
        <v>84.98887141232188</v>
      </c>
      <c r="AV115" s="531" t="n">
        <v>0.025622</v>
      </c>
      <c r="BA115" s="972">
        <f>V115/1000000</f>
        <v/>
      </c>
      <c r="BB115" s="972">
        <f>W115</f>
        <v/>
      </c>
      <c r="BC115" s="972">
        <f>X115/1000000</f>
        <v/>
      </c>
      <c r="BD115" s="972">
        <f>Y115</f>
        <v/>
      </c>
    </row>
    <row r="116" ht="15" customHeight="1" s="508">
      <c r="S116" s="972" t="n"/>
      <c r="T116" s="972" t="n"/>
      <c r="U116" s="972" t="n"/>
      <c r="V116" s="972" t="n">
        <v>16974002.79936507</v>
      </c>
      <c r="W116" s="506" t="n">
        <v>0.025368</v>
      </c>
      <c r="X116" s="972" t="n">
        <v>16864419.87040659</v>
      </c>
      <c r="Y116" s="506" t="n">
        <v>0.025368</v>
      </c>
      <c r="AA116" s="972" t="n">
        <v>14324782.29589073</v>
      </c>
      <c r="AB116" s="506" t="n">
        <v>0.015818</v>
      </c>
      <c r="AC116" s="972" t="n">
        <v>8227546.395716378</v>
      </c>
      <c r="AD116" s="506" t="n">
        <v>0.003506</v>
      </c>
      <c r="AE116" s="972" t="n">
        <v>20348654.87916645</v>
      </c>
      <c r="AF116" s="506" t="n">
        <v>0.002448</v>
      </c>
      <c r="AG116" s="972" t="n">
        <v>32216795.55075486</v>
      </c>
      <c r="AH116" s="506" t="n">
        <v>0.001166</v>
      </c>
      <c r="AI116" s="972" t="n">
        <v>65290882.38274443</v>
      </c>
      <c r="AJ116" s="506" t="n">
        <v>0.002816</v>
      </c>
      <c r="AL116" s="972" t="n">
        <v>18791987.4013884</v>
      </c>
      <c r="AM116" s="506" t="n">
        <v>0.006366</v>
      </c>
      <c r="AN116" s="972" t="n">
        <v>15731327.59977625</v>
      </c>
      <c r="AO116" s="506" t="n">
        <v>0.0164</v>
      </c>
      <c r="AP116" s="972" t="n">
        <v>18650439.61939792</v>
      </c>
      <c r="AQ116" s="506" t="n">
        <v>0.002934</v>
      </c>
      <c r="AS116" s="972" t="n">
        <v>86.98991640994237</v>
      </c>
      <c r="AT116" s="531" t="n">
        <v>0.025368</v>
      </c>
      <c r="AU116" s="972" t="n">
        <v>86.08832797790315</v>
      </c>
      <c r="AV116" s="531" t="n">
        <v>0.025368</v>
      </c>
      <c r="BA116" s="972">
        <f>V116/1000000</f>
        <v/>
      </c>
      <c r="BB116" s="972">
        <f>W116</f>
        <v/>
      </c>
      <c r="BC116" s="972">
        <f>X116/1000000</f>
        <v/>
      </c>
      <c r="BD116" s="972">
        <f>Y116</f>
        <v/>
      </c>
    </row>
    <row r="117" ht="15" customHeight="1" s="508">
      <c r="S117" s="972" t="n"/>
      <c r="T117" s="972" t="n"/>
      <c r="U117" s="972" t="n"/>
      <c r="V117" s="972" t="n">
        <v>17257912.87197558</v>
      </c>
      <c r="W117" s="506" t="n">
        <v>0.025116</v>
      </c>
      <c r="X117" s="972" t="n">
        <v>17122842.33545611</v>
      </c>
      <c r="Y117" s="506" t="n">
        <v>0.025116</v>
      </c>
      <c r="AA117" s="972" t="n">
        <v>14486459.95459567</v>
      </c>
      <c r="AB117" s="506" t="n">
        <v>0.015658</v>
      </c>
      <c r="AC117" s="972" t="n">
        <v>8349260.196010035</v>
      </c>
      <c r="AD117" s="506" t="n">
        <v>0.003472</v>
      </c>
      <c r="AE117" s="972" t="n">
        <v>20595436.34817552</v>
      </c>
      <c r="AF117" s="506" t="n">
        <v>0.002422</v>
      </c>
      <c r="AG117" s="972" t="n">
        <v>32433774.35596358</v>
      </c>
      <c r="AH117" s="506" t="n">
        <v>0.001156</v>
      </c>
      <c r="AI117" s="972" t="n">
        <v>65975701.25258275</v>
      </c>
      <c r="AJ117" s="506" t="n">
        <v>0.002788</v>
      </c>
      <c r="AL117" s="972" t="n">
        <v>19077984.14424012</v>
      </c>
      <c r="AM117" s="506" t="n">
        <v>0.006304</v>
      </c>
      <c r="AN117" s="972" t="n">
        <v>15992374.23423989</v>
      </c>
      <c r="AO117" s="506" t="n">
        <v>0.016238</v>
      </c>
      <c r="AP117" s="972" t="n">
        <v>19175574.1734918</v>
      </c>
      <c r="AQ117" s="506" t="n">
        <v>0.002906</v>
      </c>
      <c r="AS117" s="972" t="n">
        <v>88.30346635934785</v>
      </c>
      <c r="AT117" s="531" t="n">
        <v>0.025116</v>
      </c>
      <c r="AU117" s="972" t="n">
        <v>87.33488111287981</v>
      </c>
      <c r="AV117" s="531" t="n">
        <v>0.025116</v>
      </c>
      <c r="BA117" s="972">
        <f>V117/1000000</f>
        <v/>
      </c>
      <c r="BB117" s="972">
        <f>W117</f>
        <v/>
      </c>
      <c r="BC117" s="972">
        <f>X117/1000000</f>
        <v/>
      </c>
      <c r="BD117" s="972">
        <f>Y117</f>
        <v/>
      </c>
    </row>
    <row r="118" ht="15" customHeight="1" s="508">
      <c r="S118" s="972" t="n"/>
      <c r="T118" s="972" t="n"/>
      <c r="U118" s="972" t="n"/>
      <c r="V118" s="972" t="n">
        <v>17589806.34773424</v>
      </c>
      <c r="W118" s="506" t="n">
        <v>0.024862</v>
      </c>
      <c r="X118" s="972" t="n">
        <v>17430194.90250021</v>
      </c>
      <c r="Y118" s="506" t="n">
        <v>0.024862</v>
      </c>
      <c r="AA118" s="972" t="n">
        <v>14661611.97214785</v>
      </c>
      <c r="AB118" s="506" t="n">
        <v>0.0155</v>
      </c>
      <c r="AC118" s="972" t="n">
        <v>8492924.486717789</v>
      </c>
      <c r="AD118" s="506" t="n">
        <v>0.003436</v>
      </c>
      <c r="AE118" s="972" t="n">
        <v>21024602.78748695</v>
      </c>
      <c r="AF118" s="506" t="n">
        <v>0.002398</v>
      </c>
      <c r="AG118" s="972" t="n">
        <v>33108415.89855807</v>
      </c>
      <c r="AH118" s="506" t="n">
        <v>0.001144</v>
      </c>
      <c r="AI118" s="972" t="n">
        <v>66789363.30882508</v>
      </c>
      <c r="AJ118" s="506" t="n">
        <v>0.00276</v>
      </c>
      <c r="AL118" s="972" t="n">
        <v>19449541.23053518</v>
      </c>
      <c r="AM118" s="506" t="n">
        <v>0.00624</v>
      </c>
      <c r="AN118" s="972" t="n">
        <v>16259540.43591559</v>
      </c>
      <c r="AO118" s="506" t="n">
        <v>0.016074</v>
      </c>
      <c r="AP118" s="972" t="n">
        <v>19471365.59488541</v>
      </c>
      <c r="AQ118" s="506" t="n">
        <v>0.002876</v>
      </c>
      <c r="AS118" s="972" t="n">
        <v>89.55740628792159</v>
      </c>
      <c r="AT118" s="531" t="n">
        <v>0.024862</v>
      </c>
      <c r="AU118" s="972" t="n">
        <v>88.69825343627932</v>
      </c>
      <c r="AV118" s="531" t="n">
        <v>0.024862</v>
      </c>
      <c r="BA118" s="972">
        <f>V118/1000000</f>
        <v/>
      </c>
      <c r="BB118" s="972">
        <f>W118</f>
        <v/>
      </c>
      <c r="BC118" s="972">
        <f>X118/1000000</f>
        <v/>
      </c>
      <c r="BD118" s="972">
        <f>Y118</f>
        <v/>
      </c>
    </row>
    <row r="119" ht="15" customHeight="1" s="508">
      <c r="S119" s="972" t="n"/>
      <c r="T119" s="972" t="n"/>
      <c r="U119" s="972" t="n"/>
      <c r="V119" s="972" t="n">
        <v>17842209.7898224</v>
      </c>
      <c r="W119" s="506" t="n">
        <v>0.024608</v>
      </c>
      <c r="X119" s="972" t="n">
        <v>17720459.75084959</v>
      </c>
      <c r="Y119" s="506" t="n">
        <v>0.024608</v>
      </c>
      <c r="AA119" s="972" t="n">
        <v>14855447.89393584</v>
      </c>
      <c r="AB119" s="506" t="n">
        <v>0.015342</v>
      </c>
      <c r="AC119" s="972" t="n">
        <v>8639872.496038841</v>
      </c>
      <c r="AD119" s="506" t="n">
        <v>0.003402</v>
      </c>
      <c r="AE119" s="972" t="n">
        <v>21241287.28280463</v>
      </c>
      <c r="AF119" s="506" t="n">
        <v>0.002374</v>
      </c>
      <c r="AG119" s="972" t="n">
        <v>33865097.33220553</v>
      </c>
      <c r="AH119" s="506" t="n">
        <v>0.001132</v>
      </c>
      <c r="AI119" s="972" t="n">
        <v>67294985.77237119</v>
      </c>
      <c r="AJ119" s="506" t="n">
        <v>0.002732</v>
      </c>
      <c r="AL119" s="972" t="n">
        <v>19702815.93641453</v>
      </c>
      <c r="AM119" s="506" t="n">
        <v>0.006176</v>
      </c>
      <c r="AN119" s="972" t="n">
        <v>16525323.73834085</v>
      </c>
      <c r="AO119" s="506" t="n">
        <v>0.01591</v>
      </c>
      <c r="AP119" s="972" t="n">
        <v>19735800.62490016</v>
      </c>
      <c r="AQ119" s="506" t="n">
        <v>0.002846</v>
      </c>
      <c r="AS119" s="972" t="n">
        <v>90.8273193477808</v>
      </c>
      <c r="AT119" s="531" t="n">
        <v>0.024608</v>
      </c>
      <c r="AU119" s="972" t="n">
        <v>89.97645239996388</v>
      </c>
      <c r="AV119" s="531" t="n">
        <v>0.024608</v>
      </c>
      <c r="BA119" s="972">
        <f>V119/1000000</f>
        <v/>
      </c>
      <c r="BB119" s="972">
        <f>W119</f>
        <v/>
      </c>
      <c r="BC119" s="972">
        <f>X119/1000000</f>
        <v/>
      </c>
      <c r="BD119" s="972">
        <f>Y119</f>
        <v/>
      </c>
    </row>
    <row r="120" ht="15" customHeight="1" s="508">
      <c r="S120" s="972" t="n"/>
      <c r="T120" s="972" t="n"/>
      <c r="U120" s="972" t="n"/>
      <c r="V120" s="972" t="n">
        <v>18124314.35257443</v>
      </c>
      <c r="W120" s="506" t="n">
        <v>0.024354</v>
      </c>
      <c r="X120" s="972" t="n">
        <v>17997971.51317335</v>
      </c>
      <c r="Y120" s="506" t="n">
        <v>0.024354</v>
      </c>
      <c r="AA120" s="972" t="n">
        <v>15049803.46981644</v>
      </c>
      <c r="AB120" s="506" t="n">
        <v>0.015184</v>
      </c>
      <c r="AC120" s="972" t="n">
        <v>8794630.677486058</v>
      </c>
      <c r="AD120" s="506" t="n">
        <v>0.003366</v>
      </c>
      <c r="AE120" s="972" t="n">
        <v>21582614.04907414</v>
      </c>
      <c r="AF120" s="506" t="n">
        <v>0.00235</v>
      </c>
      <c r="AG120" s="972" t="n">
        <v>34368759.48128536</v>
      </c>
      <c r="AH120" s="506" t="n">
        <v>0.00112</v>
      </c>
      <c r="AI120" s="972" t="n">
        <v>68448501.05161625</v>
      </c>
      <c r="AJ120" s="506" t="n">
        <v>0.002704</v>
      </c>
      <c r="AL120" s="972" t="n">
        <v>20038938.30839276</v>
      </c>
      <c r="AM120" s="506" t="n">
        <v>0.006112</v>
      </c>
      <c r="AN120" s="972" t="n">
        <v>16790138.55218839</v>
      </c>
      <c r="AO120" s="506" t="n">
        <v>0.015746</v>
      </c>
      <c r="AP120" s="972" t="n">
        <v>20115821.17407829</v>
      </c>
      <c r="AQ120" s="506" t="n">
        <v>0.002818</v>
      </c>
      <c r="AS120" s="972" t="n">
        <v>92.12826559453219</v>
      </c>
      <c r="AT120" s="531" t="n">
        <v>0.024354</v>
      </c>
      <c r="AU120" s="972" t="n">
        <v>91.26723162444645</v>
      </c>
      <c r="AV120" s="531" t="n">
        <v>0.024354</v>
      </c>
      <c r="BA120" s="972">
        <f>V120/1000000</f>
        <v/>
      </c>
      <c r="BB120" s="972">
        <f>W120</f>
        <v/>
      </c>
      <c r="BC120" s="972">
        <f>X120/1000000</f>
        <v/>
      </c>
      <c r="BD120" s="972">
        <f>Y120</f>
        <v/>
      </c>
    </row>
    <row r="121" ht="15" customHeight="1" s="508">
      <c r="S121" s="972" t="n"/>
      <c r="T121" s="972" t="n"/>
      <c r="U121" s="972" t="n"/>
      <c r="V121" s="972" t="n">
        <v>18412797.73352451</v>
      </c>
      <c r="W121" s="506" t="n">
        <v>0.0241</v>
      </c>
      <c r="X121" s="972" t="n">
        <v>18276537.30272921</v>
      </c>
      <c r="Y121" s="506" t="n">
        <v>0.0241</v>
      </c>
      <c r="AA121" s="972" t="n">
        <v>15248508.50453468</v>
      </c>
      <c r="AB121" s="506" t="n">
        <v>0.015026</v>
      </c>
      <c r="AC121" s="972" t="n">
        <v>8952662.042268859</v>
      </c>
      <c r="AD121" s="506" t="n">
        <v>0.003332</v>
      </c>
      <c r="AE121" s="972" t="n">
        <v>21878986.70404946</v>
      </c>
      <c r="AF121" s="506" t="n">
        <v>0.002326</v>
      </c>
      <c r="AG121" s="972" t="n">
        <v>35034682.72797164</v>
      </c>
      <c r="AH121" s="506" t="n">
        <v>0.001108</v>
      </c>
      <c r="AI121" s="972" t="n">
        <v>69501916.59816298</v>
      </c>
      <c r="AJ121" s="506" t="n">
        <v>0.002676</v>
      </c>
      <c r="AL121" s="972" t="n">
        <v>20348654.87916645</v>
      </c>
      <c r="AM121" s="506" t="n">
        <v>0.006048</v>
      </c>
      <c r="AN121" s="972" t="n">
        <v>17054390.51077576</v>
      </c>
      <c r="AO121" s="506" t="n">
        <v>0.015582</v>
      </c>
      <c r="AP121" s="972" t="n">
        <v>20483553.63181823</v>
      </c>
      <c r="AQ121" s="506" t="n">
        <v>0.002788</v>
      </c>
      <c r="AS121" s="972" t="n">
        <v>93.47942094570099</v>
      </c>
      <c r="AT121" s="531" t="n">
        <v>0.0241</v>
      </c>
      <c r="AU121" s="972" t="n">
        <v>92.61243448823225</v>
      </c>
      <c r="AV121" s="531" t="n">
        <v>0.0241</v>
      </c>
      <c r="BA121" s="972">
        <f>V121/1000000</f>
        <v/>
      </c>
      <c r="BB121" s="972">
        <f>W121</f>
        <v/>
      </c>
      <c r="BC121" s="972">
        <f>X121/1000000</f>
        <v/>
      </c>
      <c r="BD121" s="972">
        <f>Y121</f>
        <v/>
      </c>
    </row>
    <row r="122" ht="15" customHeight="1" s="508">
      <c r="S122" s="972" t="n"/>
      <c r="T122" s="972" t="n"/>
      <c r="U122" s="972" t="n"/>
      <c r="V122" s="972" t="n">
        <v>18717532.988853</v>
      </c>
      <c r="W122" s="506" t="n">
        <v>0.023846</v>
      </c>
      <c r="X122" s="972" t="n">
        <v>18570787.88710985</v>
      </c>
      <c r="Y122" s="506" t="n">
        <v>0.023846</v>
      </c>
      <c r="AA122" s="972" t="n">
        <v>15486424.13234509</v>
      </c>
      <c r="AB122" s="506" t="n">
        <v>0.014868</v>
      </c>
      <c r="AC122" s="972" t="n">
        <v>9098281.357921222</v>
      </c>
      <c r="AD122" s="506" t="n">
        <v>0.003296</v>
      </c>
      <c r="AE122" s="972" t="n">
        <v>22194452.30702531</v>
      </c>
      <c r="AF122" s="506" t="n">
        <v>0.0023</v>
      </c>
      <c r="AG122" s="972" t="n">
        <v>35281677.72201174</v>
      </c>
      <c r="AH122" s="506" t="n">
        <v>0.001096</v>
      </c>
      <c r="AI122" s="972" t="n">
        <v>70567466.94695461</v>
      </c>
      <c r="AJ122" s="506" t="n">
        <v>0.002648</v>
      </c>
      <c r="AL122" s="972" t="n">
        <v>20753224.29951406</v>
      </c>
      <c r="AM122" s="506" t="n">
        <v>0.005984</v>
      </c>
      <c r="AN122" s="972" t="n">
        <v>17311620.09884638</v>
      </c>
      <c r="AO122" s="506" t="n">
        <v>0.015418</v>
      </c>
      <c r="AP122" s="972" t="n">
        <v>20814727.05861858</v>
      </c>
      <c r="AQ122" s="506" t="n">
        <v>0.002758</v>
      </c>
      <c r="AS122" s="972" t="n">
        <v>94.79718994858463</v>
      </c>
      <c r="AT122" s="531" t="n">
        <v>0.023846</v>
      </c>
      <c r="AU122" s="972" t="n">
        <v>93.87938890597835</v>
      </c>
      <c r="AV122" s="531" t="n">
        <v>0.023846</v>
      </c>
      <c r="BA122" s="972">
        <f>V122/1000000</f>
        <v/>
      </c>
      <c r="BB122" s="972">
        <f>W122</f>
        <v/>
      </c>
      <c r="BC122" s="972">
        <f>X122/1000000</f>
        <v/>
      </c>
      <c r="BD122" s="972">
        <f>Y122</f>
        <v/>
      </c>
    </row>
    <row r="123" ht="15" customHeight="1" s="508">
      <c r="S123" s="972" t="n"/>
      <c r="T123" s="972" t="n"/>
      <c r="U123" s="972" t="n"/>
      <c r="V123" s="972" t="n">
        <v>19044567.75932512</v>
      </c>
      <c r="W123" s="506" t="n">
        <v>0.023594</v>
      </c>
      <c r="X123" s="972" t="n">
        <v>18835450.62962048</v>
      </c>
      <c r="Y123" s="506" t="n">
        <v>0.023594</v>
      </c>
      <c r="AA123" s="972" t="n">
        <v>15684560.20884944</v>
      </c>
      <c r="AB123" s="506" t="n">
        <v>0.01471</v>
      </c>
      <c r="AC123" s="972" t="n">
        <v>9192635.613722287</v>
      </c>
      <c r="AD123" s="506" t="n">
        <v>0.003262</v>
      </c>
      <c r="AE123" s="972" t="n">
        <v>22578459.81566848</v>
      </c>
      <c r="AF123" s="506" t="n">
        <v>0.002276</v>
      </c>
      <c r="AG123" s="972" t="n">
        <v>35529552.425447</v>
      </c>
      <c r="AH123" s="506" t="n">
        <v>0.001086</v>
      </c>
      <c r="AI123" s="972" t="n">
        <v>71424658.62220788</v>
      </c>
      <c r="AJ123" s="506" t="n">
        <v>0.00262</v>
      </c>
      <c r="AL123" s="972" t="n">
        <v>21110387.67371963</v>
      </c>
      <c r="AM123" s="506" t="n">
        <v>0.005922</v>
      </c>
      <c r="AN123" s="972" t="n">
        <v>17599352.38397643</v>
      </c>
      <c r="AO123" s="506" t="n">
        <v>0.015254</v>
      </c>
      <c r="AP123" s="972" t="n">
        <v>21237484.65371895</v>
      </c>
      <c r="AQ123" s="506" t="n">
        <v>0.00273</v>
      </c>
      <c r="AS123" s="972" t="n">
        <v>95.94785894705426</v>
      </c>
      <c r="AT123" s="531" t="n">
        <v>0.023594</v>
      </c>
      <c r="AU123" s="972" t="n">
        <v>95.12424564801566</v>
      </c>
      <c r="AV123" s="531" t="n">
        <v>0.023594</v>
      </c>
      <c r="BA123" s="972">
        <f>V123/1000000</f>
        <v/>
      </c>
      <c r="BB123" s="972">
        <f>W123</f>
        <v/>
      </c>
      <c r="BC123" s="972">
        <f>X123/1000000</f>
        <v/>
      </c>
      <c r="BD123" s="972">
        <f>Y123</f>
        <v/>
      </c>
    </row>
    <row r="124" ht="15" customHeight="1" s="508">
      <c r="S124" s="972" t="n"/>
      <c r="T124" s="972" t="n"/>
      <c r="U124" s="972" t="n"/>
      <c r="V124" s="972" t="n">
        <v>19367482.09654562</v>
      </c>
      <c r="W124" s="506" t="n">
        <v>0.02334</v>
      </c>
      <c r="X124" s="972" t="n">
        <v>19200024.03310101</v>
      </c>
      <c r="Y124" s="506" t="n">
        <v>0.02334</v>
      </c>
      <c r="AA124" s="972" t="n">
        <v>15915082.04209537</v>
      </c>
      <c r="AB124" s="506" t="n">
        <v>0.014552</v>
      </c>
      <c r="AC124" s="972" t="n">
        <v>9299829.723786823</v>
      </c>
      <c r="AD124" s="506" t="n">
        <v>0.003226</v>
      </c>
      <c r="AE124" s="972" t="n">
        <v>22953426.00309683</v>
      </c>
      <c r="AF124" s="506" t="n">
        <v>0.002252</v>
      </c>
      <c r="AG124" s="972" t="n">
        <v>36349872.54577924</v>
      </c>
      <c r="AH124" s="506" t="n">
        <v>0.001074</v>
      </c>
      <c r="AI124" s="972" t="n">
        <v>72019870.94714513</v>
      </c>
      <c r="AJ124" s="506" t="n">
        <v>0.002592</v>
      </c>
      <c r="AL124" s="972" t="n">
        <v>21404622.25768444</v>
      </c>
      <c r="AM124" s="506" t="n">
        <v>0.005858</v>
      </c>
      <c r="AN124" s="972" t="n">
        <v>17869440.88653806</v>
      </c>
      <c r="AO124" s="506" t="n">
        <v>0.01509</v>
      </c>
      <c r="AP124" s="972" t="n">
        <v>21804432.28229631</v>
      </c>
      <c r="AQ124" s="506" t="n">
        <v>0.0027</v>
      </c>
      <c r="AS124" s="972" t="n">
        <v>97.45103254478265</v>
      </c>
      <c r="AT124" s="531" t="n">
        <v>0.02334</v>
      </c>
      <c r="AU124" s="972" t="n">
        <v>96.35023447452218</v>
      </c>
      <c r="AV124" s="531" t="n">
        <v>0.02334</v>
      </c>
      <c r="BA124" s="972">
        <f>V124/1000000</f>
        <v/>
      </c>
      <c r="BB124" s="972">
        <f>W124</f>
        <v/>
      </c>
      <c r="BC124" s="972">
        <f>X124/1000000</f>
        <v/>
      </c>
      <c r="BD124" s="972">
        <f>Y124</f>
        <v/>
      </c>
    </row>
    <row r="125" ht="15" customHeight="1" s="508">
      <c r="S125" s="972" t="n"/>
      <c r="T125" s="972" t="n"/>
      <c r="U125" s="972" t="n"/>
      <c r="V125" s="972" t="n">
        <v>19642716.59516753</v>
      </c>
      <c r="W125" s="506" t="n">
        <v>0.023086</v>
      </c>
      <c r="X125" s="972" t="n">
        <v>19498852.32361082</v>
      </c>
      <c r="Y125" s="506" t="n">
        <v>0.023086</v>
      </c>
      <c r="AA125" s="972" t="n">
        <v>16138774.11279488</v>
      </c>
      <c r="AB125" s="506" t="n">
        <v>0.014394</v>
      </c>
      <c r="AC125" s="972" t="n">
        <v>9411436.208405847</v>
      </c>
      <c r="AD125" s="506" t="n">
        <v>0.003192</v>
      </c>
      <c r="AE125" s="972" t="n">
        <v>23389632.16509242</v>
      </c>
      <c r="AF125" s="506" t="n">
        <v>0.002228</v>
      </c>
      <c r="AG125" s="972" t="n">
        <v>36737377.71378784</v>
      </c>
      <c r="AH125" s="506" t="n">
        <v>0.001062</v>
      </c>
      <c r="AI125" s="972" t="n">
        <v>73150933.94713816</v>
      </c>
      <c r="AJ125" s="506" t="n">
        <v>0.002562</v>
      </c>
      <c r="AL125" s="972" t="n">
        <v>21750571.22109246</v>
      </c>
      <c r="AM125" s="506" t="n">
        <v>0.005794</v>
      </c>
      <c r="AN125" s="972" t="n">
        <v>18136041.7825156</v>
      </c>
      <c r="AO125" s="506" t="n">
        <v>0.014926</v>
      </c>
      <c r="AP125" s="972" t="n">
        <v>22196013.16086479</v>
      </c>
      <c r="AQ125" s="506" t="n">
        <v>0.00267</v>
      </c>
      <c r="AS125" s="972" t="n">
        <v>98.81818986379969</v>
      </c>
      <c r="AT125" s="531" t="n">
        <v>0.023086</v>
      </c>
      <c r="AU125" s="972" t="n">
        <v>97.90735345109678</v>
      </c>
      <c r="AV125" s="531" t="n">
        <v>0.023086</v>
      </c>
      <c r="BA125" s="972">
        <f>V125/1000000</f>
        <v/>
      </c>
      <c r="BB125" s="972">
        <f>W125</f>
        <v/>
      </c>
      <c r="BC125" s="972">
        <f>X125/1000000</f>
        <v/>
      </c>
      <c r="BD125" s="972">
        <f>Y125</f>
        <v/>
      </c>
    </row>
    <row r="126" ht="15" customHeight="1" s="508">
      <c r="S126" s="972" t="n"/>
      <c r="T126" s="972" t="n"/>
      <c r="U126" s="972" t="n"/>
      <c r="V126" s="972" t="n">
        <v>19956865.16127675</v>
      </c>
      <c r="W126" s="506" t="n">
        <v>0.022832</v>
      </c>
      <c r="X126" s="972" t="n">
        <v>19778114.13305148</v>
      </c>
      <c r="Y126" s="506" t="n">
        <v>0.022832</v>
      </c>
      <c r="AA126" s="972" t="n">
        <v>16345607.33705838</v>
      </c>
      <c r="AB126" s="506" t="n">
        <v>0.014236</v>
      </c>
      <c r="AC126" s="972" t="n">
        <v>9588355.785223849</v>
      </c>
      <c r="AD126" s="506" t="n">
        <v>0.003156</v>
      </c>
      <c r="AE126" s="972" t="n">
        <v>23941840.33939658</v>
      </c>
      <c r="AF126" s="506" t="n">
        <v>0.002202</v>
      </c>
      <c r="AG126" s="972" t="n">
        <v>37281528.98711522</v>
      </c>
      <c r="AH126" s="506" t="n">
        <v>0.00105</v>
      </c>
      <c r="AI126" s="972" t="n">
        <v>73713591.93384591</v>
      </c>
      <c r="AJ126" s="506" t="n">
        <v>0.002534</v>
      </c>
      <c r="AL126" s="972" t="n">
        <v>22087006.12263494</v>
      </c>
      <c r="AM126" s="506" t="n">
        <v>0.00573</v>
      </c>
      <c r="AN126" s="972" t="n">
        <v>18433940.97704369</v>
      </c>
      <c r="AO126" s="506" t="n">
        <v>0.014762</v>
      </c>
      <c r="AP126" s="972" t="n">
        <v>22494106.53053901</v>
      </c>
      <c r="AQ126" s="506" t="n">
        <v>0.002642</v>
      </c>
      <c r="AS126" s="972" t="n">
        <v>100.383517643003</v>
      </c>
      <c r="AT126" s="531" t="n">
        <v>0.022832</v>
      </c>
      <c r="AU126" s="972" t="n">
        <v>99.35444139725716</v>
      </c>
      <c r="AV126" s="531" t="n">
        <v>0.022832</v>
      </c>
      <c r="BA126" s="972">
        <f>V126/1000000</f>
        <v/>
      </c>
      <c r="BB126" s="972">
        <f>W126</f>
        <v/>
      </c>
      <c r="BC126" s="972">
        <f>X126/1000000</f>
        <v/>
      </c>
      <c r="BD126" s="972">
        <f>Y126</f>
        <v/>
      </c>
    </row>
    <row r="127" ht="15" customHeight="1" s="508">
      <c r="S127" s="972" t="n"/>
      <c r="T127" s="972" t="n"/>
      <c r="U127" s="972" t="n"/>
      <c r="V127" s="972" t="n">
        <v>20246317.56194741</v>
      </c>
      <c r="W127" s="506" t="n">
        <v>0.022578</v>
      </c>
      <c r="X127" s="972" t="n">
        <v>20100054.81101604</v>
      </c>
      <c r="Y127" s="506" t="n">
        <v>0.022578</v>
      </c>
      <c r="AA127" s="972" t="n">
        <v>16654696.83187809</v>
      </c>
      <c r="AB127" s="506" t="n">
        <v>0.014078</v>
      </c>
      <c r="AC127" s="972" t="n">
        <v>9795993.265696106</v>
      </c>
      <c r="AD127" s="506" t="n">
        <v>0.003122</v>
      </c>
      <c r="AE127" s="972" t="n">
        <v>24338560.39170472</v>
      </c>
      <c r="AF127" s="506" t="n">
        <v>0.002178</v>
      </c>
      <c r="AG127" s="972" t="n">
        <v>37575194.39170568</v>
      </c>
      <c r="AH127" s="506" t="n">
        <v>0.001038</v>
      </c>
      <c r="AI127" s="972" t="n">
        <v>74410486.52953354</v>
      </c>
      <c r="AJ127" s="506" t="n">
        <v>0.002506</v>
      </c>
      <c r="AL127" s="972" t="n">
        <v>22577726.90625113</v>
      </c>
      <c r="AM127" s="506" t="n">
        <v>0.005666</v>
      </c>
      <c r="AN127" s="972" t="n">
        <v>18710074.24018808</v>
      </c>
      <c r="AO127" s="506" t="n">
        <v>0.014598</v>
      </c>
      <c r="AP127" s="972" t="n">
        <v>22903947.70593365</v>
      </c>
      <c r="AQ127" s="506" t="n">
        <v>0.002612</v>
      </c>
      <c r="AS127" s="972" t="n">
        <v>101.865642146746</v>
      </c>
      <c r="AT127" s="531" t="n">
        <v>0.022578</v>
      </c>
      <c r="AU127" s="972" t="n">
        <v>100.9179270756013</v>
      </c>
      <c r="AV127" s="531" t="n">
        <v>0.022578</v>
      </c>
      <c r="BA127" s="972">
        <f>V127/1000000</f>
        <v/>
      </c>
      <c r="BB127" s="972">
        <f>W127</f>
        <v/>
      </c>
      <c r="BC127" s="972">
        <f>X127/1000000</f>
        <v/>
      </c>
      <c r="BD127" s="972">
        <f>Y127</f>
        <v/>
      </c>
    </row>
    <row r="128" ht="15" customHeight="1" s="508">
      <c r="S128" s="972" t="n"/>
      <c r="T128" s="972" t="n"/>
      <c r="U128" s="972" t="n"/>
      <c r="V128" s="972" t="n">
        <v>20549126.92612859</v>
      </c>
      <c r="W128" s="506" t="n">
        <v>0.022324</v>
      </c>
      <c r="X128" s="972" t="n">
        <v>20389903.56219323</v>
      </c>
      <c r="Y128" s="506" t="n">
        <v>0.022324</v>
      </c>
      <c r="AA128" s="972" t="n">
        <v>16905332.4844104</v>
      </c>
      <c r="AB128" s="506" t="n">
        <v>0.01392</v>
      </c>
      <c r="AC128" s="972" t="n">
        <v>9935424.385336066</v>
      </c>
      <c r="AD128" s="506" t="n">
        <v>0.003086</v>
      </c>
      <c r="AE128" s="972" t="n">
        <v>24664742.25328772</v>
      </c>
      <c r="AF128" s="506" t="n">
        <v>0.002154</v>
      </c>
      <c r="AG128" s="972" t="n">
        <v>38170071.41949137</v>
      </c>
      <c r="AH128" s="506" t="n">
        <v>0.001028</v>
      </c>
      <c r="AI128" s="972" t="n">
        <v>75245912.52670494</v>
      </c>
      <c r="AJ128" s="506" t="n">
        <v>0.002478</v>
      </c>
      <c r="AL128" s="972" t="n">
        <v>22984016.92360838</v>
      </c>
      <c r="AM128" s="506" t="n">
        <v>0.005604</v>
      </c>
      <c r="AN128" s="972" t="n">
        <v>19048633.37959303</v>
      </c>
      <c r="AO128" s="506" t="n">
        <v>0.014434</v>
      </c>
      <c r="AP128" s="972" t="n">
        <v>23321645.38778174</v>
      </c>
      <c r="AQ128" s="506" t="n">
        <v>0.002582</v>
      </c>
      <c r="AS128" s="972" t="n">
        <v>103.285383896119</v>
      </c>
      <c r="AT128" s="531" t="n">
        <v>0.022324</v>
      </c>
      <c r="AU128" s="972" t="n">
        <v>102.2955554590466</v>
      </c>
      <c r="AV128" s="531" t="n">
        <v>0.022324</v>
      </c>
      <c r="BA128" s="972">
        <f>V128/1000000</f>
        <v/>
      </c>
      <c r="BB128" s="972">
        <f>W128</f>
        <v/>
      </c>
      <c r="BC128" s="972">
        <f>X128/1000000</f>
        <v/>
      </c>
      <c r="BD128" s="972">
        <f>Y128</f>
        <v/>
      </c>
    </row>
    <row r="129" ht="15" customHeight="1" s="508">
      <c r="S129" s="972" t="n"/>
      <c r="T129" s="972" t="n"/>
      <c r="U129" s="972" t="n"/>
      <c r="V129" s="972" t="n">
        <v>20865425.37277603</v>
      </c>
      <c r="W129" s="506" t="n">
        <v>0.022072</v>
      </c>
      <c r="X129" s="972" t="n">
        <v>20710796.18725589</v>
      </c>
      <c r="Y129" s="506" t="n">
        <v>0.022072</v>
      </c>
      <c r="AA129" s="972" t="n">
        <v>17141290.96130142</v>
      </c>
      <c r="AB129" s="506" t="n">
        <v>0.013762</v>
      </c>
      <c r="AC129" s="972" t="n">
        <v>10061674.42361858</v>
      </c>
      <c r="AD129" s="506" t="n">
        <v>0.003052</v>
      </c>
      <c r="AE129" s="972" t="n">
        <v>24949660.18963045</v>
      </c>
      <c r="AF129" s="506" t="n">
        <v>0.00213</v>
      </c>
      <c r="AG129" s="972" t="n">
        <v>39254678.03357672</v>
      </c>
      <c r="AH129" s="506" t="n">
        <v>0.001016</v>
      </c>
      <c r="AI129" s="972" t="n">
        <v>75753491.29625392</v>
      </c>
      <c r="AJ129" s="506" t="n">
        <v>0.00245</v>
      </c>
      <c r="AL129" s="972" t="n">
        <v>23314403.53970539</v>
      </c>
      <c r="AM129" s="506" t="n">
        <v>0.00554</v>
      </c>
      <c r="AN129" s="972" t="n">
        <v>19337548.718012</v>
      </c>
      <c r="AO129" s="506" t="n">
        <v>0.01427</v>
      </c>
      <c r="AP129" s="972" t="n">
        <v>23797677.6041932</v>
      </c>
      <c r="AQ129" s="506" t="n">
        <v>0.002554</v>
      </c>
      <c r="AS129" s="972" t="n">
        <v>104.723287463609</v>
      </c>
      <c r="AT129" s="531" t="n">
        <v>0.022072</v>
      </c>
      <c r="AU129" s="972" t="n">
        <v>103.7326131284109</v>
      </c>
      <c r="AV129" s="531" t="n">
        <v>0.022072</v>
      </c>
      <c r="BA129" s="972">
        <f>V129/1000000</f>
        <v/>
      </c>
      <c r="BB129" s="972">
        <f>W129</f>
        <v/>
      </c>
      <c r="BC129" s="972">
        <f>X129/1000000</f>
        <v/>
      </c>
      <c r="BD129" s="972">
        <f>Y129</f>
        <v/>
      </c>
    </row>
    <row r="130" ht="15" customHeight="1" s="508">
      <c r="S130" s="972" t="n"/>
      <c r="T130" s="972" t="n"/>
      <c r="U130" s="972" t="n"/>
      <c r="V130" s="972" t="n">
        <v>21194090.66583719</v>
      </c>
      <c r="W130" s="506" t="n">
        <v>0.021818</v>
      </c>
      <c r="X130" s="972" t="n">
        <v>21020661.9550328</v>
      </c>
      <c r="Y130" s="506" t="n">
        <v>0.021818</v>
      </c>
      <c r="AA130" s="972" t="n">
        <v>17383559.96386229</v>
      </c>
      <c r="AB130" s="506" t="n">
        <v>0.013604</v>
      </c>
      <c r="AC130" s="972" t="n">
        <v>10207637.43776571</v>
      </c>
      <c r="AD130" s="506" t="n">
        <v>0.003016</v>
      </c>
      <c r="AE130" s="972" t="n">
        <v>25384232.10285215</v>
      </c>
      <c r="AF130" s="506" t="n">
        <v>0.002106</v>
      </c>
      <c r="AG130" s="972" t="n">
        <v>40192323.54693878</v>
      </c>
      <c r="AH130" s="506" t="n">
        <v>0.001004</v>
      </c>
      <c r="AI130" s="972" t="n">
        <v>76453647.34742314</v>
      </c>
      <c r="AJ130" s="506" t="n">
        <v>0.002422</v>
      </c>
      <c r="AL130" s="972" t="n">
        <v>23862582.46795759</v>
      </c>
      <c r="AM130" s="506" t="n">
        <v>0.005476</v>
      </c>
      <c r="AN130" s="972" t="n">
        <v>19630309.97808176</v>
      </c>
      <c r="AO130" s="506" t="n">
        <v>0.014106</v>
      </c>
      <c r="AP130" s="972" t="n">
        <v>24158360.28712821</v>
      </c>
      <c r="AQ130" s="506" t="n">
        <v>0.002524</v>
      </c>
      <c r="AS130" s="972" t="n">
        <v>106.473537480834</v>
      </c>
      <c r="AT130" s="531" t="n">
        <v>0.021818</v>
      </c>
      <c r="AU130" s="972" t="n">
        <v>105.3734752515888</v>
      </c>
      <c r="AV130" s="531" t="n">
        <v>0.021818</v>
      </c>
      <c r="BA130" s="972">
        <f>V130/1000000</f>
        <v/>
      </c>
      <c r="BB130" s="972">
        <f>W130</f>
        <v/>
      </c>
      <c r="BC130" s="972">
        <f>X130/1000000</f>
        <v/>
      </c>
      <c r="BD130" s="972">
        <f>Y130</f>
        <v/>
      </c>
    </row>
    <row r="131" ht="15" customHeight="1" s="508">
      <c r="S131" s="972" t="n"/>
      <c r="T131" s="972" t="n"/>
      <c r="U131" s="972" t="n"/>
      <c r="V131" s="972" t="n">
        <v>21541218.14553802</v>
      </c>
      <c r="W131" s="506" t="n">
        <v>0.021564</v>
      </c>
      <c r="X131" s="972" t="n">
        <v>21358445.55552656</v>
      </c>
      <c r="Y131" s="506" t="n">
        <v>0.021564</v>
      </c>
      <c r="AA131" s="972" t="n">
        <v>17625168.30391174</v>
      </c>
      <c r="AB131" s="506" t="n">
        <v>0.013444</v>
      </c>
      <c r="AC131" s="972" t="n">
        <v>10322512.76285655</v>
      </c>
      <c r="AD131" s="506" t="n">
        <v>0.00298</v>
      </c>
      <c r="AE131" s="972" t="n">
        <v>25777059.38389438</v>
      </c>
      <c r="AF131" s="506" t="n">
        <v>0.00208</v>
      </c>
      <c r="AG131" s="972" t="n">
        <v>41145785.12996432</v>
      </c>
      <c r="AH131" s="506" t="n">
        <v>0.000992</v>
      </c>
      <c r="AI131" s="972" t="n">
        <v>77168015.87577435</v>
      </c>
      <c r="AJ131" s="506" t="n">
        <v>0.002394</v>
      </c>
      <c r="AL131" s="972" t="n">
        <v>24203333.09355537</v>
      </c>
      <c r="AM131" s="506" t="n">
        <v>0.005412</v>
      </c>
      <c r="AN131" s="972" t="n">
        <v>19893764.72121581</v>
      </c>
      <c r="AO131" s="506" t="n">
        <v>0.013942</v>
      </c>
      <c r="AP131" s="972" t="n">
        <v>24499827.59284465</v>
      </c>
      <c r="AQ131" s="506" t="n">
        <v>0.002494</v>
      </c>
      <c r="AS131" s="972" t="n">
        <v>107.9604466248084</v>
      </c>
      <c r="AT131" s="531" t="n">
        <v>0.021564</v>
      </c>
      <c r="AU131" s="972" t="n">
        <v>107.1390218823768</v>
      </c>
      <c r="AV131" s="531" t="n">
        <v>0.021564</v>
      </c>
      <c r="BA131" s="972">
        <f>V131/1000000</f>
        <v/>
      </c>
      <c r="BB131" s="972">
        <f>W131</f>
        <v/>
      </c>
      <c r="BC131" s="972">
        <f>X131/1000000</f>
        <v/>
      </c>
      <c r="BD131" s="972">
        <f>Y131</f>
        <v/>
      </c>
    </row>
    <row r="132" ht="15" customHeight="1" s="508">
      <c r="S132" s="972" t="n"/>
      <c r="T132" s="972" t="n"/>
      <c r="U132" s="972" t="n"/>
      <c r="V132" s="972" t="n">
        <v>21909854.93056764</v>
      </c>
      <c r="W132" s="506" t="n">
        <v>0.02131</v>
      </c>
      <c r="X132" s="972" t="n">
        <v>21670765.6092702</v>
      </c>
      <c r="Y132" s="506" t="n">
        <v>0.02131</v>
      </c>
      <c r="AA132" s="972" t="n">
        <v>17845395.83282114</v>
      </c>
      <c r="AB132" s="506" t="n">
        <v>0.013286</v>
      </c>
      <c r="AC132" s="972" t="n">
        <v>10480467.43705113</v>
      </c>
      <c r="AD132" s="506" t="n">
        <v>0.002946</v>
      </c>
      <c r="AE132" s="972" t="n">
        <v>26064313.05842736</v>
      </c>
      <c r="AF132" s="506" t="n">
        <v>0.002056</v>
      </c>
      <c r="AG132" s="972" t="n">
        <v>41625454.2292996</v>
      </c>
      <c r="AH132" s="506" t="n">
        <v>0.00098</v>
      </c>
      <c r="AI132" s="972" t="n">
        <v>77978674.32303828</v>
      </c>
      <c r="AJ132" s="506" t="n">
        <v>0.002366</v>
      </c>
      <c r="AL132" s="972" t="n">
        <v>24495521.62740204</v>
      </c>
      <c r="AM132" s="506" t="n">
        <v>0.005348</v>
      </c>
      <c r="AN132" s="972" t="n">
        <v>20189290.30037479</v>
      </c>
      <c r="AO132" s="506" t="n">
        <v>0.013778</v>
      </c>
      <c r="AP132" s="972" t="n">
        <v>25023718.63785317</v>
      </c>
      <c r="AQ132" s="506" t="n">
        <v>0.002466</v>
      </c>
      <c r="AS132" s="972" t="n">
        <v>109.443082964368</v>
      </c>
      <c r="AT132" s="531" t="n">
        <v>0.02131</v>
      </c>
      <c r="AU132" s="972" t="n">
        <v>108.5950278503998</v>
      </c>
      <c r="AV132" s="531" t="n">
        <v>0.02131</v>
      </c>
      <c r="BA132" s="972">
        <f>V132/1000000</f>
        <v/>
      </c>
      <c r="BB132" s="972">
        <f>W132</f>
        <v/>
      </c>
      <c r="BC132" s="972">
        <f>X132/1000000</f>
        <v/>
      </c>
      <c r="BD132" s="972">
        <f>Y132</f>
        <v/>
      </c>
    </row>
    <row r="133" ht="15" customHeight="1" s="508">
      <c r="S133" s="972" t="n"/>
      <c r="T133" s="972" t="n"/>
      <c r="U133" s="972" t="n"/>
      <c r="V133" s="972" t="n">
        <v>22271786.74154844</v>
      </c>
      <c r="W133" s="506" t="n">
        <v>0.021056</v>
      </c>
      <c r="X133" s="972" t="n">
        <v>22066572.80682584</v>
      </c>
      <c r="Y133" s="506" t="n">
        <v>0.021056</v>
      </c>
      <c r="AA133" s="972" t="n">
        <v>18100085.35488152</v>
      </c>
      <c r="AB133" s="506" t="n">
        <v>0.013128</v>
      </c>
      <c r="AC133" s="972" t="n">
        <v>10640614.85079639</v>
      </c>
      <c r="AD133" s="506" t="n">
        <v>0.00291</v>
      </c>
      <c r="AE133" s="972" t="n">
        <v>26578437.55355518</v>
      </c>
      <c r="AF133" s="506" t="n">
        <v>0.002032</v>
      </c>
      <c r="AG133" s="972" t="n">
        <v>42139609.55804002</v>
      </c>
      <c r="AH133" s="506" t="n">
        <v>0.000968</v>
      </c>
      <c r="AI133" s="972" t="n">
        <v>78812367.52225563</v>
      </c>
      <c r="AJ133" s="506" t="n">
        <v>0.002338</v>
      </c>
      <c r="AL133" s="972" t="n">
        <v>25021155.37787268</v>
      </c>
      <c r="AM133" s="506" t="n">
        <v>0.005284</v>
      </c>
      <c r="AN133" s="972" t="n">
        <v>20473457.26108332</v>
      </c>
      <c r="AO133" s="506" t="n">
        <v>0.013614</v>
      </c>
      <c r="AP133" s="972" t="n">
        <v>25320350.66600094</v>
      </c>
      <c r="AQ133" s="506" t="n">
        <v>0.002436</v>
      </c>
      <c r="AS133" s="972" t="n">
        <v>111.0442992159048</v>
      </c>
      <c r="AT133" s="531" t="n">
        <v>0.021056</v>
      </c>
      <c r="AU133" s="972" t="n">
        <v>110.0431756458308</v>
      </c>
      <c r="AV133" s="531" t="n">
        <v>0.021056</v>
      </c>
      <c r="BA133" s="972">
        <f>V133/1000000</f>
        <v/>
      </c>
      <c r="BB133" s="972">
        <f>W133</f>
        <v/>
      </c>
      <c r="BC133" s="972">
        <f>X133/1000000</f>
        <v/>
      </c>
      <c r="BD133" s="972">
        <f>Y133</f>
        <v/>
      </c>
    </row>
    <row r="134" ht="15" customHeight="1" s="508">
      <c r="S134" s="972" t="n"/>
      <c r="T134" s="972" t="n"/>
      <c r="U134" s="972" t="n"/>
      <c r="V134" s="972" t="n">
        <v>22674510.20502339</v>
      </c>
      <c r="W134" s="506" t="n">
        <v>0.020802</v>
      </c>
      <c r="X134" s="972" t="n">
        <v>22447911.50971067</v>
      </c>
      <c r="Y134" s="506" t="n">
        <v>0.020802</v>
      </c>
      <c r="AA134" s="972" t="n">
        <v>18341553.24667846</v>
      </c>
      <c r="AB134" s="506" t="n">
        <v>0.01297</v>
      </c>
      <c r="AC134" s="972" t="n">
        <v>10869925.05694747</v>
      </c>
      <c r="AD134" s="506" t="n">
        <v>0.002876</v>
      </c>
      <c r="AE134" s="972" t="n">
        <v>26897150.12059944</v>
      </c>
      <c r="AF134" s="506" t="n">
        <v>0.002008</v>
      </c>
      <c r="AG134" s="972" t="n">
        <v>43230864.41006702</v>
      </c>
      <c r="AH134" s="506" t="n">
        <v>0.000958</v>
      </c>
      <c r="AI134" s="972" t="n">
        <v>79831640.85212462</v>
      </c>
      <c r="AJ134" s="506" t="n">
        <v>0.00231</v>
      </c>
      <c r="AL134" s="972" t="n">
        <v>25323070.55990616</v>
      </c>
      <c r="AM134" s="506" t="n">
        <v>0.005222</v>
      </c>
      <c r="AN134" s="972" t="n">
        <v>20792594.02054999</v>
      </c>
      <c r="AO134" s="506" t="n">
        <v>0.01345</v>
      </c>
      <c r="AP134" s="972" t="n">
        <v>25888253.6400909</v>
      </c>
      <c r="AQ134" s="506" t="n">
        <v>0.002406</v>
      </c>
      <c r="AS134" s="972" t="n">
        <v>112.8787865626621</v>
      </c>
      <c r="AT134" s="531" t="n">
        <v>0.020802</v>
      </c>
      <c r="AU134" s="972" t="n">
        <v>111.7836991410286</v>
      </c>
      <c r="AV134" s="531" t="n">
        <v>0.020802</v>
      </c>
      <c r="BA134" s="972">
        <f>V134/1000000</f>
        <v/>
      </c>
      <c r="BB134" s="972">
        <f>W134</f>
        <v/>
      </c>
      <c r="BC134" s="972">
        <f>X134/1000000</f>
        <v/>
      </c>
      <c r="BD134" s="972">
        <f>Y134</f>
        <v/>
      </c>
    </row>
    <row r="135" ht="15" customHeight="1" s="508">
      <c r="S135" s="972" t="n"/>
      <c r="T135" s="972" t="n"/>
      <c r="U135" s="972" t="n"/>
      <c r="V135" s="972" t="n">
        <v>23090240.71614802</v>
      </c>
      <c r="W135" s="506" t="n">
        <v>0.02055</v>
      </c>
      <c r="X135" s="972" t="n">
        <v>22856671.06876828</v>
      </c>
      <c r="Y135" s="506" t="n">
        <v>0.02055</v>
      </c>
      <c r="AA135" s="972" t="n">
        <v>18591045.31858607</v>
      </c>
      <c r="AB135" s="506" t="n">
        <v>0.012812</v>
      </c>
      <c r="AC135" s="972" t="n">
        <v>11014171.06675295</v>
      </c>
      <c r="AD135" s="506" t="n">
        <v>0.00284</v>
      </c>
      <c r="AE135" s="972" t="n">
        <v>27310857.16245244</v>
      </c>
      <c r="AF135" s="506" t="n">
        <v>0.001982</v>
      </c>
      <c r="AG135" s="972" t="n">
        <v>43877074.37821722</v>
      </c>
      <c r="AH135" s="506" t="n">
        <v>0.000946</v>
      </c>
      <c r="AI135" s="972" t="n">
        <v>81126005.47789326</v>
      </c>
      <c r="AJ135" s="506" t="n">
        <v>0.002282</v>
      </c>
      <c r="AL135" s="972" t="n">
        <v>25785344.40350721</v>
      </c>
      <c r="AM135" s="506" t="n">
        <v>0.005158</v>
      </c>
      <c r="AN135" s="972" t="n">
        <v>21082483.74642266</v>
      </c>
      <c r="AO135" s="506" t="n">
        <v>0.013286</v>
      </c>
      <c r="AP135" s="972" t="n">
        <v>26495041.29472314</v>
      </c>
      <c r="AQ135" s="506" t="n">
        <v>0.002378</v>
      </c>
      <c r="AS135" s="972" t="n">
        <v>114.3679733235959</v>
      </c>
      <c r="AT135" s="531" t="n">
        <v>0.02055</v>
      </c>
      <c r="AU135" s="972" t="n">
        <v>113.4706840522531</v>
      </c>
      <c r="AV135" s="531" t="n">
        <v>0.02055</v>
      </c>
      <c r="BA135" s="972">
        <f>V135/1000000</f>
        <v/>
      </c>
      <c r="BB135" s="972">
        <f>W135</f>
        <v/>
      </c>
      <c r="BC135" s="972">
        <f>X135/1000000</f>
        <v/>
      </c>
      <c r="BD135" s="972">
        <f>Y135</f>
        <v/>
      </c>
    </row>
    <row r="136" ht="15" customHeight="1" s="508">
      <c r="S136" s="972" t="n"/>
      <c r="T136" s="972" t="n"/>
      <c r="U136" s="972" t="n"/>
      <c r="V136" s="972" t="n">
        <v>23469531.38730887</v>
      </c>
      <c r="W136" s="506" t="n">
        <v>0.020296</v>
      </c>
      <c r="X136" s="972" t="n">
        <v>23210716.03293487</v>
      </c>
      <c r="Y136" s="506" t="n">
        <v>0.020296</v>
      </c>
      <c r="AA136" s="972" t="n">
        <v>18861328.57329392</v>
      </c>
      <c r="AB136" s="506" t="n">
        <v>0.012654</v>
      </c>
      <c r="AC136" s="972" t="n">
        <v>11196582.5373925</v>
      </c>
      <c r="AD136" s="506" t="n">
        <v>0.002806</v>
      </c>
      <c r="AE136" s="972" t="n">
        <v>27682484.57965519</v>
      </c>
      <c r="AF136" s="506" t="n">
        <v>0.001958</v>
      </c>
      <c r="AG136" s="972" t="n">
        <v>44562343.06287544</v>
      </c>
      <c r="AH136" s="506" t="n">
        <v>0.000934</v>
      </c>
      <c r="AI136" s="972" t="n">
        <v>81968151.81881785</v>
      </c>
      <c r="AJ136" s="506" t="n">
        <v>0.002254</v>
      </c>
      <c r="AL136" s="972" t="n">
        <v>26286919.03686488</v>
      </c>
      <c r="AM136" s="506" t="n">
        <v>0.005094</v>
      </c>
      <c r="AN136" s="972" t="n">
        <v>21424664.01617907</v>
      </c>
      <c r="AO136" s="506" t="n">
        <v>0.013122</v>
      </c>
      <c r="AP136" s="972" t="n">
        <v>27213755.94942715</v>
      </c>
      <c r="AQ136" s="506" t="n">
        <v>0.002348</v>
      </c>
      <c r="AS136" s="972" t="n">
        <v>115.7527125007001</v>
      </c>
      <c r="AT136" s="531" t="n">
        <v>0.020296</v>
      </c>
      <c r="AU136" s="972" t="n">
        <v>114.9965642155112</v>
      </c>
      <c r="AV136" s="531" t="n">
        <v>0.020296</v>
      </c>
      <c r="BA136" s="972">
        <f>V136/1000000</f>
        <v/>
      </c>
      <c r="BB136" s="972">
        <f>W136</f>
        <v/>
      </c>
      <c r="BC136" s="972">
        <f>X136/1000000</f>
        <v/>
      </c>
      <c r="BD136" s="972">
        <f>Y136</f>
        <v/>
      </c>
    </row>
    <row r="137" ht="15" customHeight="1" s="508">
      <c r="S137" s="972" t="n"/>
      <c r="T137" s="972" t="n"/>
      <c r="U137" s="972" t="n"/>
      <c r="V137" s="972" t="n">
        <v>23952861.15302651</v>
      </c>
      <c r="W137" s="506" t="n">
        <v>0.020042</v>
      </c>
      <c r="X137" s="972" t="n">
        <v>23671528.40712518</v>
      </c>
      <c r="Y137" s="506" t="n">
        <v>0.020042</v>
      </c>
      <c r="AA137" s="972" t="n">
        <v>19197080.88270497</v>
      </c>
      <c r="AB137" s="506" t="n">
        <v>0.012496</v>
      </c>
      <c r="AC137" s="972" t="n">
        <v>11379940.14398202</v>
      </c>
      <c r="AD137" s="506" t="n">
        <v>0.00277</v>
      </c>
      <c r="AE137" s="972" t="n">
        <v>28230878.3780003</v>
      </c>
      <c r="AF137" s="506" t="n">
        <v>0.001934</v>
      </c>
      <c r="AG137" s="972" t="n">
        <v>45508611.77613582</v>
      </c>
      <c r="AH137" s="506" t="n">
        <v>0.000922</v>
      </c>
      <c r="AI137" s="972" t="n">
        <v>82925761.08796228</v>
      </c>
      <c r="AJ137" s="506" t="n">
        <v>0.002226</v>
      </c>
      <c r="AL137" s="972" t="n">
        <v>26876704.04661407</v>
      </c>
      <c r="AM137" s="506" t="n">
        <v>0.00503</v>
      </c>
      <c r="AN137" s="972" t="n">
        <v>21771076.85242105</v>
      </c>
      <c r="AO137" s="506" t="n">
        <v>0.012958</v>
      </c>
      <c r="AP137" s="972" t="n">
        <v>27835544.79528698</v>
      </c>
      <c r="AQ137" s="506" t="n">
        <v>0.00232</v>
      </c>
      <c r="AS137" s="972" t="n">
        <v>117.679019986415</v>
      </c>
      <c r="AT137" s="531" t="n">
        <v>0.020042</v>
      </c>
      <c r="AU137" s="972" t="n">
        <v>116.6111099632879</v>
      </c>
      <c r="AV137" s="531" t="n">
        <v>0.020042</v>
      </c>
      <c r="BA137" s="972">
        <f>V137/1000000</f>
        <v/>
      </c>
      <c r="BB137" s="972">
        <f>W137</f>
        <v/>
      </c>
      <c r="BC137" s="972">
        <f>X137/1000000</f>
        <v/>
      </c>
      <c r="BD137" s="972">
        <f>Y137</f>
        <v/>
      </c>
    </row>
    <row r="138" ht="15" customHeight="1" s="508">
      <c r="S138" s="972" t="n"/>
      <c r="T138" s="972" t="n"/>
      <c r="U138" s="972" t="n"/>
      <c r="V138" s="972" t="n">
        <v>24334715.91503409</v>
      </c>
      <c r="W138" s="506" t="n">
        <v>0.019788</v>
      </c>
      <c r="X138" s="972" t="n">
        <v>24102195.49362521</v>
      </c>
      <c r="Y138" s="506" t="n">
        <v>0.019788</v>
      </c>
      <c r="AA138" s="972" t="n">
        <v>19498852.32361082</v>
      </c>
      <c r="AB138" s="506" t="n">
        <v>0.012338</v>
      </c>
      <c r="AC138" s="972" t="n">
        <v>11495681.73842373</v>
      </c>
      <c r="AD138" s="506" t="n">
        <v>0.002736</v>
      </c>
      <c r="AE138" s="972" t="n">
        <v>28627473.12040536</v>
      </c>
      <c r="AF138" s="506" t="n">
        <v>0.00191</v>
      </c>
      <c r="AG138" s="972" t="n">
        <v>46133315.12283567</v>
      </c>
      <c r="AH138" s="506" t="n">
        <v>0.00091</v>
      </c>
      <c r="AI138" s="972" t="n">
        <v>83684525.40051547</v>
      </c>
      <c r="AJ138" s="506" t="n">
        <v>0.002198</v>
      </c>
      <c r="AL138" s="972" t="n">
        <v>27348779.0097531</v>
      </c>
      <c r="AM138" s="506" t="n">
        <v>0.004966</v>
      </c>
      <c r="AN138" s="972" t="n">
        <v>22159911.89082834</v>
      </c>
      <c r="AO138" s="506" t="n">
        <v>0.012794</v>
      </c>
      <c r="AP138" s="972" t="n">
        <v>28464841.7033291</v>
      </c>
      <c r="AQ138" s="506" t="n">
        <v>0.00229</v>
      </c>
      <c r="AS138" s="972" t="n">
        <v>119.3310966159209</v>
      </c>
      <c r="AT138" s="531" t="n">
        <v>0.019788</v>
      </c>
      <c r="AU138" s="972" t="n">
        <v>118.404247860692</v>
      </c>
      <c r="AV138" s="531" t="n">
        <v>0.019788</v>
      </c>
      <c r="BA138" s="972">
        <f>V138/1000000</f>
        <v/>
      </c>
      <c r="BB138" s="972">
        <f>W138</f>
        <v/>
      </c>
      <c r="BC138" s="972">
        <f>X138/1000000</f>
        <v/>
      </c>
      <c r="BD138" s="972">
        <f>Y138</f>
        <v/>
      </c>
    </row>
    <row r="139" ht="15" customHeight="1" s="508">
      <c r="S139" s="972" t="n"/>
      <c r="T139" s="972" t="n"/>
      <c r="U139" s="972" t="n"/>
      <c r="V139" s="972" t="n">
        <v>24678350.38726653</v>
      </c>
      <c r="W139" s="506" t="n">
        <v>0.019534</v>
      </c>
      <c r="X139" s="972" t="n">
        <v>24464232.51266976</v>
      </c>
      <c r="Y139" s="506" t="n">
        <v>0.019534</v>
      </c>
      <c r="AA139" s="972" t="n">
        <v>19745713.17848682</v>
      </c>
      <c r="AB139" s="506" t="n">
        <v>0.01218</v>
      </c>
      <c r="AC139" s="972" t="n">
        <v>11797473.05076928</v>
      </c>
      <c r="AD139" s="506" t="n">
        <v>0.0027</v>
      </c>
      <c r="AE139" s="972" t="n">
        <v>29202935.17324667</v>
      </c>
      <c r="AF139" s="506" t="n">
        <v>0.001886</v>
      </c>
      <c r="AG139" s="972" t="n">
        <v>46863225.58282184</v>
      </c>
      <c r="AH139" s="506" t="n">
        <v>0.0009</v>
      </c>
      <c r="AI139" s="972" t="n">
        <v>84917740.39289539</v>
      </c>
      <c r="AJ139" s="506" t="n">
        <v>0.00217</v>
      </c>
      <c r="AL139" s="972" t="n">
        <v>27685856.43527423</v>
      </c>
      <c r="AM139" s="506" t="n">
        <v>0.004904</v>
      </c>
      <c r="AN139" s="972" t="n">
        <v>22551506.95712038</v>
      </c>
      <c r="AO139" s="506" t="n">
        <v>0.01263</v>
      </c>
      <c r="AP139" s="972" t="n">
        <v>28944826.2212436</v>
      </c>
      <c r="AQ139" s="506" t="n">
        <v>0.00226</v>
      </c>
      <c r="AS139" s="972" t="n">
        <v>120.9705137411627</v>
      </c>
      <c r="AT139" s="531" t="n">
        <v>0.019534</v>
      </c>
      <c r="AU139" s="972" t="n">
        <v>120.1585185361443</v>
      </c>
      <c r="AV139" s="531" t="n">
        <v>0.019534</v>
      </c>
      <c r="BA139" s="972">
        <f>V139/1000000</f>
        <v/>
      </c>
      <c r="BB139" s="972">
        <f>W139</f>
        <v/>
      </c>
      <c r="BC139" s="972">
        <f>X139/1000000</f>
        <v/>
      </c>
      <c r="BD139" s="972">
        <f>Y139</f>
        <v/>
      </c>
    </row>
    <row r="140" ht="15" customHeight="1" s="508">
      <c r="S140" s="972" t="n"/>
      <c r="T140" s="972" t="n"/>
      <c r="U140" s="972" t="n"/>
      <c r="V140" s="972" t="n">
        <v>25072537.16170673</v>
      </c>
      <c r="W140" s="506" t="n">
        <v>0.019282</v>
      </c>
      <c r="X140" s="972" t="n">
        <v>24849468.04376549</v>
      </c>
      <c r="Y140" s="506" t="n">
        <v>0.019282</v>
      </c>
      <c r="AA140" s="972" t="n">
        <v>20055605.38468532</v>
      </c>
      <c r="AB140" s="506" t="n">
        <v>0.012022</v>
      </c>
      <c r="AC140" s="972" t="n">
        <v>12118386.93797941</v>
      </c>
      <c r="AD140" s="506" t="n">
        <v>0.002666</v>
      </c>
      <c r="AE140" s="972" t="n">
        <v>29717950.16413973</v>
      </c>
      <c r="AF140" s="506" t="n">
        <v>0.00186</v>
      </c>
      <c r="AG140" s="972" t="n">
        <v>48095826.00380051</v>
      </c>
      <c r="AH140" s="506" t="n">
        <v>0.000888</v>
      </c>
      <c r="AI140" s="972" t="n">
        <v>86376633.4362936</v>
      </c>
      <c r="AJ140" s="506" t="n">
        <v>0.00214</v>
      </c>
      <c r="AL140" s="972" t="n">
        <v>28080238.59445532</v>
      </c>
      <c r="AM140" s="506" t="n">
        <v>0.00484</v>
      </c>
      <c r="AN140" s="972" t="n">
        <v>22952559.70386722</v>
      </c>
      <c r="AO140" s="506" t="n">
        <v>0.012466</v>
      </c>
      <c r="AP140" s="972" t="n">
        <v>29392051.36935037</v>
      </c>
      <c r="AQ140" s="506" t="n">
        <v>0.002232</v>
      </c>
      <c r="AS140" s="972" t="n">
        <v>122.5693469336383</v>
      </c>
      <c r="AT140" s="531" t="n">
        <v>0.019282</v>
      </c>
      <c r="AU140" s="972" t="n">
        <v>121.7514502694475</v>
      </c>
      <c r="AV140" s="531" t="n">
        <v>0.019282</v>
      </c>
      <c r="BA140" s="972">
        <f>V140/1000000</f>
        <v/>
      </c>
      <c r="BB140" s="972">
        <f>W140</f>
        <v/>
      </c>
      <c r="BC140" s="972">
        <f>X140/1000000</f>
        <v/>
      </c>
      <c r="BD140" s="972">
        <f>Y140</f>
        <v/>
      </c>
    </row>
    <row r="141" ht="15" customHeight="1" s="508">
      <c r="S141" s="972" t="n"/>
      <c r="T141" s="972" t="n"/>
      <c r="U141" s="972" t="n"/>
      <c r="V141" s="972" t="n">
        <v>25418406.69146816</v>
      </c>
      <c r="W141" s="506" t="n">
        <v>0.019028</v>
      </c>
      <c r="X141" s="972" t="n">
        <v>25198244.08264263</v>
      </c>
      <c r="Y141" s="506" t="n">
        <v>0.019028</v>
      </c>
      <c r="AA141" s="972" t="n">
        <v>20319396.72140858</v>
      </c>
      <c r="AB141" s="506" t="n">
        <v>0.011864</v>
      </c>
      <c r="AC141" s="972" t="n">
        <v>12309692.9932629</v>
      </c>
      <c r="AD141" s="506" t="n">
        <v>0.00263</v>
      </c>
      <c r="AE141" s="972" t="n">
        <v>30083053.74402924</v>
      </c>
      <c r="AF141" s="506" t="n">
        <v>0.001836</v>
      </c>
      <c r="AG141" s="972" t="n">
        <v>48743590.65017533</v>
      </c>
      <c r="AH141" s="506" t="n">
        <v>0.000876</v>
      </c>
      <c r="AI141" s="972" t="n">
        <v>87798961.28007814</v>
      </c>
      <c r="AJ141" s="506" t="n">
        <v>0.002112</v>
      </c>
      <c r="AL141" s="972" t="n">
        <v>28558262.32076437</v>
      </c>
      <c r="AM141" s="506" t="n">
        <v>0.004776</v>
      </c>
      <c r="AN141" s="972" t="n">
        <v>23334973.75253364</v>
      </c>
      <c r="AO141" s="506" t="n">
        <v>0.012302</v>
      </c>
      <c r="AP141" s="972" t="n">
        <v>29856483.90970889</v>
      </c>
      <c r="AQ141" s="506" t="n">
        <v>0.002202</v>
      </c>
      <c r="AS141" s="972" t="n">
        <v>124.8936496587302</v>
      </c>
      <c r="AT141" s="531" t="n">
        <v>0.019028</v>
      </c>
      <c r="AU141" s="972" t="n">
        <v>123.5548548619648</v>
      </c>
      <c r="AV141" s="531" t="n">
        <v>0.019028</v>
      </c>
      <c r="BA141" s="972">
        <f>V141/1000000</f>
        <v/>
      </c>
      <c r="BB141" s="972">
        <f>W141</f>
        <v/>
      </c>
      <c r="BC141" s="972">
        <f>X141/1000000</f>
        <v/>
      </c>
      <c r="BD141" s="972">
        <f>Y141</f>
        <v/>
      </c>
    </row>
    <row r="142" ht="15" customHeight="1" s="508">
      <c r="S142" s="972" t="n"/>
      <c r="T142" s="972" t="n"/>
      <c r="U142" s="972" t="n"/>
      <c r="V142" s="972" t="n">
        <v>25848222.20089037</v>
      </c>
      <c r="W142" s="506" t="n">
        <v>0.018774</v>
      </c>
      <c r="X142" s="972" t="n">
        <v>25631963.22331766</v>
      </c>
      <c r="Y142" s="506" t="n">
        <v>0.018774</v>
      </c>
      <c r="AA142" s="972" t="n">
        <v>20620499.12210304</v>
      </c>
      <c r="AB142" s="506" t="n">
        <v>0.011706</v>
      </c>
      <c r="AC142" s="972" t="n">
        <v>12533048.4374421</v>
      </c>
      <c r="AD142" s="506" t="n">
        <v>0.002596</v>
      </c>
      <c r="AE142" s="972" t="n">
        <v>30572442.36970774</v>
      </c>
      <c r="AF142" s="506" t="n">
        <v>0.001812</v>
      </c>
      <c r="AG142" s="972" t="n">
        <v>50434878.36574703</v>
      </c>
      <c r="AH142" s="506" t="n">
        <v>0.000864</v>
      </c>
      <c r="AI142" s="972" t="n">
        <v>89578193.28399399</v>
      </c>
      <c r="AJ142" s="506" t="n">
        <v>0.002084</v>
      </c>
      <c r="AL142" s="972" t="n">
        <v>29152995.23979746</v>
      </c>
      <c r="AM142" s="506" t="n">
        <v>0.004712</v>
      </c>
      <c r="AN142" s="972" t="n">
        <v>23744619.15628824</v>
      </c>
      <c r="AO142" s="506" t="n">
        <v>0.012138</v>
      </c>
      <c r="AP142" s="972" t="n">
        <v>30272766.0434508</v>
      </c>
      <c r="AQ142" s="506" t="n">
        <v>0.002172</v>
      </c>
      <c r="AS142" s="972" t="n">
        <v>126.7817761827274</v>
      </c>
      <c r="AT142" s="531" t="n">
        <v>0.018774</v>
      </c>
      <c r="AU142" s="972" t="n">
        <v>125.6034160549362</v>
      </c>
      <c r="AV142" s="531" t="n">
        <v>0.018774</v>
      </c>
      <c r="BA142" s="972">
        <f>V142/1000000</f>
        <v/>
      </c>
      <c r="BB142" s="972">
        <f>W142</f>
        <v/>
      </c>
      <c r="BC142" s="972">
        <f>X142/1000000</f>
        <v/>
      </c>
      <c r="BD142" s="972">
        <f>Y142</f>
        <v/>
      </c>
    </row>
    <row r="143" ht="15" customHeight="1" s="508">
      <c r="S143" s="972" t="n"/>
      <c r="T143" s="972" t="n"/>
      <c r="U143" s="972" t="n"/>
      <c r="V143" s="972" t="n">
        <v>26335631.44972844</v>
      </c>
      <c r="W143" s="506" t="n">
        <v>0.01852</v>
      </c>
      <c r="X143" s="972" t="n">
        <v>26033243.17419607</v>
      </c>
      <c r="Y143" s="506" t="n">
        <v>0.01852</v>
      </c>
      <c r="AA143" s="972" t="n">
        <v>20894654.40214442</v>
      </c>
      <c r="AB143" s="506" t="n">
        <v>0.011548</v>
      </c>
      <c r="AC143" s="972" t="n">
        <v>12718176.85708651</v>
      </c>
      <c r="AD143" s="506" t="n">
        <v>0.00256</v>
      </c>
      <c r="AE143" s="972" t="n">
        <v>31162755.18757036</v>
      </c>
      <c r="AF143" s="506" t="n">
        <v>0.001788</v>
      </c>
      <c r="AG143" s="972" t="n">
        <v>51773009.73044153</v>
      </c>
      <c r="AH143" s="506" t="n">
        <v>0.000852</v>
      </c>
      <c r="AI143" s="972" t="n">
        <v>90455948.22318263</v>
      </c>
      <c r="AJ143" s="506" t="n">
        <v>0.002056</v>
      </c>
      <c r="AL143" s="972" t="n">
        <v>29668873.76897018</v>
      </c>
      <c r="AM143" s="506" t="n">
        <v>0.004648</v>
      </c>
      <c r="AN143" s="972" t="n">
        <v>24206888.42890454</v>
      </c>
      <c r="AO143" s="506" t="n">
        <v>0.011974</v>
      </c>
      <c r="AP143" s="972" t="n">
        <v>30745684.16080456</v>
      </c>
      <c r="AQ143" s="506" t="n">
        <v>0.002144</v>
      </c>
      <c r="AS143" s="972" t="n">
        <v>128.8389480461018</v>
      </c>
      <c r="AT143" s="531" t="n">
        <v>0.01852</v>
      </c>
      <c r="AU143" s="972" t="n">
        <v>127.6787793523153</v>
      </c>
      <c r="AV143" s="531" t="n">
        <v>0.01852</v>
      </c>
      <c r="BA143" s="972">
        <f>V143/1000000</f>
        <v/>
      </c>
      <c r="BB143" s="972">
        <f>W143</f>
        <v/>
      </c>
      <c r="BC143" s="972">
        <f>X143/1000000</f>
        <v/>
      </c>
      <c r="BD143" s="972">
        <f>Y143</f>
        <v/>
      </c>
    </row>
    <row r="144" ht="15" customHeight="1" s="508">
      <c r="S144" s="972" t="n"/>
      <c r="T144" s="972" t="n"/>
      <c r="U144" s="972" t="n"/>
      <c r="V144" s="972" t="n">
        <v>26834614.57381412</v>
      </c>
      <c r="W144" s="506" t="n">
        <v>0.018266</v>
      </c>
      <c r="X144" s="972" t="n">
        <v>26560348.13357998</v>
      </c>
      <c r="Y144" s="506" t="n">
        <v>0.018266</v>
      </c>
      <c r="AA144" s="972" t="n">
        <v>21220646.94994864</v>
      </c>
      <c r="AB144" s="506" t="n">
        <v>0.01139</v>
      </c>
      <c r="AC144" s="972" t="n">
        <v>12941095.09270736</v>
      </c>
      <c r="AD144" s="506" t="n">
        <v>0.002526</v>
      </c>
      <c r="AE144" s="972" t="n">
        <v>31846083.03721153</v>
      </c>
      <c r="AF144" s="506" t="n">
        <v>0.001762</v>
      </c>
      <c r="AG144" s="972" t="n">
        <v>52156436.15526226</v>
      </c>
      <c r="AH144" s="506" t="n">
        <v>0.00084</v>
      </c>
      <c r="AI144" s="972" t="n">
        <v>91943633.93360929</v>
      </c>
      <c r="AJ144" s="506" t="n">
        <v>0.002028</v>
      </c>
      <c r="AL144" s="972" t="n">
        <v>30197003.0510363</v>
      </c>
      <c r="AM144" s="506" t="n">
        <v>0.004584</v>
      </c>
      <c r="AN144" s="972" t="n">
        <v>24567607.70689249</v>
      </c>
      <c r="AO144" s="506" t="n">
        <v>0.01181</v>
      </c>
      <c r="AP144" s="972" t="n">
        <v>31518015.94270038</v>
      </c>
      <c r="AQ144" s="506" t="n">
        <v>0.002114</v>
      </c>
      <c r="AS144" s="972" t="n">
        <v>130.9036425982469</v>
      </c>
      <c r="AT144" s="531" t="n">
        <v>0.018266</v>
      </c>
      <c r="AU144" s="972" t="n">
        <v>129.6517998924371</v>
      </c>
      <c r="AV144" s="531" t="n">
        <v>0.018266</v>
      </c>
      <c r="BA144" s="972">
        <f>V144/1000000</f>
        <v/>
      </c>
      <c r="BB144" s="972">
        <f>W144</f>
        <v/>
      </c>
      <c r="BC144" s="972">
        <f>X144/1000000</f>
        <v/>
      </c>
      <c r="BD144" s="972">
        <f>Y144</f>
        <v/>
      </c>
    </row>
    <row r="145" ht="15" customHeight="1" s="508">
      <c r="S145" s="972" t="n"/>
      <c r="T145" s="972" t="n"/>
      <c r="U145" s="972" t="n"/>
      <c r="V145" s="972" t="n">
        <v>27268242.98874671</v>
      </c>
      <c r="W145" s="506" t="n">
        <v>0.018012</v>
      </c>
      <c r="X145" s="972" t="n">
        <v>27041207.7210967</v>
      </c>
      <c r="Y145" s="506" t="n">
        <v>0.018012</v>
      </c>
      <c r="AA145" s="972" t="n">
        <v>21527145.98215691</v>
      </c>
      <c r="AB145" s="506" t="n">
        <v>0.01123</v>
      </c>
      <c r="AC145" s="972" t="n">
        <v>13128163.18473404</v>
      </c>
      <c r="AD145" s="506" t="n">
        <v>0.00249</v>
      </c>
      <c r="AE145" s="972" t="n">
        <v>32296714.86505567</v>
      </c>
      <c r="AF145" s="506" t="n">
        <v>0.001738</v>
      </c>
      <c r="AG145" s="972" t="n">
        <v>53161568.82480358</v>
      </c>
      <c r="AH145" s="506" t="n">
        <v>0.00083</v>
      </c>
      <c r="AI145" s="972" t="n">
        <v>92814379.68789421</v>
      </c>
      <c r="AJ145" s="506" t="n">
        <v>0.002</v>
      </c>
      <c r="AL145" s="972" t="n">
        <v>30846601.91784021</v>
      </c>
      <c r="AM145" s="506" t="n">
        <v>0.004522</v>
      </c>
      <c r="AN145" s="972" t="n">
        <v>24926920.68205421</v>
      </c>
      <c r="AO145" s="506" t="n">
        <v>0.011646</v>
      </c>
      <c r="AP145" s="972" t="n">
        <v>32237646.94491068</v>
      </c>
      <c r="AQ145" s="506" t="n">
        <v>0.002084</v>
      </c>
      <c r="AS145" s="972" t="n">
        <v>132.536838892017</v>
      </c>
      <c r="AT145" s="531" t="n">
        <v>0.018012</v>
      </c>
      <c r="AU145" s="972" t="n">
        <v>131.5951123702082</v>
      </c>
      <c r="AV145" s="531" t="n">
        <v>0.018012</v>
      </c>
      <c r="BA145" s="972">
        <f>V145/1000000</f>
        <v/>
      </c>
      <c r="BB145" s="972">
        <f>W145</f>
        <v/>
      </c>
      <c r="BC145" s="972">
        <f>X145/1000000</f>
        <v/>
      </c>
      <c r="BD145" s="972">
        <f>Y145</f>
        <v/>
      </c>
    </row>
    <row r="146" ht="15" customHeight="1" s="508">
      <c r="S146" s="972" t="n"/>
      <c r="T146" s="972" t="n"/>
      <c r="U146" s="972" t="n"/>
      <c r="V146" s="972" t="n">
        <v>27738696.55554165</v>
      </c>
      <c r="W146" s="506" t="n">
        <v>0.01776</v>
      </c>
      <c r="X146" s="972" t="n">
        <v>27463004.44790711</v>
      </c>
      <c r="Y146" s="506" t="n">
        <v>0.01776</v>
      </c>
      <c r="AA146" s="972" t="n">
        <v>21854917.93040745</v>
      </c>
      <c r="AB146" s="506" t="n">
        <v>0.011072</v>
      </c>
      <c r="AC146" s="972" t="n">
        <v>13308800.1055232</v>
      </c>
      <c r="AD146" s="506" t="n">
        <v>0.002456</v>
      </c>
      <c r="AE146" s="972" t="n">
        <v>32784269.73091254</v>
      </c>
      <c r="AF146" s="506" t="n">
        <v>0.001714</v>
      </c>
      <c r="AG146" s="972" t="n">
        <v>53965929.09734608</v>
      </c>
      <c r="AH146" s="506" t="n">
        <v>0.000818</v>
      </c>
      <c r="AI146" s="972" t="n">
        <v>94188339.23405384</v>
      </c>
      <c r="AJ146" s="506" t="n">
        <v>0.001972</v>
      </c>
      <c r="AL146" s="972" t="n">
        <v>31438797.92497943</v>
      </c>
      <c r="AM146" s="506" t="n">
        <v>0.004458</v>
      </c>
      <c r="AN146" s="972" t="n">
        <v>25260499.88114196</v>
      </c>
      <c r="AO146" s="506" t="n">
        <v>0.011482</v>
      </c>
      <c r="AP146" s="972" t="n">
        <v>32531943.51671845</v>
      </c>
      <c r="AQ146" s="506" t="n">
        <v>0.002056</v>
      </c>
      <c r="AS146" s="972" t="n">
        <v>134.5506665987352</v>
      </c>
      <c r="AT146" s="531" t="n">
        <v>0.01776</v>
      </c>
      <c r="AU146" s="972" t="n">
        <v>133.4811964482517</v>
      </c>
      <c r="AV146" s="531" t="n">
        <v>0.01776</v>
      </c>
      <c r="BA146" s="972">
        <f>V146/1000000</f>
        <v/>
      </c>
      <c r="BB146" s="972">
        <f>W146</f>
        <v/>
      </c>
      <c r="BC146" s="972">
        <f>X146/1000000</f>
        <v/>
      </c>
      <c r="BD146" s="972">
        <f>Y146</f>
        <v/>
      </c>
    </row>
    <row r="147" ht="15" customHeight="1" s="508">
      <c r="S147" s="972" t="n"/>
      <c r="T147" s="972" t="n"/>
      <c r="U147" s="972" t="n"/>
      <c r="V147" s="972" t="n">
        <v>28225543.96895703</v>
      </c>
      <c r="W147" s="506" t="n">
        <v>0.017506</v>
      </c>
      <c r="X147" s="972" t="n">
        <v>27921702.05597688</v>
      </c>
      <c r="Y147" s="506" t="n">
        <v>0.017506</v>
      </c>
      <c r="AA147" s="972" t="n">
        <v>22179928.7633861</v>
      </c>
      <c r="AB147" s="506" t="n">
        <v>0.010914</v>
      </c>
      <c r="AC147" s="972" t="n">
        <v>13596518.15392424</v>
      </c>
      <c r="AD147" s="506" t="n">
        <v>0.00242</v>
      </c>
      <c r="AE147" s="972" t="n">
        <v>33054142.18529573</v>
      </c>
      <c r="AF147" s="506" t="n">
        <v>0.00169</v>
      </c>
      <c r="AG147" s="972" t="n">
        <v>54301806.20298322</v>
      </c>
      <c r="AH147" s="506" t="n">
        <v>0.000806</v>
      </c>
      <c r="AI147" s="972" t="n">
        <v>95045390.12373379</v>
      </c>
      <c r="AJ147" s="506" t="n">
        <v>0.001944</v>
      </c>
      <c r="AL147" s="972" t="n">
        <v>31968583.23442268</v>
      </c>
      <c r="AM147" s="506" t="n">
        <v>0.004394</v>
      </c>
      <c r="AN147" s="972" t="n">
        <v>25677514.88289808</v>
      </c>
      <c r="AO147" s="506" t="n">
        <v>0.011318</v>
      </c>
      <c r="AP147" s="972" t="n">
        <v>33105650.17717711</v>
      </c>
      <c r="AQ147" s="506" t="n">
        <v>0.002026</v>
      </c>
      <c r="AS147" s="972" t="n">
        <v>136.9105069702996</v>
      </c>
      <c r="AT147" s="531" t="n">
        <v>0.017506</v>
      </c>
      <c r="AU147" s="972" t="n">
        <v>135.6289022770583</v>
      </c>
      <c r="AV147" s="531" t="n">
        <v>0.017506</v>
      </c>
      <c r="BA147" s="972">
        <f>V147/1000000</f>
        <v/>
      </c>
      <c r="BB147" s="972">
        <f>W147</f>
        <v/>
      </c>
      <c r="BC147" s="972">
        <f>X147/1000000</f>
        <v/>
      </c>
      <c r="BD147" s="972">
        <f>Y147</f>
        <v/>
      </c>
    </row>
    <row r="148" ht="15" customHeight="1" s="508">
      <c r="S148" s="972" t="n"/>
      <c r="T148" s="972" t="n"/>
      <c r="U148" s="972" t="n"/>
      <c r="V148" s="972" t="n">
        <v>28704494.9012839</v>
      </c>
      <c r="W148" s="506" t="n">
        <v>0.017252</v>
      </c>
      <c r="X148" s="972" t="n">
        <v>28455768.46085095</v>
      </c>
      <c r="Y148" s="506" t="n">
        <v>0.017252</v>
      </c>
      <c r="AA148" s="972" t="n">
        <v>22505653.51194151</v>
      </c>
      <c r="AB148" s="506" t="n">
        <v>0.010756</v>
      </c>
      <c r="AC148" s="972" t="n">
        <v>13892526.33009933</v>
      </c>
      <c r="AD148" s="506" t="n">
        <v>0.002386</v>
      </c>
      <c r="AE148" s="972" t="n">
        <v>33351902.59789684</v>
      </c>
      <c r="AF148" s="506" t="n">
        <v>0.001666</v>
      </c>
      <c r="AG148" s="972" t="n">
        <v>55155986.07621193</v>
      </c>
      <c r="AH148" s="506" t="n">
        <v>0.000794</v>
      </c>
      <c r="AI148" s="972" t="n">
        <v>96227972.04269443</v>
      </c>
      <c r="AJ148" s="506" t="n">
        <v>0.001916</v>
      </c>
      <c r="AL148" s="972" t="n">
        <v>32521542.29554684</v>
      </c>
      <c r="AM148" s="506" t="n">
        <v>0.00433</v>
      </c>
      <c r="AN148" s="972" t="n">
        <v>26095361.37275705</v>
      </c>
      <c r="AO148" s="506" t="n">
        <v>0.011154</v>
      </c>
      <c r="AP148" s="972" t="n">
        <v>33906932.66247217</v>
      </c>
      <c r="AQ148" s="506" t="n">
        <v>0.001996</v>
      </c>
      <c r="AS148" s="972" t="n">
        <v>139.1749998642809</v>
      </c>
      <c r="AT148" s="531" t="n">
        <v>0.017252</v>
      </c>
      <c r="AU148" s="972" t="n">
        <v>137.6985131065809</v>
      </c>
      <c r="AV148" s="531" t="n">
        <v>0.017252</v>
      </c>
      <c r="BA148" s="972">
        <f>V148/1000000</f>
        <v/>
      </c>
      <c r="BB148" s="972">
        <f>W148</f>
        <v/>
      </c>
      <c r="BC148" s="972">
        <f>X148/1000000</f>
        <v/>
      </c>
      <c r="BD148" s="972">
        <f>Y148</f>
        <v/>
      </c>
    </row>
    <row r="149" ht="15" customHeight="1" s="508">
      <c r="S149" s="972" t="n"/>
      <c r="T149" s="972" t="n"/>
      <c r="U149" s="972" t="n"/>
      <c r="V149" s="972" t="n">
        <v>29188130.56100454</v>
      </c>
      <c r="W149" s="506" t="n">
        <v>0.016998</v>
      </c>
      <c r="X149" s="972" t="n">
        <v>28920490.22638069</v>
      </c>
      <c r="Y149" s="506" t="n">
        <v>0.016998</v>
      </c>
      <c r="AA149" s="972" t="n">
        <v>22932573.67203709</v>
      </c>
      <c r="AB149" s="506" t="n">
        <v>0.010598</v>
      </c>
      <c r="AC149" s="972" t="n">
        <v>14204345.66494474</v>
      </c>
      <c r="AD149" s="506" t="n">
        <v>0.00235</v>
      </c>
      <c r="AE149" s="972" t="n">
        <v>33930987.97615458</v>
      </c>
      <c r="AF149" s="506" t="n">
        <v>0.00164</v>
      </c>
      <c r="AG149" s="972" t="n">
        <v>55439862.01278973</v>
      </c>
      <c r="AH149" s="506" t="n">
        <v>0.000782</v>
      </c>
      <c r="AI149" s="972" t="n">
        <v>97218740.05279109</v>
      </c>
      <c r="AJ149" s="506" t="n">
        <v>0.001888</v>
      </c>
      <c r="AL149" s="972" t="n">
        <v>33049900.97836944</v>
      </c>
      <c r="AM149" s="506" t="n">
        <v>0.004266</v>
      </c>
      <c r="AN149" s="972" t="n">
        <v>26538157.17325592</v>
      </c>
      <c r="AO149" s="506" t="n">
        <v>0.01099</v>
      </c>
      <c r="AP149" s="972" t="n">
        <v>34546358.79249231</v>
      </c>
      <c r="AQ149" s="506" t="n">
        <v>0.001968</v>
      </c>
      <c r="AS149" s="972" t="n">
        <v>140.8478008778444</v>
      </c>
      <c r="AT149" s="531" t="n">
        <v>0.016998</v>
      </c>
      <c r="AU149" s="972" t="n">
        <v>139.8158695156104</v>
      </c>
      <c r="AV149" s="531" t="n">
        <v>0.016998</v>
      </c>
      <c r="BA149" s="972">
        <f>V149/1000000</f>
        <v/>
      </c>
      <c r="BB149" s="972">
        <f>W149</f>
        <v/>
      </c>
      <c r="BC149" s="972">
        <f>X149/1000000</f>
        <v/>
      </c>
      <c r="BD149" s="972">
        <f>Y149</f>
        <v/>
      </c>
    </row>
    <row r="150" ht="15" customHeight="1" s="508">
      <c r="S150" s="972" t="n"/>
      <c r="T150" s="972" t="n"/>
      <c r="U150" s="972" t="n"/>
      <c r="V150" s="972" t="n">
        <v>29715020.5496495</v>
      </c>
      <c r="W150" s="506" t="n">
        <v>0.016744</v>
      </c>
      <c r="X150" s="972" t="n">
        <v>29397493.56099988</v>
      </c>
      <c r="Y150" s="506" t="n">
        <v>0.016744</v>
      </c>
      <c r="AA150" s="972" t="n">
        <v>23311725.67670406</v>
      </c>
      <c r="AB150" s="506" t="n">
        <v>0.01044</v>
      </c>
      <c r="AC150" s="972" t="n">
        <v>14388242.56445758</v>
      </c>
      <c r="AD150" s="506" t="n">
        <v>0.002316</v>
      </c>
      <c r="AE150" s="972" t="n">
        <v>34489250.80771068</v>
      </c>
      <c r="AF150" s="506" t="n">
        <v>0.001616</v>
      </c>
      <c r="AG150" s="972" t="n">
        <v>55897055.92041571</v>
      </c>
      <c r="AH150" s="506" t="n">
        <v>0.000772</v>
      </c>
      <c r="AI150" s="972" t="n">
        <v>99091954.42654654</v>
      </c>
      <c r="AJ150" s="506" t="n">
        <v>0.00186</v>
      </c>
      <c r="AL150" s="972" t="n">
        <v>33546563.71965232</v>
      </c>
      <c r="AM150" s="506" t="n">
        <v>0.004204</v>
      </c>
      <c r="AN150" s="972" t="n">
        <v>26998165.63349148</v>
      </c>
      <c r="AO150" s="506" t="n">
        <v>0.010826</v>
      </c>
      <c r="AP150" s="972" t="n">
        <v>35379740.22932112</v>
      </c>
      <c r="AQ150" s="506" t="n">
        <v>0.001938</v>
      </c>
      <c r="AS150" s="972" t="n">
        <v>143.2013616919005</v>
      </c>
      <c r="AT150" s="531" t="n">
        <v>0.016744</v>
      </c>
      <c r="AU150" s="972" t="n">
        <v>141.83256587122</v>
      </c>
      <c r="AV150" s="531" t="n">
        <v>0.016744</v>
      </c>
      <c r="BA150" s="972">
        <f>V150/1000000</f>
        <v/>
      </c>
      <c r="BB150" s="972">
        <f>W150</f>
        <v/>
      </c>
      <c r="BC150" s="972">
        <f>X150/1000000</f>
        <v/>
      </c>
      <c r="BD150" s="972">
        <f>Y150</f>
        <v/>
      </c>
    </row>
    <row r="151" ht="15" customHeight="1" s="508">
      <c r="S151" s="972" t="n"/>
      <c r="T151" s="972" t="n"/>
      <c r="U151" s="972" t="n"/>
      <c r="V151" s="972" t="n">
        <v>30205883.32552161</v>
      </c>
      <c r="W151" s="506" t="n">
        <v>0.01649</v>
      </c>
      <c r="X151" s="972" t="n">
        <v>29922071.52716076</v>
      </c>
      <c r="Y151" s="506" t="n">
        <v>0.01649</v>
      </c>
      <c r="AA151" s="972" t="n">
        <v>23682272.82634411</v>
      </c>
      <c r="AB151" s="506" t="n">
        <v>0.010282</v>
      </c>
      <c r="AC151" s="972" t="n">
        <v>14566467.84792194</v>
      </c>
      <c r="AD151" s="506" t="n">
        <v>0.00228</v>
      </c>
      <c r="AE151" s="972" t="n">
        <v>34904476.8643564</v>
      </c>
      <c r="AF151" s="506" t="n">
        <v>0.001592</v>
      </c>
      <c r="AG151" s="972" t="n">
        <v>57210482.32137588</v>
      </c>
      <c r="AH151" s="506" t="n">
        <v>0.00076</v>
      </c>
      <c r="AI151" s="972" t="n">
        <v>101108647.015498</v>
      </c>
      <c r="AJ151" s="506" t="n">
        <v>0.001832</v>
      </c>
      <c r="AL151" s="972" t="n">
        <v>34220922.77507468</v>
      </c>
      <c r="AM151" s="506" t="n">
        <v>0.00414</v>
      </c>
      <c r="AN151" s="972" t="n">
        <v>27420015.5669606</v>
      </c>
      <c r="AO151" s="506" t="n">
        <v>0.010662</v>
      </c>
      <c r="AP151" s="972" t="n">
        <v>36172218.30342589</v>
      </c>
      <c r="AQ151" s="506" t="n">
        <v>0.001908</v>
      </c>
      <c r="AS151" s="972" t="n">
        <v>145.202732854601</v>
      </c>
      <c r="AT151" s="531" t="n">
        <v>0.01649</v>
      </c>
      <c r="AU151" s="972" t="n">
        <v>143.8503314782905</v>
      </c>
      <c r="AV151" s="531" t="n">
        <v>0.01649</v>
      </c>
      <c r="BA151" s="972">
        <f>V151/1000000</f>
        <v/>
      </c>
      <c r="BB151" s="972">
        <f>W151</f>
        <v/>
      </c>
      <c r="BC151" s="972">
        <f>X151/1000000</f>
        <v/>
      </c>
      <c r="BD151" s="972">
        <f>Y151</f>
        <v/>
      </c>
    </row>
    <row r="152" ht="15" customHeight="1" s="508">
      <c r="S152" s="972" t="n"/>
      <c r="T152" s="972" t="n"/>
      <c r="U152" s="972" t="n"/>
      <c r="V152" s="972" t="n">
        <v>30795081.0116766</v>
      </c>
      <c r="W152" s="506" t="n">
        <v>0.016238</v>
      </c>
      <c r="X152" s="972" t="n">
        <v>30431240.13787284</v>
      </c>
      <c r="Y152" s="506" t="n">
        <v>0.016238</v>
      </c>
      <c r="AA152" s="972" t="n">
        <v>24062970.92084877</v>
      </c>
      <c r="AB152" s="506" t="n">
        <v>0.010124</v>
      </c>
      <c r="AC152" s="972" t="n">
        <v>14732418.22709002</v>
      </c>
      <c r="AD152" s="506" t="n">
        <v>0.002246</v>
      </c>
      <c r="AE152" s="972" t="n">
        <v>35557330.35828961</v>
      </c>
      <c r="AF152" s="506" t="n">
        <v>0.001568</v>
      </c>
      <c r="AG152" s="972" t="n">
        <v>58089861.73592514</v>
      </c>
      <c r="AH152" s="506" t="n">
        <v>0.000748</v>
      </c>
      <c r="AI152" s="972" t="n">
        <v>102161773.7149349</v>
      </c>
      <c r="AJ152" s="506" t="n">
        <v>0.001804</v>
      </c>
      <c r="AL152" s="972" t="n">
        <v>34754248.28648768</v>
      </c>
      <c r="AM152" s="506" t="n">
        <v>0.004076</v>
      </c>
      <c r="AN152" s="972" t="n">
        <v>27894201.23210771</v>
      </c>
      <c r="AO152" s="506" t="n">
        <v>0.010498</v>
      </c>
      <c r="AP152" s="972" t="n">
        <v>36694808.81711666</v>
      </c>
      <c r="AQ152" s="506" t="n">
        <v>0.00188</v>
      </c>
      <c r="AS152" s="972" t="n">
        <v>147.5623283547868</v>
      </c>
      <c r="AT152" s="531" t="n">
        <v>0.016238</v>
      </c>
      <c r="AU152" s="972" t="n">
        <v>146.0455525253803</v>
      </c>
      <c r="AV152" s="531" t="n">
        <v>0.016238</v>
      </c>
      <c r="BA152" s="972">
        <f>V152/1000000</f>
        <v/>
      </c>
      <c r="BB152" s="972">
        <f>W152</f>
        <v/>
      </c>
      <c r="BC152" s="972">
        <f>X152/1000000</f>
        <v/>
      </c>
      <c r="BD152" s="972">
        <f>Y152</f>
        <v/>
      </c>
    </row>
    <row r="153" ht="15" customHeight="1" s="508">
      <c r="S153" s="972" t="n"/>
      <c r="T153" s="972" t="n"/>
      <c r="U153" s="972" t="n"/>
      <c r="V153" s="972" t="n">
        <v>31326564.90069033</v>
      </c>
      <c r="W153" s="506" t="n">
        <v>0.015984</v>
      </c>
      <c r="X153" s="972" t="n">
        <v>31073498.77137951</v>
      </c>
      <c r="Y153" s="506" t="n">
        <v>0.015984</v>
      </c>
      <c r="AA153" s="972" t="n">
        <v>24408745.11975796</v>
      </c>
      <c r="AB153" s="506" t="n">
        <v>0.009965999999999999</v>
      </c>
      <c r="AC153" s="972" t="n">
        <v>14990836.18432095</v>
      </c>
      <c r="AD153" s="506" t="n">
        <v>0.00221</v>
      </c>
      <c r="AE153" s="972" t="n">
        <v>36763425.4063267</v>
      </c>
      <c r="AF153" s="506" t="n">
        <v>0.001542</v>
      </c>
      <c r="AG153" s="972" t="n">
        <v>58743643.90385143</v>
      </c>
      <c r="AH153" s="506" t="n">
        <v>0.000736</v>
      </c>
      <c r="AI153" s="972" t="n">
        <v>103234038.0804118</v>
      </c>
      <c r="AJ153" s="506" t="n">
        <v>0.001776</v>
      </c>
      <c r="AL153" s="972" t="n">
        <v>35268038.81632015</v>
      </c>
      <c r="AM153" s="506" t="n">
        <v>0.004012</v>
      </c>
      <c r="AN153" s="972" t="n">
        <v>28383552.62169778</v>
      </c>
      <c r="AO153" s="506" t="n">
        <v>0.010334</v>
      </c>
      <c r="AP153" s="972" t="n">
        <v>37442040.95628347</v>
      </c>
      <c r="AQ153" s="506" t="n">
        <v>0.00185</v>
      </c>
      <c r="AS153" s="972" t="n">
        <v>150.3156723267802</v>
      </c>
      <c r="AT153" s="531" t="n">
        <v>0.015984</v>
      </c>
      <c r="AU153" s="972" t="n">
        <v>148.4205364172052</v>
      </c>
      <c r="AV153" s="531" t="n">
        <v>0.015984</v>
      </c>
      <c r="BA153" s="972">
        <f>V153/1000000</f>
        <v/>
      </c>
      <c r="BB153" s="972">
        <f>W153</f>
        <v/>
      </c>
      <c r="BC153" s="972">
        <f>X153/1000000</f>
        <v/>
      </c>
      <c r="BD153" s="972">
        <f>Y153</f>
        <v/>
      </c>
    </row>
    <row r="154" ht="15" customHeight="1" s="508">
      <c r="S154" s="972" t="n"/>
      <c r="T154" s="972" t="n"/>
      <c r="U154" s="972" t="n"/>
      <c r="V154" s="972" t="n">
        <v>31845254.44695015</v>
      </c>
      <c r="W154" s="506" t="n">
        <v>0.01573</v>
      </c>
      <c r="X154" s="972" t="n">
        <v>31532715.59890138</v>
      </c>
      <c r="Y154" s="506" t="n">
        <v>0.01573</v>
      </c>
      <c r="AA154" s="972" t="n">
        <v>24820075.69036039</v>
      </c>
      <c r="AB154" s="506" t="n">
        <v>0.009808000000000001</v>
      </c>
      <c r="AC154" s="972" t="n">
        <v>15173622.86022875</v>
      </c>
      <c r="AD154" s="506" t="n">
        <v>0.002176</v>
      </c>
      <c r="AE154" s="972" t="n">
        <v>37765288.89917575</v>
      </c>
      <c r="AF154" s="506" t="n">
        <v>0.001518</v>
      </c>
      <c r="AG154" s="972" t="n">
        <v>59195524.87351473</v>
      </c>
      <c r="AH154" s="506" t="n">
        <v>0.000724</v>
      </c>
      <c r="AI154" s="972" t="n">
        <v>104923526.9357039</v>
      </c>
      <c r="AJ154" s="506" t="n">
        <v>0.001748</v>
      </c>
      <c r="AL154" s="972" t="n">
        <v>35905777.48984319</v>
      </c>
      <c r="AM154" s="506" t="n">
        <v>0.003948</v>
      </c>
      <c r="AN154" s="972" t="n">
        <v>28908781.04370988</v>
      </c>
      <c r="AO154" s="506" t="n">
        <v>0.01017</v>
      </c>
      <c r="AP154" s="972" t="n">
        <v>38151392.48035638</v>
      </c>
      <c r="AQ154" s="506" t="n">
        <v>0.00182</v>
      </c>
      <c r="AS154" s="972" t="n">
        <v>153.0282088431367</v>
      </c>
      <c r="AT154" s="531" t="n">
        <v>0.01573</v>
      </c>
      <c r="AU154" s="972" t="n">
        <v>151.3550531047194</v>
      </c>
      <c r="AV154" s="531" t="n">
        <v>0.01573</v>
      </c>
      <c r="BA154" s="972">
        <f>V154/1000000</f>
        <v/>
      </c>
      <c r="BB154" s="972">
        <f>W154</f>
        <v/>
      </c>
      <c r="BC154" s="972">
        <f>X154/1000000</f>
        <v/>
      </c>
      <c r="BD154" s="972">
        <f>Y154</f>
        <v/>
      </c>
    </row>
    <row r="155" ht="15" customHeight="1" s="508">
      <c r="S155" s="972" t="n"/>
      <c r="T155" s="972" t="n"/>
      <c r="U155" s="972" t="n"/>
      <c r="V155" s="972" t="n">
        <v>32366725.67534306</v>
      </c>
      <c r="W155" s="506" t="n">
        <v>0.015476</v>
      </c>
      <c r="X155" s="972" t="n">
        <v>32113418.6809804</v>
      </c>
      <c r="Y155" s="506" t="n">
        <v>0.015476</v>
      </c>
      <c r="AA155" s="972" t="n">
        <v>25125485.61199052</v>
      </c>
      <c r="AB155" s="506" t="n">
        <v>0.009650000000000001</v>
      </c>
      <c r="AC155" s="972" t="n">
        <v>15363812.41504318</v>
      </c>
      <c r="AD155" s="506" t="n">
        <v>0.00214</v>
      </c>
      <c r="AE155" s="972" t="n">
        <v>38187801.96446196</v>
      </c>
      <c r="AF155" s="506" t="n">
        <v>0.001494</v>
      </c>
      <c r="AG155" s="972" t="n">
        <v>61686099.54840533</v>
      </c>
      <c r="AH155" s="506" t="n">
        <v>0.000712</v>
      </c>
      <c r="AI155" s="972" t="n">
        <v>105861084.2668807</v>
      </c>
      <c r="AJ155" s="506" t="n">
        <v>0.001718</v>
      </c>
      <c r="AL155" s="972" t="n">
        <v>36737377.71378784</v>
      </c>
      <c r="AM155" s="506" t="n">
        <v>0.003884</v>
      </c>
      <c r="AN155" s="972" t="n">
        <v>29377900.99448277</v>
      </c>
      <c r="AO155" s="506" t="n">
        <v>0.010006</v>
      </c>
      <c r="AP155" s="972" t="n">
        <v>38459033.23538662</v>
      </c>
      <c r="AQ155" s="506" t="n">
        <v>0.001792</v>
      </c>
      <c r="AS155" s="972" t="n">
        <v>155.2807567228918</v>
      </c>
      <c r="AT155" s="531" t="n">
        <v>0.015476</v>
      </c>
      <c r="AU155" s="972" t="n">
        <v>153.7776153702688</v>
      </c>
      <c r="AV155" s="531" t="n">
        <v>0.015476</v>
      </c>
      <c r="BA155" s="972">
        <f>V155/1000000</f>
        <v/>
      </c>
      <c r="BB155" s="972">
        <f>W155</f>
        <v/>
      </c>
      <c r="BC155" s="972">
        <f>X155/1000000</f>
        <v/>
      </c>
      <c r="BD155" s="972">
        <f>Y155</f>
        <v/>
      </c>
    </row>
    <row r="156" ht="15" customHeight="1" s="508">
      <c r="S156" s="972" t="n"/>
      <c r="T156" s="972" t="n"/>
      <c r="U156" s="972" t="n"/>
      <c r="V156" s="972" t="n">
        <v>32966291.97795789</v>
      </c>
      <c r="W156" s="506" t="n">
        <v>0.015222</v>
      </c>
      <c r="X156" s="972" t="n">
        <v>32647337.81649705</v>
      </c>
      <c r="Y156" s="506" t="n">
        <v>0.015222</v>
      </c>
      <c r="AA156" s="972" t="n">
        <v>25506428.98006196</v>
      </c>
      <c r="AB156" s="506" t="n">
        <v>0.009492</v>
      </c>
      <c r="AC156" s="972" t="n">
        <v>15693035.09152176</v>
      </c>
      <c r="AD156" s="506" t="n">
        <v>0.002106</v>
      </c>
      <c r="AE156" s="972" t="n">
        <v>38886177.30326688</v>
      </c>
      <c r="AF156" s="506" t="n">
        <v>0.00147</v>
      </c>
      <c r="AG156" s="972" t="n">
        <v>63588559.54868045</v>
      </c>
      <c r="AH156" s="506" t="n">
        <v>0.000702</v>
      </c>
      <c r="AI156" s="972" t="n">
        <v>107047743.8189964</v>
      </c>
      <c r="AJ156" s="506" t="n">
        <v>0.00169</v>
      </c>
      <c r="AL156" s="972" t="n">
        <v>37324475.05346699</v>
      </c>
      <c r="AM156" s="506" t="n">
        <v>0.003822</v>
      </c>
      <c r="AN156" s="972" t="n">
        <v>29907922.56583115</v>
      </c>
      <c r="AO156" s="506" t="n">
        <v>0.009842</v>
      </c>
      <c r="AP156" s="972" t="n">
        <v>39709715.64516021</v>
      </c>
      <c r="AQ156" s="506" t="n">
        <v>0.001762</v>
      </c>
      <c r="AS156" s="972" t="n">
        <v>158.5697886752369</v>
      </c>
      <c r="AT156" s="531" t="n">
        <v>0.015222</v>
      </c>
      <c r="AU156" s="972" t="n">
        <v>156.1233019836153</v>
      </c>
      <c r="AV156" s="531" t="n">
        <v>0.015222</v>
      </c>
      <c r="BA156" s="972">
        <f>V156/1000000</f>
        <v/>
      </c>
      <c r="BB156" s="972">
        <f>W156</f>
        <v/>
      </c>
      <c r="BC156" s="972">
        <f>X156/1000000</f>
        <v/>
      </c>
      <c r="BD156" s="972">
        <f>Y156</f>
        <v/>
      </c>
    </row>
    <row r="157" ht="15" customHeight="1" s="508">
      <c r="S157" s="972" t="n"/>
      <c r="T157" s="972" t="n"/>
      <c r="U157" s="972" t="n"/>
      <c r="V157" s="972" t="n">
        <v>33521460.54561276</v>
      </c>
      <c r="W157" s="506" t="n">
        <v>0.014968</v>
      </c>
      <c r="X157" s="972" t="n">
        <v>33245553.17798352</v>
      </c>
      <c r="Y157" s="506" t="n">
        <v>0.014968</v>
      </c>
      <c r="AA157" s="972" t="n">
        <v>25927617.89071224</v>
      </c>
      <c r="AB157" s="506" t="n">
        <v>0.009334</v>
      </c>
      <c r="AC157" s="972" t="n">
        <v>15999826.30953313</v>
      </c>
      <c r="AD157" s="506" t="n">
        <v>0.00207</v>
      </c>
      <c r="AE157" s="972" t="n">
        <v>39611701.21283168</v>
      </c>
      <c r="AF157" s="506" t="n">
        <v>0.001446</v>
      </c>
      <c r="AG157" s="972" t="n">
        <v>65384926.77813126</v>
      </c>
      <c r="AH157" s="506" t="n">
        <v>0.00069</v>
      </c>
      <c r="AI157" s="972" t="n">
        <v>108008778.6728737</v>
      </c>
      <c r="AJ157" s="506" t="n">
        <v>0.001662</v>
      </c>
      <c r="AL157" s="972" t="n">
        <v>38122305.41574274</v>
      </c>
      <c r="AM157" s="506" t="n">
        <v>0.003758</v>
      </c>
      <c r="AN157" s="972" t="n">
        <v>30424468.89446187</v>
      </c>
      <c r="AO157" s="506" t="n">
        <v>0.009678000000000001</v>
      </c>
      <c r="AP157" s="972" t="n">
        <v>40357294.47727986</v>
      </c>
      <c r="AQ157" s="506" t="n">
        <v>0.001732</v>
      </c>
      <c r="AS157" s="972" t="n">
        <v>161.1964239022727</v>
      </c>
      <c r="AT157" s="531" t="n">
        <v>0.014968</v>
      </c>
      <c r="AU157" s="972" t="n">
        <v>159.6509942955027</v>
      </c>
      <c r="AV157" s="531" t="n">
        <v>0.014968</v>
      </c>
      <c r="BA157" s="972">
        <f>V157/1000000</f>
        <v/>
      </c>
      <c r="BB157" s="972">
        <f>W157</f>
        <v/>
      </c>
      <c r="BC157" s="972">
        <f>X157/1000000</f>
        <v/>
      </c>
      <c r="BD157" s="972">
        <f>Y157</f>
        <v/>
      </c>
    </row>
    <row r="158" ht="15" customHeight="1" s="508">
      <c r="S158" s="972" t="n"/>
      <c r="T158" s="972" t="n"/>
      <c r="U158" s="972" t="n"/>
      <c r="V158" s="972" t="n">
        <v>34056380.12321457</v>
      </c>
      <c r="W158" s="506" t="n">
        <v>0.014716</v>
      </c>
      <c r="X158" s="972" t="n">
        <v>33784021.18786874</v>
      </c>
      <c r="Y158" s="506" t="n">
        <v>0.014716</v>
      </c>
      <c r="AA158" s="972" t="n">
        <v>26439092.18951575</v>
      </c>
      <c r="AB158" s="506" t="n">
        <v>0.009176</v>
      </c>
      <c r="AC158" s="972" t="n">
        <v>16349086.46130173</v>
      </c>
      <c r="AD158" s="506" t="n">
        <v>0.002036</v>
      </c>
      <c r="AE158" s="972" t="n">
        <v>40344941.06599143</v>
      </c>
      <c r="AF158" s="506" t="n">
        <v>0.00142</v>
      </c>
      <c r="AG158" s="972" t="n">
        <v>66766998.26510888</v>
      </c>
      <c r="AH158" s="506" t="n">
        <v>0.000678</v>
      </c>
      <c r="AI158" s="972" t="n">
        <v>109503297.3338419</v>
      </c>
      <c r="AJ158" s="506" t="n">
        <v>0.001634</v>
      </c>
      <c r="AL158" s="972" t="n">
        <v>38886177.30326688</v>
      </c>
      <c r="AM158" s="506" t="n">
        <v>0.003694</v>
      </c>
      <c r="AN158" s="972" t="n">
        <v>31010514.29879849</v>
      </c>
      <c r="AO158" s="506" t="n">
        <v>0.009514</v>
      </c>
      <c r="AP158" s="972" t="n">
        <v>41213425.61693019</v>
      </c>
      <c r="AQ158" s="506" t="n">
        <v>0.001704</v>
      </c>
      <c r="AS158" s="972" t="n">
        <v>164.1327260380318</v>
      </c>
      <c r="AT158" s="531" t="n">
        <v>0.014716</v>
      </c>
      <c r="AU158" s="972" t="n">
        <v>162.3050446436862</v>
      </c>
      <c r="AV158" s="531" t="n">
        <v>0.014716</v>
      </c>
      <c r="BA158" s="972">
        <f>V158/1000000</f>
        <v/>
      </c>
      <c r="BB158" s="972">
        <f>W158</f>
        <v/>
      </c>
      <c r="BC158" s="972">
        <f>X158/1000000</f>
        <v/>
      </c>
      <c r="BD158" s="972">
        <f>Y158</f>
        <v/>
      </c>
    </row>
    <row r="159" ht="15" customHeight="1" s="508">
      <c r="S159" s="972" t="n"/>
      <c r="T159" s="972" t="n"/>
      <c r="U159" s="972" t="n"/>
      <c r="V159" s="972" t="n">
        <v>34659834.89160377</v>
      </c>
      <c r="W159" s="506" t="n">
        <v>0.014462</v>
      </c>
      <c r="X159" s="972" t="n">
        <v>34324357.46192472</v>
      </c>
      <c r="Y159" s="506" t="n">
        <v>0.014462</v>
      </c>
      <c r="AA159" s="972" t="n">
        <v>26886281.28855276</v>
      </c>
      <c r="AB159" s="506" t="n">
        <v>0.009018</v>
      </c>
      <c r="AC159" s="972" t="n">
        <v>16615286.70743878</v>
      </c>
      <c r="AD159" s="506" t="n">
        <v>0.002</v>
      </c>
      <c r="AE159" s="972" t="n">
        <v>41043296.63768078</v>
      </c>
      <c r="AF159" s="506" t="n">
        <v>0.001396</v>
      </c>
      <c r="AG159" s="972" t="n">
        <v>67882172.25438142</v>
      </c>
      <c r="AH159" s="506" t="n">
        <v>0.000666</v>
      </c>
      <c r="AI159" s="972" t="n">
        <v>111146273.1754018</v>
      </c>
      <c r="AJ159" s="506" t="n">
        <v>0.001606</v>
      </c>
      <c r="AL159" s="972" t="n">
        <v>39747806.58833753</v>
      </c>
      <c r="AM159" s="506" t="n">
        <v>0.00363</v>
      </c>
      <c r="AN159" s="972" t="n">
        <v>31462144.49867569</v>
      </c>
      <c r="AO159" s="506" t="n">
        <v>0.009350000000000001</v>
      </c>
      <c r="AP159" s="972" t="n">
        <v>42084272.21199377</v>
      </c>
      <c r="AQ159" s="506" t="n">
        <v>0.001674</v>
      </c>
      <c r="AS159" s="972" t="n">
        <v>167.1156510647845</v>
      </c>
      <c r="AT159" s="531" t="n">
        <v>0.014462</v>
      </c>
      <c r="AU159" s="972" t="n">
        <v>165.1836843171237</v>
      </c>
      <c r="AV159" s="531" t="n">
        <v>0.014462</v>
      </c>
      <c r="BA159" s="972">
        <f>V159/1000000</f>
        <v/>
      </c>
      <c r="BB159" s="972">
        <f>W159</f>
        <v/>
      </c>
      <c r="BC159" s="972">
        <f>X159/1000000</f>
        <v/>
      </c>
      <c r="BD159" s="972">
        <f>Y159</f>
        <v/>
      </c>
    </row>
    <row r="160" ht="15" customHeight="1" s="508">
      <c r="S160" s="972" t="n"/>
      <c r="T160" s="972" t="n"/>
      <c r="U160" s="972" t="n"/>
      <c r="V160" s="972" t="n">
        <v>35325547.33982205</v>
      </c>
      <c r="W160" s="506" t="n">
        <v>0.014208</v>
      </c>
      <c r="X160" s="972" t="n">
        <v>34928289.32838885</v>
      </c>
      <c r="Y160" s="506" t="n">
        <v>0.014208</v>
      </c>
      <c r="AA160" s="972" t="n">
        <v>27275374.71116909</v>
      </c>
      <c r="AB160" s="506" t="n">
        <v>0.008858</v>
      </c>
      <c r="AC160" s="972" t="n">
        <v>16889963.9710103</v>
      </c>
      <c r="AD160" s="506" t="n">
        <v>0.001964</v>
      </c>
      <c r="AE160" s="972" t="n">
        <v>41889142.47552343</v>
      </c>
      <c r="AF160" s="506" t="n">
        <v>0.001372</v>
      </c>
      <c r="AG160" s="972" t="n">
        <v>68760576.87650321</v>
      </c>
      <c r="AH160" s="506" t="n">
        <v>0.000654</v>
      </c>
      <c r="AI160" s="972" t="n">
        <v>112905225.5435263</v>
      </c>
      <c r="AJ160" s="506" t="n">
        <v>0.001578</v>
      </c>
      <c r="AL160" s="972" t="n">
        <v>40742714.86098157</v>
      </c>
      <c r="AM160" s="506" t="n">
        <v>0.003566</v>
      </c>
      <c r="AN160" s="972" t="n">
        <v>31951665.72111938</v>
      </c>
      <c r="AO160" s="506" t="n">
        <v>0.009186</v>
      </c>
      <c r="AP160" s="972" t="n">
        <v>42642463.23470037</v>
      </c>
      <c r="AQ160" s="506" t="n">
        <v>0.001644</v>
      </c>
      <c r="AS160" s="972" t="n">
        <v>170.3024348993225</v>
      </c>
      <c r="AT160" s="531" t="n">
        <v>0.014208</v>
      </c>
      <c r="AU160" s="972" t="n">
        <v>168.3818515906809</v>
      </c>
      <c r="AV160" s="531" t="n">
        <v>0.014208</v>
      </c>
      <c r="BA160" s="972">
        <f>V160/1000000</f>
        <v/>
      </c>
      <c r="BB160" s="972">
        <f>W160</f>
        <v/>
      </c>
      <c r="BC160" s="972">
        <f>X160/1000000</f>
        <v/>
      </c>
      <c r="BD160" s="972">
        <f>Y160</f>
        <v/>
      </c>
    </row>
    <row r="161" ht="15" customHeight="1" s="508">
      <c r="S161" s="972" t="n"/>
      <c r="T161" s="972" t="n"/>
      <c r="U161" s="972" t="n"/>
      <c r="V161" s="972" t="n">
        <v>36028921.75344156</v>
      </c>
      <c r="W161" s="506" t="n">
        <v>0.013954</v>
      </c>
      <c r="X161" s="972" t="n">
        <v>35596714.14839132</v>
      </c>
      <c r="Y161" s="506" t="n">
        <v>0.013954</v>
      </c>
      <c r="AA161" s="972" t="n">
        <v>27743753.35955222</v>
      </c>
      <c r="AB161" s="506" t="n">
        <v>0.008699999999999999</v>
      </c>
      <c r="AC161" s="972" t="n">
        <v>17084199.18893445</v>
      </c>
      <c r="AD161" s="506" t="n">
        <v>0.00193</v>
      </c>
      <c r="AE161" s="972" t="n">
        <v>42495034.63636453</v>
      </c>
      <c r="AF161" s="506" t="n">
        <v>0.001348</v>
      </c>
      <c r="AG161" s="972" t="n">
        <v>69533152.86299932</v>
      </c>
      <c r="AH161" s="506" t="n">
        <v>0.000644</v>
      </c>
      <c r="AI161" s="972" t="n">
        <v>114849195.6017947</v>
      </c>
      <c r="AJ161" s="506" t="n">
        <v>0.00155</v>
      </c>
      <c r="AL161" s="972" t="n">
        <v>41499156.96387958</v>
      </c>
      <c r="AM161" s="506" t="n">
        <v>0.003504</v>
      </c>
      <c r="AN161" s="972" t="n">
        <v>32514395.71115566</v>
      </c>
      <c r="AO161" s="506" t="n">
        <v>0.009022000000000001</v>
      </c>
      <c r="AP161" s="972" t="n">
        <v>43189461.77153857</v>
      </c>
      <c r="AQ161" s="506" t="n">
        <v>0.001616</v>
      </c>
      <c r="AS161" s="972" t="n">
        <v>174.1252086104311</v>
      </c>
      <c r="AT161" s="531" t="n">
        <v>0.013954</v>
      </c>
      <c r="AU161" s="972" t="n">
        <v>171.8133973641946</v>
      </c>
      <c r="AV161" s="531" t="n">
        <v>0.013954</v>
      </c>
      <c r="BA161" s="972">
        <f>V161/1000000</f>
        <v/>
      </c>
      <c r="BB161" s="972">
        <f>W161</f>
        <v/>
      </c>
      <c r="BC161" s="972">
        <f>X161/1000000</f>
        <v/>
      </c>
      <c r="BD161" s="972">
        <f>Y161</f>
        <v/>
      </c>
    </row>
    <row r="162" ht="15" customHeight="1" s="508">
      <c r="S162" s="972" t="n"/>
      <c r="T162" s="972" t="n"/>
      <c r="U162" s="972" t="n"/>
      <c r="V162" s="972" t="n">
        <v>36758764.65691914</v>
      </c>
      <c r="W162" s="506" t="n">
        <v>0.0137</v>
      </c>
      <c r="X162" s="972" t="n">
        <v>36348363.94667744</v>
      </c>
      <c r="Y162" s="506" t="n">
        <v>0.0137</v>
      </c>
      <c r="AA162" s="972" t="n">
        <v>28160326.4941417</v>
      </c>
      <c r="AB162" s="506" t="n">
        <v>0.008541999999999999</v>
      </c>
      <c r="AC162" s="972" t="n">
        <v>17498607.70733006</v>
      </c>
      <c r="AD162" s="506" t="n">
        <v>0.001894</v>
      </c>
      <c r="AE162" s="972" t="n">
        <v>43615003.50659848</v>
      </c>
      <c r="AF162" s="506" t="n">
        <v>0.001322</v>
      </c>
      <c r="AG162" s="972" t="n">
        <v>71519597.86677548</v>
      </c>
      <c r="AH162" s="506" t="n">
        <v>0.000632</v>
      </c>
      <c r="AI162" s="972" t="n">
        <v>116186537.3744781</v>
      </c>
      <c r="AJ162" s="506" t="n">
        <v>0.001522</v>
      </c>
      <c r="AL162" s="972" t="n">
        <v>42212832.23902266</v>
      </c>
      <c r="AM162" s="506" t="n">
        <v>0.00344</v>
      </c>
      <c r="AN162" s="972" t="n">
        <v>33234150.23313353</v>
      </c>
      <c r="AO162" s="506" t="n">
        <v>0.008858</v>
      </c>
      <c r="AP162" s="972" t="n">
        <v>44532805.32328919</v>
      </c>
      <c r="AQ162" s="506" t="n">
        <v>0.001586</v>
      </c>
      <c r="AS162" s="972" t="n">
        <v>177.5250429894078</v>
      </c>
      <c r="AT162" s="531" t="n">
        <v>0.0137</v>
      </c>
      <c r="AU162" s="972" t="n">
        <v>175.5206573922362</v>
      </c>
      <c r="AV162" s="531" t="n">
        <v>0.0137</v>
      </c>
      <c r="BA162" s="972">
        <f>V162/1000000</f>
        <v/>
      </c>
      <c r="BB162" s="972">
        <f>W162</f>
        <v/>
      </c>
      <c r="BC162" s="972">
        <f>X162/1000000</f>
        <v/>
      </c>
      <c r="BD162" s="972">
        <f>Y162</f>
        <v/>
      </c>
    </row>
    <row r="163" ht="15" customHeight="1" s="508">
      <c r="S163" s="972" t="n"/>
      <c r="T163" s="972" t="n"/>
      <c r="U163" s="972" t="n"/>
      <c r="V163" s="972" t="n">
        <v>37394755.23259562</v>
      </c>
      <c r="W163" s="506" t="n">
        <v>0.013446</v>
      </c>
      <c r="X163" s="972" t="n">
        <v>37091292.88804676</v>
      </c>
      <c r="Y163" s="506" t="n">
        <v>0.013446</v>
      </c>
      <c r="AA163" s="972" t="n">
        <v>28679149.30565269</v>
      </c>
      <c r="AB163" s="506" t="n">
        <v>0.008384000000000001</v>
      </c>
      <c r="AC163" s="972" t="n">
        <v>17878978.8466068</v>
      </c>
      <c r="AD163" s="506" t="n">
        <v>0.00186</v>
      </c>
      <c r="AE163" s="972" t="n">
        <v>44482801.97750865</v>
      </c>
      <c r="AF163" s="506" t="n">
        <v>0.001298</v>
      </c>
      <c r="AG163" s="972" t="n">
        <v>72327519.08892712</v>
      </c>
      <c r="AH163" s="506" t="n">
        <v>0.00062</v>
      </c>
      <c r="AI163" s="972" t="n">
        <v>117410314.4031261</v>
      </c>
      <c r="AJ163" s="506" t="n">
        <v>0.001494</v>
      </c>
      <c r="AL163" s="972" t="n">
        <v>43074723.34644509</v>
      </c>
      <c r="AM163" s="506" t="n">
        <v>0.003376</v>
      </c>
      <c r="AN163" s="972" t="n">
        <v>33735043.12608999</v>
      </c>
      <c r="AO163" s="506" t="n">
        <v>0.008694</v>
      </c>
      <c r="AP163" s="972" t="n">
        <v>45722118.31378656</v>
      </c>
      <c r="AQ163" s="506" t="n">
        <v>0.001556</v>
      </c>
      <c r="AS163" s="972" t="n">
        <v>181.1328695314756</v>
      </c>
      <c r="AT163" s="531" t="n">
        <v>0.013446</v>
      </c>
      <c r="AU163" s="972" t="n">
        <v>178.9410389409828</v>
      </c>
      <c r="AV163" s="531" t="n">
        <v>0.013446</v>
      </c>
      <c r="BA163" s="972">
        <f>V163/1000000</f>
        <v/>
      </c>
      <c r="BB163" s="972">
        <f>W163</f>
        <v/>
      </c>
      <c r="BC163" s="972">
        <f>X163/1000000</f>
        <v/>
      </c>
      <c r="BD163" s="972">
        <f>Y163</f>
        <v/>
      </c>
    </row>
    <row r="164" ht="15" customHeight="1" s="508">
      <c r="S164" s="972" t="n"/>
      <c r="T164" s="972" t="n"/>
      <c r="U164" s="972" t="n"/>
      <c r="V164" s="972" t="n">
        <v>38179538.06562503</v>
      </c>
      <c r="W164" s="506" t="n">
        <v>0.013194</v>
      </c>
      <c r="X164" s="972" t="n">
        <v>37779175.93812948</v>
      </c>
      <c r="Y164" s="506" t="n">
        <v>0.013194</v>
      </c>
      <c r="AA164" s="972" t="n">
        <v>29163313.91288153</v>
      </c>
      <c r="AB164" s="506" t="n">
        <v>0.008226000000000001</v>
      </c>
      <c r="AC164" s="972" t="n">
        <v>18160387.92922649</v>
      </c>
      <c r="AD164" s="506" t="n">
        <v>0.001824</v>
      </c>
      <c r="AE164" s="972" t="n">
        <v>45396484.24492424</v>
      </c>
      <c r="AF164" s="506" t="n">
        <v>0.001274</v>
      </c>
      <c r="AG164" s="972" t="n">
        <v>74008678.77183175</v>
      </c>
      <c r="AH164" s="506" t="n">
        <v>0.000608</v>
      </c>
      <c r="AI164" s="972" t="n">
        <v>119136437.9247046</v>
      </c>
      <c r="AJ164" s="506" t="n">
        <v>0.001466</v>
      </c>
      <c r="AL164" s="972" t="n">
        <v>44130673.04710888</v>
      </c>
      <c r="AM164" s="506" t="n">
        <v>0.003312</v>
      </c>
      <c r="AN164" s="972" t="n">
        <v>34198832.59100223</v>
      </c>
      <c r="AO164" s="506" t="n">
        <v>0.008529999999999999</v>
      </c>
      <c r="AP164" s="972" t="n">
        <v>46531580.19340351</v>
      </c>
      <c r="AQ164" s="506" t="n">
        <v>0.001528</v>
      </c>
      <c r="AS164" s="972" t="n">
        <v>184.8102101697414</v>
      </c>
      <c r="AT164" s="531" t="n">
        <v>0.013194</v>
      </c>
      <c r="AU164" s="972" t="n">
        <v>182.0834907554456</v>
      </c>
      <c r="AV164" s="531" t="n">
        <v>0.013194</v>
      </c>
      <c r="BA164" s="972">
        <f>V164/1000000</f>
        <v/>
      </c>
      <c r="BB164" s="972">
        <f>W164</f>
        <v/>
      </c>
      <c r="BC164" s="972">
        <f>X164/1000000</f>
        <v/>
      </c>
      <c r="BD164" s="972">
        <f>Y164</f>
        <v/>
      </c>
    </row>
    <row r="165" ht="15" customHeight="1" s="508">
      <c r="S165" s="972" t="n"/>
      <c r="T165" s="972" t="n"/>
      <c r="U165" s="972" t="n"/>
      <c r="V165" s="972" t="n">
        <v>38886177.30326688</v>
      </c>
      <c r="W165" s="506" t="n">
        <v>0.01294</v>
      </c>
      <c r="X165" s="972" t="n">
        <v>38447294.78000303</v>
      </c>
      <c r="Y165" s="506" t="n">
        <v>0.01294</v>
      </c>
      <c r="AA165" s="972" t="n">
        <v>29689641.7987433</v>
      </c>
      <c r="AB165" s="506" t="n">
        <v>0.008068000000000001</v>
      </c>
      <c r="AC165" s="972" t="n">
        <v>18402499.17311584</v>
      </c>
      <c r="AD165" s="506" t="n">
        <v>0.00179</v>
      </c>
      <c r="AE165" s="972" t="n">
        <v>45612229.17396101</v>
      </c>
      <c r="AF165" s="506" t="n">
        <v>0.00125</v>
      </c>
      <c r="AG165" s="972" t="n">
        <v>75201210.11931881</v>
      </c>
      <c r="AH165" s="506" t="n">
        <v>0.000596</v>
      </c>
      <c r="AI165" s="972" t="n">
        <v>120457511.8158597</v>
      </c>
      <c r="AJ165" s="506" t="n">
        <v>0.001438</v>
      </c>
      <c r="AL165" s="972" t="n">
        <v>45079352.96582694</v>
      </c>
      <c r="AM165" s="506" t="n">
        <v>0.003248</v>
      </c>
      <c r="AN165" s="972" t="n">
        <v>34812062.56948065</v>
      </c>
      <c r="AO165" s="506" t="n">
        <v>0.008366</v>
      </c>
      <c r="AP165" s="972" t="n">
        <v>48030714.10421642</v>
      </c>
      <c r="AQ165" s="506" t="n">
        <v>0.001498</v>
      </c>
      <c r="AS165" s="972" t="n">
        <v>187.8510513318329</v>
      </c>
      <c r="AT165" s="531" t="n">
        <v>0.01294</v>
      </c>
      <c r="AU165" s="972" t="n">
        <v>185.8778855823936</v>
      </c>
      <c r="AV165" s="531" t="n">
        <v>0.01294</v>
      </c>
      <c r="BA165" s="972">
        <f>V165/1000000</f>
        <v/>
      </c>
      <c r="BB165" s="972">
        <f>W165</f>
        <v/>
      </c>
      <c r="BC165" s="972">
        <f>X165/1000000</f>
        <v/>
      </c>
      <c r="BD165" s="972">
        <f>Y165</f>
        <v/>
      </c>
    </row>
    <row r="166" ht="15" customHeight="1" s="508">
      <c r="S166" s="972" t="n"/>
      <c r="T166" s="972" t="n"/>
      <c r="U166" s="972" t="n"/>
      <c r="V166" s="972" t="n">
        <v>39713925.93923353</v>
      </c>
      <c r="W166" s="506" t="n">
        <v>0.012686</v>
      </c>
      <c r="X166" s="972" t="n">
        <v>39269898.69009451</v>
      </c>
      <c r="Y166" s="506" t="n">
        <v>0.012686</v>
      </c>
      <c r="AA166" s="972" t="n">
        <v>30143331.25275093</v>
      </c>
      <c r="AB166" s="506" t="n">
        <v>0.00791</v>
      </c>
      <c r="AC166" s="972" t="n">
        <v>18765734.60072952</v>
      </c>
      <c r="AD166" s="506" t="n">
        <v>0.001754</v>
      </c>
      <c r="AE166" s="972" t="n">
        <v>47044029.35761198</v>
      </c>
      <c r="AF166" s="506" t="n">
        <v>0.001226</v>
      </c>
      <c r="AG166" s="972" t="n">
        <v>76624626.2057742</v>
      </c>
      <c r="AH166" s="506" t="n">
        <v>0.000584</v>
      </c>
      <c r="AI166" s="972" t="n">
        <v>122003752.9214461</v>
      </c>
      <c r="AJ166" s="506" t="n">
        <v>0.00141</v>
      </c>
      <c r="AL166" s="972" t="n">
        <v>45919490.05283906</v>
      </c>
      <c r="AM166" s="506" t="n">
        <v>0.003184</v>
      </c>
      <c r="AN166" s="972" t="n">
        <v>35517639.40427094</v>
      </c>
      <c r="AO166" s="506" t="n">
        <v>0.008201999999999999</v>
      </c>
      <c r="AP166" s="972" t="n">
        <v>48862349.40503161</v>
      </c>
      <c r="AQ166" s="506" t="n">
        <v>0.001468</v>
      </c>
      <c r="AS166" s="972" t="n">
        <v>191.1026760713832</v>
      </c>
      <c r="AT166" s="531" t="n">
        <v>0.012686</v>
      </c>
      <c r="AU166" s="972" t="n">
        <v>189.2162422655819</v>
      </c>
      <c r="AV166" s="531" t="n">
        <v>0.012686</v>
      </c>
      <c r="BA166" s="972">
        <f>V166/1000000</f>
        <v/>
      </c>
      <c r="BB166" s="972">
        <f>W166</f>
        <v/>
      </c>
      <c r="BC166" s="972">
        <f>X166/1000000</f>
        <v/>
      </c>
      <c r="BD166" s="972">
        <f>Y166</f>
        <v/>
      </c>
    </row>
    <row r="167" ht="15" customHeight="1" s="508">
      <c r="S167" s="972" t="n"/>
      <c r="T167" s="972" t="n"/>
      <c r="U167" s="972" t="n"/>
      <c r="V167" s="972" t="n">
        <v>40477381.55692378</v>
      </c>
      <c r="W167" s="506" t="n">
        <v>0.012432</v>
      </c>
      <c r="X167" s="972" t="n">
        <v>40039559.01981802</v>
      </c>
      <c r="Y167" s="506" t="n">
        <v>0.012432</v>
      </c>
      <c r="AA167" s="972" t="n">
        <v>30622067.96566096</v>
      </c>
      <c r="AB167" s="506" t="n">
        <v>0.007752</v>
      </c>
      <c r="AC167" s="972" t="n">
        <v>19179178.35460348</v>
      </c>
      <c r="AD167" s="506" t="n">
        <v>0.00172</v>
      </c>
      <c r="AE167" s="972" t="n">
        <v>48301339.78123295</v>
      </c>
      <c r="AF167" s="506" t="n">
        <v>0.0012</v>
      </c>
      <c r="AG167" s="972" t="n">
        <v>77979702.85848817</v>
      </c>
      <c r="AH167" s="506" t="n">
        <v>0.000574</v>
      </c>
      <c r="AI167" s="972" t="n">
        <v>123835477.0725143</v>
      </c>
      <c r="AJ167" s="506" t="n">
        <v>0.001382</v>
      </c>
      <c r="AL167" s="972" t="n">
        <v>47176596.58945931</v>
      </c>
      <c r="AM167" s="506" t="n">
        <v>0.003122</v>
      </c>
      <c r="AN167" s="972" t="n">
        <v>36243764.05328781</v>
      </c>
      <c r="AO167" s="506" t="n">
        <v>0.008038</v>
      </c>
      <c r="AP167" s="972" t="n">
        <v>49726413.09803411</v>
      </c>
      <c r="AQ167" s="506" t="n">
        <v>0.00144</v>
      </c>
      <c r="AS167" s="972" t="n">
        <v>194.9510161546156</v>
      </c>
      <c r="AT167" s="531" t="n">
        <v>0.012432</v>
      </c>
      <c r="AU167" s="972" t="n">
        <v>192.4600984394984</v>
      </c>
      <c r="AV167" s="531" t="n">
        <v>0.012432</v>
      </c>
      <c r="BA167" s="972">
        <f>V167/1000000</f>
        <v/>
      </c>
      <c r="BB167" s="972">
        <f>W167</f>
        <v/>
      </c>
      <c r="BC167" s="972">
        <f>X167/1000000</f>
        <v/>
      </c>
      <c r="BD167" s="972">
        <f>Y167</f>
        <v/>
      </c>
    </row>
    <row r="168" ht="15" customHeight="1" s="508">
      <c r="S168" s="972" t="n"/>
      <c r="T168" s="972" t="n"/>
      <c r="U168" s="972" t="n"/>
      <c r="V168" s="972" t="n">
        <v>41151285.48799635</v>
      </c>
      <c r="W168" s="506" t="n">
        <v>0.012178</v>
      </c>
      <c r="X168" s="972" t="n">
        <v>40774117.78999202</v>
      </c>
      <c r="Y168" s="506" t="n">
        <v>0.012178</v>
      </c>
      <c r="AA168" s="972" t="n">
        <v>31235821.74040494</v>
      </c>
      <c r="AB168" s="506" t="n">
        <v>0.007594</v>
      </c>
      <c r="AC168" s="972" t="n">
        <v>19587303.41558059</v>
      </c>
      <c r="AD168" s="506" t="n">
        <v>0.001684</v>
      </c>
      <c r="AE168" s="972" t="n">
        <v>49223870.259268</v>
      </c>
      <c r="AF168" s="506" t="n">
        <v>0.001176</v>
      </c>
      <c r="AG168" s="972" t="n">
        <v>80250192.95408092</v>
      </c>
      <c r="AH168" s="506" t="n">
        <v>0.000562</v>
      </c>
      <c r="AI168" s="972" t="n">
        <v>125164430.6663101</v>
      </c>
      <c r="AJ168" s="506" t="n">
        <v>0.001354</v>
      </c>
      <c r="AL168" s="972" t="n">
        <v>48355536.38360874</v>
      </c>
      <c r="AM168" s="506" t="n">
        <v>0.003058</v>
      </c>
      <c r="AN168" s="972" t="n">
        <v>36899512.58666104</v>
      </c>
      <c r="AO168" s="506" t="n">
        <v>0.007874000000000001</v>
      </c>
      <c r="AP168" s="972" t="n">
        <v>50707915.85007288</v>
      </c>
      <c r="AQ168" s="506" t="n">
        <v>0.00141</v>
      </c>
      <c r="AS168" s="972" t="n">
        <v>198.6556456685214</v>
      </c>
      <c r="AT168" s="531" t="n">
        <v>0.012178</v>
      </c>
      <c r="AU168" s="972" t="n">
        <v>196.11889657054</v>
      </c>
      <c r="AV168" s="531" t="n">
        <v>0.012178</v>
      </c>
      <c r="BA168" s="972">
        <f>V168/1000000</f>
        <v/>
      </c>
      <c r="BB168" s="972">
        <f>W168</f>
        <v/>
      </c>
      <c r="BC168" s="972">
        <f>X168/1000000</f>
        <v/>
      </c>
      <c r="BD168" s="972">
        <f>Y168</f>
        <v/>
      </c>
    </row>
    <row r="169" ht="15" customHeight="1" s="508">
      <c r="S169" s="972" t="n"/>
      <c r="T169" s="972" t="n"/>
      <c r="U169" s="972" t="n"/>
      <c r="V169" s="972" t="n">
        <v>42028737.14970997</v>
      </c>
      <c r="W169" s="506" t="n">
        <v>0.011924</v>
      </c>
      <c r="X169" s="972" t="n">
        <v>41501854.00547371</v>
      </c>
      <c r="Y169" s="506" t="n">
        <v>0.011924</v>
      </c>
      <c r="AA169" s="972" t="n">
        <v>31715376.83931765</v>
      </c>
      <c r="AB169" s="506" t="n">
        <v>0.007436</v>
      </c>
      <c r="AC169" s="972" t="n">
        <v>20057243.53366942</v>
      </c>
      <c r="AD169" s="506" t="n">
        <v>0.00165</v>
      </c>
      <c r="AE169" s="972" t="n">
        <v>50478495.00633763</v>
      </c>
      <c r="AF169" s="506" t="n">
        <v>0.001152</v>
      </c>
      <c r="AG169" s="972" t="n">
        <v>81779121.63305816</v>
      </c>
      <c r="AH169" s="506" t="n">
        <v>0.00055</v>
      </c>
      <c r="AI169" s="972" t="n">
        <v>126520880.6597565</v>
      </c>
      <c r="AJ169" s="506" t="n">
        <v>0.001326</v>
      </c>
      <c r="AL169" s="972" t="n">
        <v>49393379.82461399</v>
      </c>
      <c r="AM169" s="506" t="n">
        <v>0.002994</v>
      </c>
      <c r="AN169" s="972" t="n">
        <v>37569698.91198134</v>
      </c>
      <c r="AO169" s="506" t="n">
        <v>0.00771</v>
      </c>
      <c r="AP169" s="972" t="n">
        <v>52157744.44265072</v>
      </c>
      <c r="AQ169" s="506" t="n">
        <v>0.00138</v>
      </c>
      <c r="AS169" s="972" t="n">
        <v>202.8227741448644</v>
      </c>
      <c r="AT169" s="531" t="n">
        <v>0.011924</v>
      </c>
      <c r="AU169" s="972" t="n">
        <v>199.6196358352915</v>
      </c>
      <c r="AV169" s="531" t="n">
        <v>0.011924</v>
      </c>
      <c r="BA169" s="972">
        <f>V169/1000000</f>
        <v/>
      </c>
      <c r="BB169" s="972">
        <f>W169</f>
        <v/>
      </c>
      <c r="BC169" s="972">
        <f>X169/1000000</f>
        <v/>
      </c>
      <c r="BD169" s="972">
        <f>Y169</f>
        <v/>
      </c>
    </row>
    <row r="170" ht="15" customHeight="1" s="508">
      <c r="S170" s="972" t="n"/>
      <c r="T170" s="972" t="n"/>
      <c r="U170" s="972" t="n"/>
      <c r="V170" s="972" t="n">
        <v>42858250.93413612</v>
      </c>
      <c r="W170" s="506" t="n">
        <v>0.011672</v>
      </c>
      <c r="X170" s="972" t="n">
        <v>42291348.42291752</v>
      </c>
      <c r="Y170" s="506" t="n">
        <v>0.011672</v>
      </c>
      <c r="AA170" s="972" t="n">
        <v>32280904.4819686</v>
      </c>
      <c r="AB170" s="506" t="n">
        <v>0.007278</v>
      </c>
      <c r="AC170" s="972" t="n">
        <v>20335832.25984631</v>
      </c>
      <c r="AD170" s="506" t="n">
        <v>0.001614</v>
      </c>
      <c r="AE170" s="972" t="n">
        <v>51303310.31183177</v>
      </c>
      <c r="AF170" s="506" t="n">
        <v>0.001128</v>
      </c>
      <c r="AG170" s="972" t="n">
        <v>82816469.08610179</v>
      </c>
      <c r="AH170" s="506" t="n">
        <v>0.000538</v>
      </c>
      <c r="AI170" s="972" t="n">
        <v>128063686.6594043</v>
      </c>
      <c r="AJ170" s="506" t="n">
        <v>0.001298</v>
      </c>
      <c r="AL170" s="972" t="n">
        <v>50492683.68111692</v>
      </c>
      <c r="AM170" s="506" t="n">
        <v>0.00293</v>
      </c>
      <c r="AN170" s="972" t="n">
        <v>38335746.24775019</v>
      </c>
      <c r="AO170" s="506" t="n">
        <v>0.007546</v>
      </c>
      <c r="AP170" s="972" t="n">
        <v>53489762.82591317</v>
      </c>
      <c r="AQ170" s="506" t="n">
        <v>0.001352</v>
      </c>
      <c r="AS170" s="972" t="n">
        <v>207.1205580709061</v>
      </c>
      <c r="AT170" s="531" t="n">
        <v>0.011672</v>
      </c>
      <c r="AU170" s="972" t="n">
        <v>204.2956350447197</v>
      </c>
      <c r="AV170" s="531" t="n">
        <v>0.011672</v>
      </c>
      <c r="BA170" s="972">
        <f>V170/1000000</f>
        <v/>
      </c>
      <c r="BB170" s="972">
        <f>W170</f>
        <v/>
      </c>
      <c r="BC170" s="972">
        <f>X170/1000000</f>
        <v/>
      </c>
      <c r="BD170" s="972">
        <f>Y170</f>
        <v/>
      </c>
    </row>
    <row r="171" ht="15" customHeight="1" s="508">
      <c r="S171" s="972" t="n"/>
      <c r="T171" s="972" t="n"/>
      <c r="U171" s="972" t="n"/>
      <c r="V171" s="972" t="n">
        <v>43779446.80328672</v>
      </c>
      <c r="W171" s="506" t="n">
        <v>0.011418</v>
      </c>
      <c r="X171" s="972" t="n">
        <v>43313608.41597552</v>
      </c>
      <c r="Y171" s="506" t="n">
        <v>0.011418</v>
      </c>
      <c r="AA171" s="972" t="n">
        <v>32826305.18394927</v>
      </c>
      <c r="AB171" s="506" t="n">
        <v>0.00712</v>
      </c>
      <c r="AC171" s="972" t="n">
        <v>20775363.29932624</v>
      </c>
      <c r="AD171" s="506" t="n">
        <v>0.00158</v>
      </c>
      <c r="AE171" s="972" t="n">
        <v>52322419.07404066</v>
      </c>
      <c r="AF171" s="506" t="n">
        <v>0.001102</v>
      </c>
      <c r="AG171" s="972" t="n">
        <v>84119841.39222851</v>
      </c>
      <c r="AH171" s="506" t="n">
        <v>0.000526</v>
      </c>
      <c r="AI171" s="972" t="n">
        <v>130444258.1344154</v>
      </c>
      <c r="AJ171" s="506" t="n">
        <v>0.001268</v>
      </c>
      <c r="AL171" s="972" t="n">
        <v>51900123.84559304</v>
      </c>
      <c r="AM171" s="506" t="n">
        <v>0.002866</v>
      </c>
      <c r="AN171" s="972" t="n">
        <v>39051958.07935206</v>
      </c>
      <c r="AO171" s="506" t="n">
        <v>0.007382</v>
      </c>
      <c r="AP171" s="972" t="n">
        <v>54151228.41593525</v>
      </c>
      <c r="AQ171" s="506" t="n">
        <v>0.001322</v>
      </c>
      <c r="AS171" s="972" t="n">
        <v>211.1866389261398</v>
      </c>
      <c r="AT171" s="531" t="n">
        <v>0.011418</v>
      </c>
      <c r="AU171" s="972" t="n">
        <v>208.6833957926271</v>
      </c>
      <c r="AV171" s="531" t="n">
        <v>0.011418</v>
      </c>
      <c r="BA171" s="972">
        <f>V171/1000000</f>
        <v/>
      </c>
      <c r="BB171" s="972">
        <f>W171</f>
        <v/>
      </c>
      <c r="BC171" s="972">
        <f>X171/1000000</f>
        <v/>
      </c>
      <c r="BD171" s="972">
        <f>Y171</f>
        <v/>
      </c>
    </row>
    <row r="172" ht="15" customHeight="1" s="508">
      <c r="S172" s="972" t="n"/>
      <c r="T172" s="972" t="n"/>
      <c r="U172" s="972" t="n"/>
      <c r="V172" s="972" t="n">
        <v>44787440.98488837</v>
      </c>
      <c r="W172" s="506" t="n">
        <v>0.011164</v>
      </c>
      <c r="X172" s="972" t="n">
        <v>44212212.19874837</v>
      </c>
      <c r="Y172" s="506" t="n">
        <v>0.011164</v>
      </c>
      <c r="AA172" s="972" t="n">
        <v>33324324.53466074</v>
      </c>
      <c r="AB172" s="506" t="n">
        <v>0.006962</v>
      </c>
      <c r="AC172" s="972" t="n">
        <v>21412542.97590828</v>
      </c>
      <c r="AD172" s="506" t="n">
        <v>0.001544</v>
      </c>
      <c r="AE172" s="972" t="n">
        <v>53555157.20120618</v>
      </c>
      <c r="AF172" s="506" t="n">
        <v>0.001078</v>
      </c>
      <c r="AG172" s="972" t="n">
        <v>85015103.43864106</v>
      </c>
      <c r="AH172" s="506" t="n">
        <v>0.000516</v>
      </c>
      <c r="AI172" s="972" t="n">
        <v>133719658.1535798</v>
      </c>
      <c r="AJ172" s="506" t="n">
        <v>0.00124</v>
      </c>
      <c r="AL172" s="972" t="n">
        <v>52707285.10977793</v>
      </c>
      <c r="AM172" s="506" t="n">
        <v>0.002804</v>
      </c>
      <c r="AN172" s="972" t="n">
        <v>39917265.84667461</v>
      </c>
      <c r="AO172" s="506" t="n">
        <v>0.007218</v>
      </c>
      <c r="AP172" s="972" t="n">
        <v>54871121.70364743</v>
      </c>
      <c r="AQ172" s="506" t="n">
        <v>0.001292</v>
      </c>
      <c r="AS172" s="972" t="n">
        <v>215.7561771752632</v>
      </c>
      <c r="AT172" s="531" t="n">
        <v>0.011164</v>
      </c>
      <c r="AU172" s="972" t="n">
        <v>212.3091815563105</v>
      </c>
      <c r="AV172" s="531" t="n">
        <v>0.011164</v>
      </c>
      <c r="BA172" s="972">
        <f>V172/1000000</f>
        <v/>
      </c>
      <c r="BB172" s="972">
        <f>W172</f>
        <v/>
      </c>
      <c r="BC172" s="972">
        <f>X172/1000000</f>
        <v/>
      </c>
      <c r="BD172" s="972">
        <f>Y172</f>
        <v/>
      </c>
    </row>
    <row r="173" ht="15" customHeight="1" s="508">
      <c r="S173" s="972" t="n"/>
      <c r="T173" s="972" t="n"/>
      <c r="U173" s="972" t="n"/>
      <c r="V173" s="972" t="n">
        <v>45816557.71936064</v>
      </c>
      <c r="W173" s="506" t="n">
        <v>0.01091</v>
      </c>
      <c r="X173" s="972" t="n">
        <v>45218558.45602827</v>
      </c>
      <c r="Y173" s="506" t="n">
        <v>0.01091</v>
      </c>
      <c r="AA173" s="972" t="n">
        <v>33836867.51432393</v>
      </c>
      <c r="AB173" s="506" t="n">
        <v>0.006804</v>
      </c>
      <c r="AC173" s="972" t="n">
        <v>22025308.43910355</v>
      </c>
      <c r="AD173" s="506" t="n">
        <v>0.00151</v>
      </c>
      <c r="AE173" s="972" t="n">
        <v>54462538.39548918</v>
      </c>
      <c r="AF173" s="506" t="n">
        <v>0.001054</v>
      </c>
      <c r="AG173" s="972" t="n">
        <v>86074831.88517362</v>
      </c>
      <c r="AH173" s="506" t="n">
        <v>0.000504</v>
      </c>
      <c r="AI173" s="972" t="n">
        <v>135351166.4682483</v>
      </c>
      <c r="AJ173" s="506" t="n">
        <v>0.001212</v>
      </c>
      <c r="AL173" s="972" t="n">
        <v>54033289.76801877</v>
      </c>
      <c r="AM173" s="506" t="n">
        <v>0.00274</v>
      </c>
      <c r="AN173" s="972" t="n">
        <v>40643221.53857522</v>
      </c>
      <c r="AO173" s="506" t="n">
        <v>0.007054</v>
      </c>
      <c r="AP173" s="972" t="n">
        <v>55819982.71589173</v>
      </c>
      <c r="AQ173" s="506" t="n">
        <v>0.001264</v>
      </c>
      <c r="AS173" s="972" t="n">
        <v>220.3794819267915</v>
      </c>
      <c r="AT173" s="531" t="n">
        <v>0.01091</v>
      </c>
      <c r="AU173" s="972" t="n">
        <v>216.7288272765131</v>
      </c>
      <c r="AV173" s="531" t="n">
        <v>0.01091</v>
      </c>
      <c r="BA173" s="972">
        <f>V173/1000000</f>
        <v/>
      </c>
      <c r="BB173" s="972">
        <f>W173</f>
        <v/>
      </c>
      <c r="BC173" s="972">
        <f>X173/1000000</f>
        <v/>
      </c>
      <c r="BD173" s="972">
        <f>Y173</f>
        <v/>
      </c>
    </row>
    <row r="174" ht="15" customHeight="1" s="508">
      <c r="S174" s="972" t="n"/>
      <c r="T174" s="972" t="n"/>
      <c r="U174" s="972" t="n"/>
      <c r="V174" s="972" t="n">
        <v>47137819.65134916</v>
      </c>
      <c r="W174" s="506" t="n">
        <v>0.010656</v>
      </c>
      <c r="X174" s="972" t="n">
        <v>46302322.42888972</v>
      </c>
      <c r="Y174" s="506" t="n">
        <v>0.010656</v>
      </c>
      <c r="AA174" s="972" t="n">
        <v>34382806.50058816</v>
      </c>
      <c r="AB174" s="506" t="n">
        <v>0.006644</v>
      </c>
      <c r="AC174" s="972" t="n">
        <v>22666616.0536209</v>
      </c>
      <c r="AD174" s="506" t="n">
        <v>0.001474</v>
      </c>
      <c r="AE174" s="972" t="n">
        <v>55616206.60687917</v>
      </c>
      <c r="AF174" s="506" t="n">
        <v>0.00103</v>
      </c>
      <c r="AG174" s="972" t="n">
        <v>87959082.54550746</v>
      </c>
      <c r="AH174" s="506" t="n">
        <v>0.000492</v>
      </c>
      <c r="AI174" s="972" t="n">
        <v>136541358.6925043</v>
      </c>
      <c r="AJ174" s="506" t="n">
        <v>0.001184</v>
      </c>
      <c r="AL174" s="972" t="n">
        <v>55223341.88910957</v>
      </c>
      <c r="AM174" s="506" t="n">
        <v>0.002676</v>
      </c>
      <c r="AN174" s="972" t="n">
        <v>41263667.26607043</v>
      </c>
      <c r="AO174" s="506" t="n">
        <v>0.00689</v>
      </c>
      <c r="AP174" s="972" t="n">
        <v>57339136.84436086</v>
      </c>
      <c r="AQ174" s="506" t="n">
        <v>0.001234</v>
      </c>
      <c r="AS174" s="972" t="n">
        <v>224.9143284648482</v>
      </c>
      <c r="AT174" s="531" t="n">
        <v>0.010656</v>
      </c>
      <c r="AU174" s="972" t="n">
        <v>221.6168483171175</v>
      </c>
      <c r="AV174" s="531" t="n">
        <v>0.010656</v>
      </c>
      <c r="BA174" s="972">
        <f>V174/1000000</f>
        <v/>
      </c>
      <c r="BB174" s="972">
        <f>W174</f>
        <v/>
      </c>
      <c r="BC174" s="972">
        <f>X174/1000000</f>
        <v/>
      </c>
      <c r="BD174" s="972">
        <f>Y174</f>
        <v/>
      </c>
    </row>
    <row r="175" ht="15" customHeight="1" s="508">
      <c r="S175" s="972" t="n"/>
      <c r="T175" s="972" t="n"/>
      <c r="U175" s="972" t="n"/>
      <c r="V175" s="972" t="n">
        <v>48422147.22489305</v>
      </c>
      <c r="W175" s="506" t="n">
        <v>0.010402</v>
      </c>
      <c r="X175" s="972" t="n">
        <v>47725958.94656268</v>
      </c>
      <c r="Y175" s="506" t="n">
        <v>0.010402</v>
      </c>
      <c r="AA175" s="972" t="n">
        <v>35010628.64512498</v>
      </c>
      <c r="AB175" s="506" t="n">
        <v>0.006486</v>
      </c>
      <c r="AC175" s="972" t="n">
        <v>23108496.45220983</v>
      </c>
      <c r="AD175" s="506" t="n">
        <v>0.00144</v>
      </c>
      <c r="AE175" s="972" t="n">
        <v>56952185.94123439</v>
      </c>
      <c r="AF175" s="506" t="n">
        <v>0.001006</v>
      </c>
      <c r="AG175" s="972" t="n">
        <v>90291214.28305838</v>
      </c>
      <c r="AH175" s="506" t="n">
        <v>0.00048</v>
      </c>
      <c r="AI175" s="972" t="n">
        <v>138144306.0827949</v>
      </c>
      <c r="AJ175" s="506" t="n">
        <v>0.001156</v>
      </c>
      <c r="AL175" s="972" t="n">
        <v>56206763.54760008</v>
      </c>
      <c r="AM175" s="506" t="n">
        <v>0.002612</v>
      </c>
      <c r="AN175" s="972" t="n">
        <v>42167493.93870206</v>
      </c>
      <c r="AO175" s="506" t="n">
        <v>0.006726</v>
      </c>
      <c r="AP175" s="972" t="n">
        <v>58943763.26066905</v>
      </c>
      <c r="AQ175" s="506" t="n">
        <v>0.001204</v>
      </c>
      <c r="AS175" s="972" t="n">
        <v>230.5515642743946</v>
      </c>
      <c r="AT175" s="531" t="n">
        <v>0.010402</v>
      </c>
      <c r="AU175" s="972" t="n">
        <v>226.1656799639973</v>
      </c>
      <c r="AV175" s="531" t="n">
        <v>0.010402</v>
      </c>
      <c r="BA175" s="972">
        <f>V175/1000000</f>
        <v/>
      </c>
      <c r="BB175" s="972">
        <f>W175</f>
        <v/>
      </c>
      <c r="BC175" s="972">
        <f>X175/1000000</f>
        <v/>
      </c>
      <c r="BD175" s="972">
        <f>Y175</f>
        <v/>
      </c>
    </row>
    <row r="176" ht="15" customHeight="1" s="508">
      <c r="S176" s="972" t="n"/>
      <c r="T176" s="972" t="n"/>
      <c r="U176" s="972" t="n"/>
      <c r="V176" s="972" t="n">
        <v>49486828.86211137</v>
      </c>
      <c r="W176" s="506" t="n">
        <v>0.01015</v>
      </c>
      <c r="X176" s="972" t="n">
        <v>48792738.55704934</v>
      </c>
      <c r="Y176" s="506" t="n">
        <v>0.01015</v>
      </c>
      <c r="AA176" s="972" t="n">
        <v>35615535.77589452</v>
      </c>
      <c r="AB176" s="506" t="n">
        <v>0.006328</v>
      </c>
      <c r="AC176" s="972" t="n">
        <v>23572042.81646405</v>
      </c>
      <c r="AD176" s="506" t="n">
        <v>0.001404</v>
      </c>
      <c r="AE176" s="972" t="n">
        <v>58280592.55108867</v>
      </c>
      <c r="AF176" s="506" t="n">
        <v>0.00098</v>
      </c>
      <c r="AG176" s="972" t="n">
        <v>91989187.96884972</v>
      </c>
      <c r="AH176" s="506" t="n">
        <v>0.000468</v>
      </c>
      <c r="AI176" s="972" t="n">
        <v>140445330.1459608</v>
      </c>
      <c r="AJ176" s="506" t="n">
        <v>0.001128</v>
      </c>
      <c r="AL176" s="972" t="n">
        <v>57597926.38870121</v>
      </c>
      <c r="AM176" s="506" t="n">
        <v>0.002548</v>
      </c>
      <c r="AN176" s="972" t="n">
        <v>43235854.58063746</v>
      </c>
      <c r="AO176" s="506" t="n">
        <v>0.006562</v>
      </c>
      <c r="AP176" s="972" t="n">
        <v>60689664.60916942</v>
      </c>
      <c r="AQ176" s="506" t="n">
        <v>0.001176</v>
      </c>
      <c r="AS176" s="972" t="n">
        <v>236.0648733245609</v>
      </c>
      <c r="AT176" s="531" t="n">
        <v>0.01015</v>
      </c>
      <c r="AU176" s="972" t="n">
        <v>231.8905538187071</v>
      </c>
      <c r="AV176" s="531" t="n">
        <v>0.01015</v>
      </c>
      <c r="BA176" s="972">
        <f>V176/1000000</f>
        <v/>
      </c>
      <c r="BB176" s="972">
        <f>W176</f>
        <v/>
      </c>
      <c r="BC176" s="972">
        <f>X176/1000000</f>
        <v/>
      </c>
      <c r="BD176" s="972">
        <f>Y176</f>
        <v/>
      </c>
    </row>
    <row r="177" ht="15" customHeight="1" s="508">
      <c r="S177" s="972" t="n"/>
      <c r="T177" s="972" t="n"/>
      <c r="U177" s="972" t="n"/>
      <c r="V177" s="972" t="n">
        <v>50614742.39549058</v>
      </c>
      <c r="W177" s="506" t="n">
        <v>0.009896</v>
      </c>
      <c r="X177" s="972" t="n">
        <v>49998175.34815432</v>
      </c>
      <c r="Y177" s="506" t="n">
        <v>0.009896</v>
      </c>
      <c r="AA177" s="972" t="n">
        <v>36296897.92479377</v>
      </c>
      <c r="AB177" s="506" t="n">
        <v>0.00617</v>
      </c>
      <c r="AC177" s="972" t="n">
        <v>24122002.93446434</v>
      </c>
      <c r="AD177" s="506" t="n">
        <v>0.00137</v>
      </c>
      <c r="AE177" s="972" t="n">
        <v>59884165.9445426</v>
      </c>
      <c r="AF177" s="506" t="n">
        <v>0.000956</v>
      </c>
      <c r="AG177" s="972" t="n">
        <v>93694709.83774659</v>
      </c>
      <c r="AH177" s="506" t="n">
        <v>0.000456</v>
      </c>
      <c r="AI177" s="972" t="n">
        <v>144282000.0677285</v>
      </c>
      <c r="AJ177" s="506" t="n">
        <v>0.0011</v>
      </c>
      <c r="AL177" s="972" t="n">
        <v>58743643.90385143</v>
      </c>
      <c r="AM177" s="506" t="n">
        <v>0.002484</v>
      </c>
      <c r="AN177" s="972" t="n">
        <v>44004193.89341748</v>
      </c>
      <c r="AO177" s="506" t="n">
        <v>0.006398</v>
      </c>
      <c r="AP177" s="972" t="n">
        <v>62335909.10004485</v>
      </c>
      <c r="AQ177" s="506" t="n">
        <v>0.001146</v>
      </c>
      <c r="AS177" s="972" t="n">
        <v>241.1863040625085</v>
      </c>
      <c r="AT177" s="531" t="n">
        <v>0.009896</v>
      </c>
      <c r="AU177" s="972" t="n">
        <v>237.6438631452278</v>
      </c>
      <c r="AV177" s="531" t="n">
        <v>0.009896</v>
      </c>
      <c r="BA177" s="972">
        <f>V177/1000000</f>
        <v/>
      </c>
      <c r="BB177" s="972">
        <f>W177</f>
        <v/>
      </c>
      <c r="BC177" s="972">
        <f>X177/1000000</f>
        <v/>
      </c>
      <c r="BD177" s="972">
        <f>Y177</f>
        <v/>
      </c>
    </row>
    <row r="178" ht="15" customHeight="1" s="508">
      <c r="S178" s="972" t="n"/>
      <c r="T178" s="972" t="n"/>
      <c r="U178" s="972" t="n"/>
      <c r="V178" s="972" t="n">
        <v>51900123.84559304</v>
      </c>
      <c r="W178" s="506" t="n">
        <v>0.009642</v>
      </c>
      <c r="X178" s="972" t="n">
        <v>51176858.18359797</v>
      </c>
      <c r="Y178" s="506" t="n">
        <v>0.009642</v>
      </c>
      <c r="AA178" s="972" t="n">
        <v>37010381.49812655</v>
      </c>
      <c r="AB178" s="506" t="n">
        <v>0.006012</v>
      </c>
      <c r="AC178" s="972" t="n">
        <v>24529583.47453441</v>
      </c>
      <c r="AD178" s="506" t="n">
        <v>0.001334</v>
      </c>
      <c r="AE178" s="972" t="n">
        <v>61837152.90795451</v>
      </c>
      <c r="AF178" s="506" t="n">
        <v>0.000932</v>
      </c>
      <c r="AG178" s="972" t="n">
        <v>94569825.89058347</v>
      </c>
      <c r="AH178" s="506" t="n">
        <v>0.000446</v>
      </c>
      <c r="AI178" s="972" t="n">
        <v>146726041.8701461</v>
      </c>
      <c r="AJ178" s="506" t="n">
        <v>0.001072</v>
      </c>
      <c r="AL178" s="972" t="n">
        <v>60222606.93948591</v>
      </c>
      <c r="AM178" s="506" t="n">
        <v>0.002422</v>
      </c>
      <c r="AN178" s="972" t="n">
        <v>45058359.77903342</v>
      </c>
      <c r="AO178" s="506" t="n">
        <v>0.006234</v>
      </c>
      <c r="AP178" s="972" t="n">
        <v>63537688.38118865</v>
      </c>
      <c r="AQ178" s="506" t="n">
        <v>0.001118</v>
      </c>
      <c r="AS178" s="972" t="n">
        <v>246.720038039037</v>
      </c>
      <c r="AT178" s="531" t="n">
        <v>0.009642</v>
      </c>
      <c r="AU178" s="972" t="n">
        <v>243.4697160743603</v>
      </c>
      <c r="AV178" s="531" t="n">
        <v>0.009642</v>
      </c>
      <c r="BA178" s="972">
        <f>V178/1000000</f>
        <v/>
      </c>
      <c r="BB178" s="972">
        <f>W178</f>
        <v/>
      </c>
      <c r="BC178" s="972">
        <f>X178/1000000</f>
        <v/>
      </c>
      <c r="BD178" s="972">
        <f>Y178</f>
        <v/>
      </c>
    </row>
    <row r="179" ht="15" customHeight="1" s="508">
      <c r="S179" s="972" t="n"/>
      <c r="T179" s="972" t="n"/>
      <c r="U179" s="972" t="n"/>
      <c r="V179" s="972" t="n">
        <v>53284246.31105173</v>
      </c>
      <c r="W179" s="506" t="n">
        <v>0.009388000000000001</v>
      </c>
      <c r="X179" s="972" t="n">
        <v>52436936.64657056</v>
      </c>
      <c r="Y179" s="506" t="n">
        <v>0.009388000000000001</v>
      </c>
      <c r="AA179" s="972" t="n">
        <v>37799719.71815391</v>
      </c>
      <c r="AB179" s="506" t="n">
        <v>0.005854</v>
      </c>
      <c r="AC179" s="972" t="n">
        <v>25065295.22995944</v>
      </c>
      <c r="AD179" s="506" t="n">
        <v>0.0013</v>
      </c>
      <c r="AE179" s="972" t="n">
        <v>62818353.80580992</v>
      </c>
      <c r="AF179" s="506" t="n">
        <v>0.000908</v>
      </c>
      <c r="AG179" s="972" t="n">
        <v>96455615.2205079</v>
      </c>
      <c r="AH179" s="506" t="n">
        <v>0.000434</v>
      </c>
      <c r="AI179" s="972" t="n">
        <v>149175904.4931001</v>
      </c>
      <c r="AJ179" s="506" t="n">
        <v>0.001044</v>
      </c>
      <c r="AL179" s="972" t="n">
        <v>61786477.58995585</v>
      </c>
      <c r="AM179" s="506" t="n">
        <v>0.002358</v>
      </c>
      <c r="AN179" s="972" t="n">
        <v>46228134.5692968</v>
      </c>
      <c r="AO179" s="506" t="n">
        <v>0.00607</v>
      </c>
      <c r="AP179" s="972" t="n">
        <v>64699773.57426904</v>
      </c>
      <c r="AQ179" s="506" t="n">
        <v>0.001088</v>
      </c>
      <c r="AS179" s="972" t="n">
        <v>253.4477034951246</v>
      </c>
      <c r="AT179" s="531" t="n">
        <v>0.009388000000000001</v>
      </c>
      <c r="AU179" s="972" t="n">
        <v>249.1322569603548</v>
      </c>
      <c r="AV179" s="531" t="n">
        <v>0.009388000000000001</v>
      </c>
      <c r="BA179" s="972">
        <f>V179/1000000</f>
        <v/>
      </c>
      <c r="BB179" s="972">
        <f>W179</f>
        <v/>
      </c>
      <c r="BC179" s="972">
        <f>X179/1000000</f>
        <v/>
      </c>
      <c r="BD179" s="972">
        <f>Y179</f>
        <v/>
      </c>
    </row>
    <row r="180" ht="15" customHeight="1" s="508">
      <c r="S180" s="972" t="n"/>
      <c r="T180" s="972" t="n"/>
      <c r="U180" s="972" t="n"/>
      <c r="V180" s="972" t="n">
        <v>54449468.75565149</v>
      </c>
      <c r="W180" s="506" t="n">
        <v>0.009134</v>
      </c>
      <c r="X180" s="972" t="n">
        <v>53827345.24161872</v>
      </c>
      <c r="Y180" s="506" t="n">
        <v>0.009134</v>
      </c>
      <c r="AA180" s="972" t="n">
        <v>38516451.75438407</v>
      </c>
      <c r="AB180" s="506" t="n">
        <v>0.005696</v>
      </c>
      <c r="AC180" s="972" t="n">
        <v>25704964.29579193</v>
      </c>
      <c r="AD180" s="506" t="n">
        <v>0.001264</v>
      </c>
      <c r="AE180" s="972" t="n">
        <v>64098828.52808096</v>
      </c>
      <c r="AF180" s="506" t="n">
        <v>0.000882</v>
      </c>
      <c r="AG180" s="972" t="n">
        <v>99936126.52983512</v>
      </c>
      <c r="AH180" s="506" t="n">
        <v>0.000422</v>
      </c>
      <c r="AI180" s="972" t="n">
        <v>152497736.0060634</v>
      </c>
      <c r="AJ180" s="506" t="n">
        <v>0.001016</v>
      </c>
      <c r="AL180" s="972" t="n">
        <v>63699980.82937331</v>
      </c>
      <c r="AM180" s="506" t="n">
        <v>0.002294</v>
      </c>
      <c r="AN180" s="972" t="n">
        <v>47725958.94656268</v>
      </c>
      <c r="AO180" s="506" t="n">
        <v>0.005906</v>
      </c>
      <c r="AP180" s="972" t="n">
        <v>65860485.9533104</v>
      </c>
      <c r="AQ180" s="506" t="n">
        <v>0.001058</v>
      </c>
      <c r="AS180" s="972" t="n">
        <v>259.3578182411824</v>
      </c>
      <c r="AT180" s="531" t="n">
        <v>0.009134</v>
      </c>
      <c r="AU180" s="972" t="n">
        <v>256.0148394652267</v>
      </c>
      <c r="AV180" s="531" t="n">
        <v>0.009134</v>
      </c>
      <c r="BA180" s="972">
        <f>V180/1000000</f>
        <v/>
      </c>
      <c r="BB180" s="972">
        <f>W180</f>
        <v/>
      </c>
      <c r="BC180" s="972">
        <f>X180/1000000</f>
        <v/>
      </c>
      <c r="BD180" s="972">
        <f>Y180</f>
        <v/>
      </c>
    </row>
    <row r="181" ht="15" customHeight="1" s="508">
      <c r="S181" s="972" t="n"/>
      <c r="T181" s="972" t="n"/>
      <c r="U181" s="972" t="n"/>
      <c r="V181" s="972" t="n">
        <v>55585014.46287096</v>
      </c>
      <c r="W181" s="506" t="n">
        <v>0.008881999999999999</v>
      </c>
      <c r="X181" s="972" t="n">
        <v>55007296.9900239</v>
      </c>
      <c r="Y181" s="506" t="n">
        <v>0.008881999999999999</v>
      </c>
      <c r="AA181" s="972" t="n">
        <v>39269898.69009451</v>
      </c>
      <c r="AB181" s="506" t="n">
        <v>0.005538</v>
      </c>
      <c r="AC181" s="972" t="n">
        <v>26185347.09848842</v>
      </c>
      <c r="AD181" s="506" t="n">
        <v>0.00123</v>
      </c>
      <c r="AE181" s="972" t="n">
        <v>65549815.87170902</v>
      </c>
      <c r="AF181" s="506" t="n">
        <v>0.000858</v>
      </c>
      <c r="AG181" s="972" t="n">
        <v>102827040.3669846</v>
      </c>
      <c r="AH181" s="506" t="n">
        <v>0.00041</v>
      </c>
      <c r="AI181" s="972" t="n">
        <v>155004196.8430607</v>
      </c>
      <c r="AJ181" s="506" t="n">
        <v>0.0009879999999999999</v>
      </c>
      <c r="AL181" s="972" t="n">
        <v>65280776.90464013</v>
      </c>
      <c r="AM181" s="506" t="n">
        <v>0.00223</v>
      </c>
      <c r="AN181" s="972" t="n">
        <v>48855127.8212465</v>
      </c>
      <c r="AO181" s="506" t="n">
        <v>0.005742</v>
      </c>
      <c r="AP181" s="972" t="n">
        <v>67067817.65809825</v>
      </c>
      <c r="AQ181" s="506" t="n">
        <v>0.00103</v>
      </c>
      <c r="AS181" s="972" t="n">
        <v>264.4339038343044</v>
      </c>
      <c r="AT181" s="531" t="n">
        <v>0.008881999999999999</v>
      </c>
      <c r="AU181" s="972" t="n">
        <v>261.8964388275938</v>
      </c>
      <c r="AV181" s="531" t="n">
        <v>0.008881999999999999</v>
      </c>
      <c r="BA181" s="972">
        <f>V181/1000000</f>
        <v/>
      </c>
      <c r="BB181" s="972">
        <f>W181</f>
        <v/>
      </c>
      <c r="BC181" s="972">
        <f>X181/1000000</f>
        <v/>
      </c>
      <c r="BD181" s="972">
        <f>Y181</f>
        <v/>
      </c>
    </row>
    <row r="182" ht="15" customHeight="1" s="508">
      <c r="S182" s="972" t="n"/>
      <c r="T182" s="972" t="n"/>
      <c r="U182" s="972" t="n"/>
      <c r="V182" s="972" t="n">
        <v>57174506.30339682</v>
      </c>
      <c r="W182" s="506" t="n">
        <v>0.008628</v>
      </c>
      <c r="X182" s="972" t="n">
        <v>56334306.55629884</v>
      </c>
      <c r="Y182" s="506" t="n">
        <v>0.008628</v>
      </c>
      <c r="AA182" s="972" t="n">
        <v>40106001.81901854</v>
      </c>
      <c r="AB182" s="506" t="n">
        <v>0.00538</v>
      </c>
      <c r="AC182" s="972" t="n">
        <v>26974423.36453203</v>
      </c>
      <c r="AD182" s="506" t="n">
        <v>0.001194</v>
      </c>
      <c r="AE182" s="972" t="n">
        <v>67166830.49726641</v>
      </c>
      <c r="AF182" s="506" t="n">
        <v>0.000834</v>
      </c>
      <c r="AG182" s="972" t="n">
        <v>105496789.0439187</v>
      </c>
      <c r="AH182" s="506" t="n">
        <v>0.000398</v>
      </c>
      <c r="AI182" s="972" t="n">
        <v>158927612.9426694</v>
      </c>
      <c r="AJ182" s="506" t="n">
        <v>0.00096</v>
      </c>
      <c r="AL182" s="972" t="n">
        <v>67166830.49726641</v>
      </c>
      <c r="AM182" s="506" t="n">
        <v>0.002166</v>
      </c>
      <c r="AN182" s="972" t="n">
        <v>50134532.03784303</v>
      </c>
      <c r="AO182" s="506" t="n">
        <v>0.005578</v>
      </c>
      <c r="AP182" s="972" t="n">
        <v>69335340.91356681</v>
      </c>
      <c r="AQ182" s="506" t="n">
        <v>0.001</v>
      </c>
      <c r="AS182" s="972" t="n">
        <v>271.9953851617234</v>
      </c>
      <c r="AT182" s="531" t="n">
        <v>0.008628</v>
      </c>
      <c r="AU182" s="972" t="n">
        <v>268.1241883604648</v>
      </c>
      <c r="AV182" s="531" t="n">
        <v>0.008628</v>
      </c>
      <c r="BA182" s="972">
        <f>V182/1000000</f>
        <v/>
      </c>
      <c r="BB182" s="972">
        <f>W182</f>
        <v/>
      </c>
      <c r="BC182" s="972">
        <f>X182/1000000</f>
        <v/>
      </c>
      <c r="BD182" s="972">
        <f>Y182</f>
        <v/>
      </c>
    </row>
    <row r="183" ht="15" customHeight="1" s="508">
      <c r="S183" s="972" t="n"/>
      <c r="T183" s="972" t="n"/>
      <c r="U183" s="972" t="n"/>
      <c r="V183" s="972" t="n">
        <v>58462861.71815735</v>
      </c>
      <c r="W183" s="506" t="n">
        <v>0.008373999999999999</v>
      </c>
      <c r="X183" s="972" t="n">
        <v>57781307.80643858</v>
      </c>
      <c r="Y183" s="506" t="n">
        <v>0.008373999999999999</v>
      </c>
      <c r="AA183" s="972" t="n">
        <v>40800394.29021148</v>
      </c>
      <c r="AB183" s="506" t="n">
        <v>0.005222</v>
      </c>
      <c r="AC183" s="972" t="n">
        <v>27432184.41931485</v>
      </c>
      <c r="AD183" s="506" t="n">
        <v>0.00116</v>
      </c>
      <c r="AE183" s="972" t="n">
        <v>69277604.95804106</v>
      </c>
      <c r="AF183" s="506" t="n">
        <v>0.00081</v>
      </c>
      <c r="AG183" s="972" t="n">
        <v>107832917.0187609</v>
      </c>
      <c r="AH183" s="506" t="n">
        <v>0.000388</v>
      </c>
      <c r="AI183" s="972" t="n">
        <v>162718913.4601346</v>
      </c>
      <c r="AJ183" s="506" t="n">
        <v>0.000932</v>
      </c>
      <c r="AL183" s="972" t="n">
        <v>69031763.29953891</v>
      </c>
      <c r="AM183" s="506" t="n">
        <v>0.002104</v>
      </c>
      <c r="AN183" s="972" t="n">
        <v>51380852.62418891</v>
      </c>
      <c r="AO183" s="506" t="n">
        <v>0.005414</v>
      </c>
      <c r="AP183" s="972" t="n">
        <v>71526198.442884</v>
      </c>
      <c r="AQ183" s="506" t="n">
        <v>0.0009700000000000001</v>
      </c>
      <c r="AS183" s="972" t="n">
        <v>279.005079995061</v>
      </c>
      <c r="AT183" s="531" t="n">
        <v>0.008373999999999999</v>
      </c>
      <c r="AU183" s="972" t="n">
        <v>275.3348778998177</v>
      </c>
      <c r="AV183" s="531" t="n">
        <v>0.008373999999999999</v>
      </c>
      <c r="BA183" s="972">
        <f>V183/1000000</f>
        <v/>
      </c>
      <c r="BB183" s="972">
        <f>W183</f>
        <v/>
      </c>
      <c r="BC183" s="972">
        <f>X183/1000000</f>
        <v/>
      </c>
      <c r="BD183" s="972">
        <f>Y183</f>
        <v/>
      </c>
    </row>
    <row r="184" ht="15" customHeight="1" s="508">
      <c r="S184" s="972" t="n"/>
      <c r="T184" s="972" t="n"/>
      <c r="U184" s="972" t="n"/>
      <c r="V184" s="972" t="n">
        <v>60012473.99826722</v>
      </c>
      <c r="W184" s="506" t="n">
        <v>0.00812</v>
      </c>
      <c r="X184" s="972" t="n">
        <v>59218901.33542132</v>
      </c>
      <c r="Y184" s="506" t="n">
        <v>0.00812</v>
      </c>
      <c r="AA184" s="972" t="n">
        <v>41504271.61524779</v>
      </c>
      <c r="AB184" s="506" t="n">
        <v>0.005064</v>
      </c>
      <c r="AC184" s="972" t="n">
        <v>28168902.37979783</v>
      </c>
      <c r="AD184" s="506" t="n">
        <v>0.001124</v>
      </c>
      <c r="AE184" s="972" t="n">
        <v>71232921.85848318</v>
      </c>
      <c r="AF184" s="506" t="n">
        <v>0.000786</v>
      </c>
      <c r="AG184" s="972" t="n">
        <v>108444268.0448536</v>
      </c>
      <c r="AH184" s="506" t="n">
        <v>0.000376</v>
      </c>
      <c r="AI184" s="972" t="n">
        <v>165586417.2194372</v>
      </c>
      <c r="AJ184" s="506" t="n">
        <v>0.000904</v>
      </c>
      <c r="AL184" s="972" t="n">
        <v>71349681.93413346</v>
      </c>
      <c r="AM184" s="506" t="n">
        <v>0.00204</v>
      </c>
      <c r="AN184" s="972" t="n">
        <v>52795017.83143982</v>
      </c>
      <c r="AO184" s="506" t="n">
        <v>0.00525</v>
      </c>
      <c r="AP184" s="972" t="n">
        <v>73264874.74289344</v>
      </c>
      <c r="AQ184" s="506" t="n">
        <v>0.000942</v>
      </c>
      <c r="AS184" s="972" t="n">
        <v>287.3739268651948</v>
      </c>
      <c r="AT184" s="531" t="n">
        <v>0.00812</v>
      </c>
      <c r="AU184" s="972" t="n">
        <v>283.1851562709132</v>
      </c>
      <c r="AV184" s="531" t="n">
        <v>0.00812</v>
      </c>
      <c r="BA184" s="972">
        <f>V184/1000000</f>
        <v/>
      </c>
      <c r="BB184" s="972">
        <f>W184</f>
        <v/>
      </c>
      <c r="BC184" s="972">
        <f>X184/1000000</f>
        <v/>
      </c>
      <c r="BD184" s="972">
        <f>Y184</f>
        <v/>
      </c>
    </row>
    <row r="185" ht="15" customHeight="1" s="508">
      <c r="S185" s="972" t="n"/>
      <c r="T185" s="972" t="n"/>
      <c r="U185" s="972" t="n"/>
      <c r="V185" s="972" t="n">
        <v>61663993.58832584</v>
      </c>
      <c r="W185" s="506" t="n">
        <v>0.007866</v>
      </c>
      <c r="X185" s="972" t="n">
        <v>60743664.31896829</v>
      </c>
      <c r="Y185" s="506" t="n">
        <v>0.007866</v>
      </c>
      <c r="AA185" s="972" t="n">
        <v>42489989.1376656</v>
      </c>
      <c r="AB185" s="506" t="n">
        <v>0.004906</v>
      </c>
      <c r="AC185" s="972" t="n">
        <v>28974308.58550877</v>
      </c>
      <c r="AD185" s="506" t="n">
        <v>0.00109</v>
      </c>
      <c r="AE185" s="972" t="n">
        <v>73797023.24224894</v>
      </c>
      <c r="AF185" s="506" t="n">
        <v>0.00076</v>
      </c>
      <c r="AG185" s="972" t="n">
        <v>111475471.4493755</v>
      </c>
      <c r="AH185" s="506" t="n">
        <v>0.000364</v>
      </c>
      <c r="AI185" s="972" t="n">
        <v>170243683.9000789</v>
      </c>
      <c r="AJ185" s="506" t="n">
        <v>0.000876</v>
      </c>
      <c r="AL185" s="972" t="n">
        <v>73178642.86383629</v>
      </c>
      <c r="AM185" s="506" t="n">
        <v>0.001976</v>
      </c>
      <c r="AN185" s="972" t="n">
        <v>54167957.74020922</v>
      </c>
      <c r="AO185" s="506" t="n">
        <v>0.005086</v>
      </c>
      <c r="AP185" s="972" t="n">
        <v>75217854.61890861</v>
      </c>
      <c r="AQ185" s="506" t="n">
        <v>0.0009120000000000001</v>
      </c>
      <c r="AS185" s="972" t="n">
        <v>294.839422023114</v>
      </c>
      <c r="AT185" s="531" t="n">
        <v>0.007866</v>
      </c>
      <c r="AU185" s="972" t="n">
        <v>291.6492177341274</v>
      </c>
      <c r="AV185" s="531" t="n">
        <v>0.007866</v>
      </c>
      <c r="BA185" s="972">
        <f>V185/1000000</f>
        <v/>
      </c>
      <c r="BB185" s="972">
        <f>W185</f>
        <v/>
      </c>
      <c r="BC185" s="972">
        <f>X185/1000000</f>
        <v/>
      </c>
      <c r="BD185" s="972">
        <f>Y185</f>
        <v/>
      </c>
    </row>
    <row r="186" ht="15" customHeight="1" s="508">
      <c r="S186" s="972" t="n"/>
      <c r="T186" s="972" t="n"/>
      <c r="U186" s="972" t="n"/>
      <c r="V186" s="972" t="n">
        <v>63396336.29582199</v>
      </c>
      <c r="W186" s="506" t="n">
        <v>0.007612</v>
      </c>
      <c r="X186" s="972" t="n">
        <v>62359582.68141197</v>
      </c>
      <c r="Y186" s="506" t="n">
        <v>0.007612</v>
      </c>
      <c r="AA186" s="972" t="n">
        <v>43515214.07393988</v>
      </c>
      <c r="AB186" s="506" t="n">
        <v>0.004748</v>
      </c>
      <c r="AC186" s="972" t="n">
        <v>29551554.73954829</v>
      </c>
      <c r="AD186" s="506" t="n">
        <v>0.001054</v>
      </c>
      <c r="AE186" s="972" t="n">
        <v>75851565.91459708</v>
      </c>
      <c r="AF186" s="506" t="n">
        <v>0.000736</v>
      </c>
      <c r="AG186" s="972" t="n">
        <v>112910839.2301559</v>
      </c>
      <c r="AH186" s="506" t="n">
        <v>0.000352</v>
      </c>
      <c r="AI186" s="972" t="n">
        <v>172839613.4045515</v>
      </c>
      <c r="AJ186" s="506" t="n">
        <v>0.000846</v>
      </c>
      <c r="AL186" s="972" t="n">
        <v>74821037.41851752</v>
      </c>
      <c r="AM186" s="506" t="n">
        <v>0.001912</v>
      </c>
      <c r="AN186" s="972" t="n">
        <v>55484489.03490972</v>
      </c>
      <c r="AO186" s="506" t="n">
        <v>0.004922</v>
      </c>
      <c r="AP186" s="972" t="n">
        <v>77126501.64785732</v>
      </c>
      <c r="AQ186" s="506" t="n">
        <v>0.000882</v>
      </c>
      <c r="AS186" s="972" t="n">
        <v>302.7984127571481</v>
      </c>
      <c r="AT186" s="531" t="n">
        <v>0.007612</v>
      </c>
      <c r="AU186" s="972" t="n">
        <v>298.7883081717039</v>
      </c>
      <c r="AV186" s="531" t="n">
        <v>0.007612</v>
      </c>
      <c r="BA186" s="972">
        <f>V186/1000000</f>
        <v/>
      </c>
      <c r="BB186" s="972">
        <f>W186</f>
        <v/>
      </c>
      <c r="BC186" s="972">
        <f>X186/1000000</f>
        <v/>
      </c>
      <c r="BD186" s="972">
        <f>Y186</f>
        <v/>
      </c>
    </row>
    <row r="187" ht="15" customHeight="1" s="508">
      <c r="S187" s="972" t="n"/>
      <c r="T187" s="972" t="n"/>
      <c r="U187" s="972" t="n"/>
      <c r="V187" s="972" t="n">
        <v>65230111.22991802</v>
      </c>
      <c r="W187" s="506" t="n">
        <v>0.00736</v>
      </c>
      <c r="X187" s="972" t="n">
        <v>64280850.26601917</v>
      </c>
      <c r="Y187" s="506" t="n">
        <v>0.00736</v>
      </c>
      <c r="AA187" s="972" t="n">
        <v>44442368.62342218</v>
      </c>
      <c r="AB187" s="506" t="n">
        <v>0.00459</v>
      </c>
      <c r="AC187" s="972" t="n">
        <v>30272766.0434508</v>
      </c>
      <c r="AD187" s="506" t="n">
        <v>0.00102</v>
      </c>
      <c r="AE187" s="972" t="n">
        <v>78718612.95334414</v>
      </c>
      <c r="AF187" s="506" t="n">
        <v>0.000712</v>
      </c>
      <c r="AG187" s="972" t="n">
        <v>115396813.9812624</v>
      </c>
      <c r="AH187" s="506" t="n">
        <v>0.00034</v>
      </c>
      <c r="AI187" s="972" t="n">
        <v>175675379.2674229</v>
      </c>
      <c r="AJ187" s="506" t="n">
        <v>0.000818</v>
      </c>
      <c r="AL187" s="972" t="n">
        <v>76836814.52744305</v>
      </c>
      <c r="AM187" s="506" t="n">
        <v>0.001848</v>
      </c>
      <c r="AN187" s="972" t="n">
        <v>57174506.30339682</v>
      </c>
      <c r="AO187" s="506" t="n">
        <v>0.004758</v>
      </c>
      <c r="AP187" s="972" t="n">
        <v>79268727.85855167</v>
      </c>
      <c r="AQ187" s="506" t="n">
        <v>0.000854</v>
      </c>
      <c r="AS187" s="972" t="n">
        <v>311.7893176920072</v>
      </c>
      <c r="AT187" s="531" t="n">
        <v>0.00736</v>
      </c>
      <c r="AU187" s="972" t="n">
        <v>306.9467237849492</v>
      </c>
      <c r="AV187" s="531" t="n">
        <v>0.00736</v>
      </c>
      <c r="BA187" s="972">
        <f>V187/1000000</f>
        <v/>
      </c>
      <c r="BB187" s="972">
        <f>W187</f>
        <v/>
      </c>
      <c r="BC187" s="972">
        <f>X187/1000000</f>
        <v/>
      </c>
      <c r="BD187" s="972">
        <f>Y187</f>
        <v/>
      </c>
    </row>
    <row r="188" ht="15" customHeight="1" s="508">
      <c r="S188" s="972" t="n"/>
      <c r="T188" s="972" t="n"/>
      <c r="U188" s="972" t="n"/>
      <c r="V188" s="972" t="n">
        <v>66934268.80783617</v>
      </c>
      <c r="W188" s="506" t="n">
        <v>0.007106</v>
      </c>
      <c r="X188" s="972" t="n">
        <v>66050428.05180199</v>
      </c>
      <c r="Y188" s="506" t="n">
        <v>0.007106</v>
      </c>
      <c r="AA188" s="972" t="n">
        <v>45681476.19415714</v>
      </c>
      <c r="AB188" s="506" t="n">
        <v>0.00443</v>
      </c>
      <c r="AC188" s="972" t="n">
        <v>30934762.89017744</v>
      </c>
      <c r="AD188" s="506" t="n">
        <v>0.0009840000000000001</v>
      </c>
      <c r="AE188" s="972" t="n">
        <v>80386497.82262143</v>
      </c>
      <c r="AF188" s="506" t="n">
        <v>0.000688</v>
      </c>
      <c r="AG188" s="972" t="n">
        <v>118349850.2713203</v>
      </c>
      <c r="AH188" s="506" t="n">
        <v>0.000328</v>
      </c>
      <c r="AI188" s="972" t="n">
        <v>178038175.2282179</v>
      </c>
      <c r="AJ188" s="506" t="n">
        <v>0.00079</v>
      </c>
      <c r="AL188" s="972" t="n">
        <v>79326558.63515861</v>
      </c>
      <c r="AM188" s="506" t="n">
        <v>0.001784</v>
      </c>
      <c r="AN188" s="972" t="n">
        <v>58713655.67541212</v>
      </c>
      <c r="AO188" s="506" t="n">
        <v>0.004594</v>
      </c>
      <c r="AP188" s="972" t="n">
        <v>81779121.63305816</v>
      </c>
      <c r="AQ188" s="506" t="n">
        <v>0.000824</v>
      </c>
      <c r="AS188" s="972" t="n">
        <v>320.2913654750082</v>
      </c>
      <c r="AT188" s="531" t="n">
        <v>0.007106</v>
      </c>
      <c r="AU188" s="972" t="n">
        <v>315.4389781501937</v>
      </c>
      <c r="AV188" s="531" t="n">
        <v>0.007106</v>
      </c>
      <c r="BA188" s="972">
        <f>V188/1000000</f>
        <v/>
      </c>
      <c r="BB188" s="972">
        <f>W188</f>
        <v/>
      </c>
      <c r="BC188" s="972">
        <f>X188/1000000</f>
        <v/>
      </c>
      <c r="BD188" s="972">
        <f>Y188</f>
        <v/>
      </c>
    </row>
    <row r="189" ht="15" customHeight="1" s="508">
      <c r="S189" s="972" t="n"/>
      <c r="T189" s="972" t="n"/>
      <c r="U189" s="972" t="n"/>
      <c r="V189" s="972" t="n">
        <v>69290889.43909279</v>
      </c>
      <c r="W189" s="506" t="n">
        <v>0.006852</v>
      </c>
      <c r="X189" s="972" t="n">
        <v>67896983.33051617</v>
      </c>
      <c r="Y189" s="506" t="n">
        <v>0.006852</v>
      </c>
      <c r="AA189" s="972" t="n">
        <v>47318093.20786537</v>
      </c>
      <c r="AB189" s="506" t="n">
        <v>0.004272</v>
      </c>
      <c r="AC189" s="972" t="n">
        <v>31566831.52323394</v>
      </c>
      <c r="AD189" s="506" t="n">
        <v>0.0009479999999999999</v>
      </c>
      <c r="AE189" s="972" t="n">
        <v>82565813.13887629</v>
      </c>
      <c r="AF189" s="506" t="n">
        <v>0.000662</v>
      </c>
      <c r="AG189" s="972" t="n">
        <v>119678406.8736455</v>
      </c>
      <c r="AH189" s="506" t="n">
        <v>0.000318</v>
      </c>
      <c r="AI189" s="972" t="n">
        <v>180803825.5279537</v>
      </c>
      <c r="AJ189" s="506" t="n">
        <v>0.000762</v>
      </c>
      <c r="AL189" s="972" t="n">
        <v>81607699.46666162</v>
      </c>
      <c r="AM189" s="506" t="n">
        <v>0.001722</v>
      </c>
      <c r="AN189" s="972" t="n">
        <v>60234470.81532121</v>
      </c>
      <c r="AO189" s="506" t="n">
        <v>0.00443</v>
      </c>
      <c r="AP189" s="972" t="n">
        <v>83817472.8496443</v>
      </c>
      <c r="AQ189" s="506" t="n">
        <v>0.000794</v>
      </c>
      <c r="AS189" s="972" t="n">
        <v>330.1141307273655</v>
      </c>
      <c r="AT189" s="531" t="n">
        <v>0.006852</v>
      </c>
      <c r="AU189" s="972" t="n">
        <v>324.9310367089894</v>
      </c>
      <c r="AV189" s="531" t="n">
        <v>0.006852</v>
      </c>
      <c r="BA189" s="972">
        <f>V189/1000000</f>
        <v/>
      </c>
      <c r="BB189" s="972">
        <f>W189</f>
        <v/>
      </c>
      <c r="BC189" s="972">
        <f>X189/1000000</f>
        <v/>
      </c>
      <c r="BD189" s="972">
        <f>Y189</f>
        <v/>
      </c>
    </row>
    <row r="190" ht="15" customHeight="1" s="508">
      <c r="S190" s="972" t="n"/>
      <c r="T190" s="972" t="n"/>
      <c r="U190" s="972" t="n"/>
      <c r="V190" s="972" t="n">
        <v>71415837.30620889</v>
      </c>
      <c r="W190" s="506" t="n">
        <v>0.006598</v>
      </c>
      <c r="X190" s="972" t="n">
        <v>70282515.48223934</v>
      </c>
      <c r="Y190" s="506" t="n">
        <v>0.006598</v>
      </c>
      <c r="AA190" s="972" t="n">
        <v>48710883.77306626</v>
      </c>
      <c r="AB190" s="506" t="n">
        <v>0.004114</v>
      </c>
      <c r="AC190" s="972" t="n">
        <v>32243720.38552453</v>
      </c>
      <c r="AD190" s="506" t="n">
        <v>0.000914</v>
      </c>
      <c r="AE190" s="972" t="n">
        <v>85336747.62538967</v>
      </c>
      <c r="AF190" s="506" t="n">
        <v>0.000638</v>
      </c>
      <c r="AG190" s="972" t="n">
        <v>122872912.7911658</v>
      </c>
      <c r="AH190" s="506" t="n">
        <v>0.000306</v>
      </c>
      <c r="AI190" s="972" t="n">
        <v>184661498.5506859</v>
      </c>
      <c r="AJ190" s="506" t="n">
        <v>0.000734</v>
      </c>
      <c r="AL190" s="972" t="n">
        <v>84050212.66206205</v>
      </c>
      <c r="AM190" s="506" t="n">
        <v>0.001658</v>
      </c>
      <c r="AN190" s="972" t="n">
        <v>61839917.03917036</v>
      </c>
      <c r="AO190" s="506" t="n">
        <v>0.004266</v>
      </c>
      <c r="AP190" s="972" t="n">
        <v>86222619.73211659</v>
      </c>
      <c r="AQ190" s="506" t="n">
        <v>0.000766</v>
      </c>
      <c r="AS190" s="972" t="n">
        <v>338.3883328227083</v>
      </c>
      <c r="AT190" s="531" t="n">
        <v>0.006598</v>
      </c>
      <c r="AU190" s="972" t="n">
        <v>334.402607892055</v>
      </c>
      <c r="AV190" s="531" t="n">
        <v>0.006598</v>
      </c>
      <c r="BA190" s="972">
        <f>V190/1000000</f>
        <v/>
      </c>
      <c r="BB190" s="972">
        <f>W190</f>
        <v/>
      </c>
      <c r="BC190" s="972">
        <f>X190/1000000</f>
        <v/>
      </c>
      <c r="BD190" s="972">
        <f>Y190</f>
        <v/>
      </c>
    </row>
    <row r="191" ht="15" customHeight="1" s="508">
      <c r="S191" s="972" t="n"/>
      <c r="T191" s="972" t="n"/>
      <c r="U191" s="972" t="n"/>
      <c r="V191" s="972" t="n">
        <v>73681689.00342344</v>
      </c>
      <c r="W191" s="506" t="n">
        <v>0.006344</v>
      </c>
      <c r="X191" s="972" t="n">
        <v>72530938.56245764</v>
      </c>
      <c r="Y191" s="506" t="n">
        <v>0.006344</v>
      </c>
      <c r="AA191" s="972" t="n">
        <v>49932219.84217343</v>
      </c>
      <c r="AB191" s="506" t="n">
        <v>0.003956</v>
      </c>
      <c r="AC191" s="972" t="n">
        <v>33672617.00023679</v>
      </c>
      <c r="AD191" s="506" t="n">
        <v>0.000878</v>
      </c>
      <c r="AE191" s="972" t="n">
        <v>87368611.98586044</v>
      </c>
      <c r="AF191" s="506" t="n">
        <v>0.000614</v>
      </c>
      <c r="AG191" s="972" t="n">
        <v>125461500.5859264</v>
      </c>
      <c r="AH191" s="506" t="n">
        <v>0.000294</v>
      </c>
      <c r="AI191" s="972" t="n">
        <v>186940135.0910979</v>
      </c>
      <c r="AJ191" s="506" t="n">
        <v>0.000706</v>
      </c>
      <c r="AL191" s="972" t="n">
        <v>86440547.88986249</v>
      </c>
      <c r="AM191" s="506" t="n">
        <v>0.001594</v>
      </c>
      <c r="AN191" s="972" t="n">
        <v>63721906.98220372</v>
      </c>
      <c r="AO191" s="506" t="n">
        <v>0.004102</v>
      </c>
      <c r="AP191" s="972" t="n">
        <v>88717793.825716</v>
      </c>
      <c r="AQ191" s="506" t="n">
        <v>0.000736</v>
      </c>
      <c r="AS191" s="972" t="n">
        <v>349.6428399741157</v>
      </c>
      <c r="AT191" s="531" t="n">
        <v>0.006344</v>
      </c>
      <c r="AU191" s="972" t="n">
        <v>344.9473248932031</v>
      </c>
      <c r="AV191" s="531" t="n">
        <v>0.006344</v>
      </c>
      <c r="BA191" s="972">
        <f>V191/1000000</f>
        <v/>
      </c>
      <c r="BB191" s="972">
        <f>W191</f>
        <v/>
      </c>
      <c r="BC191" s="972">
        <f>X191/1000000</f>
        <v/>
      </c>
      <c r="BD191" s="972">
        <f>Y191</f>
        <v/>
      </c>
    </row>
    <row r="192" ht="15" customHeight="1" s="508">
      <c r="S192" s="972" t="n"/>
      <c r="T192" s="972" t="n"/>
      <c r="U192" s="972" t="n"/>
      <c r="V192" s="972" t="n">
        <v>75848786.37413593</v>
      </c>
      <c r="W192" s="506" t="n">
        <v>0.00609</v>
      </c>
      <c r="X192" s="972" t="n">
        <v>74691005.9675118</v>
      </c>
      <c r="Y192" s="506" t="n">
        <v>0.00609</v>
      </c>
      <c r="AA192" s="972" t="n">
        <v>51275850.54535365</v>
      </c>
      <c r="AB192" s="506" t="n">
        <v>0.003798</v>
      </c>
      <c r="AC192" s="972" t="n">
        <v>34397604.09909758</v>
      </c>
      <c r="AD192" s="506" t="n">
        <v>0.000844</v>
      </c>
      <c r="AE192" s="972" t="n">
        <v>89637101.91202071</v>
      </c>
      <c r="AF192" s="506" t="n">
        <v>0.00059</v>
      </c>
      <c r="AG192" s="972" t="n">
        <v>129109268.39951</v>
      </c>
      <c r="AH192" s="506" t="n">
        <v>0.000282</v>
      </c>
      <c r="AI192" s="972" t="n">
        <v>191010540.5671191</v>
      </c>
      <c r="AJ192" s="506" t="n">
        <v>0.000678</v>
      </c>
      <c r="AL192" s="972" t="n">
        <v>89285469.05533019</v>
      </c>
      <c r="AM192" s="506" t="n">
        <v>0.00153</v>
      </c>
      <c r="AN192" s="972" t="n">
        <v>65758112.00030001</v>
      </c>
      <c r="AO192" s="506" t="n">
        <v>0.003938</v>
      </c>
      <c r="AP192" s="972" t="n">
        <v>91848030.95272759</v>
      </c>
      <c r="AQ192" s="506" t="n">
        <v>0.000706</v>
      </c>
      <c r="AS192" s="972" t="n">
        <v>360.8452983501973</v>
      </c>
      <c r="AT192" s="531" t="n">
        <v>0.00609</v>
      </c>
      <c r="AU192" s="972" t="n">
        <v>355.987905579312</v>
      </c>
      <c r="AV192" s="531" t="n">
        <v>0.00609</v>
      </c>
      <c r="BA192" s="972">
        <f>V192/1000000</f>
        <v/>
      </c>
      <c r="BB192" s="972">
        <f>W192</f>
        <v/>
      </c>
      <c r="BC192" s="972">
        <f>X192/1000000</f>
        <v/>
      </c>
      <c r="BD192" s="972">
        <f>Y192</f>
        <v/>
      </c>
    </row>
    <row r="193" ht="15" customHeight="1" s="508">
      <c r="S193" s="972" t="n"/>
      <c r="T193" s="972" t="n"/>
      <c r="U193" s="972" t="n"/>
      <c r="V193" s="972" t="n">
        <v>78106191.56579942</v>
      </c>
      <c r="W193" s="506" t="n">
        <v>0.005838</v>
      </c>
      <c r="X193" s="972" t="n">
        <v>76905087.88942745</v>
      </c>
      <c r="Y193" s="506" t="n">
        <v>0.005838</v>
      </c>
      <c r="AA193" s="972" t="n">
        <v>52792758.34152578</v>
      </c>
      <c r="AB193" s="506" t="n">
        <v>0.00364</v>
      </c>
      <c r="AC193" s="972" t="n">
        <v>35906705.62500001</v>
      </c>
      <c r="AD193" s="506" t="n">
        <v>0.000808</v>
      </c>
      <c r="AE193" s="972" t="n">
        <v>93009606.57316032</v>
      </c>
      <c r="AF193" s="506" t="n">
        <v>0.000566</v>
      </c>
      <c r="AG193" s="972" t="n">
        <v>135123239.0361546</v>
      </c>
      <c r="AH193" s="506" t="n">
        <v>0.00027</v>
      </c>
      <c r="AI193" s="972" t="n">
        <v>194028928.6739031</v>
      </c>
      <c r="AJ193" s="506" t="n">
        <v>0.00065</v>
      </c>
      <c r="AL193" s="972" t="n">
        <v>92158919.14682868</v>
      </c>
      <c r="AM193" s="506" t="n">
        <v>0.001466</v>
      </c>
      <c r="AN193" s="972" t="n">
        <v>67886431.22861028</v>
      </c>
      <c r="AO193" s="506" t="n">
        <v>0.003774</v>
      </c>
      <c r="AP193" s="972" t="n">
        <v>93772157.07622735</v>
      </c>
      <c r="AQ193" s="506" t="n">
        <v>0.000678</v>
      </c>
      <c r="AS193" s="972" t="n">
        <v>371.0835977096472</v>
      </c>
      <c r="AT193" s="531" t="n">
        <v>0.005838</v>
      </c>
      <c r="AU193" s="972" t="n">
        <v>366.6309517603224</v>
      </c>
      <c r="AV193" s="531" t="n">
        <v>0.005838</v>
      </c>
      <c r="BA193" s="972">
        <f>V193/1000000</f>
        <v/>
      </c>
      <c r="BB193" s="972">
        <f>W193</f>
        <v/>
      </c>
      <c r="BC193" s="972">
        <f>X193/1000000</f>
        <v/>
      </c>
      <c r="BD193" s="972">
        <f>Y193</f>
        <v/>
      </c>
    </row>
    <row r="194" ht="15" customHeight="1" s="508">
      <c r="S194" s="972" t="n"/>
      <c r="T194" s="972" t="n"/>
      <c r="U194" s="972" t="n"/>
      <c r="V194" s="972" t="n">
        <v>80733807.38357608</v>
      </c>
      <c r="W194" s="506" t="n">
        <v>0.005584</v>
      </c>
      <c r="X194" s="972" t="n">
        <v>79333392.38578969</v>
      </c>
      <c r="Y194" s="506" t="n">
        <v>0.005584</v>
      </c>
      <c r="AA194" s="972" t="n">
        <v>54541763.21141851</v>
      </c>
      <c r="AB194" s="506" t="n">
        <v>0.003482</v>
      </c>
      <c r="AC194" s="972" t="n">
        <v>36829063.74387158</v>
      </c>
      <c r="AD194" s="506" t="n">
        <v>0.0007739999999999999</v>
      </c>
      <c r="AE194" s="972" t="n">
        <v>98370393.86462261</v>
      </c>
      <c r="AF194" s="506" t="n">
        <v>0.00054</v>
      </c>
      <c r="AG194" s="972" t="n">
        <v>145308832.0404118</v>
      </c>
      <c r="AH194" s="506" t="n">
        <v>0.00026</v>
      </c>
      <c r="AI194" s="972" t="n">
        <v>199526072.0354396</v>
      </c>
      <c r="AJ194" s="506" t="n">
        <v>0.000622</v>
      </c>
      <c r="AL194" s="972" t="n">
        <v>95524876.17367293</v>
      </c>
      <c r="AM194" s="506" t="n">
        <v>0.001404</v>
      </c>
      <c r="AN194" s="972" t="n">
        <v>70392805.09913775</v>
      </c>
      <c r="AO194" s="506" t="n">
        <v>0.00361</v>
      </c>
      <c r="AP194" s="972" t="n">
        <v>96927089.30802025</v>
      </c>
      <c r="AQ194" s="506" t="n">
        <v>0.000648</v>
      </c>
      <c r="AS194" s="972" t="n">
        <v>383.4975581378015</v>
      </c>
      <c r="AT194" s="531" t="n">
        <v>0.005584</v>
      </c>
      <c r="AU194" s="972" t="n">
        <v>378.5916135863606</v>
      </c>
      <c r="AV194" s="531" t="n">
        <v>0.005584</v>
      </c>
      <c r="BA194" s="972">
        <f>V194/1000000</f>
        <v/>
      </c>
      <c r="BB194" s="972">
        <f>W194</f>
        <v/>
      </c>
      <c r="BC194" s="972">
        <f>X194/1000000</f>
        <v/>
      </c>
      <c r="BD194" s="972">
        <f>Y194</f>
        <v/>
      </c>
    </row>
    <row r="195" ht="15" customHeight="1" s="508">
      <c r="S195" s="972" t="n"/>
      <c r="T195" s="972" t="n"/>
      <c r="U195" s="972" t="n"/>
      <c r="V195" s="972" t="n">
        <v>83188770.89704359</v>
      </c>
      <c r="W195" s="506" t="n">
        <v>0.00533</v>
      </c>
      <c r="X195" s="972" t="n">
        <v>82149168.58739616</v>
      </c>
      <c r="Y195" s="506" t="n">
        <v>0.00533</v>
      </c>
      <c r="AA195" s="972" t="n">
        <v>56234504.33358772</v>
      </c>
      <c r="AB195" s="506" t="n">
        <v>0.003324</v>
      </c>
      <c r="AC195" s="972" t="n">
        <v>38109542.98310152</v>
      </c>
      <c r="AD195" s="506" t="n">
        <v>0.000738</v>
      </c>
      <c r="AE195" s="972" t="n">
        <v>100993396.4977343</v>
      </c>
      <c r="AF195" s="506" t="n">
        <v>0.000516</v>
      </c>
      <c r="AG195" s="972" t="n">
        <v>148684561.3916203</v>
      </c>
      <c r="AH195" s="506" t="n">
        <v>0.000248</v>
      </c>
      <c r="AI195" s="972" t="n">
        <v>203722511.2988789</v>
      </c>
      <c r="AJ195" s="506" t="n">
        <v>0.000594</v>
      </c>
      <c r="AL195" s="972" t="n">
        <v>98136188.98095348</v>
      </c>
      <c r="AM195" s="506" t="n">
        <v>0.00134</v>
      </c>
      <c r="AN195" s="972" t="n">
        <v>72799422.57132639</v>
      </c>
      <c r="AO195" s="506" t="n">
        <v>0.003446</v>
      </c>
      <c r="AP195" s="972" t="n">
        <v>100623185.4686456</v>
      </c>
      <c r="AQ195" s="506" t="n">
        <v>0.000618</v>
      </c>
      <c r="AS195" s="972" t="n">
        <v>396.2562845169836</v>
      </c>
      <c r="AT195" s="531" t="n">
        <v>0.00533</v>
      </c>
      <c r="AU195" s="972" t="n">
        <v>391.1845035619355</v>
      </c>
      <c r="AV195" s="531" t="n">
        <v>0.00533</v>
      </c>
      <c r="BA195" s="972">
        <f>V195/1000000</f>
        <v/>
      </c>
      <c r="BB195" s="972">
        <f>W195</f>
        <v/>
      </c>
      <c r="BC195" s="972">
        <f>X195/1000000</f>
        <v/>
      </c>
      <c r="BD195" s="972">
        <f>Y195</f>
        <v/>
      </c>
    </row>
    <row r="196" ht="15" customHeight="1" s="508">
      <c r="S196" s="972" t="n"/>
      <c r="T196" s="972" t="n"/>
      <c r="U196" s="972" t="n"/>
      <c r="V196" s="972" t="n">
        <v>86222619.73211659</v>
      </c>
      <c r="W196" s="506" t="n">
        <v>0.005076</v>
      </c>
      <c r="X196" s="972" t="n">
        <v>84975096.94188665</v>
      </c>
      <c r="Y196" s="506" t="n">
        <v>0.005076</v>
      </c>
      <c r="AA196" s="972" t="n">
        <v>58273562.89152123</v>
      </c>
      <c r="AB196" s="506" t="n">
        <v>0.003166</v>
      </c>
      <c r="AC196" s="972" t="n">
        <v>39535803.72274898</v>
      </c>
      <c r="AD196" s="506" t="n">
        <v>0.000704</v>
      </c>
      <c r="AE196" s="972" t="n">
        <v>105628032.9235292</v>
      </c>
      <c r="AF196" s="506" t="n">
        <v>0.000492</v>
      </c>
      <c r="AG196" s="972" t="n">
        <v>155678293.3211005</v>
      </c>
      <c r="AH196" s="506" t="n">
        <v>0.000236</v>
      </c>
      <c r="AI196" s="972" t="n">
        <v>209946024.2676641</v>
      </c>
      <c r="AJ196" s="506" t="n">
        <v>0.000566</v>
      </c>
      <c r="AL196" s="972" t="n">
        <v>101959401.0430318</v>
      </c>
      <c r="AM196" s="506" t="n">
        <v>0.001276</v>
      </c>
      <c r="AN196" s="972" t="n">
        <v>75149285.03579515</v>
      </c>
      <c r="AO196" s="506" t="n">
        <v>0.003282</v>
      </c>
      <c r="AP196" s="972" t="n">
        <v>103717310.9881374</v>
      </c>
      <c r="AQ196" s="506" t="n">
        <v>0.00059</v>
      </c>
      <c r="AS196" s="972" t="n">
        <v>411.1739432879522</v>
      </c>
      <c r="AT196" s="531" t="n">
        <v>0.005076</v>
      </c>
      <c r="AU196" s="972" t="n">
        <v>404.9814043084084</v>
      </c>
      <c r="AV196" s="531" t="n">
        <v>0.005076</v>
      </c>
      <c r="BA196" s="972">
        <f>V196/1000000</f>
        <v/>
      </c>
      <c r="BB196" s="972">
        <f>W196</f>
        <v/>
      </c>
      <c r="BC196" s="972">
        <f>X196/1000000</f>
        <v/>
      </c>
      <c r="BD196" s="972">
        <f>Y196</f>
        <v/>
      </c>
    </row>
    <row r="197" ht="15" customHeight="1" s="508">
      <c r="S197" s="972" t="n"/>
      <c r="T197" s="972" t="n"/>
      <c r="U197" s="972" t="n"/>
      <c r="V197" s="972" t="n">
        <v>89588252.06115496</v>
      </c>
      <c r="W197" s="506" t="n">
        <v>0.004822</v>
      </c>
      <c r="X197" s="972" t="n">
        <v>88580836.39887725</v>
      </c>
      <c r="Y197" s="506" t="n">
        <v>0.004822</v>
      </c>
      <c r="AA197" s="972" t="n">
        <v>59912572.33040446</v>
      </c>
      <c r="AB197" s="506" t="n">
        <v>0.003008</v>
      </c>
      <c r="AC197" s="972" t="n">
        <v>40636297.18329686</v>
      </c>
      <c r="AD197" s="506" t="n">
        <v>0.000668</v>
      </c>
      <c r="AE197" s="972" t="n">
        <v>108858708.3892888</v>
      </c>
      <c r="AF197" s="506" t="n">
        <v>0.000468</v>
      </c>
      <c r="AG197" s="972" t="n">
        <v>158993152.757289</v>
      </c>
      <c r="AH197" s="506" t="n">
        <v>0.000224</v>
      </c>
      <c r="AI197" s="972" t="n">
        <v>216046733.816931</v>
      </c>
      <c r="AJ197" s="506" t="n">
        <v>0.000538</v>
      </c>
      <c r="AL197" s="972" t="n">
        <v>105678381.9090723</v>
      </c>
      <c r="AM197" s="506" t="n">
        <v>0.001212</v>
      </c>
      <c r="AN197" s="972" t="n">
        <v>77897544.58656539</v>
      </c>
      <c r="AO197" s="506" t="n">
        <v>0.003118</v>
      </c>
      <c r="AP197" s="972" t="n">
        <v>106057441.6860246</v>
      </c>
      <c r="AQ197" s="506" t="n">
        <v>0.00056</v>
      </c>
      <c r="AS197" s="972" t="n">
        <v>428.5494752305336</v>
      </c>
      <c r="AT197" s="531" t="n">
        <v>0.004822</v>
      </c>
      <c r="AU197" s="972" t="n">
        <v>421.4480640252997</v>
      </c>
      <c r="AV197" s="531" t="n">
        <v>0.004822</v>
      </c>
      <c r="BA197" s="972">
        <f>V197/1000000</f>
        <v/>
      </c>
      <c r="BB197" s="972">
        <f>W197</f>
        <v/>
      </c>
      <c r="BC197" s="972">
        <f>X197/1000000</f>
        <v/>
      </c>
      <c r="BD197" s="972">
        <f>Y197</f>
        <v/>
      </c>
    </row>
    <row r="198" ht="15" customHeight="1" s="508">
      <c r="S198" s="972" t="n"/>
      <c r="T198" s="972" t="n"/>
      <c r="U198" s="972" t="n"/>
      <c r="V198" s="972" t="n">
        <v>92740198.79085985</v>
      </c>
      <c r="W198" s="506" t="n">
        <v>0.004568</v>
      </c>
      <c r="X198" s="972" t="n">
        <v>91820840.08428466</v>
      </c>
      <c r="Y198" s="506" t="n">
        <v>0.004568</v>
      </c>
      <c r="AA198" s="972" t="n">
        <v>61800251.54405395</v>
      </c>
      <c r="AB198" s="506" t="n">
        <v>0.00285</v>
      </c>
      <c r="AC198" s="972" t="n">
        <v>42107682.46445739</v>
      </c>
      <c r="AD198" s="506" t="n">
        <v>0.000634</v>
      </c>
      <c r="AE198" s="972" t="n">
        <v>112715409.4307023</v>
      </c>
      <c r="AF198" s="506" t="n">
        <v>0.000442</v>
      </c>
      <c r="AG198" s="972" t="n">
        <v>163574302.8037834</v>
      </c>
      <c r="AH198" s="506" t="n">
        <v>0.000212</v>
      </c>
      <c r="AI198" s="972" t="n">
        <v>222453579.3364704</v>
      </c>
      <c r="AJ198" s="506" t="n">
        <v>0.00051</v>
      </c>
      <c r="AL198" s="972" t="n">
        <v>109309039.1099359</v>
      </c>
      <c r="AM198" s="506" t="n">
        <v>0.001148</v>
      </c>
      <c r="AN198" s="972" t="n">
        <v>80427555.96556474</v>
      </c>
      <c r="AO198" s="506" t="n">
        <v>0.002954</v>
      </c>
      <c r="AP198" s="972" t="n">
        <v>110179342.6578932</v>
      </c>
      <c r="AQ198" s="506" t="n">
        <v>0.00053</v>
      </c>
      <c r="AS198" s="972" t="n">
        <v>445.0305895444412</v>
      </c>
      <c r="AT198" s="531" t="n">
        <v>0.004568</v>
      </c>
      <c r="AU198" s="972" t="n">
        <v>438.0470812052941</v>
      </c>
      <c r="AV198" s="531" t="n">
        <v>0.004568</v>
      </c>
      <c r="BA198" s="972">
        <f>V198/1000000</f>
        <v/>
      </c>
      <c r="BB198" s="972">
        <f>W198</f>
        <v/>
      </c>
      <c r="BC198" s="972">
        <f>X198/1000000</f>
        <v/>
      </c>
      <c r="BD198" s="972">
        <f>Y198</f>
        <v/>
      </c>
    </row>
    <row r="199" ht="15" customHeight="1" s="508">
      <c r="S199" s="972" t="n"/>
      <c r="T199" s="972" t="n"/>
      <c r="U199" s="972" t="n"/>
      <c r="V199" s="972" t="n">
        <v>96462693.75114924</v>
      </c>
      <c r="W199" s="506" t="n">
        <v>0.004316</v>
      </c>
      <c r="X199" s="972" t="n">
        <v>95389130.45882136</v>
      </c>
      <c r="Y199" s="506" t="n">
        <v>0.004316</v>
      </c>
      <c r="AA199" s="972" t="n">
        <v>63926284.50143693</v>
      </c>
      <c r="AB199" s="506" t="n">
        <v>0.002692</v>
      </c>
      <c r="AC199" s="972" t="n">
        <v>43309732.39566456</v>
      </c>
      <c r="AD199" s="506" t="n">
        <v>0.000598</v>
      </c>
      <c r="AE199" s="972" t="n">
        <v>117041903.6540927</v>
      </c>
      <c r="AF199" s="506" t="n">
        <v>0.000418</v>
      </c>
      <c r="AG199" s="972" t="n">
        <v>168157616.0888041</v>
      </c>
      <c r="AH199" s="506" t="n">
        <v>0.0002</v>
      </c>
      <c r="AI199" s="972" t="n">
        <v>227937730.3879574</v>
      </c>
      <c r="AJ199" s="506" t="n">
        <v>0.000482</v>
      </c>
      <c r="AL199" s="972" t="n">
        <v>114039288.8915188</v>
      </c>
      <c r="AM199" s="506" t="n">
        <v>0.001084</v>
      </c>
      <c r="AN199" s="972" t="n">
        <v>83255018.14569935</v>
      </c>
      <c r="AO199" s="506" t="n">
        <v>0.00279</v>
      </c>
      <c r="AP199" s="972" t="n">
        <v>113556738.0236472</v>
      </c>
      <c r="AQ199" s="506" t="n">
        <v>0.000502</v>
      </c>
      <c r="AS199" s="972" t="n">
        <v>462.9621131927358</v>
      </c>
      <c r="AT199" s="531" t="n">
        <v>0.004316</v>
      </c>
      <c r="AU199" s="972" t="n">
        <v>456.2239313406167</v>
      </c>
      <c r="AV199" s="531" t="n">
        <v>0.004316</v>
      </c>
      <c r="BA199" s="972">
        <f>V199/1000000</f>
        <v/>
      </c>
      <c r="BB199" s="972">
        <f>W199</f>
        <v/>
      </c>
      <c r="BC199" s="972">
        <f>X199/1000000</f>
        <v/>
      </c>
      <c r="BD199" s="972">
        <f>Y199</f>
        <v/>
      </c>
    </row>
    <row r="200" ht="15" customHeight="1" s="508">
      <c r="S200" s="972" t="n"/>
      <c r="T200" s="972" t="n"/>
      <c r="U200" s="972" t="n"/>
      <c r="V200" s="972" t="n">
        <v>100782395.5645872</v>
      </c>
      <c r="W200" s="506" t="n">
        <v>0.004062</v>
      </c>
      <c r="X200" s="972" t="n">
        <v>99704281.97042134</v>
      </c>
      <c r="Y200" s="506" t="n">
        <v>0.004062</v>
      </c>
      <c r="AA200" s="972" t="n">
        <v>66387050.00434811</v>
      </c>
      <c r="AB200" s="506" t="n">
        <v>0.002534</v>
      </c>
      <c r="AC200" s="972" t="n">
        <v>44683729.44935503</v>
      </c>
      <c r="AD200" s="506" t="n">
        <v>0.000564</v>
      </c>
      <c r="AE200" s="972" t="n">
        <v>123689100.0881596</v>
      </c>
      <c r="AF200" s="506" t="n">
        <v>0.000394</v>
      </c>
      <c r="AG200" s="972" t="n">
        <v>171480965.9411701</v>
      </c>
      <c r="AH200" s="506" t="n">
        <v>0.00019</v>
      </c>
      <c r="AI200" s="972" t="n">
        <v>236420652.3780216</v>
      </c>
      <c r="AJ200" s="506" t="n">
        <v>0.000454</v>
      </c>
      <c r="AL200" s="972" t="n">
        <v>118663342.7382252</v>
      </c>
      <c r="AM200" s="506" t="n">
        <v>0.001022</v>
      </c>
      <c r="AN200" s="972" t="n">
        <v>87691920.00638555</v>
      </c>
      <c r="AO200" s="506" t="n">
        <v>0.002626</v>
      </c>
      <c r="AP200" s="972" t="n">
        <v>116437397.7277082</v>
      </c>
      <c r="AQ200" s="506" t="n">
        <v>0.000472</v>
      </c>
      <c r="AS200" s="972" t="n">
        <v>482.9477557586449</v>
      </c>
      <c r="AT200" s="531" t="n">
        <v>0.004062</v>
      </c>
      <c r="AU200" s="972" t="n">
        <v>476.3932918598592</v>
      </c>
      <c r="AV200" s="531" t="n">
        <v>0.004062</v>
      </c>
      <c r="BA200" s="972">
        <f>V200/1000000</f>
        <v/>
      </c>
      <c r="BB200" s="972">
        <f>W200</f>
        <v/>
      </c>
      <c r="BC200" s="972">
        <f>X200/1000000</f>
        <v/>
      </c>
      <c r="BD200" s="972">
        <f>Y200</f>
        <v/>
      </c>
    </row>
    <row r="201" ht="15" customHeight="1" s="508">
      <c r="S201" s="972" t="n"/>
      <c r="T201" s="972" t="n"/>
      <c r="U201" s="972" t="n"/>
      <c r="V201" s="972" t="n">
        <v>105295807.3061045</v>
      </c>
      <c r="W201" s="506" t="n">
        <v>0.003808</v>
      </c>
      <c r="X201" s="972" t="n">
        <v>104481836.4696791</v>
      </c>
      <c r="Y201" s="506" t="n">
        <v>0.003808</v>
      </c>
      <c r="AA201" s="972" t="n">
        <v>69338701.87540148</v>
      </c>
      <c r="AB201" s="506" t="n">
        <v>0.002376</v>
      </c>
      <c r="AC201" s="972" t="n">
        <v>46532475.35449322</v>
      </c>
      <c r="AD201" s="506" t="n">
        <v>0.000528</v>
      </c>
      <c r="AE201" s="972" t="n">
        <v>130191258.5623868</v>
      </c>
      <c r="AF201" s="506" t="n">
        <v>0.00037</v>
      </c>
      <c r="AG201" s="972" t="n">
        <v>181527470.6906745</v>
      </c>
      <c r="AH201" s="506" t="n">
        <v>0.000178</v>
      </c>
      <c r="AI201" s="972" t="n">
        <v>248033226.7808203</v>
      </c>
      <c r="AJ201" s="506" t="n">
        <v>0.000424</v>
      </c>
      <c r="AL201" s="972" t="n">
        <v>124129020.916773</v>
      </c>
      <c r="AM201" s="506" t="n">
        <v>0.000958</v>
      </c>
      <c r="AN201" s="972" t="n">
        <v>91130314.1928941</v>
      </c>
      <c r="AO201" s="506" t="n">
        <v>0.002462</v>
      </c>
      <c r="AP201" s="972" t="n">
        <v>121257063.3104701</v>
      </c>
      <c r="AQ201" s="506" t="n">
        <v>0.000442</v>
      </c>
      <c r="AS201" s="972" t="n">
        <v>503.6747664776506</v>
      </c>
      <c r="AT201" s="531" t="n">
        <v>0.003808</v>
      </c>
      <c r="AU201" s="972" t="n">
        <v>495.3359249787287</v>
      </c>
      <c r="AV201" s="531" t="n">
        <v>0.003808</v>
      </c>
      <c r="BA201" s="972">
        <f>V201/1000000</f>
        <v/>
      </c>
      <c r="BB201" s="972">
        <f>W201</f>
        <v/>
      </c>
      <c r="BC201" s="972">
        <f>X201/1000000</f>
        <v/>
      </c>
      <c r="BD201" s="972">
        <f>Y201</f>
        <v/>
      </c>
    </row>
    <row r="202" ht="15" customHeight="1" s="508">
      <c r="S202" s="972" t="n"/>
      <c r="T202" s="972" t="n"/>
      <c r="U202" s="972" t="n"/>
      <c r="V202" s="972" t="n">
        <v>109780484.1900142</v>
      </c>
      <c r="W202" s="506" t="n">
        <v>0.003554</v>
      </c>
      <c r="X202" s="972" t="n">
        <v>108444268.0448536</v>
      </c>
      <c r="Y202" s="506" t="n">
        <v>0.003554</v>
      </c>
      <c r="AA202" s="972" t="n">
        <v>71928589.85691975</v>
      </c>
      <c r="AB202" s="506" t="n">
        <v>0.002216</v>
      </c>
      <c r="AC202" s="972" t="n">
        <v>48270729.53938437</v>
      </c>
      <c r="AD202" s="506" t="n">
        <v>0.000494</v>
      </c>
      <c r="AE202" s="972" t="n">
        <v>135736266.5757956</v>
      </c>
      <c r="AF202" s="506" t="n">
        <v>0.000346</v>
      </c>
      <c r="AG202" s="972" t="n">
        <v>191920895.7341767</v>
      </c>
      <c r="AH202" s="506" t="n">
        <v>0.000166</v>
      </c>
      <c r="AI202" s="972" t="n">
        <v>257317160.380723</v>
      </c>
      <c r="AJ202" s="506" t="n">
        <v>0.000396</v>
      </c>
      <c r="AL202" s="972" t="n">
        <v>128867820.7957842</v>
      </c>
      <c r="AM202" s="506" t="n">
        <v>0.000894</v>
      </c>
      <c r="AN202" s="972" t="n">
        <v>95116007.82354957</v>
      </c>
      <c r="AO202" s="506" t="n">
        <v>0.002298</v>
      </c>
      <c r="AP202" s="972" t="n">
        <v>127429535.8701158</v>
      </c>
      <c r="AQ202" s="506" t="n">
        <v>0.000414</v>
      </c>
      <c r="AS202" s="972" t="n">
        <v>523.0919437402939</v>
      </c>
      <c r="AT202" s="531" t="n">
        <v>0.003554</v>
      </c>
      <c r="AU202" s="972" t="n">
        <v>516.6452432400929</v>
      </c>
      <c r="AV202" s="531" t="n">
        <v>0.003554</v>
      </c>
      <c r="BA202" s="972">
        <f>V202/1000000</f>
        <v/>
      </c>
      <c r="BB202" s="972">
        <f>W202</f>
        <v/>
      </c>
      <c r="BC202" s="972">
        <f>X202/1000000</f>
        <v/>
      </c>
      <c r="BD202" s="972">
        <f>Y202</f>
        <v/>
      </c>
    </row>
    <row r="203" ht="15" customHeight="1" s="508">
      <c r="S203" s="972" t="n"/>
      <c r="T203" s="972" t="n"/>
      <c r="U203" s="972" t="n"/>
      <c r="V203" s="972" t="n">
        <v>115028696.7384186</v>
      </c>
      <c r="W203" s="506" t="n">
        <v>0.0033</v>
      </c>
      <c r="X203" s="972" t="n">
        <v>113694018.5898827</v>
      </c>
      <c r="Y203" s="506" t="n">
        <v>0.0033</v>
      </c>
      <c r="AA203" s="972" t="n">
        <v>75004846.24882576</v>
      </c>
      <c r="AB203" s="506" t="n">
        <v>0.002058</v>
      </c>
      <c r="AC203" s="972" t="n">
        <v>50746756.13129039</v>
      </c>
      <c r="AD203" s="506" t="n">
        <v>0.000458</v>
      </c>
      <c r="AE203" s="972" t="n">
        <v>142227222.9553505</v>
      </c>
      <c r="AF203" s="506" t="n">
        <v>0.00032</v>
      </c>
      <c r="AG203" s="972" t="n">
        <v>197720600.3063351</v>
      </c>
      <c r="AH203" s="506" t="n">
        <v>0.000154</v>
      </c>
      <c r="AI203" s="972" t="n">
        <v>267630030.6532213</v>
      </c>
      <c r="AJ203" s="506" t="n">
        <v>0.000368</v>
      </c>
      <c r="AL203" s="972" t="n">
        <v>136783263.4345117</v>
      </c>
      <c r="AM203" s="506" t="n">
        <v>0.00083</v>
      </c>
      <c r="AN203" s="972" t="n">
        <v>100357749.1713207</v>
      </c>
      <c r="AO203" s="506" t="n">
        <v>0.002134</v>
      </c>
      <c r="AP203" s="972" t="n">
        <v>136968625.3055354</v>
      </c>
      <c r="AQ203" s="506" t="n">
        <v>0.000384</v>
      </c>
      <c r="AS203" s="972" t="n">
        <v>545.5887138902259</v>
      </c>
      <c r="AT203" s="531" t="n">
        <v>0.0033</v>
      </c>
      <c r="AU203" s="972" t="n">
        <v>539.8352305786642</v>
      </c>
      <c r="AV203" s="531" t="n">
        <v>0.0033</v>
      </c>
      <c r="BA203" s="972">
        <f>V203/1000000</f>
        <v/>
      </c>
      <c r="BB203" s="972">
        <f>W203</f>
        <v/>
      </c>
      <c r="BC203" s="972">
        <f>X203/1000000</f>
        <v/>
      </c>
      <c r="BD203" s="972">
        <f>Y203</f>
        <v/>
      </c>
    </row>
    <row r="204" ht="15" customHeight="1" s="508">
      <c r="S204" s="972" t="n"/>
      <c r="T204" s="972" t="n"/>
      <c r="U204" s="972" t="n"/>
      <c r="V204" s="972" t="n">
        <v>119949214.2663343</v>
      </c>
      <c r="W204" s="506" t="n">
        <v>0.003046</v>
      </c>
      <c r="X204" s="972" t="n">
        <v>118860918.1603642</v>
      </c>
      <c r="Y204" s="506" t="n">
        <v>0.003046</v>
      </c>
      <c r="AA204" s="972" t="n">
        <v>78216092.92415217</v>
      </c>
      <c r="AB204" s="506" t="n">
        <v>0.0019</v>
      </c>
      <c r="AC204" s="972" t="n">
        <v>53790539.14893482</v>
      </c>
      <c r="AD204" s="506" t="n">
        <v>0.000424</v>
      </c>
      <c r="AE204" s="972" t="n">
        <v>145803661.3621921</v>
      </c>
      <c r="AF204" s="506" t="n">
        <v>0.000296</v>
      </c>
      <c r="AG204" s="972" t="n">
        <v>209676063.0280644</v>
      </c>
      <c r="AH204" s="506" t="n">
        <v>0.000142</v>
      </c>
      <c r="AI204" s="972" t="n">
        <v>280292782.6609435</v>
      </c>
      <c r="AJ204" s="506" t="n">
        <v>0.00034</v>
      </c>
      <c r="AL204" s="972" t="n">
        <v>144544206.6750049</v>
      </c>
      <c r="AM204" s="506" t="n">
        <v>0.000766</v>
      </c>
      <c r="AN204" s="972" t="n">
        <v>105712163.1004935</v>
      </c>
      <c r="AO204" s="506" t="n">
        <v>0.00197</v>
      </c>
      <c r="AP204" s="972" t="n">
        <v>146779643.3500695</v>
      </c>
      <c r="AQ204" s="506" t="n">
        <v>0.000354</v>
      </c>
      <c r="AS204" s="972" t="n">
        <v>577.3960063573693</v>
      </c>
      <c r="AT204" s="531" t="n">
        <v>0.003046</v>
      </c>
      <c r="AU204" s="972" t="n">
        <v>567.4984103636125</v>
      </c>
      <c r="AV204" s="531" t="n">
        <v>0.003046</v>
      </c>
      <c r="BA204" s="972">
        <f>V204/1000000</f>
        <v/>
      </c>
      <c r="BB204" s="972">
        <f>W204</f>
        <v/>
      </c>
      <c r="BC204" s="972">
        <f>X204/1000000</f>
        <v/>
      </c>
      <c r="BD204" s="972">
        <f>Y204</f>
        <v/>
      </c>
    </row>
    <row r="205" ht="15" customHeight="1" s="508">
      <c r="S205" s="972" t="n"/>
      <c r="T205" s="972" t="n"/>
      <c r="U205" s="972" t="n"/>
      <c r="V205" s="972" t="n">
        <v>125796813.8597389</v>
      </c>
      <c r="W205" s="506" t="n">
        <v>0.002794</v>
      </c>
      <c r="X205" s="972" t="n">
        <v>124659409.5921607</v>
      </c>
      <c r="Y205" s="506" t="n">
        <v>0.002794</v>
      </c>
      <c r="AA205" s="972" t="n">
        <v>81602560.85751867</v>
      </c>
      <c r="AB205" s="506" t="n">
        <v>0.001742</v>
      </c>
      <c r="AC205" s="972" t="n">
        <v>56483056.52434782</v>
      </c>
      <c r="AD205" s="506" t="n">
        <v>0.000388</v>
      </c>
      <c r="AE205" s="972" t="n">
        <v>154711153.5767723</v>
      </c>
      <c r="AF205" s="506" t="n">
        <v>0.000272</v>
      </c>
      <c r="AG205" s="972" t="n">
        <v>227421131.5773351</v>
      </c>
      <c r="AH205" s="506" t="n">
        <v>0.000132</v>
      </c>
      <c r="AI205" s="972" t="n">
        <v>299199507.4447185</v>
      </c>
      <c r="AJ205" s="506" t="n">
        <v>0.000312</v>
      </c>
      <c r="AL205" s="972" t="n">
        <v>153513424.5711334</v>
      </c>
      <c r="AM205" s="506" t="n">
        <v>0.000704</v>
      </c>
      <c r="AN205" s="972" t="n">
        <v>111761047.9895941</v>
      </c>
      <c r="AO205" s="506" t="n">
        <v>0.001806</v>
      </c>
      <c r="AP205" s="972" t="n">
        <v>157236311.3339467</v>
      </c>
      <c r="AQ205" s="506" t="n">
        <v>0.000326</v>
      </c>
      <c r="AS205" s="972" t="n">
        <v>608.7990525073345</v>
      </c>
      <c r="AT205" s="531" t="n">
        <v>0.002794</v>
      </c>
      <c r="AU205" s="972" t="n">
        <v>600.7526980098781</v>
      </c>
      <c r="AV205" s="531" t="n">
        <v>0.002794</v>
      </c>
      <c r="BA205" s="972">
        <f>V205/1000000</f>
        <v/>
      </c>
      <c r="BB205" s="972">
        <f>W205</f>
        <v/>
      </c>
      <c r="BC205" s="972">
        <f>X205/1000000</f>
        <v/>
      </c>
      <c r="BD205" s="972">
        <f>Y205</f>
        <v/>
      </c>
    </row>
    <row r="206" ht="15" customHeight="1" s="508">
      <c r="S206" s="972" t="n"/>
      <c r="T206" s="972" t="n"/>
      <c r="U206" s="972" t="n"/>
      <c r="V206" s="972" t="n">
        <v>133580687.7590413</v>
      </c>
      <c r="W206" s="506" t="n">
        <v>0.00254</v>
      </c>
      <c r="X206" s="972" t="n">
        <v>131938488.2107407</v>
      </c>
      <c r="Y206" s="506" t="n">
        <v>0.00254</v>
      </c>
      <c r="AA206" s="972" t="n">
        <v>86212599.11446767</v>
      </c>
      <c r="AB206" s="506" t="n">
        <v>0.001584</v>
      </c>
      <c r="AC206" s="972" t="n">
        <v>58797668.42411318</v>
      </c>
      <c r="AD206" s="506" t="n">
        <v>0.000354</v>
      </c>
      <c r="AE206" s="972" t="n">
        <v>160680900.1021408</v>
      </c>
      <c r="AF206" s="506" t="n">
        <v>0.000248</v>
      </c>
      <c r="AG206" s="972" t="n">
        <v>236970378.2363309</v>
      </c>
      <c r="AH206" s="506" t="n">
        <v>0.00012</v>
      </c>
      <c r="AI206" s="972" t="n">
        <v>313134345.5125918</v>
      </c>
      <c r="AJ206" s="506" t="n">
        <v>0.000284</v>
      </c>
      <c r="AL206" s="972" t="n">
        <v>162462109.373757</v>
      </c>
      <c r="AM206" s="506" t="n">
        <v>0.0006400000000000001</v>
      </c>
      <c r="AN206" s="972" t="n">
        <v>117361815.7705417</v>
      </c>
      <c r="AO206" s="506" t="n">
        <v>0.001642</v>
      </c>
      <c r="AP206" s="972" t="n">
        <v>170619060.0516816</v>
      </c>
      <c r="AQ206" s="506" t="n">
        <v>0.000296</v>
      </c>
      <c r="AS206" s="972" t="n">
        <v>641.9751032919211</v>
      </c>
      <c r="AT206" s="531" t="n">
        <v>0.00254</v>
      </c>
      <c r="AU206" s="972" t="n">
        <v>636.2856999796614</v>
      </c>
      <c r="AV206" s="531" t="n">
        <v>0.00254</v>
      </c>
      <c r="BA206" s="972">
        <f>V206/1000000</f>
        <v/>
      </c>
      <c r="BB206" s="972">
        <f>W206</f>
        <v/>
      </c>
      <c r="BC206" s="972">
        <f>X206/1000000</f>
        <v/>
      </c>
      <c r="BD206" s="972">
        <f>Y206</f>
        <v/>
      </c>
    </row>
    <row r="207" ht="15" customHeight="1" s="508">
      <c r="S207" s="972" t="n"/>
      <c r="T207" s="972" t="n"/>
      <c r="U207" s="972" t="n"/>
      <c r="V207" s="972" t="n">
        <v>141768962.5210916</v>
      </c>
      <c r="W207" s="506" t="n">
        <v>0.002286</v>
      </c>
      <c r="X207" s="972" t="n">
        <v>139845262.6812199</v>
      </c>
      <c r="Y207" s="506" t="n">
        <v>0.002286</v>
      </c>
      <c r="AA207" s="972" t="n">
        <v>90403796.002784</v>
      </c>
      <c r="AB207" s="506" t="n">
        <v>0.001426</v>
      </c>
      <c r="AC207" s="972" t="n">
        <v>63821482.74116182</v>
      </c>
      <c r="AD207" s="506" t="n">
        <v>0.000318</v>
      </c>
      <c r="AE207" s="972" t="n">
        <v>170720861.9753994</v>
      </c>
      <c r="AF207" s="506" t="n">
        <v>0.000222</v>
      </c>
      <c r="AG207" s="972" t="n">
        <v>247958189.8900662</v>
      </c>
      <c r="AH207" s="506" t="n">
        <v>0.000108</v>
      </c>
      <c r="AI207" s="972" t="n">
        <v>328014795.1143006</v>
      </c>
      <c r="AJ207" s="506" t="n">
        <v>0.000256</v>
      </c>
      <c r="AL207" s="972" t="n">
        <v>170720861.9753994</v>
      </c>
      <c r="AM207" s="506" t="n">
        <v>0.000576</v>
      </c>
      <c r="AN207" s="972" t="n">
        <v>124011576.6756051</v>
      </c>
      <c r="AO207" s="506" t="n">
        <v>0.001478</v>
      </c>
      <c r="AP207" s="972" t="n">
        <v>181591833.0119489</v>
      </c>
      <c r="AQ207" s="506" t="n">
        <v>0.000266</v>
      </c>
      <c r="AS207" s="972" t="n">
        <v>678.9817045909384</v>
      </c>
      <c r="AT207" s="531" t="n">
        <v>0.002286</v>
      </c>
      <c r="AU207" s="972" t="n">
        <v>671.1119721085241</v>
      </c>
      <c r="AV207" s="531" t="n">
        <v>0.002286</v>
      </c>
      <c r="BA207" s="972">
        <f>V207/1000000</f>
        <v/>
      </c>
      <c r="BB207" s="972">
        <f>W207</f>
        <v/>
      </c>
      <c r="BC207" s="972">
        <f>X207/1000000</f>
        <v/>
      </c>
      <c r="BD207" s="972">
        <f>Y207</f>
        <v/>
      </c>
    </row>
    <row r="208" ht="15" customHeight="1" s="508">
      <c r="S208" s="972" t="n"/>
      <c r="T208" s="972" t="n"/>
      <c r="U208" s="972" t="n"/>
      <c r="V208" s="972" t="n">
        <v>152497736.0060634</v>
      </c>
      <c r="W208" s="506" t="n">
        <v>0.002032</v>
      </c>
      <c r="X208" s="972" t="n">
        <v>150362575.1220634</v>
      </c>
      <c r="Y208" s="506" t="n">
        <v>0.002032</v>
      </c>
      <c r="AA208" s="972" t="n">
        <v>95689344.30887775</v>
      </c>
      <c r="AB208" s="506" t="n">
        <v>0.001268</v>
      </c>
      <c r="AC208" s="972" t="n">
        <v>67018687.07085191</v>
      </c>
      <c r="AD208" s="506" t="n">
        <v>0.000284</v>
      </c>
      <c r="AE208" s="972" t="n">
        <v>178596300.2265821</v>
      </c>
      <c r="AF208" s="506" t="n">
        <v>0.000198</v>
      </c>
      <c r="AG208" s="972" t="n">
        <v>272371570.136077</v>
      </c>
      <c r="AH208" s="506" t="n">
        <v>9.6e-05</v>
      </c>
      <c r="AI208" s="972" t="n">
        <v>352622383.2694725</v>
      </c>
      <c r="AJ208" s="506" t="n">
        <v>0.000228</v>
      </c>
      <c r="AL208" s="972" t="n">
        <v>180174821.6468878</v>
      </c>
      <c r="AM208" s="506" t="n">
        <v>0.000512</v>
      </c>
      <c r="AN208" s="972" t="n">
        <v>131338590.076201</v>
      </c>
      <c r="AO208" s="506" t="n">
        <v>0.001314</v>
      </c>
      <c r="AP208" s="972" t="n">
        <v>188244589.8590905</v>
      </c>
      <c r="AQ208" s="506" t="n">
        <v>0.000238</v>
      </c>
      <c r="AS208" s="972" t="n">
        <v>731.9591940026993</v>
      </c>
      <c r="AT208" s="531" t="n">
        <v>0.002032</v>
      </c>
      <c r="AU208" s="972" t="n">
        <v>726.6893614583024</v>
      </c>
      <c r="AV208" s="531" t="n">
        <v>0.002032</v>
      </c>
      <c r="BA208" s="972">
        <f>V208/1000000</f>
        <v/>
      </c>
      <c r="BB208" s="972">
        <f>W208</f>
        <v/>
      </c>
      <c r="BC208" s="972">
        <f>X208/1000000</f>
        <v/>
      </c>
      <c r="BD208" s="972">
        <f>Y208</f>
        <v/>
      </c>
    </row>
    <row r="209" ht="15" customHeight="1" s="508">
      <c r="S209" s="972" t="n"/>
      <c r="T209" s="972" t="n"/>
      <c r="U209" s="972" t="n"/>
      <c r="V209" s="972" t="n">
        <v>164350012.7699705</v>
      </c>
      <c r="W209" s="506" t="n">
        <v>0.001778</v>
      </c>
      <c r="X209" s="972" t="n">
        <v>162562896.8914889</v>
      </c>
      <c r="Y209" s="506" t="n">
        <v>0.001778</v>
      </c>
      <c r="AA209" s="972" t="n">
        <v>101886233.3211393</v>
      </c>
      <c r="AB209" s="506" t="n">
        <v>0.00111</v>
      </c>
      <c r="AC209" s="972" t="n">
        <v>71816701.57139224</v>
      </c>
      <c r="AD209" s="506" t="n">
        <v>0.000248</v>
      </c>
      <c r="AE209" s="972" t="n">
        <v>197025291.4857216</v>
      </c>
      <c r="AF209" s="506" t="n">
        <v>0.000174</v>
      </c>
      <c r="AG209" s="972" t="n">
        <v>309245228.9426655</v>
      </c>
      <c r="AH209" s="506" t="n">
        <v>8.4e-05</v>
      </c>
      <c r="AI209" s="972" t="n">
        <v>376677600.6187814</v>
      </c>
      <c r="AJ209" s="506" t="n">
        <v>0.0002</v>
      </c>
      <c r="AL209" s="972" t="n">
        <v>196576930.2684142</v>
      </c>
      <c r="AM209" s="506" t="n">
        <v>0.000448</v>
      </c>
      <c r="AN209" s="972" t="n">
        <v>139481685.9754229</v>
      </c>
      <c r="AO209" s="506" t="n">
        <v>0.00115</v>
      </c>
      <c r="AP209" s="972" t="n">
        <v>201254242.3797836</v>
      </c>
      <c r="AQ209" s="506" t="n">
        <v>0.000208</v>
      </c>
      <c r="AS209" s="972" t="n">
        <v>784.3866038761389</v>
      </c>
      <c r="AT209" s="531" t="n">
        <v>0.001778</v>
      </c>
      <c r="AU209" s="972" t="n">
        <v>774.9448007001072</v>
      </c>
      <c r="AV209" s="531" t="n">
        <v>0.001778</v>
      </c>
      <c r="BA209" s="972">
        <f>V209/1000000</f>
        <v/>
      </c>
      <c r="BB209" s="972">
        <f>W209</f>
        <v/>
      </c>
      <c r="BC209" s="972">
        <f>X209/1000000</f>
        <v/>
      </c>
      <c r="BD209" s="972">
        <f>Y209</f>
        <v/>
      </c>
    </row>
    <row r="210" ht="15" customHeight="1" s="508">
      <c r="S210" s="972" t="n"/>
      <c r="T210" s="972" t="n"/>
      <c r="U210" s="972" t="n"/>
      <c r="V210" s="972" t="n">
        <v>177776977.0211803</v>
      </c>
      <c r="W210" s="506" t="n">
        <v>0.001524</v>
      </c>
      <c r="X210" s="972" t="n">
        <v>175830465.1820621</v>
      </c>
      <c r="Y210" s="506" t="n">
        <v>0.001524</v>
      </c>
      <c r="AA210" s="972" t="n">
        <v>110590523.8776293</v>
      </c>
      <c r="AB210" s="506" t="n">
        <v>0.000952</v>
      </c>
      <c r="AC210" s="972" t="n">
        <v>77361680.52226952</v>
      </c>
      <c r="AD210" s="506" t="n">
        <v>0.000214</v>
      </c>
      <c r="AE210" s="972" t="n">
        <v>206582880.6964591</v>
      </c>
      <c r="AF210" s="506" t="n">
        <v>0.00015</v>
      </c>
      <c r="AG210" s="972" t="n">
        <v>324748602.8301272</v>
      </c>
      <c r="AH210" s="506" t="n">
        <v>7.2e-05</v>
      </c>
      <c r="AI210" s="972" t="n">
        <v>399000637.5446703</v>
      </c>
      <c r="AJ210" s="506" t="n">
        <v>0.000172</v>
      </c>
      <c r="AL210" s="972" t="n">
        <v>208914015.9696615</v>
      </c>
      <c r="AM210" s="506" t="n">
        <v>0.000384</v>
      </c>
      <c r="AN210" s="972" t="n">
        <v>151905082.1400342</v>
      </c>
      <c r="AO210" s="506" t="n">
        <v>0.0009859999999999999</v>
      </c>
      <c r="AP210" s="972" t="n">
        <v>215432747.3121355</v>
      </c>
      <c r="AQ210" s="506" t="n">
        <v>0.000178</v>
      </c>
      <c r="AS210" s="972" t="n">
        <v>852.1833119088789</v>
      </c>
      <c r="AT210" s="531" t="n">
        <v>0.001524</v>
      </c>
      <c r="AU210" s="972" t="n">
        <v>846.9028106498706</v>
      </c>
      <c r="AV210" s="531" t="n">
        <v>0.001524</v>
      </c>
      <c r="BA210" s="972">
        <f>V210/1000000</f>
        <v/>
      </c>
      <c r="BB210" s="972">
        <f>W210</f>
        <v/>
      </c>
      <c r="BC210" s="972">
        <f>X210/1000000</f>
        <v/>
      </c>
      <c r="BD210" s="972">
        <f>Y210</f>
        <v/>
      </c>
    </row>
    <row r="211" ht="15" customHeight="1" s="508">
      <c r="S211" s="972" t="n"/>
      <c r="T211" s="972" t="n"/>
      <c r="U211" s="972" t="n"/>
      <c r="V211" s="972" t="n">
        <v>195014776.5718858</v>
      </c>
      <c r="W211" s="506" t="n">
        <v>0.001272</v>
      </c>
      <c r="X211" s="972" t="n">
        <v>193045835.9596385</v>
      </c>
      <c r="Y211" s="506" t="n">
        <v>0.001272</v>
      </c>
      <c r="AA211" s="972" t="n">
        <v>117820346.5557891</v>
      </c>
      <c r="AB211" s="506" t="n">
        <v>0.000794</v>
      </c>
      <c r="AC211" s="972" t="n">
        <v>84378725.94935811</v>
      </c>
      <c r="AD211" s="506" t="n">
        <v>0.000178</v>
      </c>
      <c r="AE211" s="972" t="n">
        <v>226968651.0200083</v>
      </c>
      <c r="AF211" s="506" t="n">
        <v>0.000126</v>
      </c>
      <c r="AG211" s="972" t="n">
        <v>334421294.0304161</v>
      </c>
      <c r="AH211" s="506" t="n">
        <v>6.2e-05</v>
      </c>
      <c r="AI211" s="972" t="n">
        <v>431393564.4919403</v>
      </c>
      <c r="AJ211" s="506" t="n">
        <v>0.000144</v>
      </c>
      <c r="AL211" s="972" t="n">
        <v>234961325.3835377</v>
      </c>
      <c r="AM211" s="506" t="n">
        <v>0.000322</v>
      </c>
      <c r="AN211" s="972" t="n">
        <v>166431648.8985048</v>
      </c>
      <c r="AO211" s="506" t="n">
        <v>0.000822</v>
      </c>
      <c r="AP211" s="972" t="n">
        <v>232856977.0641815</v>
      </c>
      <c r="AQ211" s="506" t="n">
        <v>0.00015</v>
      </c>
      <c r="AS211" s="972" t="n">
        <v>923.1624834231067</v>
      </c>
      <c r="AT211" s="531" t="n">
        <v>0.001272</v>
      </c>
      <c r="AU211" s="972" t="n">
        <v>917.0677770811021</v>
      </c>
      <c r="AV211" s="531" t="n">
        <v>0.001272</v>
      </c>
      <c r="BA211" s="972">
        <f>V211/1000000</f>
        <v/>
      </c>
      <c r="BB211" s="972">
        <f>W211</f>
        <v/>
      </c>
      <c r="BC211" s="972">
        <f>X211/1000000</f>
        <v/>
      </c>
      <c r="BD211" s="972">
        <f>Y211</f>
        <v/>
      </c>
    </row>
    <row r="212" ht="15" customHeight="1" s="508">
      <c r="S212" s="972" t="n"/>
      <c r="T212" s="972" t="n"/>
      <c r="U212" s="972" t="n"/>
      <c r="V212" s="972" t="n">
        <v>217968318.1156475</v>
      </c>
      <c r="W212" s="506" t="n">
        <v>0.001018</v>
      </c>
      <c r="X212" s="972" t="n">
        <v>215911694.9692788</v>
      </c>
      <c r="Y212" s="506" t="n">
        <v>0.001018</v>
      </c>
      <c r="AA212" s="972" t="n">
        <v>129535812.2350755</v>
      </c>
      <c r="AB212" s="506" t="n">
        <v>0.000636</v>
      </c>
      <c r="AC212" s="972" t="n">
        <v>93582853.02554637</v>
      </c>
      <c r="AD212" s="506" t="n">
        <v>0.000144</v>
      </c>
      <c r="AE212" s="972" t="n">
        <v>253837134.8079734</v>
      </c>
      <c r="AF212" s="506" t="n">
        <v>0.0001</v>
      </c>
      <c r="AG212" s="972" t="n">
        <v>363190009.9217009</v>
      </c>
      <c r="AH212" s="506" t="n">
        <v>5e-05</v>
      </c>
      <c r="AI212" s="972" t="n">
        <v>482751464.7719785</v>
      </c>
      <c r="AJ212" s="506" t="n">
        <v>0.000116</v>
      </c>
      <c r="AL212" s="972" t="n">
        <v>265147793.9807256</v>
      </c>
      <c r="AM212" s="506" t="n">
        <v>0.000258</v>
      </c>
      <c r="AN212" s="972" t="n">
        <v>183717081.7704105</v>
      </c>
      <c r="AO212" s="506" t="n">
        <v>0.0006579999999999999</v>
      </c>
      <c r="AP212" s="972" t="n">
        <v>258550940.6779796</v>
      </c>
      <c r="AQ212" s="506" t="n">
        <v>0.00012</v>
      </c>
      <c r="AS212" s="972" t="n">
        <v>1011.672394608993</v>
      </c>
      <c r="AT212" s="531" t="n">
        <v>0.001018</v>
      </c>
      <c r="AU212" s="972" t="n">
        <v>1002.663592636149</v>
      </c>
      <c r="AV212" s="531" t="n">
        <v>0.001018</v>
      </c>
      <c r="BA212" s="972">
        <f>V212/1000000</f>
        <v/>
      </c>
      <c r="BB212" s="972">
        <f>W212</f>
        <v/>
      </c>
      <c r="BC212" s="972">
        <f>X212/1000000</f>
        <v/>
      </c>
      <c r="BD212" s="972">
        <f>Y212</f>
        <v/>
      </c>
    </row>
    <row r="213" ht="15" customHeight="1" s="508">
      <c r="S213" s="972" t="n"/>
      <c r="T213" s="972" t="n"/>
      <c r="U213" s="972" t="n"/>
      <c r="V213" s="972" t="n">
        <v>252531443.5520619</v>
      </c>
      <c r="W213" s="506" t="n">
        <v>0.000764</v>
      </c>
      <c r="X213" s="972" t="n">
        <v>251862341.2258182</v>
      </c>
      <c r="Y213" s="506" t="n">
        <v>0.000764</v>
      </c>
      <c r="AA213" s="972" t="n">
        <v>146451661.2537162</v>
      </c>
      <c r="AB213" s="506" t="n">
        <v>0.000478</v>
      </c>
      <c r="AC213" s="972" t="n">
        <v>103429345.8955772</v>
      </c>
      <c r="AD213" s="506" t="n">
        <v>0.000108</v>
      </c>
      <c r="AE213" s="972" t="n">
        <v>286044776.4353399</v>
      </c>
      <c r="AF213" s="506" t="n">
        <v>7.6e-05</v>
      </c>
      <c r="AG213" s="972" t="n">
        <v>410927941.4794144</v>
      </c>
      <c r="AH213" s="506" t="n">
        <v>3.8e-05</v>
      </c>
      <c r="AI213" s="972" t="n">
        <v>580450321.7149879</v>
      </c>
      <c r="AJ213" s="506" t="n">
        <v>8.8e-05</v>
      </c>
      <c r="AL213" s="972" t="n">
        <v>311702566.701798</v>
      </c>
      <c r="AM213" s="506" t="n">
        <v>0.000194</v>
      </c>
      <c r="AN213" s="972" t="n">
        <v>214569678.4793617</v>
      </c>
      <c r="AO213" s="506" t="n">
        <v>0.000494</v>
      </c>
      <c r="AP213" s="972" t="n">
        <v>310693585.1370344</v>
      </c>
      <c r="AQ213" s="506" t="n">
        <v>9.000000000000001e-05</v>
      </c>
      <c r="AS213" s="972" t="n">
        <v>1173.617767347469</v>
      </c>
      <c r="AT213" s="531" t="n">
        <v>0.000764</v>
      </c>
      <c r="AU213" s="972" t="n">
        <v>1162.790534551718</v>
      </c>
      <c r="AV213" s="531" t="n">
        <v>0.000764</v>
      </c>
      <c r="BA213" s="972">
        <f>V213/1000000</f>
        <v/>
      </c>
      <c r="BB213" s="972">
        <f>W213</f>
        <v/>
      </c>
      <c r="BC213" s="972">
        <f>X213/1000000</f>
        <v/>
      </c>
      <c r="BD213" s="972">
        <f>Y213</f>
        <v/>
      </c>
    </row>
    <row r="214" ht="15" customHeight="1" s="508">
      <c r="S214" s="972" t="n"/>
      <c r="T214" s="972" t="n"/>
      <c r="U214" s="972" t="n"/>
      <c r="V214" s="972" t="n">
        <v>312015228.9624552</v>
      </c>
      <c r="W214" s="506" t="n">
        <v>0.00051</v>
      </c>
      <c r="X214" s="972" t="n">
        <v>310693585.1370344</v>
      </c>
      <c r="Y214" s="506" t="n">
        <v>0.00051</v>
      </c>
      <c r="AA214" s="972" t="n">
        <v>172955127.7725514</v>
      </c>
      <c r="AB214" s="506" t="n">
        <v>0.00032</v>
      </c>
      <c r="AC214" s="972" t="n">
        <v>120726378.818895</v>
      </c>
      <c r="AD214" s="506" t="n">
        <v>7.4e-05</v>
      </c>
      <c r="AE214" s="972" t="n">
        <v>343299704.4213383</v>
      </c>
      <c r="AF214" s="506" t="n">
        <v>5.2e-05</v>
      </c>
      <c r="AG214" s="972" t="n">
        <v>508607765.1779505</v>
      </c>
      <c r="AH214" s="506" t="n">
        <v>2.6e-05</v>
      </c>
      <c r="AI214" s="972" t="n">
        <v>639768562.1803985</v>
      </c>
      <c r="AJ214" s="506" t="n">
        <v>6e-05</v>
      </c>
      <c r="AL214" s="972" t="n">
        <v>377547271.3508638</v>
      </c>
      <c r="AM214" s="506" t="n">
        <v>0.00013</v>
      </c>
      <c r="AN214" s="972" t="n">
        <v>256586724.8511791</v>
      </c>
      <c r="AO214" s="506" t="n">
        <v>0.00033</v>
      </c>
      <c r="AP214" s="972" t="n">
        <v>362526200.9675007</v>
      </c>
      <c r="AQ214" s="506" t="n">
        <v>6.2e-05</v>
      </c>
      <c r="AS214" s="972" t="n">
        <v>1387.983504768002</v>
      </c>
      <c r="AT214" s="531" t="n">
        <v>0.00051</v>
      </c>
      <c r="AU214" s="972" t="n">
        <v>1368.69780496507</v>
      </c>
      <c r="AV214" s="531" t="n">
        <v>0.00051</v>
      </c>
      <c r="BA214" s="972">
        <f>V214/1000000</f>
        <v/>
      </c>
      <c r="BB214" s="972">
        <f>W214</f>
        <v/>
      </c>
      <c r="BC214" s="972">
        <f>X214/1000000</f>
        <v/>
      </c>
      <c r="BD214" s="972">
        <f>Y214</f>
        <v/>
      </c>
    </row>
    <row r="215" ht="15" customHeight="1" s="508">
      <c r="S215" s="972" t="n"/>
      <c r="T215" s="972" t="n"/>
      <c r="U215" s="972" t="n"/>
      <c r="V215" s="972" t="n">
        <v>422681980.7669832</v>
      </c>
      <c r="W215" s="506" t="n">
        <v>0.000256</v>
      </c>
      <c r="X215" s="972" t="n">
        <v>422681980.7669832</v>
      </c>
      <c r="Y215" s="506" t="n">
        <v>0.000256</v>
      </c>
      <c r="AA215" s="972" t="n">
        <v>230007538.2192122</v>
      </c>
      <c r="AB215" s="506" t="n">
        <v>0.000162</v>
      </c>
      <c r="AC215" s="972" t="n">
        <v>168875437.0664174</v>
      </c>
      <c r="AD215" s="506" t="n">
        <v>3.8e-05</v>
      </c>
      <c r="AE215" s="972" t="n">
        <v>586169270.4820329</v>
      </c>
      <c r="AF215" s="506" t="n">
        <v>2.8e-05</v>
      </c>
      <c r="AG215" s="972" t="n">
        <v>720213215.1063142</v>
      </c>
      <c r="AH215" s="506" t="n">
        <v>1.4e-05</v>
      </c>
      <c r="AI215" s="972" t="n">
        <v>1021488103.917304</v>
      </c>
      <c r="AJ215" s="506" t="n">
        <v>3.2e-05</v>
      </c>
      <c r="AL215" s="972" t="n">
        <v>520992970.5554004</v>
      </c>
      <c r="AM215" s="506" t="n">
        <v>6.600000000000001e-05</v>
      </c>
      <c r="AN215" s="972" t="n">
        <v>357912555.749917</v>
      </c>
      <c r="AO215" s="506" t="n">
        <v>0.000166</v>
      </c>
      <c r="AP215" s="972" t="n">
        <v>545803016.223711</v>
      </c>
      <c r="AQ215" s="506" t="n">
        <v>3.2e-05</v>
      </c>
      <c r="AS215" s="972" t="n">
        <v>1797.893582195859</v>
      </c>
      <c r="AT215" s="531" t="n">
        <v>0.000256</v>
      </c>
      <c r="AU215" s="972" t="n">
        <v>1791.971549139422</v>
      </c>
      <c r="AV215" s="531" t="n">
        <v>0.000256</v>
      </c>
      <c r="BA215" s="972">
        <f>V215/1000000</f>
        <v/>
      </c>
      <c r="BB215" s="972">
        <f>W215</f>
        <v/>
      </c>
      <c r="BC215" s="972">
        <f>X215/1000000</f>
        <v/>
      </c>
      <c r="BD215" s="972">
        <f>Y215</f>
        <v/>
      </c>
    </row>
    <row r="216" ht="15" customHeight="1" s="508">
      <c r="S216" s="972" t="n"/>
      <c r="T216" s="972" t="n"/>
      <c r="U216" s="972" t="n"/>
      <c r="V216" s="972" t="n">
        <v>4629408369.439935</v>
      </c>
      <c r="W216" s="506" t="n">
        <v>2e-06</v>
      </c>
      <c r="X216" s="972" t="n">
        <v>4629408369.439935</v>
      </c>
      <c r="Y216" s="506" t="n">
        <v>2e-06</v>
      </c>
      <c r="AA216" s="972" t="n">
        <v>1142210290.894719</v>
      </c>
      <c r="AB216" s="506" t="n">
        <v>2e-06</v>
      </c>
      <c r="AC216" s="972" t="n">
        <v>649602291.0308174</v>
      </c>
      <c r="AD216" s="506" t="n">
        <v>2e-06</v>
      </c>
      <c r="AE216" s="972" t="n">
        <v>1917378919.62654</v>
      </c>
      <c r="AF216" s="506" t="n">
        <v>2e-06</v>
      </c>
      <c r="AG216" s="972" t="n">
        <v>2229795582.879824</v>
      </c>
      <c r="AH216" s="506" t="n">
        <v>2e-06</v>
      </c>
      <c r="AI216" s="972" t="n">
        <v>4629408369.439935</v>
      </c>
      <c r="AJ216" s="506" t="n">
        <v>2e-06</v>
      </c>
      <c r="AL216" s="972" t="n">
        <v>2724766940.240461</v>
      </c>
      <c r="AM216" s="506" t="n">
        <v>2e-06</v>
      </c>
      <c r="AN216" s="972" t="n">
        <v>4629408369.439935</v>
      </c>
      <c r="AO216" s="506" t="n">
        <v>2e-06</v>
      </c>
      <c r="AP216" s="972" t="n">
        <v>3392606199.00424</v>
      </c>
      <c r="AQ216" s="506" t="n">
        <v>2e-06</v>
      </c>
      <c r="AS216" s="972" t="n">
        <v>6847.281320761542</v>
      </c>
      <c r="AT216" s="531" t="n">
        <v>2e-06</v>
      </c>
      <c r="AU216" s="972" t="n">
        <v>6847.281320761542</v>
      </c>
      <c r="AV216" s="531" t="n">
        <v>2e-06</v>
      </c>
      <c r="BA216" s="972">
        <f>V216/1000000</f>
        <v/>
      </c>
      <c r="BB216" s="972">
        <f>W216</f>
        <v/>
      </c>
      <c r="BC216" s="972">
        <f>X216/1000000</f>
        <v/>
      </c>
      <c r="BD216" s="972">
        <f>Y216</f>
        <v/>
      </c>
    </row>
    <row r="217" ht="15" customHeight="1" s="508">
      <c r="S217" s="972" t="n"/>
      <c r="T217" s="972" t="n"/>
      <c r="U217" s="972" t="n"/>
      <c r="V217" s="972" t="n"/>
    </row>
    <row r="218" ht="15" customHeight="1" s="508">
      <c r="S218" s="972" t="n"/>
      <c r="T218" s="972" t="n"/>
      <c r="U218" s="972" t="n"/>
      <c r="V218" s="972" t="n"/>
    </row>
    <row r="219" ht="15" customHeight="1" s="508">
      <c r="S219" s="972" t="n"/>
      <c r="T219" s="972" t="n"/>
      <c r="U219" s="972" t="n"/>
      <c r="V219" s="972" t="n"/>
    </row>
    <row r="220" ht="15" customHeight="1" s="508">
      <c r="S220" s="972" t="n"/>
      <c r="T220" s="972" t="n"/>
      <c r="U220" s="972" t="n"/>
      <c r="V220" s="972" t="n"/>
    </row>
    <row r="221" ht="15" customHeight="1" s="508">
      <c r="S221" s="972" t="n"/>
      <c r="T221" s="972" t="n"/>
      <c r="U221" s="972" t="n"/>
      <c r="V221" s="972" t="n"/>
    </row>
    <row r="222" ht="15" customHeight="1" s="508">
      <c r="S222" s="972" t="n"/>
      <c r="T222" s="972" t="n"/>
      <c r="U222" s="972" t="n"/>
      <c r="V222" s="972" t="n"/>
    </row>
    <row r="223" ht="15" customHeight="1" s="508">
      <c r="S223" s="972" t="n"/>
      <c r="T223" s="972" t="n"/>
      <c r="U223" s="972" t="n"/>
      <c r="V223" s="972" t="n"/>
    </row>
    <row r="224" ht="15" customHeight="1" s="508">
      <c r="S224" s="972" t="n"/>
      <c r="T224" s="972" t="n"/>
      <c r="U224" s="972" t="n"/>
      <c r="V224" s="972" t="n"/>
    </row>
    <row r="225" ht="15" customHeight="1" s="508">
      <c r="S225" s="972" t="n"/>
      <c r="T225" s="972" t="n"/>
      <c r="U225" s="972" t="n"/>
      <c r="V225" s="972" t="n"/>
    </row>
    <row r="226" ht="15" customHeight="1" s="508">
      <c r="S226" s="972" t="n"/>
      <c r="T226" s="972" t="n"/>
      <c r="U226" s="972" t="n"/>
      <c r="V226" s="972" t="n"/>
    </row>
    <row r="227" ht="15" customHeight="1" s="508">
      <c r="S227" s="972" t="n"/>
      <c r="T227" s="972" t="n"/>
      <c r="U227" s="972" t="n"/>
      <c r="V227" s="972" t="n"/>
    </row>
    <row r="228" ht="15" customHeight="1" s="508">
      <c r="S228" s="972" t="n"/>
      <c r="T228" s="972" t="n"/>
      <c r="U228" s="972" t="n"/>
      <c r="V228" s="972" t="n"/>
    </row>
    <row r="229" ht="15" customHeight="1" s="508">
      <c r="S229" s="972" t="n"/>
      <c r="T229" s="972" t="n"/>
      <c r="U229" s="972" t="n"/>
      <c r="V229" s="972" t="n"/>
    </row>
    <row r="230" ht="15" customHeight="1" s="508">
      <c r="S230" s="972" t="n"/>
      <c r="T230" s="972" t="n"/>
      <c r="U230" s="972" t="n"/>
      <c r="V230" s="972" t="n"/>
    </row>
    <row r="231" ht="15" customHeight="1" s="508">
      <c r="S231" s="972" t="n"/>
      <c r="T231" s="972" t="n"/>
      <c r="U231" s="972" t="n"/>
      <c r="V231" s="972" t="n"/>
    </row>
    <row r="232" ht="15" customHeight="1" s="508">
      <c r="S232" s="972" t="n"/>
      <c r="T232" s="972" t="n"/>
      <c r="U232" s="972" t="n"/>
      <c r="V232" s="972" t="n"/>
    </row>
    <row r="233" ht="15" customHeight="1" s="508">
      <c r="S233" s="972" t="n"/>
      <c r="T233" s="972" t="n"/>
      <c r="U233" s="972" t="n"/>
      <c r="V233" s="972" t="n"/>
    </row>
  </sheetData>
  <mergeCells count="13">
    <mergeCell ref="A9:N9"/>
    <mergeCell ref="A8:N8"/>
    <mergeCell ref="A3:N3"/>
    <mergeCell ref="A6:N6"/>
    <mergeCell ref="A12:N12"/>
    <mergeCell ref="A4:N4"/>
    <mergeCell ref="A2:N2"/>
    <mergeCell ref="A7:N7"/>
    <mergeCell ref="A11:N11"/>
    <mergeCell ref="A10:N10"/>
    <mergeCell ref="A5:N5"/>
    <mergeCell ref="A13:N13"/>
    <mergeCell ref="A1:N1"/>
  </mergeCells>
  <pageMargins left="0.7" right="0.7" top="0.75" bottom="0.75" header="0.3" footer="0.3"/>
  <drawing xmlns:r="http://schemas.openxmlformats.org/officeDocument/2006/relationships" r:id="rId1"/>
</worksheet>
</file>

<file path=xl/worksheets/sheet63.xml><?xml version="1.0" encoding="utf-8"?>
<worksheet xmlns="http://schemas.openxmlformats.org/spreadsheetml/2006/main">
  <sheetPr>
    <tabColor rgb="007F7F7F"/>
    <outlinePr summaryBelow="1" summaryRight="1"/>
    <pageSetUpPr/>
  </sheetPr>
  <dimension ref="A1:P800"/>
  <sheetViews>
    <sheetView workbookViewId="0">
      <selection activeCell="A1" sqref="A1"/>
    </sheetView>
  </sheetViews>
  <sheetFormatPr baseColWidth="8" defaultRowHeight="15"/>
  <sheetData>
    <row r="1">
      <c r="A1" s="970" t="inlineStr">
        <is>
          <t>10 — TTP Relevance Calculation</t>
        </is>
      </c>
      <c r="B1" s="970" t="n"/>
      <c r="C1" s="970" t="n"/>
      <c r="D1" s="970" t="n"/>
      <c r="E1" s="970" t="n"/>
      <c r="F1" s="970" t="n"/>
      <c r="G1" s="970" t="n"/>
      <c r="H1" s="970" t="n"/>
      <c r="I1" s="970" t="n"/>
      <c r="J1" s="970" t="n"/>
      <c r="K1" s="970" t="n"/>
      <c r="L1" s="970" t="n"/>
      <c r="M1" s="970" t="n"/>
      <c r="N1" s="970" t="n"/>
      <c r="O1" s="970" t="n"/>
      <c r="P1" s="970" t="n"/>
    </row>
    <row r="2">
      <c r="A2" s="966" t="inlineStr">
        <is>
          <t>Actor × scenario × route × TTP applicability and control barrier audit.</t>
        </is>
      </c>
      <c r="B2" s="966" t="n"/>
      <c r="C2" s="966" t="n"/>
      <c r="D2" s="966" t="n"/>
      <c r="E2" s="966" t="n"/>
      <c r="F2" s="966" t="n"/>
      <c r="G2" s="966" t="n"/>
      <c r="H2" s="966" t="n"/>
      <c r="I2" s="966" t="n"/>
      <c r="J2" s="966" t="n"/>
      <c r="K2" s="966" t="n"/>
      <c r="L2" s="966" t="n"/>
      <c r="M2" s="966" t="n"/>
      <c r="N2" s="966" t="n"/>
      <c r="O2" s="966" t="n"/>
      <c r="P2" s="966" t="n"/>
    </row>
    <row r="3">
      <c r="A3" s="973" t="n"/>
      <c r="B3" s="973" t="n"/>
      <c r="C3" s="973" t="n"/>
      <c r="D3" s="973" t="n"/>
      <c r="E3" s="973" t="n"/>
      <c r="F3" s="973" t="n"/>
      <c r="G3" s="973" t="n"/>
      <c r="H3" s="973" t="n"/>
      <c r="I3" s="973" t="n"/>
      <c r="J3" s="973" t="n"/>
      <c r="K3" s="973" t="n"/>
      <c r="L3" s="973" t="n"/>
      <c r="M3" s="973" t="n"/>
      <c r="N3" s="973" t="n"/>
      <c r="O3" s="973" t="n"/>
      <c r="P3" s="973" t="n"/>
    </row>
    <row r="4">
      <c r="A4" s="973" t="n"/>
      <c r="B4" s="973" t="n"/>
      <c r="C4" s="973" t="n"/>
      <c r="D4" s="973" t="n"/>
      <c r="E4" s="973" t="n"/>
      <c r="F4" s="973" t="n"/>
      <c r="G4" s="973" t="n"/>
      <c r="H4" s="973" t="n"/>
      <c r="I4" s="973" t="n"/>
      <c r="J4" s="973" t="n"/>
      <c r="K4" s="973" t="n"/>
      <c r="L4" s="973" t="n"/>
      <c r="M4" s="973" t="n"/>
      <c r="N4" s="973" t="n"/>
      <c r="O4" s="973" t="n"/>
      <c r="P4" s="973" t="n"/>
    </row>
    <row r="5">
      <c r="A5" s="973" t="inlineStr">
        <is>
          <t>ENGINE OUTPUT — do not edit. Run the Python engine after changing inputs or sector packs.</t>
        </is>
      </c>
      <c r="B5" s="973" t="n"/>
      <c r="C5" s="973" t="n"/>
      <c r="D5" s="973" t="n"/>
      <c r="E5" s="973" t="n"/>
      <c r="F5" s="973" t="n"/>
      <c r="G5" s="973" t="n"/>
      <c r="H5" s="973" t="n"/>
      <c r="I5" s="973" t="n"/>
      <c r="J5" s="973" t="n"/>
      <c r="K5" s="973" t="n"/>
      <c r="L5" s="973" t="n"/>
      <c r="M5" s="973" t="n"/>
      <c r="N5" s="973" t="n"/>
      <c r="O5" s="973" t="n"/>
      <c r="P5" s="973" t="n"/>
    </row>
    <row r="6">
      <c r="A6" s="973" t="n"/>
      <c r="B6" s="973" t="n"/>
      <c r="C6" s="973" t="n"/>
      <c r="D6" s="973" t="n"/>
      <c r="E6" s="973" t="n"/>
      <c r="F6" s="973" t="n"/>
      <c r="G6" s="973" t="n"/>
      <c r="H6" s="973" t="n"/>
      <c r="I6" s="973" t="n"/>
      <c r="J6" s="973" t="n"/>
      <c r="K6" s="973" t="n"/>
      <c r="L6" s="973" t="n"/>
      <c r="M6" s="973" t="n"/>
      <c r="N6" s="973" t="n"/>
      <c r="O6" s="973" t="n"/>
      <c r="P6" s="973" t="n"/>
    </row>
    <row r="7">
      <c r="A7" s="973" t="n"/>
      <c r="B7" s="973" t="n"/>
      <c r="C7" s="973" t="n"/>
      <c r="D7" s="973" t="n"/>
      <c r="E7" s="973" t="n"/>
      <c r="F7" s="973" t="n"/>
      <c r="G7" s="973" t="n"/>
      <c r="H7" s="973" t="n"/>
      <c r="I7" s="973" t="n"/>
      <c r="J7" s="973" t="n"/>
      <c r="K7" s="973" t="n"/>
      <c r="L7" s="973" t="n"/>
      <c r="M7" s="973" t="n"/>
      <c r="N7" s="973" t="n"/>
      <c r="O7" s="973" t="n"/>
      <c r="P7" s="973" t="n"/>
    </row>
    <row r="8">
      <c r="A8" s="973" t="n"/>
      <c r="B8" s="973" t="n"/>
      <c r="C8" s="973" t="n"/>
      <c r="D8" s="973" t="n"/>
      <c r="E8" s="973" t="n"/>
      <c r="F8" s="973" t="n"/>
      <c r="G8" s="973" t="n"/>
      <c r="H8" s="973" t="n"/>
      <c r="I8" s="973" t="n"/>
      <c r="J8" s="973" t="n"/>
      <c r="K8" s="973" t="n"/>
      <c r="L8" s="973" t="n"/>
      <c r="M8" s="973" t="n"/>
      <c r="N8" s="973" t="n"/>
      <c r="O8" s="973" t="n"/>
      <c r="P8" s="973" t="n"/>
    </row>
    <row r="9">
      <c r="A9" s="973" t="n"/>
      <c r="B9" s="973" t="n"/>
      <c r="C9" s="973" t="n"/>
      <c r="D9" s="973" t="n"/>
      <c r="E9" s="973" t="n"/>
      <c r="F9" s="973" t="n"/>
      <c r="G9" s="973" t="n"/>
      <c r="H9" s="973" t="n"/>
      <c r="I9" s="973" t="n"/>
      <c r="J9" s="973" t="n"/>
      <c r="K9" s="973" t="n"/>
      <c r="L9" s="973" t="n"/>
      <c r="M9" s="973" t="n"/>
      <c r="N9" s="973" t="n"/>
      <c r="O9" s="973" t="n"/>
      <c r="P9" s="973" t="n"/>
    </row>
    <row r="10">
      <c r="A10" s="973" t="n"/>
      <c r="B10" s="973" t="n"/>
      <c r="C10" s="973" t="n"/>
      <c r="D10" s="973" t="n"/>
      <c r="E10" s="973" t="n"/>
      <c r="F10" s="973" t="n"/>
      <c r="G10" s="973" t="n"/>
      <c r="H10" s="973" t="n"/>
      <c r="I10" s="973" t="n"/>
      <c r="J10" s="973" t="n"/>
      <c r="K10" s="973" t="n"/>
      <c r="L10" s="973" t="n"/>
      <c r="M10" s="973" t="n"/>
      <c r="N10" s="973" t="n"/>
      <c r="O10" s="973" t="n"/>
      <c r="P10" s="973" t="n"/>
    </row>
    <row r="11">
      <c r="A11" s="973" t="n"/>
      <c r="B11" s="973" t="n"/>
      <c r="C11" s="973" t="n"/>
      <c r="D11" s="973" t="n"/>
      <c r="E11" s="973" t="n"/>
      <c r="F11" s="973" t="n"/>
      <c r="G11" s="973" t="n"/>
      <c r="H11" s="973" t="n"/>
      <c r="I11" s="973" t="n"/>
      <c r="J11" s="973" t="n"/>
      <c r="K11" s="973" t="n"/>
      <c r="L11" s="973" t="n"/>
      <c r="M11" s="973" t="n"/>
      <c r="N11" s="973" t="n"/>
      <c r="O11" s="973" t="n"/>
      <c r="P11" s="973" t="n"/>
    </row>
    <row r="12">
      <c r="A12" s="973" t="n"/>
      <c r="B12" s="973" t="n"/>
      <c r="C12" s="973" t="n"/>
      <c r="D12" s="973" t="n"/>
      <c r="E12" s="973" t="n"/>
      <c r="F12" s="973" t="n"/>
      <c r="G12" s="973" t="n"/>
      <c r="H12" s="973" t="n"/>
      <c r="I12" s="973" t="n"/>
      <c r="J12" s="973" t="n"/>
      <c r="K12" s="973" t="n"/>
      <c r="L12" s="973" t="n"/>
      <c r="M12" s="973" t="n"/>
      <c r="N12" s="973" t="n"/>
      <c r="O12" s="973" t="n"/>
      <c r="P12" s="973" t="n"/>
    </row>
    <row r="13">
      <c r="A13" s="973" t="n"/>
      <c r="B13" s="973" t="n"/>
      <c r="C13" s="973" t="n"/>
      <c r="D13" s="973" t="n"/>
      <c r="E13" s="973" t="n"/>
      <c r="F13" s="973" t="n"/>
      <c r="G13" s="973" t="n"/>
      <c r="H13" s="973" t="n"/>
      <c r="I13" s="973" t="n"/>
      <c r="J13" s="973" t="n"/>
      <c r="K13" s="973" t="n"/>
      <c r="L13" s="973" t="n"/>
      <c r="M13" s="973" t="n"/>
      <c r="N13" s="973" t="n"/>
      <c r="O13" s="973" t="n"/>
      <c r="P13" s="973" t="n"/>
    </row>
    <row r="14">
      <c r="A14" s="973" t="n"/>
      <c r="B14" s="973" t="n"/>
      <c r="C14" s="973" t="n"/>
      <c r="D14" s="973" t="n"/>
      <c r="E14" s="973" t="n"/>
      <c r="F14" s="973" t="n"/>
      <c r="G14" s="973" t="n"/>
      <c r="H14" s="973" t="n"/>
      <c r="I14" s="973" t="n"/>
      <c r="J14" s="973" t="n"/>
      <c r="K14" s="973" t="n"/>
      <c r="L14" s="973" t="n"/>
      <c r="M14" s="973" t="n"/>
      <c r="N14" s="973" t="n"/>
      <c r="O14" s="973" t="n"/>
      <c r="P14" s="973" t="n"/>
    </row>
    <row r="15">
      <c r="A15" s="969" t="inlineStr">
        <is>
          <t>Threat actor</t>
        </is>
      </c>
      <c r="B15" s="969" t="inlineStr">
        <is>
          <t>Scenario</t>
        </is>
      </c>
      <c r="C15" s="969" t="inlineStr">
        <is>
          <t>Route</t>
        </is>
      </c>
      <c r="D15" s="969" t="inlineStr">
        <is>
          <t>TTP ID</t>
        </is>
      </c>
      <c r="E15" s="969" t="inlineStr">
        <is>
          <t>Technique</t>
        </is>
      </c>
      <c r="F15" s="969" t="inlineStr">
        <is>
          <t>Stage</t>
        </is>
      </c>
      <c r="G15" s="969" t="inlineStr">
        <is>
          <t>Actor applicable</t>
        </is>
      </c>
      <c r="H15" s="969" t="inlineStr">
        <is>
          <t>Scenario applicable</t>
        </is>
      </c>
      <c r="I15" s="969" t="inlineStr">
        <is>
          <t>Relevant</t>
        </is>
      </c>
      <c r="J15" s="969" t="inlineStr">
        <is>
          <t>Weight</t>
        </is>
      </c>
      <c r="K15" s="969" t="inlineStr">
        <is>
          <t>Actual barrier</t>
        </is>
      </c>
      <c r="L15" s="969" t="inlineStr">
        <is>
          <t>Reference barrier</t>
        </is>
      </c>
      <c r="M15" s="969" t="inlineStr">
        <is>
          <t>Platforms</t>
        </is>
      </c>
      <c r="N15" s="969" t="inlineStr">
        <is>
          <t>MITRE URL</t>
        </is>
      </c>
      <c r="O15" s="969" t="n"/>
      <c r="P15" s="969" t="n"/>
    </row>
    <row r="16">
      <c r="A16" s="973" t="inlineStr">
        <is>
          <t>Nation-state</t>
        </is>
      </c>
      <c r="B16" s="973" t="inlineStr">
        <is>
          <t>Critical business-service disruption</t>
        </is>
      </c>
      <c r="C16" s="973" t="inlineStr">
        <is>
          <t>Identity and credential compromise</t>
        </is>
      </c>
      <c r="D16" s="973" t="inlineStr">
        <is>
          <t>T1566</t>
        </is>
      </c>
      <c r="E16" s="973" t="inlineStr">
        <is>
          <t>Phishing</t>
        </is>
      </c>
      <c r="F16" s="973" t="inlineStr">
        <is>
          <t>S1</t>
        </is>
      </c>
      <c r="G16" s="973" t="b">
        <v>1</v>
      </c>
      <c r="H16" s="973" t="b">
        <v>1</v>
      </c>
      <c r="I16" s="973" t="b">
        <v>1</v>
      </c>
      <c r="J16" s="973" t="n">
        <v>1</v>
      </c>
      <c r="K16" s="973" t="n">
        <v>0.20625</v>
      </c>
      <c r="L16" s="973" t="n">
        <v>0.20625</v>
      </c>
      <c r="M16" s="973" t="inlineStr">
        <is>
          <t>Windows; SaaS; Office Suite</t>
        </is>
      </c>
      <c r="N16" s="973" t="inlineStr">
        <is>
          <t>https://attack.mitre.org/techniques/T1566/</t>
        </is>
      </c>
      <c r="O16" s="973" t="n"/>
      <c r="P16" s="973" t="n"/>
    </row>
    <row r="17">
      <c r="A17" s="973" t="inlineStr">
        <is>
          <t>Nation-state</t>
        </is>
      </c>
      <c r="B17" s="973" t="inlineStr">
        <is>
          <t>Critical business-service disruption</t>
        </is>
      </c>
      <c r="C17" s="973" t="inlineStr">
        <is>
          <t>Identity and credential compromise</t>
        </is>
      </c>
      <c r="D17" s="973" t="inlineStr">
        <is>
          <t>T1078</t>
        </is>
      </c>
      <c r="E17" s="973" t="inlineStr">
        <is>
          <t>Valid Accounts</t>
        </is>
      </c>
      <c r="F17" s="973" t="inlineStr">
        <is>
          <t>S1</t>
        </is>
      </c>
      <c r="G17" s="973" t="b">
        <v>1</v>
      </c>
      <c r="H17" s="973" t="b">
        <v>1</v>
      </c>
      <c r="I17" s="973" t="b">
        <v>1</v>
      </c>
      <c r="J17" s="973" t="n">
        <v>1</v>
      </c>
      <c r="K17" s="973" t="n">
        <v>0.272109375</v>
      </c>
      <c r="L17" s="973" t="n">
        <v>0.272109375</v>
      </c>
      <c r="M17" s="973" t="inlineStr">
        <is>
          <t>Identity Provider; SaaS; IaaS; Windows</t>
        </is>
      </c>
      <c r="N17" s="973" t="inlineStr">
        <is>
          <t>https://attack.mitre.org/techniques/T1078/</t>
        </is>
      </c>
      <c r="O17" s="973" t="n"/>
      <c r="P17" s="973" t="n"/>
    </row>
    <row r="18">
      <c r="A18" s="973" t="inlineStr">
        <is>
          <t>Nation-state</t>
        </is>
      </c>
      <c r="B18" s="973" t="inlineStr">
        <is>
          <t>Critical business-service disruption</t>
        </is>
      </c>
      <c r="C18" s="973" t="inlineStr">
        <is>
          <t>Identity and credential compromise</t>
        </is>
      </c>
      <c r="D18" s="973" t="inlineStr">
        <is>
          <t>T1110</t>
        </is>
      </c>
      <c r="E18" s="973" t="inlineStr">
        <is>
          <t>Brute Force</t>
        </is>
      </c>
      <c r="F18" s="973" t="inlineStr">
        <is>
          <t>S1</t>
        </is>
      </c>
      <c r="G18" s="973" t="b">
        <v>1</v>
      </c>
      <c r="H18" s="973" t="b">
        <v>1</v>
      </c>
      <c r="I18" s="973" t="b">
        <v>1</v>
      </c>
      <c r="J18" s="973" t="n">
        <v>0.7</v>
      </c>
      <c r="K18" s="973" t="n">
        <v>0.24375</v>
      </c>
      <c r="L18" s="973" t="n">
        <v>0.24375</v>
      </c>
      <c r="M18" s="973" t="inlineStr">
        <is>
          <t>Identity Provider; SaaS; Windows</t>
        </is>
      </c>
      <c r="N18" s="973" t="inlineStr">
        <is>
          <t>https://attack.mitre.org/techniques/T1110/</t>
        </is>
      </c>
      <c r="O18" s="973" t="n"/>
      <c r="P18" s="973" t="n"/>
    </row>
    <row r="19">
      <c r="A19" s="973" t="inlineStr">
        <is>
          <t>Nation-state</t>
        </is>
      </c>
      <c r="B19" s="973" t="inlineStr">
        <is>
          <t>Critical business-service disruption</t>
        </is>
      </c>
      <c r="C19" s="973" t="inlineStr">
        <is>
          <t>Identity and credential compromise</t>
        </is>
      </c>
      <c r="D19" s="973" t="inlineStr">
        <is>
          <t>T1098</t>
        </is>
      </c>
      <c r="E19" s="973" t="inlineStr">
        <is>
          <t>Account Manipulation</t>
        </is>
      </c>
      <c r="F19" s="973" t="inlineStr">
        <is>
          <t>S3</t>
        </is>
      </c>
      <c r="G19" s="973" t="b">
        <v>1</v>
      </c>
      <c r="H19" s="973" t="b">
        <v>1</v>
      </c>
      <c r="I19" s="973" t="b">
        <v>1</v>
      </c>
      <c r="J19" s="973" t="n">
        <v>0.7</v>
      </c>
      <c r="K19" s="973" t="n">
        <v>0.2477547340393066</v>
      </c>
      <c r="L19" s="973" t="n">
        <v>0.2477547340393066</v>
      </c>
      <c r="M19" s="973" t="inlineStr">
        <is>
          <t>Identity Provider; SaaS; Windows</t>
        </is>
      </c>
      <c r="N19" s="973" t="inlineStr">
        <is>
          <t>https://attack.mitre.org/techniques/T1098/</t>
        </is>
      </c>
      <c r="O19" s="973" t="n"/>
      <c r="P19" s="973" t="n"/>
    </row>
    <row r="20">
      <c r="A20" s="973" t="inlineStr">
        <is>
          <t>Nation-state</t>
        </is>
      </c>
      <c r="B20" s="973" t="inlineStr">
        <is>
          <t>Critical business-service disruption</t>
        </is>
      </c>
      <c r="C20" s="973" t="inlineStr">
        <is>
          <t>Identity and credential compromise</t>
        </is>
      </c>
      <c r="D20" s="973" t="inlineStr">
        <is>
          <t>T1087</t>
        </is>
      </c>
      <c r="E20" s="973" t="inlineStr">
        <is>
          <t>Account Discovery</t>
        </is>
      </c>
      <c r="F20" s="973" t="inlineStr">
        <is>
          <t>S4</t>
        </is>
      </c>
      <c r="G20" s="973" t="b">
        <v>1</v>
      </c>
      <c r="H20" s="973" t="b">
        <v>1</v>
      </c>
      <c r="I20" s="973" t="b">
        <v>1</v>
      </c>
      <c r="J20" s="973" t="n">
        <v>0.6</v>
      </c>
      <c r="K20" s="973" t="n">
        <v>0</v>
      </c>
      <c r="L20" s="973" t="n">
        <v>0</v>
      </c>
      <c r="M20" s="973" t="inlineStr">
        <is>
          <t>Identity Provider; SaaS; Windows</t>
        </is>
      </c>
      <c r="N20" s="973" t="inlineStr">
        <is>
          <t>https://attack.mitre.org/techniques/T1087/</t>
        </is>
      </c>
      <c r="O20" s="973" t="n"/>
      <c r="P20" s="973" t="n"/>
    </row>
    <row r="21">
      <c r="A21" s="973" t="inlineStr">
        <is>
          <t>Nation-state</t>
        </is>
      </c>
      <c r="B21" s="973" t="inlineStr">
        <is>
          <t>Critical business-service disruption</t>
        </is>
      </c>
      <c r="C21" s="973" t="inlineStr">
        <is>
          <t>Identity and credential compromise</t>
        </is>
      </c>
      <c r="D21" s="973" t="inlineStr">
        <is>
          <t>T1213</t>
        </is>
      </c>
      <c r="E21" s="973" t="inlineStr">
        <is>
          <t>Data from Information Repositories</t>
        </is>
      </c>
      <c r="F21" s="973" t="inlineStr">
        <is>
          <t>S4</t>
        </is>
      </c>
      <c r="G21" s="973" t="b">
        <v>1</v>
      </c>
      <c r="H21" s="973" t="b">
        <v>0</v>
      </c>
      <c r="I21" s="973" t="b">
        <v>0</v>
      </c>
      <c r="J21" s="973" t="n">
        <v>0.8</v>
      </c>
      <c r="K21" s="973" t="n">
        <v>0.177890625</v>
      </c>
      <c r="L21" s="973" t="n">
        <v>0.177890625</v>
      </c>
      <c r="M21" s="973" t="inlineStr">
        <is>
          <t>SaaS; Office Suite; Windows</t>
        </is>
      </c>
      <c r="N21" s="973" t="inlineStr">
        <is>
          <t>https://attack.mitre.org/techniques/T1213/</t>
        </is>
      </c>
      <c r="O21" s="973" t="n"/>
      <c r="P21" s="973" t="n"/>
    </row>
    <row r="22">
      <c r="A22" s="973" t="inlineStr">
        <is>
          <t>Nation-state</t>
        </is>
      </c>
      <c r="B22" s="973" t="inlineStr">
        <is>
          <t>Critical business-service disruption</t>
        </is>
      </c>
      <c r="C22" s="973" t="inlineStr">
        <is>
          <t>Identity and credential compromise</t>
        </is>
      </c>
      <c r="D22" s="973" t="inlineStr">
        <is>
          <t>T1567</t>
        </is>
      </c>
      <c r="E22" s="973" t="inlineStr">
        <is>
          <t>Exfiltration Over Web Service</t>
        </is>
      </c>
      <c r="F22" s="973" t="inlineStr">
        <is>
          <t>S5</t>
        </is>
      </c>
      <c r="G22" s="973" t="b">
        <v>1</v>
      </c>
      <c r="H22" s="973" t="b">
        <v>0</v>
      </c>
      <c r="I22" s="973" t="b">
        <v>0</v>
      </c>
      <c r="J22" s="973" t="n">
        <v>0.7</v>
      </c>
      <c r="K22" s="973" t="n">
        <v>0.20625</v>
      </c>
      <c r="L22" s="973" t="n">
        <v>0.20625</v>
      </c>
      <c r="M22" s="973" t="inlineStr">
        <is>
          <t>SaaS; Office Suite</t>
        </is>
      </c>
      <c r="N22" s="973" t="inlineStr">
        <is>
          <t>https://attack.mitre.org/techniques/T1567/</t>
        </is>
      </c>
      <c r="O22" s="973" t="n"/>
      <c r="P22" s="973" t="n"/>
    </row>
    <row r="23">
      <c r="A23" s="973" t="inlineStr">
        <is>
          <t>Nation-state</t>
        </is>
      </c>
      <c r="B23" s="973" t="inlineStr">
        <is>
          <t>Critical business-service disruption</t>
        </is>
      </c>
      <c r="C23" s="973" t="inlineStr">
        <is>
          <t>Identity and credential compromise</t>
        </is>
      </c>
      <c r="D23" s="973" t="inlineStr">
        <is>
          <t>T1657</t>
        </is>
      </c>
      <c r="E23" s="973" t="inlineStr">
        <is>
          <t>Financial Theft</t>
        </is>
      </c>
      <c r="F23" s="973" t="inlineStr">
        <is>
          <t>S5</t>
        </is>
      </c>
      <c r="G23" s="973" t="b">
        <v>1</v>
      </c>
      <c r="H23" s="973" t="b">
        <v>0</v>
      </c>
      <c r="I23" s="973" t="b">
        <v>0</v>
      </c>
      <c r="J23" s="973" t="n">
        <v>0.8</v>
      </c>
      <c r="K23" s="973" t="n">
        <v>0.275654296875</v>
      </c>
      <c r="L23" s="973" t="n">
        <v>0.275654296875</v>
      </c>
      <c r="M23" s="973" t="inlineStr">
        <is>
          <t>SaaS; Office Suite; Identity Provider</t>
        </is>
      </c>
      <c r="N23" s="973" t="inlineStr">
        <is>
          <t>https://attack.mitre.org/techniques/T1657/</t>
        </is>
      </c>
      <c r="O23" s="973" t="n"/>
      <c r="P23" s="973" t="n"/>
    </row>
    <row r="24">
      <c r="A24" s="973" t="inlineStr">
        <is>
          <t>Nation-state</t>
        </is>
      </c>
      <c r="B24" s="973" t="inlineStr">
        <is>
          <t>Critical business-service disruption</t>
        </is>
      </c>
      <c r="C24" s="973" t="inlineStr">
        <is>
          <t>Identity and credential compromise</t>
        </is>
      </c>
      <c r="D24" s="973" t="inlineStr">
        <is>
          <t>T1565</t>
        </is>
      </c>
      <c r="E24" s="973" t="inlineStr">
        <is>
          <t>Data Manipulation</t>
        </is>
      </c>
      <c r="F24" s="973" t="inlineStr">
        <is>
          <t>S5</t>
        </is>
      </c>
      <c r="G24" s="973" t="b">
        <v>1</v>
      </c>
      <c r="H24" s="973" t="b">
        <v>1</v>
      </c>
      <c r="I24" s="973" t="b">
        <v>1</v>
      </c>
      <c r="J24" s="973" t="n">
        <v>0.5</v>
      </c>
      <c r="K24" s="973" t="n">
        <v>0.2206064987182617</v>
      </c>
      <c r="L24" s="973" t="n">
        <v>0.2206064987182617</v>
      </c>
      <c r="M24" s="973" t="inlineStr">
        <is>
          <t>SaaS; Databases; Windows</t>
        </is>
      </c>
      <c r="N24" s="973" t="inlineStr">
        <is>
          <t>https://attack.mitre.org/techniques/T1565/</t>
        </is>
      </c>
      <c r="O24" s="973" t="n"/>
      <c r="P24" s="973" t="n"/>
    </row>
    <row r="25">
      <c r="A25" s="973" t="inlineStr">
        <is>
          <t>Nation-state</t>
        </is>
      </c>
      <c r="B25" s="973" t="inlineStr">
        <is>
          <t>Critical business-service disruption</t>
        </is>
      </c>
      <c r="C25" s="973" t="inlineStr">
        <is>
          <t>Identity and credential compromise</t>
        </is>
      </c>
      <c r="D25" s="973" t="inlineStr">
        <is>
          <t>T1486</t>
        </is>
      </c>
      <c r="E25" s="973" t="inlineStr">
        <is>
          <t>Data Encrypted for Impact</t>
        </is>
      </c>
      <c r="F25" s="973" t="inlineStr">
        <is>
          <t>S5</t>
        </is>
      </c>
      <c r="G25" s="973" t="b">
        <v>1</v>
      </c>
      <c r="H25" s="973" t="b">
        <v>1</v>
      </c>
      <c r="I25" s="973" t="b">
        <v>1</v>
      </c>
      <c r="J25" s="973" t="n">
        <v>0.7</v>
      </c>
      <c r="K25" s="973" t="n">
        <v>0.16875</v>
      </c>
      <c r="L25" s="973" t="n">
        <v>0.16875</v>
      </c>
      <c r="M25" s="973" t="inlineStr">
        <is>
          <t>Windows; Linux; IaaS</t>
        </is>
      </c>
      <c r="N25" s="973" t="inlineStr">
        <is>
          <t>https://attack.mitre.org/techniques/T1486/</t>
        </is>
      </c>
      <c r="O25" s="973" t="n"/>
      <c r="P25" s="973" t="n"/>
    </row>
    <row r="26">
      <c r="A26" s="973" t="inlineStr">
        <is>
          <t>Nation-state</t>
        </is>
      </c>
      <c r="B26" s="973" t="inlineStr">
        <is>
          <t>Critical business-service disruption</t>
        </is>
      </c>
      <c r="C26" s="973" t="inlineStr">
        <is>
          <t>Identity and credential compromise</t>
        </is>
      </c>
      <c r="D26" s="973" t="inlineStr">
        <is>
          <t>T1490</t>
        </is>
      </c>
      <c r="E26" s="973" t="inlineStr">
        <is>
          <t>Inhibit System Recovery</t>
        </is>
      </c>
      <c r="F26" s="973" t="inlineStr">
        <is>
          <t>S5</t>
        </is>
      </c>
      <c r="G26" s="973" t="b">
        <v>1</v>
      </c>
      <c r="H26" s="973" t="b">
        <v>1</v>
      </c>
      <c r="I26" s="973" t="b">
        <v>1</v>
      </c>
      <c r="J26" s="973" t="n">
        <v>0.6</v>
      </c>
      <c r="K26" s="973" t="n">
        <v>0</v>
      </c>
      <c r="L26" s="973" t="n">
        <v>0</v>
      </c>
      <c r="M26" s="973" t="inlineStr">
        <is>
          <t>Windows; Linux; IaaS</t>
        </is>
      </c>
      <c r="N26" s="973" t="inlineStr">
        <is>
          <t>https://attack.mitre.org/techniques/T1490/</t>
        </is>
      </c>
      <c r="O26" s="973" t="n"/>
      <c r="P26" s="973" t="n"/>
    </row>
    <row r="27">
      <c r="A27" s="973" t="inlineStr">
        <is>
          <t>Nation-state</t>
        </is>
      </c>
      <c r="B27" s="973" t="inlineStr">
        <is>
          <t>Critical business-service disruption</t>
        </is>
      </c>
      <c r="C27" s="973" t="inlineStr">
        <is>
          <t>User endpoint and social engineering</t>
        </is>
      </c>
      <c r="D27" s="973" t="inlineStr">
        <is>
          <t>T1566</t>
        </is>
      </c>
      <c r="E27" s="973" t="inlineStr">
        <is>
          <t>Phishing</t>
        </is>
      </c>
      <c r="F27" s="973" t="inlineStr">
        <is>
          <t>S1</t>
        </is>
      </c>
      <c r="G27" s="973" t="b">
        <v>1</v>
      </c>
      <c r="H27" s="973" t="b">
        <v>1</v>
      </c>
      <c r="I27" s="973" t="b">
        <v>1</v>
      </c>
      <c r="J27" s="973" t="n">
        <v>1</v>
      </c>
      <c r="K27" s="973" t="n">
        <v>0.20625</v>
      </c>
      <c r="L27" s="973" t="n">
        <v>0.20625</v>
      </c>
      <c r="M27" s="973" t="inlineStr">
        <is>
          <t>Windows; SaaS; Office Suite</t>
        </is>
      </c>
      <c r="N27" s="973" t="inlineStr">
        <is>
          <t>https://attack.mitre.org/techniques/T1566/</t>
        </is>
      </c>
      <c r="O27" s="973" t="n"/>
      <c r="P27" s="973" t="n"/>
    </row>
    <row r="28">
      <c r="A28" s="973" t="inlineStr">
        <is>
          <t>Nation-state</t>
        </is>
      </c>
      <c r="B28" s="973" t="inlineStr">
        <is>
          <t>Critical business-service disruption</t>
        </is>
      </c>
      <c r="C28" s="973" t="inlineStr">
        <is>
          <t>User endpoint and social engineering</t>
        </is>
      </c>
      <c r="D28" s="973" t="inlineStr">
        <is>
          <t>T1203</t>
        </is>
      </c>
      <c r="E28" s="973" t="inlineStr">
        <is>
          <t>Exploitation for Client Execution</t>
        </is>
      </c>
      <c r="F28" s="973" t="inlineStr">
        <is>
          <t>S2</t>
        </is>
      </c>
      <c r="G28" s="973" t="b">
        <v>1</v>
      </c>
      <c r="H28" s="973" t="b">
        <v>1</v>
      </c>
      <c r="I28" s="973" t="b">
        <v>1</v>
      </c>
      <c r="J28" s="973" t="n">
        <v>0.8</v>
      </c>
      <c r="K28" s="973" t="n">
        <v>0.2404920959472656</v>
      </c>
      <c r="L28" s="973" t="n">
        <v>0.2404920959472656</v>
      </c>
      <c r="M28" s="973" t="inlineStr">
        <is>
          <t>Windows; macOS; Linux</t>
        </is>
      </c>
      <c r="N28" s="973" t="inlineStr">
        <is>
          <t>https://attack.mitre.org/techniques/T1203/</t>
        </is>
      </c>
      <c r="O28" s="973" t="n"/>
      <c r="P28" s="973" t="n"/>
    </row>
    <row r="29">
      <c r="A29" s="973" t="inlineStr">
        <is>
          <t>Nation-state</t>
        </is>
      </c>
      <c r="B29" s="973" t="inlineStr">
        <is>
          <t>Critical business-service disruption</t>
        </is>
      </c>
      <c r="C29" s="973" t="inlineStr">
        <is>
          <t>User endpoint and social engineering</t>
        </is>
      </c>
      <c r="D29" s="973" t="inlineStr">
        <is>
          <t>T1059</t>
        </is>
      </c>
      <c r="E29" s="973" t="inlineStr">
        <is>
          <t>Command and Scripting Interpreter</t>
        </is>
      </c>
      <c r="F29" s="973" t="inlineStr">
        <is>
          <t>S2</t>
        </is>
      </c>
      <c r="G29" s="973" t="b">
        <v>1</v>
      </c>
      <c r="H29" s="973" t="b">
        <v>1</v>
      </c>
      <c r="I29" s="973" t="b">
        <v>1</v>
      </c>
      <c r="J29" s="973" t="n">
        <v>0.9</v>
      </c>
      <c r="K29" s="973" t="n">
        <v>0.1875</v>
      </c>
      <c r="L29" s="973" t="n">
        <v>0.1875</v>
      </c>
      <c r="M29" s="973" t="inlineStr">
        <is>
          <t>Windows; macOS; Linux; IaaS</t>
        </is>
      </c>
      <c r="N29" s="973" t="inlineStr">
        <is>
          <t>https://attack.mitre.org/techniques/T1059/</t>
        </is>
      </c>
      <c r="O29" s="973" t="n"/>
      <c r="P29" s="973" t="n"/>
    </row>
    <row r="30">
      <c r="A30" s="973" t="inlineStr">
        <is>
          <t>Nation-state</t>
        </is>
      </c>
      <c r="B30" s="973" t="inlineStr">
        <is>
          <t>Critical business-service disruption</t>
        </is>
      </c>
      <c r="C30" s="973" t="inlineStr">
        <is>
          <t>User endpoint and social engineering</t>
        </is>
      </c>
      <c r="D30" s="973" t="inlineStr">
        <is>
          <t>T1068</t>
        </is>
      </c>
      <c r="E30" s="973" t="inlineStr">
        <is>
          <t>Exploitation for Privilege Escalation</t>
        </is>
      </c>
      <c r="F30" s="973" t="inlineStr">
        <is>
          <t>S3</t>
        </is>
      </c>
      <c r="G30" s="973" t="b">
        <v>1</v>
      </c>
      <c r="H30" s="973" t="b">
        <v>1</v>
      </c>
      <c r="I30" s="973" t="b">
        <v>1</v>
      </c>
      <c r="J30" s="973" t="n">
        <v>0.7</v>
      </c>
      <c r="K30" s="973" t="n">
        <v>0.2094165115356445</v>
      </c>
      <c r="L30" s="973" t="n">
        <v>0.2094165115356445</v>
      </c>
      <c r="M30" s="973" t="inlineStr">
        <is>
          <t>Windows; macOS; Linux</t>
        </is>
      </c>
      <c r="N30" s="973" t="inlineStr">
        <is>
          <t>https://attack.mitre.org/techniques/T1068/</t>
        </is>
      </c>
      <c r="O30" s="973" t="n"/>
      <c r="P30" s="973" t="n"/>
    </row>
    <row r="31">
      <c r="A31" s="973" t="inlineStr">
        <is>
          <t>Nation-state</t>
        </is>
      </c>
      <c r="B31" s="973" t="inlineStr">
        <is>
          <t>Critical business-service disruption</t>
        </is>
      </c>
      <c r="C31" s="973" t="inlineStr">
        <is>
          <t>User endpoint and social engineering</t>
        </is>
      </c>
      <c r="D31" s="973" t="inlineStr">
        <is>
          <t>T1003</t>
        </is>
      </c>
      <c r="E31" s="973" t="inlineStr">
        <is>
          <t>OS Credential Dumping</t>
        </is>
      </c>
      <c r="F31" s="973" t="inlineStr">
        <is>
          <t>S3</t>
        </is>
      </c>
      <c r="G31" s="973" t="b">
        <v>1</v>
      </c>
      <c r="H31" s="973" t="b">
        <v>1</v>
      </c>
      <c r="I31" s="973" t="b">
        <v>1</v>
      </c>
      <c r="J31" s="973" t="n">
        <v>0.8</v>
      </c>
      <c r="K31" s="973" t="n">
        <v>0.232294921875</v>
      </c>
      <c r="L31" s="973" t="n">
        <v>0.232294921875</v>
      </c>
      <c r="M31" s="973" t="inlineStr">
        <is>
          <t>Windows; Linux; macOS</t>
        </is>
      </c>
      <c r="N31" s="973" t="inlineStr">
        <is>
          <t>https://attack.mitre.org/techniques/T1003/</t>
        </is>
      </c>
      <c r="O31" s="973" t="n"/>
      <c r="P31" s="973" t="n"/>
    </row>
    <row r="32">
      <c r="A32" s="973" t="inlineStr">
        <is>
          <t>Nation-state</t>
        </is>
      </c>
      <c r="B32" s="973" t="inlineStr">
        <is>
          <t>Critical business-service disruption</t>
        </is>
      </c>
      <c r="C32" s="973" t="inlineStr">
        <is>
          <t>User endpoint and social engineering</t>
        </is>
      </c>
      <c r="D32" s="973" t="inlineStr">
        <is>
          <t>T1046</t>
        </is>
      </c>
      <c r="E32" s="973" t="inlineStr">
        <is>
          <t>Network Service Discovery</t>
        </is>
      </c>
      <c r="F32" s="973" t="inlineStr">
        <is>
          <t>S4</t>
        </is>
      </c>
      <c r="G32" s="973" t="b">
        <v>1</v>
      </c>
      <c r="H32" s="973" t="b">
        <v>1</v>
      </c>
      <c r="I32" s="973" t="b">
        <v>1</v>
      </c>
      <c r="J32" s="973" t="n">
        <v>0.6</v>
      </c>
      <c r="K32" s="973" t="n">
        <v>0.16875</v>
      </c>
      <c r="L32" s="973" t="n">
        <v>0.16875</v>
      </c>
      <c r="M32" s="973" t="inlineStr">
        <is>
          <t>Network Devices; Windows; Linux</t>
        </is>
      </c>
      <c r="N32" s="973" t="inlineStr">
        <is>
          <t>https://attack.mitre.org/techniques/T1046/</t>
        </is>
      </c>
      <c r="O32" s="973" t="n"/>
      <c r="P32" s="973" t="n"/>
    </row>
    <row r="33">
      <c r="A33" s="973" t="inlineStr">
        <is>
          <t>Nation-state</t>
        </is>
      </c>
      <c r="B33" s="973" t="inlineStr">
        <is>
          <t>Critical business-service disruption</t>
        </is>
      </c>
      <c r="C33" s="973" t="inlineStr">
        <is>
          <t>User endpoint and social engineering</t>
        </is>
      </c>
      <c r="D33" s="973" t="inlineStr">
        <is>
          <t>T1021</t>
        </is>
      </c>
      <c r="E33" s="973" t="inlineStr">
        <is>
          <t>Remote Services</t>
        </is>
      </c>
      <c r="F33" s="973" t="inlineStr">
        <is>
          <t>S4</t>
        </is>
      </c>
      <c r="G33" s="973" t="b">
        <v>1</v>
      </c>
      <c r="H33" s="973" t="b">
        <v>1</v>
      </c>
      <c r="I33" s="973" t="b">
        <v>1</v>
      </c>
      <c r="J33" s="973" t="n">
        <v>0.8</v>
      </c>
      <c r="K33" s="973" t="n">
        <v>0.1875</v>
      </c>
      <c r="L33" s="973" t="n">
        <v>0.1875</v>
      </c>
      <c r="M33" s="973" t="inlineStr">
        <is>
          <t>Windows; Linux; Network Devices</t>
        </is>
      </c>
      <c r="N33" s="973" t="inlineStr">
        <is>
          <t>https://attack.mitre.org/techniques/T1021/</t>
        </is>
      </c>
      <c r="O33" s="973" t="n"/>
      <c r="P33" s="973" t="n"/>
    </row>
    <row r="34">
      <c r="A34" s="973" t="inlineStr">
        <is>
          <t>Nation-state</t>
        </is>
      </c>
      <c r="B34" s="973" t="inlineStr">
        <is>
          <t>Critical business-service disruption</t>
        </is>
      </c>
      <c r="C34" s="973" t="inlineStr">
        <is>
          <t>User endpoint and social engineering</t>
        </is>
      </c>
      <c r="D34" s="973" t="inlineStr">
        <is>
          <t>T1213</t>
        </is>
      </c>
      <c r="E34" s="973" t="inlineStr">
        <is>
          <t>Data from Information Repositories</t>
        </is>
      </c>
      <c r="F34" s="973" t="inlineStr">
        <is>
          <t>S4</t>
        </is>
      </c>
      <c r="G34" s="973" t="b">
        <v>1</v>
      </c>
      <c r="H34" s="973" t="b">
        <v>0</v>
      </c>
      <c r="I34" s="973" t="b">
        <v>0</v>
      </c>
      <c r="J34" s="973" t="n">
        <v>0.7</v>
      </c>
      <c r="K34" s="973" t="n">
        <v>0.177890625</v>
      </c>
      <c r="L34" s="973" t="n">
        <v>0.177890625</v>
      </c>
      <c r="M34" s="973" t="inlineStr">
        <is>
          <t>SaaS; Office Suite; Windows</t>
        </is>
      </c>
      <c r="N34" s="973" t="inlineStr">
        <is>
          <t>https://attack.mitre.org/techniques/T1213/</t>
        </is>
      </c>
      <c r="O34" s="973" t="n"/>
      <c r="P34" s="973" t="n"/>
    </row>
    <row r="35">
      <c r="A35" s="973" t="inlineStr">
        <is>
          <t>Nation-state</t>
        </is>
      </c>
      <c r="B35" s="973" t="inlineStr">
        <is>
          <t>Critical business-service disruption</t>
        </is>
      </c>
      <c r="C35" s="973" t="inlineStr">
        <is>
          <t>User endpoint and social engineering</t>
        </is>
      </c>
      <c r="D35" s="973" t="inlineStr">
        <is>
          <t>T1486</t>
        </is>
      </c>
      <c r="E35" s="973" t="inlineStr">
        <is>
          <t>Data Encrypted for Impact</t>
        </is>
      </c>
      <c r="F35" s="973" t="inlineStr">
        <is>
          <t>S5</t>
        </is>
      </c>
      <c r="G35" s="973" t="b">
        <v>1</v>
      </c>
      <c r="H35" s="973" t="b">
        <v>1</v>
      </c>
      <c r="I35" s="973" t="b">
        <v>1</v>
      </c>
      <c r="J35" s="973" t="n">
        <v>0.8</v>
      </c>
      <c r="K35" s="973" t="n">
        <v>0.16875</v>
      </c>
      <c r="L35" s="973" t="n">
        <v>0.16875</v>
      </c>
      <c r="M35" s="973" t="inlineStr">
        <is>
          <t>Windows; Linux; IaaS</t>
        </is>
      </c>
      <c r="N35" s="973" t="inlineStr">
        <is>
          <t>https://attack.mitre.org/techniques/T1486/</t>
        </is>
      </c>
      <c r="O35" s="973" t="n"/>
      <c r="P35" s="973" t="n"/>
    </row>
    <row r="36">
      <c r="A36" s="973" t="inlineStr">
        <is>
          <t>Nation-state</t>
        </is>
      </c>
      <c r="B36" s="973" t="inlineStr">
        <is>
          <t>Critical business-service disruption</t>
        </is>
      </c>
      <c r="C36" s="973" t="inlineStr">
        <is>
          <t>User endpoint and social engineering</t>
        </is>
      </c>
      <c r="D36" s="973" t="inlineStr">
        <is>
          <t>T1490</t>
        </is>
      </c>
      <c r="E36" s="973" t="inlineStr">
        <is>
          <t>Inhibit System Recovery</t>
        </is>
      </c>
      <c r="F36" s="973" t="inlineStr">
        <is>
          <t>S5</t>
        </is>
      </c>
      <c r="G36" s="973" t="b">
        <v>1</v>
      </c>
      <c r="H36" s="973" t="b">
        <v>1</v>
      </c>
      <c r="I36" s="973" t="b">
        <v>1</v>
      </c>
      <c r="J36" s="973" t="n">
        <v>0.7</v>
      </c>
      <c r="K36" s="973" t="n">
        <v>0</v>
      </c>
      <c r="L36" s="973" t="n">
        <v>0</v>
      </c>
      <c r="M36" s="973" t="inlineStr">
        <is>
          <t>Windows; Linux; IaaS</t>
        </is>
      </c>
      <c r="N36" s="973" t="inlineStr">
        <is>
          <t>https://attack.mitre.org/techniques/T1490/</t>
        </is>
      </c>
      <c r="O36" s="973" t="n"/>
      <c r="P36" s="973" t="n"/>
    </row>
    <row r="37">
      <c r="A37" s="973" t="inlineStr">
        <is>
          <t>Nation-state</t>
        </is>
      </c>
      <c r="B37" s="973" t="inlineStr">
        <is>
          <t>Critical business-service disruption</t>
        </is>
      </c>
      <c r="C37" s="973" t="inlineStr">
        <is>
          <t>User endpoint and social engineering</t>
        </is>
      </c>
      <c r="D37" s="973" t="inlineStr">
        <is>
          <t>T1567</t>
        </is>
      </c>
      <c r="E37" s="973" t="inlineStr">
        <is>
          <t>Exfiltration Over Web Service</t>
        </is>
      </c>
      <c r="F37" s="973" t="inlineStr">
        <is>
          <t>S5</t>
        </is>
      </c>
      <c r="G37" s="973" t="b">
        <v>1</v>
      </c>
      <c r="H37" s="973" t="b">
        <v>0</v>
      </c>
      <c r="I37" s="973" t="b">
        <v>0</v>
      </c>
      <c r="J37" s="973" t="n">
        <v>0.7</v>
      </c>
      <c r="K37" s="973" t="n">
        <v>0.20625</v>
      </c>
      <c r="L37" s="973" t="n">
        <v>0.20625</v>
      </c>
      <c r="M37" s="973" t="inlineStr">
        <is>
          <t>SaaS; Office Suite</t>
        </is>
      </c>
      <c r="N37" s="973" t="inlineStr">
        <is>
          <t>https://attack.mitre.org/techniques/T1567/</t>
        </is>
      </c>
      <c r="O37" s="973" t="n"/>
      <c r="P37" s="973" t="n"/>
    </row>
    <row r="38">
      <c r="A38" s="973" t="inlineStr">
        <is>
          <t>Nation-state</t>
        </is>
      </c>
      <c r="B38" s="973" t="inlineStr">
        <is>
          <t>Critical business-service disruption</t>
        </is>
      </c>
      <c r="C38" s="973" t="inlineStr">
        <is>
          <t>User endpoint and social engineering</t>
        </is>
      </c>
      <c r="D38" s="973" t="inlineStr">
        <is>
          <t>T1657</t>
        </is>
      </c>
      <c r="E38" s="973" t="inlineStr">
        <is>
          <t>Financial Theft</t>
        </is>
      </c>
      <c r="F38" s="973" t="inlineStr">
        <is>
          <t>S5</t>
        </is>
      </c>
      <c r="G38" s="973" t="b">
        <v>1</v>
      </c>
      <c r="H38" s="973" t="b">
        <v>0</v>
      </c>
      <c r="I38" s="973" t="b">
        <v>0</v>
      </c>
      <c r="J38" s="973" t="n">
        <v>0.5</v>
      </c>
      <c r="K38" s="973" t="n">
        <v>0.275654296875</v>
      </c>
      <c r="L38" s="973" t="n">
        <v>0.275654296875</v>
      </c>
      <c r="M38" s="973" t="inlineStr">
        <is>
          <t>SaaS; Office Suite; Identity Provider</t>
        </is>
      </c>
      <c r="N38" s="973" t="inlineStr">
        <is>
          <t>https://attack.mitre.org/techniques/T1657/</t>
        </is>
      </c>
      <c r="O38" s="973" t="n"/>
      <c r="P38" s="973" t="n"/>
    </row>
    <row r="39">
      <c r="A39" s="973" t="inlineStr">
        <is>
          <t>Nation-state</t>
        </is>
      </c>
      <c r="B39" s="973" t="inlineStr">
        <is>
          <t>Critical business-service disruption</t>
        </is>
      </c>
      <c r="C39" s="973" t="inlineStr">
        <is>
          <t>User endpoint and social engineering</t>
        </is>
      </c>
      <c r="D39" s="973" t="inlineStr">
        <is>
          <t>T1565</t>
        </is>
      </c>
      <c r="E39" s="973" t="inlineStr">
        <is>
          <t>Data Manipulation</t>
        </is>
      </c>
      <c r="F39" s="973" t="inlineStr">
        <is>
          <t>S5</t>
        </is>
      </c>
      <c r="G39" s="973" t="b">
        <v>1</v>
      </c>
      <c r="H39" s="973" t="b">
        <v>1</v>
      </c>
      <c r="I39" s="973" t="b">
        <v>1</v>
      </c>
      <c r="J39" s="973" t="n">
        <v>0.5</v>
      </c>
      <c r="K39" s="973" t="n">
        <v>0.2206064987182617</v>
      </c>
      <c r="L39" s="973" t="n">
        <v>0.2206064987182617</v>
      </c>
      <c r="M39" s="973" t="inlineStr">
        <is>
          <t>SaaS; Databases; Windows</t>
        </is>
      </c>
      <c r="N39" s="973" t="inlineStr">
        <is>
          <t>https://attack.mitre.org/techniques/T1565/</t>
        </is>
      </c>
      <c r="O39" s="973" t="n"/>
      <c r="P39" s="973" t="n"/>
    </row>
    <row r="40">
      <c r="A40" s="973" t="inlineStr">
        <is>
          <t>Nation-state</t>
        </is>
      </c>
      <c r="B40" s="973" t="inlineStr">
        <is>
          <t>Critical business-service disruption</t>
        </is>
      </c>
      <c r="C40" s="973" t="inlineStr">
        <is>
          <t>Public-facing application exploitation</t>
        </is>
      </c>
      <c r="D40" s="973" t="inlineStr">
        <is>
          <t>T1190</t>
        </is>
      </c>
      <c r="E40" s="973" t="inlineStr">
        <is>
          <t>Exploit Public-Facing Application</t>
        </is>
      </c>
      <c r="F40" s="973" t="inlineStr">
        <is>
          <t>S1</t>
        </is>
      </c>
      <c r="G40" s="973" t="b">
        <v>1</v>
      </c>
      <c r="H40" s="973" t="b">
        <v>1</v>
      </c>
      <c r="I40" s="973" t="b">
        <v>1</v>
      </c>
      <c r="J40" s="973" t="n">
        <v>1</v>
      </c>
      <c r="K40" s="973" t="n">
        <v>0.2496630477905274</v>
      </c>
      <c r="L40" s="973" t="n">
        <v>0.2496630477905274</v>
      </c>
      <c r="M40" s="973" t="inlineStr">
        <is>
          <t>Network Devices; SaaS; IaaS</t>
        </is>
      </c>
      <c r="N40" s="973" t="inlineStr">
        <is>
          <t>https://attack.mitre.org/techniques/T1190/</t>
        </is>
      </c>
      <c r="O40" s="973" t="n"/>
      <c r="P40" s="973" t="n"/>
    </row>
    <row r="41">
      <c r="A41" s="973" t="inlineStr">
        <is>
          <t>Nation-state</t>
        </is>
      </c>
      <c r="B41" s="973" t="inlineStr">
        <is>
          <t>Critical business-service disruption</t>
        </is>
      </c>
      <c r="C41" s="973" t="inlineStr">
        <is>
          <t>Public-facing application exploitation</t>
        </is>
      </c>
      <c r="D41" s="973" t="inlineStr">
        <is>
          <t>T1059</t>
        </is>
      </c>
      <c r="E41" s="973" t="inlineStr">
        <is>
          <t>Command and Scripting Interpreter</t>
        </is>
      </c>
      <c r="F41" s="973" t="inlineStr">
        <is>
          <t>S2</t>
        </is>
      </c>
      <c r="G41" s="973" t="b">
        <v>1</v>
      </c>
      <c r="H41" s="973" t="b">
        <v>1</v>
      </c>
      <c r="I41" s="973" t="b">
        <v>1</v>
      </c>
      <c r="J41" s="973" t="n">
        <v>0.8</v>
      </c>
      <c r="K41" s="973" t="n">
        <v>0.1875</v>
      </c>
      <c r="L41" s="973" t="n">
        <v>0.1875</v>
      </c>
      <c r="M41" s="973" t="inlineStr">
        <is>
          <t>Windows; macOS; Linux; IaaS</t>
        </is>
      </c>
      <c r="N41" s="973" t="inlineStr">
        <is>
          <t>https://attack.mitre.org/techniques/T1059/</t>
        </is>
      </c>
      <c r="O41" s="973" t="n"/>
      <c r="P41" s="973" t="n"/>
    </row>
    <row r="42">
      <c r="A42" s="973" t="inlineStr">
        <is>
          <t>Nation-state</t>
        </is>
      </c>
      <c r="B42" s="973" t="inlineStr">
        <is>
          <t>Critical business-service disruption</t>
        </is>
      </c>
      <c r="C42" s="973" t="inlineStr">
        <is>
          <t>Public-facing application exploitation</t>
        </is>
      </c>
      <c r="D42" s="973" t="inlineStr">
        <is>
          <t>T1068</t>
        </is>
      </c>
      <c r="E42" s="973" t="inlineStr">
        <is>
          <t>Exploitation for Privilege Escalation</t>
        </is>
      </c>
      <c r="F42" s="973" t="inlineStr">
        <is>
          <t>S3</t>
        </is>
      </c>
      <c r="G42" s="973" t="b">
        <v>1</v>
      </c>
      <c r="H42" s="973" t="b">
        <v>1</v>
      </c>
      <c r="I42" s="973" t="b">
        <v>1</v>
      </c>
      <c r="J42" s="973" t="n">
        <v>0.7</v>
      </c>
      <c r="K42" s="973" t="n">
        <v>0.2094165115356445</v>
      </c>
      <c r="L42" s="973" t="n">
        <v>0.2094165115356445</v>
      </c>
      <c r="M42" s="973" t="inlineStr">
        <is>
          <t>Windows; macOS; Linux</t>
        </is>
      </c>
      <c r="N42" s="973" t="inlineStr">
        <is>
          <t>https://attack.mitre.org/techniques/T1068/</t>
        </is>
      </c>
      <c r="O42" s="973" t="n"/>
      <c r="P42" s="973" t="n"/>
    </row>
    <row r="43">
      <c r="A43" s="973" t="inlineStr">
        <is>
          <t>Nation-state</t>
        </is>
      </c>
      <c r="B43" s="973" t="inlineStr">
        <is>
          <t>Critical business-service disruption</t>
        </is>
      </c>
      <c r="C43" s="973" t="inlineStr">
        <is>
          <t>Public-facing application exploitation</t>
        </is>
      </c>
      <c r="D43" s="973" t="inlineStr">
        <is>
          <t>T1003</t>
        </is>
      </c>
      <c r="E43" s="973" t="inlineStr">
        <is>
          <t>OS Credential Dumping</t>
        </is>
      </c>
      <c r="F43" s="973" t="inlineStr">
        <is>
          <t>S3</t>
        </is>
      </c>
      <c r="G43" s="973" t="b">
        <v>1</v>
      </c>
      <c r="H43" s="973" t="b">
        <v>1</v>
      </c>
      <c r="I43" s="973" t="b">
        <v>1</v>
      </c>
      <c r="J43" s="973" t="n">
        <v>0.6</v>
      </c>
      <c r="K43" s="973" t="n">
        <v>0.232294921875</v>
      </c>
      <c r="L43" s="973" t="n">
        <v>0.232294921875</v>
      </c>
      <c r="M43" s="973" t="inlineStr">
        <is>
          <t>Windows; Linux; macOS</t>
        </is>
      </c>
      <c r="N43" s="973" t="inlineStr">
        <is>
          <t>https://attack.mitre.org/techniques/T1003/</t>
        </is>
      </c>
      <c r="O43" s="973" t="n"/>
      <c r="P43" s="973" t="n"/>
    </row>
    <row r="44">
      <c r="A44" s="973" t="inlineStr">
        <is>
          <t>Nation-state</t>
        </is>
      </c>
      <c r="B44" s="973" t="inlineStr">
        <is>
          <t>Critical business-service disruption</t>
        </is>
      </c>
      <c r="C44" s="973" t="inlineStr">
        <is>
          <t>Public-facing application exploitation</t>
        </is>
      </c>
      <c r="D44" s="973" t="inlineStr">
        <is>
          <t>T1046</t>
        </is>
      </c>
      <c r="E44" s="973" t="inlineStr">
        <is>
          <t>Network Service Discovery</t>
        </is>
      </c>
      <c r="F44" s="973" t="inlineStr">
        <is>
          <t>S4</t>
        </is>
      </c>
      <c r="G44" s="973" t="b">
        <v>1</v>
      </c>
      <c r="H44" s="973" t="b">
        <v>1</v>
      </c>
      <c r="I44" s="973" t="b">
        <v>1</v>
      </c>
      <c r="J44" s="973" t="n">
        <v>0.7</v>
      </c>
      <c r="K44" s="973" t="n">
        <v>0.16875</v>
      </c>
      <c r="L44" s="973" t="n">
        <v>0.16875</v>
      </c>
      <c r="M44" s="973" t="inlineStr">
        <is>
          <t>Network Devices; Windows; Linux</t>
        </is>
      </c>
      <c r="N44" s="973" t="inlineStr">
        <is>
          <t>https://attack.mitre.org/techniques/T1046/</t>
        </is>
      </c>
      <c r="O44" s="973" t="n"/>
      <c r="P44" s="973" t="n"/>
    </row>
    <row r="45">
      <c r="A45" s="973" t="inlineStr">
        <is>
          <t>Nation-state</t>
        </is>
      </c>
      <c r="B45" s="973" t="inlineStr">
        <is>
          <t>Critical business-service disruption</t>
        </is>
      </c>
      <c r="C45" s="973" t="inlineStr">
        <is>
          <t>Public-facing application exploitation</t>
        </is>
      </c>
      <c r="D45" s="973" t="inlineStr">
        <is>
          <t>T1210</t>
        </is>
      </c>
      <c r="E45" s="973" t="inlineStr">
        <is>
          <t>Exploitation of Remote Services</t>
        </is>
      </c>
      <c r="F45" s="973" t="inlineStr">
        <is>
          <t>S4</t>
        </is>
      </c>
      <c r="G45" s="973" t="b">
        <v>1</v>
      </c>
      <c r="H45" s="973" t="b">
        <v>1</v>
      </c>
      <c r="I45" s="973" t="b">
        <v>1</v>
      </c>
      <c r="J45" s="973" t="n">
        <v>0.9</v>
      </c>
      <c r="K45" s="973" t="n">
        <v>0.2103495368957519</v>
      </c>
      <c r="L45" s="973" t="n">
        <v>0.2103495368957519</v>
      </c>
      <c r="M45" s="973" t="inlineStr">
        <is>
          <t>Windows; Linux; Network Devices</t>
        </is>
      </c>
      <c r="N45" s="973" t="inlineStr">
        <is>
          <t>https://attack.mitre.org/techniques/T1210/</t>
        </is>
      </c>
      <c r="O45" s="973" t="n"/>
      <c r="P45" s="973" t="n"/>
    </row>
    <row r="46">
      <c r="A46" s="973" t="inlineStr">
        <is>
          <t>Nation-state</t>
        </is>
      </c>
      <c r="B46" s="973" t="inlineStr">
        <is>
          <t>Critical business-service disruption</t>
        </is>
      </c>
      <c r="C46" s="973" t="inlineStr">
        <is>
          <t>Public-facing application exploitation</t>
        </is>
      </c>
      <c r="D46" s="973" t="inlineStr">
        <is>
          <t>T1021</t>
        </is>
      </c>
      <c r="E46" s="973" t="inlineStr">
        <is>
          <t>Remote Services</t>
        </is>
      </c>
      <c r="F46" s="973" t="inlineStr">
        <is>
          <t>S4</t>
        </is>
      </c>
      <c r="G46" s="973" t="b">
        <v>1</v>
      </c>
      <c r="H46" s="973" t="b">
        <v>1</v>
      </c>
      <c r="I46" s="973" t="b">
        <v>1</v>
      </c>
      <c r="J46" s="973" t="n">
        <v>0.7</v>
      </c>
      <c r="K46" s="973" t="n">
        <v>0.1875</v>
      </c>
      <c r="L46" s="973" t="n">
        <v>0.1875</v>
      </c>
      <c r="M46" s="973" t="inlineStr">
        <is>
          <t>Windows; Linux; Network Devices</t>
        </is>
      </c>
      <c r="N46" s="973" t="inlineStr">
        <is>
          <t>https://attack.mitre.org/techniques/T1021/</t>
        </is>
      </c>
      <c r="O46" s="973" t="n"/>
      <c r="P46" s="973" t="n"/>
    </row>
    <row r="47">
      <c r="A47" s="973" t="inlineStr">
        <is>
          <t>Nation-state</t>
        </is>
      </c>
      <c r="B47" s="973" t="inlineStr">
        <is>
          <t>Critical business-service disruption</t>
        </is>
      </c>
      <c r="C47" s="973" t="inlineStr">
        <is>
          <t>Public-facing application exploitation</t>
        </is>
      </c>
      <c r="D47" s="973" t="inlineStr">
        <is>
          <t>T1486</t>
        </is>
      </c>
      <c r="E47" s="973" t="inlineStr">
        <is>
          <t>Data Encrypted for Impact</t>
        </is>
      </c>
      <c r="F47" s="973" t="inlineStr">
        <is>
          <t>S5</t>
        </is>
      </c>
      <c r="G47" s="973" t="b">
        <v>1</v>
      </c>
      <c r="H47" s="973" t="b">
        <v>1</v>
      </c>
      <c r="I47" s="973" t="b">
        <v>1</v>
      </c>
      <c r="J47" s="973" t="n">
        <v>0.6</v>
      </c>
      <c r="K47" s="973" t="n">
        <v>0.16875</v>
      </c>
      <c r="L47" s="973" t="n">
        <v>0.16875</v>
      </c>
      <c r="M47" s="973" t="inlineStr">
        <is>
          <t>Windows; Linux; IaaS</t>
        </is>
      </c>
      <c r="N47" s="973" t="inlineStr">
        <is>
          <t>https://attack.mitre.org/techniques/T1486/</t>
        </is>
      </c>
      <c r="O47" s="973" t="n"/>
      <c r="P47" s="973" t="n"/>
    </row>
    <row r="48">
      <c r="A48" s="973" t="inlineStr">
        <is>
          <t>Nation-state</t>
        </is>
      </c>
      <c r="B48" s="973" t="inlineStr">
        <is>
          <t>Critical business-service disruption</t>
        </is>
      </c>
      <c r="C48" s="973" t="inlineStr">
        <is>
          <t>Public-facing application exploitation</t>
        </is>
      </c>
      <c r="D48" s="973" t="inlineStr">
        <is>
          <t>T1490</t>
        </is>
      </c>
      <c r="E48" s="973" t="inlineStr">
        <is>
          <t>Inhibit System Recovery</t>
        </is>
      </c>
      <c r="F48" s="973" t="inlineStr">
        <is>
          <t>S5</t>
        </is>
      </c>
      <c r="G48" s="973" t="b">
        <v>1</v>
      </c>
      <c r="H48" s="973" t="b">
        <v>1</v>
      </c>
      <c r="I48" s="973" t="b">
        <v>1</v>
      </c>
      <c r="J48" s="973" t="n">
        <v>0.5</v>
      </c>
      <c r="K48" s="973" t="n">
        <v>0</v>
      </c>
      <c r="L48" s="973" t="n">
        <v>0</v>
      </c>
      <c r="M48" s="973" t="inlineStr">
        <is>
          <t>Windows; Linux; IaaS</t>
        </is>
      </c>
      <c r="N48" s="973" t="inlineStr">
        <is>
          <t>https://attack.mitre.org/techniques/T1490/</t>
        </is>
      </c>
      <c r="O48" s="973" t="n"/>
      <c r="P48" s="973" t="n"/>
    </row>
    <row r="49">
      <c r="A49" s="973" t="inlineStr">
        <is>
          <t>Nation-state</t>
        </is>
      </c>
      <c r="B49" s="973" t="inlineStr">
        <is>
          <t>Critical business-service disruption</t>
        </is>
      </c>
      <c r="C49" s="973" t="inlineStr">
        <is>
          <t>Public-facing application exploitation</t>
        </is>
      </c>
      <c r="D49" s="973" t="inlineStr">
        <is>
          <t>T1567</t>
        </is>
      </c>
      <c r="E49" s="973" t="inlineStr">
        <is>
          <t>Exfiltration Over Web Service</t>
        </is>
      </c>
      <c r="F49" s="973" t="inlineStr">
        <is>
          <t>S5</t>
        </is>
      </c>
      <c r="G49" s="973" t="b">
        <v>1</v>
      </c>
      <c r="H49" s="973" t="b">
        <v>0</v>
      </c>
      <c r="I49" s="973" t="b">
        <v>0</v>
      </c>
      <c r="J49" s="973" t="n">
        <v>0.6</v>
      </c>
      <c r="K49" s="973" t="n">
        <v>0.20625</v>
      </c>
      <c r="L49" s="973" t="n">
        <v>0.20625</v>
      </c>
      <c r="M49" s="973" t="inlineStr">
        <is>
          <t>SaaS; Office Suite</t>
        </is>
      </c>
      <c r="N49" s="973" t="inlineStr">
        <is>
          <t>https://attack.mitre.org/techniques/T1567/</t>
        </is>
      </c>
      <c r="O49" s="973" t="n"/>
      <c r="P49" s="973" t="n"/>
    </row>
    <row r="50">
      <c r="A50" s="973" t="inlineStr">
        <is>
          <t>Nation-state</t>
        </is>
      </c>
      <c r="B50" s="973" t="inlineStr">
        <is>
          <t>Critical business-service disruption</t>
        </is>
      </c>
      <c r="C50" s="973" t="inlineStr">
        <is>
          <t>Public-facing application exploitation</t>
        </is>
      </c>
      <c r="D50" s="973" t="inlineStr">
        <is>
          <t>T1565</t>
        </is>
      </c>
      <c r="E50" s="973" t="inlineStr">
        <is>
          <t>Data Manipulation</t>
        </is>
      </c>
      <c r="F50" s="973" t="inlineStr">
        <is>
          <t>S5</t>
        </is>
      </c>
      <c r="G50" s="973" t="b">
        <v>1</v>
      </c>
      <c r="H50" s="973" t="b">
        <v>1</v>
      </c>
      <c r="I50" s="973" t="b">
        <v>1</v>
      </c>
      <c r="J50" s="973" t="n">
        <v>0.6</v>
      </c>
      <c r="K50" s="973" t="n">
        <v>0.2206064987182617</v>
      </c>
      <c r="L50" s="973" t="n">
        <v>0.2206064987182617</v>
      </c>
      <c r="M50" s="973" t="inlineStr">
        <is>
          <t>SaaS; Databases; Windows</t>
        </is>
      </c>
      <c r="N50" s="973" t="inlineStr">
        <is>
          <t>https://attack.mitre.org/techniques/T1565/</t>
        </is>
      </c>
      <c r="O50" s="973" t="n"/>
      <c r="P50" s="973" t="n"/>
    </row>
    <row r="51">
      <c r="A51" s="973" t="inlineStr">
        <is>
          <t>Nation-state</t>
        </is>
      </c>
      <c r="B51" s="973" t="inlineStr">
        <is>
          <t>Critical business-service disruption</t>
        </is>
      </c>
      <c r="C51" s="973" t="inlineStr">
        <is>
          <t>Public-facing application exploitation</t>
        </is>
      </c>
      <c r="D51" s="973" t="inlineStr">
        <is>
          <t>T1657</t>
        </is>
      </c>
      <c r="E51" s="973" t="inlineStr">
        <is>
          <t>Financial Theft</t>
        </is>
      </c>
      <c r="F51" s="973" t="inlineStr">
        <is>
          <t>S5</t>
        </is>
      </c>
      <c r="G51" s="973" t="b">
        <v>1</v>
      </c>
      <c r="H51" s="973" t="b">
        <v>0</v>
      </c>
      <c r="I51" s="973" t="b">
        <v>0</v>
      </c>
      <c r="J51" s="973" t="n">
        <v>0.4</v>
      </c>
      <c r="K51" s="973" t="n">
        <v>0.275654296875</v>
      </c>
      <c r="L51" s="973" t="n">
        <v>0.275654296875</v>
      </c>
      <c r="M51" s="973" t="inlineStr">
        <is>
          <t>SaaS; Office Suite; Identity Provider</t>
        </is>
      </c>
      <c r="N51" s="973" t="inlineStr">
        <is>
          <t>https://attack.mitre.org/techniques/T1657/</t>
        </is>
      </c>
      <c r="O51" s="973" t="n"/>
      <c r="P51" s="973" t="n"/>
    </row>
    <row r="52">
      <c r="A52" s="973" t="inlineStr">
        <is>
          <t>Nation-state</t>
        </is>
      </c>
      <c r="B52" s="973" t="inlineStr">
        <is>
          <t>Critical business-service disruption</t>
        </is>
      </c>
      <c r="C52" s="973" t="inlineStr">
        <is>
          <t>Third-party or software supply chain</t>
        </is>
      </c>
      <c r="D52" s="973" t="inlineStr">
        <is>
          <t>T1199</t>
        </is>
      </c>
      <c r="E52" s="973" t="inlineStr">
        <is>
          <t>Trusted Relationship</t>
        </is>
      </c>
      <c r="F52" s="973" t="inlineStr">
        <is>
          <t>S3</t>
        </is>
      </c>
      <c r="G52" s="973" t="b">
        <v>1</v>
      </c>
      <c r="H52" s="973" t="b">
        <v>1</v>
      </c>
      <c r="I52" s="973" t="b">
        <v>1</v>
      </c>
      <c r="J52" s="973" t="n">
        <v>1</v>
      </c>
      <c r="K52" s="973" t="n">
        <v>0.20625</v>
      </c>
      <c r="L52" s="973" t="n">
        <v>0.20625</v>
      </c>
      <c r="M52" s="973" t="inlineStr">
        <is>
          <t>SaaS; IaaS; Network Devices</t>
        </is>
      </c>
      <c r="N52" s="973" t="inlineStr">
        <is>
          <t>https://attack.mitre.org/techniques/T1199/</t>
        </is>
      </c>
      <c r="O52" s="973" t="n"/>
      <c r="P52" s="973" t="n"/>
    </row>
    <row r="53">
      <c r="A53" s="973" t="inlineStr">
        <is>
          <t>Nation-state</t>
        </is>
      </c>
      <c r="B53" s="973" t="inlineStr">
        <is>
          <t>Critical business-service disruption</t>
        </is>
      </c>
      <c r="C53" s="973" t="inlineStr">
        <is>
          <t>Third-party or software supply chain</t>
        </is>
      </c>
      <c r="D53" s="973" t="inlineStr">
        <is>
          <t>T1098</t>
        </is>
      </c>
      <c r="E53" s="973" t="inlineStr">
        <is>
          <t>Account Manipulation</t>
        </is>
      </c>
      <c r="F53" s="973" t="inlineStr">
        <is>
          <t>S3</t>
        </is>
      </c>
      <c r="G53" s="973" t="b">
        <v>1</v>
      </c>
      <c r="H53" s="973" t="b">
        <v>1</v>
      </c>
      <c r="I53" s="973" t="b">
        <v>1</v>
      </c>
      <c r="J53" s="973" t="n">
        <v>0.6</v>
      </c>
      <c r="K53" s="973" t="n">
        <v>0.2477547340393066</v>
      </c>
      <c r="L53" s="973" t="n">
        <v>0.2477547340393066</v>
      </c>
      <c r="M53" s="973" t="inlineStr">
        <is>
          <t>Identity Provider; SaaS; Windows</t>
        </is>
      </c>
      <c r="N53" s="973" t="inlineStr">
        <is>
          <t>https://attack.mitre.org/techniques/T1098/</t>
        </is>
      </c>
      <c r="O53" s="973" t="n"/>
      <c r="P53" s="973" t="n"/>
    </row>
    <row r="54">
      <c r="A54" s="973" t="inlineStr">
        <is>
          <t>Nation-state</t>
        </is>
      </c>
      <c r="B54" s="973" t="inlineStr">
        <is>
          <t>Critical business-service disruption</t>
        </is>
      </c>
      <c r="C54" s="973" t="inlineStr">
        <is>
          <t>Third-party or software supply chain</t>
        </is>
      </c>
      <c r="D54" s="973" t="inlineStr">
        <is>
          <t>T1087</t>
        </is>
      </c>
      <c r="E54" s="973" t="inlineStr">
        <is>
          <t>Account Discovery</t>
        </is>
      </c>
      <c r="F54" s="973" t="inlineStr">
        <is>
          <t>S4</t>
        </is>
      </c>
      <c r="G54" s="973" t="b">
        <v>1</v>
      </c>
      <c r="H54" s="973" t="b">
        <v>1</v>
      </c>
      <c r="I54" s="973" t="b">
        <v>1</v>
      </c>
      <c r="J54" s="973" t="n">
        <v>0.5</v>
      </c>
      <c r="K54" s="973" t="n">
        <v>0</v>
      </c>
      <c r="L54" s="973" t="n">
        <v>0</v>
      </c>
      <c r="M54" s="973" t="inlineStr">
        <is>
          <t>Identity Provider; SaaS; Windows</t>
        </is>
      </c>
      <c r="N54" s="973" t="inlineStr">
        <is>
          <t>https://attack.mitre.org/techniques/T1087/</t>
        </is>
      </c>
      <c r="O54" s="973" t="n"/>
      <c r="P54" s="973" t="n"/>
    </row>
    <row r="55">
      <c r="A55" s="973" t="inlineStr">
        <is>
          <t>Nation-state</t>
        </is>
      </c>
      <c r="B55" s="973" t="inlineStr">
        <is>
          <t>Critical business-service disruption</t>
        </is>
      </c>
      <c r="C55" s="973" t="inlineStr">
        <is>
          <t>Third-party or software supply chain</t>
        </is>
      </c>
      <c r="D55" s="973" t="inlineStr">
        <is>
          <t>T1213</t>
        </is>
      </c>
      <c r="E55" s="973" t="inlineStr">
        <is>
          <t>Data from Information Repositories</t>
        </is>
      </c>
      <c r="F55" s="973" t="inlineStr">
        <is>
          <t>S4</t>
        </is>
      </c>
      <c r="G55" s="973" t="b">
        <v>1</v>
      </c>
      <c r="H55" s="973" t="b">
        <v>0</v>
      </c>
      <c r="I55" s="973" t="b">
        <v>0</v>
      </c>
      <c r="J55" s="973" t="n">
        <v>0.7</v>
      </c>
      <c r="K55" s="973" t="n">
        <v>0.177890625</v>
      </c>
      <c r="L55" s="973" t="n">
        <v>0.177890625</v>
      </c>
      <c r="M55" s="973" t="inlineStr">
        <is>
          <t>SaaS; Office Suite; Windows</t>
        </is>
      </c>
      <c r="N55" s="973" t="inlineStr">
        <is>
          <t>https://attack.mitre.org/techniques/T1213/</t>
        </is>
      </c>
      <c r="O55" s="973" t="n"/>
      <c r="P55" s="973" t="n"/>
    </row>
    <row r="56">
      <c r="A56" s="973" t="inlineStr">
        <is>
          <t>Nation-state</t>
        </is>
      </c>
      <c r="B56" s="973" t="inlineStr">
        <is>
          <t>Critical business-service disruption</t>
        </is>
      </c>
      <c r="C56" s="973" t="inlineStr">
        <is>
          <t>Third-party or software supply chain</t>
        </is>
      </c>
      <c r="D56" s="973" t="inlineStr">
        <is>
          <t>T1567</t>
        </is>
      </c>
      <c r="E56" s="973" t="inlineStr">
        <is>
          <t>Exfiltration Over Web Service</t>
        </is>
      </c>
      <c r="F56" s="973" t="inlineStr">
        <is>
          <t>S5</t>
        </is>
      </c>
      <c r="G56" s="973" t="b">
        <v>1</v>
      </c>
      <c r="H56" s="973" t="b">
        <v>0</v>
      </c>
      <c r="I56" s="973" t="b">
        <v>0</v>
      </c>
      <c r="J56" s="973" t="n">
        <v>0.6</v>
      </c>
      <c r="K56" s="973" t="n">
        <v>0.20625</v>
      </c>
      <c r="L56" s="973" t="n">
        <v>0.20625</v>
      </c>
      <c r="M56" s="973" t="inlineStr">
        <is>
          <t>SaaS; Office Suite</t>
        </is>
      </c>
      <c r="N56" s="973" t="inlineStr">
        <is>
          <t>https://attack.mitre.org/techniques/T1567/</t>
        </is>
      </c>
      <c r="O56" s="973" t="n"/>
      <c r="P56" s="973" t="n"/>
    </row>
    <row r="57">
      <c r="A57" s="973" t="inlineStr">
        <is>
          <t>Nation-state</t>
        </is>
      </c>
      <c r="B57" s="973" t="inlineStr">
        <is>
          <t>Critical business-service disruption</t>
        </is>
      </c>
      <c r="C57" s="973" t="inlineStr">
        <is>
          <t>Third-party or software supply chain</t>
        </is>
      </c>
      <c r="D57" s="973" t="inlineStr">
        <is>
          <t>T1486</t>
        </is>
      </c>
      <c r="E57" s="973" t="inlineStr">
        <is>
          <t>Data Encrypted for Impact</t>
        </is>
      </c>
      <c r="F57" s="973" t="inlineStr">
        <is>
          <t>S5</t>
        </is>
      </c>
      <c r="G57" s="973" t="b">
        <v>1</v>
      </c>
      <c r="H57" s="973" t="b">
        <v>1</v>
      </c>
      <c r="I57" s="973" t="b">
        <v>1</v>
      </c>
      <c r="J57" s="973" t="n">
        <v>0.5</v>
      </c>
      <c r="K57" s="973" t="n">
        <v>0.16875</v>
      </c>
      <c r="L57" s="973" t="n">
        <v>0.16875</v>
      </c>
      <c r="M57" s="973" t="inlineStr">
        <is>
          <t>Windows; Linux; IaaS</t>
        </is>
      </c>
      <c r="N57" s="973" t="inlineStr">
        <is>
          <t>https://attack.mitre.org/techniques/T1486/</t>
        </is>
      </c>
      <c r="O57" s="973" t="n"/>
      <c r="P57" s="973" t="n"/>
    </row>
    <row r="58">
      <c r="A58" s="973" t="inlineStr">
        <is>
          <t>Nation-state</t>
        </is>
      </c>
      <c r="B58" s="973" t="inlineStr">
        <is>
          <t>Critical business-service disruption</t>
        </is>
      </c>
      <c r="C58" s="973" t="inlineStr">
        <is>
          <t>Third-party or software supply chain</t>
        </is>
      </c>
      <c r="D58" s="973" t="inlineStr">
        <is>
          <t>T1565</t>
        </is>
      </c>
      <c r="E58" s="973" t="inlineStr">
        <is>
          <t>Data Manipulation</t>
        </is>
      </c>
      <c r="F58" s="973" t="inlineStr">
        <is>
          <t>S5</t>
        </is>
      </c>
      <c r="G58" s="973" t="b">
        <v>1</v>
      </c>
      <c r="H58" s="973" t="b">
        <v>1</v>
      </c>
      <c r="I58" s="973" t="b">
        <v>1</v>
      </c>
      <c r="J58" s="973" t="n">
        <v>0.6</v>
      </c>
      <c r="K58" s="973" t="n">
        <v>0.2206064987182617</v>
      </c>
      <c r="L58" s="973" t="n">
        <v>0.2206064987182617</v>
      </c>
      <c r="M58" s="973" t="inlineStr">
        <is>
          <t>SaaS; Databases; Windows</t>
        </is>
      </c>
      <c r="N58" s="973" t="inlineStr">
        <is>
          <t>https://attack.mitre.org/techniques/T1565/</t>
        </is>
      </c>
      <c r="O58" s="973" t="n"/>
      <c r="P58" s="973" t="n"/>
    </row>
    <row r="59">
      <c r="A59" s="973" t="inlineStr">
        <is>
          <t>Nation-state</t>
        </is>
      </c>
      <c r="B59" s="973" t="inlineStr">
        <is>
          <t>Critical business-service disruption</t>
        </is>
      </c>
      <c r="C59" s="973" t="inlineStr">
        <is>
          <t>Third-party or software supply chain</t>
        </is>
      </c>
      <c r="D59" s="973" t="inlineStr">
        <is>
          <t>T1657</t>
        </is>
      </c>
      <c r="E59" s="973" t="inlineStr">
        <is>
          <t>Financial Theft</t>
        </is>
      </c>
      <c r="F59" s="973" t="inlineStr">
        <is>
          <t>S5</t>
        </is>
      </c>
      <c r="G59" s="973" t="b">
        <v>1</v>
      </c>
      <c r="H59" s="973" t="b">
        <v>0</v>
      </c>
      <c r="I59" s="973" t="b">
        <v>0</v>
      </c>
      <c r="J59" s="973" t="n">
        <v>0.5</v>
      </c>
      <c r="K59" s="973" t="n">
        <v>0.275654296875</v>
      </c>
      <c r="L59" s="973" t="n">
        <v>0.275654296875</v>
      </c>
      <c r="M59" s="973" t="inlineStr">
        <is>
          <t>SaaS; Office Suite; Identity Provider</t>
        </is>
      </c>
      <c r="N59" s="973" t="inlineStr">
        <is>
          <t>https://attack.mitre.org/techniques/T1657/</t>
        </is>
      </c>
      <c r="O59" s="973" t="n"/>
      <c r="P59" s="973" t="n"/>
    </row>
    <row r="60">
      <c r="A60" s="973" t="inlineStr">
        <is>
          <t>Nation-state</t>
        </is>
      </c>
      <c r="B60" s="973" t="inlineStr">
        <is>
          <t>Critical business-service disruption</t>
        </is>
      </c>
      <c r="C60" s="973" t="inlineStr">
        <is>
          <t>Direct availability or DDoS</t>
        </is>
      </c>
      <c r="D60" s="973" t="inlineStr">
        <is>
          <t>T1498</t>
        </is>
      </c>
      <c r="E60" s="973" t="inlineStr">
        <is>
          <t>Network Denial of Service</t>
        </is>
      </c>
      <c r="F60" s="973" t="inlineStr">
        <is>
          <t>S1</t>
        </is>
      </c>
      <c r="G60" s="973" t="b">
        <v>1</v>
      </c>
      <c r="H60" s="973" t="b">
        <v>1</v>
      </c>
      <c r="I60" s="973" t="b">
        <v>1</v>
      </c>
      <c r="J60" s="973" t="n">
        <v>1</v>
      </c>
      <c r="K60" s="973" t="n">
        <v>0.2866992187499999</v>
      </c>
      <c r="L60" s="973" t="n">
        <v>0.2866992187499999</v>
      </c>
      <c r="M60" s="973" t="inlineStr">
        <is>
          <t>Network Devices</t>
        </is>
      </c>
      <c r="N60" s="973" t="inlineStr">
        <is>
          <t>https://attack.mitre.org/techniques/T1498/</t>
        </is>
      </c>
      <c r="O60" s="973" t="n"/>
      <c r="P60" s="973" t="n"/>
    </row>
    <row r="61">
      <c r="A61" s="973" t="inlineStr">
        <is>
          <t>Nation-state</t>
        </is>
      </c>
      <c r="B61" s="973" t="inlineStr">
        <is>
          <t>Critical business-service disruption</t>
        </is>
      </c>
      <c r="C61" s="973" t="inlineStr">
        <is>
          <t>Direct availability or DDoS</t>
        </is>
      </c>
      <c r="D61" s="973" t="inlineStr">
        <is>
          <t>T1499</t>
        </is>
      </c>
      <c r="E61" s="973" t="inlineStr">
        <is>
          <t>Endpoint Denial of Service</t>
        </is>
      </c>
      <c r="F61" s="973" t="inlineStr">
        <is>
          <t>S5</t>
        </is>
      </c>
      <c r="G61" s="973" t="b">
        <v>1</v>
      </c>
      <c r="H61" s="973" t="b">
        <v>1</v>
      </c>
      <c r="I61" s="973" t="b">
        <v>1</v>
      </c>
      <c r="J61" s="973" t="n">
        <v>1</v>
      </c>
      <c r="K61" s="973" t="n">
        <v>0.225</v>
      </c>
      <c r="L61" s="973" t="n">
        <v>0.225</v>
      </c>
      <c r="M61" s="973" t="inlineStr">
        <is>
          <t>Windows; Linux; Network Devices</t>
        </is>
      </c>
      <c r="N61" s="973" t="inlineStr">
        <is>
          <t>https://attack.mitre.org/techniques/T1499/</t>
        </is>
      </c>
      <c r="O61" s="973" t="n"/>
      <c r="P61" s="973" t="n"/>
    </row>
    <row r="62">
      <c r="A62" s="973" t="inlineStr">
        <is>
          <t>Nation-state</t>
        </is>
      </c>
      <c r="B62" s="973" t="inlineStr">
        <is>
          <t>Critical business-service disruption</t>
        </is>
      </c>
      <c r="C62" s="973" t="inlineStr">
        <is>
          <t>Insider or trusted access</t>
        </is>
      </c>
      <c r="D62" s="973" t="inlineStr">
        <is>
          <t>T1098</t>
        </is>
      </c>
      <c r="E62" s="973" t="inlineStr">
        <is>
          <t>Account Manipulation</t>
        </is>
      </c>
      <c r="F62" s="973" t="inlineStr">
        <is>
          <t>S3</t>
        </is>
      </c>
      <c r="G62" s="973" t="b">
        <v>1</v>
      </c>
      <c r="H62" s="973" t="b">
        <v>1</v>
      </c>
      <c r="I62" s="973" t="b">
        <v>1</v>
      </c>
      <c r="J62" s="973" t="n">
        <v>0.8</v>
      </c>
      <c r="K62" s="973" t="n">
        <v>0.2477547340393066</v>
      </c>
      <c r="L62" s="973" t="n">
        <v>0.2477547340393066</v>
      </c>
      <c r="M62" s="973" t="inlineStr">
        <is>
          <t>Identity Provider; SaaS; Windows</t>
        </is>
      </c>
      <c r="N62" s="973" t="inlineStr">
        <is>
          <t>https://attack.mitre.org/techniques/T1098/</t>
        </is>
      </c>
      <c r="O62" s="973" t="n"/>
      <c r="P62" s="973" t="n"/>
    </row>
    <row r="63">
      <c r="A63" s="973" t="inlineStr">
        <is>
          <t>Nation-state</t>
        </is>
      </c>
      <c r="B63" s="973" t="inlineStr">
        <is>
          <t>Critical business-service disruption</t>
        </is>
      </c>
      <c r="C63" s="973" t="inlineStr">
        <is>
          <t>Insider or trusted access</t>
        </is>
      </c>
      <c r="D63" s="973" t="inlineStr">
        <is>
          <t>T1087</t>
        </is>
      </c>
      <c r="E63" s="973" t="inlineStr">
        <is>
          <t>Account Discovery</t>
        </is>
      </c>
      <c r="F63" s="973" t="inlineStr">
        <is>
          <t>S4</t>
        </is>
      </c>
      <c r="G63" s="973" t="b">
        <v>1</v>
      </c>
      <c r="H63" s="973" t="b">
        <v>1</v>
      </c>
      <c r="I63" s="973" t="b">
        <v>1</v>
      </c>
      <c r="J63" s="973" t="n">
        <v>0.6</v>
      </c>
      <c r="K63" s="973" t="n">
        <v>0</v>
      </c>
      <c r="L63" s="973" t="n">
        <v>0</v>
      </c>
      <c r="M63" s="973" t="inlineStr">
        <is>
          <t>Identity Provider; SaaS; Windows</t>
        </is>
      </c>
      <c r="N63" s="973" t="inlineStr">
        <is>
          <t>https://attack.mitre.org/techniques/T1087/</t>
        </is>
      </c>
      <c r="O63" s="973" t="n"/>
      <c r="P63" s="973" t="n"/>
    </row>
    <row r="64">
      <c r="A64" s="973" t="inlineStr">
        <is>
          <t>Nation-state</t>
        </is>
      </c>
      <c r="B64" s="973" t="inlineStr">
        <is>
          <t>Critical business-service disruption</t>
        </is>
      </c>
      <c r="C64" s="973" t="inlineStr">
        <is>
          <t>Insider or trusted access</t>
        </is>
      </c>
      <c r="D64" s="973" t="inlineStr">
        <is>
          <t>T1213</t>
        </is>
      </c>
      <c r="E64" s="973" t="inlineStr">
        <is>
          <t>Data from Information Repositories</t>
        </is>
      </c>
      <c r="F64" s="973" t="inlineStr">
        <is>
          <t>S4</t>
        </is>
      </c>
      <c r="G64" s="973" t="b">
        <v>1</v>
      </c>
      <c r="H64" s="973" t="b">
        <v>0</v>
      </c>
      <c r="I64" s="973" t="b">
        <v>0</v>
      </c>
      <c r="J64" s="973" t="n">
        <v>0.9</v>
      </c>
      <c r="K64" s="973" t="n">
        <v>0.177890625</v>
      </c>
      <c r="L64" s="973" t="n">
        <v>0.177890625</v>
      </c>
      <c r="M64" s="973" t="inlineStr">
        <is>
          <t>SaaS; Office Suite; Windows</t>
        </is>
      </c>
      <c r="N64" s="973" t="inlineStr">
        <is>
          <t>https://attack.mitre.org/techniques/T1213/</t>
        </is>
      </c>
      <c r="O64" s="973" t="n"/>
      <c r="P64" s="973" t="n"/>
    </row>
    <row r="65">
      <c r="A65" s="973" t="inlineStr">
        <is>
          <t>Nation-state</t>
        </is>
      </c>
      <c r="B65" s="973" t="inlineStr">
        <is>
          <t>Critical business-service disruption</t>
        </is>
      </c>
      <c r="C65" s="973" t="inlineStr">
        <is>
          <t>Insider or trusted access</t>
        </is>
      </c>
      <c r="D65" s="973" t="inlineStr">
        <is>
          <t>T1567</t>
        </is>
      </c>
      <c r="E65" s="973" t="inlineStr">
        <is>
          <t>Exfiltration Over Web Service</t>
        </is>
      </c>
      <c r="F65" s="973" t="inlineStr">
        <is>
          <t>S5</t>
        </is>
      </c>
      <c r="G65" s="973" t="b">
        <v>1</v>
      </c>
      <c r="H65" s="973" t="b">
        <v>0</v>
      </c>
      <c r="I65" s="973" t="b">
        <v>0</v>
      </c>
      <c r="J65" s="973" t="n">
        <v>0.8</v>
      </c>
      <c r="K65" s="973" t="n">
        <v>0.20625</v>
      </c>
      <c r="L65" s="973" t="n">
        <v>0.20625</v>
      </c>
      <c r="M65" s="973" t="inlineStr">
        <is>
          <t>SaaS; Office Suite</t>
        </is>
      </c>
      <c r="N65" s="973" t="inlineStr">
        <is>
          <t>https://attack.mitre.org/techniques/T1567/</t>
        </is>
      </c>
      <c r="O65" s="973" t="n"/>
      <c r="P65" s="973" t="n"/>
    </row>
    <row r="66">
      <c r="A66" s="973" t="inlineStr">
        <is>
          <t>Nation-state</t>
        </is>
      </c>
      <c r="B66" s="973" t="inlineStr">
        <is>
          <t>Critical business-service disruption</t>
        </is>
      </c>
      <c r="C66" s="973" t="inlineStr">
        <is>
          <t>Insider or trusted access</t>
        </is>
      </c>
      <c r="D66" s="973" t="inlineStr">
        <is>
          <t>T1565</t>
        </is>
      </c>
      <c r="E66" s="973" t="inlineStr">
        <is>
          <t>Data Manipulation</t>
        </is>
      </c>
      <c r="F66" s="973" t="inlineStr">
        <is>
          <t>S5</t>
        </is>
      </c>
      <c r="G66" s="973" t="b">
        <v>1</v>
      </c>
      <c r="H66" s="973" t="b">
        <v>1</v>
      </c>
      <c r="I66" s="973" t="b">
        <v>1</v>
      </c>
      <c r="J66" s="973" t="n">
        <v>0.9</v>
      </c>
      <c r="K66" s="973" t="n">
        <v>0.2206064987182617</v>
      </c>
      <c r="L66" s="973" t="n">
        <v>0.2206064987182617</v>
      </c>
      <c r="M66" s="973" t="inlineStr">
        <is>
          <t>SaaS; Databases; Windows</t>
        </is>
      </c>
      <c r="N66" s="973" t="inlineStr">
        <is>
          <t>https://attack.mitre.org/techniques/T1565/</t>
        </is>
      </c>
      <c r="O66" s="973" t="n"/>
      <c r="P66" s="973" t="n"/>
    </row>
    <row r="67">
      <c r="A67" s="973" t="inlineStr">
        <is>
          <t>Nation-state</t>
        </is>
      </c>
      <c r="B67" s="973" t="inlineStr">
        <is>
          <t>Critical business-service disruption</t>
        </is>
      </c>
      <c r="C67" s="973" t="inlineStr">
        <is>
          <t>Insider or trusted access</t>
        </is>
      </c>
      <c r="D67" s="973" t="inlineStr">
        <is>
          <t>T1657</t>
        </is>
      </c>
      <c r="E67" s="973" t="inlineStr">
        <is>
          <t>Financial Theft</t>
        </is>
      </c>
      <c r="F67" s="973" t="inlineStr">
        <is>
          <t>S5</t>
        </is>
      </c>
      <c r="G67" s="973" t="b">
        <v>1</v>
      </c>
      <c r="H67" s="973" t="b">
        <v>0</v>
      </c>
      <c r="I67" s="973" t="b">
        <v>0</v>
      </c>
      <c r="J67" s="973" t="n">
        <v>0.9</v>
      </c>
      <c r="K67" s="973" t="n">
        <v>0.275654296875</v>
      </c>
      <c r="L67" s="973" t="n">
        <v>0.275654296875</v>
      </c>
      <c r="M67" s="973" t="inlineStr">
        <is>
          <t>SaaS; Office Suite; Identity Provider</t>
        </is>
      </c>
      <c r="N67" s="973" t="inlineStr">
        <is>
          <t>https://attack.mitre.org/techniques/T1657/</t>
        </is>
      </c>
      <c r="O67" s="973" t="n"/>
      <c r="P67" s="973" t="n"/>
    </row>
    <row r="68">
      <c r="A68" s="973" t="inlineStr">
        <is>
          <t>Nation-state</t>
        </is>
      </c>
      <c r="B68" s="973" t="inlineStr">
        <is>
          <t>Sensitive-data compromise</t>
        </is>
      </c>
      <c r="C68" s="973" t="inlineStr">
        <is>
          <t>Identity and credential compromise</t>
        </is>
      </c>
      <c r="D68" s="973" t="inlineStr">
        <is>
          <t>T1566</t>
        </is>
      </c>
      <c r="E68" s="973" t="inlineStr">
        <is>
          <t>Phishing</t>
        </is>
      </c>
      <c r="F68" s="973" t="inlineStr">
        <is>
          <t>S1</t>
        </is>
      </c>
      <c r="G68" s="973" t="b">
        <v>1</v>
      </c>
      <c r="H68" s="973" t="b">
        <v>1</v>
      </c>
      <c r="I68" s="973" t="b">
        <v>1</v>
      </c>
      <c r="J68" s="973" t="n">
        <v>1</v>
      </c>
      <c r="K68" s="973" t="n">
        <v>0.20625</v>
      </c>
      <c r="L68" s="973" t="n">
        <v>0.20625</v>
      </c>
      <c r="M68" s="973" t="inlineStr">
        <is>
          <t>Windows; SaaS; Office Suite</t>
        </is>
      </c>
      <c r="N68" s="973" t="inlineStr">
        <is>
          <t>https://attack.mitre.org/techniques/T1566/</t>
        </is>
      </c>
      <c r="O68" s="973" t="n"/>
      <c r="P68" s="973" t="n"/>
    </row>
    <row r="69">
      <c r="A69" s="973" t="inlineStr">
        <is>
          <t>Nation-state</t>
        </is>
      </c>
      <c r="B69" s="973" t="inlineStr">
        <is>
          <t>Sensitive-data compromise</t>
        </is>
      </c>
      <c r="C69" s="973" t="inlineStr">
        <is>
          <t>Identity and credential compromise</t>
        </is>
      </c>
      <c r="D69" s="973" t="inlineStr">
        <is>
          <t>T1078</t>
        </is>
      </c>
      <c r="E69" s="973" t="inlineStr">
        <is>
          <t>Valid Accounts</t>
        </is>
      </c>
      <c r="F69" s="973" t="inlineStr">
        <is>
          <t>S1</t>
        </is>
      </c>
      <c r="G69" s="973" t="b">
        <v>1</v>
      </c>
      <c r="H69" s="973" t="b">
        <v>1</v>
      </c>
      <c r="I69" s="973" t="b">
        <v>1</v>
      </c>
      <c r="J69" s="973" t="n">
        <v>1</v>
      </c>
      <c r="K69" s="973" t="n">
        <v>0.272109375</v>
      </c>
      <c r="L69" s="973" t="n">
        <v>0.272109375</v>
      </c>
      <c r="M69" s="973" t="inlineStr">
        <is>
          <t>Identity Provider; SaaS; IaaS; Windows</t>
        </is>
      </c>
      <c r="N69" s="973" t="inlineStr">
        <is>
          <t>https://attack.mitre.org/techniques/T1078/</t>
        </is>
      </c>
      <c r="O69" s="973" t="n"/>
      <c r="P69" s="973" t="n"/>
    </row>
    <row r="70">
      <c r="A70" s="973" t="inlineStr">
        <is>
          <t>Nation-state</t>
        </is>
      </c>
      <c r="B70" s="973" t="inlineStr">
        <is>
          <t>Sensitive-data compromise</t>
        </is>
      </c>
      <c r="C70" s="973" t="inlineStr">
        <is>
          <t>Identity and credential compromise</t>
        </is>
      </c>
      <c r="D70" s="973" t="inlineStr">
        <is>
          <t>T1110</t>
        </is>
      </c>
      <c r="E70" s="973" t="inlineStr">
        <is>
          <t>Brute Force</t>
        </is>
      </c>
      <c r="F70" s="973" t="inlineStr">
        <is>
          <t>S1</t>
        </is>
      </c>
      <c r="G70" s="973" t="b">
        <v>1</v>
      </c>
      <c r="H70" s="973" t="b">
        <v>1</v>
      </c>
      <c r="I70" s="973" t="b">
        <v>1</v>
      </c>
      <c r="J70" s="973" t="n">
        <v>0.7</v>
      </c>
      <c r="K70" s="973" t="n">
        <v>0.24375</v>
      </c>
      <c r="L70" s="973" t="n">
        <v>0.24375</v>
      </c>
      <c r="M70" s="973" t="inlineStr">
        <is>
          <t>Identity Provider; SaaS; Windows</t>
        </is>
      </c>
      <c r="N70" s="973" t="inlineStr">
        <is>
          <t>https://attack.mitre.org/techniques/T1110/</t>
        </is>
      </c>
      <c r="O70" s="973" t="n"/>
      <c r="P70" s="973" t="n"/>
    </row>
    <row r="71">
      <c r="A71" s="973" t="inlineStr">
        <is>
          <t>Nation-state</t>
        </is>
      </c>
      <c r="B71" s="973" t="inlineStr">
        <is>
          <t>Sensitive-data compromise</t>
        </is>
      </c>
      <c r="C71" s="973" t="inlineStr">
        <is>
          <t>Identity and credential compromise</t>
        </is>
      </c>
      <c r="D71" s="973" t="inlineStr">
        <is>
          <t>T1098</t>
        </is>
      </c>
      <c r="E71" s="973" t="inlineStr">
        <is>
          <t>Account Manipulation</t>
        </is>
      </c>
      <c r="F71" s="973" t="inlineStr">
        <is>
          <t>S3</t>
        </is>
      </c>
      <c r="G71" s="973" t="b">
        <v>1</v>
      </c>
      <c r="H71" s="973" t="b">
        <v>1</v>
      </c>
      <c r="I71" s="973" t="b">
        <v>1</v>
      </c>
      <c r="J71" s="973" t="n">
        <v>0.7</v>
      </c>
      <c r="K71" s="973" t="n">
        <v>0.2477547340393066</v>
      </c>
      <c r="L71" s="973" t="n">
        <v>0.2477547340393066</v>
      </c>
      <c r="M71" s="973" t="inlineStr">
        <is>
          <t>Identity Provider; SaaS; Windows</t>
        </is>
      </c>
      <c r="N71" s="973" t="inlineStr">
        <is>
          <t>https://attack.mitre.org/techniques/T1098/</t>
        </is>
      </c>
      <c r="O71" s="973" t="n"/>
      <c r="P71" s="973" t="n"/>
    </row>
    <row r="72">
      <c r="A72" s="973" t="inlineStr">
        <is>
          <t>Nation-state</t>
        </is>
      </c>
      <c r="B72" s="973" t="inlineStr">
        <is>
          <t>Sensitive-data compromise</t>
        </is>
      </c>
      <c r="C72" s="973" t="inlineStr">
        <is>
          <t>Identity and credential compromise</t>
        </is>
      </c>
      <c r="D72" s="973" t="inlineStr">
        <is>
          <t>T1087</t>
        </is>
      </c>
      <c r="E72" s="973" t="inlineStr">
        <is>
          <t>Account Discovery</t>
        </is>
      </c>
      <c r="F72" s="973" t="inlineStr">
        <is>
          <t>S4</t>
        </is>
      </c>
      <c r="G72" s="973" t="b">
        <v>1</v>
      </c>
      <c r="H72" s="973" t="b">
        <v>1</v>
      </c>
      <c r="I72" s="973" t="b">
        <v>1</v>
      </c>
      <c r="J72" s="973" t="n">
        <v>0.6</v>
      </c>
      <c r="K72" s="973" t="n">
        <v>0</v>
      </c>
      <c r="L72" s="973" t="n">
        <v>0</v>
      </c>
      <c r="M72" s="973" t="inlineStr">
        <is>
          <t>Identity Provider; SaaS; Windows</t>
        </is>
      </c>
      <c r="N72" s="973" t="inlineStr">
        <is>
          <t>https://attack.mitre.org/techniques/T1087/</t>
        </is>
      </c>
      <c r="O72" s="973" t="n"/>
      <c r="P72" s="973" t="n"/>
    </row>
    <row r="73">
      <c r="A73" s="973" t="inlineStr">
        <is>
          <t>Nation-state</t>
        </is>
      </c>
      <c r="B73" s="973" t="inlineStr">
        <is>
          <t>Sensitive-data compromise</t>
        </is>
      </c>
      <c r="C73" s="973" t="inlineStr">
        <is>
          <t>Identity and credential compromise</t>
        </is>
      </c>
      <c r="D73" s="973" t="inlineStr">
        <is>
          <t>T1213</t>
        </is>
      </c>
      <c r="E73" s="973" t="inlineStr">
        <is>
          <t>Data from Information Repositories</t>
        </is>
      </c>
      <c r="F73" s="973" t="inlineStr">
        <is>
          <t>S4</t>
        </is>
      </c>
      <c r="G73" s="973" t="b">
        <v>1</v>
      </c>
      <c r="H73" s="973" t="b">
        <v>1</v>
      </c>
      <c r="I73" s="973" t="b">
        <v>1</v>
      </c>
      <c r="J73" s="973" t="n">
        <v>0.8</v>
      </c>
      <c r="K73" s="973" t="n">
        <v>0.177890625</v>
      </c>
      <c r="L73" s="973" t="n">
        <v>0.177890625</v>
      </c>
      <c r="M73" s="973" t="inlineStr">
        <is>
          <t>SaaS; Office Suite; Windows</t>
        </is>
      </c>
      <c r="N73" s="973" t="inlineStr">
        <is>
          <t>https://attack.mitre.org/techniques/T1213/</t>
        </is>
      </c>
      <c r="O73" s="973" t="n"/>
      <c r="P73" s="973" t="n"/>
    </row>
    <row r="74">
      <c r="A74" s="973" t="inlineStr">
        <is>
          <t>Nation-state</t>
        </is>
      </c>
      <c r="B74" s="973" t="inlineStr">
        <is>
          <t>Sensitive-data compromise</t>
        </is>
      </c>
      <c r="C74" s="973" t="inlineStr">
        <is>
          <t>Identity and credential compromise</t>
        </is>
      </c>
      <c r="D74" s="973" t="inlineStr">
        <is>
          <t>T1567</t>
        </is>
      </c>
      <c r="E74" s="973" t="inlineStr">
        <is>
          <t>Exfiltration Over Web Service</t>
        </is>
      </c>
      <c r="F74" s="973" t="inlineStr">
        <is>
          <t>S5</t>
        </is>
      </c>
      <c r="G74" s="973" t="b">
        <v>1</v>
      </c>
      <c r="H74" s="973" t="b">
        <v>1</v>
      </c>
      <c r="I74" s="973" t="b">
        <v>1</v>
      </c>
      <c r="J74" s="973" t="n">
        <v>0.7</v>
      </c>
      <c r="K74" s="973" t="n">
        <v>0.20625</v>
      </c>
      <c r="L74" s="973" t="n">
        <v>0.20625</v>
      </c>
      <c r="M74" s="973" t="inlineStr">
        <is>
          <t>SaaS; Office Suite</t>
        </is>
      </c>
      <c r="N74" s="973" t="inlineStr">
        <is>
          <t>https://attack.mitre.org/techniques/T1567/</t>
        </is>
      </c>
      <c r="O74" s="973" t="n"/>
      <c r="P74" s="973" t="n"/>
    </row>
    <row r="75">
      <c r="A75" s="973" t="inlineStr">
        <is>
          <t>Nation-state</t>
        </is>
      </c>
      <c r="B75" s="973" t="inlineStr">
        <is>
          <t>Sensitive-data compromise</t>
        </is>
      </c>
      <c r="C75" s="973" t="inlineStr">
        <is>
          <t>Identity and credential compromise</t>
        </is>
      </c>
      <c r="D75" s="973" t="inlineStr">
        <is>
          <t>T1657</t>
        </is>
      </c>
      <c r="E75" s="973" t="inlineStr">
        <is>
          <t>Financial Theft</t>
        </is>
      </c>
      <c r="F75" s="973" t="inlineStr">
        <is>
          <t>S5</t>
        </is>
      </c>
      <c r="G75" s="973" t="b">
        <v>1</v>
      </c>
      <c r="H75" s="973" t="b">
        <v>0</v>
      </c>
      <c r="I75" s="973" t="b">
        <v>0</v>
      </c>
      <c r="J75" s="973" t="n">
        <v>0.8</v>
      </c>
      <c r="K75" s="973" t="n">
        <v>0.275654296875</v>
      </c>
      <c r="L75" s="973" t="n">
        <v>0.275654296875</v>
      </c>
      <c r="M75" s="973" t="inlineStr">
        <is>
          <t>SaaS; Office Suite; Identity Provider</t>
        </is>
      </c>
      <c r="N75" s="973" t="inlineStr">
        <is>
          <t>https://attack.mitre.org/techniques/T1657/</t>
        </is>
      </c>
      <c r="O75" s="973" t="n"/>
      <c r="P75" s="973" t="n"/>
    </row>
    <row r="76">
      <c r="A76" s="973" t="inlineStr">
        <is>
          <t>Nation-state</t>
        </is>
      </c>
      <c r="B76" s="973" t="inlineStr">
        <is>
          <t>Sensitive-data compromise</t>
        </is>
      </c>
      <c r="C76" s="973" t="inlineStr">
        <is>
          <t>Identity and credential compromise</t>
        </is>
      </c>
      <c r="D76" s="973" t="inlineStr">
        <is>
          <t>T1565</t>
        </is>
      </c>
      <c r="E76" s="973" t="inlineStr">
        <is>
          <t>Data Manipulation</t>
        </is>
      </c>
      <c r="F76" s="973" t="inlineStr">
        <is>
          <t>S5</t>
        </is>
      </c>
      <c r="G76" s="973" t="b">
        <v>1</v>
      </c>
      <c r="H76" s="973" t="b">
        <v>0</v>
      </c>
      <c r="I76" s="973" t="b">
        <v>0</v>
      </c>
      <c r="J76" s="973" t="n">
        <v>0.5</v>
      </c>
      <c r="K76" s="973" t="n">
        <v>0.2206064987182617</v>
      </c>
      <c r="L76" s="973" t="n">
        <v>0.2206064987182617</v>
      </c>
      <c r="M76" s="973" t="inlineStr">
        <is>
          <t>SaaS; Databases; Windows</t>
        </is>
      </c>
      <c r="N76" s="973" t="inlineStr">
        <is>
          <t>https://attack.mitre.org/techniques/T1565/</t>
        </is>
      </c>
      <c r="O76" s="973" t="n"/>
      <c r="P76" s="973" t="n"/>
    </row>
    <row r="77">
      <c r="A77" s="973" t="inlineStr">
        <is>
          <t>Nation-state</t>
        </is>
      </c>
      <c r="B77" s="973" t="inlineStr">
        <is>
          <t>Sensitive-data compromise</t>
        </is>
      </c>
      <c r="C77" s="973" t="inlineStr">
        <is>
          <t>Identity and credential compromise</t>
        </is>
      </c>
      <c r="D77" s="973" t="inlineStr">
        <is>
          <t>T1486</t>
        </is>
      </c>
      <c r="E77" s="973" t="inlineStr">
        <is>
          <t>Data Encrypted for Impact</t>
        </is>
      </c>
      <c r="F77" s="973" t="inlineStr">
        <is>
          <t>S5</t>
        </is>
      </c>
      <c r="G77" s="973" t="b">
        <v>1</v>
      </c>
      <c r="H77" s="973" t="b">
        <v>0</v>
      </c>
      <c r="I77" s="973" t="b">
        <v>0</v>
      </c>
      <c r="J77" s="973" t="n">
        <v>0.7</v>
      </c>
      <c r="K77" s="973" t="n">
        <v>0.16875</v>
      </c>
      <c r="L77" s="973" t="n">
        <v>0.16875</v>
      </c>
      <c r="M77" s="973" t="inlineStr">
        <is>
          <t>Windows; Linux; IaaS</t>
        </is>
      </c>
      <c r="N77" s="973" t="inlineStr">
        <is>
          <t>https://attack.mitre.org/techniques/T1486/</t>
        </is>
      </c>
      <c r="O77" s="973" t="n"/>
      <c r="P77" s="973" t="n"/>
    </row>
    <row r="78">
      <c r="A78" s="973" t="inlineStr">
        <is>
          <t>Nation-state</t>
        </is>
      </c>
      <c r="B78" s="973" t="inlineStr">
        <is>
          <t>Sensitive-data compromise</t>
        </is>
      </c>
      <c r="C78" s="973" t="inlineStr">
        <is>
          <t>Identity and credential compromise</t>
        </is>
      </c>
      <c r="D78" s="973" t="inlineStr">
        <is>
          <t>T1490</t>
        </is>
      </c>
      <c r="E78" s="973" t="inlineStr">
        <is>
          <t>Inhibit System Recovery</t>
        </is>
      </c>
      <c r="F78" s="973" t="inlineStr">
        <is>
          <t>S5</t>
        </is>
      </c>
      <c r="G78" s="973" t="b">
        <v>1</v>
      </c>
      <c r="H78" s="973" t="b">
        <v>0</v>
      </c>
      <c r="I78" s="973" t="b">
        <v>0</v>
      </c>
      <c r="J78" s="973" t="n">
        <v>0.6</v>
      </c>
      <c r="K78" s="973" t="n">
        <v>0</v>
      </c>
      <c r="L78" s="973" t="n">
        <v>0</v>
      </c>
      <c r="M78" s="973" t="inlineStr">
        <is>
          <t>Windows; Linux; IaaS</t>
        </is>
      </c>
      <c r="N78" s="973" t="inlineStr">
        <is>
          <t>https://attack.mitre.org/techniques/T1490/</t>
        </is>
      </c>
      <c r="O78" s="973" t="n"/>
      <c r="P78" s="973" t="n"/>
    </row>
    <row r="79">
      <c r="A79" s="973" t="inlineStr">
        <is>
          <t>Nation-state</t>
        </is>
      </c>
      <c r="B79" s="973" t="inlineStr">
        <is>
          <t>Sensitive-data compromise</t>
        </is>
      </c>
      <c r="C79" s="973" t="inlineStr">
        <is>
          <t>User endpoint and social engineering</t>
        </is>
      </c>
      <c r="D79" s="973" t="inlineStr">
        <is>
          <t>T1566</t>
        </is>
      </c>
      <c r="E79" s="973" t="inlineStr">
        <is>
          <t>Phishing</t>
        </is>
      </c>
      <c r="F79" s="973" t="inlineStr">
        <is>
          <t>S1</t>
        </is>
      </c>
      <c r="G79" s="973" t="b">
        <v>1</v>
      </c>
      <c r="H79" s="973" t="b">
        <v>1</v>
      </c>
      <c r="I79" s="973" t="b">
        <v>1</v>
      </c>
      <c r="J79" s="973" t="n">
        <v>1</v>
      </c>
      <c r="K79" s="973" t="n">
        <v>0.20625</v>
      </c>
      <c r="L79" s="973" t="n">
        <v>0.20625</v>
      </c>
      <c r="M79" s="973" t="inlineStr">
        <is>
          <t>Windows; SaaS; Office Suite</t>
        </is>
      </c>
      <c r="N79" s="973" t="inlineStr">
        <is>
          <t>https://attack.mitre.org/techniques/T1566/</t>
        </is>
      </c>
      <c r="O79" s="973" t="n"/>
      <c r="P79" s="973" t="n"/>
    </row>
    <row r="80">
      <c r="A80" s="973" t="inlineStr">
        <is>
          <t>Nation-state</t>
        </is>
      </c>
      <c r="B80" s="973" t="inlineStr">
        <is>
          <t>Sensitive-data compromise</t>
        </is>
      </c>
      <c r="C80" s="973" t="inlineStr">
        <is>
          <t>User endpoint and social engineering</t>
        </is>
      </c>
      <c r="D80" s="973" t="inlineStr">
        <is>
          <t>T1203</t>
        </is>
      </c>
      <c r="E80" s="973" t="inlineStr">
        <is>
          <t>Exploitation for Client Execution</t>
        </is>
      </c>
      <c r="F80" s="973" t="inlineStr">
        <is>
          <t>S2</t>
        </is>
      </c>
      <c r="G80" s="973" t="b">
        <v>1</v>
      </c>
      <c r="H80" s="973" t="b">
        <v>1</v>
      </c>
      <c r="I80" s="973" t="b">
        <v>1</v>
      </c>
      <c r="J80" s="973" t="n">
        <v>0.8</v>
      </c>
      <c r="K80" s="973" t="n">
        <v>0.2404920959472656</v>
      </c>
      <c r="L80" s="973" t="n">
        <v>0.2404920959472656</v>
      </c>
      <c r="M80" s="973" t="inlineStr">
        <is>
          <t>Windows; macOS; Linux</t>
        </is>
      </c>
      <c r="N80" s="973" t="inlineStr">
        <is>
          <t>https://attack.mitre.org/techniques/T1203/</t>
        </is>
      </c>
      <c r="O80" s="973" t="n"/>
      <c r="P80" s="973" t="n"/>
    </row>
    <row r="81">
      <c r="A81" s="973" t="inlineStr">
        <is>
          <t>Nation-state</t>
        </is>
      </c>
      <c r="B81" s="973" t="inlineStr">
        <is>
          <t>Sensitive-data compromise</t>
        </is>
      </c>
      <c r="C81" s="973" t="inlineStr">
        <is>
          <t>User endpoint and social engineering</t>
        </is>
      </c>
      <c r="D81" s="973" t="inlineStr">
        <is>
          <t>T1059</t>
        </is>
      </c>
      <c r="E81" s="973" t="inlineStr">
        <is>
          <t>Command and Scripting Interpreter</t>
        </is>
      </c>
      <c r="F81" s="973" t="inlineStr">
        <is>
          <t>S2</t>
        </is>
      </c>
      <c r="G81" s="973" t="b">
        <v>1</v>
      </c>
      <c r="H81" s="973" t="b">
        <v>1</v>
      </c>
      <c r="I81" s="973" t="b">
        <v>1</v>
      </c>
      <c r="J81" s="973" t="n">
        <v>0.9</v>
      </c>
      <c r="K81" s="973" t="n">
        <v>0.1875</v>
      </c>
      <c r="L81" s="973" t="n">
        <v>0.1875</v>
      </c>
      <c r="M81" s="973" t="inlineStr">
        <is>
          <t>Windows; macOS; Linux; IaaS</t>
        </is>
      </c>
      <c r="N81" s="973" t="inlineStr">
        <is>
          <t>https://attack.mitre.org/techniques/T1059/</t>
        </is>
      </c>
      <c r="O81" s="973" t="n"/>
      <c r="P81" s="973" t="n"/>
    </row>
    <row r="82">
      <c r="A82" s="973" t="inlineStr">
        <is>
          <t>Nation-state</t>
        </is>
      </c>
      <c r="B82" s="973" t="inlineStr">
        <is>
          <t>Sensitive-data compromise</t>
        </is>
      </c>
      <c r="C82" s="973" t="inlineStr">
        <is>
          <t>User endpoint and social engineering</t>
        </is>
      </c>
      <c r="D82" s="973" t="inlineStr">
        <is>
          <t>T1068</t>
        </is>
      </c>
      <c r="E82" s="973" t="inlineStr">
        <is>
          <t>Exploitation for Privilege Escalation</t>
        </is>
      </c>
      <c r="F82" s="973" t="inlineStr">
        <is>
          <t>S3</t>
        </is>
      </c>
      <c r="G82" s="973" t="b">
        <v>1</v>
      </c>
      <c r="H82" s="973" t="b">
        <v>1</v>
      </c>
      <c r="I82" s="973" t="b">
        <v>1</v>
      </c>
      <c r="J82" s="973" t="n">
        <v>0.7</v>
      </c>
      <c r="K82" s="973" t="n">
        <v>0.2094165115356445</v>
      </c>
      <c r="L82" s="973" t="n">
        <v>0.2094165115356445</v>
      </c>
      <c r="M82" s="973" t="inlineStr">
        <is>
          <t>Windows; macOS; Linux</t>
        </is>
      </c>
      <c r="N82" s="973" t="inlineStr">
        <is>
          <t>https://attack.mitre.org/techniques/T1068/</t>
        </is>
      </c>
      <c r="O82" s="973" t="n"/>
      <c r="P82" s="973" t="n"/>
    </row>
    <row r="83">
      <c r="A83" s="973" t="inlineStr">
        <is>
          <t>Nation-state</t>
        </is>
      </c>
      <c r="B83" s="973" t="inlineStr">
        <is>
          <t>Sensitive-data compromise</t>
        </is>
      </c>
      <c r="C83" s="973" t="inlineStr">
        <is>
          <t>User endpoint and social engineering</t>
        </is>
      </c>
      <c r="D83" s="973" t="inlineStr">
        <is>
          <t>T1003</t>
        </is>
      </c>
      <c r="E83" s="973" t="inlineStr">
        <is>
          <t>OS Credential Dumping</t>
        </is>
      </c>
      <c r="F83" s="973" t="inlineStr">
        <is>
          <t>S3</t>
        </is>
      </c>
      <c r="G83" s="973" t="b">
        <v>1</v>
      </c>
      <c r="H83" s="973" t="b">
        <v>1</v>
      </c>
      <c r="I83" s="973" t="b">
        <v>1</v>
      </c>
      <c r="J83" s="973" t="n">
        <v>0.8</v>
      </c>
      <c r="K83" s="973" t="n">
        <v>0.232294921875</v>
      </c>
      <c r="L83" s="973" t="n">
        <v>0.232294921875</v>
      </c>
      <c r="M83" s="973" t="inlineStr">
        <is>
          <t>Windows; Linux; macOS</t>
        </is>
      </c>
      <c r="N83" s="973" t="inlineStr">
        <is>
          <t>https://attack.mitre.org/techniques/T1003/</t>
        </is>
      </c>
      <c r="O83" s="973" t="n"/>
      <c r="P83" s="973" t="n"/>
    </row>
    <row r="84">
      <c r="A84" s="973" t="inlineStr">
        <is>
          <t>Nation-state</t>
        </is>
      </c>
      <c r="B84" s="973" t="inlineStr">
        <is>
          <t>Sensitive-data compromise</t>
        </is>
      </c>
      <c r="C84" s="973" t="inlineStr">
        <is>
          <t>User endpoint and social engineering</t>
        </is>
      </c>
      <c r="D84" s="973" t="inlineStr">
        <is>
          <t>T1046</t>
        </is>
      </c>
      <c r="E84" s="973" t="inlineStr">
        <is>
          <t>Network Service Discovery</t>
        </is>
      </c>
      <c r="F84" s="973" t="inlineStr">
        <is>
          <t>S4</t>
        </is>
      </c>
      <c r="G84" s="973" t="b">
        <v>1</v>
      </c>
      <c r="H84" s="973" t="b">
        <v>1</v>
      </c>
      <c r="I84" s="973" t="b">
        <v>1</v>
      </c>
      <c r="J84" s="973" t="n">
        <v>0.6</v>
      </c>
      <c r="K84" s="973" t="n">
        <v>0.16875</v>
      </c>
      <c r="L84" s="973" t="n">
        <v>0.16875</v>
      </c>
      <c r="M84" s="973" t="inlineStr">
        <is>
          <t>Network Devices; Windows; Linux</t>
        </is>
      </c>
      <c r="N84" s="973" t="inlineStr">
        <is>
          <t>https://attack.mitre.org/techniques/T1046/</t>
        </is>
      </c>
      <c r="O84" s="973" t="n"/>
      <c r="P84" s="973" t="n"/>
    </row>
    <row r="85">
      <c r="A85" s="973" t="inlineStr">
        <is>
          <t>Nation-state</t>
        </is>
      </c>
      <c r="B85" s="973" t="inlineStr">
        <is>
          <t>Sensitive-data compromise</t>
        </is>
      </c>
      <c r="C85" s="973" t="inlineStr">
        <is>
          <t>User endpoint and social engineering</t>
        </is>
      </c>
      <c r="D85" s="973" t="inlineStr">
        <is>
          <t>T1021</t>
        </is>
      </c>
      <c r="E85" s="973" t="inlineStr">
        <is>
          <t>Remote Services</t>
        </is>
      </c>
      <c r="F85" s="973" t="inlineStr">
        <is>
          <t>S4</t>
        </is>
      </c>
      <c r="G85" s="973" t="b">
        <v>1</v>
      </c>
      <c r="H85" s="973" t="b">
        <v>1</v>
      </c>
      <c r="I85" s="973" t="b">
        <v>1</v>
      </c>
      <c r="J85" s="973" t="n">
        <v>0.8</v>
      </c>
      <c r="K85" s="973" t="n">
        <v>0.1875</v>
      </c>
      <c r="L85" s="973" t="n">
        <v>0.1875</v>
      </c>
      <c r="M85" s="973" t="inlineStr">
        <is>
          <t>Windows; Linux; Network Devices</t>
        </is>
      </c>
      <c r="N85" s="973" t="inlineStr">
        <is>
          <t>https://attack.mitre.org/techniques/T1021/</t>
        </is>
      </c>
      <c r="O85" s="973" t="n"/>
      <c r="P85" s="973" t="n"/>
    </row>
    <row r="86">
      <c r="A86" s="973" t="inlineStr">
        <is>
          <t>Nation-state</t>
        </is>
      </c>
      <c r="B86" s="973" t="inlineStr">
        <is>
          <t>Sensitive-data compromise</t>
        </is>
      </c>
      <c r="C86" s="973" t="inlineStr">
        <is>
          <t>User endpoint and social engineering</t>
        </is>
      </c>
      <c r="D86" s="973" t="inlineStr">
        <is>
          <t>T1213</t>
        </is>
      </c>
      <c r="E86" s="973" t="inlineStr">
        <is>
          <t>Data from Information Repositories</t>
        </is>
      </c>
      <c r="F86" s="973" t="inlineStr">
        <is>
          <t>S4</t>
        </is>
      </c>
      <c r="G86" s="973" t="b">
        <v>1</v>
      </c>
      <c r="H86" s="973" t="b">
        <v>1</v>
      </c>
      <c r="I86" s="973" t="b">
        <v>1</v>
      </c>
      <c r="J86" s="973" t="n">
        <v>0.7</v>
      </c>
      <c r="K86" s="973" t="n">
        <v>0.177890625</v>
      </c>
      <c r="L86" s="973" t="n">
        <v>0.177890625</v>
      </c>
      <c r="M86" s="973" t="inlineStr">
        <is>
          <t>SaaS; Office Suite; Windows</t>
        </is>
      </c>
      <c r="N86" s="973" t="inlineStr">
        <is>
          <t>https://attack.mitre.org/techniques/T1213/</t>
        </is>
      </c>
      <c r="O86" s="973" t="n"/>
      <c r="P86" s="973" t="n"/>
    </row>
    <row r="87">
      <c r="A87" s="973" t="inlineStr">
        <is>
          <t>Nation-state</t>
        </is>
      </c>
      <c r="B87" s="973" t="inlineStr">
        <is>
          <t>Sensitive-data compromise</t>
        </is>
      </c>
      <c r="C87" s="973" t="inlineStr">
        <is>
          <t>User endpoint and social engineering</t>
        </is>
      </c>
      <c r="D87" s="973" t="inlineStr">
        <is>
          <t>T1486</t>
        </is>
      </c>
      <c r="E87" s="973" t="inlineStr">
        <is>
          <t>Data Encrypted for Impact</t>
        </is>
      </c>
      <c r="F87" s="973" t="inlineStr">
        <is>
          <t>S5</t>
        </is>
      </c>
      <c r="G87" s="973" t="b">
        <v>1</v>
      </c>
      <c r="H87" s="973" t="b">
        <v>0</v>
      </c>
      <c r="I87" s="973" t="b">
        <v>0</v>
      </c>
      <c r="J87" s="973" t="n">
        <v>0.8</v>
      </c>
      <c r="K87" s="973" t="n">
        <v>0.16875</v>
      </c>
      <c r="L87" s="973" t="n">
        <v>0.16875</v>
      </c>
      <c r="M87" s="973" t="inlineStr">
        <is>
          <t>Windows; Linux; IaaS</t>
        </is>
      </c>
      <c r="N87" s="973" t="inlineStr">
        <is>
          <t>https://attack.mitre.org/techniques/T1486/</t>
        </is>
      </c>
      <c r="O87" s="973" t="n"/>
      <c r="P87" s="973" t="n"/>
    </row>
    <row r="88">
      <c r="A88" s="973" t="inlineStr">
        <is>
          <t>Nation-state</t>
        </is>
      </c>
      <c r="B88" s="973" t="inlineStr">
        <is>
          <t>Sensitive-data compromise</t>
        </is>
      </c>
      <c r="C88" s="973" t="inlineStr">
        <is>
          <t>User endpoint and social engineering</t>
        </is>
      </c>
      <c r="D88" s="973" t="inlineStr">
        <is>
          <t>T1490</t>
        </is>
      </c>
      <c r="E88" s="973" t="inlineStr">
        <is>
          <t>Inhibit System Recovery</t>
        </is>
      </c>
      <c r="F88" s="973" t="inlineStr">
        <is>
          <t>S5</t>
        </is>
      </c>
      <c r="G88" s="973" t="b">
        <v>1</v>
      </c>
      <c r="H88" s="973" t="b">
        <v>0</v>
      </c>
      <c r="I88" s="973" t="b">
        <v>0</v>
      </c>
      <c r="J88" s="973" t="n">
        <v>0.7</v>
      </c>
      <c r="K88" s="973" t="n">
        <v>0</v>
      </c>
      <c r="L88" s="973" t="n">
        <v>0</v>
      </c>
      <c r="M88" s="973" t="inlineStr">
        <is>
          <t>Windows; Linux; IaaS</t>
        </is>
      </c>
      <c r="N88" s="973" t="inlineStr">
        <is>
          <t>https://attack.mitre.org/techniques/T1490/</t>
        </is>
      </c>
      <c r="O88" s="973" t="n"/>
      <c r="P88" s="973" t="n"/>
    </row>
    <row r="89">
      <c r="A89" s="973" t="inlineStr">
        <is>
          <t>Nation-state</t>
        </is>
      </c>
      <c r="B89" s="973" t="inlineStr">
        <is>
          <t>Sensitive-data compromise</t>
        </is>
      </c>
      <c r="C89" s="973" t="inlineStr">
        <is>
          <t>User endpoint and social engineering</t>
        </is>
      </c>
      <c r="D89" s="973" t="inlineStr">
        <is>
          <t>T1567</t>
        </is>
      </c>
      <c r="E89" s="973" t="inlineStr">
        <is>
          <t>Exfiltration Over Web Service</t>
        </is>
      </c>
      <c r="F89" s="973" t="inlineStr">
        <is>
          <t>S5</t>
        </is>
      </c>
      <c r="G89" s="973" t="b">
        <v>1</v>
      </c>
      <c r="H89" s="973" t="b">
        <v>1</v>
      </c>
      <c r="I89" s="973" t="b">
        <v>1</v>
      </c>
      <c r="J89" s="973" t="n">
        <v>0.7</v>
      </c>
      <c r="K89" s="973" t="n">
        <v>0.20625</v>
      </c>
      <c r="L89" s="973" t="n">
        <v>0.20625</v>
      </c>
      <c r="M89" s="973" t="inlineStr">
        <is>
          <t>SaaS; Office Suite</t>
        </is>
      </c>
      <c r="N89" s="973" t="inlineStr">
        <is>
          <t>https://attack.mitre.org/techniques/T1567/</t>
        </is>
      </c>
      <c r="O89" s="973" t="n"/>
      <c r="P89" s="973" t="n"/>
    </row>
    <row r="90">
      <c r="A90" s="973" t="inlineStr">
        <is>
          <t>Nation-state</t>
        </is>
      </c>
      <c r="B90" s="973" t="inlineStr">
        <is>
          <t>Sensitive-data compromise</t>
        </is>
      </c>
      <c r="C90" s="973" t="inlineStr">
        <is>
          <t>User endpoint and social engineering</t>
        </is>
      </c>
      <c r="D90" s="973" t="inlineStr">
        <is>
          <t>T1657</t>
        </is>
      </c>
      <c r="E90" s="973" t="inlineStr">
        <is>
          <t>Financial Theft</t>
        </is>
      </c>
      <c r="F90" s="973" t="inlineStr">
        <is>
          <t>S5</t>
        </is>
      </c>
      <c r="G90" s="973" t="b">
        <v>1</v>
      </c>
      <c r="H90" s="973" t="b">
        <v>0</v>
      </c>
      <c r="I90" s="973" t="b">
        <v>0</v>
      </c>
      <c r="J90" s="973" t="n">
        <v>0.5</v>
      </c>
      <c r="K90" s="973" t="n">
        <v>0.275654296875</v>
      </c>
      <c r="L90" s="973" t="n">
        <v>0.275654296875</v>
      </c>
      <c r="M90" s="973" t="inlineStr">
        <is>
          <t>SaaS; Office Suite; Identity Provider</t>
        </is>
      </c>
      <c r="N90" s="973" t="inlineStr">
        <is>
          <t>https://attack.mitre.org/techniques/T1657/</t>
        </is>
      </c>
      <c r="O90" s="973" t="n"/>
      <c r="P90" s="973" t="n"/>
    </row>
    <row r="91">
      <c r="A91" s="973" t="inlineStr">
        <is>
          <t>Nation-state</t>
        </is>
      </c>
      <c r="B91" s="973" t="inlineStr">
        <is>
          <t>Sensitive-data compromise</t>
        </is>
      </c>
      <c r="C91" s="973" t="inlineStr">
        <is>
          <t>User endpoint and social engineering</t>
        </is>
      </c>
      <c r="D91" s="973" t="inlineStr">
        <is>
          <t>T1565</t>
        </is>
      </c>
      <c r="E91" s="973" t="inlineStr">
        <is>
          <t>Data Manipulation</t>
        </is>
      </c>
      <c r="F91" s="973" t="inlineStr">
        <is>
          <t>S5</t>
        </is>
      </c>
      <c r="G91" s="973" t="b">
        <v>1</v>
      </c>
      <c r="H91" s="973" t="b">
        <v>0</v>
      </c>
      <c r="I91" s="973" t="b">
        <v>0</v>
      </c>
      <c r="J91" s="973" t="n">
        <v>0.5</v>
      </c>
      <c r="K91" s="973" t="n">
        <v>0.2206064987182617</v>
      </c>
      <c r="L91" s="973" t="n">
        <v>0.2206064987182617</v>
      </c>
      <c r="M91" s="973" t="inlineStr">
        <is>
          <t>SaaS; Databases; Windows</t>
        </is>
      </c>
      <c r="N91" s="973" t="inlineStr">
        <is>
          <t>https://attack.mitre.org/techniques/T1565/</t>
        </is>
      </c>
      <c r="O91" s="973" t="n"/>
      <c r="P91" s="973" t="n"/>
    </row>
    <row r="92">
      <c r="A92" s="973" t="inlineStr">
        <is>
          <t>Nation-state</t>
        </is>
      </c>
      <c r="B92" s="973" t="inlineStr">
        <is>
          <t>Sensitive-data compromise</t>
        </is>
      </c>
      <c r="C92" s="973" t="inlineStr">
        <is>
          <t>Public-facing application exploitation</t>
        </is>
      </c>
      <c r="D92" s="973" t="inlineStr">
        <is>
          <t>T1190</t>
        </is>
      </c>
      <c r="E92" s="973" t="inlineStr">
        <is>
          <t>Exploit Public-Facing Application</t>
        </is>
      </c>
      <c r="F92" s="973" t="inlineStr">
        <is>
          <t>S1</t>
        </is>
      </c>
      <c r="G92" s="973" t="b">
        <v>1</v>
      </c>
      <c r="H92" s="973" t="b">
        <v>1</v>
      </c>
      <c r="I92" s="973" t="b">
        <v>1</v>
      </c>
      <c r="J92" s="973" t="n">
        <v>1</v>
      </c>
      <c r="K92" s="973" t="n">
        <v>0.2496630477905274</v>
      </c>
      <c r="L92" s="973" t="n">
        <v>0.2496630477905274</v>
      </c>
      <c r="M92" s="973" t="inlineStr">
        <is>
          <t>Network Devices; SaaS; IaaS</t>
        </is>
      </c>
      <c r="N92" s="973" t="inlineStr">
        <is>
          <t>https://attack.mitre.org/techniques/T1190/</t>
        </is>
      </c>
      <c r="O92" s="973" t="n"/>
      <c r="P92" s="973" t="n"/>
    </row>
    <row r="93">
      <c r="A93" s="973" t="inlineStr">
        <is>
          <t>Nation-state</t>
        </is>
      </c>
      <c r="B93" s="973" t="inlineStr">
        <is>
          <t>Sensitive-data compromise</t>
        </is>
      </c>
      <c r="C93" s="973" t="inlineStr">
        <is>
          <t>Public-facing application exploitation</t>
        </is>
      </c>
      <c r="D93" s="973" t="inlineStr">
        <is>
          <t>T1059</t>
        </is>
      </c>
      <c r="E93" s="973" t="inlineStr">
        <is>
          <t>Command and Scripting Interpreter</t>
        </is>
      </c>
      <c r="F93" s="973" t="inlineStr">
        <is>
          <t>S2</t>
        </is>
      </c>
      <c r="G93" s="973" t="b">
        <v>1</v>
      </c>
      <c r="H93" s="973" t="b">
        <v>1</v>
      </c>
      <c r="I93" s="973" t="b">
        <v>1</v>
      </c>
      <c r="J93" s="973" t="n">
        <v>0.8</v>
      </c>
      <c r="K93" s="973" t="n">
        <v>0.1875</v>
      </c>
      <c r="L93" s="973" t="n">
        <v>0.1875</v>
      </c>
      <c r="M93" s="973" t="inlineStr">
        <is>
          <t>Windows; macOS; Linux; IaaS</t>
        </is>
      </c>
      <c r="N93" s="973" t="inlineStr">
        <is>
          <t>https://attack.mitre.org/techniques/T1059/</t>
        </is>
      </c>
      <c r="O93" s="973" t="n"/>
      <c r="P93" s="973" t="n"/>
    </row>
    <row r="94">
      <c r="A94" s="973" t="inlineStr">
        <is>
          <t>Nation-state</t>
        </is>
      </c>
      <c r="B94" s="973" t="inlineStr">
        <is>
          <t>Sensitive-data compromise</t>
        </is>
      </c>
      <c r="C94" s="973" t="inlineStr">
        <is>
          <t>Public-facing application exploitation</t>
        </is>
      </c>
      <c r="D94" s="973" t="inlineStr">
        <is>
          <t>T1068</t>
        </is>
      </c>
      <c r="E94" s="973" t="inlineStr">
        <is>
          <t>Exploitation for Privilege Escalation</t>
        </is>
      </c>
      <c r="F94" s="973" t="inlineStr">
        <is>
          <t>S3</t>
        </is>
      </c>
      <c r="G94" s="973" t="b">
        <v>1</v>
      </c>
      <c r="H94" s="973" t="b">
        <v>1</v>
      </c>
      <c r="I94" s="973" t="b">
        <v>1</v>
      </c>
      <c r="J94" s="973" t="n">
        <v>0.7</v>
      </c>
      <c r="K94" s="973" t="n">
        <v>0.2094165115356445</v>
      </c>
      <c r="L94" s="973" t="n">
        <v>0.2094165115356445</v>
      </c>
      <c r="M94" s="973" t="inlineStr">
        <is>
          <t>Windows; macOS; Linux</t>
        </is>
      </c>
      <c r="N94" s="973" t="inlineStr">
        <is>
          <t>https://attack.mitre.org/techniques/T1068/</t>
        </is>
      </c>
      <c r="O94" s="973" t="n"/>
      <c r="P94" s="973" t="n"/>
    </row>
    <row r="95">
      <c r="A95" s="973" t="inlineStr">
        <is>
          <t>Nation-state</t>
        </is>
      </c>
      <c r="B95" s="973" t="inlineStr">
        <is>
          <t>Sensitive-data compromise</t>
        </is>
      </c>
      <c r="C95" s="973" t="inlineStr">
        <is>
          <t>Public-facing application exploitation</t>
        </is>
      </c>
      <c r="D95" s="973" t="inlineStr">
        <is>
          <t>T1003</t>
        </is>
      </c>
      <c r="E95" s="973" t="inlineStr">
        <is>
          <t>OS Credential Dumping</t>
        </is>
      </c>
      <c r="F95" s="973" t="inlineStr">
        <is>
          <t>S3</t>
        </is>
      </c>
      <c r="G95" s="973" t="b">
        <v>1</v>
      </c>
      <c r="H95" s="973" t="b">
        <v>1</v>
      </c>
      <c r="I95" s="973" t="b">
        <v>1</v>
      </c>
      <c r="J95" s="973" t="n">
        <v>0.6</v>
      </c>
      <c r="K95" s="973" t="n">
        <v>0.232294921875</v>
      </c>
      <c r="L95" s="973" t="n">
        <v>0.232294921875</v>
      </c>
      <c r="M95" s="973" t="inlineStr">
        <is>
          <t>Windows; Linux; macOS</t>
        </is>
      </c>
      <c r="N95" s="973" t="inlineStr">
        <is>
          <t>https://attack.mitre.org/techniques/T1003/</t>
        </is>
      </c>
      <c r="O95" s="973" t="n"/>
      <c r="P95" s="973" t="n"/>
    </row>
    <row r="96">
      <c r="A96" s="973" t="inlineStr">
        <is>
          <t>Nation-state</t>
        </is>
      </c>
      <c r="B96" s="973" t="inlineStr">
        <is>
          <t>Sensitive-data compromise</t>
        </is>
      </c>
      <c r="C96" s="973" t="inlineStr">
        <is>
          <t>Public-facing application exploitation</t>
        </is>
      </c>
      <c r="D96" s="973" t="inlineStr">
        <is>
          <t>T1046</t>
        </is>
      </c>
      <c r="E96" s="973" t="inlineStr">
        <is>
          <t>Network Service Discovery</t>
        </is>
      </c>
      <c r="F96" s="973" t="inlineStr">
        <is>
          <t>S4</t>
        </is>
      </c>
      <c r="G96" s="973" t="b">
        <v>1</v>
      </c>
      <c r="H96" s="973" t="b">
        <v>1</v>
      </c>
      <c r="I96" s="973" t="b">
        <v>1</v>
      </c>
      <c r="J96" s="973" t="n">
        <v>0.7</v>
      </c>
      <c r="K96" s="973" t="n">
        <v>0.16875</v>
      </c>
      <c r="L96" s="973" t="n">
        <v>0.16875</v>
      </c>
      <c r="M96" s="973" t="inlineStr">
        <is>
          <t>Network Devices; Windows; Linux</t>
        </is>
      </c>
      <c r="N96" s="973" t="inlineStr">
        <is>
          <t>https://attack.mitre.org/techniques/T1046/</t>
        </is>
      </c>
      <c r="O96" s="973" t="n"/>
      <c r="P96" s="973" t="n"/>
    </row>
    <row r="97">
      <c r="A97" s="973" t="inlineStr">
        <is>
          <t>Nation-state</t>
        </is>
      </c>
      <c r="B97" s="973" t="inlineStr">
        <is>
          <t>Sensitive-data compromise</t>
        </is>
      </c>
      <c r="C97" s="973" t="inlineStr">
        <is>
          <t>Public-facing application exploitation</t>
        </is>
      </c>
      <c r="D97" s="973" t="inlineStr">
        <is>
          <t>T1210</t>
        </is>
      </c>
      <c r="E97" s="973" t="inlineStr">
        <is>
          <t>Exploitation of Remote Services</t>
        </is>
      </c>
      <c r="F97" s="973" t="inlineStr">
        <is>
          <t>S4</t>
        </is>
      </c>
      <c r="G97" s="973" t="b">
        <v>1</v>
      </c>
      <c r="H97" s="973" t="b">
        <v>1</v>
      </c>
      <c r="I97" s="973" t="b">
        <v>1</v>
      </c>
      <c r="J97" s="973" t="n">
        <v>0.9</v>
      </c>
      <c r="K97" s="973" t="n">
        <v>0.2103495368957519</v>
      </c>
      <c r="L97" s="973" t="n">
        <v>0.2103495368957519</v>
      </c>
      <c r="M97" s="973" t="inlineStr">
        <is>
          <t>Windows; Linux; Network Devices</t>
        </is>
      </c>
      <c r="N97" s="973" t="inlineStr">
        <is>
          <t>https://attack.mitre.org/techniques/T1210/</t>
        </is>
      </c>
      <c r="O97" s="973" t="n"/>
      <c r="P97" s="973" t="n"/>
    </row>
    <row r="98">
      <c r="A98" s="973" t="inlineStr">
        <is>
          <t>Nation-state</t>
        </is>
      </c>
      <c r="B98" s="973" t="inlineStr">
        <is>
          <t>Sensitive-data compromise</t>
        </is>
      </c>
      <c r="C98" s="973" t="inlineStr">
        <is>
          <t>Public-facing application exploitation</t>
        </is>
      </c>
      <c r="D98" s="973" t="inlineStr">
        <is>
          <t>T1021</t>
        </is>
      </c>
      <c r="E98" s="973" t="inlineStr">
        <is>
          <t>Remote Services</t>
        </is>
      </c>
      <c r="F98" s="973" t="inlineStr">
        <is>
          <t>S4</t>
        </is>
      </c>
      <c r="G98" s="973" t="b">
        <v>1</v>
      </c>
      <c r="H98" s="973" t="b">
        <v>1</v>
      </c>
      <c r="I98" s="973" t="b">
        <v>1</v>
      </c>
      <c r="J98" s="973" t="n">
        <v>0.7</v>
      </c>
      <c r="K98" s="973" t="n">
        <v>0.1875</v>
      </c>
      <c r="L98" s="973" t="n">
        <v>0.1875</v>
      </c>
      <c r="M98" s="973" t="inlineStr">
        <is>
          <t>Windows; Linux; Network Devices</t>
        </is>
      </c>
      <c r="N98" s="973" t="inlineStr">
        <is>
          <t>https://attack.mitre.org/techniques/T1021/</t>
        </is>
      </c>
      <c r="O98" s="973" t="n"/>
      <c r="P98" s="973" t="n"/>
    </row>
    <row r="99">
      <c r="A99" s="973" t="inlineStr">
        <is>
          <t>Nation-state</t>
        </is>
      </c>
      <c r="B99" s="973" t="inlineStr">
        <is>
          <t>Sensitive-data compromise</t>
        </is>
      </c>
      <c r="C99" s="973" t="inlineStr">
        <is>
          <t>Public-facing application exploitation</t>
        </is>
      </c>
      <c r="D99" s="973" t="inlineStr">
        <is>
          <t>T1486</t>
        </is>
      </c>
      <c r="E99" s="973" t="inlineStr">
        <is>
          <t>Data Encrypted for Impact</t>
        </is>
      </c>
      <c r="F99" s="973" t="inlineStr">
        <is>
          <t>S5</t>
        </is>
      </c>
      <c r="G99" s="973" t="b">
        <v>1</v>
      </c>
      <c r="H99" s="973" t="b">
        <v>0</v>
      </c>
      <c r="I99" s="973" t="b">
        <v>0</v>
      </c>
      <c r="J99" s="973" t="n">
        <v>0.6</v>
      </c>
      <c r="K99" s="973" t="n">
        <v>0.16875</v>
      </c>
      <c r="L99" s="973" t="n">
        <v>0.16875</v>
      </c>
      <c r="M99" s="973" t="inlineStr">
        <is>
          <t>Windows; Linux; IaaS</t>
        </is>
      </c>
      <c r="N99" s="973" t="inlineStr">
        <is>
          <t>https://attack.mitre.org/techniques/T1486/</t>
        </is>
      </c>
      <c r="O99" s="973" t="n"/>
      <c r="P99" s="973" t="n"/>
    </row>
    <row r="100">
      <c r="A100" s="973" t="inlineStr">
        <is>
          <t>Nation-state</t>
        </is>
      </c>
      <c r="B100" s="973" t="inlineStr">
        <is>
          <t>Sensitive-data compromise</t>
        </is>
      </c>
      <c r="C100" s="973" t="inlineStr">
        <is>
          <t>Public-facing application exploitation</t>
        </is>
      </c>
      <c r="D100" s="973" t="inlineStr">
        <is>
          <t>T1490</t>
        </is>
      </c>
      <c r="E100" s="973" t="inlineStr">
        <is>
          <t>Inhibit System Recovery</t>
        </is>
      </c>
      <c r="F100" s="973" t="inlineStr">
        <is>
          <t>S5</t>
        </is>
      </c>
      <c r="G100" s="973" t="b">
        <v>1</v>
      </c>
      <c r="H100" s="973" t="b">
        <v>0</v>
      </c>
      <c r="I100" s="973" t="b">
        <v>0</v>
      </c>
      <c r="J100" s="973" t="n">
        <v>0.5</v>
      </c>
      <c r="K100" s="973" t="n">
        <v>0</v>
      </c>
      <c r="L100" s="973" t="n">
        <v>0</v>
      </c>
      <c r="M100" s="973" t="inlineStr">
        <is>
          <t>Windows; Linux; IaaS</t>
        </is>
      </c>
      <c r="N100" s="973" t="inlineStr">
        <is>
          <t>https://attack.mitre.org/techniques/T1490/</t>
        </is>
      </c>
      <c r="O100" s="973" t="n"/>
      <c r="P100" s="973" t="n"/>
    </row>
    <row r="101">
      <c r="A101" s="973" t="inlineStr">
        <is>
          <t>Nation-state</t>
        </is>
      </c>
      <c r="B101" s="973" t="inlineStr">
        <is>
          <t>Sensitive-data compromise</t>
        </is>
      </c>
      <c r="C101" s="973" t="inlineStr">
        <is>
          <t>Public-facing application exploitation</t>
        </is>
      </c>
      <c r="D101" s="973" t="inlineStr">
        <is>
          <t>T1567</t>
        </is>
      </c>
      <c r="E101" s="973" t="inlineStr">
        <is>
          <t>Exfiltration Over Web Service</t>
        </is>
      </c>
      <c r="F101" s="973" t="inlineStr">
        <is>
          <t>S5</t>
        </is>
      </c>
      <c r="G101" s="973" t="b">
        <v>1</v>
      </c>
      <c r="H101" s="973" t="b">
        <v>1</v>
      </c>
      <c r="I101" s="973" t="b">
        <v>1</v>
      </c>
      <c r="J101" s="973" t="n">
        <v>0.6</v>
      </c>
      <c r="K101" s="973" t="n">
        <v>0.20625</v>
      </c>
      <c r="L101" s="973" t="n">
        <v>0.20625</v>
      </c>
      <c r="M101" s="973" t="inlineStr">
        <is>
          <t>SaaS; Office Suite</t>
        </is>
      </c>
      <c r="N101" s="973" t="inlineStr">
        <is>
          <t>https://attack.mitre.org/techniques/T1567/</t>
        </is>
      </c>
      <c r="O101" s="973" t="n"/>
      <c r="P101" s="973" t="n"/>
    </row>
    <row r="102">
      <c r="A102" s="973" t="inlineStr">
        <is>
          <t>Nation-state</t>
        </is>
      </c>
      <c r="B102" s="973" t="inlineStr">
        <is>
          <t>Sensitive-data compromise</t>
        </is>
      </c>
      <c r="C102" s="973" t="inlineStr">
        <is>
          <t>Public-facing application exploitation</t>
        </is>
      </c>
      <c r="D102" s="973" t="inlineStr">
        <is>
          <t>T1565</t>
        </is>
      </c>
      <c r="E102" s="973" t="inlineStr">
        <is>
          <t>Data Manipulation</t>
        </is>
      </c>
      <c r="F102" s="973" t="inlineStr">
        <is>
          <t>S5</t>
        </is>
      </c>
      <c r="G102" s="973" t="b">
        <v>1</v>
      </c>
      <c r="H102" s="973" t="b">
        <v>0</v>
      </c>
      <c r="I102" s="973" t="b">
        <v>0</v>
      </c>
      <c r="J102" s="973" t="n">
        <v>0.6</v>
      </c>
      <c r="K102" s="973" t="n">
        <v>0.2206064987182617</v>
      </c>
      <c r="L102" s="973" t="n">
        <v>0.2206064987182617</v>
      </c>
      <c r="M102" s="973" t="inlineStr">
        <is>
          <t>SaaS; Databases; Windows</t>
        </is>
      </c>
      <c r="N102" s="973" t="inlineStr">
        <is>
          <t>https://attack.mitre.org/techniques/T1565/</t>
        </is>
      </c>
      <c r="O102" s="973" t="n"/>
      <c r="P102" s="973" t="n"/>
    </row>
    <row r="103">
      <c r="A103" s="973" t="inlineStr">
        <is>
          <t>Nation-state</t>
        </is>
      </c>
      <c r="B103" s="973" t="inlineStr">
        <is>
          <t>Sensitive-data compromise</t>
        </is>
      </c>
      <c r="C103" s="973" t="inlineStr">
        <is>
          <t>Public-facing application exploitation</t>
        </is>
      </c>
      <c r="D103" s="973" t="inlineStr">
        <is>
          <t>T1657</t>
        </is>
      </c>
      <c r="E103" s="973" t="inlineStr">
        <is>
          <t>Financial Theft</t>
        </is>
      </c>
      <c r="F103" s="973" t="inlineStr">
        <is>
          <t>S5</t>
        </is>
      </c>
      <c r="G103" s="973" t="b">
        <v>1</v>
      </c>
      <c r="H103" s="973" t="b">
        <v>0</v>
      </c>
      <c r="I103" s="973" t="b">
        <v>0</v>
      </c>
      <c r="J103" s="973" t="n">
        <v>0.4</v>
      </c>
      <c r="K103" s="973" t="n">
        <v>0.275654296875</v>
      </c>
      <c r="L103" s="973" t="n">
        <v>0.275654296875</v>
      </c>
      <c r="M103" s="973" t="inlineStr">
        <is>
          <t>SaaS; Office Suite; Identity Provider</t>
        </is>
      </c>
      <c r="N103" s="973" t="inlineStr">
        <is>
          <t>https://attack.mitre.org/techniques/T1657/</t>
        </is>
      </c>
      <c r="O103" s="973" t="n"/>
      <c r="P103" s="973" t="n"/>
    </row>
    <row r="104">
      <c r="A104" s="973" t="inlineStr">
        <is>
          <t>Nation-state</t>
        </is>
      </c>
      <c r="B104" s="973" t="inlineStr">
        <is>
          <t>Sensitive-data compromise</t>
        </is>
      </c>
      <c r="C104" s="973" t="inlineStr">
        <is>
          <t>Third-party or software supply chain</t>
        </is>
      </c>
      <c r="D104" s="973" t="inlineStr">
        <is>
          <t>T1199</t>
        </is>
      </c>
      <c r="E104" s="973" t="inlineStr">
        <is>
          <t>Trusted Relationship</t>
        </is>
      </c>
      <c r="F104" s="973" t="inlineStr">
        <is>
          <t>S3</t>
        </is>
      </c>
      <c r="G104" s="973" t="b">
        <v>1</v>
      </c>
      <c r="H104" s="973" t="b">
        <v>1</v>
      </c>
      <c r="I104" s="973" t="b">
        <v>1</v>
      </c>
      <c r="J104" s="973" t="n">
        <v>1</v>
      </c>
      <c r="K104" s="973" t="n">
        <v>0.20625</v>
      </c>
      <c r="L104" s="973" t="n">
        <v>0.20625</v>
      </c>
      <c r="M104" s="973" t="inlineStr">
        <is>
          <t>SaaS; IaaS; Network Devices</t>
        </is>
      </c>
      <c r="N104" s="973" t="inlineStr">
        <is>
          <t>https://attack.mitre.org/techniques/T1199/</t>
        </is>
      </c>
      <c r="O104" s="973" t="n"/>
      <c r="P104" s="973" t="n"/>
    </row>
    <row r="105">
      <c r="A105" s="973" t="inlineStr">
        <is>
          <t>Nation-state</t>
        </is>
      </c>
      <c r="B105" s="973" t="inlineStr">
        <is>
          <t>Sensitive-data compromise</t>
        </is>
      </c>
      <c r="C105" s="973" t="inlineStr">
        <is>
          <t>Third-party or software supply chain</t>
        </is>
      </c>
      <c r="D105" s="973" t="inlineStr">
        <is>
          <t>T1098</t>
        </is>
      </c>
      <c r="E105" s="973" t="inlineStr">
        <is>
          <t>Account Manipulation</t>
        </is>
      </c>
      <c r="F105" s="973" t="inlineStr">
        <is>
          <t>S3</t>
        </is>
      </c>
      <c r="G105" s="973" t="b">
        <v>1</v>
      </c>
      <c r="H105" s="973" t="b">
        <v>1</v>
      </c>
      <c r="I105" s="973" t="b">
        <v>1</v>
      </c>
      <c r="J105" s="973" t="n">
        <v>0.6</v>
      </c>
      <c r="K105" s="973" t="n">
        <v>0.2477547340393066</v>
      </c>
      <c r="L105" s="973" t="n">
        <v>0.2477547340393066</v>
      </c>
      <c r="M105" s="973" t="inlineStr">
        <is>
          <t>Identity Provider; SaaS; Windows</t>
        </is>
      </c>
      <c r="N105" s="973" t="inlineStr">
        <is>
          <t>https://attack.mitre.org/techniques/T1098/</t>
        </is>
      </c>
      <c r="O105" s="973" t="n"/>
      <c r="P105" s="973" t="n"/>
    </row>
    <row r="106">
      <c r="A106" s="973" t="inlineStr">
        <is>
          <t>Nation-state</t>
        </is>
      </c>
      <c r="B106" s="973" t="inlineStr">
        <is>
          <t>Sensitive-data compromise</t>
        </is>
      </c>
      <c r="C106" s="973" t="inlineStr">
        <is>
          <t>Third-party or software supply chain</t>
        </is>
      </c>
      <c r="D106" s="973" t="inlineStr">
        <is>
          <t>T1087</t>
        </is>
      </c>
      <c r="E106" s="973" t="inlineStr">
        <is>
          <t>Account Discovery</t>
        </is>
      </c>
      <c r="F106" s="973" t="inlineStr">
        <is>
          <t>S4</t>
        </is>
      </c>
      <c r="G106" s="973" t="b">
        <v>1</v>
      </c>
      <c r="H106" s="973" t="b">
        <v>1</v>
      </c>
      <c r="I106" s="973" t="b">
        <v>1</v>
      </c>
      <c r="J106" s="973" t="n">
        <v>0.5</v>
      </c>
      <c r="K106" s="973" t="n">
        <v>0</v>
      </c>
      <c r="L106" s="973" t="n">
        <v>0</v>
      </c>
      <c r="M106" s="973" t="inlineStr">
        <is>
          <t>Identity Provider; SaaS; Windows</t>
        </is>
      </c>
      <c r="N106" s="973" t="inlineStr">
        <is>
          <t>https://attack.mitre.org/techniques/T1087/</t>
        </is>
      </c>
      <c r="O106" s="973" t="n"/>
      <c r="P106" s="973" t="n"/>
    </row>
    <row r="107">
      <c r="A107" s="973" t="inlineStr">
        <is>
          <t>Nation-state</t>
        </is>
      </c>
      <c r="B107" s="973" t="inlineStr">
        <is>
          <t>Sensitive-data compromise</t>
        </is>
      </c>
      <c r="C107" s="973" t="inlineStr">
        <is>
          <t>Third-party or software supply chain</t>
        </is>
      </c>
      <c r="D107" s="973" t="inlineStr">
        <is>
          <t>T1213</t>
        </is>
      </c>
      <c r="E107" s="973" t="inlineStr">
        <is>
          <t>Data from Information Repositories</t>
        </is>
      </c>
      <c r="F107" s="973" t="inlineStr">
        <is>
          <t>S4</t>
        </is>
      </c>
      <c r="G107" s="973" t="b">
        <v>1</v>
      </c>
      <c r="H107" s="973" t="b">
        <v>1</v>
      </c>
      <c r="I107" s="973" t="b">
        <v>1</v>
      </c>
      <c r="J107" s="973" t="n">
        <v>0.7</v>
      </c>
      <c r="K107" s="973" t="n">
        <v>0.177890625</v>
      </c>
      <c r="L107" s="973" t="n">
        <v>0.177890625</v>
      </c>
      <c r="M107" s="973" t="inlineStr">
        <is>
          <t>SaaS; Office Suite; Windows</t>
        </is>
      </c>
      <c r="N107" s="973" t="inlineStr">
        <is>
          <t>https://attack.mitre.org/techniques/T1213/</t>
        </is>
      </c>
      <c r="O107" s="973" t="n"/>
      <c r="P107" s="973" t="n"/>
    </row>
    <row r="108">
      <c r="A108" s="973" t="inlineStr">
        <is>
          <t>Nation-state</t>
        </is>
      </c>
      <c r="B108" s="973" t="inlineStr">
        <is>
          <t>Sensitive-data compromise</t>
        </is>
      </c>
      <c r="C108" s="973" t="inlineStr">
        <is>
          <t>Third-party or software supply chain</t>
        </is>
      </c>
      <c r="D108" s="973" t="inlineStr">
        <is>
          <t>T1567</t>
        </is>
      </c>
      <c r="E108" s="973" t="inlineStr">
        <is>
          <t>Exfiltration Over Web Service</t>
        </is>
      </c>
      <c r="F108" s="973" t="inlineStr">
        <is>
          <t>S5</t>
        </is>
      </c>
      <c r="G108" s="973" t="b">
        <v>1</v>
      </c>
      <c r="H108" s="973" t="b">
        <v>1</v>
      </c>
      <c r="I108" s="973" t="b">
        <v>1</v>
      </c>
      <c r="J108" s="973" t="n">
        <v>0.6</v>
      </c>
      <c r="K108" s="973" t="n">
        <v>0.20625</v>
      </c>
      <c r="L108" s="973" t="n">
        <v>0.20625</v>
      </c>
      <c r="M108" s="973" t="inlineStr">
        <is>
          <t>SaaS; Office Suite</t>
        </is>
      </c>
      <c r="N108" s="973" t="inlineStr">
        <is>
          <t>https://attack.mitre.org/techniques/T1567/</t>
        </is>
      </c>
      <c r="O108" s="973" t="n"/>
      <c r="P108" s="973" t="n"/>
    </row>
    <row r="109">
      <c r="A109" s="973" t="inlineStr">
        <is>
          <t>Nation-state</t>
        </is>
      </c>
      <c r="B109" s="973" t="inlineStr">
        <is>
          <t>Sensitive-data compromise</t>
        </is>
      </c>
      <c r="C109" s="973" t="inlineStr">
        <is>
          <t>Third-party or software supply chain</t>
        </is>
      </c>
      <c r="D109" s="973" t="inlineStr">
        <is>
          <t>T1486</t>
        </is>
      </c>
      <c r="E109" s="973" t="inlineStr">
        <is>
          <t>Data Encrypted for Impact</t>
        </is>
      </c>
      <c r="F109" s="973" t="inlineStr">
        <is>
          <t>S5</t>
        </is>
      </c>
      <c r="G109" s="973" t="b">
        <v>1</v>
      </c>
      <c r="H109" s="973" t="b">
        <v>0</v>
      </c>
      <c r="I109" s="973" t="b">
        <v>0</v>
      </c>
      <c r="J109" s="973" t="n">
        <v>0.5</v>
      </c>
      <c r="K109" s="973" t="n">
        <v>0.16875</v>
      </c>
      <c r="L109" s="973" t="n">
        <v>0.16875</v>
      </c>
      <c r="M109" s="973" t="inlineStr">
        <is>
          <t>Windows; Linux; IaaS</t>
        </is>
      </c>
      <c r="N109" s="973" t="inlineStr">
        <is>
          <t>https://attack.mitre.org/techniques/T1486/</t>
        </is>
      </c>
      <c r="O109" s="973" t="n"/>
      <c r="P109" s="973" t="n"/>
    </row>
    <row r="110">
      <c r="A110" s="973" t="inlineStr">
        <is>
          <t>Nation-state</t>
        </is>
      </c>
      <c r="B110" s="973" t="inlineStr">
        <is>
          <t>Sensitive-data compromise</t>
        </is>
      </c>
      <c r="C110" s="973" t="inlineStr">
        <is>
          <t>Third-party or software supply chain</t>
        </is>
      </c>
      <c r="D110" s="973" t="inlineStr">
        <is>
          <t>T1565</t>
        </is>
      </c>
      <c r="E110" s="973" t="inlineStr">
        <is>
          <t>Data Manipulation</t>
        </is>
      </c>
      <c r="F110" s="973" t="inlineStr">
        <is>
          <t>S5</t>
        </is>
      </c>
      <c r="G110" s="973" t="b">
        <v>1</v>
      </c>
      <c r="H110" s="973" t="b">
        <v>0</v>
      </c>
      <c r="I110" s="973" t="b">
        <v>0</v>
      </c>
      <c r="J110" s="973" t="n">
        <v>0.6</v>
      </c>
      <c r="K110" s="973" t="n">
        <v>0.2206064987182617</v>
      </c>
      <c r="L110" s="973" t="n">
        <v>0.2206064987182617</v>
      </c>
      <c r="M110" s="973" t="inlineStr">
        <is>
          <t>SaaS; Databases; Windows</t>
        </is>
      </c>
      <c r="N110" s="973" t="inlineStr">
        <is>
          <t>https://attack.mitre.org/techniques/T1565/</t>
        </is>
      </c>
      <c r="O110" s="973" t="n"/>
      <c r="P110" s="973" t="n"/>
    </row>
    <row r="111">
      <c r="A111" s="973" t="inlineStr">
        <is>
          <t>Nation-state</t>
        </is>
      </c>
      <c r="B111" s="973" t="inlineStr">
        <is>
          <t>Sensitive-data compromise</t>
        </is>
      </c>
      <c r="C111" s="973" t="inlineStr">
        <is>
          <t>Third-party or software supply chain</t>
        </is>
      </c>
      <c r="D111" s="973" t="inlineStr">
        <is>
          <t>T1657</t>
        </is>
      </c>
      <c r="E111" s="973" t="inlineStr">
        <is>
          <t>Financial Theft</t>
        </is>
      </c>
      <c r="F111" s="973" t="inlineStr">
        <is>
          <t>S5</t>
        </is>
      </c>
      <c r="G111" s="973" t="b">
        <v>1</v>
      </c>
      <c r="H111" s="973" t="b">
        <v>0</v>
      </c>
      <c r="I111" s="973" t="b">
        <v>0</v>
      </c>
      <c r="J111" s="973" t="n">
        <v>0.5</v>
      </c>
      <c r="K111" s="973" t="n">
        <v>0.275654296875</v>
      </c>
      <c r="L111" s="973" t="n">
        <v>0.275654296875</v>
      </c>
      <c r="M111" s="973" t="inlineStr">
        <is>
          <t>SaaS; Office Suite; Identity Provider</t>
        </is>
      </c>
      <c r="N111" s="973" t="inlineStr">
        <is>
          <t>https://attack.mitre.org/techniques/T1657/</t>
        </is>
      </c>
      <c r="O111" s="973" t="n"/>
      <c r="P111" s="973" t="n"/>
    </row>
    <row r="112">
      <c r="A112" s="973" t="inlineStr">
        <is>
          <t>Nation-state</t>
        </is>
      </c>
      <c r="B112" s="973" t="inlineStr">
        <is>
          <t>Sensitive-data compromise</t>
        </is>
      </c>
      <c r="C112" s="973" t="inlineStr">
        <is>
          <t>Insider or trusted access</t>
        </is>
      </c>
      <c r="D112" s="973" t="inlineStr">
        <is>
          <t>T1098</t>
        </is>
      </c>
      <c r="E112" s="973" t="inlineStr">
        <is>
          <t>Account Manipulation</t>
        </is>
      </c>
      <c r="F112" s="973" t="inlineStr">
        <is>
          <t>S3</t>
        </is>
      </c>
      <c r="G112" s="973" t="b">
        <v>1</v>
      </c>
      <c r="H112" s="973" t="b">
        <v>1</v>
      </c>
      <c r="I112" s="973" t="b">
        <v>1</v>
      </c>
      <c r="J112" s="973" t="n">
        <v>0.8</v>
      </c>
      <c r="K112" s="973" t="n">
        <v>0.2477547340393066</v>
      </c>
      <c r="L112" s="973" t="n">
        <v>0.2477547340393066</v>
      </c>
      <c r="M112" s="973" t="inlineStr">
        <is>
          <t>Identity Provider; SaaS; Windows</t>
        </is>
      </c>
      <c r="N112" s="973" t="inlineStr">
        <is>
          <t>https://attack.mitre.org/techniques/T1098/</t>
        </is>
      </c>
      <c r="O112" s="973" t="n"/>
      <c r="P112" s="973" t="n"/>
    </row>
    <row r="113">
      <c r="A113" s="973" t="inlineStr">
        <is>
          <t>Nation-state</t>
        </is>
      </c>
      <c r="B113" s="973" t="inlineStr">
        <is>
          <t>Sensitive-data compromise</t>
        </is>
      </c>
      <c r="C113" s="973" t="inlineStr">
        <is>
          <t>Insider or trusted access</t>
        </is>
      </c>
      <c r="D113" s="973" t="inlineStr">
        <is>
          <t>T1087</t>
        </is>
      </c>
      <c r="E113" s="973" t="inlineStr">
        <is>
          <t>Account Discovery</t>
        </is>
      </c>
      <c r="F113" s="973" t="inlineStr">
        <is>
          <t>S4</t>
        </is>
      </c>
      <c r="G113" s="973" t="b">
        <v>1</v>
      </c>
      <c r="H113" s="973" t="b">
        <v>1</v>
      </c>
      <c r="I113" s="973" t="b">
        <v>1</v>
      </c>
      <c r="J113" s="973" t="n">
        <v>0.6</v>
      </c>
      <c r="K113" s="973" t="n">
        <v>0</v>
      </c>
      <c r="L113" s="973" t="n">
        <v>0</v>
      </c>
      <c r="M113" s="973" t="inlineStr">
        <is>
          <t>Identity Provider; SaaS; Windows</t>
        </is>
      </c>
      <c r="N113" s="973" t="inlineStr">
        <is>
          <t>https://attack.mitre.org/techniques/T1087/</t>
        </is>
      </c>
      <c r="O113" s="973" t="n"/>
      <c r="P113" s="973" t="n"/>
    </row>
    <row r="114">
      <c r="A114" s="973" t="inlineStr">
        <is>
          <t>Nation-state</t>
        </is>
      </c>
      <c r="B114" s="973" t="inlineStr">
        <is>
          <t>Sensitive-data compromise</t>
        </is>
      </c>
      <c r="C114" s="973" t="inlineStr">
        <is>
          <t>Insider or trusted access</t>
        </is>
      </c>
      <c r="D114" s="973" t="inlineStr">
        <is>
          <t>T1213</t>
        </is>
      </c>
      <c r="E114" s="973" t="inlineStr">
        <is>
          <t>Data from Information Repositories</t>
        </is>
      </c>
      <c r="F114" s="973" t="inlineStr">
        <is>
          <t>S4</t>
        </is>
      </c>
      <c r="G114" s="973" t="b">
        <v>1</v>
      </c>
      <c r="H114" s="973" t="b">
        <v>1</v>
      </c>
      <c r="I114" s="973" t="b">
        <v>1</v>
      </c>
      <c r="J114" s="973" t="n">
        <v>0.9</v>
      </c>
      <c r="K114" s="973" t="n">
        <v>0.177890625</v>
      </c>
      <c r="L114" s="973" t="n">
        <v>0.177890625</v>
      </c>
      <c r="M114" s="973" t="inlineStr">
        <is>
          <t>SaaS; Office Suite; Windows</t>
        </is>
      </c>
      <c r="N114" s="973" t="inlineStr">
        <is>
          <t>https://attack.mitre.org/techniques/T1213/</t>
        </is>
      </c>
      <c r="O114" s="973" t="n"/>
      <c r="P114" s="973" t="n"/>
    </row>
    <row r="115">
      <c r="A115" s="973" t="inlineStr">
        <is>
          <t>Nation-state</t>
        </is>
      </c>
      <c r="B115" s="973" t="inlineStr">
        <is>
          <t>Sensitive-data compromise</t>
        </is>
      </c>
      <c r="C115" s="973" t="inlineStr">
        <is>
          <t>Insider or trusted access</t>
        </is>
      </c>
      <c r="D115" s="973" t="inlineStr">
        <is>
          <t>T1567</t>
        </is>
      </c>
      <c r="E115" s="973" t="inlineStr">
        <is>
          <t>Exfiltration Over Web Service</t>
        </is>
      </c>
      <c r="F115" s="973" t="inlineStr">
        <is>
          <t>S5</t>
        </is>
      </c>
      <c r="G115" s="973" t="b">
        <v>1</v>
      </c>
      <c r="H115" s="973" t="b">
        <v>1</v>
      </c>
      <c r="I115" s="973" t="b">
        <v>1</v>
      </c>
      <c r="J115" s="973" t="n">
        <v>0.8</v>
      </c>
      <c r="K115" s="973" t="n">
        <v>0.20625</v>
      </c>
      <c r="L115" s="973" t="n">
        <v>0.20625</v>
      </c>
      <c r="M115" s="973" t="inlineStr">
        <is>
          <t>SaaS; Office Suite</t>
        </is>
      </c>
      <c r="N115" s="973" t="inlineStr">
        <is>
          <t>https://attack.mitre.org/techniques/T1567/</t>
        </is>
      </c>
      <c r="O115" s="973" t="n"/>
      <c r="P115" s="973" t="n"/>
    </row>
    <row r="116">
      <c r="A116" s="973" t="inlineStr">
        <is>
          <t>Nation-state</t>
        </is>
      </c>
      <c r="B116" s="973" t="inlineStr">
        <is>
          <t>Sensitive-data compromise</t>
        </is>
      </c>
      <c r="C116" s="973" t="inlineStr">
        <is>
          <t>Insider or trusted access</t>
        </is>
      </c>
      <c r="D116" s="973" t="inlineStr">
        <is>
          <t>T1565</t>
        </is>
      </c>
      <c r="E116" s="973" t="inlineStr">
        <is>
          <t>Data Manipulation</t>
        </is>
      </c>
      <c r="F116" s="973" t="inlineStr">
        <is>
          <t>S5</t>
        </is>
      </c>
      <c r="G116" s="973" t="b">
        <v>1</v>
      </c>
      <c r="H116" s="973" t="b">
        <v>0</v>
      </c>
      <c r="I116" s="973" t="b">
        <v>0</v>
      </c>
      <c r="J116" s="973" t="n">
        <v>0.9</v>
      </c>
      <c r="K116" s="973" t="n">
        <v>0.2206064987182617</v>
      </c>
      <c r="L116" s="973" t="n">
        <v>0.2206064987182617</v>
      </c>
      <c r="M116" s="973" t="inlineStr">
        <is>
          <t>SaaS; Databases; Windows</t>
        </is>
      </c>
      <c r="N116" s="973" t="inlineStr">
        <is>
          <t>https://attack.mitre.org/techniques/T1565/</t>
        </is>
      </c>
      <c r="O116" s="973" t="n"/>
      <c r="P116" s="973" t="n"/>
    </row>
    <row r="117">
      <c r="A117" s="973" t="inlineStr">
        <is>
          <t>Nation-state</t>
        </is>
      </c>
      <c r="B117" s="973" t="inlineStr">
        <is>
          <t>Sensitive-data compromise</t>
        </is>
      </c>
      <c r="C117" s="973" t="inlineStr">
        <is>
          <t>Insider or trusted access</t>
        </is>
      </c>
      <c r="D117" s="973" t="inlineStr">
        <is>
          <t>T1657</t>
        </is>
      </c>
      <c r="E117" s="973" t="inlineStr">
        <is>
          <t>Financial Theft</t>
        </is>
      </c>
      <c r="F117" s="973" t="inlineStr">
        <is>
          <t>S5</t>
        </is>
      </c>
      <c r="G117" s="973" t="b">
        <v>1</v>
      </c>
      <c r="H117" s="973" t="b">
        <v>0</v>
      </c>
      <c r="I117" s="973" t="b">
        <v>0</v>
      </c>
      <c r="J117" s="973" t="n">
        <v>0.9</v>
      </c>
      <c r="K117" s="973" t="n">
        <v>0.275654296875</v>
      </c>
      <c r="L117" s="973" t="n">
        <v>0.275654296875</v>
      </c>
      <c r="M117" s="973" t="inlineStr">
        <is>
          <t>SaaS; Office Suite; Identity Provider</t>
        </is>
      </c>
      <c r="N117" s="973" t="inlineStr">
        <is>
          <t>https://attack.mitre.org/techniques/T1657/</t>
        </is>
      </c>
      <c r="O117" s="973" t="n"/>
      <c r="P117" s="973" t="n"/>
    </row>
    <row r="118">
      <c r="A118" s="973" t="inlineStr">
        <is>
          <t>Nation-state</t>
        </is>
      </c>
      <c r="B118" s="973" t="inlineStr">
        <is>
          <t>Data or transaction-integrity compromise</t>
        </is>
      </c>
      <c r="C118" s="973" t="inlineStr">
        <is>
          <t>Identity and credential compromise</t>
        </is>
      </c>
      <c r="D118" s="973" t="inlineStr">
        <is>
          <t>T1566</t>
        </is>
      </c>
      <c r="E118" s="973" t="inlineStr">
        <is>
          <t>Phishing</t>
        </is>
      </c>
      <c r="F118" s="973" t="inlineStr">
        <is>
          <t>S1</t>
        </is>
      </c>
      <c r="G118" s="973" t="b">
        <v>1</v>
      </c>
      <c r="H118" s="973" t="b">
        <v>1</v>
      </c>
      <c r="I118" s="973" t="b">
        <v>1</v>
      </c>
      <c r="J118" s="973" t="n">
        <v>1</v>
      </c>
      <c r="K118" s="973" t="n">
        <v>0.20625</v>
      </c>
      <c r="L118" s="973" t="n">
        <v>0.20625</v>
      </c>
      <c r="M118" s="973" t="inlineStr">
        <is>
          <t>Windows; SaaS; Office Suite</t>
        </is>
      </c>
      <c r="N118" s="973" t="inlineStr">
        <is>
          <t>https://attack.mitre.org/techniques/T1566/</t>
        </is>
      </c>
      <c r="O118" s="973" t="n"/>
      <c r="P118" s="973" t="n"/>
    </row>
    <row r="119">
      <c r="A119" s="973" t="inlineStr">
        <is>
          <t>Nation-state</t>
        </is>
      </c>
      <c r="B119" s="973" t="inlineStr">
        <is>
          <t>Data or transaction-integrity compromise</t>
        </is>
      </c>
      <c r="C119" s="973" t="inlineStr">
        <is>
          <t>Identity and credential compromise</t>
        </is>
      </c>
      <c r="D119" s="973" t="inlineStr">
        <is>
          <t>T1078</t>
        </is>
      </c>
      <c r="E119" s="973" t="inlineStr">
        <is>
          <t>Valid Accounts</t>
        </is>
      </c>
      <c r="F119" s="973" t="inlineStr">
        <is>
          <t>S1</t>
        </is>
      </c>
      <c r="G119" s="973" t="b">
        <v>1</v>
      </c>
      <c r="H119" s="973" t="b">
        <v>1</v>
      </c>
      <c r="I119" s="973" t="b">
        <v>1</v>
      </c>
      <c r="J119" s="973" t="n">
        <v>1</v>
      </c>
      <c r="K119" s="973" t="n">
        <v>0.272109375</v>
      </c>
      <c r="L119" s="973" t="n">
        <v>0.272109375</v>
      </c>
      <c r="M119" s="973" t="inlineStr">
        <is>
          <t>Identity Provider; SaaS; IaaS; Windows</t>
        </is>
      </c>
      <c r="N119" s="973" t="inlineStr">
        <is>
          <t>https://attack.mitre.org/techniques/T1078/</t>
        </is>
      </c>
      <c r="O119" s="973" t="n"/>
      <c r="P119" s="973" t="n"/>
    </row>
    <row r="120">
      <c r="A120" s="973" t="inlineStr">
        <is>
          <t>Nation-state</t>
        </is>
      </c>
      <c r="B120" s="973" t="inlineStr">
        <is>
          <t>Data or transaction-integrity compromise</t>
        </is>
      </c>
      <c r="C120" s="973" t="inlineStr">
        <is>
          <t>Identity and credential compromise</t>
        </is>
      </c>
      <c r="D120" s="973" t="inlineStr">
        <is>
          <t>T1110</t>
        </is>
      </c>
      <c r="E120" s="973" t="inlineStr">
        <is>
          <t>Brute Force</t>
        </is>
      </c>
      <c r="F120" s="973" t="inlineStr">
        <is>
          <t>S1</t>
        </is>
      </c>
      <c r="G120" s="973" t="b">
        <v>1</v>
      </c>
      <c r="H120" s="973" t="b">
        <v>1</v>
      </c>
      <c r="I120" s="973" t="b">
        <v>1</v>
      </c>
      <c r="J120" s="973" t="n">
        <v>0.7</v>
      </c>
      <c r="K120" s="973" t="n">
        <v>0.24375</v>
      </c>
      <c r="L120" s="973" t="n">
        <v>0.24375</v>
      </c>
      <c r="M120" s="973" t="inlineStr">
        <is>
          <t>Identity Provider; SaaS; Windows</t>
        </is>
      </c>
      <c r="N120" s="973" t="inlineStr">
        <is>
          <t>https://attack.mitre.org/techniques/T1110/</t>
        </is>
      </c>
      <c r="O120" s="973" t="n"/>
      <c r="P120" s="973" t="n"/>
    </row>
    <row r="121">
      <c r="A121" s="973" t="inlineStr">
        <is>
          <t>Nation-state</t>
        </is>
      </c>
      <c r="B121" s="973" t="inlineStr">
        <is>
          <t>Data or transaction-integrity compromise</t>
        </is>
      </c>
      <c r="C121" s="973" t="inlineStr">
        <is>
          <t>Identity and credential compromise</t>
        </is>
      </c>
      <c r="D121" s="973" t="inlineStr">
        <is>
          <t>T1098</t>
        </is>
      </c>
      <c r="E121" s="973" t="inlineStr">
        <is>
          <t>Account Manipulation</t>
        </is>
      </c>
      <c r="F121" s="973" t="inlineStr">
        <is>
          <t>S3</t>
        </is>
      </c>
      <c r="G121" s="973" t="b">
        <v>1</v>
      </c>
      <c r="H121" s="973" t="b">
        <v>1</v>
      </c>
      <c r="I121" s="973" t="b">
        <v>1</v>
      </c>
      <c r="J121" s="973" t="n">
        <v>0.7</v>
      </c>
      <c r="K121" s="973" t="n">
        <v>0.2477547340393066</v>
      </c>
      <c r="L121" s="973" t="n">
        <v>0.2477547340393066</v>
      </c>
      <c r="M121" s="973" t="inlineStr">
        <is>
          <t>Identity Provider; SaaS; Windows</t>
        </is>
      </c>
      <c r="N121" s="973" t="inlineStr">
        <is>
          <t>https://attack.mitre.org/techniques/T1098/</t>
        </is>
      </c>
      <c r="O121" s="973" t="n"/>
      <c r="P121" s="973" t="n"/>
    </row>
    <row r="122">
      <c r="A122" s="973" t="inlineStr">
        <is>
          <t>Nation-state</t>
        </is>
      </c>
      <c r="B122" s="973" t="inlineStr">
        <is>
          <t>Data or transaction-integrity compromise</t>
        </is>
      </c>
      <c r="C122" s="973" t="inlineStr">
        <is>
          <t>Identity and credential compromise</t>
        </is>
      </c>
      <c r="D122" s="973" t="inlineStr">
        <is>
          <t>T1087</t>
        </is>
      </c>
      <c r="E122" s="973" t="inlineStr">
        <is>
          <t>Account Discovery</t>
        </is>
      </c>
      <c r="F122" s="973" t="inlineStr">
        <is>
          <t>S4</t>
        </is>
      </c>
      <c r="G122" s="973" t="b">
        <v>1</v>
      </c>
      <c r="H122" s="973" t="b">
        <v>1</v>
      </c>
      <c r="I122" s="973" t="b">
        <v>1</v>
      </c>
      <c r="J122" s="973" t="n">
        <v>0.6</v>
      </c>
      <c r="K122" s="973" t="n">
        <v>0</v>
      </c>
      <c r="L122" s="973" t="n">
        <v>0</v>
      </c>
      <c r="M122" s="973" t="inlineStr">
        <is>
          <t>Identity Provider; SaaS; Windows</t>
        </is>
      </c>
      <c r="N122" s="973" t="inlineStr">
        <is>
          <t>https://attack.mitre.org/techniques/T1087/</t>
        </is>
      </c>
      <c r="O122" s="973" t="n"/>
      <c r="P122" s="973" t="n"/>
    </row>
    <row r="123">
      <c r="A123" s="973" t="inlineStr">
        <is>
          <t>Nation-state</t>
        </is>
      </c>
      <c r="B123" s="973" t="inlineStr">
        <is>
          <t>Data or transaction-integrity compromise</t>
        </is>
      </c>
      <c r="C123" s="973" t="inlineStr">
        <is>
          <t>Identity and credential compromise</t>
        </is>
      </c>
      <c r="D123" s="973" t="inlineStr">
        <is>
          <t>T1213</t>
        </is>
      </c>
      <c r="E123" s="973" t="inlineStr">
        <is>
          <t>Data from Information Repositories</t>
        </is>
      </c>
      <c r="F123" s="973" t="inlineStr">
        <is>
          <t>S4</t>
        </is>
      </c>
      <c r="G123" s="973" t="b">
        <v>1</v>
      </c>
      <c r="H123" s="973" t="b">
        <v>1</v>
      </c>
      <c r="I123" s="973" t="b">
        <v>1</v>
      </c>
      <c r="J123" s="973" t="n">
        <v>0.8</v>
      </c>
      <c r="K123" s="973" t="n">
        <v>0.177890625</v>
      </c>
      <c r="L123" s="973" t="n">
        <v>0.177890625</v>
      </c>
      <c r="M123" s="973" t="inlineStr">
        <is>
          <t>SaaS; Office Suite; Windows</t>
        </is>
      </c>
      <c r="N123" s="973" t="inlineStr">
        <is>
          <t>https://attack.mitre.org/techniques/T1213/</t>
        </is>
      </c>
      <c r="O123" s="973" t="n"/>
      <c r="P123" s="973" t="n"/>
    </row>
    <row r="124">
      <c r="A124" s="973" t="inlineStr">
        <is>
          <t>Nation-state</t>
        </is>
      </c>
      <c r="B124" s="973" t="inlineStr">
        <is>
          <t>Data or transaction-integrity compromise</t>
        </is>
      </c>
      <c r="C124" s="973" t="inlineStr">
        <is>
          <t>Identity and credential compromise</t>
        </is>
      </c>
      <c r="D124" s="973" t="inlineStr">
        <is>
          <t>T1567</t>
        </is>
      </c>
      <c r="E124" s="973" t="inlineStr">
        <is>
          <t>Exfiltration Over Web Service</t>
        </is>
      </c>
      <c r="F124" s="973" t="inlineStr">
        <is>
          <t>S5</t>
        </is>
      </c>
      <c r="G124" s="973" t="b">
        <v>1</v>
      </c>
      <c r="H124" s="973" t="b">
        <v>0</v>
      </c>
      <c r="I124" s="973" t="b">
        <v>0</v>
      </c>
      <c r="J124" s="973" t="n">
        <v>0.7</v>
      </c>
      <c r="K124" s="973" t="n">
        <v>0.20625</v>
      </c>
      <c r="L124" s="973" t="n">
        <v>0.20625</v>
      </c>
      <c r="M124" s="973" t="inlineStr">
        <is>
          <t>SaaS; Office Suite</t>
        </is>
      </c>
      <c r="N124" s="973" t="inlineStr">
        <is>
          <t>https://attack.mitre.org/techniques/T1567/</t>
        </is>
      </c>
      <c r="O124" s="973" t="n"/>
      <c r="P124" s="973" t="n"/>
    </row>
    <row r="125">
      <c r="A125" s="973" t="inlineStr">
        <is>
          <t>Nation-state</t>
        </is>
      </c>
      <c r="B125" s="973" t="inlineStr">
        <is>
          <t>Data or transaction-integrity compromise</t>
        </is>
      </c>
      <c r="C125" s="973" t="inlineStr">
        <is>
          <t>Identity and credential compromise</t>
        </is>
      </c>
      <c r="D125" s="973" t="inlineStr">
        <is>
          <t>T1657</t>
        </is>
      </c>
      <c r="E125" s="973" t="inlineStr">
        <is>
          <t>Financial Theft</t>
        </is>
      </c>
      <c r="F125" s="973" t="inlineStr">
        <is>
          <t>S5</t>
        </is>
      </c>
      <c r="G125" s="973" t="b">
        <v>1</v>
      </c>
      <c r="H125" s="973" t="b">
        <v>0</v>
      </c>
      <c r="I125" s="973" t="b">
        <v>0</v>
      </c>
      <c r="J125" s="973" t="n">
        <v>0.8</v>
      </c>
      <c r="K125" s="973" t="n">
        <v>0.275654296875</v>
      </c>
      <c r="L125" s="973" t="n">
        <v>0.275654296875</v>
      </c>
      <c r="M125" s="973" t="inlineStr">
        <is>
          <t>SaaS; Office Suite; Identity Provider</t>
        </is>
      </c>
      <c r="N125" s="973" t="inlineStr">
        <is>
          <t>https://attack.mitre.org/techniques/T1657/</t>
        </is>
      </c>
      <c r="O125" s="973" t="n"/>
      <c r="P125" s="973" t="n"/>
    </row>
    <row r="126">
      <c r="A126" s="973" t="inlineStr">
        <is>
          <t>Nation-state</t>
        </is>
      </c>
      <c r="B126" s="973" t="inlineStr">
        <is>
          <t>Data or transaction-integrity compromise</t>
        </is>
      </c>
      <c r="C126" s="973" t="inlineStr">
        <is>
          <t>Identity and credential compromise</t>
        </is>
      </c>
      <c r="D126" s="973" t="inlineStr">
        <is>
          <t>T1565</t>
        </is>
      </c>
      <c r="E126" s="973" t="inlineStr">
        <is>
          <t>Data Manipulation</t>
        </is>
      </c>
      <c r="F126" s="973" t="inlineStr">
        <is>
          <t>S5</t>
        </is>
      </c>
      <c r="G126" s="973" t="b">
        <v>1</v>
      </c>
      <c r="H126" s="973" t="b">
        <v>1</v>
      </c>
      <c r="I126" s="973" t="b">
        <v>1</v>
      </c>
      <c r="J126" s="973" t="n">
        <v>0.5</v>
      </c>
      <c r="K126" s="973" t="n">
        <v>0.2206064987182617</v>
      </c>
      <c r="L126" s="973" t="n">
        <v>0.2206064987182617</v>
      </c>
      <c r="M126" s="973" t="inlineStr">
        <is>
          <t>SaaS; Databases; Windows</t>
        </is>
      </c>
      <c r="N126" s="973" t="inlineStr">
        <is>
          <t>https://attack.mitre.org/techniques/T1565/</t>
        </is>
      </c>
      <c r="O126" s="973" t="n"/>
      <c r="P126" s="973" t="n"/>
    </row>
    <row r="127">
      <c r="A127" s="973" t="inlineStr">
        <is>
          <t>Nation-state</t>
        </is>
      </c>
      <c r="B127" s="973" t="inlineStr">
        <is>
          <t>Data or transaction-integrity compromise</t>
        </is>
      </c>
      <c r="C127" s="973" t="inlineStr">
        <is>
          <t>Identity and credential compromise</t>
        </is>
      </c>
      <c r="D127" s="973" t="inlineStr">
        <is>
          <t>T1486</t>
        </is>
      </c>
      <c r="E127" s="973" t="inlineStr">
        <is>
          <t>Data Encrypted for Impact</t>
        </is>
      </c>
      <c r="F127" s="973" t="inlineStr">
        <is>
          <t>S5</t>
        </is>
      </c>
      <c r="G127" s="973" t="b">
        <v>1</v>
      </c>
      <c r="H127" s="973" t="b">
        <v>1</v>
      </c>
      <c r="I127" s="973" t="b">
        <v>1</v>
      </c>
      <c r="J127" s="973" t="n">
        <v>0.7</v>
      </c>
      <c r="K127" s="973" t="n">
        <v>0.16875</v>
      </c>
      <c r="L127" s="973" t="n">
        <v>0.16875</v>
      </c>
      <c r="M127" s="973" t="inlineStr">
        <is>
          <t>Windows; Linux; IaaS</t>
        </is>
      </c>
      <c r="N127" s="973" t="inlineStr">
        <is>
          <t>https://attack.mitre.org/techniques/T1486/</t>
        </is>
      </c>
      <c r="O127" s="973" t="n"/>
      <c r="P127" s="973" t="n"/>
    </row>
    <row r="128">
      <c r="A128" s="973" t="inlineStr">
        <is>
          <t>Nation-state</t>
        </is>
      </c>
      <c r="B128" s="973" t="inlineStr">
        <is>
          <t>Data or transaction-integrity compromise</t>
        </is>
      </c>
      <c r="C128" s="973" t="inlineStr">
        <is>
          <t>Identity and credential compromise</t>
        </is>
      </c>
      <c r="D128" s="973" t="inlineStr">
        <is>
          <t>T1490</t>
        </is>
      </c>
      <c r="E128" s="973" t="inlineStr">
        <is>
          <t>Inhibit System Recovery</t>
        </is>
      </c>
      <c r="F128" s="973" t="inlineStr">
        <is>
          <t>S5</t>
        </is>
      </c>
      <c r="G128" s="973" t="b">
        <v>1</v>
      </c>
      <c r="H128" s="973" t="b">
        <v>1</v>
      </c>
      <c r="I128" s="973" t="b">
        <v>1</v>
      </c>
      <c r="J128" s="973" t="n">
        <v>0.6</v>
      </c>
      <c r="K128" s="973" t="n">
        <v>0</v>
      </c>
      <c r="L128" s="973" t="n">
        <v>0</v>
      </c>
      <c r="M128" s="973" t="inlineStr">
        <is>
          <t>Windows; Linux; IaaS</t>
        </is>
      </c>
      <c r="N128" s="973" t="inlineStr">
        <is>
          <t>https://attack.mitre.org/techniques/T1490/</t>
        </is>
      </c>
      <c r="O128" s="973" t="n"/>
      <c r="P128" s="973" t="n"/>
    </row>
    <row r="129">
      <c r="A129" s="973" t="inlineStr">
        <is>
          <t>Nation-state</t>
        </is>
      </c>
      <c r="B129" s="973" t="inlineStr">
        <is>
          <t>Data or transaction-integrity compromise</t>
        </is>
      </c>
      <c r="C129" s="973" t="inlineStr">
        <is>
          <t>User endpoint and social engineering</t>
        </is>
      </c>
      <c r="D129" s="973" t="inlineStr">
        <is>
          <t>T1566</t>
        </is>
      </c>
      <c r="E129" s="973" t="inlineStr">
        <is>
          <t>Phishing</t>
        </is>
      </c>
      <c r="F129" s="973" t="inlineStr">
        <is>
          <t>S1</t>
        </is>
      </c>
      <c r="G129" s="973" t="b">
        <v>1</v>
      </c>
      <c r="H129" s="973" t="b">
        <v>1</v>
      </c>
      <c r="I129" s="973" t="b">
        <v>1</v>
      </c>
      <c r="J129" s="973" t="n">
        <v>1</v>
      </c>
      <c r="K129" s="973" t="n">
        <v>0.20625</v>
      </c>
      <c r="L129" s="973" t="n">
        <v>0.20625</v>
      </c>
      <c r="M129" s="973" t="inlineStr">
        <is>
          <t>Windows; SaaS; Office Suite</t>
        </is>
      </c>
      <c r="N129" s="973" t="inlineStr">
        <is>
          <t>https://attack.mitre.org/techniques/T1566/</t>
        </is>
      </c>
      <c r="O129" s="973" t="n"/>
      <c r="P129" s="973" t="n"/>
    </row>
    <row r="130">
      <c r="A130" s="973" t="inlineStr">
        <is>
          <t>Nation-state</t>
        </is>
      </c>
      <c r="B130" s="973" t="inlineStr">
        <is>
          <t>Data or transaction-integrity compromise</t>
        </is>
      </c>
      <c r="C130" s="973" t="inlineStr">
        <is>
          <t>User endpoint and social engineering</t>
        </is>
      </c>
      <c r="D130" s="973" t="inlineStr">
        <is>
          <t>T1203</t>
        </is>
      </c>
      <c r="E130" s="973" t="inlineStr">
        <is>
          <t>Exploitation for Client Execution</t>
        </is>
      </c>
      <c r="F130" s="973" t="inlineStr">
        <is>
          <t>S2</t>
        </is>
      </c>
      <c r="G130" s="973" t="b">
        <v>1</v>
      </c>
      <c r="H130" s="973" t="b">
        <v>1</v>
      </c>
      <c r="I130" s="973" t="b">
        <v>1</v>
      </c>
      <c r="J130" s="973" t="n">
        <v>0.8</v>
      </c>
      <c r="K130" s="973" t="n">
        <v>0.2404920959472656</v>
      </c>
      <c r="L130" s="973" t="n">
        <v>0.2404920959472656</v>
      </c>
      <c r="M130" s="973" t="inlineStr">
        <is>
          <t>Windows; macOS; Linux</t>
        </is>
      </c>
      <c r="N130" s="973" t="inlineStr">
        <is>
          <t>https://attack.mitre.org/techniques/T1203/</t>
        </is>
      </c>
      <c r="O130" s="973" t="n"/>
      <c r="P130" s="973" t="n"/>
    </row>
    <row r="131">
      <c r="A131" s="973" t="inlineStr">
        <is>
          <t>Nation-state</t>
        </is>
      </c>
      <c r="B131" s="973" t="inlineStr">
        <is>
          <t>Data or transaction-integrity compromise</t>
        </is>
      </c>
      <c r="C131" s="973" t="inlineStr">
        <is>
          <t>User endpoint and social engineering</t>
        </is>
      </c>
      <c r="D131" s="973" t="inlineStr">
        <is>
          <t>T1059</t>
        </is>
      </c>
      <c r="E131" s="973" t="inlineStr">
        <is>
          <t>Command and Scripting Interpreter</t>
        </is>
      </c>
      <c r="F131" s="973" t="inlineStr">
        <is>
          <t>S2</t>
        </is>
      </c>
      <c r="G131" s="973" t="b">
        <v>1</v>
      </c>
      <c r="H131" s="973" t="b">
        <v>1</v>
      </c>
      <c r="I131" s="973" t="b">
        <v>1</v>
      </c>
      <c r="J131" s="973" t="n">
        <v>0.9</v>
      </c>
      <c r="K131" s="973" t="n">
        <v>0.1875</v>
      </c>
      <c r="L131" s="973" t="n">
        <v>0.1875</v>
      </c>
      <c r="M131" s="973" t="inlineStr">
        <is>
          <t>Windows; macOS; Linux; IaaS</t>
        </is>
      </c>
      <c r="N131" s="973" t="inlineStr">
        <is>
          <t>https://attack.mitre.org/techniques/T1059/</t>
        </is>
      </c>
      <c r="O131" s="973" t="n"/>
      <c r="P131" s="973" t="n"/>
    </row>
    <row r="132">
      <c r="A132" s="973" t="inlineStr">
        <is>
          <t>Nation-state</t>
        </is>
      </c>
      <c r="B132" s="973" t="inlineStr">
        <is>
          <t>Data or transaction-integrity compromise</t>
        </is>
      </c>
      <c r="C132" s="973" t="inlineStr">
        <is>
          <t>User endpoint and social engineering</t>
        </is>
      </c>
      <c r="D132" s="973" t="inlineStr">
        <is>
          <t>T1068</t>
        </is>
      </c>
      <c r="E132" s="973" t="inlineStr">
        <is>
          <t>Exploitation for Privilege Escalation</t>
        </is>
      </c>
      <c r="F132" s="973" t="inlineStr">
        <is>
          <t>S3</t>
        </is>
      </c>
      <c r="G132" s="973" t="b">
        <v>1</v>
      </c>
      <c r="H132" s="973" t="b">
        <v>1</v>
      </c>
      <c r="I132" s="973" t="b">
        <v>1</v>
      </c>
      <c r="J132" s="973" t="n">
        <v>0.7</v>
      </c>
      <c r="K132" s="973" t="n">
        <v>0.2094165115356445</v>
      </c>
      <c r="L132" s="973" t="n">
        <v>0.2094165115356445</v>
      </c>
      <c r="M132" s="973" t="inlineStr">
        <is>
          <t>Windows; macOS; Linux</t>
        </is>
      </c>
      <c r="N132" s="973" t="inlineStr">
        <is>
          <t>https://attack.mitre.org/techniques/T1068/</t>
        </is>
      </c>
      <c r="O132" s="973" t="n"/>
      <c r="P132" s="973" t="n"/>
    </row>
    <row r="133">
      <c r="A133" s="973" t="inlineStr">
        <is>
          <t>Nation-state</t>
        </is>
      </c>
      <c r="B133" s="973" t="inlineStr">
        <is>
          <t>Data or transaction-integrity compromise</t>
        </is>
      </c>
      <c r="C133" s="973" t="inlineStr">
        <is>
          <t>User endpoint and social engineering</t>
        </is>
      </c>
      <c r="D133" s="973" t="inlineStr">
        <is>
          <t>T1003</t>
        </is>
      </c>
      <c r="E133" s="973" t="inlineStr">
        <is>
          <t>OS Credential Dumping</t>
        </is>
      </c>
      <c r="F133" s="973" t="inlineStr">
        <is>
          <t>S3</t>
        </is>
      </c>
      <c r="G133" s="973" t="b">
        <v>1</v>
      </c>
      <c r="H133" s="973" t="b">
        <v>1</v>
      </c>
      <c r="I133" s="973" t="b">
        <v>1</v>
      </c>
      <c r="J133" s="973" t="n">
        <v>0.8</v>
      </c>
      <c r="K133" s="973" t="n">
        <v>0.232294921875</v>
      </c>
      <c r="L133" s="973" t="n">
        <v>0.232294921875</v>
      </c>
      <c r="M133" s="973" t="inlineStr">
        <is>
          <t>Windows; Linux; macOS</t>
        </is>
      </c>
      <c r="N133" s="973" t="inlineStr">
        <is>
          <t>https://attack.mitre.org/techniques/T1003/</t>
        </is>
      </c>
      <c r="O133" s="973" t="n"/>
      <c r="P133" s="973" t="n"/>
    </row>
    <row r="134">
      <c r="A134" s="973" t="inlineStr">
        <is>
          <t>Nation-state</t>
        </is>
      </c>
      <c r="B134" s="973" t="inlineStr">
        <is>
          <t>Data or transaction-integrity compromise</t>
        </is>
      </c>
      <c r="C134" s="973" t="inlineStr">
        <is>
          <t>User endpoint and social engineering</t>
        </is>
      </c>
      <c r="D134" s="973" t="inlineStr">
        <is>
          <t>T1046</t>
        </is>
      </c>
      <c r="E134" s="973" t="inlineStr">
        <is>
          <t>Network Service Discovery</t>
        </is>
      </c>
      <c r="F134" s="973" t="inlineStr">
        <is>
          <t>S4</t>
        </is>
      </c>
      <c r="G134" s="973" t="b">
        <v>1</v>
      </c>
      <c r="H134" s="973" t="b">
        <v>1</v>
      </c>
      <c r="I134" s="973" t="b">
        <v>1</v>
      </c>
      <c r="J134" s="973" t="n">
        <v>0.6</v>
      </c>
      <c r="K134" s="973" t="n">
        <v>0.16875</v>
      </c>
      <c r="L134" s="973" t="n">
        <v>0.16875</v>
      </c>
      <c r="M134" s="973" t="inlineStr">
        <is>
          <t>Network Devices; Windows; Linux</t>
        </is>
      </c>
      <c r="N134" s="973" t="inlineStr">
        <is>
          <t>https://attack.mitre.org/techniques/T1046/</t>
        </is>
      </c>
      <c r="O134" s="973" t="n"/>
      <c r="P134" s="973" t="n"/>
    </row>
    <row r="135">
      <c r="A135" s="973" t="inlineStr">
        <is>
          <t>Nation-state</t>
        </is>
      </c>
      <c r="B135" s="973" t="inlineStr">
        <is>
          <t>Data or transaction-integrity compromise</t>
        </is>
      </c>
      <c r="C135" s="973" t="inlineStr">
        <is>
          <t>User endpoint and social engineering</t>
        </is>
      </c>
      <c r="D135" s="973" t="inlineStr">
        <is>
          <t>T1021</t>
        </is>
      </c>
      <c r="E135" s="973" t="inlineStr">
        <is>
          <t>Remote Services</t>
        </is>
      </c>
      <c r="F135" s="973" t="inlineStr">
        <is>
          <t>S4</t>
        </is>
      </c>
      <c r="G135" s="973" t="b">
        <v>1</v>
      </c>
      <c r="H135" s="973" t="b">
        <v>1</v>
      </c>
      <c r="I135" s="973" t="b">
        <v>1</v>
      </c>
      <c r="J135" s="973" t="n">
        <v>0.8</v>
      </c>
      <c r="K135" s="973" t="n">
        <v>0.1875</v>
      </c>
      <c r="L135" s="973" t="n">
        <v>0.1875</v>
      </c>
      <c r="M135" s="973" t="inlineStr">
        <is>
          <t>Windows; Linux; Network Devices</t>
        </is>
      </c>
      <c r="N135" s="973" t="inlineStr">
        <is>
          <t>https://attack.mitre.org/techniques/T1021/</t>
        </is>
      </c>
      <c r="O135" s="973" t="n"/>
      <c r="P135" s="973" t="n"/>
    </row>
    <row r="136">
      <c r="A136" s="973" t="inlineStr">
        <is>
          <t>Nation-state</t>
        </is>
      </c>
      <c r="B136" s="973" t="inlineStr">
        <is>
          <t>Data or transaction-integrity compromise</t>
        </is>
      </c>
      <c r="C136" s="973" t="inlineStr">
        <is>
          <t>User endpoint and social engineering</t>
        </is>
      </c>
      <c r="D136" s="973" t="inlineStr">
        <is>
          <t>T1213</t>
        </is>
      </c>
      <c r="E136" s="973" t="inlineStr">
        <is>
          <t>Data from Information Repositories</t>
        </is>
      </c>
      <c r="F136" s="973" t="inlineStr">
        <is>
          <t>S4</t>
        </is>
      </c>
      <c r="G136" s="973" t="b">
        <v>1</v>
      </c>
      <c r="H136" s="973" t="b">
        <v>1</v>
      </c>
      <c r="I136" s="973" t="b">
        <v>1</v>
      </c>
      <c r="J136" s="973" t="n">
        <v>0.7</v>
      </c>
      <c r="K136" s="973" t="n">
        <v>0.177890625</v>
      </c>
      <c r="L136" s="973" t="n">
        <v>0.177890625</v>
      </c>
      <c r="M136" s="973" t="inlineStr">
        <is>
          <t>SaaS; Office Suite; Windows</t>
        </is>
      </c>
      <c r="N136" s="973" t="inlineStr">
        <is>
          <t>https://attack.mitre.org/techniques/T1213/</t>
        </is>
      </c>
      <c r="O136" s="973" t="n"/>
      <c r="P136" s="973" t="n"/>
    </row>
    <row r="137">
      <c r="A137" s="973" t="inlineStr">
        <is>
          <t>Nation-state</t>
        </is>
      </c>
      <c r="B137" s="973" t="inlineStr">
        <is>
          <t>Data or transaction-integrity compromise</t>
        </is>
      </c>
      <c r="C137" s="973" t="inlineStr">
        <is>
          <t>User endpoint and social engineering</t>
        </is>
      </c>
      <c r="D137" s="973" t="inlineStr">
        <is>
          <t>T1486</t>
        </is>
      </c>
      <c r="E137" s="973" t="inlineStr">
        <is>
          <t>Data Encrypted for Impact</t>
        </is>
      </c>
      <c r="F137" s="973" t="inlineStr">
        <is>
          <t>S5</t>
        </is>
      </c>
      <c r="G137" s="973" t="b">
        <v>1</v>
      </c>
      <c r="H137" s="973" t="b">
        <v>1</v>
      </c>
      <c r="I137" s="973" t="b">
        <v>1</v>
      </c>
      <c r="J137" s="973" t="n">
        <v>0.8</v>
      </c>
      <c r="K137" s="973" t="n">
        <v>0.16875</v>
      </c>
      <c r="L137" s="973" t="n">
        <v>0.16875</v>
      </c>
      <c r="M137" s="973" t="inlineStr">
        <is>
          <t>Windows; Linux; IaaS</t>
        </is>
      </c>
      <c r="N137" s="973" t="inlineStr">
        <is>
          <t>https://attack.mitre.org/techniques/T1486/</t>
        </is>
      </c>
      <c r="O137" s="973" t="n"/>
      <c r="P137" s="973" t="n"/>
    </row>
    <row r="138">
      <c r="A138" s="973" t="inlineStr">
        <is>
          <t>Nation-state</t>
        </is>
      </c>
      <c r="B138" s="973" t="inlineStr">
        <is>
          <t>Data or transaction-integrity compromise</t>
        </is>
      </c>
      <c r="C138" s="973" t="inlineStr">
        <is>
          <t>User endpoint and social engineering</t>
        </is>
      </c>
      <c r="D138" s="973" t="inlineStr">
        <is>
          <t>T1490</t>
        </is>
      </c>
      <c r="E138" s="973" t="inlineStr">
        <is>
          <t>Inhibit System Recovery</t>
        </is>
      </c>
      <c r="F138" s="973" t="inlineStr">
        <is>
          <t>S5</t>
        </is>
      </c>
      <c r="G138" s="973" t="b">
        <v>1</v>
      </c>
      <c r="H138" s="973" t="b">
        <v>1</v>
      </c>
      <c r="I138" s="973" t="b">
        <v>1</v>
      </c>
      <c r="J138" s="973" t="n">
        <v>0.7</v>
      </c>
      <c r="K138" s="973" t="n">
        <v>0</v>
      </c>
      <c r="L138" s="973" t="n">
        <v>0</v>
      </c>
      <c r="M138" s="973" t="inlineStr">
        <is>
          <t>Windows; Linux; IaaS</t>
        </is>
      </c>
      <c r="N138" s="973" t="inlineStr">
        <is>
          <t>https://attack.mitre.org/techniques/T1490/</t>
        </is>
      </c>
      <c r="O138" s="973" t="n"/>
      <c r="P138" s="973" t="n"/>
    </row>
    <row r="139">
      <c r="A139" s="973" t="inlineStr">
        <is>
          <t>Nation-state</t>
        </is>
      </c>
      <c r="B139" s="973" t="inlineStr">
        <is>
          <t>Data or transaction-integrity compromise</t>
        </is>
      </c>
      <c r="C139" s="973" t="inlineStr">
        <is>
          <t>User endpoint and social engineering</t>
        </is>
      </c>
      <c r="D139" s="973" t="inlineStr">
        <is>
          <t>T1567</t>
        </is>
      </c>
      <c r="E139" s="973" t="inlineStr">
        <is>
          <t>Exfiltration Over Web Service</t>
        </is>
      </c>
      <c r="F139" s="973" t="inlineStr">
        <is>
          <t>S5</t>
        </is>
      </c>
      <c r="G139" s="973" t="b">
        <v>1</v>
      </c>
      <c r="H139" s="973" t="b">
        <v>0</v>
      </c>
      <c r="I139" s="973" t="b">
        <v>0</v>
      </c>
      <c r="J139" s="973" t="n">
        <v>0.7</v>
      </c>
      <c r="K139" s="973" t="n">
        <v>0.20625</v>
      </c>
      <c r="L139" s="973" t="n">
        <v>0.20625</v>
      </c>
      <c r="M139" s="973" t="inlineStr">
        <is>
          <t>SaaS; Office Suite</t>
        </is>
      </c>
      <c r="N139" s="973" t="inlineStr">
        <is>
          <t>https://attack.mitre.org/techniques/T1567/</t>
        </is>
      </c>
      <c r="O139" s="973" t="n"/>
      <c r="P139" s="973" t="n"/>
    </row>
    <row r="140">
      <c r="A140" s="973" t="inlineStr">
        <is>
          <t>Nation-state</t>
        </is>
      </c>
      <c r="B140" s="973" t="inlineStr">
        <is>
          <t>Data or transaction-integrity compromise</t>
        </is>
      </c>
      <c r="C140" s="973" t="inlineStr">
        <is>
          <t>User endpoint and social engineering</t>
        </is>
      </c>
      <c r="D140" s="973" t="inlineStr">
        <is>
          <t>T1657</t>
        </is>
      </c>
      <c r="E140" s="973" t="inlineStr">
        <is>
          <t>Financial Theft</t>
        </is>
      </c>
      <c r="F140" s="973" t="inlineStr">
        <is>
          <t>S5</t>
        </is>
      </c>
      <c r="G140" s="973" t="b">
        <v>1</v>
      </c>
      <c r="H140" s="973" t="b">
        <v>0</v>
      </c>
      <c r="I140" s="973" t="b">
        <v>0</v>
      </c>
      <c r="J140" s="973" t="n">
        <v>0.5</v>
      </c>
      <c r="K140" s="973" t="n">
        <v>0.275654296875</v>
      </c>
      <c r="L140" s="973" t="n">
        <v>0.275654296875</v>
      </c>
      <c r="M140" s="973" t="inlineStr">
        <is>
          <t>SaaS; Office Suite; Identity Provider</t>
        </is>
      </c>
      <c r="N140" s="973" t="inlineStr">
        <is>
          <t>https://attack.mitre.org/techniques/T1657/</t>
        </is>
      </c>
      <c r="O140" s="973" t="n"/>
      <c r="P140" s="973" t="n"/>
    </row>
    <row r="141">
      <c r="A141" s="973" t="inlineStr">
        <is>
          <t>Nation-state</t>
        </is>
      </c>
      <c r="B141" s="973" t="inlineStr">
        <is>
          <t>Data or transaction-integrity compromise</t>
        </is>
      </c>
      <c r="C141" s="973" t="inlineStr">
        <is>
          <t>User endpoint and social engineering</t>
        </is>
      </c>
      <c r="D141" s="973" t="inlineStr">
        <is>
          <t>T1565</t>
        </is>
      </c>
      <c r="E141" s="973" t="inlineStr">
        <is>
          <t>Data Manipulation</t>
        </is>
      </c>
      <c r="F141" s="973" t="inlineStr">
        <is>
          <t>S5</t>
        </is>
      </c>
      <c r="G141" s="973" t="b">
        <v>1</v>
      </c>
      <c r="H141" s="973" t="b">
        <v>1</v>
      </c>
      <c r="I141" s="973" t="b">
        <v>1</v>
      </c>
      <c r="J141" s="973" t="n">
        <v>0.5</v>
      </c>
      <c r="K141" s="973" t="n">
        <v>0.2206064987182617</v>
      </c>
      <c r="L141" s="973" t="n">
        <v>0.2206064987182617</v>
      </c>
      <c r="M141" s="973" t="inlineStr">
        <is>
          <t>SaaS; Databases; Windows</t>
        </is>
      </c>
      <c r="N141" s="973" t="inlineStr">
        <is>
          <t>https://attack.mitre.org/techniques/T1565/</t>
        </is>
      </c>
      <c r="O141" s="973" t="n"/>
      <c r="P141" s="973" t="n"/>
    </row>
    <row r="142">
      <c r="A142" s="973" t="inlineStr">
        <is>
          <t>Nation-state</t>
        </is>
      </c>
      <c r="B142" s="973" t="inlineStr">
        <is>
          <t>Data or transaction-integrity compromise</t>
        </is>
      </c>
      <c r="C142" s="973" t="inlineStr">
        <is>
          <t>Public-facing application exploitation</t>
        </is>
      </c>
      <c r="D142" s="973" t="inlineStr">
        <is>
          <t>T1190</t>
        </is>
      </c>
      <c r="E142" s="973" t="inlineStr">
        <is>
          <t>Exploit Public-Facing Application</t>
        </is>
      </c>
      <c r="F142" s="973" t="inlineStr">
        <is>
          <t>S1</t>
        </is>
      </c>
      <c r="G142" s="973" t="b">
        <v>1</v>
      </c>
      <c r="H142" s="973" t="b">
        <v>1</v>
      </c>
      <c r="I142" s="973" t="b">
        <v>1</v>
      </c>
      <c r="J142" s="973" t="n">
        <v>1</v>
      </c>
      <c r="K142" s="973" t="n">
        <v>0.2496630477905274</v>
      </c>
      <c r="L142" s="973" t="n">
        <v>0.2496630477905274</v>
      </c>
      <c r="M142" s="973" t="inlineStr">
        <is>
          <t>Network Devices; SaaS; IaaS</t>
        </is>
      </c>
      <c r="N142" s="973" t="inlineStr">
        <is>
          <t>https://attack.mitre.org/techniques/T1190/</t>
        </is>
      </c>
      <c r="O142" s="973" t="n"/>
      <c r="P142" s="973" t="n"/>
    </row>
    <row r="143">
      <c r="A143" s="973" t="inlineStr">
        <is>
          <t>Nation-state</t>
        </is>
      </c>
      <c r="B143" s="973" t="inlineStr">
        <is>
          <t>Data or transaction-integrity compromise</t>
        </is>
      </c>
      <c r="C143" s="973" t="inlineStr">
        <is>
          <t>Public-facing application exploitation</t>
        </is>
      </c>
      <c r="D143" s="973" t="inlineStr">
        <is>
          <t>T1059</t>
        </is>
      </c>
      <c r="E143" s="973" t="inlineStr">
        <is>
          <t>Command and Scripting Interpreter</t>
        </is>
      </c>
      <c r="F143" s="973" t="inlineStr">
        <is>
          <t>S2</t>
        </is>
      </c>
      <c r="G143" s="973" t="b">
        <v>1</v>
      </c>
      <c r="H143" s="973" t="b">
        <v>1</v>
      </c>
      <c r="I143" s="973" t="b">
        <v>1</v>
      </c>
      <c r="J143" s="973" t="n">
        <v>0.8</v>
      </c>
      <c r="K143" s="973" t="n">
        <v>0.1875</v>
      </c>
      <c r="L143" s="973" t="n">
        <v>0.1875</v>
      </c>
      <c r="M143" s="973" t="inlineStr">
        <is>
          <t>Windows; macOS; Linux; IaaS</t>
        </is>
      </c>
      <c r="N143" s="973" t="inlineStr">
        <is>
          <t>https://attack.mitre.org/techniques/T1059/</t>
        </is>
      </c>
      <c r="O143" s="973" t="n"/>
      <c r="P143" s="973" t="n"/>
    </row>
    <row r="144">
      <c r="A144" s="973" t="inlineStr">
        <is>
          <t>Nation-state</t>
        </is>
      </c>
      <c r="B144" s="973" t="inlineStr">
        <is>
          <t>Data or transaction-integrity compromise</t>
        </is>
      </c>
      <c r="C144" s="973" t="inlineStr">
        <is>
          <t>Public-facing application exploitation</t>
        </is>
      </c>
      <c r="D144" s="973" t="inlineStr">
        <is>
          <t>T1068</t>
        </is>
      </c>
      <c r="E144" s="973" t="inlineStr">
        <is>
          <t>Exploitation for Privilege Escalation</t>
        </is>
      </c>
      <c r="F144" s="973" t="inlineStr">
        <is>
          <t>S3</t>
        </is>
      </c>
      <c r="G144" s="973" t="b">
        <v>1</v>
      </c>
      <c r="H144" s="973" t="b">
        <v>1</v>
      </c>
      <c r="I144" s="973" t="b">
        <v>1</v>
      </c>
      <c r="J144" s="973" t="n">
        <v>0.7</v>
      </c>
      <c r="K144" s="973" t="n">
        <v>0.2094165115356445</v>
      </c>
      <c r="L144" s="973" t="n">
        <v>0.2094165115356445</v>
      </c>
      <c r="M144" s="973" t="inlineStr">
        <is>
          <t>Windows; macOS; Linux</t>
        </is>
      </c>
      <c r="N144" s="973" t="inlineStr">
        <is>
          <t>https://attack.mitre.org/techniques/T1068/</t>
        </is>
      </c>
      <c r="O144" s="973" t="n"/>
      <c r="P144" s="973" t="n"/>
    </row>
    <row r="145">
      <c r="A145" s="973" t="inlineStr">
        <is>
          <t>Nation-state</t>
        </is>
      </c>
      <c r="B145" s="973" t="inlineStr">
        <is>
          <t>Data or transaction-integrity compromise</t>
        </is>
      </c>
      <c r="C145" s="973" t="inlineStr">
        <is>
          <t>Public-facing application exploitation</t>
        </is>
      </c>
      <c r="D145" s="973" t="inlineStr">
        <is>
          <t>T1003</t>
        </is>
      </c>
      <c r="E145" s="973" t="inlineStr">
        <is>
          <t>OS Credential Dumping</t>
        </is>
      </c>
      <c r="F145" s="973" t="inlineStr">
        <is>
          <t>S3</t>
        </is>
      </c>
      <c r="G145" s="973" t="b">
        <v>1</v>
      </c>
      <c r="H145" s="973" t="b">
        <v>1</v>
      </c>
      <c r="I145" s="973" t="b">
        <v>1</v>
      </c>
      <c r="J145" s="973" t="n">
        <v>0.6</v>
      </c>
      <c r="K145" s="973" t="n">
        <v>0.232294921875</v>
      </c>
      <c r="L145" s="973" t="n">
        <v>0.232294921875</v>
      </c>
      <c r="M145" s="973" t="inlineStr">
        <is>
          <t>Windows; Linux; macOS</t>
        </is>
      </c>
      <c r="N145" s="973" t="inlineStr">
        <is>
          <t>https://attack.mitre.org/techniques/T1003/</t>
        </is>
      </c>
      <c r="O145" s="973" t="n"/>
      <c r="P145" s="973" t="n"/>
    </row>
    <row r="146">
      <c r="A146" s="973" t="inlineStr">
        <is>
          <t>Nation-state</t>
        </is>
      </c>
      <c r="B146" s="973" t="inlineStr">
        <is>
          <t>Data or transaction-integrity compromise</t>
        </is>
      </c>
      <c r="C146" s="973" t="inlineStr">
        <is>
          <t>Public-facing application exploitation</t>
        </is>
      </c>
      <c r="D146" s="973" t="inlineStr">
        <is>
          <t>T1046</t>
        </is>
      </c>
      <c r="E146" s="973" t="inlineStr">
        <is>
          <t>Network Service Discovery</t>
        </is>
      </c>
      <c r="F146" s="973" t="inlineStr">
        <is>
          <t>S4</t>
        </is>
      </c>
      <c r="G146" s="973" t="b">
        <v>1</v>
      </c>
      <c r="H146" s="973" t="b">
        <v>1</v>
      </c>
      <c r="I146" s="973" t="b">
        <v>1</v>
      </c>
      <c r="J146" s="973" t="n">
        <v>0.7</v>
      </c>
      <c r="K146" s="973" t="n">
        <v>0.16875</v>
      </c>
      <c r="L146" s="973" t="n">
        <v>0.16875</v>
      </c>
      <c r="M146" s="973" t="inlineStr">
        <is>
          <t>Network Devices; Windows; Linux</t>
        </is>
      </c>
      <c r="N146" s="973" t="inlineStr">
        <is>
          <t>https://attack.mitre.org/techniques/T1046/</t>
        </is>
      </c>
      <c r="O146" s="973" t="n"/>
      <c r="P146" s="973" t="n"/>
    </row>
    <row r="147">
      <c r="A147" s="973" t="inlineStr">
        <is>
          <t>Nation-state</t>
        </is>
      </c>
      <c r="B147" s="973" t="inlineStr">
        <is>
          <t>Data or transaction-integrity compromise</t>
        </is>
      </c>
      <c r="C147" s="973" t="inlineStr">
        <is>
          <t>Public-facing application exploitation</t>
        </is>
      </c>
      <c r="D147" s="973" t="inlineStr">
        <is>
          <t>T1210</t>
        </is>
      </c>
      <c r="E147" s="973" t="inlineStr">
        <is>
          <t>Exploitation of Remote Services</t>
        </is>
      </c>
      <c r="F147" s="973" t="inlineStr">
        <is>
          <t>S4</t>
        </is>
      </c>
      <c r="G147" s="973" t="b">
        <v>1</v>
      </c>
      <c r="H147" s="973" t="b">
        <v>1</v>
      </c>
      <c r="I147" s="973" t="b">
        <v>1</v>
      </c>
      <c r="J147" s="973" t="n">
        <v>0.9</v>
      </c>
      <c r="K147" s="973" t="n">
        <v>0.2103495368957519</v>
      </c>
      <c r="L147" s="973" t="n">
        <v>0.2103495368957519</v>
      </c>
      <c r="M147" s="973" t="inlineStr">
        <is>
          <t>Windows; Linux; Network Devices</t>
        </is>
      </c>
      <c r="N147" s="973" t="inlineStr">
        <is>
          <t>https://attack.mitre.org/techniques/T1210/</t>
        </is>
      </c>
      <c r="O147" s="973" t="n"/>
      <c r="P147" s="973" t="n"/>
    </row>
    <row r="148">
      <c r="A148" s="973" t="inlineStr">
        <is>
          <t>Nation-state</t>
        </is>
      </c>
      <c r="B148" s="973" t="inlineStr">
        <is>
          <t>Data or transaction-integrity compromise</t>
        </is>
      </c>
      <c r="C148" s="973" t="inlineStr">
        <is>
          <t>Public-facing application exploitation</t>
        </is>
      </c>
      <c r="D148" s="973" t="inlineStr">
        <is>
          <t>T1021</t>
        </is>
      </c>
      <c r="E148" s="973" t="inlineStr">
        <is>
          <t>Remote Services</t>
        </is>
      </c>
      <c r="F148" s="973" t="inlineStr">
        <is>
          <t>S4</t>
        </is>
      </c>
      <c r="G148" s="973" t="b">
        <v>1</v>
      </c>
      <c r="H148" s="973" t="b">
        <v>1</v>
      </c>
      <c r="I148" s="973" t="b">
        <v>1</v>
      </c>
      <c r="J148" s="973" t="n">
        <v>0.7</v>
      </c>
      <c r="K148" s="973" t="n">
        <v>0.1875</v>
      </c>
      <c r="L148" s="973" t="n">
        <v>0.1875</v>
      </c>
      <c r="M148" s="973" t="inlineStr">
        <is>
          <t>Windows; Linux; Network Devices</t>
        </is>
      </c>
      <c r="N148" s="973" t="inlineStr">
        <is>
          <t>https://attack.mitre.org/techniques/T1021/</t>
        </is>
      </c>
      <c r="O148" s="973" t="n"/>
      <c r="P148" s="973" t="n"/>
    </row>
    <row r="149">
      <c r="A149" s="973" t="inlineStr">
        <is>
          <t>Nation-state</t>
        </is>
      </c>
      <c r="B149" s="973" t="inlineStr">
        <is>
          <t>Data or transaction-integrity compromise</t>
        </is>
      </c>
      <c r="C149" s="973" t="inlineStr">
        <is>
          <t>Public-facing application exploitation</t>
        </is>
      </c>
      <c r="D149" s="973" t="inlineStr">
        <is>
          <t>T1486</t>
        </is>
      </c>
      <c r="E149" s="973" t="inlineStr">
        <is>
          <t>Data Encrypted for Impact</t>
        </is>
      </c>
      <c r="F149" s="973" t="inlineStr">
        <is>
          <t>S5</t>
        </is>
      </c>
      <c r="G149" s="973" t="b">
        <v>1</v>
      </c>
      <c r="H149" s="973" t="b">
        <v>1</v>
      </c>
      <c r="I149" s="973" t="b">
        <v>1</v>
      </c>
      <c r="J149" s="973" t="n">
        <v>0.6</v>
      </c>
      <c r="K149" s="973" t="n">
        <v>0.16875</v>
      </c>
      <c r="L149" s="973" t="n">
        <v>0.16875</v>
      </c>
      <c r="M149" s="973" t="inlineStr">
        <is>
          <t>Windows; Linux; IaaS</t>
        </is>
      </c>
      <c r="N149" s="973" t="inlineStr">
        <is>
          <t>https://attack.mitre.org/techniques/T1486/</t>
        </is>
      </c>
      <c r="O149" s="973" t="n"/>
      <c r="P149" s="973" t="n"/>
    </row>
    <row r="150">
      <c r="A150" s="973" t="inlineStr">
        <is>
          <t>Nation-state</t>
        </is>
      </c>
      <c r="B150" s="973" t="inlineStr">
        <is>
          <t>Data or transaction-integrity compromise</t>
        </is>
      </c>
      <c r="C150" s="973" t="inlineStr">
        <is>
          <t>Public-facing application exploitation</t>
        </is>
      </c>
      <c r="D150" s="973" t="inlineStr">
        <is>
          <t>T1490</t>
        </is>
      </c>
      <c r="E150" s="973" t="inlineStr">
        <is>
          <t>Inhibit System Recovery</t>
        </is>
      </c>
      <c r="F150" s="973" t="inlineStr">
        <is>
          <t>S5</t>
        </is>
      </c>
      <c r="G150" s="973" t="b">
        <v>1</v>
      </c>
      <c r="H150" s="973" t="b">
        <v>1</v>
      </c>
      <c r="I150" s="973" t="b">
        <v>1</v>
      </c>
      <c r="J150" s="973" t="n">
        <v>0.5</v>
      </c>
      <c r="K150" s="973" t="n">
        <v>0</v>
      </c>
      <c r="L150" s="973" t="n">
        <v>0</v>
      </c>
      <c r="M150" s="973" t="inlineStr">
        <is>
          <t>Windows; Linux; IaaS</t>
        </is>
      </c>
      <c r="N150" s="973" t="inlineStr">
        <is>
          <t>https://attack.mitre.org/techniques/T1490/</t>
        </is>
      </c>
      <c r="O150" s="973" t="n"/>
      <c r="P150" s="973" t="n"/>
    </row>
    <row r="151">
      <c r="A151" s="973" t="inlineStr">
        <is>
          <t>Nation-state</t>
        </is>
      </c>
      <c r="B151" s="973" t="inlineStr">
        <is>
          <t>Data or transaction-integrity compromise</t>
        </is>
      </c>
      <c r="C151" s="973" t="inlineStr">
        <is>
          <t>Public-facing application exploitation</t>
        </is>
      </c>
      <c r="D151" s="973" t="inlineStr">
        <is>
          <t>T1567</t>
        </is>
      </c>
      <c r="E151" s="973" t="inlineStr">
        <is>
          <t>Exfiltration Over Web Service</t>
        </is>
      </c>
      <c r="F151" s="973" t="inlineStr">
        <is>
          <t>S5</t>
        </is>
      </c>
      <c r="G151" s="973" t="b">
        <v>1</v>
      </c>
      <c r="H151" s="973" t="b">
        <v>0</v>
      </c>
      <c r="I151" s="973" t="b">
        <v>0</v>
      </c>
      <c r="J151" s="973" t="n">
        <v>0.6</v>
      </c>
      <c r="K151" s="973" t="n">
        <v>0.20625</v>
      </c>
      <c r="L151" s="973" t="n">
        <v>0.20625</v>
      </c>
      <c r="M151" s="973" t="inlineStr">
        <is>
          <t>SaaS; Office Suite</t>
        </is>
      </c>
      <c r="N151" s="973" t="inlineStr">
        <is>
          <t>https://attack.mitre.org/techniques/T1567/</t>
        </is>
      </c>
      <c r="O151" s="973" t="n"/>
      <c r="P151" s="973" t="n"/>
    </row>
    <row r="152">
      <c r="A152" s="973" t="inlineStr">
        <is>
          <t>Nation-state</t>
        </is>
      </c>
      <c r="B152" s="973" t="inlineStr">
        <is>
          <t>Data or transaction-integrity compromise</t>
        </is>
      </c>
      <c r="C152" s="973" t="inlineStr">
        <is>
          <t>Public-facing application exploitation</t>
        </is>
      </c>
      <c r="D152" s="973" t="inlineStr">
        <is>
          <t>T1565</t>
        </is>
      </c>
      <c r="E152" s="973" t="inlineStr">
        <is>
          <t>Data Manipulation</t>
        </is>
      </c>
      <c r="F152" s="973" t="inlineStr">
        <is>
          <t>S5</t>
        </is>
      </c>
      <c r="G152" s="973" t="b">
        <v>1</v>
      </c>
      <c r="H152" s="973" t="b">
        <v>1</v>
      </c>
      <c r="I152" s="973" t="b">
        <v>1</v>
      </c>
      <c r="J152" s="973" t="n">
        <v>0.6</v>
      </c>
      <c r="K152" s="973" t="n">
        <v>0.2206064987182617</v>
      </c>
      <c r="L152" s="973" t="n">
        <v>0.2206064987182617</v>
      </c>
      <c r="M152" s="973" t="inlineStr">
        <is>
          <t>SaaS; Databases; Windows</t>
        </is>
      </c>
      <c r="N152" s="973" t="inlineStr">
        <is>
          <t>https://attack.mitre.org/techniques/T1565/</t>
        </is>
      </c>
      <c r="O152" s="973" t="n"/>
      <c r="P152" s="973" t="n"/>
    </row>
    <row r="153">
      <c r="A153" s="973" t="inlineStr">
        <is>
          <t>Nation-state</t>
        </is>
      </c>
      <c r="B153" s="973" t="inlineStr">
        <is>
          <t>Data or transaction-integrity compromise</t>
        </is>
      </c>
      <c r="C153" s="973" t="inlineStr">
        <is>
          <t>Public-facing application exploitation</t>
        </is>
      </c>
      <c r="D153" s="973" t="inlineStr">
        <is>
          <t>T1657</t>
        </is>
      </c>
      <c r="E153" s="973" t="inlineStr">
        <is>
          <t>Financial Theft</t>
        </is>
      </c>
      <c r="F153" s="973" t="inlineStr">
        <is>
          <t>S5</t>
        </is>
      </c>
      <c r="G153" s="973" t="b">
        <v>1</v>
      </c>
      <c r="H153" s="973" t="b">
        <v>0</v>
      </c>
      <c r="I153" s="973" t="b">
        <v>0</v>
      </c>
      <c r="J153" s="973" t="n">
        <v>0.4</v>
      </c>
      <c r="K153" s="973" t="n">
        <v>0.275654296875</v>
      </c>
      <c r="L153" s="973" t="n">
        <v>0.275654296875</v>
      </c>
      <c r="M153" s="973" t="inlineStr">
        <is>
          <t>SaaS; Office Suite; Identity Provider</t>
        </is>
      </c>
      <c r="N153" s="973" t="inlineStr">
        <is>
          <t>https://attack.mitre.org/techniques/T1657/</t>
        </is>
      </c>
      <c r="O153" s="973" t="n"/>
      <c r="P153" s="973" t="n"/>
    </row>
    <row r="154">
      <c r="A154" s="973" t="inlineStr">
        <is>
          <t>Nation-state</t>
        </is>
      </c>
      <c r="B154" s="973" t="inlineStr">
        <is>
          <t>Data or transaction-integrity compromise</t>
        </is>
      </c>
      <c r="C154" s="973" t="inlineStr">
        <is>
          <t>Third-party or software supply chain</t>
        </is>
      </c>
      <c r="D154" s="973" t="inlineStr">
        <is>
          <t>T1199</t>
        </is>
      </c>
      <c r="E154" s="973" t="inlineStr">
        <is>
          <t>Trusted Relationship</t>
        </is>
      </c>
      <c r="F154" s="973" t="inlineStr">
        <is>
          <t>S3</t>
        </is>
      </c>
      <c r="G154" s="973" t="b">
        <v>1</v>
      </c>
      <c r="H154" s="973" t="b">
        <v>1</v>
      </c>
      <c r="I154" s="973" t="b">
        <v>1</v>
      </c>
      <c r="J154" s="973" t="n">
        <v>1</v>
      </c>
      <c r="K154" s="973" t="n">
        <v>0.20625</v>
      </c>
      <c r="L154" s="973" t="n">
        <v>0.20625</v>
      </c>
      <c r="M154" s="973" t="inlineStr">
        <is>
          <t>SaaS; IaaS; Network Devices</t>
        </is>
      </c>
      <c r="N154" s="973" t="inlineStr">
        <is>
          <t>https://attack.mitre.org/techniques/T1199/</t>
        </is>
      </c>
      <c r="O154" s="973" t="n"/>
      <c r="P154" s="973" t="n"/>
    </row>
    <row r="155">
      <c r="A155" s="973" t="inlineStr">
        <is>
          <t>Nation-state</t>
        </is>
      </c>
      <c r="B155" s="973" t="inlineStr">
        <is>
          <t>Data or transaction-integrity compromise</t>
        </is>
      </c>
      <c r="C155" s="973" t="inlineStr">
        <is>
          <t>Third-party or software supply chain</t>
        </is>
      </c>
      <c r="D155" s="973" t="inlineStr">
        <is>
          <t>T1098</t>
        </is>
      </c>
      <c r="E155" s="973" t="inlineStr">
        <is>
          <t>Account Manipulation</t>
        </is>
      </c>
      <c r="F155" s="973" t="inlineStr">
        <is>
          <t>S3</t>
        </is>
      </c>
      <c r="G155" s="973" t="b">
        <v>1</v>
      </c>
      <c r="H155" s="973" t="b">
        <v>1</v>
      </c>
      <c r="I155" s="973" t="b">
        <v>1</v>
      </c>
      <c r="J155" s="973" t="n">
        <v>0.6</v>
      </c>
      <c r="K155" s="973" t="n">
        <v>0.2477547340393066</v>
      </c>
      <c r="L155" s="973" t="n">
        <v>0.2477547340393066</v>
      </c>
      <c r="M155" s="973" t="inlineStr">
        <is>
          <t>Identity Provider; SaaS; Windows</t>
        </is>
      </c>
      <c r="N155" s="973" t="inlineStr">
        <is>
          <t>https://attack.mitre.org/techniques/T1098/</t>
        </is>
      </c>
      <c r="O155" s="973" t="n"/>
      <c r="P155" s="973" t="n"/>
    </row>
    <row r="156">
      <c r="A156" s="973" t="inlineStr">
        <is>
          <t>Nation-state</t>
        </is>
      </c>
      <c r="B156" s="973" t="inlineStr">
        <is>
          <t>Data or transaction-integrity compromise</t>
        </is>
      </c>
      <c r="C156" s="973" t="inlineStr">
        <is>
          <t>Third-party or software supply chain</t>
        </is>
      </c>
      <c r="D156" s="973" t="inlineStr">
        <is>
          <t>T1087</t>
        </is>
      </c>
      <c r="E156" s="973" t="inlineStr">
        <is>
          <t>Account Discovery</t>
        </is>
      </c>
      <c r="F156" s="973" t="inlineStr">
        <is>
          <t>S4</t>
        </is>
      </c>
      <c r="G156" s="973" t="b">
        <v>1</v>
      </c>
      <c r="H156" s="973" t="b">
        <v>1</v>
      </c>
      <c r="I156" s="973" t="b">
        <v>1</v>
      </c>
      <c r="J156" s="973" t="n">
        <v>0.5</v>
      </c>
      <c r="K156" s="973" t="n">
        <v>0</v>
      </c>
      <c r="L156" s="973" t="n">
        <v>0</v>
      </c>
      <c r="M156" s="973" t="inlineStr">
        <is>
          <t>Identity Provider; SaaS; Windows</t>
        </is>
      </c>
      <c r="N156" s="973" t="inlineStr">
        <is>
          <t>https://attack.mitre.org/techniques/T1087/</t>
        </is>
      </c>
      <c r="O156" s="973" t="n"/>
      <c r="P156" s="973" t="n"/>
    </row>
    <row r="157">
      <c r="A157" s="973" t="inlineStr">
        <is>
          <t>Nation-state</t>
        </is>
      </c>
      <c r="B157" s="973" t="inlineStr">
        <is>
          <t>Data or transaction-integrity compromise</t>
        </is>
      </c>
      <c r="C157" s="973" t="inlineStr">
        <is>
          <t>Third-party or software supply chain</t>
        </is>
      </c>
      <c r="D157" s="973" t="inlineStr">
        <is>
          <t>T1213</t>
        </is>
      </c>
      <c r="E157" s="973" t="inlineStr">
        <is>
          <t>Data from Information Repositories</t>
        </is>
      </c>
      <c r="F157" s="973" t="inlineStr">
        <is>
          <t>S4</t>
        </is>
      </c>
      <c r="G157" s="973" t="b">
        <v>1</v>
      </c>
      <c r="H157" s="973" t="b">
        <v>1</v>
      </c>
      <c r="I157" s="973" t="b">
        <v>1</v>
      </c>
      <c r="J157" s="973" t="n">
        <v>0.7</v>
      </c>
      <c r="K157" s="973" t="n">
        <v>0.177890625</v>
      </c>
      <c r="L157" s="973" t="n">
        <v>0.177890625</v>
      </c>
      <c r="M157" s="973" t="inlineStr">
        <is>
          <t>SaaS; Office Suite; Windows</t>
        </is>
      </c>
      <c r="N157" s="973" t="inlineStr">
        <is>
          <t>https://attack.mitre.org/techniques/T1213/</t>
        </is>
      </c>
      <c r="O157" s="973" t="n"/>
      <c r="P157" s="973" t="n"/>
    </row>
    <row r="158">
      <c r="A158" s="973" t="inlineStr">
        <is>
          <t>Nation-state</t>
        </is>
      </c>
      <c r="B158" s="973" t="inlineStr">
        <is>
          <t>Data or transaction-integrity compromise</t>
        </is>
      </c>
      <c r="C158" s="973" t="inlineStr">
        <is>
          <t>Third-party or software supply chain</t>
        </is>
      </c>
      <c r="D158" s="973" t="inlineStr">
        <is>
          <t>T1567</t>
        </is>
      </c>
      <c r="E158" s="973" t="inlineStr">
        <is>
          <t>Exfiltration Over Web Service</t>
        </is>
      </c>
      <c r="F158" s="973" t="inlineStr">
        <is>
          <t>S5</t>
        </is>
      </c>
      <c r="G158" s="973" t="b">
        <v>1</v>
      </c>
      <c r="H158" s="973" t="b">
        <v>0</v>
      </c>
      <c r="I158" s="973" t="b">
        <v>0</v>
      </c>
      <c r="J158" s="973" t="n">
        <v>0.6</v>
      </c>
      <c r="K158" s="973" t="n">
        <v>0.20625</v>
      </c>
      <c r="L158" s="973" t="n">
        <v>0.20625</v>
      </c>
      <c r="M158" s="973" t="inlineStr">
        <is>
          <t>SaaS; Office Suite</t>
        </is>
      </c>
      <c r="N158" s="973" t="inlineStr">
        <is>
          <t>https://attack.mitre.org/techniques/T1567/</t>
        </is>
      </c>
      <c r="O158" s="973" t="n"/>
      <c r="P158" s="973" t="n"/>
    </row>
    <row r="159">
      <c r="A159" s="973" t="inlineStr">
        <is>
          <t>Nation-state</t>
        </is>
      </c>
      <c r="B159" s="973" t="inlineStr">
        <is>
          <t>Data or transaction-integrity compromise</t>
        </is>
      </c>
      <c r="C159" s="973" t="inlineStr">
        <is>
          <t>Third-party or software supply chain</t>
        </is>
      </c>
      <c r="D159" s="973" t="inlineStr">
        <is>
          <t>T1486</t>
        </is>
      </c>
      <c r="E159" s="973" t="inlineStr">
        <is>
          <t>Data Encrypted for Impact</t>
        </is>
      </c>
      <c r="F159" s="973" t="inlineStr">
        <is>
          <t>S5</t>
        </is>
      </c>
      <c r="G159" s="973" t="b">
        <v>1</v>
      </c>
      <c r="H159" s="973" t="b">
        <v>1</v>
      </c>
      <c r="I159" s="973" t="b">
        <v>1</v>
      </c>
      <c r="J159" s="973" t="n">
        <v>0.5</v>
      </c>
      <c r="K159" s="973" t="n">
        <v>0.16875</v>
      </c>
      <c r="L159" s="973" t="n">
        <v>0.16875</v>
      </c>
      <c r="M159" s="973" t="inlineStr">
        <is>
          <t>Windows; Linux; IaaS</t>
        </is>
      </c>
      <c r="N159" s="973" t="inlineStr">
        <is>
          <t>https://attack.mitre.org/techniques/T1486/</t>
        </is>
      </c>
      <c r="O159" s="973" t="n"/>
      <c r="P159" s="973" t="n"/>
    </row>
    <row r="160">
      <c r="A160" s="973" t="inlineStr">
        <is>
          <t>Nation-state</t>
        </is>
      </c>
      <c r="B160" s="973" t="inlineStr">
        <is>
          <t>Data or transaction-integrity compromise</t>
        </is>
      </c>
      <c r="C160" s="973" t="inlineStr">
        <is>
          <t>Third-party or software supply chain</t>
        </is>
      </c>
      <c r="D160" s="973" t="inlineStr">
        <is>
          <t>T1565</t>
        </is>
      </c>
      <c r="E160" s="973" t="inlineStr">
        <is>
          <t>Data Manipulation</t>
        </is>
      </c>
      <c r="F160" s="973" t="inlineStr">
        <is>
          <t>S5</t>
        </is>
      </c>
      <c r="G160" s="973" t="b">
        <v>1</v>
      </c>
      <c r="H160" s="973" t="b">
        <v>1</v>
      </c>
      <c r="I160" s="973" t="b">
        <v>1</v>
      </c>
      <c r="J160" s="973" t="n">
        <v>0.6</v>
      </c>
      <c r="K160" s="973" t="n">
        <v>0.2206064987182617</v>
      </c>
      <c r="L160" s="973" t="n">
        <v>0.2206064987182617</v>
      </c>
      <c r="M160" s="973" t="inlineStr">
        <is>
          <t>SaaS; Databases; Windows</t>
        </is>
      </c>
      <c r="N160" s="973" t="inlineStr">
        <is>
          <t>https://attack.mitre.org/techniques/T1565/</t>
        </is>
      </c>
      <c r="O160" s="973" t="n"/>
      <c r="P160" s="973" t="n"/>
    </row>
    <row r="161">
      <c r="A161" s="973" t="inlineStr">
        <is>
          <t>Nation-state</t>
        </is>
      </c>
      <c r="B161" s="973" t="inlineStr">
        <is>
          <t>Data or transaction-integrity compromise</t>
        </is>
      </c>
      <c r="C161" s="973" t="inlineStr">
        <is>
          <t>Third-party or software supply chain</t>
        </is>
      </c>
      <c r="D161" s="973" t="inlineStr">
        <is>
          <t>T1657</t>
        </is>
      </c>
      <c r="E161" s="973" t="inlineStr">
        <is>
          <t>Financial Theft</t>
        </is>
      </c>
      <c r="F161" s="973" t="inlineStr">
        <is>
          <t>S5</t>
        </is>
      </c>
      <c r="G161" s="973" t="b">
        <v>1</v>
      </c>
      <c r="H161" s="973" t="b">
        <v>0</v>
      </c>
      <c r="I161" s="973" t="b">
        <v>0</v>
      </c>
      <c r="J161" s="973" t="n">
        <v>0.5</v>
      </c>
      <c r="K161" s="973" t="n">
        <v>0.275654296875</v>
      </c>
      <c r="L161" s="973" t="n">
        <v>0.275654296875</v>
      </c>
      <c r="M161" s="973" t="inlineStr">
        <is>
          <t>SaaS; Office Suite; Identity Provider</t>
        </is>
      </c>
      <c r="N161" s="973" t="inlineStr">
        <is>
          <t>https://attack.mitre.org/techniques/T1657/</t>
        </is>
      </c>
      <c r="O161" s="973" t="n"/>
      <c r="P161" s="973" t="n"/>
    </row>
    <row r="162">
      <c r="A162" s="973" t="inlineStr">
        <is>
          <t>Nation-state</t>
        </is>
      </c>
      <c r="B162" s="973" t="inlineStr">
        <is>
          <t>Data or transaction-integrity compromise</t>
        </is>
      </c>
      <c r="C162" s="973" t="inlineStr">
        <is>
          <t>Insider or trusted access</t>
        </is>
      </c>
      <c r="D162" s="973" t="inlineStr">
        <is>
          <t>T1098</t>
        </is>
      </c>
      <c r="E162" s="973" t="inlineStr">
        <is>
          <t>Account Manipulation</t>
        </is>
      </c>
      <c r="F162" s="973" t="inlineStr">
        <is>
          <t>S3</t>
        </is>
      </c>
      <c r="G162" s="973" t="b">
        <v>1</v>
      </c>
      <c r="H162" s="973" t="b">
        <v>1</v>
      </c>
      <c r="I162" s="973" t="b">
        <v>1</v>
      </c>
      <c r="J162" s="973" t="n">
        <v>0.8</v>
      </c>
      <c r="K162" s="973" t="n">
        <v>0.2477547340393066</v>
      </c>
      <c r="L162" s="973" t="n">
        <v>0.2477547340393066</v>
      </c>
      <c r="M162" s="973" t="inlineStr">
        <is>
          <t>Identity Provider; SaaS; Windows</t>
        </is>
      </c>
      <c r="N162" s="973" t="inlineStr">
        <is>
          <t>https://attack.mitre.org/techniques/T1098/</t>
        </is>
      </c>
      <c r="O162" s="973" t="n"/>
      <c r="P162" s="973" t="n"/>
    </row>
    <row r="163">
      <c r="A163" s="973" t="inlineStr">
        <is>
          <t>Nation-state</t>
        </is>
      </c>
      <c r="B163" s="973" t="inlineStr">
        <is>
          <t>Data or transaction-integrity compromise</t>
        </is>
      </c>
      <c r="C163" s="973" t="inlineStr">
        <is>
          <t>Insider or trusted access</t>
        </is>
      </c>
      <c r="D163" s="973" t="inlineStr">
        <is>
          <t>T1087</t>
        </is>
      </c>
      <c r="E163" s="973" t="inlineStr">
        <is>
          <t>Account Discovery</t>
        </is>
      </c>
      <c r="F163" s="973" t="inlineStr">
        <is>
          <t>S4</t>
        </is>
      </c>
      <c r="G163" s="973" t="b">
        <v>1</v>
      </c>
      <c r="H163" s="973" t="b">
        <v>1</v>
      </c>
      <c r="I163" s="973" t="b">
        <v>1</v>
      </c>
      <c r="J163" s="973" t="n">
        <v>0.6</v>
      </c>
      <c r="K163" s="973" t="n">
        <v>0</v>
      </c>
      <c r="L163" s="973" t="n">
        <v>0</v>
      </c>
      <c r="M163" s="973" t="inlineStr">
        <is>
          <t>Identity Provider; SaaS; Windows</t>
        </is>
      </c>
      <c r="N163" s="973" t="inlineStr">
        <is>
          <t>https://attack.mitre.org/techniques/T1087/</t>
        </is>
      </c>
      <c r="O163" s="973" t="n"/>
      <c r="P163" s="973" t="n"/>
    </row>
    <row r="164">
      <c r="A164" s="973" t="inlineStr">
        <is>
          <t>Nation-state</t>
        </is>
      </c>
      <c r="B164" s="973" t="inlineStr">
        <is>
          <t>Data or transaction-integrity compromise</t>
        </is>
      </c>
      <c r="C164" s="973" t="inlineStr">
        <is>
          <t>Insider or trusted access</t>
        </is>
      </c>
      <c r="D164" s="973" t="inlineStr">
        <is>
          <t>T1213</t>
        </is>
      </c>
      <c r="E164" s="973" t="inlineStr">
        <is>
          <t>Data from Information Repositories</t>
        </is>
      </c>
      <c r="F164" s="973" t="inlineStr">
        <is>
          <t>S4</t>
        </is>
      </c>
      <c r="G164" s="973" t="b">
        <v>1</v>
      </c>
      <c r="H164" s="973" t="b">
        <v>1</v>
      </c>
      <c r="I164" s="973" t="b">
        <v>1</v>
      </c>
      <c r="J164" s="973" t="n">
        <v>0.9</v>
      </c>
      <c r="K164" s="973" t="n">
        <v>0.177890625</v>
      </c>
      <c r="L164" s="973" t="n">
        <v>0.177890625</v>
      </c>
      <c r="M164" s="973" t="inlineStr">
        <is>
          <t>SaaS; Office Suite; Windows</t>
        </is>
      </c>
      <c r="N164" s="973" t="inlineStr">
        <is>
          <t>https://attack.mitre.org/techniques/T1213/</t>
        </is>
      </c>
      <c r="O164" s="973" t="n"/>
      <c r="P164" s="973" t="n"/>
    </row>
    <row r="165">
      <c r="A165" s="973" t="inlineStr">
        <is>
          <t>Nation-state</t>
        </is>
      </c>
      <c r="B165" s="973" t="inlineStr">
        <is>
          <t>Data or transaction-integrity compromise</t>
        </is>
      </c>
      <c r="C165" s="973" t="inlineStr">
        <is>
          <t>Insider or trusted access</t>
        </is>
      </c>
      <c r="D165" s="973" t="inlineStr">
        <is>
          <t>T1567</t>
        </is>
      </c>
      <c r="E165" s="973" t="inlineStr">
        <is>
          <t>Exfiltration Over Web Service</t>
        </is>
      </c>
      <c r="F165" s="973" t="inlineStr">
        <is>
          <t>S5</t>
        </is>
      </c>
      <c r="G165" s="973" t="b">
        <v>1</v>
      </c>
      <c r="H165" s="973" t="b">
        <v>0</v>
      </c>
      <c r="I165" s="973" t="b">
        <v>0</v>
      </c>
      <c r="J165" s="973" t="n">
        <v>0.8</v>
      </c>
      <c r="K165" s="973" t="n">
        <v>0.20625</v>
      </c>
      <c r="L165" s="973" t="n">
        <v>0.20625</v>
      </c>
      <c r="M165" s="973" t="inlineStr">
        <is>
          <t>SaaS; Office Suite</t>
        </is>
      </c>
      <c r="N165" s="973" t="inlineStr">
        <is>
          <t>https://attack.mitre.org/techniques/T1567/</t>
        </is>
      </c>
      <c r="O165" s="973" t="n"/>
      <c r="P165" s="973" t="n"/>
    </row>
    <row r="166">
      <c r="A166" s="973" t="inlineStr">
        <is>
          <t>Nation-state</t>
        </is>
      </c>
      <c r="B166" s="973" t="inlineStr">
        <is>
          <t>Data or transaction-integrity compromise</t>
        </is>
      </c>
      <c r="C166" s="973" t="inlineStr">
        <is>
          <t>Insider or trusted access</t>
        </is>
      </c>
      <c r="D166" s="973" t="inlineStr">
        <is>
          <t>T1565</t>
        </is>
      </c>
      <c r="E166" s="973" t="inlineStr">
        <is>
          <t>Data Manipulation</t>
        </is>
      </c>
      <c r="F166" s="973" t="inlineStr">
        <is>
          <t>S5</t>
        </is>
      </c>
      <c r="G166" s="973" t="b">
        <v>1</v>
      </c>
      <c r="H166" s="973" t="b">
        <v>1</v>
      </c>
      <c r="I166" s="973" t="b">
        <v>1</v>
      </c>
      <c r="J166" s="973" t="n">
        <v>0.9</v>
      </c>
      <c r="K166" s="973" t="n">
        <v>0.2206064987182617</v>
      </c>
      <c r="L166" s="973" t="n">
        <v>0.2206064987182617</v>
      </c>
      <c r="M166" s="973" t="inlineStr">
        <is>
          <t>SaaS; Databases; Windows</t>
        </is>
      </c>
      <c r="N166" s="973" t="inlineStr">
        <is>
          <t>https://attack.mitre.org/techniques/T1565/</t>
        </is>
      </c>
      <c r="O166" s="973" t="n"/>
      <c r="P166" s="973" t="n"/>
    </row>
    <row r="167">
      <c r="A167" s="973" t="inlineStr">
        <is>
          <t>Nation-state</t>
        </is>
      </c>
      <c r="B167" s="973" t="inlineStr">
        <is>
          <t>Data or transaction-integrity compromise</t>
        </is>
      </c>
      <c r="C167" s="973" t="inlineStr">
        <is>
          <t>Insider or trusted access</t>
        </is>
      </c>
      <c r="D167" s="973" t="inlineStr">
        <is>
          <t>T1657</t>
        </is>
      </c>
      <c r="E167" s="973" t="inlineStr">
        <is>
          <t>Financial Theft</t>
        </is>
      </c>
      <c r="F167" s="973" t="inlineStr">
        <is>
          <t>S5</t>
        </is>
      </c>
      <c r="G167" s="973" t="b">
        <v>1</v>
      </c>
      <c r="H167" s="973" t="b">
        <v>0</v>
      </c>
      <c r="I167" s="973" t="b">
        <v>0</v>
      </c>
      <c r="J167" s="973" t="n">
        <v>0.9</v>
      </c>
      <c r="K167" s="973" t="n">
        <v>0.275654296875</v>
      </c>
      <c r="L167" s="973" t="n">
        <v>0.275654296875</v>
      </c>
      <c r="M167" s="973" t="inlineStr">
        <is>
          <t>SaaS; Office Suite; Identity Provider</t>
        </is>
      </c>
      <c r="N167" s="973" t="inlineStr">
        <is>
          <t>https://attack.mitre.org/techniques/T1657/</t>
        </is>
      </c>
      <c r="O167" s="973" t="n"/>
      <c r="P167" s="973" t="n"/>
    </row>
    <row r="168">
      <c r="A168" s="973" t="inlineStr">
        <is>
          <t>Nation-state</t>
        </is>
      </c>
      <c r="B168" s="973" t="inlineStr">
        <is>
          <t>Cyber-enabled theft or fraud</t>
        </is>
      </c>
      <c r="C168" s="973" t="inlineStr">
        <is>
          <t>Identity and credential compromise</t>
        </is>
      </c>
      <c r="D168" s="973" t="inlineStr">
        <is>
          <t>T1566</t>
        </is>
      </c>
      <c r="E168" s="973" t="inlineStr">
        <is>
          <t>Phishing</t>
        </is>
      </c>
      <c r="F168" s="973" t="inlineStr">
        <is>
          <t>S1</t>
        </is>
      </c>
      <c r="G168" s="973" t="b">
        <v>1</v>
      </c>
      <c r="H168" s="973" t="b">
        <v>1</v>
      </c>
      <c r="I168" s="973" t="b">
        <v>1</v>
      </c>
      <c r="J168" s="973" t="n">
        <v>1</v>
      </c>
      <c r="K168" s="973" t="n">
        <v>0.20625</v>
      </c>
      <c r="L168" s="973" t="n">
        <v>0.20625</v>
      </c>
      <c r="M168" s="973" t="inlineStr">
        <is>
          <t>Windows; SaaS; Office Suite</t>
        </is>
      </c>
      <c r="N168" s="973" t="inlineStr">
        <is>
          <t>https://attack.mitre.org/techniques/T1566/</t>
        </is>
      </c>
      <c r="O168" s="973" t="n"/>
      <c r="P168" s="973" t="n"/>
    </row>
    <row r="169">
      <c r="A169" s="973" t="inlineStr">
        <is>
          <t>Nation-state</t>
        </is>
      </c>
      <c r="B169" s="973" t="inlineStr">
        <is>
          <t>Cyber-enabled theft or fraud</t>
        </is>
      </c>
      <c r="C169" s="973" t="inlineStr">
        <is>
          <t>Identity and credential compromise</t>
        </is>
      </c>
      <c r="D169" s="973" t="inlineStr">
        <is>
          <t>T1078</t>
        </is>
      </c>
      <c r="E169" s="973" t="inlineStr">
        <is>
          <t>Valid Accounts</t>
        </is>
      </c>
      <c r="F169" s="973" t="inlineStr">
        <is>
          <t>S1</t>
        </is>
      </c>
      <c r="G169" s="973" t="b">
        <v>1</v>
      </c>
      <c r="H169" s="973" t="b">
        <v>1</v>
      </c>
      <c r="I169" s="973" t="b">
        <v>1</v>
      </c>
      <c r="J169" s="973" t="n">
        <v>1</v>
      </c>
      <c r="K169" s="973" t="n">
        <v>0.272109375</v>
      </c>
      <c r="L169" s="973" t="n">
        <v>0.272109375</v>
      </c>
      <c r="M169" s="973" t="inlineStr">
        <is>
          <t>Identity Provider; SaaS; IaaS; Windows</t>
        </is>
      </c>
      <c r="N169" s="973" t="inlineStr">
        <is>
          <t>https://attack.mitre.org/techniques/T1078/</t>
        </is>
      </c>
      <c r="O169" s="973" t="n"/>
      <c r="P169" s="973" t="n"/>
    </row>
    <row r="170">
      <c r="A170" s="973" t="inlineStr">
        <is>
          <t>Nation-state</t>
        </is>
      </c>
      <c r="B170" s="973" t="inlineStr">
        <is>
          <t>Cyber-enabled theft or fraud</t>
        </is>
      </c>
      <c r="C170" s="973" t="inlineStr">
        <is>
          <t>Identity and credential compromise</t>
        </is>
      </c>
      <c r="D170" s="973" t="inlineStr">
        <is>
          <t>T1110</t>
        </is>
      </c>
      <c r="E170" s="973" t="inlineStr">
        <is>
          <t>Brute Force</t>
        </is>
      </c>
      <c r="F170" s="973" t="inlineStr">
        <is>
          <t>S1</t>
        </is>
      </c>
      <c r="G170" s="973" t="b">
        <v>1</v>
      </c>
      <c r="H170" s="973" t="b">
        <v>1</v>
      </c>
      <c r="I170" s="973" t="b">
        <v>1</v>
      </c>
      <c r="J170" s="973" t="n">
        <v>0.7</v>
      </c>
      <c r="K170" s="973" t="n">
        <v>0.24375</v>
      </c>
      <c r="L170" s="973" t="n">
        <v>0.24375</v>
      </c>
      <c r="M170" s="973" t="inlineStr">
        <is>
          <t>Identity Provider; SaaS; Windows</t>
        </is>
      </c>
      <c r="N170" s="973" t="inlineStr">
        <is>
          <t>https://attack.mitre.org/techniques/T1110/</t>
        </is>
      </c>
      <c r="O170" s="973" t="n"/>
      <c r="P170" s="973" t="n"/>
    </row>
    <row r="171">
      <c r="A171" s="973" t="inlineStr">
        <is>
          <t>Nation-state</t>
        </is>
      </c>
      <c r="B171" s="973" t="inlineStr">
        <is>
          <t>Cyber-enabled theft or fraud</t>
        </is>
      </c>
      <c r="C171" s="973" t="inlineStr">
        <is>
          <t>Identity and credential compromise</t>
        </is>
      </c>
      <c r="D171" s="973" t="inlineStr">
        <is>
          <t>T1098</t>
        </is>
      </c>
      <c r="E171" s="973" t="inlineStr">
        <is>
          <t>Account Manipulation</t>
        </is>
      </c>
      <c r="F171" s="973" t="inlineStr">
        <is>
          <t>S3</t>
        </is>
      </c>
      <c r="G171" s="973" t="b">
        <v>1</v>
      </c>
      <c r="H171" s="973" t="b">
        <v>1</v>
      </c>
      <c r="I171" s="973" t="b">
        <v>1</v>
      </c>
      <c r="J171" s="973" t="n">
        <v>0.7</v>
      </c>
      <c r="K171" s="973" t="n">
        <v>0.2477547340393066</v>
      </c>
      <c r="L171" s="973" t="n">
        <v>0.2477547340393066</v>
      </c>
      <c r="M171" s="973" t="inlineStr">
        <is>
          <t>Identity Provider; SaaS; Windows</t>
        </is>
      </c>
      <c r="N171" s="973" t="inlineStr">
        <is>
          <t>https://attack.mitre.org/techniques/T1098/</t>
        </is>
      </c>
      <c r="O171" s="973" t="n"/>
      <c r="P171" s="973" t="n"/>
    </row>
    <row r="172">
      <c r="A172" s="973" t="inlineStr">
        <is>
          <t>Nation-state</t>
        </is>
      </c>
      <c r="B172" s="973" t="inlineStr">
        <is>
          <t>Cyber-enabled theft or fraud</t>
        </is>
      </c>
      <c r="C172" s="973" t="inlineStr">
        <is>
          <t>Identity and credential compromise</t>
        </is>
      </c>
      <c r="D172" s="973" t="inlineStr">
        <is>
          <t>T1567</t>
        </is>
      </c>
      <c r="E172" s="973" t="inlineStr">
        <is>
          <t>Exfiltration Over Web Service</t>
        </is>
      </c>
      <c r="F172" s="973" t="inlineStr">
        <is>
          <t>S5</t>
        </is>
      </c>
      <c r="G172" s="973" t="b">
        <v>1</v>
      </c>
      <c r="H172" s="973" t="b">
        <v>0</v>
      </c>
      <c r="I172" s="973" t="b">
        <v>0</v>
      </c>
      <c r="J172" s="973" t="n">
        <v>0.7</v>
      </c>
      <c r="K172" s="973" t="n">
        <v>0.20625</v>
      </c>
      <c r="L172" s="973" t="n">
        <v>0.20625</v>
      </c>
      <c r="M172" s="973" t="inlineStr">
        <is>
          <t>SaaS; Office Suite</t>
        </is>
      </c>
      <c r="N172" s="973" t="inlineStr">
        <is>
          <t>https://attack.mitre.org/techniques/T1567/</t>
        </is>
      </c>
      <c r="O172" s="973" t="n"/>
      <c r="P172" s="973" t="n"/>
    </row>
    <row r="173">
      <c r="A173" s="973" t="inlineStr">
        <is>
          <t>Nation-state</t>
        </is>
      </c>
      <c r="B173" s="973" t="inlineStr">
        <is>
          <t>Cyber-enabled theft or fraud</t>
        </is>
      </c>
      <c r="C173" s="973" t="inlineStr">
        <is>
          <t>Identity and credential compromise</t>
        </is>
      </c>
      <c r="D173" s="973" t="inlineStr">
        <is>
          <t>T1657</t>
        </is>
      </c>
      <c r="E173" s="973" t="inlineStr">
        <is>
          <t>Financial Theft</t>
        </is>
      </c>
      <c r="F173" s="973" t="inlineStr">
        <is>
          <t>S5</t>
        </is>
      </c>
      <c r="G173" s="973" t="b">
        <v>1</v>
      </c>
      <c r="H173" s="973" t="b">
        <v>1</v>
      </c>
      <c r="I173" s="973" t="b">
        <v>1</v>
      </c>
      <c r="J173" s="973" t="n">
        <v>0.8</v>
      </c>
      <c r="K173" s="973" t="n">
        <v>0.275654296875</v>
      </c>
      <c r="L173" s="973" t="n">
        <v>0.275654296875</v>
      </c>
      <c r="M173" s="973" t="inlineStr">
        <is>
          <t>SaaS; Office Suite; Identity Provider</t>
        </is>
      </c>
      <c r="N173" s="973" t="inlineStr">
        <is>
          <t>https://attack.mitre.org/techniques/T1657/</t>
        </is>
      </c>
      <c r="O173" s="973" t="n"/>
      <c r="P173" s="973" t="n"/>
    </row>
    <row r="174">
      <c r="A174" s="973" t="inlineStr">
        <is>
          <t>Nation-state</t>
        </is>
      </c>
      <c r="B174" s="973" t="inlineStr">
        <is>
          <t>Cyber-enabled theft or fraud</t>
        </is>
      </c>
      <c r="C174" s="973" t="inlineStr">
        <is>
          <t>Identity and credential compromise</t>
        </is>
      </c>
      <c r="D174" s="973" t="inlineStr">
        <is>
          <t>T1565</t>
        </is>
      </c>
      <c r="E174" s="973" t="inlineStr">
        <is>
          <t>Data Manipulation</t>
        </is>
      </c>
      <c r="F174" s="973" t="inlineStr">
        <is>
          <t>S5</t>
        </is>
      </c>
      <c r="G174" s="973" t="b">
        <v>1</v>
      </c>
      <c r="H174" s="973" t="b">
        <v>1</v>
      </c>
      <c r="I174" s="973" t="b">
        <v>1</v>
      </c>
      <c r="J174" s="973" t="n">
        <v>0.5</v>
      </c>
      <c r="K174" s="973" t="n">
        <v>0.2206064987182617</v>
      </c>
      <c r="L174" s="973" t="n">
        <v>0.2206064987182617</v>
      </c>
      <c r="M174" s="973" t="inlineStr">
        <is>
          <t>SaaS; Databases; Windows</t>
        </is>
      </c>
      <c r="N174" s="973" t="inlineStr">
        <is>
          <t>https://attack.mitre.org/techniques/T1565/</t>
        </is>
      </c>
      <c r="O174" s="973" t="n"/>
      <c r="P174" s="973" t="n"/>
    </row>
    <row r="175">
      <c r="A175" s="973" t="inlineStr">
        <is>
          <t>Nation-state</t>
        </is>
      </c>
      <c r="B175" s="973" t="inlineStr">
        <is>
          <t>Cyber-enabled theft or fraud</t>
        </is>
      </c>
      <c r="C175" s="973" t="inlineStr">
        <is>
          <t>Identity and credential compromise</t>
        </is>
      </c>
      <c r="D175" s="973" t="inlineStr">
        <is>
          <t>T1486</t>
        </is>
      </c>
      <c r="E175" s="973" t="inlineStr">
        <is>
          <t>Data Encrypted for Impact</t>
        </is>
      </c>
      <c r="F175" s="973" t="inlineStr">
        <is>
          <t>S5</t>
        </is>
      </c>
      <c r="G175" s="973" t="b">
        <v>1</v>
      </c>
      <c r="H175" s="973" t="b">
        <v>0</v>
      </c>
      <c r="I175" s="973" t="b">
        <v>0</v>
      </c>
      <c r="J175" s="973" t="n">
        <v>0.7</v>
      </c>
      <c r="K175" s="973" t="n">
        <v>0.16875</v>
      </c>
      <c r="L175" s="973" t="n">
        <v>0.16875</v>
      </c>
      <c r="M175" s="973" t="inlineStr">
        <is>
          <t>Windows; Linux; IaaS</t>
        </is>
      </c>
      <c r="N175" s="973" t="inlineStr">
        <is>
          <t>https://attack.mitre.org/techniques/T1486/</t>
        </is>
      </c>
      <c r="O175" s="973" t="n"/>
      <c r="P175" s="973" t="n"/>
    </row>
    <row r="176">
      <c r="A176" s="973" t="inlineStr">
        <is>
          <t>Nation-state</t>
        </is>
      </c>
      <c r="B176" s="973" t="inlineStr">
        <is>
          <t>Cyber-enabled theft or fraud</t>
        </is>
      </c>
      <c r="C176" s="973" t="inlineStr">
        <is>
          <t>Identity and credential compromise</t>
        </is>
      </c>
      <c r="D176" s="973" t="inlineStr">
        <is>
          <t>T1490</t>
        </is>
      </c>
      <c r="E176" s="973" t="inlineStr">
        <is>
          <t>Inhibit System Recovery</t>
        </is>
      </c>
      <c r="F176" s="973" t="inlineStr">
        <is>
          <t>S5</t>
        </is>
      </c>
      <c r="G176" s="973" t="b">
        <v>1</v>
      </c>
      <c r="H176" s="973" t="b">
        <v>0</v>
      </c>
      <c r="I176" s="973" t="b">
        <v>0</v>
      </c>
      <c r="J176" s="973" t="n">
        <v>0.6</v>
      </c>
      <c r="K176" s="973" t="n">
        <v>0</v>
      </c>
      <c r="L176" s="973" t="n">
        <v>0</v>
      </c>
      <c r="M176" s="973" t="inlineStr">
        <is>
          <t>Windows; Linux; IaaS</t>
        </is>
      </c>
      <c r="N176" s="973" t="inlineStr">
        <is>
          <t>https://attack.mitre.org/techniques/T1490/</t>
        </is>
      </c>
      <c r="O176" s="973" t="n"/>
      <c r="P176" s="973" t="n"/>
    </row>
    <row r="177">
      <c r="A177" s="973" t="inlineStr">
        <is>
          <t>Nation-state</t>
        </is>
      </c>
      <c r="B177" s="973" t="inlineStr">
        <is>
          <t>Cyber-enabled theft or fraud</t>
        </is>
      </c>
      <c r="C177" s="973" t="inlineStr">
        <is>
          <t>User endpoint and social engineering</t>
        </is>
      </c>
      <c r="D177" s="973" t="inlineStr">
        <is>
          <t>T1566</t>
        </is>
      </c>
      <c r="E177" s="973" t="inlineStr">
        <is>
          <t>Phishing</t>
        </is>
      </c>
      <c r="F177" s="973" t="inlineStr">
        <is>
          <t>S1</t>
        </is>
      </c>
      <c r="G177" s="973" t="b">
        <v>1</v>
      </c>
      <c r="H177" s="973" t="b">
        <v>1</v>
      </c>
      <c r="I177" s="973" t="b">
        <v>1</v>
      </c>
      <c r="J177" s="973" t="n">
        <v>1</v>
      </c>
      <c r="K177" s="973" t="n">
        <v>0.20625</v>
      </c>
      <c r="L177" s="973" t="n">
        <v>0.20625</v>
      </c>
      <c r="M177" s="973" t="inlineStr">
        <is>
          <t>Windows; SaaS; Office Suite</t>
        </is>
      </c>
      <c r="N177" s="973" t="inlineStr">
        <is>
          <t>https://attack.mitre.org/techniques/T1566/</t>
        </is>
      </c>
      <c r="O177" s="973" t="n"/>
      <c r="P177" s="973" t="n"/>
    </row>
    <row r="178">
      <c r="A178" s="973" t="inlineStr">
        <is>
          <t>Nation-state</t>
        </is>
      </c>
      <c r="B178" s="973" t="inlineStr">
        <is>
          <t>Cyber-enabled theft or fraud</t>
        </is>
      </c>
      <c r="C178" s="973" t="inlineStr">
        <is>
          <t>User endpoint and social engineering</t>
        </is>
      </c>
      <c r="D178" s="973" t="inlineStr">
        <is>
          <t>T1203</t>
        </is>
      </c>
      <c r="E178" s="973" t="inlineStr">
        <is>
          <t>Exploitation for Client Execution</t>
        </is>
      </c>
      <c r="F178" s="973" t="inlineStr">
        <is>
          <t>S2</t>
        </is>
      </c>
      <c r="G178" s="973" t="b">
        <v>1</v>
      </c>
      <c r="H178" s="973" t="b">
        <v>1</v>
      </c>
      <c r="I178" s="973" t="b">
        <v>1</v>
      </c>
      <c r="J178" s="973" t="n">
        <v>0.8</v>
      </c>
      <c r="K178" s="973" t="n">
        <v>0.2404920959472656</v>
      </c>
      <c r="L178" s="973" t="n">
        <v>0.2404920959472656</v>
      </c>
      <c r="M178" s="973" t="inlineStr">
        <is>
          <t>Windows; macOS; Linux</t>
        </is>
      </c>
      <c r="N178" s="973" t="inlineStr">
        <is>
          <t>https://attack.mitre.org/techniques/T1203/</t>
        </is>
      </c>
      <c r="O178" s="973" t="n"/>
      <c r="P178" s="973" t="n"/>
    </row>
    <row r="179">
      <c r="A179" s="973" t="inlineStr">
        <is>
          <t>Nation-state</t>
        </is>
      </c>
      <c r="B179" s="973" t="inlineStr">
        <is>
          <t>Cyber-enabled theft or fraud</t>
        </is>
      </c>
      <c r="C179" s="973" t="inlineStr">
        <is>
          <t>User endpoint and social engineering</t>
        </is>
      </c>
      <c r="D179" s="973" t="inlineStr">
        <is>
          <t>T1059</t>
        </is>
      </c>
      <c r="E179" s="973" t="inlineStr">
        <is>
          <t>Command and Scripting Interpreter</t>
        </is>
      </c>
      <c r="F179" s="973" t="inlineStr">
        <is>
          <t>S2</t>
        </is>
      </c>
      <c r="G179" s="973" t="b">
        <v>1</v>
      </c>
      <c r="H179" s="973" t="b">
        <v>1</v>
      </c>
      <c r="I179" s="973" t="b">
        <v>1</v>
      </c>
      <c r="J179" s="973" t="n">
        <v>0.9</v>
      </c>
      <c r="K179" s="973" t="n">
        <v>0.1875</v>
      </c>
      <c r="L179" s="973" t="n">
        <v>0.1875</v>
      </c>
      <c r="M179" s="973" t="inlineStr">
        <is>
          <t>Windows; macOS; Linux; IaaS</t>
        </is>
      </c>
      <c r="N179" s="973" t="inlineStr">
        <is>
          <t>https://attack.mitre.org/techniques/T1059/</t>
        </is>
      </c>
      <c r="O179" s="973" t="n"/>
      <c r="P179" s="973" t="n"/>
    </row>
    <row r="180">
      <c r="A180" s="973" t="inlineStr">
        <is>
          <t>Nation-state</t>
        </is>
      </c>
      <c r="B180" s="973" t="inlineStr">
        <is>
          <t>Cyber-enabled theft or fraud</t>
        </is>
      </c>
      <c r="C180" s="973" t="inlineStr">
        <is>
          <t>User endpoint and social engineering</t>
        </is>
      </c>
      <c r="D180" s="973" t="inlineStr">
        <is>
          <t>T1486</t>
        </is>
      </c>
      <c r="E180" s="973" t="inlineStr">
        <is>
          <t>Data Encrypted for Impact</t>
        </is>
      </c>
      <c r="F180" s="973" t="inlineStr">
        <is>
          <t>S5</t>
        </is>
      </c>
      <c r="G180" s="973" t="b">
        <v>1</v>
      </c>
      <c r="H180" s="973" t="b">
        <v>0</v>
      </c>
      <c r="I180" s="973" t="b">
        <v>0</v>
      </c>
      <c r="J180" s="973" t="n">
        <v>0.8</v>
      </c>
      <c r="K180" s="973" t="n">
        <v>0.16875</v>
      </c>
      <c r="L180" s="973" t="n">
        <v>0.16875</v>
      </c>
      <c r="M180" s="973" t="inlineStr">
        <is>
          <t>Windows; Linux; IaaS</t>
        </is>
      </c>
      <c r="N180" s="973" t="inlineStr">
        <is>
          <t>https://attack.mitre.org/techniques/T1486/</t>
        </is>
      </c>
      <c r="O180" s="973" t="n"/>
      <c r="P180" s="973" t="n"/>
    </row>
    <row r="181">
      <c r="A181" s="973" t="inlineStr">
        <is>
          <t>Nation-state</t>
        </is>
      </c>
      <c r="B181" s="973" t="inlineStr">
        <is>
          <t>Cyber-enabled theft or fraud</t>
        </is>
      </c>
      <c r="C181" s="973" t="inlineStr">
        <is>
          <t>User endpoint and social engineering</t>
        </is>
      </c>
      <c r="D181" s="973" t="inlineStr">
        <is>
          <t>T1490</t>
        </is>
      </c>
      <c r="E181" s="973" t="inlineStr">
        <is>
          <t>Inhibit System Recovery</t>
        </is>
      </c>
      <c r="F181" s="973" t="inlineStr">
        <is>
          <t>S5</t>
        </is>
      </c>
      <c r="G181" s="973" t="b">
        <v>1</v>
      </c>
      <c r="H181" s="973" t="b">
        <v>0</v>
      </c>
      <c r="I181" s="973" t="b">
        <v>0</v>
      </c>
      <c r="J181" s="973" t="n">
        <v>0.7</v>
      </c>
      <c r="K181" s="973" t="n">
        <v>0</v>
      </c>
      <c r="L181" s="973" t="n">
        <v>0</v>
      </c>
      <c r="M181" s="973" t="inlineStr">
        <is>
          <t>Windows; Linux; IaaS</t>
        </is>
      </c>
      <c r="N181" s="973" t="inlineStr">
        <is>
          <t>https://attack.mitre.org/techniques/T1490/</t>
        </is>
      </c>
      <c r="O181" s="973" t="n"/>
      <c r="P181" s="973" t="n"/>
    </row>
    <row r="182">
      <c r="A182" s="973" t="inlineStr">
        <is>
          <t>Nation-state</t>
        </is>
      </c>
      <c r="B182" s="973" t="inlineStr">
        <is>
          <t>Cyber-enabled theft or fraud</t>
        </is>
      </c>
      <c r="C182" s="973" t="inlineStr">
        <is>
          <t>User endpoint and social engineering</t>
        </is>
      </c>
      <c r="D182" s="973" t="inlineStr">
        <is>
          <t>T1567</t>
        </is>
      </c>
      <c r="E182" s="973" t="inlineStr">
        <is>
          <t>Exfiltration Over Web Service</t>
        </is>
      </c>
      <c r="F182" s="973" t="inlineStr">
        <is>
          <t>S5</t>
        </is>
      </c>
      <c r="G182" s="973" t="b">
        <v>1</v>
      </c>
      <c r="H182" s="973" t="b">
        <v>0</v>
      </c>
      <c r="I182" s="973" t="b">
        <v>0</v>
      </c>
      <c r="J182" s="973" t="n">
        <v>0.7</v>
      </c>
      <c r="K182" s="973" t="n">
        <v>0.20625</v>
      </c>
      <c r="L182" s="973" t="n">
        <v>0.20625</v>
      </c>
      <c r="M182" s="973" t="inlineStr">
        <is>
          <t>SaaS; Office Suite</t>
        </is>
      </c>
      <c r="N182" s="973" t="inlineStr">
        <is>
          <t>https://attack.mitre.org/techniques/T1567/</t>
        </is>
      </c>
      <c r="O182" s="973" t="n"/>
      <c r="P182" s="973" t="n"/>
    </row>
    <row r="183">
      <c r="A183" s="973" t="inlineStr">
        <is>
          <t>Nation-state</t>
        </is>
      </c>
      <c r="B183" s="973" t="inlineStr">
        <is>
          <t>Cyber-enabled theft or fraud</t>
        </is>
      </c>
      <c r="C183" s="973" t="inlineStr">
        <is>
          <t>User endpoint and social engineering</t>
        </is>
      </c>
      <c r="D183" s="973" t="inlineStr">
        <is>
          <t>T1657</t>
        </is>
      </c>
      <c r="E183" s="973" t="inlineStr">
        <is>
          <t>Financial Theft</t>
        </is>
      </c>
      <c r="F183" s="973" t="inlineStr">
        <is>
          <t>S5</t>
        </is>
      </c>
      <c r="G183" s="973" t="b">
        <v>1</v>
      </c>
      <c r="H183" s="973" t="b">
        <v>1</v>
      </c>
      <c r="I183" s="973" t="b">
        <v>1</v>
      </c>
      <c r="J183" s="973" t="n">
        <v>0.5</v>
      </c>
      <c r="K183" s="973" t="n">
        <v>0.275654296875</v>
      </c>
      <c r="L183" s="973" t="n">
        <v>0.275654296875</v>
      </c>
      <c r="M183" s="973" t="inlineStr">
        <is>
          <t>SaaS; Office Suite; Identity Provider</t>
        </is>
      </c>
      <c r="N183" s="973" t="inlineStr">
        <is>
          <t>https://attack.mitre.org/techniques/T1657/</t>
        </is>
      </c>
      <c r="O183" s="973" t="n"/>
      <c r="P183" s="973" t="n"/>
    </row>
    <row r="184">
      <c r="A184" s="973" t="inlineStr">
        <is>
          <t>Nation-state</t>
        </is>
      </c>
      <c r="B184" s="973" t="inlineStr">
        <is>
          <t>Cyber-enabled theft or fraud</t>
        </is>
      </c>
      <c r="C184" s="973" t="inlineStr">
        <is>
          <t>User endpoint and social engineering</t>
        </is>
      </c>
      <c r="D184" s="973" t="inlineStr">
        <is>
          <t>T1565</t>
        </is>
      </c>
      <c r="E184" s="973" t="inlineStr">
        <is>
          <t>Data Manipulation</t>
        </is>
      </c>
      <c r="F184" s="973" t="inlineStr">
        <is>
          <t>S5</t>
        </is>
      </c>
      <c r="G184" s="973" t="b">
        <v>1</v>
      </c>
      <c r="H184" s="973" t="b">
        <v>1</v>
      </c>
      <c r="I184" s="973" t="b">
        <v>1</v>
      </c>
      <c r="J184" s="973" t="n">
        <v>0.5</v>
      </c>
      <c r="K184" s="973" t="n">
        <v>0.2206064987182617</v>
      </c>
      <c r="L184" s="973" t="n">
        <v>0.2206064987182617</v>
      </c>
      <c r="M184" s="973" t="inlineStr">
        <is>
          <t>SaaS; Databases; Windows</t>
        </is>
      </c>
      <c r="N184" s="973" t="inlineStr">
        <is>
          <t>https://attack.mitre.org/techniques/T1565/</t>
        </is>
      </c>
      <c r="O184" s="973" t="n"/>
      <c r="P184" s="973" t="n"/>
    </row>
    <row r="185">
      <c r="A185" s="973" t="inlineStr">
        <is>
          <t>Nation-state</t>
        </is>
      </c>
      <c r="B185" s="973" t="inlineStr">
        <is>
          <t>Cyber-enabled theft or fraud</t>
        </is>
      </c>
      <c r="C185" s="973" t="inlineStr">
        <is>
          <t>Public-facing application exploitation</t>
        </is>
      </c>
      <c r="D185" s="973" t="inlineStr">
        <is>
          <t>T1190</t>
        </is>
      </c>
      <c r="E185" s="973" t="inlineStr">
        <is>
          <t>Exploit Public-Facing Application</t>
        </is>
      </c>
      <c r="F185" s="973" t="inlineStr">
        <is>
          <t>S1</t>
        </is>
      </c>
      <c r="G185" s="973" t="b">
        <v>1</v>
      </c>
      <c r="H185" s="973" t="b">
        <v>1</v>
      </c>
      <c r="I185" s="973" t="b">
        <v>1</v>
      </c>
      <c r="J185" s="973" t="n">
        <v>1</v>
      </c>
      <c r="K185" s="973" t="n">
        <v>0.2496630477905274</v>
      </c>
      <c r="L185" s="973" t="n">
        <v>0.2496630477905274</v>
      </c>
      <c r="M185" s="973" t="inlineStr">
        <is>
          <t>Network Devices; SaaS; IaaS</t>
        </is>
      </c>
      <c r="N185" s="973" t="inlineStr">
        <is>
          <t>https://attack.mitre.org/techniques/T1190/</t>
        </is>
      </c>
      <c r="O185" s="973" t="n"/>
      <c r="P185" s="973" t="n"/>
    </row>
    <row r="186">
      <c r="A186" s="973" t="inlineStr">
        <is>
          <t>Nation-state</t>
        </is>
      </c>
      <c r="B186" s="973" t="inlineStr">
        <is>
          <t>Cyber-enabled theft or fraud</t>
        </is>
      </c>
      <c r="C186" s="973" t="inlineStr">
        <is>
          <t>Public-facing application exploitation</t>
        </is>
      </c>
      <c r="D186" s="973" t="inlineStr">
        <is>
          <t>T1059</t>
        </is>
      </c>
      <c r="E186" s="973" t="inlineStr">
        <is>
          <t>Command and Scripting Interpreter</t>
        </is>
      </c>
      <c r="F186" s="973" t="inlineStr">
        <is>
          <t>S2</t>
        </is>
      </c>
      <c r="G186" s="973" t="b">
        <v>1</v>
      </c>
      <c r="H186" s="973" t="b">
        <v>1</v>
      </c>
      <c r="I186" s="973" t="b">
        <v>1</v>
      </c>
      <c r="J186" s="973" t="n">
        <v>0.8</v>
      </c>
      <c r="K186" s="973" t="n">
        <v>0.1875</v>
      </c>
      <c r="L186" s="973" t="n">
        <v>0.1875</v>
      </c>
      <c r="M186" s="973" t="inlineStr">
        <is>
          <t>Windows; macOS; Linux; IaaS</t>
        </is>
      </c>
      <c r="N186" s="973" t="inlineStr">
        <is>
          <t>https://attack.mitre.org/techniques/T1059/</t>
        </is>
      </c>
      <c r="O186" s="973" t="n"/>
      <c r="P186" s="973" t="n"/>
    </row>
    <row r="187">
      <c r="A187" s="973" t="inlineStr">
        <is>
          <t>Nation-state</t>
        </is>
      </c>
      <c r="B187" s="973" t="inlineStr">
        <is>
          <t>Cyber-enabled theft or fraud</t>
        </is>
      </c>
      <c r="C187" s="973" t="inlineStr">
        <is>
          <t>Public-facing application exploitation</t>
        </is>
      </c>
      <c r="D187" s="973" t="inlineStr">
        <is>
          <t>T1068</t>
        </is>
      </c>
      <c r="E187" s="973" t="inlineStr">
        <is>
          <t>Exploitation for Privilege Escalation</t>
        </is>
      </c>
      <c r="F187" s="973" t="inlineStr">
        <is>
          <t>S3</t>
        </is>
      </c>
      <c r="G187" s="973" t="b">
        <v>1</v>
      </c>
      <c r="H187" s="973" t="b">
        <v>1</v>
      </c>
      <c r="I187" s="973" t="b">
        <v>1</v>
      </c>
      <c r="J187" s="973" t="n">
        <v>0.7</v>
      </c>
      <c r="K187" s="973" t="n">
        <v>0.2094165115356445</v>
      </c>
      <c r="L187" s="973" t="n">
        <v>0.2094165115356445</v>
      </c>
      <c r="M187" s="973" t="inlineStr">
        <is>
          <t>Windows; macOS; Linux</t>
        </is>
      </c>
      <c r="N187" s="973" t="inlineStr">
        <is>
          <t>https://attack.mitre.org/techniques/T1068/</t>
        </is>
      </c>
      <c r="O187" s="973" t="n"/>
      <c r="P187" s="973" t="n"/>
    </row>
    <row r="188">
      <c r="A188" s="973" t="inlineStr">
        <is>
          <t>Nation-state</t>
        </is>
      </c>
      <c r="B188" s="973" t="inlineStr">
        <is>
          <t>Cyber-enabled theft or fraud</t>
        </is>
      </c>
      <c r="C188" s="973" t="inlineStr">
        <is>
          <t>Public-facing application exploitation</t>
        </is>
      </c>
      <c r="D188" s="973" t="inlineStr">
        <is>
          <t>T1003</t>
        </is>
      </c>
      <c r="E188" s="973" t="inlineStr">
        <is>
          <t>OS Credential Dumping</t>
        </is>
      </c>
      <c r="F188" s="973" t="inlineStr">
        <is>
          <t>S3</t>
        </is>
      </c>
      <c r="G188" s="973" t="b">
        <v>1</v>
      </c>
      <c r="H188" s="973" t="b">
        <v>1</v>
      </c>
      <c r="I188" s="973" t="b">
        <v>1</v>
      </c>
      <c r="J188" s="973" t="n">
        <v>0.6</v>
      </c>
      <c r="K188" s="973" t="n">
        <v>0.232294921875</v>
      </c>
      <c r="L188" s="973" t="n">
        <v>0.232294921875</v>
      </c>
      <c r="M188" s="973" t="inlineStr">
        <is>
          <t>Windows; Linux; macOS</t>
        </is>
      </c>
      <c r="N188" s="973" t="inlineStr">
        <is>
          <t>https://attack.mitre.org/techniques/T1003/</t>
        </is>
      </c>
      <c r="O188" s="973" t="n"/>
      <c r="P188" s="973" t="n"/>
    </row>
    <row r="189">
      <c r="A189" s="973" t="inlineStr">
        <is>
          <t>Nation-state</t>
        </is>
      </c>
      <c r="B189" s="973" t="inlineStr">
        <is>
          <t>Cyber-enabled theft or fraud</t>
        </is>
      </c>
      <c r="C189" s="973" t="inlineStr">
        <is>
          <t>Public-facing application exploitation</t>
        </is>
      </c>
      <c r="D189" s="973" t="inlineStr">
        <is>
          <t>T1046</t>
        </is>
      </c>
      <c r="E189" s="973" t="inlineStr">
        <is>
          <t>Network Service Discovery</t>
        </is>
      </c>
      <c r="F189" s="973" t="inlineStr">
        <is>
          <t>S4</t>
        </is>
      </c>
      <c r="G189" s="973" t="b">
        <v>1</v>
      </c>
      <c r="H189" s="973" t="b">
        <v>1</v>
      </c>
      <c r="I189" s="973" t="b">
        <v>1</v>
      </c>
      <c r="J189" s="973" t="n">
        <v>0.7</v>
      </c>
      <c r="K189" s="973" t="n">
        <v>0.16875</v>
      </c>
      <c r="L189" s="973" t="n">
        <v>0.16875</v>
      </c>
      <c r="M189" s="973" t="inlineStr">
        <is>
          <t>Network Devices; Windows; Linux</t>
        </is>
      </c>
      <c r="N189" s="973" t="inlineStr">
        <is>
          <t>https://attack.mitre.org/techniques/T1046/</t>
        </is>
      </c>
      <c r="O189" s="973" t="n"/>
      <c r="P189" s="973" t="n"/>
    </row>
    <row r="190">
      <c r="A190" s="973" t="inlineStr">
        <is>
          <t>Nation-state</t>
        </is>
      </c>
      <c r="B190" s="973" t="inlineStr">
        <is>
          <t>Cyber-enabled theft or fraud</t>
        </is>
      </c>
      <c r="C190" s="973" t="inlineStr">
        <is>
          <t>Public-facing application exploitation</t>
        </is>
      </c>
      <c r="D190" s="973" t="inlineStr">
        <is>
          <t>T1210</t>
        </is>
      </c>
      <c r="E190" s="973" t="inlineStr">
        <is>
          <t>Exploitation of Remote Services</t>
        </is>
      </c>
      <c r="F190" s="973" t="inlineStr">
        <is>
          <t>S4</t>
        </is>
      </c>
      <c r="G190" s="973" t="b">
        <v>1</v>
      </c>
      <c r="H190" s="973" t="b">
        <v>1</v>
      </c>
      <c r="I190" s="973" t="b">
        <v>1</v>
      </c>
      <c r="J190" s="973" t="n">
        <v>0.9</v>
      </c>
      <c r="K190" s="973" t="n">
        <v>0.2103495368957519</v>
      </c>
      <c r="L190" s="973" t="n">
        <v>0.2103495368957519</v>
      </c>
      <c r="M190" s="973" t="inlineStr">
        <is>
          <t>Windows; Linux; Network Devices</t>
        </is>
      </c>
      <c r="N190" s="973" t="inlineStr">
        <is>
          <t>https://attack.mitre.org/techniques/T1210/</t>
        </is>
      </c>
      <c r="O190" s="973" t="n"/>
      <c r="P190" s="973" t="n"/>
    </row>
    <row r="191">
      <c r="A191" s="973" t="inlineStr">
        <is>
          <t>Nation-state</t>
        </is>
      </c>
      <c r="B191" s="973" t="inlineStr">
        <is>
          <t>Cyber-enabled theft or fraud</t>
        </is>
      </c>
      <c r="C191" s="973" t="inlineStr">
        <is>
          <t>Public-facing application exploitation</t>
        </is>
      </c>
      <c r="D191" s="973" t="inlineStr">
        <is>
          <t>T1021</t>
        </is>
      </c>
      <c r="E191" s="973" t="inlineStr">
        <is>
          <t>Remote Services</t>
        </is>
      </c>
      <c r="F191" s="973" t="inlineStr">
        <is>
          <t>S4</t>
        </is>
      </c>
      <c r="G191" s="973" t="b">
        <v>1</v>
      </c>
      <c r="H191" s="973" t="b">
        <v>1</v>
      </c>
      <c r="I191" s="973" t="b">
        <v>1</v>
      </c>
      <c r="J191" s="973" t="n">
        <v>0.7</v>
      </c>
      <c r="K191" s="973" t="n">
        <v>0.1875</v>
      </c>
      <c r="L191" s="973" t="n">
        <v>0.1875</v>
      </c>
      <c r="M191" s="973" t="inlineStr">
        <is>
          <t>Windows; Linux; Network Devices</t>
        </is>
      </c>
      <c r="N191" s="973" t="inlineStr">
        <is>
          <t>https://attack.mitre.org/techniques/T1021/</t>
        </is>
      </c>
      <c r="O191" s="973" t="n"/>
      <c r="P191" s="973" t="n"/>
    </row>
    <row r="192">
      <c r="A192" s="973" t="inlineStr">
        <is>
          <t>Nation-state</t>
        </is>
      </c>
      <c r="B192" s="973" t="inlineStr">
        <is>
          <t>Cyber-enabled theft or fraud</t>
        </is>
      </c>
      <c r="C192" s="973" t="inlineStr">
        <is>
          <t>Public-facing application exploitation</t>
        </is>
      </c>
      <c r="D192" s="973" t="inlineStr">
        <is>
          <t>T1486</t>
        </is>
      </c>
      <c r="E192" s="973" t="inlineStr">
        <is>
          <t>Data Encrypted for Impact</t>
        </is>
      </c>
      <c r="F192" s="973" t="inlineStr">
        <is>
          <t>S5</t>
        </is>
      </c>
      <c r="G192" s="973" t="b">
        <v>1</v>
      </c>
      <c r="H192" s="973" t="b">
        <v>0</v>
      </c>
      <c r="I192" s="973" t="b">
        <v>0</v>
      </c>
      <c r="J192" s="973" t="n">
        <v>0.6</v>
      </c>
      <c r="K192" s="973" t="n">
        <v>0.16875</v>
      </c>
      <c r="L192" s="973" t="n">
        <v>0.16875</v>
      </c>
      <c r="M192" s="973" t="inlineStr">
        <is>
          <t>Windows; Linux; IaaS</t>
        </is>
      </c>
      <c r="N192" s="973" t="inlineStr">
        <is>
          <t>https://attack.mitre.org/techniques/T1486/</t>
        </is>
      </c>
      <c r="O192" s="973" t="n"/>
      <c r="P192" s="973" t="n"/>
    </row>
    <row r="193">
      <c r="A193" s="973" t="inlineStr">
        <is>
          <t>Nation-state</t>
        </is>
      </c>
      <c r="B193" s="973" t="inlineStr">
        <is>
          <t>Cyber-enabled theft or fraud</t>
        </is>
      </c>
      <c r="C193" s="973" t="inlineStr">
        <is>
          <t>Public-facing application exploitation</t>
        </is>
      </c>
      <c r="D193" s="973" t="inlineStr">
        <is>
          <t>T1490</t>
        </is>
      </c>
      <c r="E193" s="973" t="inlineStr">
        <is>
          <t>Inhibit System Recovery</t>
        </is>
      </c>
      <c r="F193" s="973" t="inlineStr">
        <is>
          <t>S5</t>
        </is>
      </c>
      <c r="G193" s="973" t="b">
        <v>1</v>
      </c>
      <c r="H193" s="973" t="b">
        <v>0</v>
      </c>
      <c r="I193" s="973" t="b">
        <v>0</v>
      </c>
      <c r="J193" s="973" t="n">
        <v>0.5</v>
      </c>
      <c r="K193" s="973" t="n">
        <v>0</v>
      </c>
      <c r="L193" s="973" t="n">
        <v>0</v>
      </c>
      <c r="M193" s="973" t="inlineStr">
        <is>
          <t>Windows; Linux; IaaS</t>
        </is>
      </c>
      <c r="N193" s="973" t="inlineStr">
        <is>
          <t>https://attack.mitre.org/techniques/T1490/</t>
        </is>
      </c>
      <c r="O193" s="973" t="n"/>
      <c r="P193" s="973" t="n"/>
    </row>
    <row r="194">
      <c r="A194" s="973" t="inlineStr">
        <is>
          <t>Nation-state</t>
        </is>
      </c>
      <c r="B194" s="973" t="inlineStr">
        <is>
          <t>Cyber-enabled theft or fraud</t>
        </is>
      </c>
      <c r="C194" s="973" t="inlineStr">
        <is>
          <t>Public-facing application exploitation</t>
        </is>
      </c>
      <c r="D194" s="973" t="inlineStr">
        <is>
          <t>T1567</t>
        </is>
      </c>
      <c r="E194" s="973" t="inlineStr">
        <is>
          <t>Exfiltration Over Web Service</t>
        </is>
      </c>
      <c r="F194" s="973" t="inlineStr">
        <is>
          <t>S5</t>
        </is>
      </c>
      <c r="G194" s="973" t="b">
        <v>1</v>
      </c>
      <c r="H194" s="973" t="b">
        <v>0</v>
      </c>
      <c r="I194" s="973" t="b">
        <v>0</v>
      </c>
      <c r="J194" s="973" t="n">
        <v>0.6</v>
      </c>
      <c r="K194" s="973" t="n">
        <v>0.20625</v>
      </c>
      <c r="L194" s="973" t="n">
        <v>0.20625</v>
      </c>
      <c r="M194" s="973" t="inlineStr">
        <is>
          <t>SaaS; Office Suite</t>
        </is>
      </c>
      <c r="N194" s="973" t="inlineStr">
        <is>
          <t>https://attack.mitre.org/techniques/T1567/</t>
        </is>
      </c>
      <c r="O194" s="973" t="n"/>
      <c r="P194" s="973" t="n"/>
    </row>
    <row r="195">
      <c r="A195" s="973" t="inlineStr">
        <is>
          <t>Nation-state</t>
        </is>
      </c>
      <c r="B195" s="973" t="inlineStr">
        <is>
          <t>Cyber-enabled theft or fraud</t>
        </is>
      </c>
      <c r="C195" s="973" t="inlineStr">
        <is>
          <t>Public-facing application exploitation</t>
        </is>
      </c>
      <c r="D195" s="973" t="inlineStr">
        <is>
          <t>T1565</t>
        </is>
      </c>
      <c r="E195" s="973" t="inlineStr">
        <is>
          <t>Data Manipulation</t>
        </is>
      </c>
      <c r="F195" s="973" t="inlineStr">
        <is>
          <t>S5</t>
        </is>
      </c>
      <c r="G195" s="973" t="b">
        <v>1</v>
      </c>
      <c r="H195" s="973" t="b">
        <v>1</v>
      </c>
      <c r="I195" s="973" t="b">
        <v>1</v>
      </c>
      <c r="J195" s="973" t="n">
        <v>0.6</v>
      </c>
      <c r="K195" s="973" t="n">
        <v>0.2206064987182617</v>
      </c>
      <c r="L195" s="973" t="n">
        <v>0.2206064987182617</v>
      </c>
      <c r="M195" s="973" t="inlineStr">
        <is>
          <t>SaaS; Databases; Windows</t>
        </is>
      </c>
      <c r="N195" s="973" t="inlineStr">
        <is>
          <t>https://attack.mitre.org/techniques/T1565/</t>
        </is>
      </c>
      <c r="O195" s="973" t="n"/>
      <c r="P195" s="973" t="n"/>
    </row>
    <row r="196">
      <c r="A196" s="973" t="inlineStr">
        <is>
          <t>Nation-state</t>
        </is>
      </c>
      <c r="B196" s="973" t="inlineStr">
        <is>
          <t>Cyber-enabled theft or fraud</t>
        </is>
      </c>
      <c r="C196" s="973" t="inlineStr">
        <is>
          <t>Public-facing application exploitation</t>
        </is>
      </c>
      <c r="D196" s="973" t="inlineStr">
        <is>
          <t>T1657</t>
        </is>
      </c>
      <c r="E196" s="973" t="inlineStr">
        <is>
          <t>Financial Theft</t>
        </is>
      </c>
      <c r="F196" s="973" t="inlineStr">
        <is>
          <t>S5</t>
        </is>
      </c>
      <c r="G196" s="973" t="b">
        <v>1</v>
      </c>
      <c r="H196" s="973" t="b">
        <v>1</v>
      </c>
      <c r="I196" s="973" t="b">
        <v>1</v>
      </c>
      <c r="J196" s="973" t="n">
        <v>0.4</v>
      </c>
      <c r="K196" s="973" t="n">
        <v>0.275654296875</v>
      </c>
      <c r="L196" s="973" t="n">
        <v>0.275654296875</v>
      </c>
      <c r="M196" s="973" t="inlineStr">
        <is>
          <t>SaaS; Office Suite; Identity Provider</t>
        </is>
      </c>
      <c r="N196" s="973" t="inlineStr">
        <is>
          <t>https://attack.mitre.org/techniques/T1657/</t>
        </is>
      </c>
      <c r="O196" s="973" t="n"/>
      <c r="P196" s="973" t="n"/>
    </row>
    <row r="197">
      <c r="A197" s="973" t="inlineStr">
        <is>
          <t>Nation-state</t>
        </is>
      </c>
      <c r="B197" s="973" t="inlineStr">
        <is>
          <t>Cyber-enabled theft or fraud</t>
        </is>
      </c>
      <c r="C197" s="973" t="inlineStr">
        <is>
          <t>Third-party or software supply chain</t>
        </is>
      </c>
      <c r="D197" s="973" t="inlineStr">
        <is>
          <t>T1199</t>
        </is>
      </c>
      <c r="E197" s="973" t="inlineStr">
        <is>
          <t>Trusted Relationship</t>
        </is>
      </c>
      <c r="F197" s="973" t="inlineStr">
        <is>
          <t>S3</t>
        </is>
      </c>
      <c r="G197" s="973" t="b">
        <v>1</v>
      </c>
      <c r="H197" s="973" t="b">
        <v>1</v>
      </c>
      <c r="I197" s="973" t="b">
        <v>1</v>
      </c>
      <c r="J197" s="973" t="n">
        <v>1</v>
      </c>
      <c r="K197" s="973" t="n">
        <v>0.20625</v>
      </c>
      <c r="L197" s="973" t="n">
        <v>0.20625</v>
      </c>
      <c r="M197" s="973" t="inlineStr">
        <is>
          <t>SaaS; IaaS; Network Devices</t>
        </is>
      </c>
      <c r="N197" s="973" t="inlineStr">
        <is>
          <t>https://attack.mitre.org/techniques/T1199/</t>
        </is>
      </c>
      <c r="O197" s="973" t="n"/>
      <c r="P197" s="973" t="n"/>
    </row>
    <row r="198">
      <c r="A198" s="973" t="inlineStr">
        <is>
          <t>Nation-state</t>
        </is>
      </c>
      <c r="B198" s="973" t="inlineStr">
        <is>
          <t>Cyber-enabled theft or fraud</t>
        </is>
      </c>
      <c r="C198" s="973" t="inlineStr">
        <is>
          <t>Third-party or software supply chain</t>
        </is>
      </c>
      <c r="D198" s="973" t="inlineStr">
        <is>
          <t>T1098</t>
        </is>
      </c>
      <c r="E198" s="973" t="inlineStr">
        <is>
          <t>Account Manipulation</t>
        </is>
      </c>
      <c r="F198" s="973" t="inlineStr">
        <is>
          <t>S3</t>
        </is>
      </c>
      <c r="G198" s="973" t="b">
        <v>1</v>
      </c>
      <c r="H198" s="973" t="b">
        <v>1</v>
      </c>
      <c r="I198" s="973" t="b">
        <v>1</v>
      </c>
      <c r="J198" s="973" t="n">
        <v>0.6</v>
      </c>
      <c r="K198" s="973" t="n">
        <v>0.2477547340393066</v>
      </c>
      <c r="L198" s="973" t="n">
        <v>0.2477547340393066</v>
      </c>
      <c r="M198" s="973" t="inlineStr">
        <is>
          <t>Identity Provider; SaaS; Windows</t>
        </is>
      </c>
      <c r="N198" s="973" t="inlineStr">
        <is>
          <t>https://attack.mitre.org/techniques/T1098/</t>
        </is>
      </c>
      <c r="O198" s="973" t="n"/>
      <c r="P198" s="973" t="n"/>
    </row>
    <row r="199">
      <c r="A199" s="973" t="inlineStr">
        <is>
          <t>Nation-state</t>
        </is>
      </c>
      <c r="B199" s="973" t="inlineStr">
        <is>
          <t>Cyber-enabled theft or fraud</t>
        </is>
      </c>
      <c r="C199" s="973" t="inlineStr">
        <is>
          <t>Third-party or software supply chain</t>
        </is>
      </c>
      <c r="D199" s="973" t="inlineStr">
        <is>
          <t>T1087</t>
        </is>
      </c>
      <c r="E199" s="973" t="inlineStr">
        <is>
          <t>Account Discovery</t>
        </is>
      </c>
      <c r="F199" s="973" t="inlineStr">
        <is>
          <t>S4</t>
        </is>
      </c>
      <c r="G199" s="973" t="b">
        <v>1</v>
      </c>
      <c r="H199" s="973" t="b">
        <v>1</v>
      </c>
      <c r="I199" s="973" t="b">
        <v>1</v>
      </c>
      <c r="J199" s="973" t="n">
        <v>0.5</v>
      </c>
      <c r="K199" s="973" t="n">
        <v>0</v>
      </c>
      <c r="L199" s="973" t="n">
        <v>0</v>
      </c>
      <c r="M199" s="973" t="inlineStr">
        <is>
          <t>Identity Provider; SaaS; Windows</t>
        </is>
      </c>
      <c r="N199" s="973" t="inlineStr">
        <is>
          <t>https://attack.mitre.org/techniques/T1087/</t>
        </is>
      </c>
      <c r="O199" s="973" t="n"/>
      <c r="P199" s="973" t="n"/>
    </row>
    <row r="200">
      <c r="A200" s="973" t="inlineStr">
        <is>
          <t>Nation-state</t>
        </is>
      </c>
      <c r="B200" s="973" t="inlineStr">
        <is>
          <t>Cyber-enabled theft or fraud</t>
        </is>
      </c>
      <c r="C200" s="973" t="inlineStr">
        <is>
          <t>Third-party or software supply chain</t>
        </is>
      </c>
      <c r="D200" s="973" t="inlineStr">
        <is>
          <t>T1213</t>
        </is>
      </c>
      <c r="E200" s="973" t="inlineStr">
        <is>
          <t>Data from Information Repositories</t>
        </is>
      </c>
      <c r="F200" s="973" t="inlineStr">
        <is>
          <t>S4</t>
        </is>
      </c>
      <c r="G200" s="973" t="b">
        <v>1</v>
      </c>
      <c r="H200" s="973" t="b">
        <v>1</v>
      </c>
      <c r="I200" s="973" t="b">
        <v>1</v>
      </c>
      <c r="J200" s="973" t="n">
        <v>0.7</v>
      </c>
      <c r="K200" s="973" t="n">
        <v>0.177890625</v>
      </c>
      <c r="L200" s="973" t="n">
        <v>0.177890625</v>
      </c>
      <c r="M200" s="973" t="inlineStr">
        <is>
          <t>SaaS; Office Suite; Windows</t>
        </is>
      </c>
      <c r="N200" s="973" t="inlineStr">
        <is>
          <t>https://attack.mitre.org/techniques/T1213/</t>
        </is>
      </c>
      <c r="O200" s="973" t="n"/>
      <c r="P200" s="973" t="n"/>
    </row>
    <row r="201">
      <c r="A201" s="973" t="inlineStr">
        <is>
          <t>Nation-state</t>
        </is>
      </c>
      <c r="B201" s="973" t="inlineStr">
        <is>
          <t>Cyber-enabled theft or fraud</t>
        </is>
      </c>
      <c r="C201" s="973" t="inlineStr">
        <is>
          <t>Third-party or software supply chain</t>
        </is>
      </c>
      <c r="D201" s="973" t="inlineStr">
        <is>
          <t>T1567</t>
        </is>
      </c>
      <c r="E201" s="973" t="inlineStr">
        <is>
          <t>Exfiltration Over Web Service</t>
        </is>
      </c>
      <c r="F201" s="973" t="inlineStr">
        <is>
          <t>S5</t>
        </is>
      </c>
      <c r="G201" s="973" t="b">
        <v>1</v>
      </c>
      <c r="H201" s="973" t="b">
        <v>0</v>
      </c>
      <c r="I201" s="973" t="b">
        <v>0</v>
      </c>
      <c r="J201" s="973" t="n">
        <v>0.6</v>
      </c>
      <c r="K201" s="973" t="n">
        <v>0.20625</v>
      </c>
      <c r="L201" s="973" t="n">
        <v>0.20625</v>
      </c>
      <c r="M201" s="973" t="inlineStr">
        <is>
          <t>SaaS; Office Suite</t>
        </is>
      </c>
      <c r="N201" s="973" t="inlineStr">
        <is>
          <t>https://attack.mitre.org/techniques/T1567/</t>
        </is>
      </c>
      <c r="O201" s="973" t="n"/>
      <c r="P201" s="973" t="n"/>
    </row>
    <row r="202">
      <c r="A202" s="973" t="inlineStr">
        <is>
          <t>Nation-state</t>
        </is>
      </c>
      <c r="B202" s="973" t="inlineStr">
        <is>
          <t>Cyber-enabled theft or fraud</t>
        </is>
      </c>
      <c r="C202" s="973" t="inlineStr">
        <is>
          <t>Third-party or software supply chain</t>
        </is>
      </c>
      <c r="D202" s="973" t="inlineStr">
        <is>
          <t>T1486</t>
        </is>
      </c>
      <c r="E202" s="973" t="inlineStr">
        <is>
          <t>Data Encrypted for Impact</t>
        </is>
      </c>
      <c r="F202" s="973" t="inlineStr">
        <is>
          <t>S5</t>
        </is>
      </c>
      <c r="G202" s="973" t="b">
        <v>1</v>
      </c>
      <c r="H202" s="973" t="b">
        <v>0</v>
      </c>
      <c r="I202" s="973" t="b">
        <v>0</v>
      </c>
      <c r="J202" s="973" t="n">
        <v>0.5</v>
      </c>
      <c r="K202" s="973" t="n">
        <v>0.16875</v>
      </c>
      <c r="L202" s="973" t="n">
        <v>0.16875</v>
      </c>
      <c r="M202" s="973" t="inlineStr">
        <is>
          <t>Windows; Linux; IaaS</t>
        </is>
      </c>
      <c r="N202" s="973" t="inlineStr">
        <is>
          <t>https://attack.mitre.org/techniques/T1486/</t>
        </is>
      </c>
      <c r="O202" s="973" t="n"/>
      <c r="P202" s="973" t="n"/>
    </row>
    <row r="203">
      <c r="A203" s="973" t="inlineStr">
        <is>
          <t>Nation-state</t>
        </is>
      </c>
      <c r="B203" s="973" t="inlineStr">
        <is>
          <t>Cyber-enabled theft or fraud</t>
        </is>
      </c>
      <c r="C203" s="973" t="inlineStr">
        <is>
          <t>Third-party or software supply chain</t>
        </is>
      </c>
      <c r="D203" s="973" t="inlineStr">
        <is>
          <t>T1565</t>
        </is>
      </c>
      <c r="E203" s="973" t="inlineStr">
        <is>
          <t>Data Manipulation</t>
        </is>
      </c>
      <c r="F203" s="973" t="inlineStr">
        <is>
          <t>S5</t>
        </is>
      </c>
      <c r="G203" s="973" t="b">
        <v>1</v>
      </c>
      <c r="H203" s="973" t="b">
        <v>1</v>
      </c>
      <c r="I203" s="973" t="b">
        <v>1</v>
      </c>
      <c r="J203" s="973" t="n">
        <v>0.6</v>
      </c>
      <c r="K203" s="973" t="n">
        <v>0.2206064987182617</v>
      </c>
      <c r="L203" s="973" t="n">
        <v>0.2206064987182617</v>
      </c>
      <c r="M203" s="973" t="inlineStr">
        <is>
          <t>SaaS; Databases; Windows</t>
        </is>
      </c>
      <c r="N203" s="973" t="inlineStr">
        <is>
          <t>https://attack.mitre.org/techniques/T1565/</t>
        </is>
      </c>
      <c r="O203" s="973" t="n"/>
      <c r="P203" s="973" t="n"/>
    </row>
    <row r="204">
      <c r="A204" s="973" t="inlineStr">
        <is>
          <t>Nation-state</t>
        </is>
      </c>
      <c r="B204" s="973" t="inlineStr">
        <is>
          <t>Cyber-enabled theft or fraud</t>
        </is>
      </c>
      <c r="C204" s="973" t="inlineStr">
        <is>
          <t>Third-party or software supply chain</t>
        </is>
      </c>
      <c r="D204" s="973" t="inlineStr">
        <is>
          <t>T1657</t>
        </is>
      </c>
      <c r="E204" s="973" t="inlineStr">
        <is>
          <t>Financial Theft</t>
        </is>
      </c>
      <c r="F204" s="973" t="inlineStr">
        <is>
          <t>S5</t>
        </is>
      </c>
      <c r="G204" s="973" t="b">
        <v>1</v>
      </c>
      <c r="H204" s="973" t="b">
        <v>1</v>
      </c>
      <c r="I204" s="973" t="b">
        <v>1</v>
      </c>
      <c r="J204" s="973" t="n">
        <v>0.5</v>
      </c>
      <c r="K204" s="973" t="n">
        <v>0.275654296875</v>
      </c>
      <c r="L204" s="973" t="n">
        <v>0.275654296875</v>
      </c>
      <c r="M204" s="973" t="inlineStr">
        <is>
          <t>SaaS; Office Suite; Identity Provider</t>
        </is>
      </c>
      <c r="N204" s="973" t="inlineStr">
        <is>
          <t>https://attack.mitre.org/techniques/T1657/</t>
        </is>
      </c>
      <c r="O204" s="973" t="n"/>
      <c r="P204" s="973" t="n"/>
    </row>
    <row r="205">
      <c r="A205" s="973" t="inlineStr">
        <is>
          <t>Nation-state</t>
        </is>
      </c>
      <c r="B205" s="973" t="inlineStr">
        <is>
          <t>Cyber-enabled theft or fraud</t>
        </is>
      </c>
      <c r="C205" s="973" t="inlineStr">
        <is>
          <t>Insider or trusted access</t>
        </is>
      </c>
      <c r="D205" s="973" t="inlineStr">
        <is>
          <t>T1098</t>
        </is>
      </c>
      <c r="E205" s="973" t="inlineStr">
        <is>
          <t>Account Manipulation</t>
        </is>
      </c>
      <c r="F205" s="973" t="inlineStr">
        <is>
          <t>S3</t>
        </is>
      </c>
      <c r="G205" s="973" t="b">
        <v>1</v>
      </c>
      <c r="H205" s="973" t="b">
        <v>1</v>
      </c>
      <c r="I205" s="973" t="b">
        <v>1</v>
      </c>
      <c r="J205" s="973" t="n">
        <v>0.8</v>
      </c>
      <c r="K205" s="973" t="n">
        <v>0.2477547340393066</v>
      </c>
      <c r="L205" s="973" t="n">
        <v>0.2477547340393066</v>
      </c>
      <c r="M205" s="973" t="inlineStr">
        <is>
          <t>Identity Provider; SaaS; Windows</t>
        </is>
      </c>
      <c r="N205" s="973" t="inlineStr">
        <is>
          <t>https://attack.mitre.org/techniques/T1098/</t>
        </is>
      </c>
      <c r="O205" s="973" t="n"/>
      <c r="P205" s="973" t="n"/>
    </row>
    <row r="206">
      <c r="A206" s="973" t="inlineStr">
        <is>
          <t>Nation-state</t>
        </is>
      </c>
      <c r="B206" s="973" t="inlineStr">
        <is>
          <t>Cyber-enabled theft or fraud</t>
        </is>
      </c>
      <c r="C206" s="973" t="inlineStr">
        <is>
          <t>Insider or trusted access</t>
        </is>
      </c>
      <c r="D206" s="973" t="inlineStr">
        <is>
          <t>T1567</t>
        </is>
      </c>
      <c r="E206" s="973" t="inlineStr">
        <is>
          <t>Exfiltration Over Web Service</t>
        </is>
      </c>
      <c r="F206" s="973" t="inlineStr">
        <is>
          <t>S5</t>
        </is>
      </c>
      <c r="G206" s="973" t="b">
        <v>1</v>
      </c>
      <c r="H206" s="973" t="b">
        <v>0</v>
      </c>
      <c r="I206" s="973" t="b">
        <v>0</v>
      </c>
      <c r="J206" s="973" t="n">
        <v>0.8</v>
      </c>
      <c r="K206" s="973" t="n">
        <v>0.20625</v>
      </c>
      <c r="L206" s="973" t="n">
        <v>0.20625</v>
      </c>
      <c r="M206" s="973" t="inlineStr">
        <is>
          <t>SaaS; Office Suite</t>
        </is>
      </c>
      <c r="N206" s="973" t="inlineStr">
        <is>
          <t>https://attack.mitre.org/techniques/T1567/</t>
        </is>
      </c>
      <c r="O206" s="973" t="n"/>
      <c r="P206" s="973" t="n"/>
    </row>
    <row r="207">
      <c r="A207" s="973" t="inlineStr">
        <is>
          <t>Nation-state</t>
        </is>
      </c>
      <c r="B207" s="973" t="inlineStr">
        <is>
          <t>Cyber-enabled theft or fraud</t>
        </is>
      </c>
      <c r="C207" s="973" t="inlineStr">
        <is>
          <t>Insider or trusted access</t>
        </is>
      </c>
      <c r="D207" s="973" t="inlineStr">
        <is>
          <t>T1565</t>
        </is>
      </c>
      <c r="E207" s="973" t="inlineStr">
        <is>
          <t>Data Manipulation</t>
        </is>
      </c>
      <c r="F207" s="973" t="inlineStr">
        <is>
          <t>S5</t>
        </is>
      </c>
      <c r="G207" s="973" t="b">
        <v>1</v>
      </c>
      <c r="H207" s="973" t="b">
        <v>1</v>
      </c>
      <c r="I207" s="973" t="b">
        <v>1</v>
      </c>
      <c r="J207" s="973" t="n">
        <v>0.9</v>
      </c>
      <c r="K207" s="973" t="n">
        <v>0.2206064987182617</v>
      </c>
      <c r="L207" s="973" t="n">
        <v>0.2206064987182617</v>
      </c>
      <c r="M207" s="973" t="inlineStr">
        <is>
          <t>SaaS; Databases; Windows</t>
        </is>
      </c>
      <c r="N207" s="973" t="inlineStr">
        <is>
          <t>https://attack.mitre.org/techniques/T1565/</t>
        </is>
      </c>
      <c r="O207" s="973" t="n"/>
      <c r="P207" s="973" t="n"/>
    </row>
    <row r="208">
      <c r="A208" s="973" t="inlineStr">
        <is>
          <t>Nation-state</t>
        </is>
      </c>
      <c r="B208" s="973" t="inlineStr">
        <is>
          <t>Cyber-enabled theft or fraud</t>
        </is>
      </c>
      <c r="C208" s="973" t="inlineStr">
        <is>
          <t>Insider or trusted access</t>
        </is>
      </c>
      <c r="D208" s="973" t="inlineStr">
        <is>
          <t>T1657</t>
        </is>
      </c>
      <c r="E208" s="973" t="inlineStr">
        <is>
          <t>Financial Theft</t>
        </is>
      </c>
      <c r="F208" s="973" t="inlineStr">
        <is>
          <t>S5</t>
        </is>
      </c>
      <c r="G208" s="973" t="b">
        <v>1</v>
      </c>
      <c r="H208" s="973" t="b">
        <v>1</v>
      </c>
      <c r="I208" s="973" t="b">
        <v>1</v>
      </c>
      <c r="J208" s="973" t="n">
        <v>0.9</v>
      </c>
      <c r="K208" s="973" t="n">
        <v>0.275654296875</v>
      </c>
      <c r="L208" s="973" t="n">
        <v>0.275654296875</v>
      </c>
      <c r="M208" s="973" t="inlineStr">
        <is>
          <t>SaaS; Office Suite; Identity Provider</t>
        </is>
      </c>
      <c r="N208" s="973" t="inlineStr">
        <is>
          <t>https://attack.mitre.org/techniques/T1657/</t>
        </is>
      </c>
      <c r="O208" s="973" t="n"/>
      <c r="P208" s="973" t="n"/>
    </row>
    <row r="209">
      <c r="A209" s="973" t="inlineStr">
        <is>
          <t>Cybercriminal</t>
        </is>
      </c>
      <c r="B209" s="973" t="inlineStr">
        <is>
          <t>Critical business-service disruption</t>
        </is>
      </c>
      <c r="C209" s="973" t="inlineStr">
        <is>
          <t>Identity and credential compromise</t>
        </is>
      </c>
      <c r="D209" s="973" t="inlineStr">
        <is>
          <t>T1566</t>
        </is>
      </c>
      <c r="E209" s="973" t="inlineStr">
        <is>
          <t>Phishing</t>
        </is>
      </c>
      <c r="F209" s="973" t="inlineStr">
        <is>
          <t>S1</t>
        </is>
      </c>
      <c r="G209" s="973" t="b">
        <v>1</v>
      </c>
      <c r="H209" s="973" t="b">
        <v>1</v>
      </c>
      <c r="I209" s="973" t="b">
        <v>1</v>
      </c>
      <c r="J209" s="973" t="n">
        <v>1</v>
      </c>
      <c r="K209" s="973" t="n">
        <v>0.20625</v>
      </c>
      <c r="L209" s="973" t="n">
        <v>0.20625</v>
      </c>
      <c r="M209" s="973" t="inlineStr">
        <is>
          <t>Windows; SaaS; Office Suite</t>
        </is>
      </c>
      <c r="N209" s="973" t="inlineStr">
        <is>
          <t>https://attack.mitre.org/techniques/T1566/</t>
        </is>
      </c>
      <c r="O209" s="973" t="n"/>
      <c r="P209" s="973" t="n"/>
    </row>
    <row r="210">
      <c r="A210" s="973" t="inlineStr">
        <is>
          <t>Cybercriminal</t>
        </is>
      </c>
      <c r="B210" s="973" t="inlineStr">
        <is>
          <t>Critical business-service disruption</t>
        </is>
      </c>
      <c r="C210" s="973" t="inlineStr">
        <is>
          <t>Identity and credential compromise</t>
        </is>
      </c>
      <c r="D210" s="973" t="inlineStr">
        <is>
          <t>T1078</t>
        </is>
      </c>
      <c r="E210" s="973" t="inlineStr">
        <is>
          <t>Valid Accounts</t>
        </is>
      </c>
      <c r="F210" s="973" t="inlineStr">
        <is>
          <t>S1</t>
        </is>
      </c>
      <c r="G210" s="973" t="b">
        <v>1</v>
      </c>
      <c r="H210" s="973" t="b">
        <v>1</v>
      </c>
      <c r="I210" s="973" t="b">
        <v>1</v>
      </c>
      <c r="J210" s="973" t="n">
        <v>1</v>
      </c>
      <c r="K210" s="973" t="n">
        <v>0.272109375</v>
      </c>
      <c r="L210" s="973" t="n">
        <v>0.272109375</v>
      </c>
      <c r="M210" s="973" t="inlineStr">
        <is>
          <t>Identity Provider; SaaS; IaaS; Windows</t>
        </is>
      </c>
      <c r="N210" s="973" t="inlineStr">
        <is>
          <t>https://attack.mitre.org/techniques/T1078/</t>
        </is>
      </c>
      <c r="O210" s="973" t="n"/>
      <c r="P210" s="973" t="n"/>
    </row>
    <row r="211">
      <c r="A211" s="973" t="inlineStr">
        <is>
          <t>Cybercriminal</t>
        </is>
      </c>
      <c r="B211" s="973" t="inlineStr">
        <is>
          <t>Critical business-service disruption</t>
        </is>
      </c>
      <c r="C211" s="973" t="inlineStr">
        <is>
          <t>Identity and credential compromise</t>
        </is>
      </c>
      <c r="D211" s="973" t="inlineStr">
        <is>
          <t>T1110</t>
        </is>
      </c>
      <c r="E211" s="973" t="inlineStr">
        <is>
          <t>Brute Force</t>
        </is>
      </c>
      <c r="F211" s="973" t="inlineStr">
        <is>
          <t>S1</t>
        </is>
      </c>
      <c r="G211" s="973" t="b">
        <v>1</v>
      </c>
      <c r="H211" s="973" t="b">
        <v>1</v>
      </c>
      <c r="I211" s="973" t="b">
        <v>1</v>
      </c>
      <c r="J211" s="973" t="n">
        <v>0.7</v>
      </c>
      <c r="K211" s="973" t="n">
        <v>0.24375</v>
      </c>
      <c r="L211" s="973" t="n">
        <v>0.24375</v>
      </c>
      <c r="M211" s="973" t="inlineStr">
        <is>
          <t>Identity Provider; SaaS; Windows</t>
        </is>
      </c>
      <c r="N211" s="973" t="inlineStr">
        <is>
          <t>https://attack.mitre.org/techniques/T1110/</t>
        </is>
      </c>
      <c r="O211" s="973" t="n"/>
      <c r="P211" s="973" t="n"/>
    </row>
    <row r="212">
      <c r="A212" s="973" t="inlineStr">
        <is>
          <t>Cybercriminal</t>
        </is>
      </c>
      <c r="B212" s="973" t="inlineStr">
        <is>
          <t>Critical business-service disruption</t>
        </is>
      </c>
      <c r="C212" s="973" t="inlineStr">
        <is>
          <t>Identity and credential compromise</t>
        </is>
      </c>
      <c r="D212" s="973" t="inlineStr">
        <is>
          <t>T1098</t>
        </is>
      </c>
      <c r="E212" s="973" t="inlineStr">
        <is>
          <t>Account Manipulation</t>
        </is>
      </c>
      <c r="F212" s="973" t="inlineStr">
        <is>
          <t>S3</t>
        </is>
      </c>
      <c r="G212" s="973" t="b">
        <v>1</v>
      </c>
      <c r="H212" s="973" t="b">
        <v>1</v>
      </c>
      <c r="I212" s="973" t="b">
        <v>1</v>
      </c>
      <c r="J212" s="973" t="n">
        <v>0.7</v>
      </c>
      <c r="K212" s="973" t="n">
        <v>0.2477547340393066</v>
      </c>
      <c r="L212" s="973" t="n">
        <v>0.2477547340393066</v>
      </c>
      <c r="M212" s="973" t="inlineStr">
        <is>
          <t>Identity Provider; SaaS; Windows</t>
        </is>
      </c>
      <c r="N212" s="973" t="inlineStr">
        <is>
          <t>https://attack.mitre.org/techniques/T1098/</t>
        </is>
      </c>
      <c r="O212" s="973" t="n"/>
      <c r="P212" s="973" t="n"/>
    </row>
    <row r="213">
      <c r="A213" s="973" t="inlineStr">
        <is>
          <t>Cybercriminal</t>
        </is>
      </c>
      <c r="B213" s="973" t="inlineStr">
        <is>
          <t>Critical business-service disruption</t>
        </is>
      </c>
      <c r="C213" s="973" t="inlineStr">
        <is>
          <t>Identity and credential compromise</t>
        </is>
      </c>
      <c r="D213" s="973" t="inlineStr">
        <is>
          <t>T1087</t>
        </is>
      </c>
      <c r="E213" s="973" t="inlineStr">
        <is>
          <t>Account Discovery</t>
        </is>
      </c>
      <c r="F213" s="973" t="inlineStr">
        <is>
          <t>S4</t>
        </is>
      </c>
      <c r="G213" s="973" t="b">
        <v>1</v>
      </c>
      <c r="H213" s="973" t="b">
        <v>1</v>
      </c>
      <c r="I213" s="973" t="b">
        <v>1</v>
      </c>
      <c r="J213" s="973" t="n">
        <v>0.6</v>
      </c>
      <c r="K213" s="973" t="n">
        <v>0</v>
      </c>
      <c r="L213" s="973" t="n">
        <v>0</v>
      </c>
      <c r="M213" s="973" t="inlineStr">
        <is>
          <t>Identity Provider; SaaS; Windows</t>
        </is>
      </c>
      <c r="N213" s="973" t="inlineStr">
        <is>
          <t>https://attack.mitre.org/techniques/T1087/</t>
        </is>
      </c>
      <c r="O213" s="973" t="n"/>
      <c r="P213" s="973" t="n"/>
    </row>
    <row r="214">
      <c r="A214" s="973" t="inlineStr">
        <is>
          <t>Cybercriminal</t>
        </is>
      </c>
      <c r="B214" s="973" t="inlineStr">
        <is>
          <t>Critical business-service disruption</t>
        </is>
      </c>
      <c r="C214" s="973" t="inlineStr">
        <is>
          <t>Identity and credential compromise</t>
        </is>
      </c>
      <c r="D214" s="973" t="inlineStr">
        <is>
          <t>T1213</t>
        </is>
      </c>
      <c r="E214" s="973" t="inlineStr">
        <is>
          <t>Data from Information Repositories</t>
        </is>
      </c>
      <c r="F214" s="973" t="inlineStr">
        <is>
          <t>S4</t>
        </is>
      </c>
      <c r="G214" s="973" t="b">
        <v>1</v>
      </c>
      <c r="H214" s="973" t="b">
        <v>0</v>
      </c>
      <c r="I214" s="973" t="b">
        <v>0</v>
      </c>
      <c r="J214" s="973" t="n">
        <v>0.8</v>
      </c>
      <c r="K214" s="973" t="n">
        <v>0.177890625</v>
      </c>
      <c r="L214" s="973" t="n">
        <v>0.177890625</v>
      </c>
      <c r="M214" s="973" t="inlineStr">
        <is>
          <t>SaaS; Office Suite; Windows</t>
        </is>
      </c>
      <c r="N214" s="973" t="inlineStr">
        <is>
          <t>https://attack.mitre.org/techniques/T1213/</t>
        </is>
      </c>
      <c r="O214" s="973" t="n"/>
      <c r="P214" s="973" t="n"/>
    </row>
    <row r="215">
      <c r="A215" s="973" t="inlineStr">
        <is>
          <t>Cybercriminal</t>
        </is>
      </c>
      <c r="B215" s="973" t="inlineStr">
        <is>
          <t>Critical business-service disruption</t>
        </is>
      </c>
      <c r="C215" s="973" t="inlineStr">
        <is>
          <t>Identity and credential compromise</t>
        </is>
      </c>
      <c r="D215" s="973" t="inlineStr">
        <is>
          <t>T1567</t>
        </is>
      </c>
      <c r="E215" s="973" t="inlineStr">
        <is>
          <t>Exfiltration Over Web Service</t>
        </is>
      </c>
      <c r="F215" s="973" t="inlineStr">
        <is>
          <t>S5</t>
        </is>
      </c>
      <c r="G215" s="973" t="b">
        <v>1</v>
      </c>
      <c r="H215" s="973" t="b">
        <v>0</v>
      </c>
      <c r="I215" s="973" t="b">
        <v>0</v>
      </c>
      <c r="J215" s="973" t="n">
        <v>0.7</v>
      </c>
      <c r="K215" s="973" t="n">
        <v>0.20625</v>
      </c>
      <c r="L215" s="973" t="n">
        <v>0.20625</v>
      </c>
      <c r="M215" s="973" t="inlineStr">
        <is>
          <t>SaaS; Office Suite</t>
        </is>
      </c>
      <c r="N215" s="973" t="inlineStr">
        <is>
          <t>https://attack.mitre.org/techniques/T1567/</t>
        </is>
      </c>
      <c r="O215" s="973" t="n"/>
      <c r="P215" s="973" t="n"/>
    </row>
    <row r="216">
      <c r="A216" s="973" t="inlineStr">
        <is>
          <t>Cybercriminal</t>
        </is>
      </c>
      <c r="B216" s="973" t="inlineStr">
        <is>
          <t>Critical business-service disruption</t>
        </is>
      </c>
      <c r="C216" s="973" t="inlineStr">
        <is>
          <t>Identity and credential compromise</t>
        </is>
      </c>
      <c r="D216" s="973" t="inlineStr">
        <is>
          <t>T1657</t>
        </is>
      </c>
      <c r="E216" s="973" t="inlineStr">
        <is>
          <t>Financial Theft</t>
        </is>
      </c>
      <c r="F216" s="973" t="inlineStr">
        <is>
          <t>S5</t>
        </is>
      </c>
      <c r="G216" s="973" t="b">
        <v>1</v>
      </c>
      <c r="H216" s="973" t="b">
        <v>0</v>
      </c>
      <c r="I216" s="973" t="b">
        <v>0</v>
      </c>
      <c r="J216" s="973" t="n">
        <v>0.8</v>
      </c>
      <c r="K216" s="973" t="n">
        <v>0.275654296875</v>
      </c>
      <c r="L216" s="973" t="n">
        <v>0.275654296875</v>
      </c>
      <c r="M216" s="973" t="inlineStr">
        <is>
          <t>SaaS; Office Suite; Identity Provider</t>
        </is>
      </c>
      <c r="N216" s="973" t="inlineStr">
        <is>
          <t>https://attack.mitre.org/techniques/T1657/</t>
        </is>
      </c>
      <c r="O216" s="973" t="n"/>
      <c r="P216" s="973" t="n"/>
    </row>
    <row r="217">
      <c r="A217" s="973" t="inlineStr">
        <is>
          <t>Cybercriminal</t>
        </is>
      </c>
      <c r="B217" s="973" t="inlineStr">
        <is>
          <t>Critical business-service disruption</t>
        </is>
      </c>
      <c r="C217" s="973" t="inlineStr">
        <is>
          <t>Identity and credential compromise</t>
        </is>
      </c>
      <c r="D217" s="973" t="inlineStr">
        <is>
          <t>T1565</t>
        </is>
      </c>
      <c r="E217" s="973" t="inlineStr">
        <is>
          <t>Data Manipulation</t>
        </is>
      </c>
      <c r="F217" s="973" t="inlineStr">
        <is>
          <t>S5</t>
        </is>
      </c>
      <c r="G217" s="973" t="b">
        <v>1</v>
      </c>
      <c r="H217" s="973" t="b">
        <v>1</v>
      </c>
      <c r="I217" s="973" t="b">
        <v>1</v>
      </c>
      <c r="J217" s="973" t="n">
        <v>0.5</v>
      </c>
      <c r="K217" s="973" t="n">
        <v>0.2206064987182617</v>
      </c>
      <c r="L217" s="973" t="n">
        <v>0.2206064987182617</v>
      </c>
      <c r="M217" s="973" t="inlineStr">
        <is>
          <t>SaaS; Databases; Windows</t>
        </is>
      </c>
      <c r="N217" s="973" t="inlineStr">
        <is>
          <t>https://attack.mitre.org/techniques/T1565/</t>
        </is>
      </c>
      <c r="O217" s="973" t="n"/>
      <c r="P217" s="973" t="n"/>
    </row>
    <row r="218">
      <c r="A218" s="973" t="inlineStr">
        <is>
          <t>Cybercriminal</t>
        </is>
      </c>
      <c r="B218" s="973" t="inlineStr">
        <is>
          <t>Critical business-service disruption</t>
        </is>
      </c>
      <c r="C218" s="973" t="inlineStr">
        <is>
          <t>Identity and credential compromise</t>
        </is>
      </c>
      <c r="D218" s="973" t="inlineStr">
        <is>
          <t>T1486</t>
        </is>
      </c>
      <c r="E218" s="973" t="inlineStr">
        <is>
          <t>Data Encrypted for Impact</t>
        </is>
      </c>
      <c r="F218" s="973" t="inlineStr">
        <is>
          <t>S5</t>
        </is>
      </c>
      <c r="G218" s="973" t="b">
        <v>1</v>
      </c>
      <c r="H218" s="973" t="b">
        <v>1</v>
      </c>
      <c r="I218" s="973" t="b">
        <v>1</v>
      </c>
      <c r="J218" s="973" t="n">
        <v>0.7</v>
      </c>
      <c r="K218" s="973" t="n">
        <v>0.16875</v>
      </c>
      <c r="L218" s="973" t="n">
        <v>0.16875</v>
      </c>
      <c r="M218" s="973" t="inlineStr">
        <is>
          <t>Windows; Linux; IaaS</t>
        </is>
      </c>
      <c r="N218" s="973" t="inlineStr">
        <is>
          <t>https://attack.mitre.org/techniques/T1486/</t>
        </is>
      </c>
      <c r="O218" s="973" t="n"/>
      <c r="P218" s="973" t="n"/>
    </row>
    <row r="219">
      <c r="A219" s="973" t="inlineStr">
        <is>
          <t>Cybercriminal</t>
        </is>
      </c>
      <c r="B219" s="973" t="inlineStr">
        <is>
          <t>Critical business-service disruption</t>
        </is>
      </c>
      <c r="C219" s="973" t="inlineStr">
        <is>
          <t>Identity and credential compromise</t>
        </is>
      </c>
      <c r="D219" s="973" t="inlineStr">
        <is>
          <t>T1490</t>
        </is>
      </c>
      <c r="E219" s="973" t="inlineStr">
        <is>
          <t>Inhibit System Recovery</t>
        </is>
      </c>
      <c r="F219" s="973" t="inlineStr">
        <is>
          <t>S5</t>
        </is>
      </c>
      <c r="G219" s="973" t="b">
        <v>1</v>
      </c>
      <c r="H219" s="973" t="b">
        <v>1</v>
      </c>
      <c r="I219" s="973" t="b">
        <v>1</v>
      </c>
      <c r="J219" s="973" t="n">
        <v>0.6</v>
      </c>
      <c r="K219" s="973" t="n">
        <v>0</v>
      </c>
      <c r="L219" s="973" t="n">
        <v>0</v>
      </c>
      <c r="M219" s="973" t="inlineStr">
        <is>
          <t>Windows; Linux; IaaS</t>
        </is>
      </c>
      <c r="N219" s="973" t="inlineStr">
        <is>
          <t>https://attack.mitre.org/techniques/T1490/</t>
        </is>
      </c>
      <c r="O219" s="973" t="n"/>
      <c r="P219" s="973" t="n"/>
    </row>
    <row r="220">
      <c r="A220" s="973" t="inlineStr">
        <is>
          <t>Cybercriminal</t>
        </is>
      </c>
      <c r="B220" s="973" t="inlineStr">
        <is>
          <t>Critical business-service disruption</t>
        </is>
      </c>
      <c r="C220" s="973" t="inlineStr">
        <is>
          <t>User endpoint and social engineering</t>
        </is>
      </c>
      <c r="D220" s="973" t="inlineStr">
        <is>
          <t>T1566</t>
        </is>
      </c>
      <c r="E220" s="973" t="inlineStr">
        <is>
          <t>Phishing</t>
        </is>
      </c>
      <c r="F220" s="973" t="inlineStr">
        <is>
          <t>S1</t>
        </is>
      </c>
      <c r="G220" s="973" t="b">
        <v>1</v>
      </c>
      <c r="H220" s="973" t="b">
        <v>1</v>
      </c>
      <c r="I220" s="973" t="b">
        <v>1</v>
      </c>
      <c r="J220" s="973" t="n">
        <v>1</v>
      </c>
      <c r="K220" s="973" t="n">
        <v>0.20625</v>
      </c>
      <c r="L220" s="973" t="n">
        <v>0.20625</v>
      </c>
      <c r="M220" s="973" t="inlineStr">
        <is>
          <t>Windows; SaaS; Office Suite</t>
        </is>
      </c>
      <c r="N220" s="973" t="inlineStr">
        <is>
          <t>https://attack.mitre.org/techniques/T1566/</t>
        </is>
      </c>
      <c r="O220" s="973" t="n"/>
      <c r="P220" s="973" t="n"/>
    </row>
    <row r="221">
      <c r="A221" s="973" t="inlineStr">
        <is>
          <t>Cybercriminal</t>
        </is>
      </c>
      <c r="B221" s="973" t="inlineStr">
        <is>
          <t>Critical business-service disruption</t>
        </is>
      </c>
      <c r="C221" s="973" t="inlineStr">
        <is>
          <t>User endpoint and social engineering</t>
        </is>
      </c>
      <c r="D221" s="973" t="inlineStr">
        <is>
          <t>T1203</t>
        </is>
      </c>
      <c r="E221" s="973" t="inlineStr">
        <is>
          <t>Exploitation for Client Execution</t>
        </is>
      </c>
      <c r="F221" s="973" t="inlineStr">
        <is>
          <t>S2</t>
        </is>
      </c>
      <c r="G221" s="973" t="b">
        <v>1</v>
      </c>
      <c r="H221" s="973" t="b">
        <v>1</v>
      </c>
      <c r="I221" s="973" t="b">
        <v>1</v>
      </c>
      <c r="J221" s="973" t="n">
        <v>0.8</v>
      </c>
      <c r="K221" s="973" t="n">
        <v>0.2404920959472656</v>
      </c>
      <c r="L221" s="973" t="n">
        <v>0.2404920959472656</v>
      </c>
      <c r="M221" s="973" t="inlineStr">
        <is>
          <t>Windows; macOS; Linux</t>
        </is>
      </c>
      <c r="N221" s="973" t="inlineStr">
        <is>
          <t>https://attack.mitre.org/techniques/T1203/</t>
        </is>
      </c>
      <c r="O221" s="973" t="n"/>
      <c r="P221" s="973" t="n"/>
    </row>
    <row r="222">
      <c r="A222" s="973" t="inlineStr">
        <is>
          <t>Cybercriminal</t>
        </is>
      </c>
      <c r="B222" s="973" t="inlineStr">
        <is>
          <t>Critical business-service disruption</t>
        </is>
      </c>
      <c r="C222" s="973" t="inlineStr">
        <is>
          <t>User endpoint and social engineering</t>
        </is>
      </c>
      <c r="D222" s="973" t="inlineStr">
        <is>
          <t>T1059</t>
        </is>
      </c>
      <c r="E222" s="973" t="inlineStr">
        <is>
          <t>Command and Scripting Interpreter</t>
        </is>
      </c>
      <c r="F222" s="973" t="inlineStr">
        <is>
          <t>S2</t>
        </is>
      </c>
      <c r="G222" s="973" t="b">
        <v>1</v>
      </c>
      <c r="H222" s="973" t="b">
        <v>1</v>
      </c>
      <c r="I222" s="973" t="b">
        <v>1</v>
      </c>
      <c r="J222" s="973" t="n">
        <v>0.9</v>
      </c>
      <c r="K222" s="973" t="n">
        <v>0.1875</v>
      </c>
      <c r="L222" s="973" t="n">
        <v>0.1875</v>
      </c>
      <c r="M222" s="973" t="inlineStr">
        <is>
          <t>Windows; macOS; Linux; IaaS</t>
        </is>
      </c>
      <c r="N222" s="973" t="inlineStr">
        <is>
          <t>https://attack.mitre.org/techniques/T1059/</t>
        </is>
      </c>
      <c r="O222" s="973" t="n"/>
      <c r="P222" s="973" t="n"/>
    </row>
    <row r="223">
      <c r="A223" s="973" t="inlineStr">
        <is>
          <t>Cybercriminal</t>
        </is>
      </c>
      <c r="B223" s="973" t="inlineStr">
        <is>
          <t>Critical business-service disruption</t>
        </is>
      </c>
      <c r="C223" s="973" t="inlineStr">
        <is>
          <t>User endpoint and social engineering</t>
        </is>
      </c>
      <c r="D223" s="973" t="inlineStr">
        <is>
          <t>T1068</t>
        </is>
      </c>
      <c r="E223" s="973" t="inlineStr">
        <is>
          <t>Exploitation for Privilege Escalation</t>
        </is>
      </c>
      <c r="F223" s="973" t="inlineStr">
        <is>
          <t>S3</t>
        </is>
      </c>
      <c r="G223" s="973" t="b">
        <v>1</v>
      </c>
      <c r="H223" s="973" t="b">
        <v>1</v>
      </c>
      <c r="I223" s="973" t="b">
        <v>1</v>
      </c>
      <c r="J223" s="973" t="n">
        <v>0.7</v>
      </c>
      <c r="K223" s="973" t="n">
        <v>0.2094165115356445</v>
      </c>
      <c r="L223" s="973" t="n">
        <v>0.2094165115356445</v>
      </c>
      <c r="M223" s="973" t="inlineStr">
        <is>
          <t>Windows; macOS; Linux</t>
        </is>
      </c>
      <c r="N223" s="973" t="inlineStr">
        <is>
          <t>https://attack.mitre.org/techniques/T1068/</t>
        </is>
      </c>
      <c r="O223" s="973" t="n"/>
      <c r="P223" s="973" t="n"/>
    </row>
    <row r="224">
      <c r="A224" s="973" t="inlineStr">
        <is>
          <t>Cybercriminal</t>
        </is>
      </c>
      <c r="B224" s="973" t="inlineStr">
        <is>
          <t>Critical business-service disruption</t>
        </is>
      </c>
      <c r="C224" s="973" t="inlineStr">
        <is>
          <t>User endpoint and social engineering</t>
        </is>
      </c>
      <c r="D224" s="973" t="inlineStr">
        <is>
          <t>T1003</t>
        </is>
      </c>
      <c r="E224" s="973" t="inlineStr">
        <is>
          <t>OS Credential Dumping</t>
        </is>
      </c>
      <c r="F224" s="973" t="inlineStr">
        <is>
          <t>S3</t>
        </is>
      </c>
      <c r="G224" s="973" t="b">
        <v>1</v>
      </c>
      <c r="H224" s="973" t="b">
        <v>1</v>
      </c>
      <c r="I224" s="973" t="b">
        <v>1</v>
      </c>
      <c r="J224" s="973" t="n">
        <v>0.8</v>
      </c>
      <c r="K224" s="973" t="n">
        <v>0.232294921875</v>
      </c>
      <c r="L224" s="973" t="n">
        <v>0.232294921875</v>
      </c>
      <c r="M224" s="973" t="inlineStr">
        <is>
          <t>Windows; Linux; macOS</t>
        </is>
      </c>
      <c r="N224" s="973" t="inlineStr">
        <is>
          <t>https://attack.mitre.org/techniques/T1003/</t>
        </is>
      </c>
      <c r="O224" s="973" t="n"/>
      <c r="P224" s="973" t="n"/>
    </row>
    <row r="225">
      <c r="A225" s="973" t="inlineStr">
        <is>
          <t>Cybercriminal</t>
        </is>
      </c>
      <c r="B225" s="973" t="inlineStr">
        <is>
          <t>Critical business-service disruption</t>
        </is>
      </c>
      <c r="C225" s="973" t="inlineStr">
        <is>
          <t>User endpoint and social engineering</t>
        </is>
      </c>
      <c r="D225" s="973" t="inlineStr">
        <is>
          <t>T1046</t>
        </is>
      </c>
      <c r="E225" s="973" t="inlineStr">
        <is>
          <t>Network Service Discovery</t>
        </is>
      </c>
      <c r="F225" s="973" t="inlineStr">
        <is>
          <t>S4</t>
        </is>
      </c>
      <c r="G225" s="973" t="b">
        <v>1</v>
      </c>
      <c r="H225" s="973" t="b">
        <v>1</v>
      </c>
      <c r="I225" s="973" t="b">
        <v>1</v>
      </c>
      <c r="J225" s="973" t="n">
        <v>0.6</v>
      </c>
      <c r="K225" s="973" t="n">
        <v>0.16875</v>
      </c>
      <c r="L225" s="973" t="n">
        <v>0.16875</v>
      </c>
      <c r="M225" s="973" t="inlineStr">
        <is>
          <t>Network Devices; Windows; Linux</t>
        </is>
      </c>
      <c r="N225" s="973" t="inlineStr">
        <is>
          <t>https://attack.mitre.org/techniques/T1046/</t>
        </is>
      </c>
      <c r="O225" s="973" t="n"/>
      <c r="P225" s="973" t="n"/>
    </row>
    <row r="226">
      <c r="A226" s="973" t="inlineStr">
        <is>
          <t>Cybercriminal</t>
        </is>
      </c>
      <c r="B226" s="973" t="inlineStr">
        <is>
          <t>Critical business-service disruption</t>
        </is>
      </c>
      <c r="C226" s="973" t="inlineStr">
        <is>
          <t>User endpoint and social engineering</t>
        </is>
      </c>
      <c r="D226" s="973" t="inlineStr">
        <is>
          <t>T1021</t>
        </is>
      </c>
      <c r="E226" s="973" t="inlineStr">
        <is>
          <t>Remote Services</t>
        </is>
      </c>
      <c r="F226" s="973" t="inlineStr">
        <is>
          <t>S4</t>
        </is>
      </c>
      <c r="G226" s="973" t="b">
        <v>1</v>
      </c>
      <c r="H226" s="973" t="b">
        <v>1</v>
      </c>
      <c r="I226" s="973" t="b">
        <v>1</v>
      </c>
      <c r="J226" s="973" t="n">
        <v>0.8</v>
      </c>
      <c r="K226" s="973" t="n">
        <v>0.1875</v>
      </c>
      <c r="L226" s="973" t="n">
        <v>0.1875</v>
      </c>
      <c r="M226" s="973" t="inlineStr">
        <is>
          <t>Windows; Linux; Network Devices</t>
        </is>
      </c>
      <c r="N226" s="973" t="inlineStr">
        <is>
          <t>https://attack.mitre.org/techniques/T1021/</t>
        </is>
      </c>
      <c r="O226" s="973" t="n"/>
      <c r="P226" s="973" t="n"/>
    </row>
    <row r="227">
      <c r="A227" s="973" t="inlineStr">
        <is>
          <t>Cybercriminal</t>
        </is>
      </c>
      <c r="B227" s="973" t="inlineStr">
        <is>
          <t>Critical business-service disruption</t>
        </is>
      </c>
      <c r="C227" s="973" t="inlineStr">
        <is>
          <t>User endpoint and social engineering</t>
        </is>
      </c>
      <c r="D227" s="973" t="inlineStr">
        <is>
          <t>T1213</t>
        </is>
      </c>
      <c r="E227" s="973" t="inlineStr">
        <is>
          <t>Data from Information Repositories</t>
        </is>
      </c>
      <c r="F227" s="973" t="inlineStr">
        <is>
          <t>S4</t>
        </is>
      </c>
      <c r="G227" s="973" t="b">
        <v>1</v>
      </c>
      <c r="H227" s="973" t="b">
        <v>0</v>
      </c>
      <c r="I227" s="973" t="b">
        <v>0</v>
      </c>
      <c r="J227" s="973" t="n">
        <v>0.7</v>
      </c>
      <c r="K227" s="973" t="n">
        <v>0.177890625</v>
      </c>
      <c r="L227" s="973" t="n">
        <v>0.177890625</v>
      </c>
      <c r="M227" s="973" t="inlineStr">
        <is>
          <t>SaaS; Office Suite; Windows</t>
        </is>
      </c>
      <c r="N227" s="973" t="inlineStr">
        <is>
          <t>https://attack.mitre.org/techniques/T1213/</t>
        </is>
      </c>
      <c r="O227" s="973" t="n"/>
      <c r="P227" s="973" t="n"/>
    </row>
    <row r="228">
      <c r="A228" s="973" t="inlineStr">
        <is>
          <t>Cybercriminal</t>
        </is>
      </c>
      <c r="B228" s="973" t="inlineStr">
        <is>
          <t>Critical business-service disruption</t>
        </is>
      </c>
      <c r="C228" s="973" t="inlineStr">
        <is>
          <t>User endpoint and social engineering</t>
        </is>
      </c>
      <c r="D228" s="973" t="inlineStr">
        <is>
          <t>T1486</t>
        </is>
      </c>
      <c r="E228" s="973" t="inlineStr">
        <is>
          <t>Data Encrypted for Impact</t>
        </is>
      </c>
      <c r="F228" s="973" t="inlineStr">
        <is>
          <t>S5</t>
        </is>
      </c>
      <c r="G228" s="973" t="b">
        <v>1</v>
      </c>
      <c r="H228" s="973" t="b">
        <v>1</v>
      </c>
      <c r="I228" s="973" t="b">
        <v>1</v>
      </c>
      <c r="J228" s="973" t="n">
        <v>0.8</v>
      </c>
      <c r="K228" s="973" t="n">
        <v>0.16875</v>
      </c>
      <c r="L228" s="973" t="n">
        <v>0.16875</v>
      </c>
      <c r="M228" s="973" t="inlineStr">
        <is>
          <t>Windows; Linux; IaaS</t>
        </is>
      </c>
      <c r="N228" s="973" t="inlineStr">
        <is>
          <t>https://attack.mitre.org/techniques/T1486/</t>
        </is>
      </c>
      <c r="O228" s="973" t="n"/>
      <c r="P228" s="973" t="n"/>
    </row>
    <row r="229">
      <c r="A229" s="973" t="inlineStr">
        <is>
          <t>Cybercriminal</t>
        </is>
      </c>
      <c r="B229" s="973" t="inlineStr">
        <is>
          <t>Critical business-service disruption</t>
        </is>
      </c>
      <c r="C229" s="973" t="inlineStr">
        <is>
          <t>User endpoint and social engineering</t>
        </is>
      </c>
      <c r="D229" s="973" t="inlineStr">
        <is>
          <t>T1490</t>
        </is>
      </c>
      <c r="E229" s="973" t="inlineStr">
        <is>
          <t>Inhibit System Recovery</t>
        </is>
      </c>
      <c r="F229" s="973" t="inlineStr">
        <is>
          <t>S5</t>
        </is>
      </c>
      <c r="G229" s="973" t="b">
        <v>1</v>
      </c>
      <c r="H229" s="973" t="b">
        <v>1</v>
      </c>
      <c r="I229" s="973" t="b">
        <v>1</v>
      </c>
      <c r="J229" s="973" t="n">
        <v>0.7</v>
      </c>
      <c r="K229" s="973" t="n">
        <v>0</v>
      </c>
      <c r="L229" s="973" t="n">
        <v>0</v>
      </c>
      <c r="M229" s="973" t="inlineStr">
        <is>
          <t>Windows; Linux; IaaS</t>
        </is>
      </c>
      <c r="N229" s="973" t="inlineStr">
        <is>
          <t>https://attack.mitre.org/techniques/T1490/</t>
        </is>
      </c>
      <c r="O229" s="973" t="n"/>
      <c r="P229" s="973" t="n"/>
    </row>
    <row r="230">
      <c r="A230" s="973" t="inlineStr">
        <is>
          <t>Cybercriminal</t>
        </is>
      </c>
      <c r="B230" s="973" t="inlineStr">
        <is>
          <t>Critical business-service disruption</t>
        </is>
      </c>
      <c r="C230" s="973" t="inlineStr">
        <is>
          <t>User endpoint and social engineering</t>
        </is>
      </c>
      <c r="D230" s="973" t="inlineStr">
        <is>
          <t>T1567</t>
        </is>
      </c>
      <c r="E230" s="973" t="inlineStr">
        <is>
          <t>Exfiltration Over Web Service</t>
        </is>
      </c>
      <c r="F230" s="973" t="inlineStr">
        <is>
          <t>S5</t>
        </is>
      </c>
      <c r="G230" s="973" t="b">
        <v>1</v>
      </c>
      <c r="H230" s="973" t="b">
        <v>0</v>
      </c>
      <c r="I230" s="973" t="b">
        <v>0</v>
      </c>
      <c r="J230" s="973" t="n">
        <v>0.7</v>
      </c>
      <c r="K230" s="973" t="n">
        <v>0.20625</v>
      </c>
      <c r="L230" s="973" t="n">
        <v>0.20625</v>
      </c>
      <c r="M230" s="973" t="inlineStr">
        <is>
          <t>SaaS; Office Suite</t>
        </is>
      </c>
      <c r="N230" s="973" t="inlineStr">
        <is>
          <t>https://attack.mitre.org/techniques/T1567/</t>
        </is>
      </c>
      <c r="O230" s="973" t="n"/>
      <c r="P230" s="973" t="n"/>
    </row>
    <row r="231">
      <c r="A231" s="973" t="inlineStr">
        <is>
          <t>Cybercriminal</t>
        </is>
      </c>
      <c r="B231" s="973" t="inlineStr">
        <is>
          <t>Critical business-service disruption</t>
        </is>
      </c>
      <c r="C231" s="973" t="inlineStr">
        <is>
          <t>User endpoint and social engineering</t>
        </is>
      </c>
      <c r="D231" s="973" t="inlineStr">
        <is>
          <t>T1657</t>
        </is>
      </c>
      <c r="E231" s="973" t="inlineStr">
        <is>
          <t>Financial Theft</t>
        </is>
      </c>
      <c r="F231" s="973" t="inlineStr">
        <is>
          <t>S5</t>
        </is>
      </c>
      <c r="G231" s="973" t="b">
        <v>1</v>
      </c>
      <c r="H231" s="973" t="b">
        <v>0</v>
      </c>
      <c r="I231" s="973" t="b">
        <v>0</v>
      </c>
      <c r="J231" s="973" t="n">
        <v>0.5</v>
      </c>
      <c r="K231" s="973" t="n">
        <v>0.275654296875</v>
      </c>
      <c r="L231" s="973" t="n">
        <v>0.275654296875</v>
      </c>
      <c r="M231" s="973" t="inlineStr">
        <is>
          <t>SaaS; Office Suite; Identity Provider</t>
        </is>
      </c>
      <c r="N231" s="973" t="inlineStr">
        <is>
          <t>https://attack.mitre.org/techniques/T1657/</t>
        </is>
      </c>
      <c r="O231" s="973" t="n"/>
      <c r="P231" s="973" t="n"/>
    </row>
    <row r="232">
      <c r="A232" s="973" t="inlineStr">
        <is>
          <t>Cybercriminal</t>
        </is>
      </c>
      <c r="B232" s="973" t="inlineStr">
        <is>
          <t>Critical business-service disruption</t>
        </is>
      </c>
      <c r="C232" s="973" t="inlineStr">
        <is>
          <t>User endpoint and social engineering</t>
        </is>
      </c>
      <c r="D232" s="973" t="inlineStr">
        <is>
          <t>T1565</t>
        </is>
      </c>
      <c r="E232" s="973" t="inlineStr">
        <is>
          <t>Data Manipulation</t>
        </is>
      </c>
      <c r="F232" s="973" t="inlineStr">
        <is>
          <t>S5</t>
        </is>
      </c>
      <c r="G232" s="973" t="b">
        <v>1</v>
      </c>
      <c r="H232" s="973" t="b">
        <v>1</v>
      </c>
      <c r="I232" s="973" t="b">
        <v>1</v>
      </c>
      <c r="J232" s="973" t="n">
        <v>0.5</v>
      </c>
      <c r="K232" s="973" t="n">
        <v>0.2206064987182617</v>
      </c>
      <c r="L232" s="973" t="n">
        <v>0.2206064987182617</v>
      </c>
      <c r="M232" s="973" t="inlineStr">
        <is>
          <t>SaaS; Databases; Windows</t>
        </is>
      </c>
      <c r="N232" s="973" t="inlineStr">
        <is>
          <t>https://attack.mitre.org/techniques/T1565/</t>
        </is>
      </c>
      <c r="O232" s="973" t="n"/>
      <c r="P232" s="973" t="n"/>
    </row>
    <row r="233">
      <c r="A233" s="973" t="inlineStr">
        <is>
          <t>Cybercriminal</t>
        </is>
      </c>
      <c r="B233" s="973" t="inlineStr">
        <is>
          <t>Critical business-service disruption</t>
        </is>
      </c>
      <c r="C233" s="973" t="inlineStr">
        <is>
          <t>Public-facing application exploitation</t>
        </is>
      </c>
      <c r="D233" s="973" t="inlineStr">
        <is>
          <t>T1190</t>
        </is>
      </c>
      <c r="E233" s="973" t="inlineStr">
        <is>
          <t>Exploit Public-Facing Application</t>
        </is>
      </c>
      <c r="F233" s="973" t="inlineStr">
        <is>
          <t>S1</t>
        </is>
      </c>
      <c r="G233" s="973" t="b">
        <v>1</v>
      </c>
      <c r="H233" s="973" t="b">
        <v>1</v>
      </c>
      <c r="I233" s="973" t="b">
        <v>1</v>
      </c>
      <c r="J233" s="973" t="n">
        <v>1</v>
      </c>
      <c r="K233" s="973" t="n">
        <v>0.2496630477905274</v>
      </c>
      <c r="L233" s="973" t="n">
        <v>0.2496630477905274</v>
      </c>
      <c r="M233" s="973" t="inlineStr">
        <is>
          <t>Network Devices; SaaS; IaaS</t>
        </is>
      </c>
      <c r="N233" s="973" t="inlineStr">
        <is>
          <t>https://attack.mitre.org/techniques/T1190/</t>
        </is>
      </c>
      <c r="O233" s="973" t="n"/>
      <c r="P233" s="973" t="n"/>
    </row>
    <row r="234">
      <c r="A234" s="973" t="inlineStr">
        <is>
          <t>Cybercriminal</t>
        </is>
      </c>
      <c r="B234" s="973" t="inlineStr">
        <is>
          <t>Critical business-service disruption</t>
        </is>
      </c>
      <c r="C234" s="973" t="inlineStr">
        <is>
          <t>Public-facing application exploitation</t>
        </is>
      </c>
      <c r="D234" s="973" t="inlineStr">
        <is>
          <t>T1059</t>
        </is>
      </c>
      <c r="E234" s="973" t="inlineStr">
        <is>
          <t>Command and Scripting Interpreter</t>
        </is>
      </c>
      <c r="F234" s="973" t="inlineStr">
        <is>
          <t>S2</t>
        </is>
      </c>
      <c r="G234" s="973" t="b">
        <v>1</v>
      </c>
      <c r="H234" s="973" t="b">
        <v>1</v>
      </c>
      <c r="I234" s="973" t="b">
        <v>1</v>
      </c>
      <c r="J234" s="973" t="n">
        <v>0.8</v>
      </c>
      <c r="K234" s="973" t="n">
        <v>0.1875</v>
      </c>
      <c r="L234" s="973" t="n">
        <v>0.1875</v>
      </c>
      <c r="M234" s="973" t="inlineStr">
        <is>
          <t>Windows; macOS; Linux; IaaS</t>
        </is>
      </c>
      <c r="N234" s="973" t="inlineStr">
        <is>
          <t>https://attack.mitre.org/techniques/T1059/</t>
        </is>
      </c>
      <c r="O234" s="973" t="n"/>
      <c r="P234" s="973" t="n"/>
    </row>
    <row r="235">
      <c r="A235" s="973" t="inlineStr">
        <is>
          <t>Cybercriminal</t>
        </is>
      </c>
      <c r="B235" s="973" t="inlineStr">
        <is>
          <t>Critical business-service disruption</t>
        </is>
      </c>
      <c r="C235" s="973" t="inlineStr">
        <is>
          <t>Public-facing application exploitation</t>
        </is>
      </c>
      <c r="D235" s="973" t="inlineStr">
        <is>
          <t>T1068</t>
        </is>
      </c>
      <c r="E235" s="973" t="inlineStr">
        <is>
          <t>Exploitation for Privilege Escalation</t>
        </is>
      </c>
      <c r="F235" s="973" t="inlineStr">
        <is>
          <t>S3</t>
        </is>
      </c>
      <c r="G235" s="973" t="b">
        <v>1</v>
      </c>
      <c r="H235" s="973" t="b">
        <v>1</v>
      </c>
      <c r="I235" s="973" t="b">
        <v>1</v>
      </c>
      <c r="J235" s="973" t="n">
        <v>0.7</v>
      </c>
      <c r="K235" s="973" t="n">
        <v>0.2094165115356445</v>
      </c>
      <c r="L235" s="973" t="n">
        <v>0.2094165115356445</v>
      </c>
      <c r="M235" s="973" t="inlineStr">
        <is>
          <t>Windows; macOS; Linux</t>
        </is>
      </c>
      <c r="N235" s="973" t="inlineStr">
        <is>
          <t>https://attack.mitre.org/techniques/T1068/</t>
        </is>
      </c>
      <c r="O235" s="973" t="n"/>
      <c r="P235" s="973" t="n"/>
    </row>
    <row r="236">
      <c r="A236" s="973" t="inlineStr">
        <is>
          <t>Cybercriminal</t>
        </is>
      </c>
      <c r="B236" s="973" t="inlineStr">
        <is>
          <t>Critical business-service disruption</t>
        </is>
      </c>
      <c r="C236" s="973" t="inlineStr">
        <is>
          <t>Public-facing application exploitation</t>
        </is>
      </c>
      <c r="D236" s="973" t="inlineStr">
        <is>
          <t>T1003</t>
        </is>
      </c>
      <c r="E236" s="973" t="inlineStr">
        <is>
          <t>OS Credential Dumping</t>
        </is>
      </c>
      <c r="F236" s="973" t="inlineStr">
        <is>
          <t>S3</t>
        </is>
      </c>
      <c r="G236" s="973" t="b">
        <v>1</v>
      </c>
      <c r="H236" s="973" t="b">
        <v>1</v>
      </c>
      <c r="I236" s="973" t="b">
        <v>1</v>
      </c>
      <c r="J236" s="973" t="n">
        <v>0.6</v>
      </c>
      <c r="K236" s="973" t="n">
        <v>0.232294921875</v>
      </c>
      <c r="L236" s="973" t="n">
        <v>0.232294921875</v>
      </c>
      <c r="M236" s="973" t="inlineStr">
        <is>
          <t>Windows; Linux; macOS</t>
        </is>
      </c>
      <c r="N236" s="973" t="inlineStr">
        <is>
          <t>https://attack.mitre.org/techniques/T1003/</t>
        </is>
      </c>
      <c r="O236" s="973" t="n"/>
      <c r="P236" s="973" t="n"/>
    </row>
    <row r="237">
      <c r="A237" s="973" t="inlineStr">
        <is>
          <t>Cybercriminal</t>
        </is>
      </c>
      <c r="B237" s="973" t="inlineStr">
        <is>
          <t>Critical business-service disruption</t>
        </is>
      </c>
      <c r="C237" s="973" t="inlineStr">
        <is>
          <t>Public-facing application exploitation</t>
        </is>
      </c>
      <c r="D237" s="973" t="inlineStr">
        <is>
          <t>T1046</t>
        </is>
      </c>
      <c r="E237" s="973" t="inlineStr">
        <is>
          <t>Network Service Discovery</t>
        </is>
      </c>
      <c r="F237" s="973" t="inlineStr">
        <is>
          <t>S4</t>
        </is>
      </c>
      <c r="G237" s="973" t="b">
        <v>1</v>
      </c>
      <c r="H237" s="973" t="b">
        <v>1</v>
      </c>
      <c r="I237" s="973" t="b">
        <v>1</v>
      </c>
      <c r="J237" s="973" t="n">
        <v>0.7</v>
      </c>
      <c r="K237" s="973" t="n">
        <v>0.16875</v>
      </c>
      <c r="L237" s="973" t="n">
        <v>0.16875</v>
      </c>
      <c r="M237" s="973" t="inlineStr">
        <is>
          <t>Network Devices; Windows; Linux</t>
        </is>
      </c>
      <c r="N237" s="973" t="inlineStr">
        <is>
          <t>https://attack.mitre.org/techniques/T1046/</t>
        </is>
      </c>
      <c r="O237" s="973" t="n"/>
      <c r="P237" s="973" t="n"/>
    </row>
    <row r="238">
      <c r="A238" s="973" t="inlineStr">
        <is>
          <t>Cybercriminal</t>
        </is>
      </c>
      <c r="B238" s="973" t="inlineStr">
        <is>
          <t>Critical business-service disruption</t>
        </is>
      </c>
      <c r="C238" s="973" t="inlineStr">
        <is>
          <t>Public-facing application exploitation</t>
        </is>
      </c>
      <c r="D238" s="973" t="inlineStr">
        <is>
          <t>T1210</t>
        </is>
      </c>
      <c r="E238" s="973" t="inlineStr">
        <is>
          <t>Exploitation of Remote Services</t>
        </is>
      </c>
      <c r="F238" s="973" t="inlineStr">
        <is>
          <t>S4</t>
        </is>
      </c>
      <c r="G238" s="973" t="b">
        <v>1</v>
      </c>
      <c r="H238" s="973" t="b">
        <v>1</v>
      </c>
      <c r="I238" s="973" t="b">
        <v>1</v>
      </c>
      <c r="J238" s="973" t="n">
        <v>0.9</v>
      </c>
      <c r="K238" s="973" t="n">
        <v>0.2103495368957519</v>
      </c>
      <c r="L238" s="973" t="n">
        <v>0.2103495368957519</v>
      </c>
      <c r="M238" s="973" t="inlineStr">
        <is>
          <t>Windows; Linux; Network Devices</t>
        </is>
      </c>
      <c r="N238" s="973" t="inlineStr">
        <is>
          <t>https://attack.mitre.org/techniques/T1210/</t>
        </is>
      </c>
      <c r="O238" s="973" t="n"/>
      <c r="P238" s="973" t="n"/>
    </row>
    <row r="239">
      <c r="A239" s="973" t="inlineStr">
        <is>
          <t>Cybercriminal</t>
        </is>
      </c>
      <c r="B239" s="973" t="inlineStr">
        <is>
          <t>Critical business-service disruption</t>
        </is>
      </c>
      <c r="C239" s="973" t="inlineStr">
        <is>
          <t>Public-facing application exploitation</t>
        </is>
      </c>
      <c r="D239" s="973" t="inlineStr">
        <is>
          <t>T1021</t>
        </is>
      </c>
      <c r="E239" s="973" t="inlineStr">
        <is>
          <t>Remote Services</t>
        </is>
      </c>
      <c r="F239" s="973" t="inlineStr">
        <is>
          <t>S4</t>
        </is>
      </c>
      <c r="G239" s="973" t="b">
        <v>1</v>
      </c>
      <c r="H239" s="973" t="b">
        <v>1</v>
      </c>
      <c r="I239" s="973" t="b">
        <v>1</v>
      </c>
      <c r="J239" s="973" t="n">
        <v>0.7</v>
      </c>
      <c r="K239" s="973" t="n">
        <v>0.1875</v>
      </c>
      <c r="L239" s="973" t="n">
        <v>0.1875</v>
      </c>
      <c r="M239" s="973" t="inlineStr">
        <is>
          <t>Windows; Linux; Network Devices</t>
        </is>
      </c>
      <c r="N239" s="973" t="inlineStr">
        <is>
          <t>https://attack.mitre.org/techniques/T1021/</t>
        </is>
      </c>
      <c r="O239" s="973" t="n"/>
      <c r="P239" s="973" t="n"/>
    </row>
    <row r="240">
      <c r="A240" s="973" t="inlineStr">
        <is>
          <t>Cybercriminal</t>
        </is>
      </c>
      <c r="B240" s="973" t="inlineStr">
        <is>
          <t>Critical business-service disruption</t>
        </is>
      </c>
      <c r="C240" s="973" t="inlineStr">
        <is>
          <t>Public-facing application exploitation</t>
        </is>
      </c>
      <c r="D240" s="973" t="inlineStr">
        <is>
          <t>T1486</t>
        </is>
      </c>
      <c r="E240" s="973" t="inlineStr">
        <is>
          <t>Data Encrypted for Impact</t>
        </is>
      </c>
      <c r="F240" s="973" t="inlineStr">
        <is>
          <t>S5</t>
        </is>
      </c>
      <c r="G240" s="973" t="b">
        <v>1</v>
      </c>
      <c r="H240" s="973" t="b">
        <v>1</v>
      </c>
      <c r="I240" s="973" t="b">
        <v>1</v>
      </c>
      <c r="J240" s="973" t="n">
        <v>0.6</v>
      </c>
      <c r="K240" s="973" t="n">
        <v>0.16875</v>
      </c>
      <c r="L240" s="973" t="n">
        <v>0.16875</v>
      </c>
      <c r="M240" s="973" t="inlineStr">
        <is>
          <t>Windows; Linux; IaaS</t>
        </is>
      </c>
      <c r="N240" s="973" t="inlineStr">
        <is>
          <t>https://attack.mitre.org/techniques/T1486/</t>
        </is>
      </c>
      <c r="O240" s="973" t="n"/>
      <c r="P240" s="973" t="n"/>
    </row>
    <row r="241">
      <c r="A241" s="973" t="inlineStr">
        <is>
          <t>Cybercriminal</t>
        </is>
      </c>
      <c r="B241" s="973" t="inlineStr">
        <is>
          <t>Critical business-service disruption</t>
        </is>
      </c>
      <c r="C241" s="973" t="inlineStr">
        <is>
          <t>Public-facing application exploitation</t>
        </is>
      </c>
      <c r="D241" s="973" t="inlineStr">
        <is>
          <t>T1490</t>
        </is>
      </c>
      <c r="E241" s="973" t="inlineStr">
        <is>
          <t>Inhibit System Recovery</t>
        </is>
      </c>
      <c r="F241" s="973" t="inlineStr">
        <is>
          <t>S5</t>
        </is>
      </c>
      <c r="G241" s="973" t="b">
        <v>1</v>
      </c>
      <c r="H241" s="973" t="b">
        <v>1</v>
      </c>
      <c r="I241" s="973" t="b">
        <v>1</v>
      </c>
      <c r="J241" s="973" t="n">
        <v>0.5</v>
      </c>
      <c r="K241" s="973" t="n">
        <v>0</v>
      </c>
      <c r="L241" s="973" t="n">
        <v>0</v>
      </c>
      <c r="M241" s="973" t="inlineStr">
        <is>
          <t>Windows; Linux; IaaS</t>
        </is>
      </c>
      <c r="N241" s="973" t="inlineStr">
        <is>
          <t>https://attack.mitre.org/techniques/T1490/</t>
        </is>
      </c>
      <c r="O241" s="973" t="n"/>
      <c r="P241" s="973" t="n"/>
    </row>
    <row r="242">
      <c r="A242" s="973" t="inlineStr">
        <is>
          <t>Cybercriminal</t>
        </is>
      </c>
      <c r="B242" s="973" t="inlineStr">
        <is>
          <t>Critical business-service disruption</t>
        </is>
      </c>
      <c r="C242" s="973" t="inlineStr">
        <is>
          <t>Public-facing application exploitation</t>
        </is>
      </c>
      <c r="D242" s="973" t="inlineStr">
        <is>
          <t>T1567</t>
        </is>
      </c>
      <c r="E242" s="973" t="inlineStr">
        <is>
          <t>Exfiltration Over Web Service</t>
        </is>
      </c>
      <c r="F242" s="973" t="inlineStr">
        <is>
          <t>S5</t>
        </is>
      </c>
      <c r="G242" s="973" t="b">
        <v>1</v>
      </c>
      <c r="H242" s="973" t="b">
        <v>0</v>
      </c>
      <c r="I242" s="973" t="b">
        <v>0</v>
      </c>
      <c r="J242" s="973" t="n">
        <v>0.6</v>
      </c>
      <c r="K242" s="973" t="n">
        <v>0.20625</v>
      </c>
      <c r="L242" s="973" t="n">
        <v>0.20625</v>
      </c>
      <c r="M242" s="973" t="inlineStr">
        <is>
          <t>SaaS; Office Suite</t>
        </is>
      </c>
      <c r="N242" s="973" t="inlineStr">
        <is>
          <t>https://attack.mitre.org/techniques/T1567/</t>
        </is>
      </c>
      <c r="O242" s="973" t="n"/>
      <c r="P242" s="973" t="n"/>
    </row>
    <row r="243">
      <c r="A243" s="973" t="inlineStr">
        <is>
          <t>Cybercriminal</t>
        </is>
      </c>
      <c r="B243" s="973" t="inlineStr">
        <is>
          <t>Critical business-service disruption</t>
        </is>
      </c>
      <c r="C243" s="973" t="inlineStr">
        <is>
          <t>Public-facing application exploitation</t>
        </is>
      </c>
      <c r="D243" s="973" t="inlineStr">
        <is>
          <t>T1565</t>
        </is>
      </c>
      <c r="E243" s="973" t="inlineStr">
        <is>
          <t>Data Manipulation</t>
        </is>
      </c>
      <c r="F243" s="973" t="inlineStr">
        <is>
          <t>S5</t>
        </is>
      </c>
      <c r="G243" s="973" t="b">
        <v>1</v>
      </c>
      <c r="H243" s="973" t="b">
        <v>1</v>
      </c>
      <c r="I243" s="973" t="b">
        <v>1</v>
      </c>
      <c r="J243" s="973" t="n">
        <v>0.6</v>
      </c>
      <c r="K243" s="973" t="n">
        <v>0.2206064987182617</v>
      </c>
      <c r="L243" s="973" t="n">
        <v>0.2206064987182617</v>
      </c>
      <c r="M243" s="973" t="inlineStr">
        <is>
          <t>SaaS; Databases; Windows</t>
        </is>
      </c>
      <c r="N243" s="973" t="inlineStr">
        <is>
          <t>https://attack.mitre.org/techniques/T1565/</t>
        </is>
      </c>
      <c r="O243" s="973" t="n"/>
      <c r="P243" s="973" t="n"/>
    </row>
    <row r="244">
      <c r="A244" s="973" t="inlineStr">
        <is>
          <t>Cybercriminal</t>
        </is>
      </c>
      <c r="B244" s="973" t="inlineStr">
        <is>
          <t>Critical business-service disruption</t>
        </is>
      </c>
      <c r="C244" s="973" t="inlineStr">
        <is>
          <t>Public-facing application exploitation</t>
        </is>
      </c>
      <c r="D244" s="973" t="inlineStr">
        <is>
          <t>T1657</t>
        </is>
      </c>
      <c r="E244" s="973" t="inlineStr">
        <is>
          <t>Financial Theft</t>
        </is>
      </c>
      <c r="F244" s="973" t="inlineStr">
        <is>
          <t>S5</t>
        </is>
      </c>
      <c r="G244" s="973" t="b">
        <v>1</v>
      </c>
      <c r="H244" s="973" t="b">
        <v>0</v>
      </c>
      <c r="I244" s="973" t="b">
        <v>0</v>
      </c>
      <c r="J244" s="973" t="n">
        <v>0.4</v>
      </c>
      <c r="K244" s="973" t="n">
        <v>0.275654296875</v>
      </c>
      <c r="L244" s="973" t="n">
        <v>0.275654296875</v>
      </c>
      <c r="M244" s="973" t="inlineStr">
        <is>
          <t>SaaS; Office Suite; Identity Provider</t>
        </is>
      </c>
      <c r="N244" s="973" t="inlineStr">
        <is>
          <t>https://attack.mitre.org/techniques/T1657/</t>
        </is>
      </c>
      <c r="O244" s="973" t="n"/>
      <c r="P244" s="973" t="n"/>
    </row>
    <row r="245">
      <c r="A245" s="973" t="inlineStr">
        <is>
          <t>Cybercriminal</t>
        </is>
      </c>
      <c r="B245" s="973" t="inlineStr">
        <is>
          <t>Critical business-service disruption</t>
        </is>
      </c>
      <c r="C245" s="973" t="inlineStr">
        <is>
          <t>Third-party or software supply chain</t>
        </is>
      </c>
      <c r="D245" s="973" t="inlineStr">
        <is>
          <t>T1199</t>
        </is>
      </c>
      <c r="E245" s="973" t="inlineStr">
        <is>
          <t>Trusted Relationship</t>
        </is>
      </c>
      <c r="F245" s="973" t="inlineStr">
        <is>
          <t>S3</t>
        </is>
      </c>
      <c r="G245" s="973" t="b">
        <v>1</v>
      </c>
      <c r="H245" s="973" t="b">
        <v>1</v>
      </c>
      <c r="I245" s="973" t="b">
        <v>1</v>
      </c>
      <c r="J245" s="973" t="n">
        <v>1</v>
      </c>
      <c r="K245" s="973" t="n">
        <v>0.20625</v>
      </c>
      <c r="L245" s="973" t="n">
        <v>0.20625</v>
      </c>
      <c r="M245" s="973" t="inlineStr">
        <is>
          <t>SaaS; IaaS; Network Devices</t>
        </is>
      </c>
      <c r="N245" s="973" t="inlineStr">
        <is>
          <t>https://attack.mitre.org/techniques/T1199/</t>
        </is>
      </c>
      <c r="O245" s="973" t="n"/>
      <c r="P245" s="973" t="n"/>
    </row>
    <row r="246">
      <c r="A246" s="973" t="inlineStr">
        <is>
          <t>Cybercriminal</t>
        </is>
      </c>
      <c r="B246" s="973" t="inlineStr">
        <is>
          <t>Critical business-service disruption</t>
        </is>
      </c>
      <c r="C246" s="973" t="inlineStr">
        <is>
          <t>Third-party or software supply chain</t>
        </is>
      </c>
      <c r="D246" s="973" t="inlineStr">
        <is>
          <t>T1098</t>
        </is>
      </c>
      <c r="E246" s="973" t="inlineStr">
        <is>
          <t>Account Manipulation</t>
        </is>
      </c>
      <c r="F246" s="973" t="inlineStr">
        <is>
          <t>S3</t>
        </is>
      </c>
      <c r="G246" s="973" t="b">
        <v>1</v>
      </c>
      <c r="H246" s="973" t="b">
        <v>1</v>
      </c>
      <c r="I246" s="973" t="b">
        <v>1</v>
      </c>
      <c r="J246" s="973" t="n">
        <v>0.6</v>
      </c>
      <c r="K246" s="973" t="n">
        <v>0.2477547340393066</v>
      </c>
      <c r="L246" s="973" t="n">
        <v>0.2477547340393066</v>
      </c>
      <c r="M246" s="973" t="inlineStr">
        <is>
          <t>Identity Provider; SaaS; Windows</t>
        </is>
      </c>
      <c r="N246" s="973" t="inlineStr">
        <is>
          <t>https://attack.mitre.org/techniques/T1098/</t>
        </is>
      </c>
      <c r="O246" s="973" t="n"/>
      <c r="P246" s="973" t="n"/>
    </row>
    <row r="247">
      <c r="A247" s="973" t="inlineStr">
        <is>
          <t>Cybercriminal</t>
        </is>
      </c>
      <c r="B247" s="973" t="inlineStr">
        <is>
          <t>Critical business-service disruption</t>
        </is>
      </c>
      <c r="C247" s="973" t="inlineStr">
        <is>
          <t>Third-party or software supply chain</t>
        </is>
      </c>
      <c r="D247" s="973" t="inlineStr">
        <is>
          <t>T1087</t>
        </is>
      </c>
      <c r="E247" s="973" t="inlineStr">
        <is>
          <t>Account Discovery</t>
        </is>
      </c>
      <c r="F247" s="973" t="inlineStr">
        <is>
          <t>S4</t>
        </is>
      </c>
      <c r="G247" s="973" t="b">
        <v>1</v>
      </c>
      <c r="H247" s="973" t="b">
        <v>1</v>
      </c>
      <c r="I247" s="973" t="b">
        <v>1</v>
      </c>
      <c r="J247" s="973" t="n">
        <v>0.5</v>
      </c>
      <c r="K247" s="973" t="n">
        <v>0</v>
      </c>
      <c r="L247" s="973" t="n">
        <v>0</v>
      </c>
      <c r="M247" s="973" t="inlineStr">
        <is>
          <t>Identity Provider; SaaS; Windows</t>
        </is>
      </c>
      <c r="N247" s="973" t="inlineStr">
        <is>
          <t>https://attack.mitre.org/techniques/T1087/</t>
        </is>
      </c>
      <c r="O247" s="973" t="n"/>
      <c r="P247" s="973" t="n"/>
    </row>
    <row r="248">
      <c r="A248" s="973" t="inlineStr">
        <is>
          <t>Cybercriminal</t>
        </is>
      </c>
      <c r="B248" s="973" t="inlineStr">
        <is>
          <t>Critical business-service disruption</t>
        </is>
      </c>
      <c r="C248" s="973" t="inlineStr">
        <is>
          <t>Third-party or software supply chain</t>
        </is>
      </c>
      <c r="D248" s="973" t="inlineStr">
        <is>
          <t>T1213</t>
        </is>
      </c>
      <c r="E248" s="973" t="inlineStr">
        <is>
          <t>Data from Information Repositories</t>
        </is>
      </c>
      <c r="F248" s="973" t="inlineStr">
        <is>
          <t>S4</t>
        </is>
      </c>
      <c r="G248" s="973" t="b">
        <v>1</v>
      </c>
      <c r="H248" s="973" t="b">
        <v>0</v>
      </c>
      <c r="I248" s="973" t="b">
        <v>0</v>
      </c>
      <c r="J248" s="973" t="n">
        <v>0.7</v>
      </c>
      <c r="K248" s="973" t="n">
        <v>0.177890625</v>
      </c>
      <c r="L248" s="973" t="n">
        <v>0.177890625</v>
      </c>
      <c r="M248" s="973" t="inlineStr">
        <is>
          <t>SaaS; Office Suite; Windows</t>
        </is>
      </c>
      <c r="N248" s="973" t="inlineStr">
        <is>
          <t>https://attack.mitre.org/techniques/T1213/</t>
        </is>
      </c>
      <c r="O248" s="973" t="n"/>
      <c r="P248" s="973" t="n"/>
    </row>
    <row r="249">
      <c r="A249" s="973" t="inlineStr">
        <is>
          <t>Cybercriminal</t>
        </is>
      </c>
      <c r="B249" s="973" t="inlineStr">
        <is>
          <t>Critical business-service disruption</t>
        </is>
      </c>
      <c r="C249" s="973" t="inlineStr">
        <is>
          <t>Third-party or software supply chain</t>
        </is>
      </c>
      <c r="D249" s="973" t="inlineStr">
        <is>
          <t>T1567</t>
        </is>
      </c>
      <c r="E249" s="973" t="inlineStr">
        <is>
          <t>Exfiltration Over Web Service</t>
        </is>
      </c>
      <c r="F249" s="973" t="inlineStr">
        <is>
          <t>S5</t>
        </is>
      </c>
      <c r="G249" s="973" t="b">
        <v>1</v>
      </c>
      <c r="H249" s="973" t="b">
        <v>0</v>
      </c>
      <c r="I249" s="973" t="b">
        <v>0</v>
      </c>
      <c r="J249" s="973" t="n">
        <v>0.6</v>
      </c>
      <c r="K249" s="973" t="n">
        <v>0.20625</v>
      </c>
      <c r="L249" s="973" t="n">
        <v>0.20625</v>
      </c>
      <c r="M249" s="973" t="inlineStr">
        <is>
          <t>SaaS; Office Suite</t>
        </is>
      </c>
      <c r="N249" s="973" t="inlineStr">
        <is>
          <t>https://attack.mitre.org/techniques/T1567/</t>
        </is>
      </c>
      <c r="O249" s="973" t="n"/>
      <c r="P249" s="973" t="n"/>
    </row>
    <row r="250">
      <c r="A250" s="973" t="inlineStr">
        <is>
          <t>Cybercriminal</t>
        </is>
      </c>
      <c r="B250" s="973" t="inlineStr">
        <is>
          <t>Critical business-service disruption</t>
        </is>
      </c>
      <c r="C250" s="973" t="inlineStr">
        <is>
          <t>Third-party or software supply chain</t>
        </is>
      </c>
      <c r="D250" s="973" t="inlineStr">
        <is>
          <t>T1486</t>
        </is>
      </c>
      <c r="E250" s="973" t="inlineStr">
        <is>
          <t>Data Encrypted for Impact</t>
        </is>
      </c>
      <c r="F250" s="973" t="inlineStr">
        <is>
          <t>S5</t>
        </is>
      </c>
      <c r="G250" s="973" t="b">
        <v>1</v>
      </c>
      <c r="H250" s="973" t="b">
        <v>1</v>
      </c>
      <c r="I250" s="973" t="b">
        <v>1</v>
      </c>
      <c r="J250" s="973" t="n">
        <v>0.5</v>
      </c>
      <c r="K250" s="973" t="n">
        <v>0.16875</v>
      </c>
      <c r="L250" s="973" t="n">
        <v>0.16875</v>
      </c>
      <c r="M250" s="973" t="inlineStr">
        <is>
          <t>Windows; Linux; IaaS</t>
        </is>
      </c>
      <c r="N250" s="973" t="inlineStr">
        <is>
          <t>https://attack.mitre.org/techniques/T1486/</t>
        </is>
      </c>
      <c r="O250" s="973" t="n"/>
      <c r="P250" s="973" t="n"/>
    </row>
    <row r="251">
      <c r="A251" s="973" t="inlineStr">
        <is>
          <t>Cybercriminal</t>
        </is>
      </c>
      <c r="B251" s="973" t="inlineStr">
        <is>
          <t>Critical business-service disruption</t>
        </is>
      </c>
      <c r="C251" s="973" t="inlineStr">
        <is>
          <t>Third-party or software supply chain</t>
        </is>
      </c>
      <c r="D251" s="973" t="inlineStr">
        <is>
          <t>T1565</t>
        </is>
      </c>
      <c r="E251" s="973" t="inlineStr">
        <is>
          <t>Data Manipulation</t>
        </is>
      </c>
      <c r="F251" s="973" t="inlineStr">
        <is>
          <t>S5</t>
        </is>
      </c>
      <c r="G251" s="973" t="b">
        <v>1</v>
      </c>
      <c r="H251" s="973" t="b">
        <v>1</v>
      </c>
      <c r="I251" s="973" t="b">
        <v>1</v>
      </c>
      <c r="J251" s="973" t="n">
        <v>0.6</v>
      </c>
      <c r="K251" s="973" t="n">
        <v>0.2206064987182617</v>
      </c>
      <c r="L251" s="973" t="n">
        <v>0.2206064987182617</v>
      </c>
      <c r="M251" s="973" t="inlineStr">
        <is>
          <t>SaaS; Databases; Windows</t>
        </is>
      </c>
      <c r="N251" s="973" t="inlineStr">
        <is>
          <t>https://attack.mitre.org/techniques/T1565/</t>
        </is>
      </c>
      <c r="O251" s="973" t="n"/>
      <c r="P251" s="973" t="n"/>
    </row>
    <row r="252">
      <c r="A252" s="973" t="inlineStr">
        <is>
          <t>Cybercriminal</t>
        </is>
      </c>
      <c r="B252" s="973" t="inlineStr">
        <is>
          <t>Critical business-service disruption</t>
        </is>
      </c>
      <c r="C252" s="973" t="inlineStr">
        <is>
          <t>Third-party or software supply chain</t>
        </is>
      </c>
      <c r="D252" s="973" t="inlineStr">
        <is>
          <t>T1657</t>
        </is>
      </c>
      <c r="E252" s="973" t="inlineStr">
        <is>
          <t>Financial Theft</t>
        </is>
      </c>
      <c r="F252" s="973" t="inlineStr">
        <is>
          <t>S5</t>
        </is>
      </c>
      <c r="G252" s="973" t="b">
        <v>1</v>
      </c>
      <c r="H252" s="973" t="b">
        <v>0</v>
      </c>
      <c r="I252" s="973" t="b">
        <v>0</v>
      </c>
      <c r="J252" s="973" t="n">
        <v>0.5</v>
      </c>
      <c r="K252" s="973" t="n">
        <v>0.275654296875</v>
      </c>
      <c r="L252" s="973" t="n">
        <v>0.275654296875</v>
      </c>
      <c r="M252" s="973" t="inlineStr">
        <is>
          <t>SaaS; Office Suite; Identity Provider</t>
        </is>
      </c>
      <c r="N252" s="973" t="inlineStr">
        <is>
          <t>https://attack.mitre.org/techniques/T1657/</t>
        </is>
      </c>
      <c r="O252" s="973" t="n"/>
      <c r="P252" s="973" t="n"/>
    </row>
    <row r="253">
      <c r="A253" s="973" t="inlineStr">
        <is>
          <t>Cybercriminal</t>
        </is>
      </c>
      <c r="B253" s="973" t="inlineStr">
        <is>
          <t>Critical business-service disruption</t>
        </is>
      </c>
      <c r="C253" s="973" t="inlineStr">
        <is>
          <t>Direct availability or DDoS</t>
        </is>
      </c>
      <c r="D253" s="973" t="inlineStr">
        <is>
          <t>T1498</t>
        </is>
      </c>
      <c r="E253" s="973" t="inlineStr">
        <is>
          <t>Network Denial of Service</t>
        </is>
      </c>
      <c r="F253" s="973" t="inlineStr">
        <is>
          <t>S1</t>
        </is>
      </c>
      <c r="G253" s="973" t="b">
        <v>1</v>
      </c>
      <c r="H253" s="973" t="b">
        <v>1</v>
      </c>
      <c r="I253" s="973" t="b">
        <v>1</v>
      </c>
      <c r="J253" s="973" t="n">
        <v>1</v>
      </c>
      <c r="K253" s="973" t="n">
        <v>0.2866992187499999</v>
      </c>
      <c r="L253" s="973" t="n">
        <v>0.2866992187499999</v>
      </c>
      <c r="M253" s="973" t="inlineStr">
        <is>
          <t>Network Devices</t>
        </is>
      </c>
      <c r="N253" s="973" t="inlineStr">
        <is>
          <t>https://attack.mitre.org/techniques/T1498/</t>
        </is>
      </c>
      <c r="O253" s="973" t="n"/>
      <c r="P253" s="973" t="n"/>
    </row>
    <row r="254">
      <c r="A254" s="973" t="inlineStr">
        <is>
          <t>Cybercriminal</t>
        </is>
      </c>
      <c r="B254" s="973" t="inlineStr">
        <is>
          <t>Critical business-service disruption</t>
        </is>
      </c>
      <c r="C254" s="973" t="inlineStr">
        <is>
          <t>Direct availability or DDoS</t>
        </is>
      </c>
      <c r="D254" s="973" t="inlineStr">
        <is>
          <t>T1499</t>
        </is>
      </c>
      <c r="E254" s="973" t="inlineStr">
        <is>
          <t>Endpoint Denial of Service</t>
        </is>
      </c>
      <c r="F254" s="973" t="inlineStr">
        <is>
          <t>S5</t>
        </is>
      </c>
      <c r="G254" s="973" t="b">
        <v>1</v>
      </c>
      <c r="H254" s="973" t="b">
        <v>1</v>
      </c>
      <c r="I254" s="973" t="b">
        <v>1</v>
      </c>
      <c r="J254" s="973" t="n">
        <v>1</v>
      </c>
      <c r="K254" s="973" t="n">
        <v>0.225</v>
      </c>
      <c r="L254" s="973" t="n">
        <v>0.225</v>
      </c>
      <c r="M254" s="973" t="inlineStr">
        <is>
          <t>Windows; Linux; Network Devices</t>
        </is>
      </c>
      <c r="N254" s="973" t="inlineStr">
        <is>
          <t>https://attack.mitre.org/techniques/T1499/</t>
        </is>
      </c>
      <c r="O254" s="973" t="n"/>
      <c r="P254" s="973" t="n"/>
    </row>
    <row r="255">
      <c r="A255" s="973" t="inlineStr">
        <is>
          <t>Cybercriminal</t>
        </is>
      </c>
      <c r="B255" s="973" t="inlineStr">
        <is>
          <t>Critical business-service disruption</t>
        </is>
      </c>
      <c r="C255" s="973" t="inlineStr">
        <is>
          <t>Insider or trusted access</t>
        </is>
      </c>
      <c r="D255" s="973" t="inlineStr">
        <is>
          <t>T1098</t>
        </is>
      </c>
      <c r="E255" s="973" t="inlineStr">
        <is>
          <t>Account Manipulation</t>
        </is>
      </c>
      <c r="F255" s="973" t="inlineStr">
        <is>
          <t>S3</t>
        </is>
      </c>
      <c r="G255" s="973" t="b">
        <v>1</v>
      </c>
      <c r="H255" s="973" t="b">
        <v>1</v>
      </c>
      <c r="I255" s="973" t="b">
        <v>1</v>
      </c>
      <c r="J255" s="973" t="n">
        <v>0.8</v>
      </c>
      <c r="K255" s="973" t="n">
        <v>0.2477547340393066</v>
      </c>
      <c r="L255" s="973" t="n">
        <v>0.2477547340393066</v>
      </c>
      <c r="M255" s="973" t="inlineStr">
        <is>
          <t>Identity Provider; SaaS; Windows</t>
        </is>
      </c>
      <c r="N255" s="973" t="inlineStr">
        <is>
          <t>https://attack.mitre.org/techniques/T1098/</t>
        </is>
      </c>
      <c r="O255" s="973" t="n"/>
      <c r="P255" s="973" t="n"/>
    </row>
    <row r="256">
      <c r="A256" s="973" t="inlineStr">
        <is>
          <t>Cybercriminal</t>
        </is>
      </c>
      <c r="B256" s="973" t="inlineStr">
        <is>
          <t>Critical business-service disruption</t>
        </is>
      </c>
      <c r="C256" s="973" t="inlineStr">
        <is>
          <t>Insider or trusted access</t>
        </is>
      </c>
      <c r="D256" s="973" t="inlineStr">
        <is>
          <t>T1087</t>
        </is>
      </c>
      <c r="E256" s="973" t="inlineStr">
        <is>
          <t>Account Discovery</t>
        </is>
      </c>
      <c r="F256" s="973" t="inlineStr">
        <is>
          <t>S4</t>
        </is>
      </c>
      <c r="G256" s="973" t="b">
        <v>1</v>
      </c>
      <c r="H256" s="973" t="b">
        <v>1</v>
      </c>
      <c r="I256" s="973" t="b">
        <v>1</v>
      </c>
      <c r="J256" s="973" t="n">
        <v>0.6</v>
      </c>
      <c r="K256" s="973" t="n">
        <v>0</v>
      </c>
      <c r="L256" s="973" t="n">
        <v>0</v>
      </c>
      <c r="M256" s="973" t="inlineStr">
        <is>
          <t>Identity Provider; SaaS; Windows</t>
        </is>
      </c>
      <c r="N256" s="973" t="inlineStr">
        <is>
          <t>https://attack.mitre.org/techniques/T1087/</t>
        </is>
      </c>
      <c r="O256" s="973" t="n"/>
      <c r="P256" s="973" t="n"/>
    </row>
    <row r="257">
      <c r="A257" s="973" t="inlineStr">
        <is>
          <t>Cybercriminal</t>
        </is>
      </c>
      <c r="B257" s="973" t="inlineStr">
        <is>
          <t>Critical business-service disruption</t>
        </is>
      </c>
      <c r="C257" s="973" t="inlineStr">
        <is>
          <t>Insider or trusted access</t>
        </is>
      </c>
      <c r="D257" s="973" t="inlineStr">
        <is>
          <t>T1213</t>
        </is>
      </c>
      <c r="E257" s="973" t="inlineStr">
        <is>
          <t>Data from Information Repositories</t>
        </is>
      </c>
      <c r="F257" s="973" t="inlineStr">
        <is>
          <t>S4</t>
        </is>
      </c>
      <c r="G257" s="973" t="b">
        <v>1</v>
      </c>
      <c r="H257" s="973" t="b">
        <v>0</v>
      </c>
      <c r="I257" s="973" t="b">
        <v>0</v>
      </c>
      <c r="J257" s="973" t="n">
        <v>0.9</v>
      </c>
      <c r="K257" s="973" t="n">
        <v>0.177890625</v>
      </c>
      <c r="L257" s="973" t="n">
        <v>0.177890625</v>
      </c>
      <c r="M257" s="973" t="inlineStr">
        <is>
          <t>SaaS; Office Suite; Windows</t>
        </is>
      </c>
      <c r="N257" s="973" t="inlineStr">
        <is>
          <t>https://attack.mitre.org/techniques/T1213/</t>
        </is>
      </c>
      <c r="O257" s="973" t="n"/>
      <c r="P257" s="973" t="n"/>
    </row>
    <row r="258">
      <c r="A258" s="973" t="inlineStr">
        <is>
          <t>Cybercriminal</t>
        </is>
      </c>
      <c r="B258" s="973" t="inlineStr">
        <is>
          <t>Critical business-service disruption</t>
        </is>
      </c>
      <c r="C258" s="973" t="inlineStr">
        <is>
          <t>Insider or trusted access</t>
        </is>
      </c>
      <c r="D258" s="973" t="inlineStr">
        <is>
          <t>T1567</t>
        </is>
      </c>
      <c r="E258" s="973" t="inlineStr">
        <is>
          <t>Exfiltration Over Web Service</t>
        </is>
      </c>
      <c r="F258" s="973" t="inlineStr">
        <is>
          <t>S5</t>
        </is>
      </c>
      <c r="G258" s="973" t="b">
        <v>1</v>
      </c>
      <c r="H258" s="973" t="b">
        <v>0</v>
      </c>
      <c r="I258" s="973" t="b">
        <v>0</v>
      </c>
      <c r="J258" s="973" t="n">
        <v>0.8</v>
      </c>
      <c r="K258" s="973" t="n">
        <v>0.20625</v>
      </c>
      <c r="L258" s="973" t="n">
        <v>0.20625</v>
      </c>
      <c r="M258" s="973" t="inlineStr">
        <is>
          <t>SaaS; Office Suite</t>
        </is>
      </c>
      <c r="N258" s="973" t="inlineStr">
        <is>
          <t>https://attack.mitre.org/techniques/T1567/</t>
        </is>
      </c>
      <c r="O258" s="973" t="n"/>
      <c r="P258" s="973" t="n"/>
    </row>
    <row r="259">
      <c r="A259" s="973" t="inlineStr">
        <is>
          <t>Cybercriminal</t>
        </is>
      </c>
      <c r="B259" s="973" t="inlineStr">
        <is>
          <t>Critical business-service disruption</t>
        </is>
      </c>
      <c r="C259" s="973" t="inlineStr">
        <is>
          <t>Insider or trusted access</t>
        </is>
      </c>
      <c r="D259" s="973" t="inlineStr">
        <is>
          <t>T1565</t>
        </is>
      </c>
      <c r="E259" s="973" t="inlineStr">
        <is>
          <t>Data Manipulation</t>
        </is>
      </c>
      <c r="F259" s="973" t="inlineStr">
        <is>
          <t>S5</t>
        </is>
      </c>
      <c r="G259" s="973" t="b">
        <v>1</v>
      </c>
      <c r="H259" s="973" t="b">
        <v>1</v>
      </c>
      <c r="I259" s="973" t="b">
        <v>1</v>
      </c>
      <c r="J259" s="973" t="n">
        <v>0.9</v>
      </c>
      <c r="K259" s="973" t="n">
        <v>0.2206064987182617</v>
      </c>
      <c r="L259" s="973" t="n">
        <v>0.2206064987182617</v>
      </c>
      <c r="M259" s="973" t="inlineStr">
        <is>
          <t>SaaS; Databases; Windows</t>
        </is>
      </c>
      <c r="N259" s="973" t="inlineStr">
        <is>
          <t>https://attack.mitre.org/techniques/T1565/</t>
        </is>
      </c>
      <c r="O259" s="973" t="n"/>
      <c r="P259" s="973" t="n"/>
    </row>
    <row r="260">
      <c r="A260" s="973" t="inlineStr">
        <is>
          <t>Cybercriminal</t>
        </is>
      </c>
      <c r="B260" s="973" t="inlineStr">
        <is>
          <t>Critical business-service disruption</t>
        </is>
      </c>
      <c r="C260" s="973" t="inlineStr">
        <is>
          <t>Insider or trusted access</t>
        </is>
      </c>
      <c r="D260" s="973" t="inlineStr">
        <is>
          <t>T1657</t>
        </is>
      </c>
      <c r="E260" s="973" t="inlineStr">
        <is>
          <t>Financial Theft</t>
        </is>
      </c>
      <c r="F260" s="973" t="inlineStr">
        <is>
          <t>S5</t>
        </is>
      </c>
      <c r="G260" s="973" t="b">
        <v>1</v>
      </c>
      <c r="H260" s="973" t="b">
        <v>0</v>
      </c>
      <c r="I260" s="973" t="b">
        <v>0</v>
      </c>
      <c r="J260" s="973" t="n">
        <v>0.9</v>
      </c>
      <c r="K260" s="973" t="n">
        <v>0.275654296875</v>
      </c>
      <c r="L260" s="973" t="n">
        <v>0.275654296875</v>
      </c>
      <c r="M260" s="973" t="inlineStr">
        <is>
          <t>SaaS; Office Suite; Identity Provider</t>
        </is>
      </c>
      <c r="N260" s="973" t="inlineStr">
        <is>
          <t>https://attack.mitre.org/techniques/T1657/</t>
        </is>
      </c>
      <c r="O260" s="973" t="n"/>
      <c r="P260" s="973" t="n"/>
    </row>
    <row r="261">
      <c r="A261" s="973" t="inlineStr">
        <is>
          <t>Cybercriminal</t>
        </is>
      </c>
      <c r="B261" s="973" t="inlineStr">
        <is>
          <t>Sensitive-data compromise</t>
        </is>
      </c>
      <c r="C261" s="973" t="inlineStr">
        <is>
          <t>Identity and credential compromise</t>
        </is>
      </c>
      <c r="D261" s="973" t="inlineStr">
        <is>
          <t>T1566</t>
        </is>
      </c>
      <c r="E261" s="973" t="inlineStr">
        <is>
          <t>Phishing</t>
        </is>
      </c>
      <c r="F261" s="973" t="inlineStr">
        <is>
          <t>S1</t>
        </is>
      </c>
      <c r="G261" s="973" t="b">
        <v>1</v>
      </c>
      <c r="H261" s="973" t="b">
        <v>1</v>
      </c>
      <c r="I261" s="973" t="b">
        <v>1</v>
      </c>
      <c r="J261" s="973" t="n">
        <v>1</v>
      </c>
      <c r="K261" s="973" t="n">
        <v>0.20625</v>
      </c>
      <c r="L261" s="973" t="n">
        <v>0.20625</v>
      </c>
      <c r="M261" s="973" t="inlineStr">
        <is>
          <t>Windows; SaaS; Office Suite</t>
        </is>
      </c>
      <c r="N261" s="973" t="inlineStr">
        <is>
          <t>https://attack.mitre.org/techniques/T1566/</t>
        </is>
      </c>
      <c r="O261" s="973" t="n"/>
      <c r="P261" s="973" t="n"/>
    </row>
    <row r="262">
      <c r="A262" s="973" t="inlineStr">
        <is>
          <t>Cybercriminal</t>
        </is>
      </c>
      <c r="B262" s="973" t="inlineStr">
        <is>
          <t>Sensitive-data compromise</t>
        </is>
      </c>
      <c r="C262" s="973" t="inlineStr">
        <is>
          <t>Identity and credential compromise</t>
        </is>
      </c>
      <c r="D262" s="973" t="inlineStr">
        <is>
          <t>T1078</t>
        </is>
      </c>
      <c r="E262" s="973" t="inlineStr">
        <is>
          <t>Valid Accounts</t>
        </is>
      </c>
      <c r="F262" s="973" t="inlineStr">
        <is>
          <t>S1</t>
        </is>
      </c>
      <c r="G262" s="973" t="b">
        <v>1</v>
      </c>
      <c r="H262" s="973" t="b">
        <v>1</v>
      </c>
      <c r="I262" s="973" t="b">
        <v>1</v>
      </c>
      <c r="J262" s="973" t="n">
        <v>1</v>
      </c>
      <c r="K262" s="973" t="n">
        <v>0.272109375</v>
      </c>
      <c r="L262" s="973" t="n">
        <v>0.272109375</v>
      </c>
      <c r="M262" s="973" t="inlineStr">
        <is>
          <t>Identity Provider; SaaS; IaaS; Windows</t>
        </is>
      </c>
      <c r="N262" s="973" t="inlineStr">
        <is>
          <t>https://attack.mitre.org/techniques/T1078/</t>
        </is>
      </c>
      <c r="O262" s="973" t="n"/>
      <c r="P262" s="973" t="n"/>
    </row>
    <row r="263">
      <c r="A263" s="973" t="inlineStr">
        <is>
          <t>Cybercriminal</t>
        </is>
      </c>
      <c r="B263" s="973" t="inlineStr">
        <is>
          <t>Sensitive-data compromise</t>
        </is>
      </c>
      <c r="C263" s="973" t="inlineStr">
        <is>
          <t>Identity and credential compromise</t>
        </is>
      </c>
      <c r="D263" s="973" t="inlineStr">
        <is>
          <t>T1110</t>
        </is>
      </c>
      <c r="E263" s="973" t="inlineStr">
        <is>
          <t>Brute Force</t>
        </is>
      </c>
      <c r="F263" s="973" t="inlineStr">
        <is>
          <t>S1</t>
        </is>
      </c>
      <c r="G263" s="973" t="b">
        <v>1</v>
      </c>
      <c r="H263" s="973" t="b">
        <v>1</v>
      </c>
      <c r="I263" s="973" t="b">
        <v>1</v>
      </c>
      <c r="J263" s="973" t="n">
        <v>0.7</v>
      </c>
      <c r="K263" s="973" t="n">
        <v>0.24375</v>
      </c>
      <c r="L263" s="973" t="n">
        <v>0.24375</v>
      </c>
      <c r="M263" s="973" t="inlineStr">
        <is>
          <t>Identity Provider; SaaS; Windows</t>
        </is>
      </c>
      <c r="N263" s="973" t="inlineStr">
        <is>
          <t>https://attack.mitre.org/techniques/T1110/</t>
        </is>
      </c>
      <c r="O263" s="973" t="n"/>
      <c r="P263" s="973" t="n"/>
    </row>
    <row r="264">
      <c r="A264" s="973" t="inlineStr">
        <is>
          <t>Cybercriminal</t>
        </is>
      </c>
      <c r="B264" s="973" t="inlineStr">
        <is>
          <t>Sensitive-data compromise</t>
        </is>
      </c>
      <c r="C264" s="973" t="inlineStr">
        <is>
          <t>Identity and credential compromise</t>
        </is>
      </c>
      <c r="D264" s="973" t="inlineStr">
        <is>
          <t>T1098</t>
        </is>
      </c>
      <c r="E264" s="973" t="inlineStr">
        <is>
          <t>Account Manipulation</t>
        </is>
      </c>
      <c r="F264" s="973" t="inlineStr">
        <is>
          <t>S3</t>
        </is>
      </c>
      <c r="G264" s="973" t="b">
        <v>1</v>
      </c>
      <c r="H264" s="973" t="b">
        <v>1</v>
      </c>
      <c r="I264" s="973" t="b">
        <v>1</v>
      </c>
      <c r="J264" s="973" t="n">
        <v>0.7</v>
      </c>
      <c r="K264" s="973" t="n">
        <v>0.2477547340393066</v>
      </c>
      <c r="L264" s="973" t="n">
        <v>0.2477547340393066</v>
      </c>
      <c r="M264" s="973" t="inlineStr">
        <is>
          <t>Identity Provider; SaaS; Windows</t>
        </is>
      </c>
      <c r="N264" s="973" t="inlineStr">
        <is>
          <t>https://attack.mitre.org/techniques/T1098/</t>
        </is>
      </c>
      <c r="O264" s="973" t="n"/>
      <c r="P264" s="973" t="n"/>
    </row>
    <row r="265">
      <c r="A265" s="973" t="inlineStr">
        <is>
          <t>Cybercriminal</t>
        </is>
      </c>
      <c r="B265" s="973" t="inlineStr">
        <is>
          <t>Sensitive-data compromise</t>
        </is>
      </c>
      <c r="C265" s="973" t="inlineStr">
        <is>
          <t>Identity and credential compromise</t>
        </is>
      </c>
      <c r="D265" s="973" t="inlineStr">
        <is>
          <t>T1087</t>
        </is>
      </c>
      <c r="E265" s="973" t="inlineStr">
        <is>
          <t>Account Discovery</t>
        </is>
      </c>
      <c r="F265" s="973" t="inlineStr">
        <is>
          <t>S4</t>
        </is>
      </c>
      <c r="G265" s="973" t="b">
        <v>1</v>
      </c>
      <c r="H265" s="973" t="b">
        <v>1</v>
      </c>
      <c r="I265" s="973" t="b">
        <v>1</v>
      </c>
      <c r="J265" s="973" t="n">
        <v>0.6</v>
      </c>
      <c r="K265" s="973" t="n">
        <v>0</v>
      </c>
      <c r="L265" s="973" t="n">
        <v>0</v>
      </c>
      <c r="M265" s="973" t="inlineStr">
        <is>
          <t>Identity Provider; SaaS; Windows</t>
        </is>
      </c>
      <c r="N265" s="973" t="inlineStr">
        <is>
          <t>https://attack.mitre.org/techniques/T1087/</t>
        </is>
      </c>
      <c r="O265" s="973" t="n"/>
      <c r="P265" s="973" t="n"/>
    </row>
    <row r="266">
      <c r="A266" s="973" t="inlineStr">
        <is>
          <t>Cybercriminal</t>
        </is>
      </c>
      <c r="B266" s="973" t="inlineStr">
        <is>
          <t>Sensitive-data compromise</t>
        </is>
      </c>
      <c r="C266" s="973" t="inlineStr">
        <is>
          <t>Identity and credential compromise</t>
        </is>
      </c>
      <c r="D266" s="973" t="inlineStr">
        <is>
          <t>T1213</t>
        </is>
      </c>
      <c r="E266" s="973" t="inlineStr">
        <is>
          <t>Data from Information Repositories</t>
        </is>
      </c>
      <c r="F266" s="973" t="inlineStr">
        <is>
          <t>S4</t>
        </is>
      </c>
      <c r="G266" s="973" t="b">
        <v>1</v>
      </c>
      <c r="H266" s="973" t="b">
        <v>1</v>
      </c>
      <c r="I266" s="973" t="b">
        <v>1</v>
      </c>
      <c r="J266" s="973" t="n">
        <v>0.8</v>
      </c>
      <c r="K266" s="973" t="n">
        <v>0.177890625</v>
      </c>
      <c r="L266" s="973" t="n">
        <v>0.177890625</v>
      </c>
      <c r="M266" s="973" t="inlineStr">
        <is>
          <t>SaaS; Office Suite; Windows</t>
        </is>
      </c>
      <c r="N266" s="973" t="inlineStr">
        <is>
          <t>https://attack.mitre.org/techniques/T1213/</t>
        </is>
      </c>
      <c r="O266" s="973" t="n"/>
      <c r="P266" s="973" t="n"/>
    </row>
    <row r="267">
      <c r="A267" s="973" t="inlineStr">
        <is>
          <t>Cybercriminal</t>
        </is>
      </c>
      <c r="B267" s="973" t="inlineStr">
        <is>
          <t>Sensitive-data compromise</t>
        </is>
      </c>
      <c r="C267" s="973" t="inlineStr">
        <is>
          <t>Identity and credential compromise</t>
        </is>
      </c>
      <c r="D267" s="973" t="inlineStr">
        <is>
          <t>T1567</t>
        </is>
      </c>
      <c r="E267" s="973" t="inlineStr">
        <is>
          <t>Exfiltration Over Web Service</t>
        </is>
      </c>
      <c r="F267" s="973" t="inlineStr">
        <is>
          <t>S5</t>
        </is>
      </c>
      <c r="G267" s="973" t="b">
        <v>1</v>
      </c>
      <c r="H267" s="973" t="b">
        <v>1</v>
      </c>
      <c r="I267" s="973" t="b">
        <v>1</v>
      </c>
      <c r="J267" s="973" t="n">
        <v>0.7</v>
      </c>
      <c r="K267" s="973" t="n">
        <v>0.20625</v>
      </c>
      <c r="L267" s="973" t="n">
        <v>0.20625</v>
      </c>
      <c r="M267" s="973" t="inlineStr">
        <is>
          <t>SaaS; Office Suite</t>
        </is>
      </c>
      <c r="N267" s="973" t="inlineStr">
        <is>
          <t>https://attack.mitre.org/techniques/T1567/</t>
        </is>
      </c>
      <c r="O267" s="973" t="n"/>
      <c r="P267" s="973" t="n"/>
    </row>
    <row r="268">
      <c r="A268" s="973" t="inlineStr">
        <is>
          <t>Cybercriminal</t>
        </is>
      </c>
      <c r="B268" s="973" t="inlineStr">
        <is>
          <t>Sensitive-data compromise</t>
        </is>
      </c>
      <c r="C268" s="973" t="inlineStr">
        <is>
          <t>Identity and credential compromise</t>
        </is>
      </c>
      <c r="D268" s="973" t="inlineStr">
        <is>
          <t>T1657</t>
        </is>
      </c>
      <c r="E268" s="973" t="inlineStr">
        <is>
          <t>Financial Theft</t>
        </is>
      </c>
      <c r="F268" s="973" t="inlineStr">
        <is>
          <t>S5</t>
        </is>
      </c>
      <c r="G268" s="973" t="b">
        <v>1</v>
      </c>
      <c r="H268" s="973" t="b">
        <v>0</v>
      </c>
      <c r="I268" s="973" t="b">
        <v>0</v>
      </c>
      <c r="J268" s="973" t="n">
        <v>0.8</v>
      </c>
      <c r="K268" s="973" t="n">
        <v>0.275654296875</v>
      </c>
      <c r="L268" s="973" t="n">
        <v>0.275654296875</v>
      </c>
      <c r="M268" s="973" t="inlineStr">
        <is>
          <t>SaaS; Office Suite; Identity Provider</t>
        </is>
      </c>
      <c r="N268" s="973" t="inlineStr">
        <is>
          <t>https://attack.mitre.org/techniques/T1657/</t>
        </is>
      </c>
      <c r="O268" s="973" t="n"/>
      <c r="P268" s="973" t="n"/>
    </row>
    <row r="269">
      <c r="A269" s="973" t="inlineStr">
        <is>
          <t>Cybercriminal</t>
        </is>
      </c>
      <c r="B269" s="973" t="inlineStr">
        <is>
          <t>Sensitive-data compromise</t>
        </is>
      </c>
      <c r="C269" s="973" t="inlineStr">
        <is>
          <t>Identity and credential compromise</t>
        </is>
      </c>
      <c r="D269" s="973" t="inlineStr">
        <is>
          <t>T1565</t>
        </is>
      </c>
      <c r="E269" s="973" t="inlineStr">
        <is>
          <t>Data Manipulation</t>
        </is>
      </c>
      <c r="F269" s="973" t="inlineStr">
        <is>
          <t>S5</t>
        </is>
      </c>
      <c r="G269" s="973" t="b">
        <v>1</v>
      </c>
      <c r="H269" s="973" t="b">
        <v>0</v>
      </c>
      <c r="I269" s="973" t="b">
        <v>0</v>
      </c>
      <c r="J269" s="973" t="n">
        <v>0.5</v>
      </c>
      <c r="K269" s="973" t="n">
        <v>0.2206064987182617</v>
      </c>
      <c r="L269" s="973" t="n">
        <v>0.2206064987182617</v>
      </c>
      <c r="M269" s="973" t="inlineStr">
        <is>
          <t>SaaS; Databases; Windows</t>
        </is>
      </c>
      <c r="N269" s="973" t="inlineStr">
        <is>
          <t>https://attack.mitre.org/techniques/T1565/</t>
        </is>
      </c>
      <c r="O269" s="973" t="n"/>
      <c r="P269" s="973" t="n"/>
    </row>
    <row r="270">
      <c r="A270" s="973" t="inlineStr">
        <is>
          <t>Cybercriminal</t>
        </is>
      </c>
      <c r="B270" s="973" t="inlineStr">
        <is>
          <t>Sensitive-data compromise</t>
        </is>
      </c>
      <c r="C270" s="973" t="inlineStr">
        <is>
          <t>Identity and credential compromise</t>
        </is>
      </c>
      <c r="D270" s="973" t="inlineStr">
        <is>
          <t>T1486</t>
        </is>
      </c>
      <c r="E270" s="973" t="inlineStr">
        <is>
          <t>Data Encrypted for Impact</t>
        </is>
      </c>
      <c r="F270" s="973" t="inlineStr">
        <is>
          <t>S5</t>
        </is>
      </c>
      <c r="G270" s="973" t="b">
        <v>1</v>
      </c>
      <c r="H270" s="973" t="b">
        <v>0</v>
      </c>
      <c r="I270" s="973" t="b">
        <v>0</v>
      </c>
      <c r="J270" s="973" t="n">
        <v>0.7</v>
      </c>
      <c r="K270" s="973" t="n">
        <v>0.16875</v>
      </c>
      <c r="L270" s="973" t="n">
        <v>0.16875</v>
      </c>
      <c r="M270" s="973" t="inlineStr">
        <is>
          <t>Windows; Linux; IaaS</t>
        </is>
      </c>
      <c r="N270" s="973" t="inlineStr">
        <is>
          <t>https://attack.mitre.org/techniques/T1486/</t>
        </is>
      </c>
      <c r="O270" s="973" t="n"/>
      <c r="P270" s="973" t="n"/>
    </row>
    <row r="271">
      <c r="A271" s="973" t="inlineStr">
        <is>
          <t>Cybercriminal</t>
        </is>
      </c>
      <c r="B271" s="973" t="inlineStr">
        <is>
          <t>Sensitive-data compromise</t>
        </is>
      </c>
      <c r="C271" s="973" t="inlineStr">
        <is>
          <t>Identity and credential compromise</t>
        </is>
      </c>
      <c r="D271" s="973" t="inlineStr">
        <is>
          <t>T1490</t>
        </is>
      </c>
      <c r="E271" s="973" t="inlineStr">
        <is>
          <t>Inhibit System Recovery</t>
        </is>
      </c>
      <c r="F271" s="973" t="inlineStr">
        <is>
          <t>S5</t>
        </is>
      </c>
      <c r="G271" s="973" t="b">
        <v>1</v>
      </c>
      <c r="H271" s="973" t="b">
        <v>0</v>
      </c>
      <c r="I271" s="973" t="b">
        <v>0</v>
      </c>
      <c r="J271" s="973" t="n">
        <v>0.6</v>
      </c>
      <c r="K271" s="973" t="n">
        <v>0</v>
      </c>
      <c r="L271" s="973" t="n">
        <v>0</v>
      </c>
      <c r="M271" s="973" t="inlineStr">
        <is>
          <t>Windows; Linux; IaaS</t>
        </is>
      </c>
      <c r="N271" s="973" t="inlineStr">
        <is>
          <t>https://attack.mitre.org/techniques/T1490/</t>
        </is>
      </c>
      <c r="O271" s="973" t="n"/>
      <c r="P271" s="973" t="n"/>
    </row>
    <row r="272">
      <c r="A272" s="973" t="inlineStr">
        <is>
          <t>Cybercriminal</t>
        </is>
      </c>
      <c r="B272" s="973" t="inlineStr">
        <is>
          <t>Sensitive-data compromise</t>
        </is>
      </c>
      <c r="C272" s="973" t="inlineStr">
        <is>
          <t>User endpoint and social engineering</t>
        </is>
      </c>
      <c r="D272" s="973" t="inlineStr">
        <is>
          <t>T1566</t>
        </is>
      </c>
      <c r="E272" s="973" t="inlineStr">
        <is>
          <t>Phishing</t>
        </is>
      </c>
      <c r="F272" s="973" t="inlineStr">
        <is>
          <t>S1</t>
        </is>
      </c>
      <c r="G272" s="973" t="b">
        <v>1</v>
      </c>
      <c r="H272" s="973" t="b">
        <v>1</v>
      </c>
      <c r="I272" s="973" t="b">
        <v>1</v>
      </c>
      <c r="J272" s="973" t="n">
        <v>1</v>
      </c>
      <c r="K272" s="973" t="n">
        <v>0.20625</v>
      </c>
      <c r="L272" s="973" t="n">
        <v>0.20625</v>
      </c>
      <c r="M272" s="973" t="inlineStr">
        <is>
          <t>Windows; SaaS; Office Suite</t>
        </is>
      </c>
      <c r="N272" s="973" t="inlineStr">
        <is>
          <t>https://attack.mitre.org/techniques/T1566/</t>
        </is>
      </c>
      <c r="O272" s="973" t="n"/>
      <c r="P272" s="973" t="n"/>
    </row>
    <row r="273">
      <c r="A273" s="973" t="inlineStr">
        <is>
          <t>Cybercriminal</t>
        </is>
      </c>
      <c r="B273" s="973" t="inlineStr">
        <is>
          <t>Sensitive-data compromise</t>
        </is>
      </c>
      <c r="C273" s="973" t="inlineStr">
        <is>
          <t>User endpoint and social engineering</t>
        </is>
      </c>
      <c r="D273" s="973" t="inlineStr">
        <is>
          <t>T1203</t>
        </is>
      </c>
      <c r="E273" s="973" t="inlineStr">
        <is>
          <t>Exploitation for Client Execution</t>
        </is>
      </c>
      <c r="F273" s="973" t="inlineStr">
        <is>
          <t>S2</t>
        </is>
      </c>
      <c r="G273" s="973" t="b">
        <v>1</v>
      </c>
      <c r="H273" s="973" t="b">
        <v>1</v>
      </c>
      <c r="I273" s="973" t="b">
        <v>1</v>
      </c>
      <c r="J273" s="973" t="n">
        <v>0.8</v>
      </c>
      <c r="K273" s="973" t="n">
        <v>0.2404920959472656</v>
      </c>
      <c r="L273" s="973" t="n">
        <v>0.2404920959472656</v>
      </c>
      <c r="M273" s="973" t="inlineStr">
        <is>
          <t>Windows; macOS; Linux</t>
        </is>
      </c>
      <c r="N273" s="973" t="inlineStr">
        <is>
          <t>https://attack.mitre.org/techniques/T1203/</t>
        </is>
      </c>
      <c r="O273" s="973" t="n"/>
      <c r="P273" s="973" t="n"/>
    </row>
    <row r="274">
      <c r="A274" s="973" t="inlineStr">
        <is>
          <t>Cybercriminal</t>
        </is>
      </c>
      <c r="B274" s="973" t="inlineStr">
        <is>
          <t>Sensitive-data compromise</t>
        </is>
      </c>
      <c r="C274" s="973" t="inlineStr">
        <is>
          <t>User endpoint and social engineering</t>
        </is>
      </c>
      <c r="D274" s="973" t="inlineStr">
        <is>
          <t>T1059</t>
        </is>
      </c>
      <c r="E274" s="973" t="inlineStr">
        <is>
          <t>Command and Scripting Interpreter</t>
        </is>
      </c>
      <c r="F274" s="973" t="inlineStr">
        <is>
          <t>S2</t>
        </is>
      </c>
      <c r="G274" s="973" t="b">
        <v>1</v>
      </c>
      <c r="H274" s="973" t="b">
        <v>1</v>
      </c>
      <c r="I274" s="973" t="b">
        <v>1</v>
      </c>
      <c r="J274" s="973" t="n">
        <v>0.9</v>
      </c>
      <c r="K274" s="973" t="n">
        <v>0.1875</v>
      </c>
      <c r="L274" s="973" t="n">
        <v>0.1875</v>
      </c>
      <c r="M274" s="973" t="inlineStr">
        <is>
          <t>Windows; macOS; Linux; IaaS</t>
        </is>
      </c>
      <c r="N274" s="973" t="inlineStr">
        <is>
          <t>https://attack.mitre.org/techniques/T1059/</t>
        </is>
      </c>
      <c r="O274" s="973" t="n"/>
      <c r="P274" s="973" t="n"/>
    </row>
    <row r="275">
      <c r="A275" s="973" t="inlineStr">
        <is>
          <t>Cybercriminal</t>
        </is>
      </c>
      <c r="B275" s="973" t="inlineStr">
        <is>
          <t>Sensitive-data compromise</t>
        </is>
      </c>
      <c r="C275" s="973" t="inlineStr">
        <is>
          <t>User endpoint and social engineering</t>
        </is>
      </c>
      <c r="D275" s="973" t="inlineStr">
        <is>
          <t>T1068</t>
        </is>
      </c>
      <c r="E275" s="973" t="inlineStr">
        <is>
          <t>Exploitation for Privilege Escalation</t>
        </is>
      </c>
      <c r="F275" s="973" t="inlineStr">
        <is>
          <t>S3</t>
        </is>
      </c>
      <c r="G275" s="973" t="b">
        <v>1</v>
      </c>
      <c r="H275" s="973" t="b">
        <v>1</v>
      </c>
      <c r="I275" s="973" t="b">
        <v>1</v>
      </c>
      <c r="J275" s="973" t="n">
        <v>0.7</v>
      </c>
      <c r="K275" s="973" t="n">
        <v>0.2094165115356445</v>
      </c>
      <c r="L275" s="973" t="n">
        <v>0.2094165115356445</v>
      </c>
      <c r="M275" s="973" t="inlineStr">
        <is>
          <t>Windows; macOS; Linux</t>
        </is>
      </c>
      <c r="N275" s="973" t="inlineStr">
        <is>
          <t>https://attack.mitre.org/techniques/T1068/</t>
        </is>
      </c>
      <c r="O275" s="973" t="n"/>
      <c r="P275" s="973" t="n"/>
    </row>
    <row r="276">
      <c r="A276" s="973" t="inlineStr">
        <is>
          <t>Cybercriminal</t>
        </is>
      </c>
      <c r="B276" s="973" t="inlineStr">
        <is>
          <t>Sensitive-data compromise</t>
        </is>
      </c>
      <c r="C276" s="973" t="inlineStr">
        <is>
          <t>User endpoint and social engineering</t>
        </is>
      </c>
      <c r="D276" s="973" t="inlineStr">
        <is>
          <t>T1003</t>
        </is>
      </c>
      <c r="E276" s="973" t="inlineStr">
        <is>
          <t>OS Credential Dumping</t>
        </is>
      </c>
      <c r="F276" s="973" t="inlineStr">
        <is>
          <t>S3</t>
        </is>
      </c>
      <c r="G276" s="973" t="b">
        <v>1</v>
      </c>
      <c r="H276" s="973" t="b">
        <v>1</v>
      </c>
      <c r="I276" s="973" t="b">
        <v>1</v>
      </c>
      <c r="J276" s="973" t="n">
        <v>0.8</v>
      </c>
      <c r="K276" s="973" t="n">
        <v>0.232294921875</v>
      </c>
      <c r="L276" s="973" t="n">
        <v>0.232294921875</v>
      </c>
      <c r="M276" s="973" t="inlineStr">
        <is>
          <t>Windows; Linux; macOS</t>
        </is>
      </c>
      <c r="N276" s="973" t="inlineStr">
        <is>
          <t>https://attack.mitre.org/techniques/T1003/</t>
        </is>
      </c>
      <c r="O276" s="973" t="n"/>
      <c r="P276" s="973" t="n"/>
    </row>
    <row r="277">
      <c r="A277" s="973" t="inlineStr">
        <is>
          <t>Cybercriminal</t>
        </is>
      </c>
      <c r="B277" s="973" t="inlineStr">
        <is>
          <t>Sensitive-data compromise</t>
        </is>
      </c>
      <c r="C277" s="973" t="inlineStr">
        <is>
          <t>User endpoint and social engineering</t>
        </is>
      </c>
      <c r="D277" s="973" t="inlineStr">
        <is>
          <t>T1046</t>
        </is>
      </c>
      <c r="E277" s="973" t="inlineStr">
        <is>
          <t>Network Service Discovery</t>
        </is>
      </c>
      <c r="F277" s="973" t="inlineStr">
        <is>
          <t>S4</t>
        </is>
      </c>
      <c r="G277" s="973" t="b">
        <v>1</v>
      </c>
      <c r="H277" s="973" t="b">
        <v>1</v>
      </c>
      <c r="I277" s="973" t="b">
        <v>1</v>
      </c>
      <c r="J277" s="973" t="n">
        <v>0.6</v>
      </c>
      <c r="K277" s="973" t="n">
        <v>0.16875</v>
      </c>
      <c r="L277" s="973" t="n">
        <v>0.16875</v>
      </c>
      <c r="M277" s="973" t="inlineStr">
        <is>
          <t>Network Devices; Windows; Linux</t>
        </is>
      </c>
      <c r="N277" s="973" t="inlineStr">
        <is>
          <t>https://attack.mitre.org/techniques/T1046/</t>
        </is>
      </c>
      <c r="O277" s="973" t="n"/>
      <c r="P277" s="973" t="n"/>
    </row>
    <row r="278">
      <c r="A278" s="973" t="inlineStr">
        <is>
          <t>Cybercriminal</t>
        </is>
      </c>
      <c r="B278" s="973" t="inlineStr">
        <is>
          <t>Sensitive-data compromise</t>
        </is>
      </c>
      <c r="C278" s="973" t="inlineStr">
        <is>
          <t>User endpoint and social engineering</t>
        </is>
      </c>
      <c r="D278" s="973" t="inlineStr">
        <is>
          <t>T1021</t>
        </is>
      </c>
      <c r="E278" s="973" t="inlineStr">
        <is>
          <t>Remote Services</t>
        </is>
      </c>
      <c r="F278" s="973" t="inlineStr">
        <is>
          <t>S4</t>
        </is>
      </c>
      <c r="G278" s="973" t="b">
        <v>1</v>
      </c>
      <c r="H278" s="973" t="b">
        <v>1</v>
      </c>
      <c r="I278" s="973" t="b">
        <v>1</v>
      </c>
      <c r="J278" s="973" t="n">
        <v>0.8</v>
      </c>
      <c r="K278" s="973" t="n">
        <v>0.1875</v>
      </c>
      <c r="L278" s="973" t="n">
        <v>0.1875</v>
      </c>
      <c r="M278" s="973" t="inlineStr">
        <is>
          <t>Windows; Linux; Network Devices</t>
        </is>
      </c>
      <c r="N278" s="973" t="inlineStr">
        <is>
          <t>https://attack.mitre.org/techniques/T1021/</t>
        </is>
      </c>
      <c r="O278" s="973" t="n"/>
      <c r="P278" s="973" t="n"/>
    </row>
    <row r="279">
      <c r="A279" s="973" t="inlineStr">
        <is>
          <t>Cybercriminal</t>
        </is>
      </c>
      <c r="B279" s="973" t="inlineStr">
        <is>
          <t>Sensitive-data compromise</t>
        </is>
      </c>
      <c r="C279" s="973" t="inlineStr">
        <is>
          <t>User endpoint and social engineering</t>
        </is>
      </c>
      <c r="D279" s="973" t="inlineStr">
        <is>
          <t>T1213</t>
        </is>
      </c>
      <c r="E279" s="973" t="inlineStr">
        <is>
          <t>Data from Information Repositories</t>
        </is>
      </c>
      <c r="F279" s="973" t="inlineStr">
        <is>
          <t>S4</t>
        </is>
      </c>
      <c r="G279" s="973" t="b">
        <v>1</v>
      </c>
      <c r="H279" s="973" t="b">
        <v>1</v>
      </c>
      <c r="I279" s="973" t="b">
        <v>1</v>
      </c>
      <c r="J279" s="973" t="n">
        <v>0.7</v>
      </c>
      <c r="K279" s="973" t="n">
        <v>0.177890625</v>
      </c>
      <c r="L279" s="973" t="n">
        <v>0.177890625</v>
      </c>
      <c r="M279" s="973" t="inlineStr">
        <is>
          <t>SaaS; Office Suite; Windows</t>
        </is>
      </c>
      <c r="N279" s="973" t="inlineStr">
        <is>
          <t>https://attack.mitre.org/techniques/T1213/</t>
        </is>
      </c>
      <c r="O279" s="973" t="n"/>
      <c r="P279" s="973" t="n"/>
    </row>
    <row r="280">
      <c r="A280" s="973" t="inlineStr">
        <is>
          <t>Cybercriminal</t>
        </is>
      </c>
      <c r="B280" s="973" t="inlineStr">
        <is>
          <t>Sensitive-data compromise</t>
        </is>
      </c>
      <c r="C280" s="973" t="inlineStr">
        <is>
          <t>User endpoint and social engineering</t>
        </is>
      </c>
      <c r="D280" s="973" t="inlineStr">
        <is>
          <t>T1486</t>
        </is>
      </c>
      <c r="E280" s="973" t="inlineStr">
        <is>
          <t>Data Encrypted for Impact</t>
        </is>
      </c>
      <c r="F280" s="973" t="inlineStr">
        <is>
          <t>S5</t>
        </is>
      </c>
      <c r="G280" s="973" t="b">
        <v>1</v>
      </c>
      <c r="H280" s="973" t="b">
        <v>0</v>
      </c>
      <c r="I280" s="973" t="b">
        <v>0</v>
      </c>
      <c r="J280" s="973" t="n">
        <v>0.8</v>
      </c>
      <c r="K280" s="973" t="n">
        <v>0.16875</v>
      </c>
      <c r="L280" s="973" t="n">
        <v>0.16875</v>
      </c>
      <c r="M280" s="973" t="inlineStr">
        <is>
          <t>Windows; Linux; IaaS</t>
        </is>
      </c>
      <c r="N280" s="973" t="inlineStr">
        <is>
          <t>https://attack.mitre.org/techniques/T1486/</t>
        </is>
      </c>
      <c r="O280" s="973" t="n"/>
      <c r="P280" s="973" t="n"/>
    </row>
    <row r="281">
      <c r="A281" s="973" t="inlineStr">
        <is>
          <t>Cybercriminal</t>
        </is>
      </c>
      <c r="B281" s="973" t="inlineStr">
        <is>
          <t>Sensitive-data compromise</t>
        </is>
      </c>
      <c r="C281" s="973" t="inlineStr">
        <is>
          <t>User endpoint and social engineering</t>
        </is>
      </c>
      <c r="D281" s="973" t="inlineStr">
        <is>
          <t>T1490</t>
        </is>
      </c>
      <c r="E281" s="973" t="inlineStr">
        <is>
          <t>Inhibit System Recovery</t>
        </is>
      </c>
      <c r="F281" s="973" t="inlineStr">
        <is>
          <t>S5</t>
        </is>
      </c>
      <c r="G281" s="973" t="b">
        <v>1</v>
      </c>
      <c r="H281" s="973" t="b">
        <v>0</v>
      </c>
      <c r="I281" s="973" t="b">
        <v>0</v>
      </c>
      <c r="J281" s="973" t="n">
        <v>0.7</v>
      </c>
      <c r="K281" s="973" t="n">
        <v>0</v>
      </c>
      <c r="L281" s="973" t="n">
        <v>0</v>
      </c>
      <c r="M281" s="973" t="inlineStr">
        <is>
          <t>Windows; Linux; IaaS</t>
        </is>
      </c>
      <c r="N281" s="973" t="inlineStr">
        <is>
          <t>https://attack.mitre.org/techniques/T1490/</t>
        </is>
      </c>
      <c r="O281" s="973" t="n"/>
      <c r="P281" s="973" t="n"/>
    </row>
    <row r="282">
      <c r="A282" s="973" t="inlineStr">
        <is>
          <t>Cybercriminal</t>
        </is>
      </c>
      <c r="B282" s="973" t="inlineStr">
        <is>
          <t>Sensitive-data compromise</t>
        </is>
      </c>
      <c r="C282" s="973" t="inlineStr">
        <is>
          <t>User endpoint and social engineering</t>
        </is>
      </c>
      <c r="D282" s="973" t="inlineStr">
        <is>
          <t>T1567</t>
        </is>
      </c>
      <c r="E282" s="973" t="inlineStr">
        <is>
          <t>Exfiltration Over Web Service</t>
        </is>
      </c>
      <c r="F282" s="973" t="inlineStr">
        <is>
          <t>S5</t>
        </is>
      </c>
      <c r="G282" s="973" t="b">
        <v>1</v>
      </c>
      <c r="H282" s="973" t="b">
        <v>1</v>
      </c>
      <c r="I282" s="973" t="b">
        <v>1</v>
      </c>
      <c r="J282" s="973" t="n">
        <v>0.7</v>
      </c>
      <c r="K282" s="973" t="n">
        <v>0.20625</v>
      </c>
      <c r="L282" s="973" t="n">
        <v>0.20625</v>
      </c>
      <c r="M282" s="973" t="inlineStr">
        <is>
          <t>SaaS; Office Suite</t>
        </is>
      </c>
      <c r="N282" s="973" t="inlineStr">
        <is>
          <t>https://attack.mitre.org/techniques/T1567/</t>
        </is>
      </c>
      <c r="O282" s="973" t="n"/>
      <c r="P282" s="973" t="n"/>
    </row>
    <row r="283">
      <c r="A283" s="973" t="inlineStr">
        <is>
          <t>Cybercriminal</t>
        </is>
      </c>
      <c r="B283" s="973" t="inlineStr">
        <is>
          <t>Sensitive-data compromise</t>
        </is>
      </c>
      <c r="C283" s="973" t="inlineStr">
        <is>
          <t>User endpoint and social engineering</t>
        </is>
      </c>
      <c r="D283" s="973" t="inlineStr">
        <is>
          <t>T1657</t>
        </is>
      </c>
      <c r="E283" s="973" t="inlineStr">
        <is>
          <t>Financial Theft</t>
        </is>
      </c>
      <c r="F283" s="973" t="inlineStr">
        <is>
          <t>S5</t>
        </is>
      </c>
      <c r="G283" s="973" t="b">
        <v>1</v>
      </c>
      <c r="H283" s="973" t="b">
        <v>0</v>
      </c>
      <c r="I283" s="973" t="b">
        <v>0</v>
      </c>
      <c r="J283" s="973" t="n">
        <v>0.5</v>
      </c>
      <c r="K283" s="973" t="n">
        <v>0.275654296875</v>
      </c>
      <c r="L283" s="973" t="n">
        <v>0.275654296875</v>
      </c>
      <c r="M283" s="973" t="inlineStr">
        <is>
          <t>SaaS; Office Suite; Identity Provider</t>
        </is>
      </c>
      <c r="N283" s="973" t="inlineStr">
        <is>
          <t>https://attack.mitre.org/techniques/T1657/</t>
        </is>
      </c>
      <c r="O283" s="973" t="n"/>
      <c r="P283" s="973" t="n"/>
    </row>
    <row r="284">
      <c r="A284" s="973" t="inlineStr">
        <is>
          <t>Cybercriminal</t>
        </is>
      </c>
      <c r="B284" s="973" t="inlineStr">
        <is>
          <t>Sensitive-data compromise</t>
        </is>
      </c>
      <c r="C284" s="973" t="inlineStr">
        <is>
          <t>User endpoint and social engineering</t>
        </is>
      </c>
      <c r="D284" s="973" t="inlineStr">
        <is>
          <t>T1565</t>
        </is>
      </c>
      <c r="E284" s="973" t="inlineStr">
        <is>
          <t>Data Manipulation</t>
        </is>
      </c>
      <c r="F284" s="973" t="inlineStr">
        <is>
          <t>S5</t>
        </is>
      </c>
      <c r="G284" s="973" t="b">
        <v>1</v>
      </c>
      <c r="H284" s="973" t="b">
        <v>0</v>
      </c>
      <c r="I284" s="973" t="b">
        <v>0</v>
      </c>
      <c r="J284" s="973" t="n">
        <v>0.5</v>
      </c>
      <c r="K284" s="973" t="n">
        <v>0.2206064987182617</v>
      </c>
      <c r="L284" s="973" t="n">
        <v>0.2206064987182617</v>
      </c>
      <c r="M284" s="973" t="inlineStr">
        <is>
          <t>SaaS; Databases; Windows</t>
        </is>
      </c>
      <c r="N284" s="973" t="inlineStr">
        <is>
          <t>https://attack.mitre.org/techniques/T1565/</t>
        </is>
      </c>
      <c r="O284" s="973" t="n"/>
      <c r="P284" s="973" t="n"/>
    </row>
    <row r="285">
      <c r="A285" s="973" t="inlineStr">
        <is>
          <t>Cybercriminal</t>
        </is>
      </c>
      <c r="B285" s="973" t="inlineStr">
        <is>
          <t>Sensitive-data compromise</t>
        </is>
      </c>
      <c r="C285" s="973" t="inlineStr">
        <is>
          <t>Public-facing application exploitation</t>
        </is>
      </c>
      <c r="D285" s="973" t="inlineStr">
        <is>
          <t>T1190</t>
        </is>
      </c>
      <c r="E285" s="973" t="inlineStr">
        <is>
          <t>Exploit Public-Facing Application</t>
        </is>
      </c>
      <c r="F285" s="973" t="inlineStr">
        <is>
          <t>S1</t>
        </is>
      </c>
      <c r="G285" s="973" t="b">
        <v>1</v>
      </c>
      <c r="H285" s="973" t="b">
        <v>1</v>
      </c>
      <c r="I285" s="973" t="b">
        <v>1</v>
      </c>
      <c r="J285" s="973" t="n">
        <v>1</v>
      </c>
      <c r="K285" s="973" t="n">
        <v>0.2496630477905274</v>
      </c>
      <c r="L285" s="973" t="n">
        <v>0.2496630477905274</v>
      </c>
      <c r="M285" s="973" t="inlineStr">
        <is>
          <t>Network Devices; SaaS; IaaS</t>
        </is>
      </c>
      <c r="N285" s="973" t="inlineStr">
        <is>
          <t>https://attack.mitre.org/techniques/T1190/</t>
        </is>
      </c>
      <c r="O285" s="973" t="n"/>
      <c r="P285" s="973" t="n"/>
    </row>
    <row r="286">
      <c r="A286" s="973" t="inlineStr">
        <is>
          <t>Cybercriminal</t>
        </is>
      </c>
      <c r="B286" s="973" t="inlineStr">
        <is>
          <t>Sensitive-data compromise</t>
        </is>
      </c>
      <c r="C286" s="973" t="inlineStr">
        <is>
          <t>Public-facing application exploitation</t>
        </is>
      </c>
      <c r="D286" s="973" t="inlineStr">
        <is>
          <t>T1059</t>
        </is>
      </c>
      <c r="E286" s="973" t="inlineStr">
        <is>
          <t>Command and Scripting Interpreter</t>
        </is>
      </c>
      <c r="F286" s="973" t="inlineStr">
        <is>
          <t>S2</t>
        </is>
      </c>
      <c r="G286" s="973" t="b">
        <v>1</v>
      </c>
      <c r="H286" s="973" t="b">
        <v>1</v>
      </c>
      <c r="I286" s="973" t="b">
        <v>1</v>
      </c>
      <c r="J286" s="973" t="n">
        <v>0.8</v>
      </c>
      <c r="K286" s="973" t="n">
        <v>0.1875</v>
      </c>
      <c r="L286" s="973" t="n">
        <v>0.1875</v>
      </c>
      <c r="M286" s="973" t="inlineStr">
        <is>
          <t>Windows; macOS; Linux; IaaS</t>
        </is>
      </c>
      <c r="N286" s="973" t="inlineStr">
        <is>
          <t>https://attack.mitre.org/techniques/T1059/</t>
        </is>
      </c>
      <c r="O286" s="973" t="n"/>
      <c r="P286" s="973" t="n"/>
    </row>
    <row r="287">
      <c r="A287" s="973" t="inlineStr">
        <is>
          <t>Cybercriminal</t>
        </is>
      </c>
      <c r="B287" s="973" t="inlineStr">
        <is>
          <t>Sensitive-data compromise</t>
        </is>
      </c>
      <c r="C287" s="973" t="inlineStr">
        <is>
          <t>Public-facing application exploitation</t>
        </is>
      </c>
      <c r="D287" s="973" t="inlineStr">
        <is>
          <t>T1068</t>
        </is>
      </c>
      <c r="E287" s="973" t="inlineStr">
        <is>
          <t>Exploitation for Privilege Escalation</t>
        </is>
      </c>
      <c r="F287" s="973" t="inlineStr">
        <is>
          <t>S3</t>
        </is>
      </c>
      <c r="G287" s="973" t="b">
        <v>1</v>
      </c>
      <c r="H287" s="973" t="b">
        <v>1</v>
      </c>
      <c r="I287" s="973" t="b">
        <v>1</v>
      </c>
      <c r="J287" s="973" t="n">
        <v>0.7</v>
      </c>
      <c r="K287" s="973" t="n">
        <v>0.2094165115356445</v>
      </c>
      <c r="L287" s="973" t="n">
        <v>0.2094165115356445</v>
      </c>
      <c r="M287" s="973" t="inlineStr">
        <is>
          <t>Windows; macOS; Linux</t>
        </is>
      </c>
      <c r="N287" s="973" t="inlineStr">
        <is>
          <t>https://attack.mitre.org/techniques/T1068/</t>
        </is>
      </c>
      <c r="O287" s="973" t="n"/>
      <c r="P287" s="973" t="n"/>
    </row>
    <row r="288">
      <c r="A288" s="973" t="inlineStr">
        <is>
          <t>Cybercriminal</t>
        </is>
      </c>
      <c r="B288" s="973" t="inlineStr">
        <is>
          <t>Sensitive-data compromise</t>
        </is>
      </c>
      <c r="C288" s="973" t="inlineStr">
        <is>
          <t>Public-facing application exploitation</t>
        </is>
      </c>
      <c r="D288" s="973" t="inlineStr">
        <is>
          <t>T1003</t>
        </is>
      </c>
      <c r="E288" s="973" t="inlineStr">
        <is>
          <t>OS Credential Dumping</t>
        </is>
      </c>
      <c r="F288" s="973" t="inlineStr">
        <is>
          <t>S3</t>
        </is>
      </c>
      <c r="G288" s="973" t="b">
        <v>1</v>
      </c>
      <c r="H288" s="973" t="b">
        <v>1</v>
      </c>
      <c r="I288" s="973" t="b">
        <v>1</v>
      </c>
      <c r="J288" s="973" t="n">
        <v>0.6</v>
      </c>
      <c r="K288" s="973" t="n">
        <v>0.232294921875</v>
      </c>
      <c r="L288" s="973" t="n">
        <v>0.232294921875</v>
      </c>
      <c r="M288" s="973" t="inlineStr">
        <is>
          <t>Windows; Linux; macOS</t>
        </is>
      </c>
      <c r="N288" s="973" t="inlineStr">
        <is>
          <t>https://attack.mitre.org/techniques/T1003/</t>
        </is>
      </c>
      <c r="O288" s="973" t="n"/>
      <c r="P288" s="973" t="n"/>
    </row>
    <row r="289">
      <c r="A289" s="973" t="inlineStr">
        <is>
          <t>Cybercriminal</t>
        </is>
      </c>
      <c r="B289" s="973" t="inlineStr">
        <is>
          <t>Sensitive-data compromise</t>
        </is>
      </c>
      <c r="C289" s="973" t="inlineStr">
        <is>
          <t>Public-facing application exploitation</t>
        </is>
      </c>
      <c r="D289" s="973" t="inlineStr">
        <is>
          <t>T1046</t>
        </is>
      </c>
      <c r="E289" s="973" t="inlineStr">
        <is>
          <t>Network Service Discovery</t>
        </is>
      </c>
      <c r="F289" s="973" t="inlineStr">
        <is>
          <t>S4</t>
        </is>
      </c>
      <c r="G289" s="973" t="b">
        <v>1</v>
      </c>
      <c r="H289" s="973" t="b">
        <v>1</v>
      </c>
      <c r="I289" s="973" t="b">
        <v>1</v>
      </c>
      <c r="J289" s="973" t="n">
        <v>0.7</v>
      </c>
      <c r="K289" s="973" t="n">
        <v>0.16875</v>
      </c>
      <c r="L289" s="973" t="n">
        <v>0.16875</v>
      </c>
      <c r="M289" s="973" t="inlineStr">
        <is>
          <t>Network Devices; Windows; Linux</t>
        </is>
      </c>
      <c r="N289" s="973" t="inlineStr">
        <is>
          <t>https://attack.mitre.org/techniques/T1046/</t>
        </is>
      </c>
      <c r="O289" s="973" t="n"/>
      <c r="P289" s="973" t="n"/>
    </row>
    <row r="290">
      <c r="A290" s="973" t="inlineStr">
        <is>
          <t>Cybercriminal</t>
        </is>
      </c>
      <c r="B290" s="973" t="inlineStr">
        <is>
          <t>Sensitive-data compromise</t>
        </is>
      </c>
      <c r="C290" s="973" t="inlineStr">
        <is>
          <t>Public-facing application exploitation</t>
        </is>
      </c>
      <c r="D290" s="973" t="inlineStr">
        <is>
          <t>T1210</t>
        </is>
      </c>
      <c r="E290" s="973" t="inlineStr">
        <is>
          <t>Exploitation of Remote Services</t>
        </is>
      </c>
      <c r="F290" s="973" t="inlineStr">
        <is>
          <t>S4</t>
        </is>
      </c>
      <c r="G290" s="973" t="b">
        <v>1</v>
      </c>
      <c r="H290" s="973" t="b">
        <v>1</v>
      </c>
      <c r="I290" s="973" t="b">
        <v>1</v>
      </c>
      <c r="J290" s="973" t="n">
        <v>0.9</v>
      </c>
      <c r="K290" s="973" t="n">
        <v>0.2103495368957519</v>
      </c>
      <c r="L290" s="973" t="n">
        <v>0.2103495368957519</v>
      </c>
      <c r="M290" s="973" t="inlineStr">
        <is>
          <t>Windows; Linux; Network Devices</t>
        </is>
      </c>
      <c r="N290" s="973" t="inlineStr">
        <is>
          <t>https://attack.mitre.org/techniques/T1210/</t>
        </is>
      </c>
      <c r="O290" s="973" t="n"/>
      <c r="P290" s="973" t="n"/>
    </row>
    <row r="291">
      <c r="A291" s="973" t="inlineStr">
        <is>
          <t>Cybercriminal</t>
        </is>
      </c>
      <c r="B291" s="973" t="inlineStr">
        <is>
          <t>Sensitive-data compromise</t>
        </is>
      </c>
      <c r="C291" s="973" t="inlineStr">
        <is>
          <t>Public-facing application exploitation</t>
        </is>
      </c>
      <c r="D291" s="973" t="inlineStr">
        <is>
          <t>T1021</t>
        </is>
      </c>
      <c r="E291" s="973" t="inlineStr">
        <is>
          <t>Remote Services</t>
        </is>
      </c>
      <c r="F291" s="973" t="inlineStr">
        <is>
          <t>S4</t>
        </is>
      </c>
      <c r="G291" s="973" t="b">
        <v>1</v>
      </c>
      <c r="H291" s="973" t="b">
        <v>1</v>
      </c>
      <c r="I291" s="973" t="b">
        <v>1</v>
      </c>
      <c r="J291" s="973" t="n">
        <v>0.7</v>
      </c>
      <c r="K291" s="973" t="n">
        <v>0.1875</v>
      </c>
      <c r="L291" s="973" t="n">
        <v>0.1875</v>
      </c>
      <c r="M291" s="973" t="inlineStr">
        <is>
          <t>Windows; Linux; Network Devices</t>
        </is>
      </c>
      <c r="N291" s="973" t="inlineStr">
        <is>
          <t>https://attack.mitre.org/techniques/T1021/</t>
        </is>
      </c>
      <c r="O291" s="973" t="n"/>
      <c r="P291" s="973" t="n"/>
    </row>
    <row r="292">
      <c r="A292" s="973" t="inlineStr">
        <is>
          <t>Cybercriminal</t>
        </is>
      </c>
      <c r="B292" s="973" t="inlineStr">
        <is>
          <t>Sensitive-data compromise</t>
        </is>
      </c>
      <c r="C292" s="973" t="inlineStr">
        <is>
          <t>Public-facing application exploitation</t>
        </is>
      </c>
      <c r="D292" s="973" t="inlineStr">
        <is>
          <t>T1486</t>
        </is>
      </c>
      <c r="E292" s="973" t="inlineStr">
        <is>
          <t>Data Encrypted for Impact</t>
        </is>
      </c>
      <c r="F292" s="973" t="inlineStr">
        <is>
          <t>S5</t>
        </is>
      </c>
      <c r="G292" s="973" t="b">
        <v>1</v>
      </c>
      <c r="H292" s="973" t="b">
        <v>0</v>
      </c>
      <c r="I292" s="973" t="b">
        <v>0</v>
      </c>
      <c r="J292" s="973" t="n">
        <v>0.6</v>
      </c>
      <c r="K292" s="973" t="n">
        <v>0.16875</v>
      </c>
      <c r="L292" s="973" t="n">
        <v>0.16875</v>
      </c>
      <c r="M292" s="973" t="inlineStr">
        <is>
          <t>Windows; Linux; IaaS</t>
        </is>
      </c>
      <c r="N292" s="973" t="inlineStr">
        <is>
          <t>https://attack.mitre.org/techniques/T1486/</t>
        </is>
      </c>
      <c r="O292" s="973" t="n"/>
      <c r="P292" s="973" t="n"/>
    </row>
    <row r="293">
      <c r="A293" s="973" t="inlineStr">
        <is>
          <t>Cybercriminal</t>
        </is>
      </c>
      <c r="B293" s="973" t="inlineStr">
        <is>
          <t>Sensitive-data compromise</t>
        </is>
      </c>
      <c r="C293" s="973" t="inlineStr">
        <is>
          <t>Public-facing application exploitation</t>
        </is>
      </c>
      <c r="D293" s="973" t="inlineStr">
        <is>
          <t>T1490</t>
        </is>
      </c>
      <c r="E293" s="973" t="inlineStr">
        <is>
          <t>Inhibit System Recovery</t>
        </is>
      </c>
      <c r="F293" s="973" t="inlineStr">
        <is>
          <t>S5</t>
        </is>
      </c>
      <c r="G293" s="973" t="b">
        <v>1</v>
      </c>
      <c r="H293" s="973" t="b">
        <v>0</v>
      </c>
      <c r="I293" s="973" t="b">
        <v>0</v>
      </c>
      <c r="J293" s="973" t="n">
        <v>0.5</v>
      </c>
      <c r="K293" s="973" t="n">
        <v>0</v>
      </c>
      <c r="L293" s="973" t="n">
        <v>0</v>
      </c>
      <c r="M293" s="973" t="inlineStr">
        <is>
          <t>Windows; Linux; IaaS</t>
        </is>
      </c>
      <c r="N293" s="973" t="inlineStr">
        <is>
          <t>https://attack.mitre.org/techniques/T1490/</t>
        </is>
      </c>
      <c r="O293" s="973" t="n"/>
      <c r="P293" s="973" t="n"/>
    </row>
    <row r="294">
      <c r="A294" s="973" t="inlineStr">
        <is>
          <t>Cybercriminal</t>
        </is>
      </c>
      <c r="B294" s="973" t="inlineStr">
        <is>
          <t>Sensitive-data compromise</t>
        </is>
      </c>
      <c r="C294" s="973" t="inlineStr">
        <is>
          <t>Public-facing application exploitation</t>
        </is>
      </c>
      <c r="D294" s="973" t="inlineStr">
        <is>
          <t>T1567</t>
        </is>
      </c>
      <c r="E294" s="973" t="inlineStr">
        <is>
          <t>Exfiltration Over Web Service</t>
        </is>
      </c>
      <c r="F294" s="973" t="inlineStr">
        <is>
          <t>S5</t>
        </is>
      </c>
      <c r="G294" s="973" t="b">
        <v>1</v>
      </c>
      <c r="H294" s="973" t="b">
        <v>1</v>
      </c>
      <c r="I294" s="973" t="b">
        <v>1</v>
      </c>
      <c r="J294" s="973" t="n">
        <v>0.6</v>
      </c>
      <c r="K294" s="973" t="n">
        <v>0.20625</v>
      </c>
      <c r="L294" s="973" t="n">
        <v>0.20625</v>
      </c>
      <c r="M294" s="973" t="inlineStr">
        <is>
          <t>SaaS; Office Suite</t>
        </is>
      </c>
      <c r="N294" s="973" t="inlineStr">
        <is>
          <t>https://attack.mitre.org/techniques/T1567/</t>
        </is>
      </c>
      <c r="O294" s="973" t="n"/>
      <c r="P294" s="973" t="n"/>
    </row>
    <row r="295">
      <c r="A295" s="973" t="inlineStr">
        <is>
          <t>Cybercriminal</t>
        </is>
      </c>
      <c r="B295" s="973" t="inlineStr">
        <is>
          <t>Sensitive-data compromise</t>
        </is>
      </c>
      <c r="C295" s="973" t="inlineStr">
        <is>
          <t>Public-facing application exploitation</t>
        </is>
      </c>
      <c r="D295" s="973" t="inlineStr">
        <is>
          <t>T1565</t>
        </is>
      </c>
      <c r="E295" s="973" t="inlineStr">
        <is>
          <t>Data Manipulation</t>
        </is>
      </c>
      <c r="F295" s="973" t="inlineStr">
        <is>
          <t>S5</t>
        </is>
      </c>
      <c r="G295" s="973" t="b">
        <v>1</v>
      </c>
      <c r="H295" s="973" t="b">
        <v>0</v>
      </c>
      <c r="I295" s="973" t="b">
        <v>0</v>
      </c>
      <c r="J295" s="973" t="n">
        <v>0.6</v>
      </c>
      <c r="K295" s="973" t="n">
        <v>0.2206064987182617</v>
      </c>
      <c r="L295" s="973" t="n">
        <v>0.2206064987182617</v>
      </c>
      <c r="M295" s="973" t="inlineStr">
        <is>
          <t>SaaS; Databases; Windows</t>
        </is>
      </c>
      <c r="N295" s="973" t="inlineStr">
        <is>
          <t>https://attack.mitre.org/techniques/T1565/</t>
        </is>
      </c>
      <c r="O295" s="973" t="n"/>
      <c r="P295" s="973" t="n"/>
    </row>
    <row r="296">
      <c r="A296" s="973" t="inlineStr">
        <is>
          <t>Cybercriminal</t>
        </is>
      </c>
      <c r="B296" s="973" t="inlineStr">
        <is>
          <t>Sensitive-data compromise</t>
        </is>
      </c>
      <c r="C296" s="973" t="inlineStr">
        <is>
          <t>Public-facing application exploitation</t>
        </is>
      </c>
      <c r="D296" s="973" t="inlineStr">
        <is>
          <t>T1657</t>
        </is>
      </c>
      <c r="E296" s="973" t="inlineStr">
        <is>
          <t>Financial Theft</t>
        </is>
      </c>
      <c r="F296" s="973" t="inlineStr">
        <is>
          <t>S5</t>
        </is>
      </c>
      <c r="G296" s="973" t="b">
        <v>1</v>
      </c>
      <c r="H296" s="973" t="b">
        <v>0</v>
      </c>
      <c r="I296" s="973" t="b">
        <v>0</v>
      </c>
      <c r="J296" s="973" t="n">
        <v>0.4</v>
      </c>
      <c r="K296" s="973" t="n">
        <v>0.275654296875</v>
      </c>
      <c r="L296" s="973" t="n">
        <v>0.275654296875</v>
      </c>
      <c r="M296" s="973" t="inlineStr">
        <is>
          <t>SaaS; Office Suite; Identity Provider</t>
        </is>
      </c>
      <c r="N296" s="973" t="inlineStr">
        <is>
          <t>https://attack.mitre.org/techniques/T1657/</t>
        </is>
      </c>
      <c r="O296" s="973" t="n"/>
      <c r="P296" s="973" t="n"/>
    </row>
    <row r="297">
      <c r="A297" s="973" t="inlineStr">
        <is>
          <t>Cybercriminal</t>
        </is>
      </c>
      <c r="B297" s="973" t="inlineStr">
        <is>
          <t>Sensitive-data compromise</t>
        </is>
      </c>
      <c r="C297" s="973" t="inlineStr">
        <is>
          <t>Third-party or software supply chain</t>
        </is>
      </c>
      <c r="D297" s="973" t="inlineStr">
        <is>
          <t>T1199</t>
        </is>
      </c>
      <c r="E297" s="973" t="inlineStr">
        <is>
          <t>Trusted Relationship</t>
        </is>
      </c>
      <c r="F297" s="973" t="inlineStr">
        <is>
          <t>S3</t>
        </is>
      </c>
      <c r="G297" s="973" t="b">
        <v>1</v>
      </c>
      <c r="H297" s="973" t="b">
        <v>1</v>
      </c>
      <c r="I297" s="973" t="b">
        <v>1</v>
      </c>
      <c r="J297" s="973" t="n">
        <v>1</v>
      </c>
      <c r="K297" s="973" t="n">
        <v>0.20625</v>
      </c>
      <c r="L297" s="973" t="n">
        <v>0.20625</v>
      </c>
      <c r="M297" s="973" t="inlineStr">
        <is>
          <t>SaaS; IaaS; Network Devices</t>
        </is>
      </c>
      <c r="N297" s="973" t="inlineStr">
        <is>
          <t>https://attack.mitre.org/techniques/T1199/</t>
        </is>
      </c>
      <c r="O297" s="973" t="n"/>
      <c r="P297" s="973" t="n"/>
    </row>
    <row r="298">
      <c r="A298" s="973" t="inlineStr">
        <is>
          <t>Cybercriminal</t>
        </is>
      </c>
      <c r="B298" s="973" t="inlineStr">
        <is>
          <t>Sensitive-data compromise</t>
        </is>
      </c>
      <c r="C298" s="973" t="inlineStr">
        <is>
          <t>Third-party or software supply chain</t>
        </is>
      </c>
      <c r="D298" s="973" t="inlineStr">
        <is>
          <t>T1098</t>
        </is>
      </c>
      <c r="E298" s="973" t="inlineStr">
        <is>
          <t>Account Manipulation</t>
        </is>
      </c>
      <c r="F298" s="973" t="inlineStr">
        <is>
          <t>S3</t>
        </is>
      </c>
      <c r="G298" s="973" t="b">
        <v>1</v>
      </c>
      <c r="H298" s="973" t="b">
        <v>1</v>
      </c>
      <c r="I298" s="973" t="b">
        <v>1</v>
      </c>
      <c r="J298" s="973" t="n">
        <v>0.6</v>
      </c>
      <c r="K298" s="973" t="n">
        <v>0.2477547340393066</v>
      </c>
      <c r="L298" s="973" t="n">
        <v>0.2477547340393066</v>
      </c>
      <c r="M298" s="973" t="inlineStr">
        <is>
          <t>Identity Provider; SaaS; Windows</t>
        </is>
      </c>
      <c r="N298" s="973" t="inlineStr">
        <is>
          <t>https://attack.mitre.org/techniques/T1098/</t>
        </is>
      </c>
      <c r="O298" s="973" t="n"/>
      <c r="P298" s="973" t="n"/>
    </row>
    <row r="299">
      <c r="A299" s="973" t="inlineStr">
        <is>
          <t>Cybercriminal</t>
        </is>
      </c>
      <c r="B299" s="973" t="inlineStr">
        <is>
          <t>Sensitive-data compromise</t>
        </is>
      </c>
      <c r="C299" s="973" t="inlineStr">
        <is>
          <t>Third-party or software supply chain</t>
        </is>
      </c>
      <c r="D299" s="973" t="inlineStr">
        <is>
          <t>T1087</t>
        </is>
      </c>
      <c r="E299" s="973" t="inlineStr">
        <is>
          <t>Account Discovery</t>
        </is>
      </c>
      <c r="F299" s="973" t="inlineStr">
        <is>
          <t>S4</t>
        </is>
      </c>
      <c r="G299" s="973" t="b">
        <v>1</v>
      </c>
      <c r="H299" s="973" t="b">
        <v>1</v>
      </c>
      <c r="I299" s="973" t="b">
        <v>1</v>
      </c>
      <c r="J299" s="973" t="n">
        <v>0.5</v>
      </c>
      <c r="K299" s="973" t="n">
        <v>0</v>
      </c>
      <c r="L299" s="973" t="n">
        <v>0</v>
      </c>
      <c r="M299" s="973" t="inlineStr">
        <is>
          <t>Identity Provider; SaaS; Windows</t>
        </is>
      </c>
      <c r="N299" s="973" t="inlineStr">
        <is>
          <t>https://attack.mitre.org/techniques/T1087/</t>
        </is>
      </c>
      <c r="O299" s="973" t="n"/>
      <c r="P299" s="973" t="n"/>
    </row>
    <row r="300">
      <c r="A300" s="973" t="inlineStr">
        <is>
          <t>Cybercriminal</t>
        </is>
      </c>
      <c r="B300" s="973" t="inlineStr">
        <is>
          <t>Sensitive-data compromise</t>
        </is>
      </c>
      <c r="C300" s="973" t="inlineStr">
        <is>
          <t>Third-party or software supply chain</t>
        </is>
      </c>
      <c r="D300" s="973" t="inlineStr">
        <is>
          <t>T1213</t>
        </is>
      </c>
      <c r="E300" s="973" t="inlineStr">
        <is>
          <t>Data from Information Repositories</t>
        </is>
      </c>
      <c r="F300" s="973" t="inlineStr">
        <is>
          <t>S4</t>
        </is>
      </c>
      <c r="G300" s="973" t="b">
        <v>1</v>
      </c>
      <c r="H300" s="973" t="b">
        <v>1</v>
      </c>
      <c r="I300" s="973" t="b">
        <v>1</v>
      </c>
      <c r="J300" s="973" t="n">
        <v>0.7</v>
      </c>
      <c r="K300" s="973" t="n">
        <v>0.177890625</v>
      </c>
      <c r="L300" s="973" t="n">
        <v>0.177890625</v>
      </c>
      <c r="M300" s="973" t="inlineStr">
        <is>
          <t>SaaS; Office Suite; Windows</t>
        </is>
      </c>
      <c r="N300" s="973" t="inlineStr">
        <is>
          <t>https://attack.mitre.org/techniques/T1213/</t>
        </is>
      </c>
      <c r="O300" s="973" t="n"/>
      <c r="P300" s="973" t="n"/>
    </row>
    <row r="301">
      <c r="A301" s="973" t="inlineStr">
        <is>
          <t>Cybercriminal</t>
        </is>
      </c>
      <c r="B301" s="973" t="inlineStr">
        <is>
          <t>Sensitive-data compromise</t>
        </is>
      </c>
      <c r="C301" s="973" t="inlineStr">
        <is>
          <t>Third-party or software supply chain</t>
        </is>
      </c>
      <c r="D301" s="973" t="inlineStr">
        <is>
          <t>T1567</t>
        </is>
      </c>
      <c r="E301" s="973" t="inlineStr">
        <is>
          <t>Exfiltration Over Web Service</t>
        </is>
      </c>
      <c r="F301" s="973" t="inlineStr">
        <is>
          <t>S5</t>
        </is>
      </c>
      <c r="G301" s="973" t="b">
        <v>1</v>
      </c>
      <c r="H301" s="973" t="b">
        <v>1</v>
      </c>
      <c r="I301" s="973" t="b">
        <v>1</v>
      </c>
      <c r="J301" s="973" t="n">
        <v>0.6</v>
      </c>
      <c r="K301" s="973" t="n">
        <v>0.20625</v>
      </c>
      <c r="L301" s="973" t="n">
        <v>0.20625</v>
      </c>
      <c r="M301" s="973" t="inlineStr">
        <is>
          <t>SaaS; Office Suite</t>
        </is>
      </c>
      <c r="N301" s="973" t="inlineStr">
        <is>
          <t>https://attack.mitre.org/techniques/T1567/</t>
        </is>
      </c>
      <c r="O301" s="973" t="n"/>
      <c r="P301" s="973" t="n"/>
    </row>
    <row r="302">
      <c r="A302" s="973" t="inlineStr">
        <is>
          <t>Cybercriminal</t>
        </is>
      </c>
      <c r="B302" s="973" t="inlineStr">
        <is>
          <t>Sensitive-data compromise</t>
        </is>
      </c>
      <c r="C302" s="973" t="inlineStr">
        <is>
          <t>Third-party or software supply chain</t>
        </is>
      </c>
      <c r="D302" s="973" t="inlineStr">
        <is>
          <t>T1486</t>
        </is>
      </c>
      <c r="E302" s="973" t="inlineStr">
        <is>
          <t>Data Encrypted for Impact</t>
        </is>
      </c>
      <c r="F302" s="973" t="inlineStr">
        <is>
          <t>S5</t>
        </is>
      </c>
      <c r="G302" s="973" t="b">
        <v>1</v>
      </c>
      <c r="H302" s="973" t="b">
        <v>0</v>
      </c>
      <c r="I302" s="973" t="b">
        <v>0</v>
      </c>
      <c r="J302" s="973" t="n">
        <v>0.5</v>
      </c>
      <c r="K302" s="973" t="n">
        <v>0.16875</v>
      </c>
      <c r="L302" s="973" t="n">
        <v>0.16875</v>
      </c>
      <c r="M302" s="973" t="inlineStr">
        <is>
          <t>Windows; Linux; IaaS</t>
        </is>
      </c>
      <c r="N302" s="973" t="inlineStr">
        <is>
          <t>https://attack.mitre.org/techniques/T1486/</t>
        </is>
      </c>
      <c r="O302" s="973" t="n"/>
      <c r="P302" s="973" t="n"/>
    </row>
    <row r="303">
      <c r="A303" s="973" t="inlineStr">
        <is>
          <t>Cybercriminal</t>
        </is>
      </c>
      <c r="B303" s="973" t="inlineStr">
        <is>
          <t>Sensitive-data compromise</t>
        </is>
      </c>
      <c r="C303" s="973" t="inlineStr">
        <is>
          <t>Third-party or software supply chain</t>
        </is>
      </c>
      <c r="D303" s="973" t="inlineStr">
        <is>
          <t>T1565</t>
        </is>
      </c>
      <c r="E303" s="973" t="inlineStr">
        <is>
          <t>Data Manipulation</t>
        </is>
      </c>
      <c r="F303" s="973" t="inlineStr">
        <is>
          <t>S5</t>
        </is>
      </c>
      <c r="G303" s="973" t="b">
        <v>1</v>
      </c>
      <c r="H303" s="973" t="b">
        <v>0</v>
      </c>
      <c r="I303" s="973" t="b">
        <v>0</v>
      </c>
      <c r="J303" s="973" t="n">
        <v>0.6</v>
      </c>
      <c r="K303" s="973" t="n">
        <v>0.2206064987182617</v>
      </c>
      <c r="L303" s="973" t="n">
        <v>0.2206064987182617</v>
      </c>
      <c r="M303" s="973" t="inlineStr">
        <is>
          <t>SaaS; Databases; Windows</t>
        </is>
      </c>
      <c r="N303" s="973" t="inlineStr">
        <is>
          <t>https://attack.mitre.org/techniques/T1565/</t>
        </is>
      </c>
      <c r="O303" s="973" t="n"/>
      <c r="P303" s="973" t="n"/>
    </row>
    <row r="304">
      <c r="A304" s="973" t="inlineStr">
        <is>
          <t>Cybercriminal</t>
        </is>
      </c>
      <c r="B304" s="973" t="inlineStr">
        <is>
          <t>Sensitive-data compromise</t>
        </is>
      </c>
      <c r="C304" s="973" t="inlineStr">
        <is>
          <t>Third-party or software supply chain</t>
        </is>
      </c>
      <c r="D304" s="973" t="inlineStr">
        <is>
          <t>T1657</t>
        </is>
      </c>
      <c r="E304" s="973" t="inlineStr">
        <is>
          <t>Financial Theft</t>
        </is>
      </c>
      <c r="F304" s="973" t="inlineStr">
        <is>
          <t>S5</t>
        </is>
      </c>
      <c r="G304" s="973" t="b">
        <v>1</v>
      </c>
      <c r="H304" s="973" t="b">
        <v>0</v>
      </c>
      <c r="I304" s="973" t="b">
        <v>0</v>
      </c>
      <c r="J304" s="973" t="n">
        <v>0.5</v>
      </c>
      <c r="K304" s="973" t="n">
        <v>0.275654296875</v>
      </c>
      <c r="L304" s="973" t="n">
        <v>0.275654296875</v>
      </c>
      <c r="M304" s="973" t="inlineStr">
        <is>
          <t>SaaS; Office Suite; Identity Provider</t>
        </is>
      </c>
      <c r="N304" s="973" t="inlineStr">
        <is>
          <t>https://attack.mitre.org/techniques/T1657/</t>
        </is>
      </c>
      <c r="O304" s="973" t="n"/>
      <c r="P304" s="973" t="n"/>
    </row>
    <row r="305">
      <c r="A305" s="973" t="inlineStr">
        <is>
          <t>Cybercriminal</t>
        </is>
      </c>
      <c r="B305" s="973" t="inlineStr">
        <is>
          <t>Sensitive-data compromise</t>
        </is>
      </c>
      <c r="C305" s="973" t="inlineStr">
        <is>
          <t>Insider or trusted access</t>
        </is>
      </c>
      <c r="D305" s="973" t="inlineStr">
        <is>
          <t>T1098</t>
        </is>
      </c>
      <c r="E305" s="973" t="inlineStr">
        <is>
          <t>Account Manipulation</t>
        </is>
      </c>
      <c r="F305" s="973" t="inlineStr">
        <is>
          <t>S3</t>
        </is>
      </c>
      <c r="G305" s="973" t="b">
        <v>1</v>
      </c>
      <c r="H305" s="973" t="b">
        <v>1</v>
      </c>
      <c r="I305" s="973" t="b">
        <v>1</v>
      </c>
      <c r="J305" s="973" t="n">
        <v>0.8</v>
      </c>
      <c r="K305" s="973" t="n">
        <v>0.2477547340393066</v>
      </c>
      <c r="L305" s="973" t="n">
        <v>0.2477547340393066</v>
      </c>
      <c r="M305" s="973" t="inlineStr">
        <is>
          <t>Identity Provider; SaaS; Windows</t>
        </is>
      </c>
      <c r="N305" s="973" t="inlineStr">
        <is>
          <t>https://attack.mitre.org/techniques/T1098/</t>
        </is>
      </c>
      <c r="O305" s="973" t="n"/>
      <c r="P305" s="973" t="n"/>
    </row>
    <row r="306">
      <c r="A306" s="973" t="inlineStr">
        <is>
          <t>Cybercriminal</t>
        </is>
      </c>
      <c r="B306" s="973" t="inlineStr">
        <is>
          <t>Sensitive-data compromise</t>
        </is>
      </c>
      <c r="C306" s="973" t="inlineStr">
        <is>
          <t>Insider or trusted access</t>
        </is>
      </c>
      <c r="D306" s="973" t="inlineStr">
        <is>
          <t>T1087</t>
        </is>
      </c>
      <c r="E306" s="973" t="inlineStr">
        <is>
          <t>Account Discovery</t>
        </is>
      </c>
      <c r="F306" s="973" t="inlineStr">
        <is>
          <t>S4</t>
        </is>
      </c>
      <c r="G306" s="973" t="b">
        <v>1</v>
      </c>
      <c r="H306" s="973" t="b">
        <v>1</v>
      </c>
      <c r="I306" s="973" t="b">
        <v>1</v>
      </c>
      <c r="J306" s="973" t="n">
        <v>0.6</v>
      </c>
      <c r="K306" s="973" t="n">
        <v>0</v>
      </c>
      <c r="L306" s="973" t="n">
        <v>0</v>
      </c>
      <c r="M306" s="973" t="inlineStr">
        <is>
          <t>Identity Provider; SaaS; Windows</t>
        </is>
      </c>
      <c r="N306" s="973" t="inlineStr">
        <is>
          <t>https://attack.mitre.org/techniques/T1087/</t>
        </is>
      </c>
      <c r="O306" s="973" t="n"/>
      <c r="P306" s="973" t="n"/>
    </row>
    <row r="307">
      <c r="A307" s="973" t="inlineStr">
        <is>
          <t>Cybercriminal</t>
        </is>
      </c>
      <c r="B307" s="973" t="inlineStr">
        <is>
          <t>Sensitive-data compromise</t>
        </is>
      </c>
      <c r="C307" s="973" t="inlineStr">
        <is>
          <t>Insider or trusted access</t>
        </is>
      </c>
      <c r="D307" s="973" t="inlineStr">
        <is>
          <t>T1213</t>
        </is>
      </c>
      <c r="E307" s="973" t="inlineStr">
        <is>
          <t>Data from Information Repositories</t>
        </is>
      </c>
      <c r="F307" s="973" t="inlineStr">
        <is>
          <t>S4</t>
        </is>
      </c>
      <c r="G307" s="973" t="b">
        <v>1</v>
      </c>
      <c r="H307" s="973" t="b">
        <v>1</v>
      </c>
      <c r="I307" s="973" t="b">
        <v>1</v>
      </c>
      <c r="J307" s="973" t="n">
        <v>0.9</v>
      </c>
      <c r="K307" s="973" t="n">
        <v>0.177890625</v>
      </c>
      <c r="L307" s="973" t="n">
        <v>0.177890625</v>
      </c>
      <c r="M307" s="973" t="inlineStr">
        <is>
          <t>SaaS; Office Suite; Windows</t>
        </is>
      </c>
      <c r="N307" s="973" t="inlineStr">
        <is>
          <t>https://attack.mitre.org/techniques/T1213/</t>
        </is>
      </c>
      <c r="O307" s="973" t="n"/>
      <c r="P307" s="973" t="n"/>
    </row>
    <row r="308">
      <c r="A308" s="973" t="inlineStr">
        <is>
          <t>Cybercriminal</t>
        </is>
      </c>
      <c r="B308" s="973" t="inlineStr">
        <is>
          <t>Sensitive-data compromise</t>
        </is>
      </c>
      <c r="C308" s="973" t="inlineStr">
        <is>
          <t>Insider or trusted access</t>
        </is>
      </c>
      <c r="D308" s="973" t="inlineStr">
        <is>
          <t>T1567</t>
        </is>
      </c>
      <c r="E308" s="973" t="inlineStr">
        <is>
          <t>Exfiltration Over Web Service</t>
        </is>
      </c>
      <c r="F308" s="973" t="inlineStr">
        <is>
          <t>S5</t>
        </is>
      </c>
      <c r="G308" s="973" t="b">
        <v>1</v>
      </c>
      <c r="H308" s="973" t="b">
        <v>1</v>
      </c>
      <c r="I308" s="973" t="b">
        <v>1</v>
      </c>
      <c r="J308" s="973" t="n">
        <v>0.8</v>
      </c>
      <c r="K308" s="973" t="n">
        <v>0.20625</v>
      </c>
      <c r="L308" s="973" t="n">
        <v>0.20625</v>
      </c>
      <c r="M308" s="973" t="inlineStr">
        <is>
          <t>SaaS; Office Suite</t>
        </is>
      </c>
      <c r="N308" s="973" t="inlineStr">
        <is>
          <t>https://attack.mitre.org/techniques/T1567/</t>
        </is>
      </c>
      <c r="O308" s="973" t="n"/>
      <c r="P308" s="973" t="n"/>
    </row>
    <row r="309">
      <c r="A309" s="973" t="inlineStr">
        <is>
          <t>Cybercriminal</t>
        </is>
      </c>
      <c r="B309" s="973" t="inlineStr">
        <is>
          <t>Sensitive-data compromise</t>
        </is>
      </c>
      <c r="C309" s="973" t="inlineStr">
        <is>
          <t>Insider or trusted access</t>
        </is>
      </c>
      <c r="D309" s="973" t="inlineStr">
        <is>
          <t>T1565</t>
        </is>
      </c>
      <c r="E309" s="973" t="inlineStr">
        <is>
          <t>Data Manipulation</t>
        </is>
      </c>
      <c r="F309" s="973" t="inlineStr">
        <is>
          <t>S5</t>
        </is>
      </c>
      <c r="G309" s="973" t="b">
        <v>1</v>
      </c>
      <c r="H309" s="973" t="b">
        <v>0</v>
      </c>
      <c r="I309" s="973" t="b">
        <v>0</v>
      </c>
      <c r="J309" s="973" t="n">
        <v>0.9</v>
      </c>
      <c r="K309" s="973" t="n">
        <v>0.2206064987182617</v>
      </c>
      <c r="L309" s="973" t="n">
        <v>0.2206064987182617</v>
      </c>
      <c r="M309" s="973" t="inlineStr">
        <is>
          <t>SaaS; Databases; Windows</t>
        </is>
      </c>
      <c r="N309" s="973" t="inlineStr">
        <is>
          <t>https://attack.mitre.org/techniques/T1565/</t>
        </is>
      </c>
      <c r="O309" s="973" t="n"/>
      <c r="P309" s="973" t="n"/>
    </row>
    <row r="310">
      <c r="A310" s="973" t="inlineStr">
        <is>
          <t>Cybercriminal</t>
        </is>
      </c>
      <c r="B310" s="973" t="inlineStr">
        <is>
          <t>Sensitive-data compromise</t>
        </is>
      </c>
      <c r="C310" s="973" t="inlineStr">
        <is>
          <t>Insider or trusted access</t>
        </is>
      </c>
      <c r="D310" s="973" t="inlineStr">
        <is>
          <t>T1657</t>
        </is>
      </c>
      <c r="E310" s="973" t="inlineStr">
        <is>
          <t>Financial Theft</t>
        </is>
      </c>
      <c r="F310" s="973" t="inlineStr">
        <is>
          <t>S5</t>
        </is>
      </c>
      <c r="G310" s="973" t="b">
        <v>1</v>
      </c>
      <c r="H310" s="973" t="b">
        <v>0</v>
      </c>
      <c r="I310" s="973" t="b">
        <v>0</v>
      </c>
      <c r="J310" s="973" t="n">
        <v>0.9</v>
      </c>
      <c r="K310" s="973" t="n">
        <v>0.275654296875</v>
      </c>
      <c r="L310" s="973" t="n">
        <v>0.275654296875</v>
      </c>
      <c r="M310" s="973" t="inlineStr">
        <is>
          <t>SaaS; Office Suite; Identity Provider</t>
        </is>
      </c>
      <c r="N310" s="973" t="inlineStr">
        <is>
          <t>https://attack.mitre.org/techniques/T1657/</t>
        </is>
      </c>
      <c r="O310" s="973" t="n"/>
      <c r="P310" s="973" t="n"/>
    </row>
    <row r="311">
      <c r="A311" s="973" t="inlineStr">
        <is>
          <t>Cybercriminal</t>
        </is>
      </c>
      <c r="B311" s="973" t="inlineStr">
        <is>
          <t>Data or transaction-integrity compromise</t>
        </is>
      </c>
      <c r="C311" s="973" t="inlineStr">
        <is>
          <t>Identity and credential compromise</t>
        </is>
      </c>
      <c r="D311" s="973" t="inlineStr">
        <is>
          <t>T1566</t>
        </is>
      </c>
      <c r="E311" s="973" t="inlineStr">
        <is>
          <t>Phishing</t>
        </is>
      </c>
      <c r="F311" s="973" t="inlineStr">
        <is>
          <t>S1</t>
        </is>
      </c>
      <c r="G311" s="973" t="b">
        <v>1</v>
      </c>
      <c r="H311" s="973" t="b">
        <v>1</v>
      </c>
      <c r="I311" s="973" t="b">
        <v>1</v>
      </c>
      <c r="J311" s="973" t="n">
        <v>1</v>
      </c>
      <c r="K311" s="973" t="n">
        <v>0.20625</v>
      </c>
      <c r="L311" s="973" t="n">
        <v>0.20625</v>
      </c>
      <c r="M311" s="973" t="inlineStr">
        <is>
          <t>Windows; SaaS; Office Suite</t>
        </is>
      </c>
      <c r="N311" s="973" t="inlineStr">
        <is>
          <t>https://attack.mitre.org/techniques/T1566/</t>
        </is>
      </c>
      <c r="O311" s="973" t="n"/>
      <c r="P311" s="973" t="n"/>
    </row>
    <row r="312">
      <c r="A312" s="973" t="inlineStr">
        <is>
          <t>Cybercriminal</t>
        </is>
      </c>
      <c r="B312" s="973" t="inlineStr">
        <is>
          <t>Data or transaction-integrity compromise</t>
        </is>
      </c>
      <c r="C312" s="973" t="inlineStr">
        <is>
          <t>Identity and credential compromise</t>
        </is>
      </c>
      <c r="D312" s="973" t="inlineStr">
        <is>
          <t>T1078</t>
        </is>
      </c>
      <c r="E312" s="973" t="inlineStr">
        <is>
          <t>Valid Accounts</t>
        </is>
      </c>
      <c r="F312" s="973" t="inlineStr">
        <is>
          <t>S1</t>
        </is>
      </c>
      <c r="G312" s="973" t="b">
        <v>1</v>
      </c>
      <c r="H312" s="973" t="b">
        <v>1</v>
      </c>
      <c r="I312" s="973" t="b">
        <v>1</v>
      </c>
      <c r="J312" s="973" t="n">
        <v>1</v>
      </c>
      <c r="K312" s="973" t="n">
        <v>0.272109375</v>
      </c>
      <c r="L312" s="973" t="n">
        <v>0.272109375</v>
      </c>
      <c r="M312" s="973" t="inlineStr">
        <is>
          <t>Identity Provider; SaaS; IaaS; Windows</t>
        </is>
      </c>
      <c r="N312" s="973" t="inlineStr">
        <is>
          <t>https://attack.mitre.org/techniques/T1078/</t>
        </is>
      </c>
      <c r="O312" s="973" t="n"/>
      <c r="P312" s="973" t="n"/>
    </row>
    <row r="313">
      <c r="A313" s="973" t="inlineStr">
        <is>
          <t>Cybercriminal</t>
        </is>
      </c>
      <c r="B313" s="973" t="inlineStr">
        <is>
          <t>Data or transaction-integrity compromise</t>
        </is>
      </c>
      <c r="C313" s="973" t="inlineStr">
        <is>
          <t>Identity and credential compromise</t>
        </is>
      </c>
      <c r="D313" s="973" t="inlineStr">
        <is>
          <t>T1110</t>
        </is>
      </c>
      <c r="E313" s="973" t="inlineStr">
        <is>
          <t>Brute Force</t>
        </is>
      </c>
      <c r="F313" s="973" t="inlineStr">
        <is>
          <t>S1</t>
        </is>
      </c>
      <c r="G313" s="973" t="b">
        <v>1</v>
      </c>
      <c r="H313" s="973" t="b">
        <v>1</v>
      </c>
      <c r="I313" s="973" t="b">
        <v>1</v>
      </c>
      <c r="J313" s="973" t="n">
        <v>0.7</v>
      </c>
      <c r="K313" s="973" t="n">
        <v>0.24375</v>
      </c>
      <c r="L313" s="973" t="n">
        <v>0.24375</v>
      </c>
      <c r="M313" s="973" t="inlineStr">
        <is>
          <t>Identity Provider; SaaS; Windows</t>
        </is>
      </c>
      <c r="N313" s="973" t="inlineStr">
        <is>
          <t>https://attack.mitre.org/techniques/T1110/</t>
        </is>
      </c>
      <c r="O313" s="973" t="n"/>
      <c r="P313" s="973" t="n"/>
    </row>
    <row r="314">
      <c r="A314" s="973" t="inlineStr">
        <is>
          <t>Cybercriminal</t>
        </is>
      </c>
      <c r="B314" s="973" t="inlineStr">
        <is>
          <t>Data or transaction-integrity compromise</t>
        </is>
      </c>
      <c r="C314" s="973" t="inlineStr">
        <is>
          <t>Identity and credential compromise</t>
        </is>
      </c>
      <c r="D314" s="973" t="inlineStr">
        <is>
          <t>T1098</t>
        </is>
      </c>
      <c r="E314" s="973" t="inlineStr">
        <is>
          <t>Account Manipulation</t>
        </is>
      </c>
      <c r="F314" s="973" t="inlineStr">
        <is>
          <t>S3</t>
        </is>
      </c>
      <c r="G314" s="973" t="b">
        <v>1</v>
      </c>
      <c r="H314" s="973" t="b">
        <v>1</v>
      </c>
      <c r="I314" s="973" t="b">
        <v>1</v>
      </c>
      <c r="J314" s="973" t="n">
        <v>0.7</v>
      </c>
      <c r="K314" s="973" t="n">
        <v>0.2477547340393066</v>
      </c>
      <c r="L314" s="973" t="n">
        <v>0.2477547340393066</v>
      </c>
      <c r="M314" s="973" t="inlineStr">
        <is>
          <t>Identity Provider; SaaS; Windows</t>
        </is>
      </c>
      <c r="N314" s="973" t="inlineStr">
        <is>
          <t>https://attack.mitre.org/techniques/T1098/</t>
        </is>
      </c>
      <c r="O314" s="973" t="n"/>
      <c r="P314" s="973" t="n"/>
    </row>
    <row r="315">
      <c r="A315" s="973" t="inlineStr">
        <is>
          <t>Cybercriminal</t>
        </is>
      </c>
      <c r="B315" s="973" t="inlineStr">
        <is>
          <t>Data or transaction-integrity compromise</t>
        </is>
      </c>
      <c r="C315" s="973" t="inlineStr">
        <is>
          <t>Identity and credential compromise</t>
        </is>
      </c>
      <c r="D315" s="973" t="inlineStr">
        <is>
          <t>T1087</t>
        </is>
      </c>
      <c r="E315" s="973" t="inlineStr">
        <is>
          <t>Account Discovery</t>
        </is>
      </c>
      <c r="F315" s="973" t="inlineStr">
        <is>
          <t>S4</t>
        </is>
      </c>
      <c r="G315" s="973" t="b">
        <v>1</v>
      </c>
      <c r="H315" s="973" t="b">
        <v>1</v>
      </c>
      <c r="I315" s="973" t="b">
        <v>1</v>
      </c>
      <c r="J315" s="973" t="n">
        <v>0.6</v>
      </c>
      <c r="K315" s="973" t="n">
        <v>0</v>
      </c>
      <c r="L315" s="973" t="n">
        <v>0</v>
      </c>
      <c r="M315" s="973" t="inlineStr">
        <is>
          <t>Identity Provider; SaaS; Windows</t>
        </is>
      </c>
      <c r="N315" s="973" t="inlineStr">
        <is>
          <t>https://attack.mitre.org/techniques/T1087/</t>
        </is>
      </c>
      <c r="O315" s="973" t="n"/>
      <c r="P315" s="973" t="n"/>
    </row>
    <row r="316">
      <c r="A316" s="973" t="inlineStr">
        <is>
          <t>Cybercriminal</t>
        </is>
      </c>
      <c r="B316" s="973" t="inlineStr">
        <is>
          <t>Data or transaction-integrity compromise</t>
        </is>
      </c>
      <c r="C316" s="973" t="inlineStr">
        <is>
          <t>Identity and credential compromise</t>
        </is>
      </c>
      <c r="D316" s="973" t="inlineStr">
        <is>
          <t>T1213</t>
        </is>
      </c>
      <c r="E316" s="973" t="inlineStr">
        <is>
          <t>Data from Information Repositories</t>
        </is>
      </c>
      <c r="F316" s="973" t="inlineStr">
        <is>
          <t>S4</t>
        </is>
      </c>
      <c r="G316" s="973" t="b">
        <v>1</v>
      </c>
      <c r="H316" s="973" t="b">
        <v>1</v>
      </c>
      <c r="I316" s="973" t="b">
        <v>1</v>
      </c>
      <c r="J316" s="973" t="n">
        <v>0.8</v>
      </c>
      <c r="K316" s="973" t="n">
        <v>0.177890625</v>
      </c>
      <c r="L316" s="973" t="n">
        <v>0.177890625</v>
      </c>
      <c r="M316" s="973" t="inlineStr">
        <is>
          <t>SaaS; Office Suite; Windows</t>
        </is>
      </c>
      <c r="N316" s="973" t="inlineStr">
        <is>
          <t>https://attack.mitre.org/techniques/T1213/</t>
        </is>
      </c>
      <c r="O316" s="973" t="n"/>
      <c r="P316" s="973" t="n"/>
    </row>
    <row r="317">
      <c r="A317" s="973" t="inlineStr">
        <is>
          <t>Cybercriminal</t>
        </is>
      </c>
      <c r="B317" s="973" t="inlineStr">
        <is>
          <t>Data or transaction-integrity compromise</t>
        </is>
      </c>
      <c r="C317" s="973" t="inlineStr">
        <is>
          <t>Identity and credential compromise</t>
        </is>
      </c>
      <c r="D317" s="973" t="inlineStr">
        <is>
          <t>T1567</t>
        </is>
      </c>
      <c r="E317" s="973" t="inlineStr">
        <is>
          <t>Exfiltration Over Web Service</t>
        </is>
      </c>
      <c r="F317" s="973" t="inlineStr">
        <is>
          <t>S5</t>
        </is>
      </c>
      <c r="G317" s="973" t="b">
        <v>1</v>
      </c>
      <c r="H317" s="973" t="b">
        <v>0</v>
      </c>
      <c r="I317" s="973" t="b">
        <v>0</v>
      </c>
      <c r="J317" s="973" t="n">
        <v>0.7</v>
      </c>
      <c r="K317" s="973" t="n">
        <v>0.20625</v>
      </c>
      <c r="L317" s="973" t="n">
        <v>0.20625</v>
      </c>
      <c r="M317" s="973" t="inlineStr">
        <is>
          <t>SaaS; Office Suite</t>
        </is>
      </c>
      <c r="N317" s="973" t="inlineStr">
        <is>
          <t>https://attack.mitre.org/techniques/T1567/</t>
        </is>
      </c>
      <c r="O317" s="973" t="n"/>
      <c r="P317" s="973" t="n"/>
    </row>
    <row r="318">
      <c r="A318" s="973" t="inlineStr">
        <is>
          <t>Cybercriminal</t>
        </is>
      </c>
      <c r="B318" s="973" t="inlineStr">
        <is>
          <t>Data or transaction-integrity compromise</t>
        </is>
      </c>
      <c r="C318" s="973" t="inlineStr">
        <is>
          <t>Identity and credential compromise</t>
        </is>
      </c>
      <c r="D318" s="973" t="inlineStr">
        <is>
          <t>T1657</t>
        </is>
      </c>
      <c r="E318" s="973" t="inlineStr">
        <is>
          <t>Financial Theft</t>
        </is>
      </c>
      <c r="F318" s="973" t="inlineStr">
        <is>
          <t>S5</t>
        </is>
      </c>
      <c r="G318" s="973" t="b">
        <v>1</v>
      </c>
      <c r="H318" s="973" t="b">
        <v>0</v>
      </c>
      <c r="I318" s="973" t="b">
        <v>0</v>
      </c>
      <c r="J318" s="973" t="n">
        <v>0.8</v>
      </c>
      <c r="K318" s="973" t="n">
        <v>0.275654296875</v>
      </c>
      <c r="L318" s="973" t="n">
        <v>0.275654296875</v>
      </c>
      <c r="M318" s="973" t="inlineStr">
        <is>
          <t>SaaS; Office Suite; Identity Provider</t>
        </is>
      </c>
      <c r="N318" s="973" t="inlineStr">
        <is>
          <t>https://attack.mitre.org/techniques/T1657/</t>
        </is>
      </c>
      <c r="O318" s="973" t="n"/>
      <c r="P318" s="973" t="n"/>
    </row>
    <row r="319">
      <c r="A319" s="973" t="inlineStr">
        <is>
          <t>Cybercriminal</t>
        </is>
      </c>
      <c r="B319" s="973" t="inlineStr">
        <is>
          <t>Data or transaction-integrity compromise</t>
        </is>
      </c>
      <c r="C319" s="973" t="inlineStr">
        <is>
          <t>Identity and credential compromise</t>
        </is>
      </c>
      <c r="D319" s="973" t="inlineStr">
        <is>
          <t>T1565</t>
        </is>
      </c>
      <c r="E319" s="973" t="inlineStr">
        <is>
          <t>Data Manipulation</t>
        </is>
      </c>
      <c r="F319" s="973" t="inlineStr">
        <is>
          <t>S5</t>
        </is>
      </c>
      <c r="G319" s="973" t="b">
        <v>1</v>
      </c>
      <c r="H319" s="973" t="b">
        <v>1</v>
      </c>
      <c r="I319" s="973" t="b">
        <v>1</v>
      </c>
      <c r="J319" s="973" t="n">
        <v>0.5</v>
      </c>
      <c r="K319" s="973" t="n">
        <v>0.2206064987182617</v>
      </c>
      <c r="L319" s="973" t="n">
        <v>0.2206064987182617</v>
      </c>
      <c r="M319" s="973" t="inlineStr">
        <is>
          <t>SaaS; Databases; Windows</t>
        </is>
      </c>
      <c r="N319" s="973" t="inlineStr">
        <is>
          <t>https://attack.mitre.org/techniques/T1565/</t>
        </is>
      </c>
      <c r="O319" s="973" t="n"/>
      <c r="P319" s="973" t="n"/>
    </row>
    <row r="320">
      <c r="A320" s="973" t="inlineStr">
        <is>
          <t>Cybercriminal</t>
        </is>
      </c>
      <c r="B320" s="973" t="inlineStr">
        <is>
          <t>Data or transaction-integrity compromise</t>
        </is>
      </c>
      <c r="C320" s="973" t="inlineStr">
        <is>
          <t>Identity and credential compromise</t>
        </is>
      </c>
      <c r="D320" s="973" t="inlineStr">
        <is>
          <t>T1486</t>
        </is>
      </c>
      <c r="E320" s="973" t="inlineStr">
        <is>
          <t>Data Encrypted for Impact</t>
        </is>
      </c>
      <c r="F320" s="973" t="inlineStr">
        <is>
          <t>S5</t>
        </is>
      </c>
      <c r="G320" s="973" t="b">
        <v>1</v>
      </c>
      <c r="H320" s="973" t="b">
        <v>1</v>
      </c>
      <c r="I320" s="973" t="b">
        <v>1</v>
      </c>
      <c r="J320" s="973" t="n">
        <v>0.7</v>
      </c>
      <c r="K320" s="973" t="n">
        <v>0.16875</v>
      </c>
      <c r="L320" s="973" t="n">
        <v>0.16875</v>
      </c>
      <c r="M320" s="973" t="inlineStr">
        <is>
          <t>Windows; Linux; IaaS</t>
        </is>
      </c>
      <c r="N320" s="973" t="inlineStr">
        <is>
          <t>https://attack.mitre.org/techniques/T1486/</t>
        </is>
      </c>
      <c r="O320" s="973" t="n"/>
      <c r="P320" s="973" t="n"/>
    </row>
    <row r="321">
      <c r="A321" s="973" t="inlineStr">
        <is>
          <t>Cybercriminal</t>
        </is>
      </c>
      <c r="B321" s="973" t="inlineStr">
        <is>
          <t>Data or transaction-integrity compromise</t>
        </is>
      </c>
      <c r="C321" s="973" t="inlineStr">
        <is>
          <t>Identity and credential compromise</t>
        </is>
      </c>
      <c r="D321" s="973" t="inlineStr">
        <is>
          <t>T1490</t>
        </is>
      </c>
      <c r="E321" s="973" t="inlineStr">
        <is>
          <t>Inhibit System Recovery</t>
        </is>
      </c>
      <c r="F321" s="973" t="inlineStr">
        <is>
          <t>S5</t>
        </is>
      </c>
      <c r="G321" s="973" t="b">
        <v>1</v>
      </c>
      <c r="H321" s="973" t="b">
        <v>1</v>
      </c>
      <c r="I321" s="973" t="b">
        <v>1</v>
      </c>
      <c r="J321" s="973" t="n">
        <v>0.6</v>
      </c>
      <c r="K321" s="973" t="n">
        <v>0</v>
      </c>
      <c r="L321" s="973" t="n">
        <v>0</v>
      </c>
      <c r="M321" s="973" t="inlineStr">
        <is>
          <t>Windows; Linux; IaaS</t>
        </is>
      </c>
      <c r="N321" s="973" t="inlineStr">
        <is>
          <t>https://attack.mitre.org/techniques/T1490/</t>
        </is>
      </c>
      <c r="O321" s="973" t="n"/>
      <c r="P321" s="973" t="n"/>
    </row>
    <row r="322">
      <c r="A322" s="973" t="inlineStr">
        <is>
          <t>Cybercriminal</t>
        </is>
      </c>
      <c r="B322" s="973" t="inlineStr">
        <is>
          <t>Data or transaction-integrity compromise</t>
        </is>
      </c>
      <c r="C322" s="973" t="inlineStr">
        <is>
          <t>User endpoint and social engineering</t>
        </is>
      </c>
      <c r="D322" s="973" t="inlineStr">
        <is>
          <t>T1566</t>
        </is>
      </c>
      <c r="E322" s="973" t="inlineStr">
        <is>
          <t>Phishing</t>
        </is>
      </c>
      <c r="F322" s="973" t="inlineStr">
        <is>
          <t>S1</t>
        </is>
      </c>
      <c r="G322" s="973" t="b">
        <v>1</v>
      </c>
      <c r="H322" s="973" t="b">
        <v>1</v>
      </c>
      <c r="I322" s="973" t="b">
        <v>1</v>
      </c>
      <c r="J322" s="973" t="n">
        <v>1</v>
      </c>
      <c r="K322" s="973" t="n">
        <v>0.20625</v>
      </c>
      <c r="L322" s="973" t="n">
        <v>0.20625</v>
      </c>
      <c r="M322" s="973" t="inlineStr">
        <is>
          <t>Windows; SaaS; Office Suite</t>
        </is>
      </c>
      <c r="N322" s="973" t="inlineStr">
        <is>
          <t>https://attack.mitre.org/techniques/T1566/</t>
        </is>
      </c>
      <c r="O322" s="973" t="n"/>
      <c r="P322" s="973" t="n"/>
    </row>
    <row r="323">
      <c r="A323" s="973" t="inlineStr">
        <is>
          <t>Cybercriminal</t>
        </is>
      </c>
      <c r="B323" s="973" t="inlineStr">
        <is>
          <t>Data or transaction-integrity compromise</t>
        </is>
      </c>
      <c r="C323" s="973" t="inlineStr">
        <is>
          <t>User endpoint and social engineering</t>
        </is>
      </c>
      <c r="D323" s="973" t="inlineStr">
        <is>
          <t>T1203</t>
        </is>
      </c>
      <c r="E323" s="973" t="inlineStr">
        <is>
          <t>Exploitation for Client Execution</t>
        </is>
      </c>
      <c r="F323" s="973" t="inlineStr">
        <is>
          <t>S2</t>
        </is>
      </c>
      <c r="G323" s="973" t="b">
        <v>1</v>
      </c>
      <c r="H323" s="973" t="b">
        <v>1</v>
      </c>
      <c r="I323" s="973" t="b">
        <v>1</v>
      </c>
      <c r="J323" s="973" t="n">
        <v>0.8</v>
      </c>
      <c r="K323" s="973" t="n">
        <v>0.2404920959472656</v>
      </c>
      <c r="L323" s="973" t="n">
        <v>0.2404920959472656</v>
      </c>
      <c r="M323" s="973" t="inlineStr">
        <is>
          <t>Windows; macOS; Linux</t>
        </is>
      </c>
      <c r="N323" s="973" t="inlineStr">
        <is>
          <t>https://attack.mitre.org/techniques/T1203/</t>
        </is>
      </c>
      <c r="O323" s="973" t="n"/>
      <c r="P323" s="973" t="n"/>
    </row>
    <row r="324">
      <c r="A324" s="973" t="inlineStr">
        <is>
          <t>Cybercriminal</t>
        </is>
      </c>
      <c r="B324" s="973" t="inlineStr">
        <is>
          <t>Data or transaction-integrity compromise</t>
        </is>
      </c>
      <c r="C324" s="973" t="inlineStr">
        <is>
          <t>User endpoint and social engineering</t>
        </is>
      </c>
      <c r="D324" s="973" t="inlineStr">
        <is>
          <t>T1059</t>
        </is>
      </c>
      <c r="E324" s="973" t="inlineStr">
        <is>
          <t>Command and Scripting Interpreter</t>
        </is>
      </c>
      <c r="F324" s="973" t="inlineStr">
        <is>
          <t>S2</t>
        </is>
      </c>
      <c r="G324" s="973" t="b">
        <v>1</v>
      </c>
      <c r="H324" s="973" t="b">
        <v>1</v>
      </c>
      <c r="I324" s="973" t="b">
        <v>1</v>
      </c>
      <c r="J324" s="973" t="n">
        <v>0.9</v>
      </c>
      <c r="K324" s="973" t="n">
        <v>0.1875</v>
      </c>
      <c r="L324" s="973" t="n">
        <v>0.1875</v>
      </c>
      <c r="M324" s="973" t="inlineStr">
        <is>
          <t>Windows; macOS; Linux; IaaS</t>
        </is>
      </c>
      <c r="N324" s="973" t="inlineStr">
        <is>
          <t>https://attack.mitre.org/techniques/T1059/</t>
        </is>
      </c>
      <c r="O324" s="973" t="n"/>
      <c r="P324" s="973" t="n"/>
    </row>
    <row r="325">
      <c r="A325" s="973" t="inlineStr">
        <is>
          <t>Cybercriminal</t>
        </is>
      </c>
      <c r="B325" s="973" t="inlineStr">
        <is>
          <t>Data or transaction-integrity compromise</t>
        </is>
      </c>
      <c r="C325" s="973" t="inlineStr">
        <is>
          <t>User endpoint and social engineering</t>
        </is>
      </c>
      <c r="D325" s="973" t="inlineStr">
        <is>
          <t>T1068</t>
        </is>
      </c>
      <c r="E325" s="973" t="inlineStr">
        <is>
          <t>Exploitation for Privilege Escalation</t>
        </is>
      </c>
      <c r="F325" s="973" t="inlineStr">
        <is>
          <t>S3</t>
        </is>
      </c>
      <c r="G325" s="973" t="b">
        <v>1</v>
      </c>
      <c r="H325" s="973" t="b">
        <v>1</v>
      </c>
      <c r="I325" s="973" t="b">
        <v>1</v>
      </c>
      <c r="J325" s="973" t="n">
        <v>0.7</v>
      </c>
      <c r="K325" s="973" t="n">
        <v>0.2094165115356445</v>
      </c>
      <c r="L325" s="973" t="n">
        <v>0.2094165115356445</v>
      </c>
      <c r="M325" s="973" t="inlineStr">
        <is>
          <t>Windows; macOS; Linux</t>
        </is>
      </c>
      <c r="N325" s="973" t="inlineStr">
        <is>
          <t>https://attack.mitre.org/techniques/T1068/</t>
        </is>
      </c>
      <c r="O325" s="973" t="n"/>
      <c r="P325" s="973" t="n"/>
    </row>
    <row r="326">
      <c r="A326" s="973" t="inlineStr">
        <is>
          <t>Cybercriminal</t>
        </is>
      </c>
      <c r="B326" s="973" t="inlineStr">
        <is>
          <t>Data or transaction-integrity compromise</t>
        </is>
      </c>
      <c r="C326" s="973" t="inlineStr">
        <is>
          <t>User endpoint and social engineering</t>
        </is>
      </c>
      <c r="D326" s="973" t="inlineStr">
        <is>
          <t>T1003</t>
        </is>
      </c>
      <c r="E326" s="973" t="inlineStr">
        <is>
          <t>OS Credential Dumping</t>
        </is>
      </c>
      <c r="F326" s="973" t="inlineStr">
        <is>
          <t>S3</t>
        </is>
      </c>
      <c r="G326" s="973" t="b">
        <v>1</v>
      </c>
      <c r="H326" s="973" t="b">
        <v>1</v>
      </c>
      <c r="I326" s="973" t="b">
        <v>1</v>
      </c>
      <c r="J326" s="973" t="n">
        <v>0.8</v>
      </c>
      <c r="K326" s="973" t="n">
        <v>0.232294921875</v>
      </c>
      <c r="L326" s="973" t="n">
        <v>0.232294921875</v>
      </c>
      <c r="M326" s="973" t="inlineStr">
        <is>
          <t>Windows; Linux; macOS</t>
        </is>
      </c>
      <c r="N326" s="973" t="inlineStr">
        <is>
          <t>https://attack.mitre.org/techniques/T1003/</t>
        </is>
      </c>
      <c r="O326" s="973" t="n"/>
      <c r="P326" s="973" t="n"/>
    </row>
    <row r="327">
      <c r="A327" s="973" t="inlineStr">
        <is>
          <t>Cybercriminal</t>
        </is>
      </c>
      <c r="B327" s="973" t="inlineStr">
        <is>
          <t>Data or transaction-integrity compromise</t>
        </is>
      </c>
      <c r="C327" s="973" t="inlineStr">
        <is>
          <t>User endpoint and social engineering</t>
        </is>
      </c>
      <c r="D327" s="973" t="inlineStr">
        <is>
          <t>T1046</t>
        </is>
      </c>
      <c r="E327" s="973" t="inlineStr">
        <is>
          <t>Network Service Discovery</t>
        </is>
      </c>
      <c r="F327" s="973" t="inlineStr">
        <is>
          <t>S4</t>
        </is>
      </c>
      <c r="G327" s="973" t="b">
        <v>1</v>
      </c>
      <c r="H327" s="973" t="b">
        <v>1</v>
      </c>
      <c r="I327" s="973" t="b">
        <v>1</v>
      </c>
      <c r="J327" s="973" t="n">
        <v>0.6</v>
      </c>
      <c r="K327" s="973" t="n">
        <v>0.16875</v>
      </c>
      <c r="L327" s="973" t="n">
        <v>0.16875</v>
      </c>
      <c r="M327" s="973" t="inlineStr">
        <is>
          <t>Network Devices; Windows; Linux</t>
        </is>
      </c>
      <c r="N327" s="973" t="inlineStr">
        <is>
          <t>https://attack.mitre.org/techniques/T1046/</t>
        </is>
      </c>
      <c r="O327" s="973" t="n"/>
      <c r="P327" s="973" t="n"/>
    </row>
    <row r="328">
      <c r="A328" s="973" t="inlineStr">
        <is>
          <t>Cybercriminal</t>
        </is>
      </c>
      <c r="B328" s="973" t="inlineStr">
        <is>
          <t>Data or transaction-integrity compromise</t>
        </is>
      </c>
      <c r="C328" s="973" t="inlineStr">
        <is>
          <t>User endpoint and social engineering</t>
        </is>
      </c>
      <c r="D328" s="973" t="inlineStr">
        <is>
          <t>T1021</t>
        </is>
      </c>
      <c r="E328" s="973" t="inlineStr">
        <is>
          <t>Remote Services</t>
        </is>
      </c>
      <c r="F328" s="973" t="inlineStr">
        <is>
          <t>S4</t>
        </is>
      </c>
      <c r="G328" s="973" t="b">
        <v>1</v>
      </c>
      <c r="H328" s="973" t="b">
        <v>1</v>
      </c>
      <c r="I328" s="973" t="b">
        <v>1</v>
      </c>
      <c r="J328" s="973" t="n">
        <v>0.8</v>
      </c>
      <c r="K328" s="973" t="n">
        <v>0.1875</v>
      </c>
      <c r="L328" s="973" t="n">
        <v>0.1875</v>
      </c>
      <c r="M328" s="973" t="inlineStr">
        <is>
          <t>Windows; Linux; Network Devices</t>
        </is>
      </c>
      <c r="N328" s="973" t="inlineStr">
        <is>
          <t>https://attack.mitre.org/techniques/T1021/</t>
        </is>
      </c>
      <c r="O328" s="973" t="n"/>
      <c r="P328" s="973" t="n"/>
    </row>
    <row r="329">
      <c r="A329" s="973" t="inlineStr">
        <is>
          <t>Cybercriminal</t>
        </is>
      </c>
      <c r="B329" s="973" t="inlineStr">
        <is>
          <t>Data or transaction-integrity compromise</t>
        </is>
      </c>
      <c r="C329" s="973" t="inlineStr">
        <is>
          <t>User endpoint and social engineering</t>
        </is>
      </c>
      <c r="D329" s="973" t="inlineStr">
        <is>
          <t>T1213</t>
        </is>
      </c>
      <c r="E329" s="973" t="inlineStr">
        <is>
          <t>Data from Information Repositories</t>
        </is>
      </c>
      <c r="F329" s="973" t="inlineStr">
        <is>
          <t>S4</t>
        </is>
      </c>
      <c r="G329" s="973" t="b">
        <v>1</v>
      </c>
      <c r="H329" s="973" t="b">
        <v>1</v>
      </c>
      <c r="I329" s="973" t="b">
        <v>1</v>
      </c>
      <c r="J329" s="973" t="n">
        <v>0.7</v>
      </c>
      <c r="K329" s="973" t="n">
        <v>0.177890625</v>
      </c>
      <c r="L329" s="973" t="n">
        <v>0.177890625</v>
      </c>
      <c r="M329" s="973" t="inlineStr">
        <is>
          <t>SaaS; Office Suite; Windows</t>
        </is>
      </c>
      <c r="N329" s="973" t="inlineStr">
        <is>
          <t>https://attack.mitre.org/techniques/T1213/</t>
        </is>
      </c>
      <c r="O329" s="973" t="n"/>
      <c r="P329" s="973" t="n"/>
    </row>
    <row r="330">
      <c r="A330" s="973" t="inlineStr">
        <is>
          <t>Cybercriminal</t>
        </is>
      </c>
      <c r="B330" s="973" t="inlineStr">
        <is>
          <t>Data or transaction-integrity compromise</t>
        </is>
      </c>
      <c r="C330" s="973" t="inlineStr">
        <is>
          <t>User endpoint and social engineering</t>
        </is>
      </c>
      <c r="D330" s="973" t="inlineStr">
        <is>
          <t>T1486</t>
        </is>
      </c>
      <c r="E330" s="973" t="inlineStr">
        <is>
          <t>Data Encrypted for Impact</t>
        </is>
      </c>
      <c r="F330" s="973" t="inlineStr">
        <is>
          <t>S5</t>
        </is>
      </c>
      <c r="G330" s="973" t="b">
        <v>1</v>
      </c>
      <c r="H330" s="973" t="b">
        <v>1</v>
      </c>
      <c r="I330" s="973" t="b">
        <v>1</v>
      </c>
      <c r="J330" s="973" t="n">
        <v>0.8</v>
      </c>
      <c r="K330" s="973" t="n">
        <v>0.16875</v>
      </c>
      <c r="L330" s="973" t="n">
        <v>0.16875</v>
      </c>
      <c r="M330" s="973" t="inlineStr">
        <is>
          <t>Windows; Linux; IaaS</t>
        </is>
      </c>
      <c r="N330" s="973" t="inlineStr">
        <is>
          <t>https://attack.mitre.org/techniques/T1486/</t>
        </is>
      </c>
      <c r="O330" s="973" t="n"/>
      <c r="P330" s="973" t="n"/>
    </row>
    <row r="331">
      <c r="A331" s="973" t="inlineStr">
        <is>
          <t>Cybercriminal</t>
        </is>
      </c>
      <c r="B331" s="973" t="inlineStr">
        <is>
          <t>Data or transaction-integrity compromise</t>
        </is>
      </c>
      <c r="C331" s="973" t="inlineStr">
        <is>
          <t>User endpoint and social engineering</t>
        </is>
      </c>
      <c r="D331" s="973" t="inlineStr">
        <is>
          <t>T1490</t>
        </is>
      </c>
      <c r="E331" s="973" t="inlineStr">
        <is>
          <t>Inhibit System Recovery</t>
        </is>
      </c>
      <c r="F331" s="973" t="inlineStr">
        <is>
          <t>S5</t>
        </is>
      </c>
      <c r="G331" s="973" t="b">
        <v>1</v>
      </c>
      <c r="H331" s="973" t="b">
        <v>1</v>
      </c>
      <c r="I331" s="973" t="b">
        <v>1</v>
      </c>
      <c r="J331" s="973" t="n">
        <v>0.7</v>
      </c>
      <c r="K331" s="973" t="n">
        <v>0</v>
      </c>
      <c r="L331" s="973" t="n">
        <v>0</v>
      </c>
      <c r="M331" s="973" t="inlineStr">
        <is>
          <t>Windows; Linux; IaaS</t>
        </is>
      </c>
      <c r="N331" s="973" t="inlineStr">
        <is>
          <t>https://attack.mitre.org/techniques/T1490/</t>
        </is>
      </c>
      <c r="O331" s="973" t="n"/>
      <c r="P331" s="973" t="n"/>
    </row>
    <row r="332">
      <c r="A332" s="973" t="inlineStr">
        <is>
          <t>Cybercriminal</t>
        </is>
      </c>
      <c r="B332" s="973" t="inlineStr">
        <is>
          <t>Data or transaction-integrity compromise</t>
        </is>
      </c>
      <c r="C332" s="973" t="inlineStr">
        <is>
          <t>User endpoint and social engineering</t>
        </is>
      </c>
      <c r="D332" s="973" t="inlineStr">
        <is>
          <t>T1567</t>
        </is>
      </c>
      <c r="E332" s="973" t="inlineStr">
        <is>
          <t>Exfiltration Over Web Service</t>
        </is>
      </c>
      <c r="F332" s="973" t="inlineStr">
        <is>
          <t>S5</t>
        </is>
      </c>
      <c r="G332" s="973" t="b">
        <v>1</v>
      </c>
      <c r="H332" s="973" t="b">
        <v>0</v>
      </c>
      <c r="I332" s="973" t="b">
        <v>0</v>
      </c>
      <c r="J332" s="973" t="n">
        <v>0.7</v>
      </c>
      <c r="K332" s="973" t="n">
        <v>0.20625</v>
      </c>
      <c r="L332" s="973" t="n">
        <v>0.20625</v>
      </c>
      <c r="M332" s="973" t="inlineStr">
        <is>
          <t>SaaS; Office Suite</t>
        </is>
      </c>
      <c r="N332" s="973" t="inlineStr">
        <is>
          <t>https://attack.mitre.org/techniques/T1567/</t>
        </is>
      </c>
      <c r="O332" s="973" t="n"/>
      <c r="P332" s="973" t="n"/>
    </row>
    <row r="333">
      <c r="A333" s="973" t="inlineStr">
        <is>
          <t>Cybercriminal</t>
        </is>
      </c>
      <c r="B333" s="973" t="inlineStr">
        <is>
          <t>Data or transaction-integrity compromise</t>
        </is>
      </c>
      <c r="C333" s="973" t="inlineStr">
        <is>
          <t>User endpoint and social engineering</t>
        </is>
      </c>
      <c r="D333" s="973" t="inlineStr">
        <is>
          <t>T1657</t>
        </is>
      </c>
      <c r="E333" s="973" t="inlineStr">
        <is>
          <t>Financial Theft</t>
        </is>
      </c>
      <c r="F333" s="973" t="inlineStr">
        <is>
          <t>S5</t>
        </is>
      </c>
      <c r="G333" s="973" t="b">
        <v>1</v>
      </c>
      <c r="H333" s="973" t="b">
        <v>0</v>
      </c>
      <c r="I333" s="973" t="b">
        <v>0</v>
      </c>
      <c r="J333" s="973" t="n">
        <v>0.5</v>
      </c>
      <c r="K333" s="973" t="n">
        <v>0.275654296875</v>
      </c>
      <c r="L333" s="973" t="n">
        <v>0.275654296875</v>
      </c>
      <c r="M333" s="973" t="inlineStr">
        <is>
          <t>SaaS; Office Suite; Identity Provider</t>
        </is>
      </c>
      <c r="N333" s="973" t="inlineStr">
        <is>
          <t>https://attack.mitre.org/techniques/T1657/</t>
        </is>
      </c>
      <c r="O333" s="973" t="n"/>
      <c r="P333" s="973" t="n"/>
    </row>
    <row r="334">
      <c r="A334" s="973" t="inlineStr">
        <is>
          <t>Cybercriminal</t>
        </is>
      </c>
      <c r="B334" s="973" t="inlineStr">
        <is>
          <t>Data or transaction-integrity compromise</t>
        </is>
      </c>
      <c r="C334" s="973" t="inlineStr">
        <is>
          <t>User endpoint and social engineering</t>
        </is>
      </c>
      <c r="D334" s="973" t="inlineStr">
        <is>
          <t>T1565</t>
        </is>
      </c>
      <c r="E334" s="973" t="inlineStr">
        <is>
          <t>Data Manipulation</t>
        </is>
      </c>
      <c r="F334" s="973" t="inlineStr">
        <is>
          <t>S5</t>
        </is>
      </c>
      <c r="G334" s="973" t="b">
        <v>1</v>
      </c>
      <c r="H334" s="973" t="b">
        <v>1</v>
      </c>
      <c r="I334" s="973" t="b">
        <v>1</v>
      </c>
      <c r="J334" s="973" t="n">
        <v>0.5</v>
      </c>
      <c r="K334" s="973" t="n">
        <v>0.2206064987182617</v>
      </c>
      <c r="L334" s="973" t="n">
        <v>0.2206064987182617</v>
      </c>
      <c r="M334" s="973" t="inlineStr">
        <is>
          <t>SaaS; Databases; Windows</t>
        </is>
      </c>
      <c r="N334" s="973" t="inlineStr">
        <is>
          <t>https://attack.mitre.org/techniques/T1565/</t>
        </is>
      </c>
      <c r="O334" s="973" t="n"/>
      <c r="P334" s="973" t="n"/>
    </row>
    <row r="335">
      <c r="A335" s="973" t="inlineStr">
        <is>
          <t>Cybercriminal</t>
        </is>
      </c>
      <c r="B335" s="973" t="inlineStr">
        <is>
          <t>Data or transaction-integrity compromise</t>
        </is>
      </c>
      <c r="C335" s="973" t="inlineStr">
        <is>
          <t>Public-facing application exploitation</t>
        </is>
      </c>
      <c r="D335" s="973" t="inlineStr">
        <is>
          <t>T1190</t>
        </is>
      </c>
      <c r="E335" s="973" t="inlineStr">
        <is>
          <t>Exploit Public-Facing Application</t>
        </is>
      </c>
      <c r="F335" s="973" t="inlineStr">
        <is>
          <t>S1</t>
        </is>
      </c>
      <c r="G335" s="973" t="b">
        <v>1</v>
      </c>
      <c r="H335" s="973" t="b">
        <v>1</v>
      </c>
      <c r="I335" s="973" t="b">
        <v>1</v>
      </c>
      <c r="J335" s="973" t="n">
        <v>1</v>
      </c>
      <c r="K335" s="973" t="n">
        <v>0.2496630477905274</v>
      </c>
      <c r="L335" s="973" t="n">
        <v>0.2496630477905274</v>
      </c>
      <c r="M335" s="973" t="inlineStr">
        <is>
          <t>Network Devices; SaaS; IaaS</t>
        </is>
      </c>
      <c r="N335" s="973" t="inlineStr">
        <is>
          <t>https://attack.mitre.org/techniques/T1190/</t>
        </is>
      </c>
      <c r="O335" s="973" t="n"/>
      <c r="P335" s="973" t="n"/>
    </row>
    <row r="336">
      <c r="A336" s="973" t="inlineStr">
        <is>
          <t>Cybercriminal</t>
        </is>
      </c>
      <c r="B336" s="973" t="inlineStr">
        <is>
          <t>Data or transaction-integrity compromise</t>
        </is>
      </c>
      <c r="C336" s="973" t="inlineStr">
        <is>
          <t>Public-facing application exploitation</t>
        </is>
      </c>
      <c r="D336" s="973" t="inlineStr">
        <is>
          <t>T1059</t>
        </is>
      </c>
      <c r="E336" s="973" t="inlineStr">
        <is>
          <t>Command and Scripting Interpreter</t>
        </is>
      </c>
      <c r="F336" s="973" t="inlineStr">
        <is>
          <t>S2</t>
        </is>
      </c>
      <c r="G336" s="973" t="b">
        <v>1</v>
      </c>
      <c r="H336" s="973" t="b">
        <v>1</v>
      </c>
      <c r="I336" s="973" t="b">
        <v>1</v>
      </c>
      <c r="J336" s="973" t="n">
        <v>0.8</v>
      </c>
      <c r="K336" s="973" t="n">
        <v>0.1875</v>
      </c>
      <c r="L336" s="973" t="n">
        <v>0.1875</v>
      </c>
      <c r="M336" s="973" t="inlineStr">
        <is>
          <t>Windows; macOS; Linux; IaaS</t>
        </is>
      </c>
      <c r="N336" s="973" t="inlineStr">
        <is>
          <t>https://attack.mitre.org/techniques/T1059/</t>
        </is>
      </c>
      <c r="O336" s="973" t="n"/>
      <c r="P336" s="973" t="n"/>
    </row>
    <row r="337">
      <c r="A337" s="973" t="inlineStr">
        <is>
          <t>Cybercriminal</t>
        </is>
      </c>
      <c r="B337" s="973" t="inlineStr">
        <is>
          <t>Data or transaction-integrity compromise</t>
        </is>
      </c>
      <c r="C337" s="973" t="inlineStr">
        <is>
          <t>Public-facing application exploitation</t>
        </is>
      </c>
      <c r="D337" s="973" t="inlineStr">
        <is>
          <t>T1068</t>
        </is>
      </c>
      <c r="E337" s="973" t="inlineStr">
        <is>
          <t>Exploitation for Privilege Escalation</t>
        </is>
      </c>
      <c r="F337" s="973" t="inlineStr">
        <is>
          <t>S3</t>
        </is>
      </c>
      <c r="G337" s="973" t="b">
        <v>1</v>
      </c>
      <c r="H337" s="973" t="b">
        <v>1</v>
      </c>
      <c r="I337" s="973" t="b">
        <v>1</v>
      </c>
      <c r="J337" s="973" t="n">
        <v>0.7</v>
      </c>
      <c r="K337" s="973" t="n">
        <v>0.2094165115356445</v>
      </c>
      <c r="L337" s="973" t="n">
        <v>0.2094165115356445</v>
      </c>
      <c r="M337" s="973" t="inlineStr">
        <is>
          <t>Windows; macOS; Linux</t>
        </is>
      </c>
      <c r="N337" s="973" t="inlineStr">
        <is>
          <t>https://attack.mitre.org/techniques/T1068/</t>
        </is>
      </c>
      <c r="O337" s="973" t="n"/>
      <c r="P337" s="973" t="n"/>
    </row>
    <row r="338">
      <c r="A338" s="973" t="inlineStr">
        <is>
          <t>Cybercriminal</t>
        </is>
      </c>
      <c r="B338" s="973" t="inlineStr">
        <is>
          <t>Data or transaction-integrity compromise</t>
        </is>
      </c>
      <c r="C338" s="973" t="inlineStr">
        <is>
          <t>Public-facing application exploitation</t>
        </is>
      </c>
      <c r="D338" s="973" t="inlineStr">
        <is>
          <t>T1003</t>
        </is>
      </c>
      <c r="E338" s="973" t="inlineStr">
        <is>
          <t>OS Credential Dumping</t>
        </is>
      </c>
      <c r="F338" s="973" t="inlineStr">
        <is>
          <t>S3</t>
        </is>
      </c>
      <c r="G338" s="973" t="b">
        <v>1</v>
      </c>
      <c r="H338" s="973" t="b">
        <v>1</v>
      </c>
      <c r="I338" s="973" t="b">
        <v>1</v>
      </c>
      <c r="J338" s="973" t="n">
        <v>0.6</v>
      </c>
      <c r="K338" s="973" t="n">
        <v>0.232294921875</v>
      </c>
      <c r="L338" s="973" t="n">
        <v>0.232294921875</v>
      </c>
      <c r="M338" s="973" t="inlineStr">
        <is>
          <t>Windows; Linux; macOS</t>
        </is>
      </c>
      <c r="N338" s="973" t="inlineStr">
        <is>
          <t>https://attack.mitre.org/techniques/T1003/</t>
        </is>
      </c>
      <c r="O338" s="973" t="n"/>
      <c r="P338" s="973" t="n"/>
    </row>
    <row r="339">
      <c r="A339" s="973" t="inlineStr">
        <is>
          <t>Cybercriminal</t>
        </is>
      </c>
      <c r="B339" s="973" t="inlineStr">
        <is>
          <t>Data or transaction-integrity compromise</t>
        </is>
      </c>
      <c r="C339" s="973" t="inlineStr">
        <is>
          <t>Public-facing application exploitation</t>
        </is>
      </c>
      <c r="D339" s="973" t="inlineStr">
        <is>
          <t>T1046</t>
        </is>
      </c>
      <c r="E339" s="973" t="inlineStr">
        <is>
          <t>Network Service Discovery</t>
        </is>
      </c>
      <c r="F339" s="973" t="inlineStr">
        <is>
          <t>S4</t>
        </is>
      </c>
      <c r="G339" s="973" t="b">
        <v>1</v>
      </c>
      <c r="H339" s="973" t="b">
        <v>1</v>
      </c>
      <c r="I339" s="973" t="b">
        <v>1</v>
      </c>
      <c r="J339" s="973" t="n">
        <v>0.7</v>
      </c>
      <c r="K339" s="973" t="n">
        <v>0.16875</v>
      </c>
      <c r="L339" s="973" t="n">
        <v>0.16875</v>
      </c>
      <c r="M339" s="973" t="inlineStr">
        <is>
          <t>Network Devices; Windows; Linux</t>
        </is>
      </c>
      <c r="N339" s="973" t="inlineStr">
        <is>
          <t>https://attack.mitre.org/techniques/T1046/</t>
        </is>
      </c>
      <c r="O339" s="973" t="n"/>
      <c r="P339" s="973" t="n"/>
    </row>
    <row r="340">
      <c r="A340" s="973" t="inlineStr">
        <is>
          <t>Cybercriminal</t>
        </is>
      </c>
      <c r="B340" s="973" t="inlineStr">
        <is>
          <t>Data or transaction-integrity compromise</t>
        </is>
      </c>
      <c r="C340" s="973" t="inlineStr">
        <is>
          <t>Public-facing application exploitation</t>
        </is>
      </c>
      <c r="D340" s="973" t="inlineStr">
        <is>
          <t>T1210</t>
        </is>
      </c>
      <c r="E340" s="973" t="inlineStr">
        <is>
          <t>Exploitation of Remote Services</t>
        </is>
      </c>
      <c r="F340" s="973" t="inlineStr">
        <is>
          <t>S4</t>
        </is>
      </c>
      <c r="G340" s="973" t="b">
        <v>1</v>
      </c>
      <c r="H340" s="973" t="b">
        <v>1</v>
      </c>
      <c r="I340" s="973" t="b">
        <v>1</v>
      </c>
      <c r="J340" s="973" t="n">
        <v>0.9</v>
      </c>
      <c r="K340" s="973" t="n">
        <v>0.2103495368957519</v>
      </c>
      <c r="L340" s="973" t="n">
        <v>0.2103495368957519</v>
      </c>
      <c r="M340" s="973" t="inlineStr">
        <is>
          <t>Windows; Linux; Network Devices</t>
        </is>
      </c>
      <c r="N340" s="973" t="inlineStr">
        <is>
          <t>https://attack.mitre.org/techniques/T1210/</t>
        </is>
      </c>
      <c r="O340" s="973" t="n"/>
      <c r="P340" s="973" t="n"/>
    </row>
    <row r="341">
      <c r="A341" s="973" t="inlineStr">
        <is>
          <t>Cybercriminal</t>
        </is>
      </c>
      <c r="B341" s="973" t="inlineStr">
        <is>
          <t>Data or transaction-integrity compromise</t>
        </is>
      </c>
      <c r="C341" s="973" t="inlineStr">
        <is>
          <t>Public-facing application exploitation</t>
        </is>
      </c>
      <c r="D341" s="973" t="inlineStr">
        <is>
          <t>T1021</t>
        </is>
      </c>
      <c r="E341" s="973" t="inlineStr">
        <is>
          <t>Remote Services</t>
        </is>
      </c>
      <c r="F341" s="973" t="inlineStr">
        <is>
          <t>S4</t>
        </is>
      </c>
      <c r="G341" s="973" t="b">
        <v>1</v>
      </c>
      <c r="H341" s="973" t="b">
        <v>1</v>
      </c>
      <c r="I341" s="973" t="b">
        <v>1</v>
      </c>
      <c r="J341" s="973" t="n">
        <v>0.7</v>
      </c>
      <c r="K341" s="973" t="n">
        <v>0.1875</v>
      </c>
      <c r="L341" s="973" t="n">
        <v>0.1875</v>
      </c>
      <c r="M341" s="973" t="inlineStr">
        <is>
          <t>Windows; Linux; Network Devices</t>
        </is>
      </c>
      <c r="N341" s="973" t="inlineStr">
        <is>
          <t>https://attack.mitre.org/techniques/T1021/</t>
        </is>
      </c>
      <c r="O341" s="973" t="n"/>
      <c r="P341" s="973" t="n"/>
    </row>
    <row r="342">
      <c r="A342" s="973" t="inlineStr">
        <is>
          <t>Cybercriminal</t>
        </is>
      </c>
      <c r="B342" s="973" t="inlineStr">
        <is>
          <t>Data or transaction-integrity compromise</t>
        </is>
      </c>
      <c r="C342" s="973" t="inlineStr">
        <is>
          <t>Public-facing application exploitation</t>
        </is>
      </c>
      <c r="D342" s="973" t="inlineStr">
        <is>
          <t>T1486</t>
        </is>
      </c>
      <c r="E342" s="973" t="inlineStr">
        <is>
          <t>Data Encrypted for Impact</t>
        </is>
      </c>
      <c r="F342" s="973" t="inlineStr">
        <is>
          <t>S5</t>
        </is>
      </c>
      <c r="G342" s="973" t="b">
        <v>1</v>
      </c>
      <c r="H342" s="973" t="b">
        <v>1</v>
      </c>
      <c r="I342" s="973" t="b">
        <v>1</v>
      </c>
      <c r="J342" s="973" t="n">
        <v>0.6</v>
      </c>
      <c r="K342" s="973" t="n">
        <v>0.16875</v>
      </c>
      <c r="L342" s="973" t="n">
        <v>0.16875</v>
      </c>
      <c r="M342" s="973" t="inlineStr">
        <is>
          <t>Windows; Linux; IaaS</t>
        </is>
      </c>
      <c r="N342" s="973" t="inlineStr">
        <is>
          <t>https://attack.mitre.org/techniques/T1486/</t>
        </is>
      </c>
      <c r="O342" s="973" t="n"/>
      <c r="P342" s="973" t="n"/>
    </row>
    <row r="343">
      <c r="A343" s="973" t="inlineStr">
        <is>
          <t>Cybercriminal</t>
        </is>
      </c>
      <c r="B343" s="973" t="inlineStr">
        <is>
          <t>Data or transaction-integrity compromise</t>
        </is>
      </c>
      <c r="C343" s="973" t="inlineStr">
        <is>
          <t>Public-facing application exploitation</t>
        </is>
      </c>
      <c r="D343" s="973" t="inlineStr">
        <is>
          <t>T1490</t>
        </is>
      </c>
      <c r="E343" s="973" t="inlineStr">
        <is>
          <t>Inhibit System Recovery</t>
        </is>
      </c>
      <c r="F343" s="973" t="inlineStr">
        <is>
          <t>S5</t>
        </is>
      </c>
      <c r="G343" s="973" t="b">
        <v>1</v>
      </c>
      <c r="H343" s="973" t="b">
        <v>1</v>
      </c>
      <c r="I343" s="973" t="b">
        <v>1</v>
      </c>
      <c r="J343" s="973" t="n">
        <v>0.5</v>
      </c>
      <c r="K343" s="973" t="n">
        <v>0</v>
      </c>
      <c r="L343" s="973" t="n">
        <v>0</v>
      </c>
      <c r="M343" s="973" t="inlineStr">
        <is>
          <t>Windows; Linux; IaaS</t>
        </is>
      </c>
      <c r="N343" s="973" t="inlineStr">
        <is>
          <t>https://attack.mitre.org/techniques/T1490/</t>
        </is>
      </c>
      <c r="O343" s="973" t="n"/>
      <c r="P343" s="973" t="n"/>
    </row>
    <row r="344">
      <c r="A344" s="973" t="inlineStr">
        <is>
          <t>Cybercriminal</t>
        </is>
      </c>
      <c r="B344" s="973" t="inlineStr">
        <is>
          <t>Data or transaction-integrity compromise</t>
        </is>
      </c>
      <c r="C344" s="973" t="inlineStr">
        <is>
          <t>Public-facing application exploitation</t>
        </is>
      </c>
      <c r="D344" s="973" t="inlineStr">
        <is>
          <t>T1567</t>
        </is>
      </c>
      <c r="E344" s="973" t="inlineStr">
        <is>
          <t>Exfiltration Over Web Service</t>
        </is>
      </c>
      <c r="F344" s="973" t="inlineStr">
        <is>
          <t>S5</t>
        </is>
      </c>
      <c r="G344" s="973" t="b">
        <v>1</v>
      </c>
      <c r="H344" s="973" t="b">
        <v>0</v>
      </c>
      <c r="I344" s="973" t="b">
        <v>0</v>
      </c>
      <c r="J344" s="973" t="n">
        <v>0.6</v>
      </c>
      <c r="K344" s="973" t="n">
        <v>0.20625</v>
      </c>
      <c r="L344" s="973" t="n">
        <v>0.20625</v>
      </c>
      <c r="M344" s="973" t="inlineStr">
        <is>
          <t>SaaS; Office Suite</t>
        </is>
      </c>
      <c r="N344" s="973" t="inlineStr">
        <is>
          <t>https://attack.mitre.org/techniques/T1567/</t>
        </is>
      </c>
      <c r="O344" s="973" t="n"/>
      <c r="P344" s="973" t="n"/>
    </row>
    <row r="345">
      <c r="A345" s="973" t="inlineStr">
        <is>
          <t>Cybercriminal</t>
        </is>
      </c>
      <c r="B345" s="973" t="inlineStr">
        <is>
          <t>Data or transaction-integrity compromise</t>
        </is>
      </c>
      <c r="C345" s="973" t="inlineStr">
        <is>
          <t>Public-facing application exploitation</t>
        </is>
      </c>
      <c r="D345" s="973" t="inlineStr">
        <is>
          <t>T1565</t>
        </is>
      </c>
      <c r="E345" s="973" t="inlineStr">
        <is>
          <t>Data Manipulation</t>
        </is>
      </c>
      <c r="F345" s="973" t="inlineStr">
        <is>
          <t>S5</t>
        </is>
      </c>
      <c r="G345" s="973" t="b">
        <v>1</v>
      </c>
      <c r="H345" s="973" t="b">
        <v>1</v>
      </c>
      <c r="I345" s="973" t="b">
        <v>1</v>
      </c>
      <c r="J345" s="973" t="n">
        <v>0.6</v>
      </c>
      <c r="K345" s="973" t="n">
        <v>0.2206064987182617</v>
      </c>
      <c r="L345" s="973" t="n">
        <v>0.2206064987182617</v>
      </c>
      <c r="M345" s="973" t="inlineStr">
        <is>
          <t>SaaS; Databases; Windows</t>
        </is>
      </c>
      <c r="N345" s="973" t="inlineStr">
        <is>
          <t>https://attack.mitre.org/techniques/T1565/</t>
        </is>
      </c>
      <c r="O345" s="973" t="n"/>
      <c r="P345" s="973" t="n"/>
    </row>
    <row r="346">
      <c r="A346" s="973" t="inlineStr">
        <is>
          <t>Cybercriminal</t>
        </is>
      </c>
      <c r="B346" s="973" t="inlineStr">
        <is>
          <t>Data or transaction-integrity compromise</t>
        </is>
      </c>
      <c r="C346" s="973" t="inlineStr">
        <is>
          <t>Public-facing application exploitation</t>
        </is>
      </c>
      <c r="D346" s="973" t="inlineStr">
        <is>
          <t>T1657</t>
        </is>
      </c>
      <c r="E346" s="973" t="inlineStr">
        <is>
          <t>Financial Theft</t>
        </is>
      </c>
      <c r="F346" s="973" t="inlineStr">
        <is>
          <t>S5</t>
        </is>
      </c>
      <c r="G346" s="973" t="b">
        <v>1</v>
      </c>
      <c r="H346" s="973" t="b">
        <v>0</v>
      </c>
      <c r="I346" s="973" t="b">
        <v>0</v>
      </c>
      <c r="J346" s="973" t="n">
        <v>0.4</v>
      </c>
      <c r="K346" s="973" t="n">
        <v>0.275654296875</v>
      </c>
      <c r="L346" s="973" t="n">
        <v>0.275654296875</v>
      </c>
      <c r="M346" s="973" t="inlineStr">
        <is>
          <t>SaaS; Office Suite; Identity Provider</t>
        </is>
      </c>
      <c r="N346" s="973" t="inlineStr">
        <is>
          <t>https://attack.mitre.org/techniques/T1657/</t>
        </is>
      </c>
      <c r="O346" s="973" t="n"/>
      <c r="P346" s="973" t="n"/>
    </row>
    <row r="347">
      <c r="A347" s="973" t="inlineStr">
        <is>
          <t>Cybercriminal</t>
        </is>
      </c>
      <c r="B347" s="973" t="inlineStr">
        <is>
          <t>Data or transaction-integrity compromise</t>
        </is>
      </c>
      <c r="C347" s="973" t="inlineStr">
        <is>
          <t>Third-party or software supply chain</t>
        </is>
      </c>
      <c r="D347" s="973" t="inlineStr">
        <is>
          <t>T1199</t>
        </is>
      </c>
      <c r="E347" s="973" t="inlineStr">
        <is>
          <t>Trusted Relationship</t>
        </is>
      </c>
      <c r="F347" s="973" t="inlineStr">
        <is>
          <t>S3</t>
        </is>
      </c>
      <c r="G347" s="973" t="b">
        <v>1</v>
      </c>
      <c r="H347" s="973" t="b">
        <v>1</v>
      </c>
      <c r="I347" s="973" t="b">
        <v>1</v>
      </c>
      <c r="J347" s="973" t="n">
        <v>1</v>
      </c>
      <c r="K347" s="973" t="n">
        <v>0.20625</v>
      </c>
      <c r="L347" s="973" t="n">
        <v>0.20625</v>
      </c>
      <c r="M347" s="973" t="inlineStr">
        <is>
          <t>SaaS; IaaS; Network Devices</t>
        </is>
      </c>
      <c r="N347" s="973" t="inlineStr">
        <is>
          <t>https://attack.mitre.org/techniques/T1199/</t>
        </is>
      </c>
      <c r="O347" s="973" t="n"/>
      <c r="P347" s="973" t="n"/>
    </row>
    <row r="348">
      <c r="A348" s="973" t="inlineStr">
        <is>
          <t>Cybercriminal</t>
        </is>
      </c>
      <c r="B348" s="973" t="inlineStr">
        <is>
          <t>Data or transaction-integrity compromise</t>
        </is>
      </c>
      <c r="C348" s="973" t="inlineStr">
        <is>
          <t>Third-party or software supply chain</t>
        </is>
      </c>
      <c r="D348" s="973" t="inlineStr">
        <is>
          <t>T1098</t>
        </is>
      </c>
      <c r="E348" s="973" t="inlineStr">
        <is>
          <t>Account Manipulation</t>
        </is>
      </c>
      <c r="F348" s="973" t="inlineStr">
        <is>
          <t>S3</t>
        </is>
      </c>
      <c r="G348" s="973" t="b">
        <v>1</v>
      </c>
      <c r="H348" s="973" t="b">
        <v>1</v>
      </c>
      <c r="I348" s="973" t="b">
        <v>1</v>
      </c>
      <c r="J348" s="973" t="n">
        <v>0.6</v>
      </c>
      <c r="K348" s="973" t="n">
        <v>0.2477547340393066</v>
      </c>
      <c r="L348" s="973" t="n">
        <v>0.2477547340393066</v>
      </c>
      <c r="M348" s="973" t="inlineStr">
        <is>
          <t>Identity Provider; SaaS; Windows</t>
        </is>
      </c>
      <c r="N348" s="973" t="inlineStr">
        <is>
          <t>https://attack.mitre.org/techniques/T1098/</t>
        </is>
      </c>
      <c r="O348" s="973" t="n"/>
      <c r="P348" s="973" t="n"/>
    </row>
    <row r="349">
      <c r="A349" s="973" t="inlineStr">
        <is>
          <t>Cybercriminal</t>
        </is>
      </c>
      <c r="B349" s="973" t="inlineStr">
        <is>
          <t>Data or transaction-integrity compromise</t>
        </is>
      </c>
      <c r="C349" s="973" t="inlineStr">
        <is>
          <t>Third-party or software supply chain</t>
        </is>
      </c>
      <c r="D349" s="973" t="inlineStr">
        <is>
          <t>T1087</t>
        </is>
      </c>
      <c r="E349" s="973" t="inlineStr">
        <is>
          <t>Account Discovery</t>
        </is>
      </c>
      <c r="F349" s="973" t="inlineStr">
        <is>
          <t>S4</t>
        </is>
      </c>
      <c r="G349" s="973" t="b">
        <v>1</v>
      </c>
      <c r="H349" s="973" t="b">
        <v>1</v>
      </c>
      <c r="I349" s="973" t="b">
        <v>1</v>
      </c>
      <c r="J349" s="973" t="n">
        <v>0.5</v>
      </c>
      <c r="K349" s="973" t="n">
        <v>0</v>
      </c>
      <c r="L349" s="973" t="n">
        <v>0</v>
      </c>
      <c r="M349" s="973" t="inlineStr">
        <is>
          <t>Identity Provider; SaaS; Windows</t>
        </is>
      </c>
      <c r="N349" s="973" t="inlineStr">
        <is>
          <t>https://attack.mitre.org/techniques/T1087/</t>
        </is>
      </c>
      <c r="O349" s="973" t="n"/>
      <c r="P349" s="973" t="n"/>
    </row>
    <row r="350">
      <c r="A350" s="973" t="inlineStr">
        <is>
          <t>Cybercriminal</t>
        </is>
      </c>
      <c r="B350" s="973" t="inlineStr">
        <is>
          <t>Data or transaction-integrity compromise</t>
        </is>
      </c>
      <c r="C350" s="973" t="inlineStr">
        <is>
          <t>Third-party or software supply chain</t>
        </is>
      </c>
      <c r="D350" s="973" t="inlineStr">
        <is>
          <t>T1213</t>
        </is>
      </c>
      <c r="E350" s="973" t="inlineStr">
        <is>
          <t>Data from Information Repositories</t>
        </is>
      </c>
      <c r="F350" s="973" t="inlineStr">
        <is>
          <t>S4</t>
        </is>
      </c>
      <c r="G350" s="973" t="b">
        <v>1</v>
      </c>
      <c r="H350" s="973" t="b">
        <v>1</v>
      </c>
      <c r="I350" s="973" t="b">
        <v>1</v>
      </c>
      <c r="J350" s="973" t="n">
        <v>0.7</v>
      </c>
      <c r="K350" s="973" t="n">
        <v>0.177890625</v>
      </c>
      <c r="L350" s="973" t="n">
        <v>0.177890625</v>
      </c>
      <c r="M350" s="973" t="inlineStr">
        <is>
          <t>SaaS; Office Suite; Windows</t>
        </is>
      </c>
      <c r="N350" s="973" t="inlineStr">
        <is>
          <t>https://attack.mitre.org/techniques/T1213/</t>
        </is>
      </c>
      <c r="O350" s="973" t="n"/>
      <c r="P350" s="973" t="n"/>
    </row>
    <row r="351">
      <c r="A351" s="973" t="inlineStr">
        <is>
          <t>Cybercriminal</t>
        </is>
      </c>
      <c r="B351" s="973" t="inlineStr">
        <is>
          <t>Data or transaction-integrity compromise</t>
        </is>
      </c>
      <c r="C351" s="973" t="inlineStr">
        <is>
          <t>Third-party or software supply chain</t>
        </is>
      </c>
      <c r="D351" s="973" t="inlineStr">
        <is>
          <t>T1567</t>
        </is>
      </c>
      <c r="E351" s="973" t="inlineStr">
        <is>
          <t>Exfiltration Over Web Service</t>
        </is>
      </c>
      <c r="F351" s="973" t="inlineStr">
        <is>
          <t>S5</t>
        </is>
      </c>
      <c r="G351" s="973" t="b">
        <v>1</v>
      </c>
      <c r="H351" s="973" t="b">
        <v>0</v>
      </c>
      <c r="I351" s="973" t="b">
        <v>0</v>
      </c>
      <c r="J351" s="973" t="n">
        <v>0.6</v>
      </c>
      <c r="K351" s="973" t="n">
        <v>0.20625</v>
      </c>
      <c r="L351" s="973" t="n">
        <v>0.20625</v>
      </c>
      <c r="M351" s="973" t="inlineStr">
        <is>
          <t>SaaS; Office Suite</t>
        </is>
      </c>
      <c r="N351" s="973" t="inlineStr">
        <is>
          <t>https://attack.mitre.org/techniques/T1567/</t>
        </is>
      </c>
      <c r="O351" s="973" t="n"/>
      <c r="P351" s="973" t="n"/>
    </row>
    <row r="352">
      <c r="A352" s="973" t="inlineStr">
        <is>
          <t>Cybercriminal</t>
        </is>
      </c>
      <c r="B352" s="973" t="inlineStr">
        <is>
          <t>Data or transaction-integrity compromise</t>
        </is>
      </c>
      <c r="C352" s="973" t="inlineStr">
        <is>
          <t>Third-party or software supply chain</t>
        </is>
      </c>
      <c r="D352" s="973" t="inlineStr">
        <is>
          <t>T1486</t>
        </is>
      </c>
      <c r="E352" s="973" t="inlineStr">
        <is>
          <t>Data Encrypted for Impact</t>
        </is>
      </c>
      <c r="F352" s="973" t="inlineStr">
        <is>
          <t>S5</t>
        </is>
      </c>
      <c r="G352" s="973" t="b">
        <v>1</v>
      </c>
      <c r="H352" s="973" t="b">
        <v>1</v>
      </c>
      <c r="I352" s="973" t="b">
        <v>1</v>
      </c>
      <c r="J352" s="973" t="n">
        <v>0.5</v>
      </c>
      <c r="K352" s="973" t="n">
        <v>0.16875</v>
      </c>
      <c r="L352" s="973" t="n">
        <v>0.16875</v>
      </c>
      <c r="M352" s="973" t="inlineStr">
        <is>
          <t>Windows; Linux; IaaS</t>
        </is>
      </c>
      <c r="N352" s="973" t="inlineStr">
        <is>
          <t>https://attack.mitre.org/techniques/T1486/</t>
        </is>
      </c>
      <c r="O352" s="973" t="n"/>
      <c r="P352" s="973" t="n"/>
    </row>
    <row r="353">
      <c r="A353" s="973" t="inlineStr">
        <is>
          <t>Cybercriminal</t>
        </is>
      </c>
      <c r="B353" s="973" t="inlineStr">
        <is>
          <t>Data or transaction-integrity compromise</t>
        </is>
      </c>
      <c r="C353" s="973" t="inlineStr">
        <is>
          <t>Third-party or software supply chain</t>
        </is>
      </c>
      <c r="D353" s="973" t="inlineStr">
        <is>
          <t>T1565</t>
        </is>
      </c>
      <c r="E353" s="973" t="inlineStr">
        <is>
          <t>Data Manipulation</t>
        </is>
      </c>
      <c r="F353" s="973" t="inlineStr">
        <is>
          <t>S5</t>
        </is>
      </c>
      <c r="G353" s="973" t="b">
        <v>1</v>
      </c>
      <c r="H353" s="973" t="b">
        <v>1</v>
      </c>
      <c r="I353" s="973" t="b">
        <v>1</v>
      </c>
      <c r="J353" s="973" t="n">
        <v>0.6</v>
      </c>
      <c r="K353" s="973" t="n">
        <v>0.2206064987182617</v>
      </c>
      <c r="L353" s="973" t="n">
        <v>0.2206064987182617</v>
      </c>
      <c r="M353" s="973" t="inlineStr">
        <is>
          <t>SaaS; Databases; Windows</t>
        </is>
      </c>
      <c r="N353" s="973" t="inlineStr">
        <is>
          <t>https://attack.mitre.org/techniques/T1565/</t>
        </is>
      </c>
      <c r="O353" s="973" t="n"/>
      <c r="P353" s="973" t="n"/>
    </row>
    <row r="354">
      <c r="A354" s="973" t="inlineStr">
        <is>
          <t>Cybercriminal</t>
        </is>
      </c>
      <c r="B354" s="973" t="inlineStr">
        <is>
          <t>Data or transaction-integrity compromise</t>
        </is>
      </c>
      <c r="C354" s="973" t="inlineStr">
        <is>
          <t>Third-party or software supply chain</t>
        </is>
      </c>
      <c r="D354" s="973" t="inlineStr">
        <is>
          <t>T1657</t>
        </is>
      </c>
      <c r="E354" s="973" t="inlineStr">
        <is>
          <t>Financial Theft</t>
        </is>
      </c>
      <c r="F354" s="973" t="inlineStr">
        <is>
          <t>S5</t>
        </is>
      </c>
      <c r="G354" s="973" t="b">
        <v>1</v>
      </c>
      <c r="H354" s="973" t="b">
        <v>0</v>
      </c>
      <c r="I354" s="973" t="b">
        <v>0</v>
      </c>
      <c r="J354" s="973" t="n">
        <v>0.5</v>
      </c>
      <c r="K354" s="973" t="n">
        <v>0.275654296875</v>
      </c>
      <c r="L354" s="973" t="n">
        <v>0.275654296875</v>
      </c>
      <c r="M354" s="973" t="inlineStr">
        <is>
          <t>SaaS; Office Suite; Identity Provider</t>
        </is>
      </c>
      <c r="N354" s="973" t="inlineStr">
        <is>
          <t>https://attack.mitre.org/techniques/T1657/</t>
        </is>
      </c>
      <c r="O354" s="973" t="n"/>
      <c r="P354" s="973" t="n"/>
    </row>
    <row r="355">
      <c r="A355" s="973" t="inlineStr">
        <is>
          <t>Cybercriminal</t>
        </is>
      </c>
      <c r="B355" s="973" t="inlineStr">
        <is>
          <t>Data or transaction-integrity compromise</t>
        </is>
      </c>
      <c r="C355" s="973" t="inlineStr">
        <is>
          <t>Insider or trusted access</t>
        </is>
      </c>
      <c r="D355" s="973" t="inlineStr">
        <is>
          <t>T1098</t>
        </is>
      </c>
      <c r="E355" s="973" t="inlineStr">
        <is>
          <t>Account Manipulation</t>
        </is>
      </c>
      <c r="F355" s="973" t="inlineStr">
        <is>
          <t>S3</t>
        </is>
      </c>
      <c r="G355" s="973" t="b">
        <v>1</v>
      </c>
      <c r="H355" s="973" t="b">
        <v>1</v>
      </c>
      <c r="I355" s="973" t="b">
        <v>1</v>
      </c>
      <c r="J355" s="973" t="n">
        <v>0.8</v>
      </c>
      <c r="K355" s="973" t="n">
        <v>0.2477547340393066</v>
      </c>
      <c r="L355" s="973" t="n">
        <v>0.2477547340393066</v>
      </c>
      <c r="M355" s="973" t="inlineStr">
        <is>
          <t>Identity Provider; SaaS; Windows</t>
        </is>
      </c>
      <c r="N355" s="973" t="inlineStr">
        <is>
          <t>https://attack.mitre.org/techniques/T1098/</t>
        </is>
      </c>
      <c r="O355" s="973" t="n"/>
      <c r="P355" s="973" t="n"/>
    </row>
    <row r="356">
      <c r="A356" s="973" t="inlineStr">
        <is>
          <t>Cybercriminal</t>
        </is>
      </c>
      <c r="B356" s="973" t="inlineStr">
        <is>
          <t>Data or transaction-integrity compromise</t>
        </is>
      </c>
      <c r="C356" s="973" t="inlineStr">
        <is>
          <t>Insider or trusted access</t>
        </is>
      </c>
      <c r="D356" s="973" t="inlineStr">
        <is>
          <t>T1087</t>
        </is>
      </c>
      <c r="E356" s="973" t="inlineStr">
        <is>
          <t>Account Discovery</t>
        </is>
      </c>
      <c r="F356" s="973" t="inlineStr">
        <is>
          <t>S4</t>
        </is>
      </c>
      <c r="G356" s="973" t="b">
        <v>1</v>
      </c>
      <c r="H356" s="973" t="b">
        <v>1</v>
      </c>
      <c r="I356" s="973" t="b">
        <v>1</v>
      </c>
      <c r="J356" s="973" t="n">
        <v>0.6</v>
      </c>
      <c r="K356" s="973" t="n">
        <v>0</v>
      </c>
      <c r="L356" s="973" t="n">
        <v>0</v>
      </c>
      <c r="M356" s="973" t="inlineStr">
        <is>
          <t>Identity Provider; SaaS; Windows</t>
        </is>
      </c>
      <c r="N356" s="973" t="inlineStr">
        <is>
          <t>https://attack.mitre.org/techniques/T1087/</t>
        </is>
      </c>
      <c r="O356" s="973" t="n"/>
      <c r="P356" s="973" t="n"/>
    </row>
    <row r="357">
      <c r="A357" s="973" t="inlineStr">
        <is>
          <t>Cybercriminal</t>
        </is>
      </c>
      <c r="B357" s="973" t="inlineStr">
        <is>
          <t>Data or transaction-integrity compromise</t>
        </is>
      </c>
      <c r="C357" s="973" t="inlineStr">
        <is>
          <t>Insider or trusted access</t>
        </is>
      </c>
      <c r="D357" s="973" t="inlineStr">
        <is>
          <t>T1213</t>
        </is>
      </c>
      <c r="E357" s="973" t="inlineStr">
        <is>
          <t>Data from Information Repositories</t>
        </is>
      </c>
      <c r="F357" s="973" t="inlineStr">
        <is>
          <t>S4</t>
        </is>
      </c>
      <c r="G357" s="973" t="b">
        <v>1</v>
      </c>
      <c r="H357" s="973" t="b">
        <v>1</v>
      </c>
      <c r="I357" s="973" t="b">
        <v>1</v>
      </c>
      <c r="J357" s="973" t="n">
        <v>0.9</v>
      </c>
      <c r="K357" s="973" t="n">
        <v>0.177890625</v>
      </c>
      <c r="L357" s="973" t="n">
        <v>0.177890625</v>
      </c>
      <c r="M357" s="973" t="inlineStr">
        <is>
          <t>SaaS; Office Suite; Windows</t>
        </is>
      </c>
      <c r="N357" s="973" t="inlineStr">
        <is>
          <t>https://attack.mitre.org/techniques/T1213/</t>
        </is>
      </c>
      <c r="O357" s="973" t="n"/>
      <c r="P357" s="973" t="n"/>
    </row>
    <row r="358">
      <c r="A358" s="973" t="inlineStr">
        <is>
          <t>Cybercriminal</t>
        </is>
      </c>
      <c r="B358" s="973" t="inlineStr">
        <is>
          <t>Data or transaction-integrity compromise</t>
        </is>
      </c>
      <c r="C358" s="973" t="inlineStr">
        <is>
          <t>Insider or trusted access</t>
        </is>
      </c>
      <c r="D358" s="973" t="inlineStr">
        <is>
          <t>T1567</t>
        </is>
      </c>
      <c r="E358" s="973" t="inlineStr">
        <is>
          <t>Exfiltration Over Web Service</t>
        </is>
      </c>
      <c r="F358" s="973" t="inlineStr">
        <is>
          <t>S5</t>
        </is>
      </c>
      <c r="G358" s="973" t="b">
        <v>1</v>
      </c>
      <c r="H358" s="973" t="b">
        <v>0</v>
      </c>
      <c r="I358" s="973" t="b">
        <v>0</v>
      </c>
      <c r="J358" s="973" t="n">
        <v>0.8</v>
      </c>
      <c r="K358" s="973" t="n">
        <v>0.20625</v>
      </c>
      <c r="L358" s="973" t="n">
        <v>0.20625</v>
      </c>
      <c r="M358" s="973" t="inlineStr">
        <is>
          <t>SaaS; Office Suite</t>
        </is>
      </c>
      <c r="N358" s="973" t="inlineStr">
        <is>
          <t>https://attack.mitre.org/techniques/T1567/</t>
        </is>
      </c>
      <c r="O358" s="973" t="n"/>
      <c r="P358" s="973" t="n"/>
    </row>
    <row r="359">
      <c r="A359" s="973" t="inlineStr">
        <is>
          <t>Cybercriminal</t>
        </is>
      </c>
      <c r="B359" s="973" t="inlineStr">
        <is>
          <t>Data or transaction-integrity compromise</t>
        </is>
      </c>
      <c r="C359" s="973" t="inlineStr">
        <is>
          <t>Insider or trusted access</t>
        </is>
      </c>
      <c r="D359" s="973" t="inlineStr">
        <is>
          <t>T1565</t>
        </is>
      </c>
      <c r="E359" s="973" t="inlineStr">
        <is>
          <t>Data Manipulation</t>
        </is>
      </c>
      <c r="F359" s="973" t="inlineStr">
        <is>
          <t>S5</t>
        </is>
      </c>
      <c r="G359" s="973" t="b">
        <v>1</v>
      </c>
      <c r="H359" s="973" t="b">
        <v>1</v>
      </c>
      <c r="I359" s="973" t="b">
        <v>1</v>
      </c>
      <c r="J359" s="973" t="n">
        <v>0.9</v>
      </c>
      <c r="K359" s="973" t="n">
        <v>0.2206064987182617</v>
      </c>
      <c r="L359" s="973" t="n">
        <v>0.2206064987182617</v>
      </c>
      <c r="M359" s="973" t="inlineStr">
        <is>
          <t>SaaS; Databases; Windows</t>
        </is>
      </c>
      <c r="N359" s="973" t="inlineStr">
        <is>
          <t>https://attack.mitre.org/techniques/T1565/</t>
        </is>
      </c>
      <c r="O359" s="973" t="n"/>
      <c r="P359" s="973" t="n"/>
    </row>
    <row r="360">
      <c r="A360" s="973" t="inlineStr">
        <is>
          <t>Cybercriminal</t>
        </is>
      </c>
      <c r="B360" s="973" t="inlineStr">
        <is>
          <t>Data or transaction-integrity compromise</t>
        </is>
      </c>
      <c r="C360" s="973" t="inlineStr">
        <is>
          <t>Insider or trusted access</t>
        </is>
      </c>
      <c r="D360" s="973" t="inlineStr">
        <is>
          <t>T1657</t>
        </is>
      </c>
      <c r="E360" s="973" t="inlineStr">
        <is>
          <t>Financial Theft</t>
        </is>
      </c>
      <c r="F360" s="973" t="inlineStr">
        <is>
          <t>S5</t>
        </is>
      </c>
      <c r="G360" s="973" t="b">
        <v>1</v>
      </c>
      <c r="H360" s="973" t="b">
        <v>0</v>
      </c>
      <c r="I360" s="973" t="b">
        <v>0</v>
      </c>
      <c r="J360" s="973" t="n">
        <v>0.9</v>
      </c>
      <c r="K360" s="973" t="n">
        <v>0.275654296875</v>
      </c>
      <c r="L360" s="973" t="n">
        <v>0.275654296875</v>
      </c>
      <c r="M360" s="973" t="inlineStr">
        <is>
          <t>SaaS; Office Suite; Identity Provider</t>
        </is>
      </c>
      <c r="N360" s="973" t="inlineStr">
        <is>
          <t>https://attack.mitre.org/techniques/T1657/</t>
        </is>
      </c>
      <c r="O360" s="973" t="n"/>
      <c r="P360" s="973" t="n"/>
    </row>
    <row r="361">
      <c r="A361" s="973" t="inlineStr">
        <is>
          <t>Cybercriminal</t>
        </is>
      </c>
      <c r="B361" s="973" t="inlineStr">
        <is>
          <t>Cyber-enabled theft or fraud</t>
        </is>
      </c>
      <c r="C361" s="973" t="inlineStr">
        <is>
          <t>Identity and credential compromise</t>
        </is>
      </c>
      <c r="D361" s="973" t="inlineStr">
        <is>
          <t>T1566</t>
        </is>
      </c>
      <c r="E361" s="973" t="inlineStr">
        <is>
          <t>Phishing</t>
        </is>
      </c>
      <c r="F361" s="973" t="inlineStr">
        <is>
          <t>S1</t>
        </is>
      </c>
      <c r="G361" s="973" t="b">
        <v>1</v>
      </c>
      <c r="H361" s="973" t="b">
        <v>1</v>
      </c>
      <c r="I361" s="973" t="b">
        <v>1</v>
      </c>
      <c r="J361" s="973" t="n">
        <v>1</v>
      </c>
      <c r="K361" s="973" t="n">
        <v>0.20625</v>
      </c>
      <c r="L361" s="973" t="n">
        <v>0.20625</v>
      </c>
      <c r="M361" s="973" t="inlineStr">
        <is>
          <t>Windows; SaaS; Office Suite</t>
        </is>
      </c>
      <c r="N361" s="973" t="inlineStr">
        <is>
          <t>https://attack.mitre.org/techniques/T1566/</t>
        </is>
      </c>
      <c r="O361" s="973" t="n"/>
      <c r="P361" s="973" t="n"/>
    </row>
    <row r="362">
      <c r="A362" s="973" t="inlineStr">
        <is>
          <t>Cybercriminal</t>
        </is>
      </c>
      <c r="B362" s="973" t="inlineStr">
        <is>
          <t>Cyber-enabled theft or fraud</t>
        </is>
      </c>
      <c r="C362" s="973" t="inlineStr">
        <is>
          <t>Identity and credential compromise</t>
        </is>
      </c>
      <c r="D362" s="973" t="inlineStr">
        <is>
          <t>T1078</t>
        </is>
      </c>
      <c r="E362" s="973" t="inlineStr">
        <is>
          <t>Valid Accounts</t>
        </is>
      </c>
      <c r="F362" s="973" t="inlineStr">
        <is>
          <t>S1</t>
        </is>
      </c>
      <c r="G362" s="973" t="b">
        <v>1</v>
      </c>
      <c r="H362" s="973" t="b">
        <v>1</v>
      </c>
      <c r="I362" s="973" t="b">
        <v>1</v>
      </c>
      <c r="J362" s="973" t="n">
        <v>1</v>
      </c>
      <c r="K362" s="973" t="n">
        <v>0.272109375</v>
      </c>
      <c r="L362" s="973" t="n">
        <v>0.272109375</v>
      </c>
      <c r="M362" s="973" t="inlineStr">
        <is>
          <t>Identity Provider; SaaS; IaaS; Windows</t>
        </is>
      </c>
      <c r="N362" s="973" t="inlineStr">
        <is>
          <t>https://attack.mitre.org/techniques/T1078/</t>
        </is>
      </c>
      <c r="O362" s="973" t="n"/>
      <c r="P362" s="973" t="n"/>
    </row>
    <row r="363">
      <c r="A363" s="973" t="inlineStr">
        <is>
          <t>Cybercriminal</t>
        </is>
      </c>
      <c r="B363" s="973" t="inlineStr">
        <is>
          <t>Cyber-enabled theft or fraud</t>
        </is>
      </c>
      <c r="C363" s="973" t="inlineStr">
        <is>
          <t>Identity and credential compromise</t>
        </is>
      </c>
      <c r="D363" s="973" t="inlineStr">
        <is>
          <t>T1110</t>
        </is>
      </c>
      <c r="E363" s="973" t="inlineStr">
        <is>
          <t>Brute Force</t>
        </is>
      </c>
      <c r="F363" s="973" t="inlineStr">
        <is>
          <t>S1</t>
        </is>
      </c>
      <c r="G363" s="973" t="b">
        <v>1</v>
      </c>
      <c r="H363" s="973" t="b">
        <v>1</v>
      </c>
      <c r="I363" s="973" t="b">
        <v>1</v>
      </c>
      <c r="J363" s="973" t="n">
        <v>0.7</v>
      </c>
      <c r="K363" s="973" t="n">
        <v>0.24375</v>
      </c>
      <c r="L363" s="973" t="n">
        <v>0.24375</v>
      </c>
      <c r="M363" s="973" t="inlineStr">
        <is>
          <t>Identity Provider; SaaS; Windows</t>
        </is>
      </c>
      <c r="N363" s="973" t="inlineStr">
        <is>
          <t>https://attack.mitre.org/techniques/T1110/</t>
        </is>
      </c>
      <c r="O363" s="973" t="n"/>
      <c r="P363" s="973" t="n"/>
    </row>
    <row r="364">
      <c r="A364" s="973" t="inlineStr">
        <is>
          <t>Cybercriminal</t>
        </is>
      </c>
      <c r="B364" s="973" t="inlineStr">
        <is>
          <t>Cyber-enabled theft or fraud</t>
        </is>
      </c>
      <c r="C364" s="973" t="inlineStr">
        <is>
          <t>Identity and credential compromise</t>
        </is>
      </c>
      <c r="D364" s="973" t="inlineStr">
        <is>
          <t>T1098</t>
        </is>
      </c>
      <c r="E364" s="973" t="inlineStr">
        <is>
          <t>Account Manipulation</t>
        </is>
      </c>
      <c r="F364" s="973" t="inlineStr">
        <is>
          <t>S3</t>
        </is>
      </c>
      <c r="G364" s="973" t="b">
        <v>1</v>
      </c>
      <c r="H364" s="973" t="b">
        <v>1</v>
      </c>
      <c r="I364" s="973" t="b">
        <v>1</v>
      </c>
      <c r="J364" s="973" t="n">
        <v>0.7</v>
      </c>
      <c r="K364" s="973" t="n">
        <v>0.2477547340393066</v>
      </c>
      <c r="L364" s="973" t="n">
        <v>0.2477547340393066</v>
      </c>
      <c r="M364" s="973" t="inlineStr">
        <is>
          <t>Identity Provider; SaaS; Windows</t>
        </is>
      </c>
      <c r="N364" s="973" t="inlineStr">
        <is>
          <t>https://attack.mitre.org/techniques/T1098/</t>
        </is>
      </c>
      <c r="O364" s="973" t="n"/>
      <c r="P364" s="973" t="n"/>
    </row>
    <row r="365">
      <c r="A365" s="973" t="inlineStr">
        <is>
          <t>Cybercriminal</t>
        </is>
      </c>
      <c r="B365" s="973" t="inlineStr">
        <is>
          <t>Cyber-enabled theft or fraud</t>
        </is>
      </c>
      <c r="C365" s="973" t="inlineStr">
        <is>
          <t>Identity and credential compromise</t>
        </is>
      </c>
      <c r="D365" s="973" t="inlineStr">
        <is>
          <t>T1567</t>
        </is>
      </c>
      <c r="E365" s="973" t="inlineStr">
        <is>
          <t>Exfiltration Over Web Service</t>
        </is>
      </c>
      <c r="F365" s="973" t="inlineStr">
        <is>
          <t>S5</t>
        </is>
      </c>
      <c r="G365" s="973" t="b">
        <v>1</v>
      </c>
      <c r="H365" s="973" t="b">
        <v>0</v>
      </c>
      <c r="I365" s="973" t="b">
        <v>0</v>
      </c>
      <c r="J365" s="973" t="n">
        <v>0.7</v>
      </c>
      <c r="K365" s="973" t="n">
        <v>0.20625</v>
      </c>
      <c r="L365" s="973" t="n">
        <v>0.20625</v>
      </c>
      <c r="M365" s="973" t="inlineStr">
        <is>
          <t>SaaS; Office Suite</t>
        </is>
      </c>
      <c r="N365" s="973" t="inlineStr">
        <is>
          <t>https://attack.mitre.org/techniques/T1567/</t>
        </is>
      </c>
      <c r="O365" s="973" t="n"/>
      <c r="P365" s="973" t="n"/>
    </row>
    <row r="366">
      <c r="A366" s="973" t="inlineStr">
        <is>
          <t>Cybercriminal</t>
        </is>
      </c>
      <c r="B366" s="973" t="inlineStr">
        <is>
          <t>Cyber-enabled theft or fraud</t>
        </is>
      </c>
      <c r="C366" s="973" t="inlineStr">
        <is>
          <t>Identity and credential compromise</t>
        </is>
      </c>
      <c r="D366" s="973" t="inlineStr">
        <is>
          <t>T1657</t>
        </is>
      </c>
      <c r="E366" s="973" t="inlineStr">
        <is>
          <t>Financial Theft</t>
        </is>
      </c>
      <c r="F366" s="973" t="inlineStr">
        <is>
          <t>S5</t>
        </is>
      </c>
      <c r="G366" s="973" t="b">
        <v>1</v>
      </c>
      <c r="H366" s="973" t="b">
        <v>1</v>
      </c>
      <c r="I366" s="973" t="b">
        <v>1</v>
      </c>
      <c r="J366" s="973" t="n">
        <v>0.8</v>
      </c>
      <c r="K366" s="973" t="n">
        <v>0.275654296875</v>
      </c>
      <c r="L366" s="973" t="n">
        <v>0.275654296875</v>
      </c>
      <c r="M366" s="973" t="inlineStr">
        <is>
          <t>SaaS; Office Suite; Identity Provider</t>
        </is>
      </c>
      <c r="N366" s="973" t="inlineStr">
        <is>
          <t>https://attack.mitre.org/techniques/T1657/</t>
        </is>
      </c>
      <c r="O366" s="973" t="n"/>
      <c r="P366" s="973" t="n"/>
    </row>
    <row r="367">
      <c r="A367" s="973" t="inlineStr">
        <is>
          <t>Cybercriminal</t>
        </is>
      </c>
      <c r="B367" s="973" t="inlineStr">
        <is>
          <t>Cyber-enabled theft or fraud</t>
        </is>
      </c>
      <c r="C367" s="973" t="inlineStr">
        <is>
          <t>Identity and credential compromise</t>
        </is>
      </c>
      <c r="D367" s="973" t="inlineStr">
        <is>
          <t>T1565</t>
        </is>
      </c>
      <c r="E367" s="973" t="inlineStr">
        <is>
          <t>Data Manipulation</t>
        </is>
      </c>
      <c r="F367" s="973" t="inlineStr">
        <is>
          <t>S5</t>
        </is>
      </c>
      <c r="G367" s="973" t="b">
        <v>1</v>
      </c>
      <c r="H367" s="973" t="b">
        <v>1</v>
      </c>
      <c r="I367" s="973" t="b">
        <v>1</v>
      </c>
      <c r="J367" s="973" t="n">
        <v>0.5</v>
      </c>
      <c r="K367" s="973" t="n">
        <v>0.2206064987182617</v>
      </c>
      <c r="L367" s="973" t="n">
        <v>0.2206064987182617</v>
      </c>
      <c r="M367" s="973" t="inlineStr">
        <is>
          <t>SaaS; Databases; Windows</t>
        </is>
      </c>
      <c r="N367" s="973" t="inlineStr">
        <is>
          <t>https://attack.mitre.org/techniques/T1565/</t>
        </is>
      </c>
      <c r="O367" s="973" t="n"/>
      <c r="P367" s="973" t="n"/>
    </row>
    <row r="368">
      <c r="A368" s="973" t="inlineStr">
        <is>
          <t>Cybercriminal</t>
        </is>
      </c>
      <c r="B368" s="973" t="inlineStr">
        <is>
          <t>Cyber-enabled theft or fraud</t>
        </is>
      </c>
      <c r="C368" s="973" t="inlineStr">
        <is>
          <t>Identity and credential compromise</t>
        </is>
      </c>
      <c r="D368" s="973" t="inlineStr">
        <is>
          <t>T1486</t>
        </is>
      </c>
      <c r="E368" s="973" t="inlineStr">
        <is>
          <t>Data Encrypted for Impact</t>
        </is>
      </c>
      <c r="F368" s="973" t="inlineStr">
        <is>
          <t>S5</t>
        </is>
      </c>
      <c r="G368" s="973" t="b">
        <v>1</v>
      </c>
      <c r="H368" s="973" t="b">
        <v>0</v>
      </c>
      <c r="I368" s="973" t="b">
        <v>0</v>
      </c>
      <c r="J368" s="973" t="n">
        <v>0.7</v>
      </c>
      <c r="K368" s="973" t="n">
        <v>0.16875</v>
      </c>
      <c r="L368" s="973" t="n">
        <v>0.16875</v>
      </c>
      <c r="M368" s="973" t="inlineStr">
        <is>
          <t>Windows; Linux; IaaS</t>
        </is>
      </c>
      <c r="N368" s="973" t="inlineStr">
        <is>
          <t>https://attack.mitre.org/techniques/T1486/</t>
        </is>
      </c>
      <c r="O368" s="973" t="n"/>
      <c r="P368" s="973" t="n"/>
    </row>
    <row r="369">
      <c r="A369" s="973" t="inlineStr">
        <is>
          <t>Cybercriminal</t>
        </is>
      </c>
      <c r="B369" s="973" t="inlineStr">
        <is>
          <t>Cyber-enabled theft or fraud</t>
        </is>
      </c>
      <c r="C369" s="973" t="inlineStr">
        <is>
          <t>Identity and credential compromise</t>
        </is>
      </c>
      <c r="D369" s="973" t="inlineStr">
        <is>
          <t>T1490</t>
        </is>
      </c>
      <c r="E369" s="973" t="inlineStr">
        <is>
          <t>Inhibit System Recovery</t>
        </is>
      </c>
      <c r="F369" s="973" t="inlineStr">
        <is>
          <t>S5</t>
        </is>
      </c>
      <c r="G369" s="973" t="b">
        <v>1</v>
      </c>
      <c r="H369" s="973" t="b">
        <v>0</v>
      </c>
      <c r="I369" s="973" t="b">
        <v>0</v>
      </c>
      <c r="J369" s="973" t="n">
        <v>0.6</v>
      </c>
      <c r="K369" s="973" t="n">
        <v>0</v>
      </c>
      <c r="L369" s="973" t="n">
        <v>0</v>
      </c>
      <c r="M369" s="973" t="inlineStr">
        <is>
          <t>Windows; Linux; IaaS</t>
        </is>
      </c>
      <c r="N369" s="973" t="inlineStr">
        <is>
          <t>https://attack.mitre.org/techniques/T1490/</t>
        </is>
      </c>
      <c r="O369" s="973" t="n"/>
      <c r="P369" s="973" t="n"/>
    </row>
    <row r="370">
      <c r="A370" s="973" t="inlineStr">
        <is>
          <t>Cybercriminal</t>
        </is>
      </c>
      <c r="B370" s="973" t="inlineStr">
        <is>
          <t>Cyber-enabled theft or fraud</t>
        </is>
      </c>
      <c r="C370" s="973" t="inlineStr">
        <is>
          <t>User endpoint and social engineering</t>
        </is>
      </c>
      <c r="D370" s="973" t="inlineStr">
        <is>
          <t>T1566</t>
        </is>
      </c>
      <c r="E370" s="973" t="inlineStr">
        <is>
          <t>Phishing</t>
        </is>
      </c>
      <c r="F370" s="973" t="inlineStr">
        <is>
          <t>S1</t>
        </is>
      </c>
      <c r="G370" s="973" t="b">
        <v>1</v>
      </c>
      <c r="H370" s="973" t="b">
        <v>1</v>
      </c>
      <c r="I370" s="973" t="b">
        <v>1</v>
      </c>
      <c r="J370" s="973" t="n">
        <v>1</v>
      </c>
      <c r="K370" s="973" t="n">
        <v>0.20625</v>
      </c>
      <c r="L370" s="973" t="n">
        <v>0.20625</v>
      </c>
      <c r="M370" s="973" t="inlineStr">
        <is>
          <t>Windows; SaaS; Office Suite</t>
        </is>
      </c>
      <c r="N370" s="973" t="inlineStr">
        <is>
          <t>https://attack.mitre.org/techniques/T1566/</t>
        </is>
      </c>
      <c r="O370" s="973" t="n"/>
      <c r="P370" s="973" t="n"/>
    </row>
    <row r="371">
      <c r="A371" s="973" t="inlineStr">
        <is>
          <t>Cybercriminal</t>
        </is>
      </c>
      <c r="B371" s="973" t="inlineStr">
        <is>
          <t>Cyber-enabled theft or fraud</t>
        </is>
      </c>
      <c r="C371" s="973" t="inlineStr">
        <is>
          <t>User endpoint and social engineering</t>
        </is>
      </c>
      <c r="D371" s="973" t="inlineStr">
        <is>
          <t>T1203</t>
        </is>
      </c>
      <c r="E371" s="973" t="inlineStr">
        <is>
          <t>Exploitation for Client Execution</t>
        </is>
      </c>
      <c r="F371" s="973" t="inlineStr">
        <is>
          <t>S2</t>
        </is>
      </c>
      <c r="G371" s="973" t="b">
        <v>1</v>
      </c>
      <c r="H371" s="973" t="b">
        <v>1</v>
      </c>
      <c r="I371" s="973" t="b">
        <v>1</v>
      </c>
      <c r="J371" s="973" t="n">
        <v>0.8</v>
      </c>
      <c r="K371" s="973" t="n">
        <v>0.2404920959472656</v>
      </c>
      <c r="L371" s="973" t="n">
        <v>0.2404920959472656</v>
      </c>
      <c r="M371" s="973" t="inlineStr">
        <is>
          <t>Windows; macOS; Linux</t>
        </is>
      </c>
      <c r="N371" s="973" t="inlineStr">
        <is>
          <t>https://attack.mitre.org/techniques/T1203/</t>
        </is>
      </c>
      <c r="O371" s="973" t="n"/>
      <c r="P371" s="973" t="n"/>
    </row>
    <row r="372">
      <c r="A372" s="973" t="inlineStr">
        <is>
          <t>Cybercriminal</t>
        </is>
      </c>
      <c r="B372" s="973" t="inlineStr">
        <is>
          <t>Cyber-enabled theft or fraud</t>
        </is>
      </c>
      <c r="C372" s="973" t="inlineStr">
        <is>
          <t>User endpoint and social engineering</t>
        </is>
      </c>
      <c r="D372" s="973" t="inlineStr">
        <is>
          <t>T1059</t>
        </is>
      </c>
      <c r="E372" s="973" t="inlineStr">
        <is>
          <t>Command and Scripting Interpreter</t>
        </is>
      </c>
      <c r="F372" s="973" t="inlineStr">
        <is>
          <t>S2</t>
        </is>
      </c>
      <c r="G372" s="973" t="b">
        <v>1</v>
      </c>
      <c r="H372" s="973" t="b">
        <v>1</v>
      </c>
      <c r="I372" s="973" t="b">
        <v>1</v>
      </c>
      <c r="J372" s="973" t="n">
        <v>0.9</v>
      </c>
      <c r="K372" s="973" t="n">
        <v>0.1875</v>
      </c>
      <c r="L372" s="973" t="n">
        <v>0.1875</v>
      </c>
      <c r="M372" s="973" t="inlineStr">
        <is>
          <t>Windows; macOS; Linux; IaaS</t>
        </is>
      </c>
      <c r="N372" s="973" t="inlineStr">
        <is>
          <t>https://attack.mitre.org/techniques/T1059/</t>
        </is>
      </c>
      <c r="O372" s="973" t="n"/>
      <c r="P372" s="973" t="n"/>
    </row>
    <row r="373">
      <c r="A373" s="973" t="inlineStr">
        <is>
          <t>Cybercriminal</t>
        </is>
      </c>
      <c r="B373" s="973" t="inlineStr">
        <is>
          <t>Cyber-enabled theft or fraud</t>
        </is>
      </c>
      <c r="C373" s="973" t="inlineStr">
        <is>
          <t>User endpoint and social engineering</t>
        </is>
      </c>
      <c r="D373" s="973" t="inlineStr">
        <is>
          <t>T1486</t>
        </is>
      </c>
      <c r="E373" s="973" t="inlineStr">
        <is>
          <t>Data Encrypted for Impact</t>
        </is>
      </c>
      <c r="F373" s="973" t="inlineStr">
        <is>
          <t>S5</t>
        </is>
      </c>
      <c r="G373" s="973" t="b">
        <v>1</v>
      </c>
      <c r="H373" s="973" t="b">
        <v>0</v>
      </c>
      <c r="I373" s="973" t="b">
        <v>0</v>
      </c>
      <c r="J373" s="973" t="n">
        <v>0.8</v>
      </c>
      <c r="K373" s="973" t="n">
        <v>0.16875</v>
      </c>
      <c r="L373" s="973" t="n">
        <v>0.16875</v>
      </c>
      <c r="M373" s="973" t="inlineStr">
        <is>
          <t>Windows; Linux; IaaS</t>
        </is>
      </c>
      <c r="N373" s="973" t="inlineStr">
        <is>
          <t>https://attack.mitre.org/techniques/T1486/</t>
        </is>
      </c>
      <c r="O373" s="973" t="n"/>
      <c r="P373" s="973" t="n"/>
    </row>
    <row r="374">
      <c r="A374" s="973" t="inlineStr">
        <is>
          <t>Cybercriminal</t>
        </is>
      </c>
      <c r="B374" s="973" t="inlineStr">
        <is>
          <t>Cyber-enabled theft or fraud</t>
        </is>
      </c>
      <c r="C374" s="973" t="inlineStr">
        <is>
          <t>User endpoint and social engineering</t>
        </is>
      </c>
      <c r="D374" s="973" t="inlineStr">
        <is>
          <t>T1490</t>
        </is>
      </c>
      <c r="E374" s="973" t="inlineStr">
        <is>
          <t>Inhibit System Recovery</t>
        </is>
      </c>
      <c r="F374" s="973" t="inlineStr">
        <is>
          <t>S5</t>
        </is>
      </c>
      <c r="G374" s="973" t="b">
        <v>1</v>
      </c>
      <c r="H374" s="973" t="b">
        <v>0</v>
      </c>
      <c r="I374" s="973" t="b">
        <v>0</v>
      </c>
      <c r="J374" s="973" t="n">
        <v>0.7</v>
      </c>
      <c r="K374" s="973" t="n">
        <v>0</v>
      </c>
      <c r="L374" s="973" t="n">
        <v>0</v>
      </c>
      <c r="M374" s="973" t="inlineStr">
        <is>
          <t>Windows; Linux; IaaS</t>
        </is>
      </c>
      <c r="N374" s="973" t="inlineStr">
        <is>
          <t>https://attack.mitre.org/techniques/T1490/</t>
        </is>
      </c>
      <c r="O374" s="973" t="n"/>
      <c r="P374" s="973" t="n"/>
    </row>
    <row r="375">
      <c r="A375" s="973" t="inlineStr">
        <is>
          <t>Cybercriminal</t>
        </is>
      </c>
      <c r="B375" s="973" t="inlineStr">
        <is>
          <t>Cyber-enabled theft or fraud</t>
        </is>
      </c>
      <c r="C375" s="973" t="inlineStr">
        <is>
          <t>User endpoint and social engineering</t>
        </is>
      </c>
      <c r="D375" s="973" t="inlineStr">
        <is>
          <t>T1567</t>
        </is>
      </c>
      <c r="E375" s="973" t="inlineStr">
        <is>
          <t>Exfiltration Over Web Service</t>
        </is>
      </c>
      <c r="F375" s="973" t="inlineStr">
        <is>
          <t>S5</t>
        </is>
      </c>
      <c r="G375" s="973" t="b">
        <v>1</v>
      </c>
      <c r="H375" s="973" t="b">
        <v>0</v>
      </c>
      <c r="I375" s="973" t="b">
        <v>0</v>
      </c>
      <c r="J375" s="973" t="n">
        <v>0.7</v>
      </c>
      <c r="K375" s="973" t="n">
        <v>0.20625</v>
      </c>
      <c r="L375" s="973" t="n">
        <v>0.20625</v>
      </c>
      <c r="M375" s="973" t="inlineStr">
        <is>
          <t>SaaS; Office Suite</t>
        </is>
      </c>
      <c r="N375" s="973" t="inlineStr">
        <is>
          <t>https://attack.mitre.org/techniques/T1567/</t>
        </is>
      </c>
      <c r="O375" s="973" t="n"/>
      <c r="P375" s="973" t="n"/>
    </row>
    <row r="376">
      <c r="A376" s="973" t="inlineStr">
        <is>
          <t>Cybercriminal</t>
        </is>
      </c>
      <c r="B376" s="973" t="inlineStr">
        <is>
          <t>Cyber-enabled theft or fraud</t>
        </is>
      </c>
      <c r="C376" s="973" t="inlineStr">
        <is>
          <t>User endpoint and social engineering</t>
        </is>
      </c>
      <c r="D376" s="973" t="inlineStr">
        <is>
          <t>T1657</t>
        </is>
      </c>
      <c r="E376" s="973" t="inlineStr">
        <is>
          <t>Financial Theft</t>
        </is>
      </c>
      <c r="F376" s="973" t="inlineStr">
        <is>
          <t>S5</t>
        </is>
      </c>
      <c r="G376" s="973" t="b">
        <v>1</v>
      </c>
      <c r="H376" s="973" t="b">
        <v>1</v>
      </c>
      <c r="I376" s="973" t="b">
        <v>1</v>
      </c>
      <c r="J376" s="973" t="n">
        <v>0.5</v>
      </c>
      <c r="K376" s="973" t="n">
        <v>0.275654296875</v>
      </c>
      <c r="L376" s="973" t="n">
        <v>0.275654296875</v>
      </c>
      <c r="M376" s="973" t="inlineStr">
        <is>
          <t>SaaS; Office Suite; Identity Provider</t>
        </is>
      </c>
      <c r="N376" s="973" t="inlineStr">
        <is>
          <t>https://attack.mitre.org/techniques/T1657/</t>
        </is>
      </c>
      <c r="O376" s="973" t="n"/>
      <c r="P376" s="973" t="n"/>
    </row>
    <row r="377">
      <c r="A377" s="973" t="inlineStr">
        <is>
          <t>Cybercriminal</t>
        </is>
      </c>
      <c r="B377" s="973" t="inlineStr">
        <is>
          <t>Cyber-enabled theft or fraud</t>
        </is>
      </c>
      <c r="C377" s="973" t="inlineStr">
        <is>
          <t>User endpoint and social engineering</t>
        </is>
      </c>
      <c r="D377" s="973" t="inlineStr">
        <is>
          <t>T1565</t>
        </is>
      </c>
      <c r="E377" s="973" t="inlineStr">
        <is>
          <t>Data Manipulation</t>
        </is>
      </c>
      <c r="F377" s="973" t="inlineStr">
        <is>
          <t>S5</t>
        </is>
      </c>
      <c r="G377" s="973" t="b">
        <v>1</v>
      </c>
      <c r="H377" s="973" t="b">
        <v>1</v>
      </c>
      <c r="I377" s="973" t="b">
        <v>1</v>
      </c>
      <c r="J377" s="973" t="n">
        <v>0.5</v>
      </c>
      <c r="K377" s="973" t="n">
        <v>0.2206064987182617</v>
      </c>
      <c r="L377" s="973" t="n">
        <v>0.2206064987182617</v>
      </c>
      <c r="M377" s="973" t="inlineStr">
        <is>
          <t>SaaS; Databases; Windows</t>
        </is>
      </c>
      <c r="N377" s="973" t="inlineStr">
        <is>
          <t>https://attack.mitre.org/techniques/T1565/</t>
        </is>
      </c>
      <c r="O377" s="973" t="n"/>
      <c r="P377" s="973" t="n"/>
    </row>
    <row r="378">
      <c r="A378" s="973" t="inlineStr">
        <is>
          <t>Cybercriminal</t>
        </is>
      </c>
      <c r="B378" s="973" t="inlineStr">
        <is>
          <t>Cyber-enabled theft or fraud</t>
        </is>
      </c>
      <c r="C378" s="973" t="inlineStr">
        <is>
          <t>Public-facing application exploitation</t>
        </is>
      </c>
      <c r="D378" s="973" t="inlineStr">
        <is>
          <t>T1190</t>
        </is>
      </c>
      <c r="E378" s="973" t="inlineStr">
        <is>
          <t>Exploit Public-Facing Application</t>
        </is>
      </c>
      <c r="F378" s="973" t="inlineStr">
        <is>
          <t>S1</t>
        </is>
      </c>
      <c r="G378" s="973" t="b">
        <v>1</v>
      </c>
      <c r="H378" s="973" t="b">
        <v>1</v>
      </c>
      <c r="I378" s="973" t="b">
        <v>1</v>
      </c>
      <c r="J378" s="973" t="n">
        <v>1</v>
      </c>
      <c r="K378" s="973" t="n">
        <v>0.2496630477905274</v>
      </c>
      <c r="L378" s="973" t="n">
        <v>0.2496630477905274</v>
      </c>
      <c r="M378" s="973" t="inlineStr">
        <is>
          <t>Network Devices; SaaS; IaaS</t>
        </is>
      </c>
      <c r="N378" s="973" t="inlineStr">
        <is>
          <t>https://attack.mitre.org/techniques/T1190/</t>
        </is>
      </c>
      <c r="O378" s="973" t="n"/>
      <c r="P378" s="973" t="n"/>
    </row>
    <row r="379">
      <c r="A379" s="973" t="inlineStr">
        <is>
          <t>Cybercriminal</t>
        </is>
      </c>
      <c r="B379" s="973" t="inlineStr">
        <is>
          <t>Cyber-enabled theft or fraud</t>
        </is>
      </c>
      <c r="C379" s="973" t="inlineStr">
        <is>
          <t>Public-facing application exploitation</t>
        </is>
      </c>
      <c r="D379" s="973" t="inlineStr">
        <is>
          <t>T1059</t>
        </is>
      </c>
      <c r="E379" s="973" t="inlineStr">
        <is>
          <t>Command and Scripting Interpreter</t>
        </is>
      </c>
      <c r="F379" s="973" t="inlineStr">
        <is>
          <t>S2</t>
        </is>
      </c>
      <c r="G379" s="973" t="b">
        <v>1</v>
      </c>
      <c r="H379" s="973" t="b">
        <v>1</v>
      </c>
      <c r="I379" s="973" t="b">
        <v>1</v>
      </c>
      <c r="J379" s="973" t="n">
        <v>0.8</v>
      </c>
      <c r="K379" s="973" t="n">
        <v>0.1875</v>
      </c>
      <c r="L379" s="973" t="n">
        <v>0.1875</v>
      </c>
      <c r="M379" s="973" t="inlineStr">
        <is>
          <t>Windows; macOS; Linux; IaaS</t>
        </is>
      </c>
      <c r="N379" s="973" t="inlineStr">
        <is>
          <t>https://attack.mitre.org/techniques/T1059/</t>
        </is>
      </c>
      <c r="O379" s="973" t="n"/>
      <c r="P379" s="973" t="n"/>
    </row>
    <row r="380">
      <c r="A380" s="973" t="inlineStr">
        <is>
          <t>Cybercriminal</t>
        </is>
      </c>
      <c r="B380" s="973" t="inlineStr">
        <is>
          <t>Cyber-enabled theft or fraud</t>
        </is>
      </c>
      <c r="C380" s="973" t="inlineStr">
        <is>
          <t>Public-facing application exploitation</t>
        </is>
      </c>
      <c r="D380" s="973" t="inlineStr">
        <is>
          <t>T1068</t>
        </is>
      </c>
      <c r="E380" s="973" t="inlineStr">
        <is>
          <t>Exploitation for Privilege Escalation</t>
        </is>
      </c>
      <c r="F380" s="973" t="inlineStr">
        <is>
          <t>S3</t>
        </is>
      </c>
      <c r="G380" s="973" t="b">
        <v>1</v>
      </c>
      <c r="H380" s="973" t="b">
        <v>1</v>
      </c>
      <c r="I380" s="973" t="b">
        <v>1</v>
      </c>
      <c r="J380" s="973" t="n">
        <v>0.7</v>
      </c>
      <c r="K380" s="973" t="n">
        <v>0.2094165115356445</v>
      </c>
      <c r="L380" s="973" t="n">
        <v>0.2094165115356445</v>
      </c>
      <c r="M380" s="973" t="inlineStr">
        <is>
          <t>Windows; macOS; Linux</t>
        </is>
      </c>
      <c r="N380" s="973" t="inlineStr">
        <is>
          <t>https://attack.mitre.org/techniques/T1068/</t>
        </is>
      </c>
      <c r="O380" s="973" t="n"/>
      <c r="P380" s="973" t="n"/>
    </row>
    <row r="381">
      <c r="A381" s="973" t="inlineStr">
        <is>
          <t>Cybercriminal</t>
        </is>
      </c>
      <c r="B381" s="973" t="inlineStr">
        <is>
          <t>Cyber-enabled theft or fraud</t>
        </is>
      </c>
      <c r="C381" s="973" t="inlineStr">
        <is>
          <t>Public-facing application exploitation</t>
        </is>
      </c>
      <c r="D381" s="973" t="inlineStr">
        <is>
          <t>T1003</t>
        </is>
      </c>
      <c r="E381" s="973" t="inlineStr">
        <is>
          <t>OS Credential Dumping</t>
        </is>
      </c>
      <c r="F381" s="973" t="inlineStr">
        <is>
          <t>S3</t>
        </is>
      </c>
      <c r="G381" s="973" t="b">
        <v>1</v>
      </c>
      <c r="H381" s="973" t="b">
        <v>1</v>
      </c>
      <c r="I381" s="973" t="b">
        <v>1</v>
      </c>
      <c r="J381" s="973" t="n">
        <v>0.6</v>
      </c>
      <c r="K381" s="973" t="n">
        <v>0.232294921875</v>
      </c>
      <c r="L381" s="973" t="n">
        <v>0.232294921875</v>
      </c>
      <c r="M381" s="973" t="inlineStr">
        <is>
          <t>Windows; Linux; macOS</t>
        </is>
      </c>
      <c r="N381" s="973" t="inlineStr">
        <is>
          <t>https://attack.mitre.org/techniques/T1003/</t>
        </is>
      </c>
      <c r="O381" s="973" t="n"/>
      <c r="P381" s="973" t="n"/>
    </row>
    <row r="382">
      <c r="A382" s="973" t="inlineStr">
        <is>
          <t>Cybercriminal</t>
        </is>
      </c>
      <c r="B382" s="973" t="inlineStr">
        <is>
          <t>Cyber-enabled theft or fraud</t>
        </is>
      </c>
      <c r="C382" s="973" t="inlineStr">
        <is>
          <t>Public-facing application exploitation</t>
        </is>
      </c>
      <c r="D382" s="973" t="inlineStr">
        <is>
          <t>T1046</t>
        </is>
      </c>
      <c r="E382" s="973" t="inlineStr">
        <is>
          <t>Network Service Discovery</t>
        </is>
      </c>
      <c r="F382" s="973" t="inlineStr">
        <is>
          <t>S4</t>
        </is>
      </c>
      <c r="G382" s="973" t="b">
        <v>1</v>
      </c>
      <c r="H382" s="973" t="b">
        <v>1</v>
      </c>
      <c r="I382" s="973" t="b">
        <v>1</v>
      </c>
      <c r="J382" s="973" t="n">
        <v>0.7</v>
      </c>
      <c r="K382" s="973" t="n">
        <v>0.16875</v>
      </c>
      <c r="L382" s="973" t="n">
        <v>0.16875</v>
      </c>
      <c r="M382" s="973" t="inlineStr">
        <is>
          <t>Network Devices; Windows; Linux</t>
        </is>
      </c>
      <c r="N382" s="973" t="inlineStr">
        <is>
          <t>https://attack.mitre.org/techniques/T1046/</t>
        </is>
      </c>
      <c r="O382" s="973" t="n"/>
      <c r="P382" s="973" t="n"/>
    </row>
    <row r="383">
      <c r="A383" s="973" t="inlineStr">
        <is>
          <t>Cybercriminal</t>
        </is>
      </c>
      <c r="B383" s="973" t="inlineStr">
        <is>
          <t>Cyber-enabled theft or fraud</t>
        </is>
      </c>
      <c r="C383" s="973" t="inlineStr">
        <is>
          <t>Public-facing application exploitation</t>
        </is>
      </c>
      <c r="D383" s="973" t="inlineStr">
        <is>
          <t>T1210</t>
        </is>
      </c>
      <c r="E383" s="973" t="inlineStr">
        <is>
          <t>Exploitation of Remote Services</t>
        </is>
      </c>
      <c r="F383" s="973" t="inlineStr">
        <is>
          <t>S4</t>
        </is>
      </c>
      <c r="G383" s="973" t="b">
        <v>1</v>
      </c>
      <c r="H383" s="973" t="b">
        <v>1</v>
      </c>
      <c r="I383" s="973" t="b">
        <v>1</v>
      </c>
      <c r="J383" s="973" t="n">
        <v>0.9</v>
      </c>
      <c r="K383" s="973" t="n">
        <v>0.2103495368957519</v>
      </c>
      <c r="L383" s="973" t="n">
        <v>0.2103495368957519</v>
      </c>
      <c r="M383" s="973" t="inlineStr">
        <is>
          <t>Windows; Linux; Network Devices</t>
        </is>
      </c>
      <c r="N383" s="973" t="inlineStr">
        <is>
          <t>https://attack.mitre.org/techniques/T1210/</t>
        </is>
      </c>
      <c r="O383" s="973" t="n"/>
      <c r="P383" s="973" t="n"/>
    </row>
    <row r="384">
      <c r="A384" s="973" t="inlineStr">
        <is>
          <t>Cybercriminal</t>
        </is>
      </c>
      <c r="B384" s="973" t="inlineStr">
        <is>
          <t>Cyber-enabled theft or fraud</t>
        </is>
      </c>
      <c r="C384" s="973" t="inlineStr">
        <is>
          <t>Public-facing application exploitation</t>
        </is>
      </c>
      <c r="D384" s="973" t="inlineStr">
        <is>
          <t>T1021</t>
        </is>
      </c>
      <c r="E384" s="973" t="inlineStr">
        <is>
          <t>Remote Services</t>
        </is>
      </c>
      <c r="F384" s="973" t="inlineStr">
        <is>
          <t>S4</t>
        </is>
      </c>
      <c r="G384" s="973" t="b">
        <v>1</v>
      </c>
      <c r="H384" s="973" t="b">
        <v>1</v>
      </c>
      <c r="I384" s="973" t="b">
        <v>1</v>
      </c>
      <c r="J384" s="973" t="n">
        <v>0.7</v>
      </c>
      <c r="K384" s="973" t="n">
        <v>0.1875</v>
      </c>
      <c r="L384" s="973" t="n">
        <v>0.1875</v>
      </c>
      <c r="M384" s="973" t="inlineStr">
        <is>
          <t>Windows; Linux; Network Devices</t>
        </is>
      </c>
      <c r="N384" s="973" t="inlineStr">
        <is>
          <t>https://attack.mitre.org/techniques/T1021/</t>
        </is>
      </c>
      <c r="O384" s="973" t="n"/>
      <c r="P384" s="973" t="n"/>
    </row>
    <row r="385">
      <c r="A385" s="973" t="inlineStr">
        <is>
          <t>Cybercriminal</t>
        </is>
      </c>
      <c r="B385" s="973" t="inlineStr">
        <is>
          <t>Cyber-enabled theft or fraud</t>
        </is>
      </c>
      <c r="C385" s="973" t="inlineStr">
        <is>
          <t>Public-facing application exploitation</t>
        </is>
      </c>
      <c r="D385" s="973" t="inlineStr">
        <is>
          <t>T1486</t>
        </is>
      </c>
      <c r="E385" s="973" t="inlineStr">
        <is>
          <t>Data Encrypted for Impact</t>
        </is>
      </c>
      <c r="F385" s="973" t="inlineStr">
        <is>
          <t>S5</t>
        </is>
      </c>
      <c r="G385" s="973" t="b">
        <v>1</v>
      </c>
      <c r="H385" s="973" t="b">
        <v>0</v>
      </c>
      <c r="I385" s="973" t="b">
        <v>0</v>
      </c>
      <c r="J385" s="973" t="n">
        <v>0.6</v>
      </c>
      <c r="K385" s="973" t="n">
        <v>0.16875</v>
      </c>
      <c r="L385" s="973" t="n">
        <v>0.16875</v>
      </c>
      <c r="M385" s="973" t="inlineStr">
        <is>
          <t>Windows; Linux; IaaS</t>
        </is>
      </c>
      <c r="N385" s="973" t="inlineStr">
        <is>
          <t>https://attack.mitre.org/techniques/T1486/</t>
        </is>
      </c>
      <c r="O385" s="973" t="n"/>
      <c r="P385" s="973" t="n"/>
    </row>
    <row r="386">
      <c r="A386" s="973" t="inlineStr">
        <is>
          <t>Cybercriminal</t>
        </is>
      </c>
      <c r="B386" s="973" t="inlineStr">
        <is>
          <t>Cyber-enabled theft or fraud</t>
        </is>
      </c>
      <c r="C386" s="973" t="inlineStr">
        <is>
          <t>Public-facing application exploitation</t>
        </is>
      </c>
      <c r="D386" s="973" t="inlineStr">
        <is>
          <t>T1490</t>
        </is>
      </c>
      <c r="E386" s="973" t="inlineStr">
        <is>
          <t>Inhibit System Recovery</t>
        </is>
      </c>
      <c r="F386" s="973" t="inlineStr">
        <is>
          <t>S5</t>
        </is>
      </c>
      <c r="G386" s="973" t="b">
        <v>1</v>
      </c>
      <c r="H386" s="973" t="b">
        <v>0</v>
      </c>
      <c r="I386" s="973" t="b">
        <v>0</v>
      </c>
      <c r="J386" s="973" t="n">
        <v>0.5</v>
      </c>
      <c r="K386" s="973" t="n">
        <v>0</v>
      </c>
      <c r="L386" s="973" t="n">
        <v>0</v>
      </c>
      <c r="M386" s="973" t="inlineStr">
        <is>
          <t>Windows; Linux; IaaS</t>
        </is>
      </c>
      <c r="N386" s="973" t="inlineStr">
        <is>
          <t>https://attack.mitre.org/techniques/T1490/</t>
        </is>
      </c>
      <c r="O386" s="973" t="n"/>
      <c r="P386" s="973" t="n"/>
    </row>
    <row r="387">
      <c r="A387" s="973" t="inlineStr">
        <is>
          <t>Cybercriminal</t>
        </is>
      </c>
      <c r="B387" s="973" t="inlineStr">
        <is>
          <t>Cyber-enabled theft or fraud</t>
        </is>
      </c>
      <c r="C387" s="973" t="inlineStr">
        <is>
          <t>Public-facing application exploitation</t>
        </is>
      </c>
      <c r="D387" s="973" t="inlineStr">
        <is>
          <t>T1567</t>
        </is>
      </c>
      <c r="E387" s="973" t="inlineStr">
        <is>
          <t>Exfiltration Over Web Service</t>
        </is>
      </c>
      <c r="F387" s="973" t="inlineStr">
        <is>
          <t>S5</t>
        </is>
      </c>
      <c r="G387" s="973" t="b">
        <v>1</v>
      </c>
      <c r="H387" s="973" t="b">
        <v>0</v>
      </c>
      <c r="I387" s="973" t="b">
        <v>0</v>
      </c>
      <c r="J387" s="973" t="n">
        <v>0.6</v>
      </c>
      <c r="K387" s="973" t="n">
        <v>0.20625</v>
      </c>
      <c r="L387" s="973" t="n">
        <v>0.20625</v>
      </c>
      <c r="M387" s="973" t="inlineStr">
        <is>
          <t>SaaS; Office Suite</t>
        </is>
      </c>
      <c r="N387" s="973" t="inlineStr">
        <is>
          <t>https://attack.mitre.org/techniques/T1567/</t>
        </is>
      </c>
      <c r="O387" s="973" t="n"/>
      <c r="P387" s="973" t="n"/>
    </row>
    <row r="388">
      <c r="A388" s="973" t="inlineStr">
        <is>
          <t>Cybercriminal</t>
        </is>
      </c>
      <c r="B388" s="973" t="inlineStr">
        <is>
          <t>Cyber-enabled theft or fraud</t>
        </is>
      </c>
      <c r="C388" s="973" t="inlineStr">
        <is>
          <t>Public-facing application exploitation</t>
        </is>
      </c>
      <c r="D388" s="973" t="inlineStr">
        <is>
          <t>T1565</t>
        </is>
      </c>
      <c r="E388" s="973" t="inlineStr">
        <is>
          <t>Data Manipulation</t>
        </is>
      </c>
      <c r="F388" s="973" t="inlineStr">
        <is>
          <t>S5</t>
        </is>
      </c>
      <c r="G388" s="973" t="b">
        <v>1</v>
      </c>
      <c r="H388" s="973" t="b">
        <v>1</v>
      </c>
      <c r="I388" s="973" t="b">
        <v>1</v>
      </c>
      <c r="J388" s="973" t="n">
        <v>0.6</v>
      </c>
      <c r="K388" s="973" t="n">
        <v>0.2206064987182617</v>
      </c>
      <c r="L388" s="973" t="n">
        <v>0.2206064987182617</v>
      </c>
      <c r="M388" s="973" t="inlineStr">
        <is>
          <t>SaaS; Databases; Windows</t>
        </is>
      </c>
      <c r="N388" s="973" t="inlineStr">
        <is>
          <t>https://attack.mitre.org/techniques/T1565/</t>
        </is>
      </c>
      <c r="O388" s="973" t="n"/>
      <c r="P388" s="973" t="n"/>
    </row>
    <row r="389">
      <c r="A389" s="973" t="inlineStr">
        <is>
          <t>Cybercriminal</t>
        </is>
      </c>
      <c r="B389" s="973" t="inlineStr">
        <is>
          <t>Cyber-enabled theft or fraud</t>
        </is>
      </c>
      <c r="C389" s="973" t="inlineStr">
        <is>
          <t>Public-facing application exploitation</t>
        </is>
      </c>
      <c r="D389" s="973" t="inlineStr">
        <is>
          <t>T1657</t>
        </is>
      </c>
      <c r="E389" s="973" t="inlineStr">
        <is>
          <t>Financial Theft</t>
        </is>
      </c>
      <c r="F389" s="973" t="inlineStr">
        <is>
          <t>S5</t>
        </is>
      </c>
      <c r="G389" s="973" t="b">
        <v>1</v>
      </c>
      <c r="H389" s="973" t="b">
        <v>1</v>
      </c>
      <c r="I389" s="973" t="b">
        <v>1</v>
      </c>
      <c r="J389" s="973" t="n">
        <v>0.4</v>
      </c>
      <c r="K389" s="973" t="n">
        <v>0.275654296875</v>
      </c>
      <c r="L389" s="973" t="n">
        <v>0.275654296875</v>
      </c>
      <c r="M389" s="973" t="inlineStr">
        <is>
          <t>SaaS; Office Suite; Identity Provider</t>
        </is>
      </c>
      <c r="N389" s="973" t="inlineStr">
        <is>
          <t>https://attack.mitre.org/techniques/T1657/</t>
        </is>
      </c>
      <c r="O389" s="973" t="n"/>
      <c r="P389" s="973" t="n"/>
    </row>
    <row r="390">
      <c r="A390" s="973" t="inlineStr">
        <is>
          <t>Cybercriminal</t>
        </is>
      </c>
      <c r="B390" s="973" t="inlineStr">
        <is>
          <t>Cyber-enabled theft or fraud</t>
        </is>
      </c>
      <c r="C390" s="973" t="inlineStr">
        <is>
          <t>Third-party or software supply chain</t>
        </is>
      </c>
      <c r="D390" s="973" t="inlineStr">
        <is>
          <t>T1199</t>
        </is>
      </c>
      <c r="E390" s="973" t="inlineStr">
        <is>
          <t>Trusted Relationship</t>
        </is>
      </c>
      <c r="F390" s="973" t="inlineStr">
        <is>
          <t>S3</t>
        </is>
      </c>
      <c r="G390" s="973" t="b">
        <v>1</v>
      </c>
      <c r="H390" s="973" t="b">
        <v>1</v>
      </c>
      <c r="I390" s="973" t="b">
        <v>1</v>
      </c>
      <c r="J390" s="973" t="n">
        <v>1</v>
      </c>
      <c r="K390" s="973" t="n">
        <v>0.20625</v>
      </c>
      <c r="L390" s="973" t="n">
        <v>0.20625</v>
      </c>
      <c r="M390" s="973" t="inlineStr">
        <is>
          <t>SaaS; IaaS; Network Devices</t>
        </is>
      </c>
      <c r="N390" s="973" t="inlineStr">
        <is>
          <t>https://attack.mitre.org/techniques/T1199/</t>
        </is>
      </c>
      <c r="O390" s="973" t="n"/>
      <c r="P390" s="973" t="n"/>
    </row>
    <row r="391">
      <c r="A391" s="973" t="inlineStr">
        <is>
          <t>Cybercriminal</t>
        </is>
      </c>
      <c r="B391" s="973" t="inlineStr">
        <is>
          <t>Cyber-enabled theft or fraud</t>
        </is>
      </c>
      <c r="C391" s="973" t="inlineStr">
        <is>
          <t>Third-party or software supply chain</t>
        </is>
      </c>
      <c r="D391" s="973" t="inlineStr">
        <is>
          <t>T1098</t>
        </is>
      </c>
      <c r="E391" s="973" t="inlineStr">
        <is>
          <t>Account Manipulation</t>
        </is>
      </c>
      <c r="F391" s="973" t="inlineStr">
        <is>
          <t>S3</t>
        </is>
      </c>
      <c r="G391" s="973" t="b">
        <v>1</v>
      </c>
      <c r="H391" s="973" t="b">
        <v>1</v>
      </c>
      <c r="I391" s="973" t="b">
        <v>1</v>
      </c>
      <c r="J391" s="973" t="n">
        <v>0.6</v>
      </c>
      <c r="K391" s="973" t="n">
        <v>0.2477547340393066</v>
      </c>
      <c r="L391" s="973" t="n">
        <v>0.2477547340393066</v>
      </c>
      <c r="M391" s="973" t="inlineStr">
        <is>
          <t>Identity Provider; SaaS; Windows</t>
        </is>
      </c>
      <c r="N391" s="973" t="inlineStr">
        <is>
          <t>https://attack.mitre.org/techniques/T1098/</t>
        </is>
      </c>
      <c r="O391" s="973" t="n"/>
      <c r="P391" s="973" t="n"/>
    </row>
    <row r="392">
      <c r="A392" s="973" t="inlineStr">
        <is>
          <t>Cybercriminal</t>
        </is>
      </c>
      <c r="B392" s="973" t="inlineStr">
        <is>
          <t>Cyber-enabled theft or fraud</t>
        </is>
      </c>
      <c r="C392" s="973" t="inlineStr">
        <is>
          <t>Third-party or software supply chain</t>
        </is>
      </c>
      <c r="D392" s="973" t="inlineStr">
        <is>
          <t>T1087</t>
        </is>
      </c>
      <c r="E392" s="973" t="inlineStr">
        <is>
          <t>Account Discovery</t>
        </is>
      </c>
      <c r="F392" s="973" t="inlineStr">
        <is>
          <t>S4</t>
        </is>
      </c>
      <c r="G392" s="973" t="b">
        <v>1</v>
      </c>
      <c r="H392" s="973" t="b">
        <v>1</v>
      </c>
      <c r="I392" s="973" t="b">
        <v>1</v>
      </c>
      <c r="J392" s="973" t="n">
        <v>0.5</v>
      </c>
      <c r="K392" s="973" t="n">
        <v>0</v>
      </c>
      <c r="L392" s="973" t="n">
        <v>0</v>
      </c>
      <c r="M392" s="973" t="inlineStr">
        <is>
          <t>Identity Provider; SaaS; Windows</t>
        </is>
      </c>
      <c r="N392" s="973" t="inlineStr">
        <is>
          <t>https://attack.mitre.org/techniques/T1087/</t>
        </is>
      </c>
      <c r="O392" s="973" t="n"/>
      <c r="P392" s="973" t="n"/>
    </row>
    <row r="393">
      <c r="A393" s="973" t="inlineStr">
        <is>
          <t>Cybercriminal</t>
        </is>
      </c>
      <c r="B393" s="973" t="inlineStr">
        <is>
          <t>Cyber-enabled theft or fraud</t>
        </is>
      </c>
      <c r="C393" s="973" t="inlineStr">
        <is>
          <t>Third-party or software supply chain</t>
        </is>
      </c>
      <c r="D393" s="973" t="inlineStr">
        <is>
          <t>T1213</t>
        </is>
      </c>
      <c r="E393" s="973" t="inlineStr">
        <is>
          <t>Data from Information Repositories</t>
        </is>
      </c>
      <c r="F393" s="973" t="inlineStr">
        <is>
          <t>S4</t>
        </is>
      </c>
      <c r="G393" s="973" t="b">
        <v>1</v>
      </c>
      <c r="H393" s="973" t="b">
        <v>1</v>
      </c>
      <c r="I393" s="973" t="b">
        <v>1</v>
      </c>
      <c r="J393" s="973" t="n">
        <v>0.7</v>
      </c>
      <c r="K393" s="973" t="n">
        <v>0.177890625</v>
      </c>
      <c r="L393" s="973" t="n">
        <v>0.177890625</v>
      </c>
      <c r="M393" s="973" t="inlineStr">
        <is>
          <t>SaaS; Office Suite; Windows</t>
        </is>
      </c>
      <c r="N393" s="973" t="inlineStr">
        <is>
          <t>https://attack.mitre.org/techniques/T1213/</t>
        </is>
      </c>
      <c r="O393" s="973" t="n"/>
      <c r="P393" s="973" t="n"/>
    </row>
    <row r="394">
      <c r="A394" s="973" t="inlineStr">
        <is>
          <t>Cybercriminal</t>
        </is>
      </c>
      <c r="B394" s="973" t="inlineStr">
        <is>
          <t>Cyber-enabled theft or fraud</t>
        </is>
      </c>
      <c r="C394" s="973" t="inlineStr">
        <is>
          <t>Third-party or software supply chain</t>
        </is>
      </c>
      <c r="D394" s="973" t="inlineStr">
        <is>
          <t>T1567</t>
        </is>
      </c>
      <c r="E394" s="973" t="inlineStr">
        <is>
          <t>Exfiltration Over Web Service</t>
        </is>
      </c>
      <c r="F394" s="973" t="inlineStr">
        <is>
          <t>S5</t>
        </is>
      </c>
      <c r="G394" s="973" t="b">
        <v>1</v>
      </c>
      <c r="H394" s="973" t="b">
        <v>0</v>
      </c>
      <c r="I394" s="973" t="b">
        <v>0</v>
      </c>
      <c r="J394" s="973" t="n">
        <v>0.6</v>
      </c>
      <c r="K394" s="973" t="n">
        <v>0.20625</v>
      </c>
      <c r="L394" s="973" t="n">
        <v>0.20625</v>
      </c>
      <c r="M394" s="973" t="inlineStr">
        <is>
          <t>SaaS; Office Suite</t>
        </is>
      </c>
      <c r="N394" s="973" t="inlineStr">
        <is>
          <t>https://attack.mitre.org/techniques/T1567/</t>
        </is>
      </c>
      <c r="O394" s="973" t="n"/>
      <c r="P394" s="973" t="n"/>
    </row>
    <row r="395">
      <c r="A395" s="973" t="inlineStr">
        <is>
          <t>Cybercriminal</t>
        </is>
      </c>
      <c r="B395" s="973" t="inlineStr">
        <is>
          <t>Cyber-enabled theft or fraud</t>
        </is>
      </c>
      <c r="C395" s="973" t="inlineStr">
        <is>
          <t>Third-party or software supply chain</t>
        </is>
      </c>
      <c r="D395" s="973" t="inlineStr">
        <is>
          <t>T1486</t>
        </is>
      </c>
      <c r="E395" s="973" t="inlineStr">
        <is>
          <t>Data Encrypted for Impact</t>
        </is>
      </c>
      <c r="F395" s="973" t="inlineStr">
        <is>
          <t>S5</t>
        </is>
      </c>
      <c r="G395" s="973" t="b">
        <v>1</v>
      </c>
      <c r="H395" s="973" t="b">
        <v>0</v>
      </c>
      <c r="I395" s="973" t="b">
        <v>0</v>
      </c>
      <c r="J395" s="973" t="n">
        <v>0.5</v>
      </c>
      <c r="K395" s="973" t="n">
        <v>0.16875</v>
      </c>
      <c r="L395" s="973" t="n">
        <v>0.16875</v>
      </c>
      <c r="M395" s="973" t="inlineStr">
        <is>
          <t>Windows; Linux; IaaS</t>
        </is>
      </c>
      <c r="N395" s="973" t="inlineStr">
        <is>
          <t>https://attack.mitre.org/techniques/T1486/</t>
        </is>
      </c>
      <c r="O395" s="973" t="n"/>
      <c r="P395" s="973" t="n"/>
    </row>
    <row r="396">
      <c r="A396" s="973" t="inlineStr">
        <is>
          <t>Cybercriminal</t>
        </is>
      </c>
      <c r="B396" s="973" t="inlineStr">
        <is>
          <t>Cyber-enabled theft or fraud</t>
        </is>
      </c>
      <c r="C396" s="973" t="inlineStr">
        <is>
          <t>Third-party or software supply chain</t>
        </is>
      </c>
      <c r="D396" s="973" t="inlineStr">
        <is>
          <t>T1565</t>
        </is>
      </c>
      <c r="E396" s="973" t="inlineStr">
        <is>
          <t>Data Manipulation</t>
        </is>
      </c>
      <c r="F396" s="973" t="inlineStr">
        <is>
          <t>S5</t>
        </is>
      </c>
      <c r="G396" s="973" t="b">
        <v>1</v>
      </c>
      <c r="H396" s="973" t="b">
        <v>1</v>
      </c>
      <c r="I396" s="973" t="b">
        <v>1</v>
      </c>
      <c r="J396" s="973" t="n">
        <v>0.6</v>
      </c>
      <c r="K396" s="973" t="n">
        <v>0.2206064987182617</v>
      </c>
      <c r="L396" s="973" t="n">
        <v>0.2206064987182617</v>
      </c>
      <c r="M396" s="973" t="inlineStr">
        <is>
          <t>SaaS; Databases; Windows</t>
        </is>
      </c>
      <c r="N396" s="973" t="inlineStr">
        <is>
          <t>https://attack.mitre.org/techniques/T1565/</t>
        </is>
      </c>
      <c r="O396" s="973" t="n"/>
      <c r="P396" s="973" t="n"/>
    </row>
    <row r="397">
      <c r="A397" s="973" t="inlineStr">
        <is>
          <t>Cybercriminal</t>
        </is>
      </c>
      <c r="B397" s="973" t="inlineStr">
        <is>
          <t>Cyber-enabled theft or fraud</t>
        </is>
      </c>
      <c r="C397" s="973" t="inlineStr">
        <is>
          <t>Third-party or software supply chain</t>
        </is>
      </c>
      <c r="D397" s="973" t="inlineStr">
        <is>
          <t>T1657</t>
        </is>
      </c>
      <c r="E397" s="973" t="inlineStr">
        <is>
          <t>Financial Theft</t>
        </is>
      </c>
      <c r="F397" s="973" t="inlineStr">
        <is>
          <t>S5</t>
        </is>
      </c>
      <c r="G397" s="973" t="b">
        <v>1</v>
      </c>
      <c r="H397" s="973" t="b">
        <v>1</v>
      </c>
      <c r="I397" s="973" t="b">
        <v>1</v>
      </c>
      <c r="J397" s="973" t="n">
        <v>0.5</v>
      </c>
      <c r="K397" s="973" t="n">
        <v>0.275654296875</v>
      </c>
      <c r="L397" s="973" t="n">
        <v>0.275654296875</v>
      </c>
      <c r="M397" s="973" t="inlineStr">
        <is>
          <t>SaaS; Office Suite; Identity Provider</t>
        </is>
      </c>
      <c r="N397" s="973" t="inlineStr">
        <is>
          <t>https://attack.mitre.org/techniques/T1657/</t>
        </is>
      </c>
      <c r="O397" s="973" t="n"/>
      <c r="P397" s="973" t="n"/>
    </row>
    <row r="398">
      <c r="A398" s="973" t="inlineStr">
        <is>
          <t>Cybercriminal</t>
        </is>
      </c>
      <c r="B398" s="973" t="inlineStr">
        <is>
          <t>Cyber-enabled theft or fraud</t>
        </is>
      </c>
      <c r="C398" s="973" t="inlineStr">
        <is>
          <t>Insider or trusted access</t>
        </is>
      </c>
      <c r="D398" s="973" t="inlineStr">
        <is>
          <t>T1098</t>
        </is>
      </c>
      <c r="E398" s="973" t="inlineStr">
        <is>
          <t>Account Manipulation</t>
        </is>
      </c>
      <c r="F398" s="973" t="inlineStr">
        <is>
          <t>S3</t>
        </is>
      </c>
      <c r="G398" s="973" t="b">
        <v>1</v>
      </c>
      <c r="H398" s="973" t="b">
        <v>1</v>
      </c>
      <c r="I398" s="973" t="b">
        <v>1</v>
      </c>
      <c r="J398" s="973" t="n">
        <v>0.8</v>
      </c>
      <c r="K398" s="973" t="n">
        <v>0.2477547340393066</v>
      </c>
      <c r="L398" s="973" t="n">
        <v>0.2477547340393066</v>
      </c>
      <c r="M398" s="973" t="inlineStr">
        <is>
          <t>Identity Provider; SaaS; Windows</t>
        </is>
      </c>
      <c r="N398" s="973" t="inlineStr">
        <is>
          <t>https://attack.mitre.org/techniques/T1098/</t>
        </is>
      </c>
      <c r="O398" s="973" t="n"/>
      <c r="P398" s="973" t="n"/>
    </row>
    <row r="399">
      <c r="A399" s="973" t="inlineStr">
        <is>
          <t>Cybercriminal</t>
        </is>
      </c>
      <c r="B399" s="973" t="inlineStr">
        <is>
          <t>Cyber-enabled theft or fraud</t>
        </is>
      </c>
      <c r="C399" s="973" t="inlineStr">
        <is>
          <t>Insider or trusted access</t>
        </is>
      </c>
      <c r="D399" s="973" t="inlineStr">
        <is>
          <t>T1567</t>
        </is>
      </c>
      <c r="E399" s="973" t="inlineStr">
        <is>
          <t>Exfiltration Over Web Service</t>
        </is>
      </c>
      <c r="F399" s="973" t="inlineStr">
        <is>
          <t>S5</t>
        </is>
      </c>
      <c r="G399" s="973" t="b">
        <v>1</v>
      </c>
      <c r="H399" s="973" t="b">
        <v>0</v>
      </c>
      <c r="I399" s="973" t="b">
        <v>0</v>
      </c>
      <c r="J399" s="973" t="n">
        <v>0.8</v>
      </c>
      <c r="K399" s="973" t="n">
        <v>0.20625</v>
      </c>
      <c r="L399" s="973" t="n">
        <v>0.20625</v>
      </c>
      <c r="M399" s="973" t="inlineStr">
        <is>
          <t>SaaS; Office Suite</t>
        </is>
      </c>
      <c r="N399" s="973" t="inlineStr">
        <is>
          <t>https://attack.mitre.org/techniques/T1567/</t>
        </is>
      </c>
      <c r="O399" s="973" t="n"/>
      <c r="P399" s="973" t="n"/>
    </row>
    <row r="400">
      <c r="A400" s="973" t="inlineStr">
        <is>
          <t>Cybercriminal</t>
        </is>
      </c>
      <c r="B400" s="973" t="inlineStr">
        <is>
          <t>Cyber-enabled theft or fraud</t>
        </is>
      </c>
      <c r="C400" s="973" t="inlineStr">
        <is>
          <t>Insider or trusted access</t>
        </is>
      </c>
      <c r="D400" s="973" t="inlineStr">
        <is>
          <t>T1565</t>
        </is>
      </c>
      <c r="E400" s="973" t="inlineStr">
        <is>
          <t>Data Manipulation</t>
        </is>
      </c>
      <c r="F400" s="973" t="inlineStr">
        <is>
          <t>S5</t>
        </is>
      </c>
      <c r="G400" s="973" t="b">
        <v>1</v>
      </c>
      <c r="H400" s="973" t="b">
        <v>1</v>
      </c>
      <c r="I400" s="973" t="b">
        <v>1</v>
      </c>
      <c r="J400" s="973" t="n">
        <v>0.9</v>
      </c>
      <c r="K400" s="973" t="n">
        <v>0.2206064987182617</v>
      </c>
      <c r="L400" s="973" t="n">
        <v>0.2206064987182617</v>
      </c>
      <c r="M400" s="973" t="inlineStr">
        <is>
          <t>SaaS; Databases; Windows</t>
        </is>
      </c>
      <c r="N400" s="973" t="inlineStr">
        <is>
          <t>https://attack.mitre.org/techniques/T1565/</t>
        </is>
      </c>
      <c r="O400" s="973" t="n"/>
      <c r="P400" s="973" t="n"/>
    </row>
    <row r="401">
      <c r="A401" s="973" t="inlineStr">
        <is>
          <t>Cybercriminal</t>
        </is>
      </c>
      <c r="B401" s="973" t="inlineStr">
        <is>
          <t>Cyber-enabled theft or fraud</t>
        </is>
      </c>
      <c r="C401" s="973" t="inlineStr">
        <is>
          <t>Insider or trusted access</t>
        </is>
      </c>
      <c r="D401" s="973" t="inlineStr">
        <is>
          <t>T1657</t>
        </is>
      </c>
      <c r="E401" s="973" t="inlineStr">
        <is>
          <t>Financial Theft</t>
        </is>
      </c>
      <c r="F401" s="973" t="inlineStr">
        <is>
          <t>S5</t>
        </is>
      </c>
      <c r="G401" s="973" t="b">
        <v>1</v>
      </c>
      <c r="H401" s="973" t="b">
        <v>1</v>
      </c>
      <c r="I401" s="973" t="b">
        <v>1</v>
      </c>
      <c r="J401" s="973" t="n">
        <v>0.9</v>
      </c>
      <c r="K401" s="973" t="n">
        <v>0.275654296875</v>
      </c>
      <c r="L401" s="973" t="n">
        <v>0.275654296875</v>
      </c>
      <c r="M401" s="973" t="inlineStr">
        <is>
          <t>SaaS; Office Suite; Identity Provider</t>
        </is>
      </c>
      <c r="N401" s="973" t="inlineStr">
        <is>
          <t>https://attack.mitre.org/techniques/T1657/</t>
        </is>
      </c>
      <c r="O401" s="973" t="n"/>
      <c r="P401" s="973" t="n"/>
    </row>
    <row r="402">
      <c r="A402" s="973" t="inlineStr">
        <is>
          <t>Malicious insider</t>
        </is>
      </c>
      <c r="B402" s="973" t="inlineStr">
        <is>
          <t>Critical business-service disruption</t>
        </is>
      </c>
      <c r="C402" s="973" t="inlineStr">
        <is>
          <t>Identity and credential compromise</t>
        </is>
      </c>
      <c r="D402" s="973" t="inlineStr">
        <is>
          <t>T1566</t>
        </is>
      </c>
      <c r="E402" s="973" t="inlineStr">
        <is>
          <t>Phishing</t>
        </is>
      </c>
      <c r="F402" s="973" t="inlineStr">
        <is>
          <t>S1</t>
        </is>
      </c>
      <c r="G402" s="973" t="b">
        <v>1</v>
      </c>
      <c r="H402" s="973" t="b">
        <v>1</v>
      </c>
      <c r="I402" s="973" t="b">
        <v>1</v>
      </c>
      <c r="J402" s="973" t="n">
        <v>1</v>
      </c>
      <c r="K402" s="973" t="n">
        <v>0.20625</v>
      </c>
      <c r="L402" s="973" t="n">
        <v>0.20625</v>
      </c>
      <c r="M402" s="973" t="inlineStr">
        <is>
          <t>Windows; SaaS; Office Suite</t>
        </is>
      </c>
      <c r="N402" s="973" t="inlineStr">
        <is>
          <t>https://attack.mitre.org/techniques/T1566/</t>
        </is>
      </c>
      <c r="O402" s="973" t="n"/>
      <c r="P402" s="973" t="n"/>
    </row>
    <row r="403">
      <c r="A403" s="973" t="inlineStr">
        <is>
          <t>Malicious insider</t>
        </is>
      </c>
      <c r="B403" s="973" t="inlineStr">
        <is>
          <t>Critical business-service disruption</t>
        </is>
      </c>
      <c r="C403" s="973" t="inlineStr">
        <is>
          <t>Identity and credential compromise</t>
        </is>
      </c>
      <c r="D403" s="973" t="inlineStr">
        <is>
          <t>T1078</t>
        </is>
      </c>
      <c r="E403" s="973" t="inlineStr">
        <is>
          <t>Valid Accounts</t>
        </is>
      </c>
      <c r="F403" s="973" t="inlineStr">
        <is>
          <t>S1</t>
        </is>
      </c>
      <c r="G403" s="973" t="b">
        <v>1</v>
      </c>
      <c r="H403" s="973" t="b">
        <v>1</v>
      </c>
      <c r="I403" s="973" t="b">
        <v>1</v>
      </c>
      <c r="J403" s="973" t="n">
        <v>1</v>
      </c>
      <c r="K403" s="973" t="n">
        <v>0.272109375</v>
      </c>
      <c r="L403" s="973" t="n">
        <v>0.272109375</v>
      </c>
      <c r="M403" s="973" t="inlineStr">
        <is>
          <t>Identity Provider; SaaS; IaaS; Windows</t>
        </is>
      </c>
      <c r="N403" s="973" t="inlineStr">
        <is>
          <t>https://attack.mitre.org/techniques/T1078/</t>
        </is>
      </c>
      <c r="O403" s="973" t="n"/>
      <c r="P403" s="973" t="n"/>
    </row>
    <row r="404">
      <c r="A404" s="973" t="inlineStr">
        <is>
          <t>Malicious insider</t>
        </is>
      </c>
      <c r="B404" s="973" t="inlineStr">
        <is>
          <t>Critical business-service disruption</t>
        </is>
      </c>
      <c r="C404" s="973" t="inlineStr">
        <is>
          <t>Identity and credential compromise</t>
        </is>
      </c>
      <c r="D404" s="973" t="inlineStr">
        <is>
          <t>T1110</t>
        </is>
      </c>
      <c r="E404" s="973" t="inlineStr">
        <is>
          <t>Brute Force</t>
        </is>
      </c>
      <c r="F404" s="973" t="inlineStr">
        <is>
          <t>S1</t>
        </is>
      </c>
      <c r="G404" s="973" t="b">
        <v>0</v>
      </c>
      <c r="H404" s="973" t="b">
        <v>1</v>
      </c>
      <c r="I404" s="973" t="b">
        <v>0</v>
      </c>
      <c r="J404" s="973" t="n">
        <v>0.7</v>
      </c>
      <c r="K404" s="973" t="n">
        <v>0.24375</v>
      </c>
      <c r="L404" s="973" t="n">
        <v>0.24375</v>
      </c>
      <c r="M404" s="973" t="inlineStr">
        <is>
          <t>Identity Provider; SaaS; Windows</t>
        </is>
      </c>
      <c r="N404" s="973" t="inlineStr">
        <is>
          <t>https://attack.mitre.org/techniques/T1110/</t>
        </is>
      </c>
      <c r="O404" s="973" t="n"/>
      <c r="P404" s="973" t="n"/>
    </row>
    <row r="405">
      <c r="A405" s="973" t="inlineStr">
        <is>
          <t>Malicious insider</t>
        </is>
      </c>
      <c r="B405" s="973" t="inlineStr">
        <is>
          <t>Critical business-service disruption</t>
        </is>
      </c>
      <c r="C405" s="973" t="inlineStr">
        <is>
          <t>Identity and credential compromise</t>
        </is>
      </c>
      <c r="D405" s="973" t="inlineStr">
        <is>
          <t>T1098</t>
        </is>
      </c>
      <c r="E405" s="973" t="inlineStr">
        <is>
          <t>Account Manipulation</t>
        </is>
      </c>
      <c r="F405" s="973" t="inlineStr">
        <is>
          <t>S3</t>
        </is>
      </c>
      <c r="G405" s="973" t="b">
        <v>1</v>
      </c>
      <c r="H405" s="973" t="b">
        <v>1</v>
      </c>
      <c r="I405" s="973" t="b">
        <v>1</v>
      </c>
      <c r="J405" s="973" t="n">
        <v>0.7</v>
      </c>
      <c r="K405" s="973" t="n">
        <v>0.2477547340393066</v>
      </c>
      <c r="L405" s="973" t="n">
        <v>0.2477547340393066</v>
      </c>
      <c r="M405" s="973" t="inlineStr">
        <is>
          <t>Identity Provider; SaaS; Windows</t>
        </is>
      </c>
      <c r="N405" s="973" t="inlineStr">
        <is>
          <t>https://attack.mitre.org/techniques/T1098/</t>
        </is>
      </c>
      <c r="O405" s="973" t="n"/>
      <c r="P405" s="973" t="n"/>
    </row>
    <row r="406">
      <c r="A406" s="973" t="inlineStr">
        <is>
          <t>Malicious insider</t>
        </is>
      </c>
      <c r="B406" s="973" t="inlineStr">
        <is>
          <t>Critical business-service disruption</t>
        </is>
      </c>
      <c r="C406" s="973" t="inlineStr">
        <is>
          <t>Identity and credential compromise</t>
        </is>
      </c>
      <c r="D406" s="973" t="inlineStr">
        <is>
          <t>T1087</t>
        </is>
      </c>
      <c r="E406" s="973" t="inlineStr">
        <is>
          <t>Account Discovery</t>
        </is>
      </c>
      <c r="F406" s="973" t="inlineStr">
        <is>
          <t>S4</t>
        </is>
      </c>
      <c r="G406" s="973" t="b">
        <v>1</v>
      </c>
      <c r="H406" s="973" t="b">
        <v>1</v>
      </c>
      <c r="I406" s="973" t="b">
        <v>1</v>
      </c>
      <c r="J406" s="973" t="n">
        <v>0.6</v>
      </c>
      <c r="K406" s="973" t="n">
        <v>0</v>
      </c>
      <c r="L406" s="973" t="n">
        <v>0</v>
      </c>
      <c r="M406" s="973" t="inlineStr">
        <is>
          <t>Identity Provider; SaaS; Windows</t>
        </is>
      </c>
      <c r="N406" s="973" t="inlineStr">
        <is>
          <t>https://attack.mitre.org/techniques/T1087/</t>
        </is>
      </c>
      <c r="O406" s="973" t="n"/>
      <c r="P406" s="973" t="n"/>
    </row>
    <row r="407">
      <c r="A407" s="973" t="inlineStr">
        <is>
          <t>Malicious insider</t>
        </is>
      </c>
      <c r="B407" s="973" t="inlineStr">
        <is>
          <t>Critical business-service disruption</t>
        </is>
      </c>
      <c r="C407" s="973" t="inlineStr">
        <is>
          <t>Identity and credential compromise</t>
        </is>
      </c>
      <c r="D407" s="973" t="inlineStr">
        <is>
          <t>T1213</t>
        </is>
      </c>
      <c r="E407" s="973" t="inlineStr">
        <is>
          <t>Data from Information Repositories</t>
        </is>
      </c>
      <c r="F407" s="973" t="inlineStr">
        <is>
          <t>S4</t>
        </is>
      </c>
      <c r="G407" s="973" t="b">
        <v>1</v>
      </c>
      <c r="H407" s="973" t="b">
        <v>0</v>
      </c>
      <c r="I407" s="973" t="b">
        <v>0</v>
      </c>
      <c r="J407" s="973" t="n">
        <v>0.8</v>
      </c>
      <c r="K407" s="973" t="n">
        <v>0.177890625</v>
      </c>
      <c r="L407" s="973" t="n">
        <v>0.177890625</v>
      </c>
      <c r="M407" s="973" t="inlineStr">
        <is>
          <t>SaaS; Office Suite; Windows</t>
        </is>
      </c>
      <c r="N407" s="973" t="inlineStr">
        <is>
          <t>https://attack.mitre.org/techniques/T1213/</t>
        </is>
      </c>
      <c r="O407" s="973" t="n"/>
      <c r="P407" s="973" t="n"/>
    </row>
    <row r="408">
      <c r="A408" s="973" t="inlineStr">
        <is>
          <t>Malicious insider</t>
        </is>
      </c>
      <c r="B408" s="973" t="inlineStr">
        <is>
          <t>Critical business-service disruption</t>
        </is>
      </c>
      <c r="C408" s="973" t="inlineStr">
        <is>
          <t>Identity and credential compromise</t>
        </is>
      </c>
      <c r="D408" s="973" t="inlineStr">
        <is>
          <t>T1567</t>
        </is>
      </c>
      <c r="E408" s="973" t="inlineStr">
        <is>
          <t>Exfiltration Over Web Service</t>
        </is>
      </c>
      <c r="F408" s="973" t="inlineStr">
        <is>
          <t>S5</t>
        </is>
      </c>
      <c r="G408" s="973" t="b">
        <v>1</v>
      </c>
      <c r="H408" s="973" t="b">
        <v>0</v>
      </c>
      <c r="I408" s="973" t="b">
        <v>0</v>
      </c>
      <c r="J408" s="973" t="n">
        <v>0.7</v>
      </c>
      <c r="K408" s="973" t="n">
        <v>0.20625</v>
      </c>
      <c r="L408" s="973" t="n">
        <v>0.20625</v>
      </c>
      <c r="M408" s="973" t="inlineStr">
        <is>
          <t>SaaS; Office Suite</t>
        </is>
      </c>
      <c r="N408" s="973" t="inlineStr">
        <is>
          <t>https://attack.mitre.org/techniques/T1567/</t>
        </is>
      </c>
      <c r="O408" s="973" t="n"/>
      <c r="P408" s="973" t="n"/>
    </row>
    <row r="409">
      <c r="A409" s="973" t="inlineStr">
        <is>
          <t>Malicious insider</t>
        </is>
      </c>
      <c r="B409" s="973" t="inlineStr">
        <is>
          <t>Critical business-service disruption</t>
        </is>
      </c>
      <c r="C409" s="973" t="inlineStr">
        <is>
          <t>Identity and credential compromise</t>
        </is>
      </c>
      <c r="D409" s="973" t="inlineStr">
        <is>
          <t>T1657</t>
        </is>
      </c>
      <c r="E409" s="973" t="inlineStr">
        <is>
          <t>Financial Theft</t>
        </is>
      </c>
      <c r="F409" s="973" t="inlineStr">
        <is>
          <t>S5</t>
        </is>
      </c>
      <c r="G409" s="973" t="b">
        <v>1</v>
      </c>
      <c r="H409" s="973" t="b">
        <v>0</v>
      </c>
      <c r="I409" s="973" t="b">
        <v>0</v>
      </c>
      <c r="J409" s="973" t="n">
        <v>0.8</v>
      </c>
      <c r="K409" s="973" t="n">
        <v>0.275654296875</v>
      </c>
      <c r="L409" s="973" t="n">
        <v>0.275654296875</v>
      </c>
      <c r="M409" s="973" t="inlineStr">
        <is>
          <t>SaaS; Office Suite; Identity Provider</t>
        </is>
      </c>
      <c r="N409" s="973" t="inlineStr">
        <is>
          <t>https://attack.mitre.org/techniques/T1657/</t>
        </is>
      </c>
      <c r="O409" s="973" t="n"/>
      <c r="P409" s="973" t="n"/>
    </row>
    <row r="410">
      <c r="A410" s="973" t="inlineStr">
        <is>
          <t>Malicious insider</t>
        </is>
      </c>
      <c r="B410" s="973" t="inlineStr">
        <is>
          <t>Critical business-service disruption</t>
        </is>
      </c>
      <c r="C410" s="973" t="inlineStr">
        <is>
          <t>Identity and credential compromise</t>
        </is>
      </c>
      <c r="D410" s="973" t="inlineStr">
        <is>
          <t>T1565</t>
        </is>
      </c>
      <c r="E410" s="973" t="inlineStr">
        <is>
          <t>Data Manipulation</t>
        </is>
      </c>
      <c r="F410" s="973" t="inlineStr">
        <is>
          <t>S5</t>
        </is>
      </c>
      <c r="G410" s="973" t="b">
        <v>1</v>
      </c>
      <c r="H410" s="973" t="b">
        <v>1</v>
      </c>
      <c r="I410" s="973" t="b">
        <v>1</v>
      </c>
      <c r="J410" s="973" t="n">
        <v>0.5</v>
      </c>
      <c r="K410" s="973" t="n">
        <v>0.2206064987182617</v>
      </c>
      <c r="L410" s="973" t="n">
        <v>0.2206064987182617</v>
      </c>
      <c r="M410" s="973" t="inlineStr">
        <is>
          <t>SaaS; Databases; Windows</t>
        </is>
      </c>
      <c r="N410" s="973" t="inlineStr">
        <is>
          <t>https://attack.mitre.org/techniques/T1565/</t>
        </is>
      </c>
      <c r="O410" s="973" t="n"/>
      <c r="P410" s="973" t="n"/>
    </row>
    <row r="411">
      <c r="A411" s="973" t="inlineStr">
        <is>
          <t>Malicious insider</t>
        </is>
      </c>
      <c r="B411" s="973" t="inlineStr">
        <is>
          <t>Critical business-service disruption</t>
        </is>
      </c>
      <c r="C411" s="973" t="inlineStr">
        <is>
          <t>Identity and credential compromise</t>
        </is>
      </c>
      <c r="D411" s="973" t="inlineStr">
        <is>
          <t>T1486</t>
        </is>
      </c>
      <c r="E411" s="973" t="inlineStr">
        <is>
          <t>Data Encrypted for Impact</t>
        </is>
      </c>
      <c r="F411" s="973" t="inlineStr">
        <is>
          <t>S5</t>
        </is>
      </c>
      <c r="G411" s="973" t="b">
        <v>1</v>
      </c>
      <c r="H411" s="973" t="b">
        <v>1</v>
      </c>
      <c r="I411" s="973" t="b">
        <v>1</v>
      </c>
      <c r="J411" s="973" t="n">
        <v>0.7</v>
      </c>
      <c r="K411" s="973" t="n">
        <v>0.16875</v>
      </c>
      <c r="L411" s="973" t="n">
        <v>0.16875</v>
      </c>
      <c r="M411" s="973" t="inlineStr">
        <is>
          <t>Windows; Linux; IaaS</t>
        </is>
      </c>
      <c r="N411" s="973" t="inlineStr">
        <is>
          <t>https://attack.mitre.org/techniques/T1486/</t>
        </is>
      </c>
      <c r="O411" s="973" t="n"/>
      <c r="P411" s="973" t="n"/>
    </row>
    <row r="412">
      <c r="A412" s="973" t="inlineStr">
        <is>
          <t>Malicious insider</t>
        </is>
      </c>
      <c r="B412" s="973" t="inlineStr">
        <is>
          <t>Critical business-service disruption</t>
        </is>
      </c>
      <c r="C412" s="973" t="inlineStr">
        <is>
          <t>Identity and credential compromise</t>
        </is>
      </c>
      <c r="D412" s="973" t="inlineStr">
        <is>
          <t>T1490</t>
        </is>
      </c>
      <c r="E412" s="973" t="inlineStr">
        <is>
          <t>Inhibit System Recovery</t>
        </is>
      </c>
      <c r="F412" s="973" t="inlineStr">
        <is>
          <t>S5</t>
        </is>
      </c>
      <c r="G412" s="973" t="b">
        <v>1</v>
      </c>
      <c r="H412" s="973" t="b">
        <v>1</v>
      </c>
      <c r="I412" s="973" t="b">
        <v>1</v>
      </c>
      <c r="J412" s="973" t="n">
        <v>0.6</v>
      </c>
      <c r="K412" s="973" t="n">
        <v>0</v>
      </c>
      <c r="L412" s="973" t="n">
        <v>0</v>
      </c>
      <c r="M412" s="973" t="inlineStr">
        <is>
          <t>Windows; Linux; IaaS</t>
        </is>
      </c>
      <c r="N412" s="973" t="inlineStr">
        <is>
          <t>https://attack.mitre.org/techniques/T1490/</t>
        </is>
      </c>
      <c r="O412" s="973" t="n"/>
      <c r="P412" s="973" t="n"/>
    </row>
    <row r="413">
      <c r="A413" s="973" t="inlineStr">
        <is>
          <t>Malicious insider</t>
        </is>
      </c>
      <c r="B413" s="973" t="inlineStr">
        <is>
          <t>Critical business-service disruption</t>
        </is>
      </c>
      <c r="C413" s="973" t="inlineStr">
        <is>
          <t>User endpoint and social engineering</t>
        </is>
      </c>
      <c r="D413" s="973" t="inlineStr">
        <is>
          <t>T1566</t>
        </is>
      </c>
      <c r="E413" s="973" t="inlineStr">
        <is>
          <t>Phishing</t>
        </is>
      </c>
      <c r="F413" s="973" t="inlineStr">
        <is>
          <t>S1</t>
        </is>
      </c>
      <c r="G413" s="973" t="b">
        <v>1</v>
      </c>
      <c r="H413" s="973" t="b">
        <v>1</v>
      </c>
      <c r="I413" s="973" t="b">
        <v>1</v>
      </c>
      <c r="J413" s="973" t="n">
        <v>1</v>
      </c>
      <c r="K413" s="973" t="n">
        <v>0.20625</v>
      </c>
      <c r="L413" s="973" t="n">
        <v>0.20625</v>
      </c>
      <c r="M413" s="973" t="inlineStr">
        <is>
          <t>Windows; SaaS; Office Suite</t>
        </is>
      </c>
      <c r="N413" s="973" t="inlineStr">
        <is>
          <t>https://attack.mitre.org/techniques/T1566/</t>
        </is>
      </c>
      <c r="O413" s="973" t="n"/>
      <c r="P413" s="973" t="n"/>
    </row>
    <row r="414">
      <c r="A414" s="973" t="inlineStr">
        <is>
          <t>Malicious insider</t>
        </is>
      </c>
      <c r="B414" s="973" t="inlineStr">
        <is>
          <t>Critical business-service disruption</t>
        </is>
      </c>
      <c r="C414" s="973" t="inlineStr">
        <is>
          <t>User endpoint and social engineering</t>
        </is>
      </c>
      <c r="D414" s="973" t="inlineStr">
        <is>
          <t>T1203</t>
        </is>
      </c>
      <c r="E414" s="973" t="inlineStr">
        <is>
          <t>Exploitation for Client Execution</t>
        </is>
      </c>
      <c r="F414" s="973" t="inlineStr">
        <is>
          <t>S2</t>
        </is>
      </c>
      <c r="G414" s="973" t="b">
        <v>0</v>
      </c>
      <c r="H414" s="973" t="b">
        <v>1</v>
      </c>
      <c r="I414" s="973" t="b">
        <v>0</v>
      </c>
      <c r="J414" s="973" t="n">
        <v>0.8</v>
      </c>
      <c r="K414" s="973" t="n">
        <v>0.2404920959472656</v>
      </c>
      <c r="L414" s="973" t="n">
        <v>0.2404920959472656</v>
      </c>
      <c r="M414" s="973" t="inlineStr">
        <is>
          <t>Windows; macOS; Linux</t>
        </is>
      </c>
      <c r="N414" s="973" t="inlineStr">
        <is>
          <t>https://attack.mitre.org/techniques/T1203/</t>
        </is>
      </c>
      <c r="O414" s="973" t="n"/>
      <c r="P414" s="973" t="n"/>
    </row>
    <row r="415">
      <c r="A415" s="973" t="inlineStr">
        <is>
          <t>Malicious insider</t>
        </is>
      </c>
      <c r="B415" s="973" t="inlineStr">
        <is>
          <t>Critical business-service disruption</t>
        </is>
      </c>
      <c r="C415" s="973" t="inlineStr">
        <is>
          <t>User endpoint and social engineering</t>
        </is>
      </c>
      <c r="D415" s="973" t="inlineStr">
        <is>
          <t>T1059</t>
        </is>
      </c>
      <c r="E415" s="973" t="inlineStr">
        <is>
          <t>Command and Scripting Interpreter</t>
        </is>
      </c>
      <c r="F415" s="973" t="inlineStr">
        <is>
          <t>S2</t>
        </is>
      </c>
      <c r="G415" s="973" t="b">
        <v>1</v>
      </c>
      <c r="H415" s="973" t="b">
        <v>1</v>
      </c>
      <c r="I415" s="973" t="b">
        <v>1</v>
      </c>
      <c r="J415" s="973" t="n">
        <v>0.9</v>
      </c>
      <c r="K415" s="973" t="n">
        <v>0.1875</v>
      </c>
      <c r="L415" s="973" t="n">
        <v>0.1875</v>
      </c>
      <c r="M415" s="973" t="inlineStr">
        <is>
          <t>Windows; macOS; Linux; IaaS</t>
        </is>
      </c>
      <c r="N415" s="973" t="inlineStr">
        <is>
          <t>https://attack.mitre.org/techniques/T1059/</t>
        </is>
      </c>
      <c r="O415" s="973" t="n"/>
      <c r="P415" s="973" t="n"/>
    </row>
    <row r="416">
      <c r="A416" s="973" t="inlineStr">
        <is>
          <t>Malicious insider</t>
        </is>
      </c>
      <c r="B416" s="973" t="inlineStr">
        <is>
          <t>Critical business-service disruption</t>
        </is>
      </c>
      <c r="C416" s="973" t="inlineStr">
        <is>
          <t>User endpoint and social engineering</t>
        </is>
      </c>
      <c r="D416" s="973" t="inlineStr">
        <is>
          <t>T1068</t>
        </is>
      </c>
      <c r="E416" s="973" t="inlineStr">
        <is>
          <t>Exploitation for Privilege Escalation</t>
        </is>
      </c>
      <c r="F416" s="973" t="inlineStr">
        <is>
          <t>S3</t>
        </is>
      </c>
      <c r="G416" s="973" t="b">
        <v>1</v>
      </c>
      <c r="H416" s="973" t="b">
        <v>1</v>
      </c>
      <c r="I416" s="973" t="b">
        <v>1</v>
      </c>
      <c r="J416" s="973" t="n">
        <v>0.7</v>
      </c>
      <c r="K416" s="973" t="n">
        <v>0.2094165115356445</v>
      </c>
      <c r="L416" s="973" t="n">
        <v>0.2094165115356445</v>
      </c>
      <c r="M416" s="973" t="inlineStr">
        <is>
          <t>Windows; macOS; Linux</t>
        </is>
      </c>
      <c r="N416" s="973" t="inlineStr">
        <is>
          <t>https://attack.mitre.org/techniques/T1068/</t>
        </is>
      </c>
      <c r="O416" s="973" t="n"/>
      <c r="P416" s="973" t="n"/>
    </row>
    <row r="417">
      <c r="A417" s="973" t="inlineStr">
        <is>
          <t>Malicious insider</t>
        </is>
      </c>
      <c r="B417" s="973" t="inlineStr">
        <is>
          <t>Critical business-service disruption</t>
        </is>
      </c>
      <c r="C417" s="973" t="inlineStr">
        <is>
          <t>User endpoint and social engineering</t>
        </is>
      </c>
      <c r="D417" s="973" t="inlineStr">
        <is>
          <t>T1003</t>
        </is>
      </c>
      <c r="E417" s="973" t="inlineStr">
        <is>
          <t>OS Credential Dumping</t>
        </is>
      </c>
      <c r="F417" s="973" t="inlineStr">
        <is>
          <t>S3</t>
        </is>
      </c>
      <c r="G417" s="973" t="b">
        <v>1</v>
      </c>
      <c r="H417" s="973" t="b">
        <v>1</v>
      </c>
      <c r="I417" s="973" t="b">
        <v>1</v>
      </c>
      <c r="J417" s="973" t="n">
        <v>0.8</v>
      </c>
      <c r="K417" s="973" t="n">
        <v>0.232294921875</v>
      </c>
      <c r="L417" s="973" t="n">
        <v>0.232294921875</v>
      </c>
      <c r="M417" s="973" t="inlineStr">
        <is>
          <t>Windows; Linux; macOS</t>
        </is>
      </c>
      <c r="N417" s="973" t="inlineStr">
        <is>
          <t>https://attack.mitre.org/techniques/T1003/</t>
        </is>
      </c>
      <c r="O417" s="973" t="n"/>
      <c r="P417" s="973" t="n"/>
    </row>
    <row r="418">
      <c r="A418" s="973" t="inlineStr">
        <is>
          <t>Malicious insider</t>
        </is>
      </c>
      <c r="B418" s="973" t="inlineStr">
        <is>
          <t>Critical business-service disruption</t>
        </is>
      </c>
      <c r="C418" s="973" t="inlineStr">
        <is>
          <t>User endpoint and social engineering</t>
        </is>
      </c>
      <c r="D418" s="973" t="inlineStr">
        <is>
          <t>T1046</t>
        </is>
      </c>
      <c r="E418" s="973" t="inlineStr">
        <is>
          <t>Network Service Discovery</t>
        </is>
      </c>
      <c r="F418" s="973" t="inlineStr">
        <is>
          <t>S4</t>
        </is>
      </c>
      <c r="G418" s="973" t="b">
        <v>1</v>
      </c>
      <c r="H418" s="973" t="b">
        <v>1</v>
      </c>
      <c r="I418" s="973" t="b">
        <v>1</v>
      </c>
      <c r="J418" s="973" t="n">
        <v>0.6</v>
      </c>
      <c r="K418" s="973" t="n">
        <v>0.16875</v>
      </c>
      <c r="L418" s="973" t="n">
        <v>0.16875</v>
      </c>
      <c r="M418" s="973" t="inlineStr">
        <is>
          <t>Network Devices; Windows; Linux</t>
        </is>
      </c>
      <c r="N418" s="973" t="inlineStr">
        <is>
          <t>https://attack.mitre.org/techniques/T1046/</t>
        </is>
      </c>
      <c r="O418" s="973" t="n"/>
      <c r="P418" s="973" t="n"/>
    </row>
    <row r="419">
      <c r="A419" s="973" t="inlineStr">
        <is>
          <t>Malicious insider</t>
        </is>
      </c>
      <c r="B419" s="973" t="inlineStr">
        <is>
          <t>Critical business-service disruption</t>
        </is>
      </c>
      <c r="C419" s="973" t="inlineStr">
        <is>
          <t>User endpoint and social engineering</t>
        </is>
      </c>
      <c r="D419" s="973" t="inlineStr">
        <is>
          <t>T1021</t>
        </is>
      </c>
      <c r="E419" s="973" t="inlineStr">
        <is>
          <t>Remote Services</t>
        </is>
      </c>
      <c r="F419" s="973" t="inlineStr">
        <is>
          <t>S4</t>
        </is>
      </c>
      <c r="G419" s="973" t="b">
        <v>1</v>
      </c>
      <c r="H419" s="973" t="b">
        <v>1</v>
      </c>
      <c r="I419" s="973" t="b">
        <v>1</v>
      </c>
      <c r="J419" s="973" t="n">
        <v>0.8</v>
      </c>
      <c r="K419" s="973" t="n">
        <v>0.1875</v>
      </c>
      <c r="L419" s="973" t="n">
        <v>0.1875</v>
      </c>
      <c r="M419" s="973" t="inlineStr">
        <is>
          <t>Windows; Linux; Network Devices</t>
        </is>
      </c>
      <c r="N419" s="973" t="inlineStr">
        <is>
          <t>https://attack.mitre.org/techniques/T1021/</t>
        </is>
      </c>
      <c r="O419" s="973" t="n"/>
      <c r="P419" s="973" t="n"/>
    </row>
    <row r="420">
      <c r="A420" s="973" t="inlineStr">
        <is>
          <t>Malicious insider</t>
        </is>
      </c>
      <c r="B420" s="973" t="inlineStr">
        <is>
          <t>Critical business-service disruption</t>
        </is>
      </c>
      <c r="C420" s="973" t="inlineStr">
        <is>
          <t>User endpoint and social engineering</t>
        </is>
      </c>
      <c r="D420" s="973" t="inlineStr">
        <is>
          <t>T1213</t>
        </is>
      </c>
      <c r="E420" s="973" t="inlineStr">
        <is>
          <t>Data from Information Repositories</t>
        </is>
      </c>
      <c r="F420" s="973" t="inlineStr">
        <is>
          <t>S4</t>
        </is>
      </c>
      <c r="G420" s="973" t="b">
        <v>1</v>
      </c>
      <c r="H420" s="973" t="b">
        <v>0</v>
      </c>
      <c r="I420" s="973" t="b">
        <v>0</v>
      </c>
      <c r="J420" s="973" t="n">
        <v>0.7</v>
      </c>
      <c r="K420" s="973" t="n">
        <v>0.177890625</v>
      </c>
      <c r="L420" s="973" t="n">
        <v>0.177890625</v>
      </c>
      <c r="M420" s="973" t="inlineStr">
        <is>
          <t>SaaS; Office Suite; Windows</t>
        </is>
      </c>
      <c r="N420" s="973" t="inlineStr">
        <is>
          <t>https://attack.mitre.org/techniques/T1213/</t>
        </is>
      </c>
      <c r="O420" s="973" t="n"/>
      <c r="P420" s="973" t="n"/>
    </row>
    <row r="421">
      <c r="A421" s="973" t="inlineStr">
        <is>
          <t>Malicious insider</t>
        </is>
      </c>
      <c r="B421" s="973" t="inlineStr">
        <is>
          <t>Critical business-service disruption</t>
        </is>
      </c>
      <c r="C421" s="973" t="inlineStr">
        <is>
          <t>User endpoint and social engineering</t>
        </is>
      </c>
      <c r="D421" s="973" t="inlineStr">
        <is>
          <t>T1486</t>
        </is>
      </c>
      <c r="E421" s="973" t="inlineStr">
        <is>
          <t>Data Encrypted for Impact</t>
        </is>
      </c>
      <c r="F421" s="973" t="inlineStr">
        <is>
          <t>S5</t>
        </is>
      </c>
      <c r="G421" s="973" t="b">
        <v>1</v>
      </c>
      <c r="H421" s="973" t="b">
        <v>1</v>
      </c>
      <c r="I421" s="973" t="b">
        <v>1</v>
      </c>
      <c r="J421" s="973" t="n">
        <v>0.8</v>
      </c>
      <c r="K421" s="973" t="n">
        <v>0.16875</v>
      </c>
      <c r="L421" s="973" t="n">
        <v>0.16875</v>
      </c>
      <c r="M421" s="973" t="inlineStr">
        <is>
          <t>Windows; Linux; IaaS</t>
        </is>
      </c>
      <c r="N421" s="973" t="inlineStr">
        <is>
          <t>https://attack.mitre.org/techniques/T1486/</t>
        </is>
      </c>
      <c r="O421" s="973" t="n"/>
      <c r="P421" s="973" t="n"/>
    </row>
    <row r="422">
      <c r="A422" s="973" t="inlineStr">
        <is>
          <t>Malicious insider</t>
        </is>
      </c>
      <c r="B422" s="973" t="inlineStr">
        <is>
          <t>Critical business-service disruption</t>
        </is>
      </c>
      <c r="C422" s="973" t="inlineStr">
        <is>
          <t>User endpoint and social engineering</t>
        </is>
      </c>
      <c r="D422" s="973" t="inlineStr">
        <is>
          <t>T1490</t>
        </is>
      </c>
      <c r="E422" s="973" t="inlineStr">
        <is>
          <t>Inhibit System Recovery</t>
        </is>
      </c>
      <c r="F422" s="973" t="inlineStr">
        <is>
          <t>S5</t>
        </is>
      </c>
      <c r="G422" s="973" t="b">
        <v>1</v>
      </c>
      <c r="H422" s="973" t="b">
        <v>1</v>
      </c>
      <c r="I422" s="973" t="b">
        <v>1</v>
      </c>
      <c r="J422" s="973" t="n">
        <v>0.7</v>
      </c>
      <c r="K422" s="973" t="n">
        <v>0</v>
      </c>
      <c r="L422" s="973" t="n">
        <v>0</v>
      </c>
      <c r="M422" s="973" t="inlineStr">
        <is>
          <t>Windows; Linux; IaaS</t>
        </is>
      </c>
      <c r="N422" s="973" t="inlineStr">
        <is>
          <t>https://attack.mitre.org/techniques/T1490/</t>
        </is>
      </c>
      <c r="O422" s="973" t="n"/>
      <c r="P422" s="973" t="n"/>
    </row>
    <row r="423">
      <c r="A423" s="973" t="inlineStr">
        <is>
          <t>Malicious insider</t>
        </is>
      </c>
      <c r="B423" s="973" t="inlineStr">
        <is>
          <t>Critical business-service disruption</t>
        </is>
      </c>
      <c r="C423" s="973" t="inlineStr">
        <is>
          <t>User endpoint and social engineering</t>
        </is>
      </c>
      <c r="D423" s="973" t="inlineStr">
        <is>
          <t>T1567</t>
        </is>
      </c>
      <c r="E423" s="973" t="inlineStr">
        <is>
          <t>Exfiltration Over Web Service</t>
        </is>
      </c>
      <c r="F423" s="973" t="inlineStr">
        <is>
          <t>S5</t>
        </is>
      </c>
      <c r="G423" s="973" t="b">
        <v>1</v>
      </c>
      <c r="H423" s="973" t="b">
        <v>0</v>
      </c>
      <c r="I423" s="973" t="b">
        <v>0</v>
      </c>
      <c r="J423" s="973" t="n">
        <v>0.7</v>
      </c>
      <c r="K423" s="973" t="n">
        <v>0.20625</v>
      </c>
      <c r="L423" s="973" t="n">
        <v>0.20625</v>
      </c>
      <c r="M423" s="973" t="inlineStr">
        <is>
          <t>SaaS; Office Suite</t>
        </is>
      </c>
      <c r="N423" s="973" t="inlineStr">
        <is>
          <t>https://attack.mitre.org/techniques/T1567/</t>
        </is>
      </c>
      <c r="O423" s="973" t="n"/>
      <c r="P423" s="973" t="n"/>
    </row>
    <row r="424">
      <c r="A424" s="973" t="inlineStr">
        <is>
          <t>Malicious insider</t>
        </is>
      </c>
      <c r="B424" s="973" t="inlineStr">
        <is>
          <t>Critical business-service disruption</t>
        </is>
      </c>
      <c r="C424" s="973" t="inlineStr">
        <is>
          <t>User endpoint and social engineering</t>
        </is>
      </c>
      <c r="D424" s="973" t="inlineStr">
        <is>
          <t>T1657</t>
        </is>
      </c>
      <c r="E424" s="973" t="inlineStr">
        <is>
          <t>Financial Theft</t>
        </is>
      </c>
      <c r="F424" s="973" t="inlineStr">
        <is>
          <t>S5</t>
        </is>
      </c>
      <c r="G424" s="973" t="b">
        <v>1</v>
      </c>
      <c r="H424" s="973" t="b">
        <v>0</v>
      </c>
      <c r="I424" s="973" t="b">
        <v>0</v>
      </c>
      <c r="J424" s="973" t="n">
        <v>0.5</v>
      </c>
      <c r="K424" s="973" t="n">
        <v>0.275654296875</v>
      </c>
      <c r="L424" s="973" t="n">
        <v>0.275654296875</v>
      </c>
      <c r="M424" s="973" t="inlineStr">
        <is>
          <t>SaaS; Office Suite; Identity Provider</t>
        </is>
      </c>
      <c r="N424" s="973" t="inlineStr">
        <is>
          <t>https://attack.mitre.org/techniques/T1657/</t>
        </is>
      </c>
      <c r="O424" s="973" t="n"/>
      <c r="P424" s="973" t="n"/>
    </row>
    <row r="425">
      <c r="A425" s="973" t="inlineStr">
        <is>
          <t>Malicious insider</t>
        </is>
      </c>
      <c r="B425" s="973" t="inlineStr">
        <is>
          <t>Critical business-service disruption</t>
        </is>
      </c>
      <c r="C425" s="973" t="inlineStr">
        <is>
          <t>User endpoint and social engineering</t>
        </is>
      </c>
      <c r="D425" s="973" t="inlineStr">
        <is>
          <t>T1565</t>
        </is>
      </c>
      <c r="E425" s="973" t="inlineStr">
        <is>
          <t>Data Manipulation</t>
        </is>
      </c>
      <c r="F425" s="973" t="inlineStr">
        <is>
          <t>S5</t>
        </is>
      </c>
      <c r="G425" s="973" t="b">
        <v>1</v>
      </c>
      <c r="H425" s="973" t="b">
        <v>1</v>
      </c>
      <c r="I425" s="973" t="b">
        <v>1</v>
      </c>
      <c r="J425" s="973" t="n">
        <v>0.5</v>
      </c>
      <c r="K425" s="973" t="n">
        <v>0.2206064987182617</v>
      </c>
      <c r="L425" s="973" t="n">
        <v>0.2206064987182617</v>
      </c>
      <c r="M425" s="973" t="inlineStr">
        <is>
          <t>SaaS; Databases; Windows</t>
        </is>
      </c>
      <c r="N425" s="973" t="inlineStr">
        <is>
          <t>https://attack.mitre.org/techniques/T1565/</t>
        </is>
      </c>
      <c r="O425" s="973" t="n"/>
      <c r="P425" s="973" t="n"/>
    </row>
    <row r="426">
      <c r="A426" s="973" t="inlineStr">
        <is>
          <t>Malicious insider</t>
        </is>
      </c>
      <c r="B426" s="973" t="inlineStr">
        <is>
          <t>Critical business-service disruption</t>
        </is>
      </c>
      <c r="C426" s="973" t="inlineStr">
        <is>
          <t>Public-facing application exploitation</t>
        </is>
      </c>
      <c r="D426" s="973" t="inlineStr">
        <is>
          <t>T1190</t>
        </is>
      </c>
      <c r="E426" s="973" t="inlineStr">
        <is>
          <t>Exploit Public-Facing Application</t>
        </is>
      </c>
      <c r="F426" s="973" t="inlineStr">
        <is>
          <t>S1</t>
        </is>
      </c>
      <c r="G426" s="973" t="b">
        <v>0</v>
      </c>
      <c r="H426" s="973" t="b">
        <v>1</v>
      </c>
      <c r="I426" s="973" t="b">
        <v>0</v>
      </c>
      <c r="J426" s="973" t="n">
        <v>1</v>
      </c>
      <c r="K426" s="973" t="n">
        <v>0.2496630477905274</v>
      </c>
      <c r="L426" s="973" t="n">
        <v>0.2496630477905274</v>
      </c>
      <c r="M426" s="973" t="inlineStr">
        <is>
          <t>Network Devices; SaaS; IaaS</t>
        </is>
      </c>
      <c r="N426" s="973" t="inlineStr">
        <is>
          <t>https://attack.mitre.org/techniques/T1190/</t>
        </is>
      </c>
      <c r="O426" s="973" t="n"/>
      <c r="P426" s="973" t="n"/>
    </row>
    <row r="427">
      <c r="A427" s="973" t="inlineStr">
        <is>
          <t>Malicious insider</t>
        </is>
      </c>
      <c r="B427" s="973" t="inlineStr">
        <is>
          <t>Critical business-service disruption</t>
        </is>
      </c>
      <c r="C427" s="973" t="inlineStr">
        <is>
          <t>Public-facing application exploitation</t>
        </is>
      </c>
      <c r="D427" s="973" t="inlineStr">
        <is>
          <t>T1059</t>
        </is>
      </c>
      <c r="E427" s="973" t="inlineStr">
        <is>
          <t>Command and Scripting Interpreter</t>
        </is>
      </c>
      <c r="F427" s="973" t="inlineStr">
        <is>
          <t>S2</t>
        </is>
      </c>
      <c r="G427" s="973" t="b">
        <v>1</v>
      </c>
      <c r="H427" s="973" t="b">
        <v>1</v>
      </c>
      <c r="I427" s="973" t="b">
        <v>1</v>
      </c>
      <c r="J427" s="973" t="n">
        <v>0.8</v>
      </c>
      <c r="K427" s="973" t="n">
        <v>0.1875</v>
      </c>
      <c r="L427" s="973" t="n">
        <v>0.1875</v>
      </c>
      <c r="M427" s="973" t="inlineStr">
        <is>
          <t>Windows; macOS; Linux; IaaS</t>
        </is>
      </c>
      <c r="N427" s="973" t="inlineStr">
        <is>
          <t>https://attack.mitre.org/techniques/T1059/</t>
        </is>
      </c>
      <c r="O427" s="973" t="n"/>
      <c r="P427" s="973" t="n"/>
    </row>
    <row r="428">
      <c r="A428" s="973" t="inlineStr">
        <is>
          <t>Malicious insider</t>
        </is>
      </c>
      <c r="B428" s="973" t="inlineStr">
        <is>
          <t>Critical business-service disruption</t>
        </is>
      </c>
      <c r="C428" s="973" t="inlineStr">
        <is>
          <t>Public-facing application exploitation</t>
        </is>
      </c>
      <c r="D428" s="973" t="inlineStr">
        <is>
          <t>T1068</t>
        </is>
      </c>
      <c r="E428" s="973" t="inlineStr">
        <is>
          <t>Exploitation for Privilege Escalation</t>
        </is>
      </c>
      <c r="F428" s="973" t="inlineStr">
        <is>
          <t>S3</t>
        </is>
      </c>
      <c r="G428" s="973" t="b">
        <v>1</v>
      </c>
      <c r="H428" s="973" t="b">
        <v>1</v>
      </c>
      <c r="I428" s="973" t="b">
        <v>1</v>
      </c>
      <c r="J428" s="973" t="n">
        <v>0.7</v>
      </c>
      <c r="K428" s="973" t="n">
        <v>0.2094165115356445</v>
      </c>
      <c r="L428" s="973" t="n">
        <v>0.2094165115356445</v>
      </c>
      <c r="M428" s="973" t="inlineStr">
        <is>
          <t>Windows; macOS; Linux</t>
        </is>
      </c>
      <c r="N428" s="973" t="inlineStr">
        <is>
          <t>https://attack.mitre.org/techniques/T1068/</t>
        </is>
      </c>
      <c r="O428" s="973" t="n"/>
      <c r="P428" s="973" t="n"/>
    </row>
    <row r="429">
      <c r="A429" s="973" t="inlineStr">
        <is>
          <t>Malicious insider</t>
        </is>
      </c>
      <c r="B429" s="973" t="inlineStr">
        <is>
          <t>Critical business-service disruption</t>
        </is>
      </c>
      <c r="C429" s="973" t="inlineStr">
        <is>
          <t>Public-facing application exploitation</t>
        </is>
      </c>
      <c r="D429" s="973" t="inlineStr">
        <is>
          <t>T1003</t>
        </is>
      </c>
      <c r="E429" s="973" t="inlineStr">
        <is>
          <t>OS Credential Dumping</t>
        </is>
      </c>
      <c r="F429" s="973" t="inlineStr">
        <is>
          <t>S3</t>
        </is>
      </c>
      <c r="G429" s="973" t="b">
        <v>1</v>
      </c>
      <c r="H429" s="973" t="b">
        <v>1</v>
      </c>
      <c r="I429" s="973" t="b">
        <v>1</v>
      </c>
      <c r="J429" s="973" t="n">
        <v>0.6</v>
      </c>
      <c r="K429" s="973" t="n">
        <v>0.232294921875</v>
      </c>
      <c r="L429" s="973" t="n">
        <v>0.232294921875</v>
      </c>
      <c r="M429" s="973" t="inlineStr">
        <is>
          <t>Windows; Linux; macOS</t>
        </is>
      </c>
      <c r="N429" s="973" t="inlineStr">
        <is>
          <t>https://attack.mitre.org/techniques/T1003/</t>
        </is>
      </c>
      <c r="O429" s="973" t="n"/>
      <c r="P429" s="973" t="n"/>
    </row>
    <row r="430">
      <c r="A430" s="973" t="inlineStr">
        <is>
          <t>Malicious insider</t>
        </is>
      </c>
      <c r="B430" s="973" t="inlineStr">
        <is>
          <t>Critical business-service disruption</t>
        </is>
      </c>
      <c r="C430" s="973" t="inlineStr">
        <is>
          <t>Public-facing application exploitation</t>
        </is>
      </c>
      <c r="D430" s="973" t="inlineStr">
        <is>
          <t>T1046</t>
        </is>
      </c>
      <c r="E430" s="973" t="inlineStr">
        <is>
          <t>Network Service Discovery</t>
        </is>
      </c>
      <c r="F430" s="973" t="inlineStr">
        <is>
          <t>S4</t>
        </is>
      </c>
      <c r="G430" s="973" t="b">
        <v>1</v>
      </c>
      <c r="H430" s="973" t="b">
        <v>1</v>
      </c>
      <c r="I430" s="973" t="b">
        <v>1</v>
      </c>
      <c r="J430" s="973" t="n">
        <v>0.7</v>
      </c>
      <c r="K430" s="973" t="n">
        <v>0.16875</v>
      </c>
      <c r="L430" s="973" t="n">
        <v>0.16875</v>
      </c>
      <c r="M430" s="973" t="inlineStr">
        <is>
          <t>Network Devices; Windows; Linux</t>
        </is>
      </c>
      <c r="N430" s="973" t="inlineStr">
        <is>
          <t>https://attack.mitre.org/techniques/T1046/</t>
        </is>
      </c>
      <c r="O430" s="973" t="n"/>
      <c r="P430" s="973" t="n"/>
    </row>
    <row r="431">
      <c r="A431" s="973" t="inlineStr">
        <is>
          <t>Malicious insider</t>
        </is>
      </c>
      <c r="B431" s="973" t="inlineStr">
        <is>
          <t>Critical business-service disruption</t>
        </is>
      </c>
      <c r="C431" s="973" t="inlineStr">
        <is>
          <t>Public-facing application exploitation</t>
        </is>
      </c>
      <c r="D431" s="973" t="inlineStr">
        <is>
          <t>T1210</t>
        </is>
      </c>
      <c r="E431" s="973" t="inlineStr">
        <is>
          <t>Exploitation of Remote Services</t>
        </is>
      </c>
      <c r="F431" s="973" t="inlineStr">
        <is>
          <t>S4</t>
        </is>
      </c>
      <c r="G431" s="973" t="b">
        <v>1</v>
      </c>
      <c r="H431" s="973" t="b">
        <v>1</v>
      </c>
      <c r="I431" s="973" t="b">
        <v>1</v>
      </c>
      <c r="J431" s="973" t="n">
        <v>0.9</v>
      </c>
      <c r="K431" s="973" t="n">
        <v>0.2103495368957519</v>
      </c>
      <c r="L431" s="973" t="n">
        <v>0.2103495368957519</v>
      </c>
      <c r="M431" s="973" t="inlineStr">
        <is>
          <t>Windows; Linux; Network Devices</t>
        </is>
      </c>
      <c r="N431" s="973" t="inlineStr">
        <is>
          <t>https://attack.mitre.org/techniques/T1210/</t>
        </is>
      </c>
      <c r="O431" s="973" t="n"/>
      <c r="P431" s="973" t="n"/>
    </row>
    <row r="432">
      <c r="A432" s="973" t="inlineStr">
        <is>
          <t>Malicious insider</t>
        </is>
      </c>
      <c r="B432" s="973" t="inlineStr">
        <is>
          <t>Critical business-service disruption</t>
        </is>
      </c>
      <c r="C432" s="973" t="inlineStr">
        <is>
          <t>Public-facing application exploitation</t>
        </is>
      </c>
      <c r="D432" s="973" t="inlineStr">
        <is>
          <t>T1021</t>
        </is>
      </c>
      <c r="E432" s="973" t="inlineStr">
        <is>
          <t>Remote Services</t>
        </is>
      </c>
      <c r="F432" s="973" t="inlineStr">
        <is>
          <t>S4</t>
        </is>
      </c>
      <c r="G432" s="973" t="b">
        <v>1</v>
      </c>
      <c r="H432" s="973" t="b">
        <v>1</v>
      </c>
      <c r="I432" s="973" t="b">
        <v>1</v>
      </c>
      <c r="J432" s="973" t="n">
        <v>0.7</v>
      </c>
      <c r="K432" s="973" t="n">
        <v>0.1875</v>
      </c>
      <c r="L432" s="973" t="n">
        <v>0.1875</v>
      </c>
      <c r="M432" s="973" t="inlineStr">
        <is>
          <t>Windows; Linux; Network Devices</t>
        </is>
      </c>
      <c r="N432" s="973" t="inlineStr">
        <is>
          <t>https://attack.mitre.org/techniques/T1021/</t>
        </is>
      </c>
      <c r="O432" s="973" t="n"/>
      <c r="P432" s="973" t="n"/>
    </row>
    <row r="433">
      <c r="A433" s="973" t="inlineStr">
        <is>
          <t>Malicious insider</t>
        </is>
      </c>
      <c r="B433" s="973" t="inlineStr">
        <is>
          <t>Critical business-service disruption</t>
        </is>
      </c>
      <c r="C433" s="973" t="inlineStr">
        <is>
          <t>Public-facing application exploitation</t>
        </is>
      </c>
      <c r="D433" s="973" t="inlineStr">
        <is>
          <t>T1486</t>
        </is>
      </c>
      <c r="E433" s="973" t="inlineStr">
        <is>
          <t>Data Encrypted for Impact</t>
        </is>
      </c>
      <c r="F433" s="973" t="inlineStr">
        <is>
          <t>S5</t>
        </is>
      </c>
      <c r="G433" s="973" t="b">
        <v>1</v>
      </c>
      <c r="H433" s="973" t="b">
        <v>1</v>
      </c>
      <c r="I433" s="973" t="b">
        <v>1</v>
      </c>
      <c r="J433" s="973" t="n">
        <v>0.6</v>
      </c>
      <c r="K433" s="973" t="n">
        <v>0.16875</v>
      </c>
      <c r="L433" s="973" t="n">
        <v>0.16875</v>
      </c>
      <c r="M433" s="973" t="inlineStr">
        <is>
          <t>Windows; Linux; IaaS</t>
        </is>
      </c>
      <c r="N433" s="973" t="inlineStr">
        <is>
          <t>https://attack.mitre.org/techniques/T1486/</t>
        </is>
      </c>
      <c r="O433" s="973" t="n"/>
      <c r="P433" s="973" t="n"/>
    </row>
    <row r="434">
      <c r="A434" s="973" t="inlineStr">
        <is>
          <t>Malicious insider</t>
        </is>
      </c>
      <c r="B434" s="973" t="inlineStr">
        <is>
          <t>Critical business-service disruption</t>
        </is>
      </c>
      <c r="C434" s="973" t="inlineStr">
        <is>
          <t>Public-facing application exploitation</t>
        </is>
      </c>
      <c r="D434" s="973" t="inlineStr">
        <is>
          <t>T1490</t>
        </is>
      </c>
      <c r="E434" s="973" t="inlineStr">
        <is>
          <t>Inhibit System Recovery</t>
        </is>
      </c>
      <c r="F434" s="973" t="inlineStr">
        <is>
          <t>S5</t>
        </is>
      </c>
      <c r="G434" s="973" t="b">
        <v>1</v>
      </c>
      <c r="H434" s="973" t="b">
        <v>1</v>
      </c>
      <c r="I434" s="973" t="b">
        <v>1</v>
      </c>
      <c r="J434" s="973" t="n">
        <v>0.5</v>
      </c>
      <c r="K434" s="973" t="n">
        <v>0</v>
      </c>
      <c r="L434" s="973" t="n">
        <v>0</v>
      </c>
      <c r="M434" s="973" t="inlineStr">
        <is>
          <t>Windows; Linux; IaaS</t>
        </is>
      </c>
      <c r="N434" s="973" t="inlineStr">
        <is>
          <t>https://attack.mitre.org/techniques/T1490/</t>
        </is>
      </c>
      <c r="O434" s="973" t="n"/>
      <c r="P434" s="973" t="n"/>
    </row>
    <row r="435">
      <c r="A435" s="973" t="inlineStr">
        <is>
          <t>Malicious insider</t>
        </is>
      </c>
      <c r="B435" s="973" t="inlineStr">
        <is>
          <t>Critical business-service disruption</t>
        </is>
      </c>
      <c r="C435" s="973" t="inlineStr">
        <is>
          <t>Public-facing application exploitation</t>
        </is>
      </c>
      <c r="D435" s="973" t="inlineStr">
        <is>
          <t>T1567</t>
        </is>
      </c>
      <c r="E435" s="973" t="inlineStr">
        <is>
          <t>Exfiltration Over Web Service</t>
        </is>
      </c>
      <c r="F435" s="973" t="inlineStr">
        <is>
          <t>S5</t>
        </is>
      </c>
      <c r="G435" s="973" t="b">
        <v>1</v>
      </c>
      <c r="H435" s="973" t="b">
        <v>0</v>
      </c>
      <c r="I435" s="973" t="b">
        <v>0</v>
      </c>
      <c r="J435" s="973" t="n">
        <v>0.6</v>
      </c>
      <c r="K435" s="973" t="n">
        <v>0.20625</v>
      </c>
      <c r="L435" s="973" t="n">
        <v>0.20625</v>
      </c>
      <c r="M435" s="973" t="inlineStr">
        <is>
          <t>SaaS; Office Suite</t>
        </is>
      </c>
      <c r="N435" s="973" t="inlineStr">
        <is>
          <t>https://attack.mitre.org/techniques/T1567/</t>
        </is>
      </c>
      <c r="O435" s="973" t="n"/>
      <c r="P435" s="973" t="n"/>
    </row>
    <row r="436">
      <c r="A436" s="973" t="inlineStr">
        <is>
          <t>Malicious insider</t>
        </is>
      </c>
      <c r="B436" s="973" t="inlineStr">
        <is>
          <t>Critical business-service disruption</t>
        </is>
      </c>
      <c r="C436" s="973" t="inlineStr">
        <is>
          <t>Public-facing application exploitation</t>
        </is>
      </c>
      <c r="D436" s="973" t="inlineStr">
        <is>
          <t>T1565</t>
        </is>
      </c>
      <c r="E436" s="973" t="inlineStr">
        <is>
          <t>Data Manipulation</t>
        </is>
      </c>
      <c r="F436" s="973" t="inlineStr">
        <is>
          <t>S5</t>
        </is>
      </c>
      <c r="G436" s="973" t="b">
        <v>1</v>
      </c>
      <c r="H436" s="973" t="b">
        <v>1</v>
      </c>
      <c r="I436" s="973" t="b">
        <v>1</v>
      </c>
      <c r="J436" s="973" t="n">
        <v>0.6</v>
      </c>
      <c r="K436" s="973" t="n">
        <v>0.2206064987182617</v>
      </c>
      <c r="L436" s="973" t="n">
        <v>0.2206064987182617</v>
      </c>
      <c r="M436" s="973" t="inlineStr">
        <is>
          <t>SaaS; Databases; Windows</t>
        </is>
      </c>
      <c r="N436" s="973" t="inlineStr">
        <is>
          <t>https://attack.mitre.org/techniques/T1565/</t>
        </is>
      </c>
      <c r="O436" s="973" t="n"/>
      <c r="P436" s="973" t="n"/>
    </row>
    <row r="437">
      <c r="A437" s="973" t="inlineStr">
        <is>
          <t>Malicious insider</t>
        </is>
      </c>
      <c r="B437" s="973" t="inlineStr">
        <is>
          <t>Critical business-service disruption</t>
        </is>
      </c>
      <c r="C437" s="973" t="inlineStr">
        <is>
          <t>Public-facing application exploitation</t>
        </is>
      </c>
      <c r="D437" s="973" t="inlineStr">
        <is>
          <t>T1657</t>
        </is>
      </c>
      <c r="E437" s="973" t="inlineStr">
        <is>
          <t>Financial Theft</t>
        </is>
      </c>
      <c r="F437" s="973" t="inlineStr">
        <is>
          <t>S5</t>
        </is>
      </c>
      <c r="G437" s="973" t="b">
        <v>1</v>
      </c>
      <c r="H437" s="973" t="b">
        <v>0</v>
      </c>
      <c r="I437" s="973" t="b">
        <v>0</v>
      </c>
      <c r="J437" s="973" t="n">
        <v>0.4</v>
      </c>
      <c r="K437" s="973" t="n">
        <v>0.275654296875</v>
      </c>
      <c r="L437" s="973" t="n">
        <v>0.275654296875</v>
      </c>
      <c r="M437" s="973" t="inlineStr">
        <is>
          <t>SaaS; Office Suite; Identity Provider</t>
        </is>
      </c>
      <c r="N437" s="973" t="inlineStr">
        <is>
          <t>https://attack.mitre.org/techniques/T1657/</t>
        </is>
      </c>
      <c r="O437" s="973" t="n"/>
      <c r="P437" s="973" t="n"/>
    </row>
    <row r="438">
      <c r="A438" s="973" t="inlineStr">
        <is>
          <t>Malicious insider</t>
        </is>
      </c>
      <c r="B438" s="973" t="inlineStr">
        <is>
          <t>Critical business-service disruption</t>
        </is>
      </c>
      <c r="C438" s="973" t="inlineStr">
        <is>
          <t>Third-party or software supply chain</t>
        </is>
      </c>
      <c r="D438" s="973" t="inlineStr">
        <is>
          <t>T1199</t>
        </is>
      </c>
      <c r="E438" s="973" t="inlineStr">
        <is>
          <t>Trusted Relationship</t>
        </is>
      </c>
      <c r="F438" s="973" t="inlineStr">
        <is>
          <t>S3</t>
        </is>
      </c>
      <c r="G438" s="973" t="b">
        <v>1</v>
      </c>
      <c r="H438" s="973" t="b">
        <v>1</v>
      </c>
      <c r="I438" s="973" t="b">
        <v>1</v>
      </c>
      <c r="J438" s="973" t="n">
        <v>1</v>
      </c>
      <c r="K438" s="973" t="n">
        <v>0.20625</v>
      </c>
      <c r="L438" s="973" t="n">
        <v>0.20625</v>
      </c>
      <c r="M438" s="973" t="inlineStr">
        <is>
          <t>SaaS; IaaS; Network Devices</t>
        </is>
      </c>
      <c r="N438" s="973" t="inlineStr">
        <is>
          <t>https://attack.mitre.org/techniques/T1199/</t>
        </is>
      </c>
      <c r="O438" s="973" t="n"/>
      <c r="P438" s="973" t="n"/>
    </row>
    <row r="439">
      <c r="A439" s="973" t="inlineStr">
        <is>
          <t>Malicious insider</t>
        </is>
      </c>
      <c r="B439" s="973" t="inlineStr">
        <is>
          <t>Critical business-service disruption</t>
        </is>
      </c>
      <c r="C439" s="973" t="inlineStr">
        <is>
          <t>Third-party or software supply chain</t>
        </is>
      </c>
      <c r="D439" s="973" t="inlineStr">
        <is>
          <t>T1098</t>
        </is>
      </c>
      <c r="E439" s="973" t="inlineStr">
        <is>
          <t>Account Manipulation</t>
        </is>
      </c>
      <c r="F439" s="973" t="inlineStr">
        <is>
          <t>S3</t>
        </is>
      </c>
      <c r="G439" s="973" t="b">
        <v>1</v>
      </c>
      <c r="H439" s="973" t="b">
        <v>1</v>
      </c>
      <c r="I439" s="973" t="b">
        <v>1</v>
      </c>
      <c r="J439" s="973" t="n">
        <v>0.6</v>
      </c>
      <c r="K439" s="973" t="n">
        <v>0.2477547340393066</v>
      </c>
      <c r="L439" s="973" t="n">
        <v>0.2477547340393066</v>
      </c>
      <c r="M439" s="973" t="inlineStr">
        <is>
          <t>Identity Provider; SaaS; Windows</t>
        </is>
      </c>
      <c r="N439" s="973" t="inlineStr">
        <is>
          <t>https://attack.mitre.org/techniques/T1098/</t>
        </is>
      </c>
      <c r="O439" s="973" t="n"/>
      <c r="P439" s="973" t="n"/>
    </row>
    <row r="440">
      <c r="A440" s="973" t="inlineStr">
        <is>
          <t>Malicious insider</t>
        </is>
      </c>
      <c r="B440" s="973" t="inlineStr">
        <is>
          <t>Critical business-service disruption</t>
        </is>
      </c>
      <c r="C440" s="973" t="inlineStr">
        <is>
          <t>Third-party or software supply chain</t>
        </is>
      </c>
      <c r="D440" s="973" t="inlineStr">
        <is>
          <t>T1087</t>
        </is>
      </c>
      <c r="E440" s="973" t="inlineStr">
        <is>
          <t>Account Discovery</t>
        </is>
      </c>
      <c r="F440" s="973" t="inlineStr">
        <is>
          <t>S4</t>
        </is>
      </c>
      <c r="G440" s="973" t="b">
        <v>1</v>
      </c>
      <c r="H440" s="973" t="b">
        <v>1</v>
      </c>
      <c r="I440" s="973" t="b">
        <v>1</v>
      </c>
      <c r="J440" s="973" t="n">
        <v>0.5</v>
      </c>
      <c r="K440" s="973" t="n">
        <v>0</v>
      </c>
      <c r="L440" s="973" t="n">
        <v>0</v>
      </c>
      <c r="M440" s="973" t="inlineStr">
        <is>
          <t>Identity Provider; SaaS; Windows</t>
        </is>
      </c>
      <c r="N440" s="973" t="inlineStr">
        <is>
          <t>https://attack.mitre.org/techniques/T1087/</t>
        </is>
      </c>
      <c r="O440" s="973" t="n"/>
      <c r="P440" s="973" t="n"/>
    </row>
    <row r="441">
      <c r="A441" s="973" t="inlineStr">
        <is>
          <t>Malicious insider</t>
        </is>
      </c>
      <c r="B441" s="973" t="inlineStr">
        <is>
          <t>Critical business-service disruption</t>
        </is>
      </c>
      <c r="C441" s="973" t="inlineStr">
        <is>
          <t>Third-party or software supply chain</t>
        </is>
      </c>
      <c r="D441" s="973" t="inlineStr">
        <is>
          <t>T1213</t>
        </is>
      </c>
      <c r="E441" s="973" t="inlineStr">
        <is>
          <t>Data from Information Repositories</t>
        </is>
      </c>
      <c r="F441" s="973" t="inlineStr">
        <is>
          <t>S4</t>
        </is>
      </c>
      <c r="G441" s="973" t="b">
        <v>1</v>
      </c>
      <c r="H441" s="973" t="b">
        <v>0</v>
      </c>
      <c r="I441" s="973" t="b">
        <v>0</v>
      </c>
      <c r="J441" s="973" t="n">
        <v>0.7</v>
      </c>
      <c r="K441" s="973" t="n">
        <v>0.177890625</v>
      </c>
      <c r="L441" s="973" t="n">
        <v>0.177890625</v>
      </c>
      <c r="M441" s="973" t="inlineStr">
        <is>
          <t>SaaS; Office Suite; Windows</t>
        </is>
      </c>
      <c r="N441" s="973" t="inlineStr">
        <is>
          <t>https://attack.mitre.org/techniques/T1213/</t>
        </is>
      </c>
      <c r="O441" s="973" t="n"/>
      <c r="P441" s="973" t="n"/>
    </row>
    <row r="442">
      <c r="A442" s="973" t="inlineStr">
        <is>
          <t>Malicious insider</t>
        </is>
      </c>
      <c r="B442" s="973" t="inlineStr">
        <is>
          <t>Critical business-service disruption</t>
        </is>
      </c>
      <c r="C442" s="973" t="inlineStr">
        <is>
          <t>Third-party or software supply chain</t>
        </is>
      </c>
      <c r="D442" s="973" t="inlineStr">
        <is>
          <t>T1567</t>
        </is>
      </c>
      <c r="E442" s="973" t="inlineStr">
        <is>
          <t>Exfiltration Over Web Service</t>
        </is>
      </c>
      <c r="F442" s="973" t="inlineStr">
        <is>
          <t>S5</t>
        </is>
      </c>
      <c r="G442" s="973" t="b">
        <v>1</v>
      </c>
      <c r="H442" s="973" t="b">
        <v>0</v>
      </c>
      <c r="I442" s="973" t="b">
        <v>0</v>
      </c>
      <c r="J442" s="973" t="n">
        <v>0.6</v>
      </c>
      <c r="K442" s="973" t="n">
        <v>0.20625</v>
      </c>
      <c r="L442" s="973" t="n">
        <v>0.20625</v>
      </c>
      <c r="M442" s="973" t="inlineStr">
        <is>
          <t>SaaS; Office Suite</t>
        </is>
      </c>
      <c r="N442" s="973" t="inlineStr">
        <is>
          <t>https://attack.mitre.org/techniques/T1567/</t>
        </is>
      </c>
      <c r="O442" s="973" t="n"/>
      <c r="P442" s="973" t="n"/>
    </row>
    <row r="443">
      <c r="A443" s="973" t="inlineStr">
        <is>
          <t>Malicious insider</t>
        </is>
      </c>
      <c r="B443" s="973" t="inlineStr">
        <is>
          <t>Critical business-service disruption</t>
        </is>
      </c>
      <c r="C443" s="973" t="inlineStr">
        <is>
          <t>Third-party or software supply chain</t>
        </is>
      </c>
      <c r="D443" s="973" t="inlineStr">
        <is>
          <t>T1486</t>
        </is>
      </c>
      <c r="E443" s="973" t="inlineStr">
        <is>
          <t>Data Encrypted for Impact</t>
        </is>
      </c>
      <c r="F443" s="973" t="inlineStr">
        <is>
          <t>S5</t>
        </is>
      </c>
      <c r="G443" s="973" t="b">
        <v>1</v>
      </c>
      <c r="H443" s="973" t="b">
        <v>1</v>
      </c>
      <c r="I443" s="973" t="b">
        <v>1</v>
      </c>
      <c r="J443" s="973" t="n">
        <v>0.5</v>
      </c>
      <c r="K443" s="973" t="n">
        <v>0.16875</v>
      </c>
      <c r="L443" s="973" t="n">
        <v>0.16875</v>
      </c>
      <c r="M443" s="973" t="inlineStr">
        <is>
          <t>Windows; Linux; IaaS</t>
        </is>
      </c>
      <c r="N443" s="973" t="inlineStr">
        <is>
          <t>https://attack.mitre.org/techniques/T1486/</t>
        </is>
      </c>
      <c r="O443" s="973" t="n"/>
      <c r="P443" s="973" t="n"/>
    </row>
    <row r="444">
      <c r="A444" s="973" t="inlineStr">
        <is>
          <t>Malicious insider</t>
        </is>
      </c>
      <c r="B444" s="973" t="inlineStr">
        <is>
          <t>Critical business-service disruption</t>
        </is>
      </c>
      <c r="C444" s="973" t="inlineStr">
        <is>
          <t>Third-party or software supply chain</t>
        </is>
      </c>
      <c r="D444" s="973" t="inlineStr">
        <is>
          <t>T1565</t>
        </is>
      </c>
      <c r="E444" s="973" t="inlineStr">
        <is>
          <t>Data Manipulation</t>
        </is>
      </c>
      <c r="F444" s="973" t="inlineStr">
        <is>
          <t>S5</t>
        </is>
      </c>
      <c r="G444" s="973" t="b">
        <v>1</v>
      </c>
      <c r="H444" s="973" t="b">
        <v>1</v>
      </c>
      <c r="I444" s="973" t="b">
        <v>1</v>
      </c>
      <c r="J444" s="973" t="n">
        <v>0.6</v>
      </c>
      <c r="K444" s="973" t="n">
        <v>0.2206064987182617</v>
      </c>
      <c r="L444" s="973" t="n">
        <v>0.2206064987182617</v>
      </c>
      <c r="M444" s="973" t="inlineStr">
        <is>
          <t>SaaS; Databases; Windows</t>
        </is>
      </c>
      <c r="N444" s="973" t="inlineStr">
        <is>
          <t>https://attack.mitre.org/techniques/T1565/</t>
        </is>
      </c>
      <c r="O444" s="973" t="n"/>
      <c r="P444" s="973" t="n"/>
    </row>
    <row r="445">
      <c r="A445" s="973" t="inlineStr">
        <is>
          <t>Malicious insider</t>
        </is>
      </c>
      <c r="B445" s="973" t="inlineStr">
        <is>
          <t>Critical business-service disruption</t>
        </is>
      </c>
      <c r="C445" s="973" t="inlineStr">
        <is>
          <t>Third-party or software supply chain</t>
        </is>
      </c>
      <c r="D445" s="973" t="inlineStr">
        <is>
          <t>T1657</t>
        </is>
      </c>
      <c r="E445" s="973" t="inlineStr">
        <is>
          <t>Financial Theft</t>
        </is>
      </c>
      <c r="F445" s="973" t="inlineStr">
        <is>
          <t>S5</t>
        </is>
      </c>
      <c r="G445" s="973" t="b">
        <v>1</v>
      </c>
      <c r="H445" s="973" t="b">
        <v>0</v>
      </c>
      <c r="I445" s="973" t="b">
        <v>0</v>
      </c>
      <c r="J445" s="973" t="n">
        <v>0.5</v>
      </c>
      <c r="K445" s="973" t="n">
        <v>0.275654296875</v>
      </c>
      <c r="L445" s="973" t="n">
        <v>0.275654296875</v>
      </c>
      <c r="M445" s="973" t="inlineStr">
        <is>
          <t>SaaS; Office Suite; Identity Provider</t>
        </is>
      </c>
      <c r="N445" s="973" t="inlineStr">
        <is>
          <t>https://attack.mitre.org/techniques/T1657/</t>
        </is>
      </c>
      <c r="O445" s="973" t="n"/>
      <c r="P445" s="973" t="n"/>
    </row>
    <row r="446">
      <c r="A446" s="973" t="inlineStr">
        <is>
          <t>Malicious insider</t>
        </is>
      </c>
      <c r="B446" s="973" t="inlineStr">
        <is>
          <t>Critical business-service disruption</t>
        </is>
      </c>
      <c r="C446" s="973" t="inlineStr">
        <is>
          <t>Direct availability or DDoS</t>
        </is>
      </c>
      <c r="D446" s="973" t="inlineStr">
        <is>
          <t>T1498</t>
        </is>
      </c>
      <c r="E446" s="973" t="inlineStr">
        <is>
          <t>Network Denial of Service</t>
        </is>
      </c>
      <c r="F446" s="973" t="inlineStr">
        <is>
          <t>S1</t>
        </is>
      </c>
      <c r="G446" s="973" t="b">
        <v>0</v>
      </c>
      <c r="H446" s="973" t="b">
        <v>1</v>
      </c>
      <c r="I446" s="973" t="b">
        <v>0</v>
      </c>
      <c r="J446" s="973" t="n">
        <v>1</v>
      </c>
      <c r="K446" s="973" t="n">
        <v>0.2866992187499999</v>
      </c>
      <c r="L446" s="973" t="n">
        <v>0.2866992187499999</v>
      </c>
      <c r="M446" s="973" t="inlineStr">
        <is>
          <t>Network Devices</t>
        </is>
      </c>
      <c r="N446" s="973" t="inlineStr">
        <is>
          <t>https://attack.mitre.org/techniques/T1498/</t>
        </is>
      </c>
      <c r="O446" s="973" t="n"/>
      <c r="P446" s="973" t="n"/>
    </row>
    <row r="447">
      <c r="A447" s="973" t="inlineStr">
        <is>
          <t>Malicious insider</t>
        </is>
      </c>
      <c r="B447" s="973" t="inlineStr">
        <is>
          <t>Critical business-service disruption</t>
        </is>
      </c>
      <c r="C447" s="973" t="inlineStr">
        <is>
          <t>Direct availability or DDoS</t>
        </is>
      </c>
      <c r="D447" s="973" t="inlineStr">
        <is>
          <t>T1499</t>
        </is>
      </c>
      <c r="E447" s="973" t="inlineStr">
        <is>
          <t>Endpoint Denial of Service</t>
        </is>
      </c>
      <c r="F447" s="973" t="inlineStr">
        <is>
          <t>S5</t>
        </is>
      </c>
      <c r="G447" s="973" t="b">
        <v>0</v>
      </c>
      <c r="H447" s="973" t="b">
        <v>1</v>
      </c>
      <c r="I447" s="973" t="b">
        <v>0</v>
      </c>
      <c r="J447" s="973" t="n">
        <v>1</v>
      </c>
      <c r="K447" s="973" t="n">
        <v>0.225</v>
      </c>
      <c r="L447" s="973" t="n">
        <v>0.225</v>
      </c>
      <c r="M447" s="973" t="inlineStr">
        <is>
          <t>Windows; Linux; Network Devices</t>
        </is>
      </c>
      <c r="N447" s="973" t="inlineStr">
        <is>
          <t>https://attack.mitre.org/techniques/T1499/</t>
        </is>
      </c>
      <c r="O447" s="973" t="n"/>
      <c r="P447" s="973" t="n"/>
    </row>
    <row r="448">
      <c r="A448" s="973" t="inlineStr">
        <is>
          <t>Malicious insider</t>
        </is>
      </c>
      <c r="B448" s="973" t="inlineStr">
        <is>
          <t>Critical business-service disruption</t>
        </is>
      </c>
      <c r="C448" s="973" t="inlineStr">
        <is>
          <t>Insider or trusted access</t>
        </is>
      </c>
      <c r="D448" s="973" t="inlineStr">
        <is>
          <t>T1098</t>
        </is>
      </c>
      <c r="E448" s="973" t="inlineStr">
        <is>
          <t>Account Manipulation</t>
        </is>
      </c>
      <c r="F448" s="973" t="inlineStr">
        <is>
          <t>S3</t>
        </is>
      </c>
      <c r="G448" s="973" t="b">
        <v>1</v>
      </c>
      <c r="H448" s="973" t="b">
        <v>1</v>
      </c>
      <c r="I448" s="973" t="b">
        <v>1</v>
      </c>
      <c r="J448" s="973" t="n">
        <v>0.8</v>
      </c>
      <c r="K448" s="973" t="n">
        <v>0.2477547340393066</v>
      </c>
      <c r="L448" s="973" t="n">
        <v>0.2477547340393066</v>
      </c>
      <c r="M448" s="973" t="inlineStr">
        <is>
          <t>Identity Provider; SaaS; Windows</t>
        </is>
      </c>
      <c r="N448" s="973" t="inlineStr">
        <is>
          <t>https://attack.mitre.org/techniques/T1098/</t>
        </is>
      </c>
      <c r="O448" s="973" t="n"/>
      <c r="P448" s="973" t="n"/>
    </row>
    <row r="449">
      <c r="A449" s="973" t="inlineStr">
        <is>
          <t>Malicious insider</t>
        </is>
      </c>
      <c r="B449" s="973" t="inlineStr">
        <is>
          <t>Critical business-service disruption</t>
        </is>
      </c>
      <c r="C449" s="973" t="inlineStr">
        <is>
          <t>Insider or trusted access</t>
        </is>
      </c>
      <c r="D449" s="973" t="inlineStr">
        <is>
          <t>T1087</t>
        </is>
      </c>
      <c r="E449" s="973" t="inlineStr">
        <is>
          <t>Account Discovery</t>
        </is>
      </c>
      <c r="F449" s="973" t="inlineStr">
        <is>
          <t>S4</t>
        </is>
      </c>
      <c r="G449" s="973" t="b">
        <v>1</v>
      </c>
      <c r="H449" s="973" t="b">
        <v>1</v>
      </c>
      <c r="I449" s="973" t="b">
        <v>1</v>
      </c>
      <c r="J449" s="973" t="n">
        <v>0.6</v>
      </c>
      <c r="K449" s="973" t="n">
        <v>0</v>
      </c>
      <c r="L449" s="973" t="n">
        <v>0</v>
      </c>
      <c r="M449" s="973" t="inlineStr">
        <is>
          <t>Identity Provider; SaaS; Windows</t>
        </is>
      </c>
      <c r="N449" s="973" t="inlineStr">
        <is>
          <t>https://attack.mitre.org/techniques/T1087/</t>
        </is>
      </c>
      <c r="O449" s="973" t="n"/>
      <c r="P449" s="973" t="n"/>
    </row>
    <row r="450">
      <c r="A450" s="973" t="inlineStr">
        <is>
          <t>Malicious insider</t>
        </is>
      </c>
      <c r="B450" s="973" t="inlineStr">
        <is>
          <t>Critical business-service disruption</t>
        </is>
      </c>
      <c r="C450" s="973" t="inlineStr">
        <is>
          <t>Insider or trusted access</t>
        </is>
      </c>
      <c r="D450" s="973" t="inlineStr">
        <is>
          <t>T1213</t>
        </is>
      </c>
      <c r="E450" s="973" t="inlineStr">
        <is>
          <t>Data from Information Repositories</t>
        </is>
      </c>
      <c r="F450" s="973" t="inlineStr">
        <is>
          <t>S4</t>
        </is>
      </c>
      <c r="G450" s="973" t="b">
        <v>1</v>
      </c>
      <c r="H450" s="973" t="b">
        <v>0</v>
      </c>
      <c r="I450" s="973" t="b">
        <v>0</v>
      </c>
      <c r="J450" s="973" t="n">
        <v>0.9</v>
      </c>
      <c r="K450" s="973" t="n">
        <v>0.177890625</v>
      </c>
      <c r="L450" s="973" t="n">
        <v>0.177890625</v>
      </c>
      <c r="M450" s="973" t="inlineStr">
        <is>
          <t>SaaS; Office Suite; Windows</t>
        </is>
      </c>
      <c r="N450" s="973" t="inlineStr">
        <is>
          <t>https://attack.mitre.org/techniques/T1213/</t>
        </is>
      </c>
      <c r="O450" s="973" t="n"/>
      <c r="P450" s="973" t="n"/>
    </row>
    <row r="451">
      <c r="A451" s="973" t="inlineStr">
        <is>
          <t>Malicious insider</t>
        </is>
      </c>
      <c r="B451" s="973" t="inlineStr">
        <is>
          <t>Critical business-service disruption</t>
        </is>
      </c>
      <c r="C451" s="973" t="inlineStr">
        <is>
          <t>Insider or trusted access</t>
        </is>
      </c>
      <c r="D451" s="973" t="inlineStr">
        <is>
          <t>T1567</t>
        </is>
      </c>
      <c r="E451" s="973" t="inlineStr">
        <is>
          <t>Exfiltration Over Web Service</t>
        </is>
      </c>
      <c r="F451" s="973" t="inlineStr">
        <is>
          <t>S5</t>
        </is>
      </c>
      <c r="G451" s="973" t="b">
        <v>1</v>
      </c>
      <c r="H451" s="973" t="b">
        <v>0</v>
      </c>
      <c r="I451" s="973" t="b">
        <v>0</v>
      </c>
      <c r="J451" s="973" t="n">
        <v>0.8</v>
      </c>
      <c r="K451" s="973" t="n">
        <v>0.20625</v>
      </c>
      <c r="L451" s="973" t="n">
        <v>0.20625</v>
      </c>
      <c r="M451" s="973" t="inlineStr">
        <is>
          <t>SaaS; Office Suite</t>
        </is>
      </c>
      <c r="N451" s="973" t="inlineStr">
        <is>
          <t>https://attack.mitre.org/techniques/T1567/</t>
        </is>
      </c>
      <c r="O451" s="973" t="n"/>
      <c r="P451" s="973" t="n"/>
    </row>
    <row r="452">
      <c r="A452" s="973" t="inlineStr">
        <is>
          <t>Malicious insider</t>
        </is>
      </c>
      <c r="B452" s="973" t="inlineStr">
        <is>
          <t>Critical business-service disruption</t>
        </is>
      </c>
      <c r="C452" s="973" t="inlineStr">
        <is>
          <t>Insider or trusted access</t>
        </is>
      </c>
      <c r="D452" s="973" t="inlineStr">
        <is>
          <t>T1565</t>
        </is>
      </c>
      <c r="E452" s="973" t="inlineStr">
        <is>
          <t>Data Manipulation</t>
        </is>
      </c>
      <c r="F452" s="973" t="inlineStr">
        <is>
          <t>S5</t>
        </is>
      </c>
      <c r="G452" s="973" t="b">
        <v>1</v>
      </c>
      <c r="H452" s="973" t="b">
        <v>1</v>
      </c>
      <c r="I452" s="973" t="b">
        <v>1</v>
      </c>
      <c r="J452" s="973" t="n">
        <v>0.9</v>
      </c>
      <c r="K452" s="973" t="n">
        <v>0.2206064987182617</v>
      </c>
      <c r="L452" s="973" t="n">
        <v>0.2206064987182617</v>
      </c>
      <c r="M452" s="973" t="inlineStr">
        <is>
          <t>SaaS; Databases; Windows</t>
        </is>
      </c>
      <c r="N452" s="973" t="inlineStr">
        <is>
          <t>https://attack.mitre.org/techniques/T1565/</t>
        </is>
      </c>
      <c r="O452" s="973" t="n"/>
      <c r="P452" s="973" t="n"/>
    </row>
    <row r="453">
      <c r="A453" s="973" t="inlineStr">
        <is>
          <t>Malicious insider</t>
        </is>
      </c>
      <c r="B453" s="973" t="inlineStr">
        <is>
          <t>Critical business-service disruption</t>
        </is>
      </c>
      <c r="C453" s="973" t="inlineStr">
        <is>
          <t>Insider or trusted access</t>
        </is>
      </c>
      <c r="D453" s="973" t="inlineStr">
        <is>
          <t>T1657</t>
        </is>
      </c>
      <c r="E453" s="973" t="inlineStr">
        <is>
          <t>Financial Theft</t>
        </is>
      </c>
      <c r="F453" s="973" t="inlineStr">
        <is>
          <t>S5</t>
        </is>
      </c>
      <c r="G453" s="973" t="b">
        <v>1</v>
      </c>
      <c r="H453" s="973" t="b">
        <v>0</v>
      </c>
      <c r="I453" s="973" t="b">
        <v>0</v>
      </c>
      <c r="J453" s="973" t="n">
        <v>0.9</v>
      </c>
      <c r="K453" s="973" t="n">
        <v>0.275654296875</v>
      </c>
      <c r="L453" s="973" t="n">
        <v>0.275654296875</v>
      </c>
      <c r="M453" s="973" t="inlineStr">
        <is>
          <t>SaaS; Office Suite; Identity Provider</t>
        </is>
      </c>
      <c r="N453" s="973" t="inlineStr">
        <is>
          <t>https://attack.mitre.org/techniques/T1657/</t>
        </is>
      </c>
      <c r="O453" s="973" t="n"/>
      <c r="P453" s="973" t="n"/>
    </row>
    <row r="454">
      <c r="A454" s="973" t="inlineStr">
        <is>
          <t>Malicious insider</t>
        </is>
      </c>
      <c r="B454" s="973" t="inlineStr">
        <is>
          <t>Sensitive-data compromise</t>
        </is>
      </c>
      <c r="C454" s="973" t="inlineStr">
        <is>
          <t>Identity and credential compromise</t>
        </is>
      </c>
      <c r="D454" s="973" t="inlineStr">
        <is>
          <t>T1566</t>
        </is>
      </c>
      <c r="E454" s="973" t="inlineStr">
        <is>
          <t>Phishing</t>
        </is>
      </c>
      <c r="F454" s="973" t="inlineStr">
        <is>
          <t>S1</t>
        </is>
      </c>
      <c r="G454" s="973" t="b">
        <v>1</v>
      </c>
      <c r="H454" s="973" t="b">
        <v>1</v>
      </c>
      <c r="I454" s="973" t="b">
        <v>1</v>
      </c>
      <c r="J454" s="973" t="n">
        <v>1</v>
      </c>
      <c r="K454" s="973" t="n">
        <v>0.20625</v>
      </c>
      <c r="L454" s="973" t="n">
        <v>0.20625</v>
      </c>
      <c r="M454" s="973" t="inlineStr">
        <is>
          <t>Windows; SaaS; Office Suite</t>
        </is>
      </c>
      <c r="N454" s="973" t="inlineStr">
        <is>
          <t>https://attack.mitre.org/techniques/T1566/</t>
        </is>
      </c>
      <c r="O454" s="973" t="n"/>
      <c r="P454" s="973" t="n"/>
    </row>
    <row r="455">
      <c r="A455" s="973" t="inlineStr">
        <is>
          <t>Malicious insider</t>
        </is>
      </c>
      <c r="B455" s="973" t="inlineStr">
        <is>
          <t>Sensitive-data compromise</t>
        </is>
      </c>
      <c r="C455" s="973" t="inlineStr">
        <is>
          <t>Identity and credential compromise</t>
        </is>
      </c>
      <c r="D455" s="973" t="inlineStr">
        <is>
          <t>T1078</t>
        </is>
      </c>
      <c r="E455" s="973" t="inlineStr">
        <is>
          <t>Valid Accounts</t>
        </is>
      </c>
      <c r="F455" s="973" t="inlineStr">
        <is>
          <t>S1</t>
        </is>
      </c>
      <c r="G455" s="973" t="b">
        <v>1</v>
      </c>
      <c r="H455" s="973" t="b">
        <v>1</v>
      </c>
      <c r="I455" s="973" t="b">
        <v>1</v>
      </c>
      <c r="J455" s="973" t="n">
        <v>1</v>
      </c>
      <c r="K455" s="973" t="n">
        <v>0.272109375</v>
      </c>
      <c r="L455" s="973" t="n">
        <v>0.272109375</v>
      </c>
      <c r="M455" s="973" t="inlineStr">
        <is>
          <t>Identity Provider; SaaS; IaaS; Windows</t>
        </is>
      </c>
      <c r="N455" s="973" t="inlineStr">
        <is>
          <t>https://attack.mitre.org/techniques/T1078/</t>
        </is>
      </c>
      <c r="O455" s="973" t="n"/>
      <c r="P455" s="973" t="n"/>
    </row>
    <row r="456">
      <c r="A456" s="973" t="inlineStr">
        <is>
          <t>Malicious insider</t>
        </is>
      </c>
      <c r="B456" s="973" t="inlineStr">
        <is>
          <t>Sensitive-data compromise</t>
        </is>
      </c>
      <c r="C456" s="973" t="inlineStr">
        <is>
          <t>Identity and credential compromise</t>
        </is>
      </c>
      <c r="D456" s="973" t="inlineStr">
        <is>
          <t>T1110</t>
        </is>
      </c>
      <c r="E456" s="973" t="inlineStr">
        <is>
          <t>Brute Force</t>
        </is>
      </c>
      <c r="F456" s="973" t="inlineStr">
        <is>
          <t>S1</t>
        </is>
      </c>
      <c r="G456" s="973" t="b">
        <v>0</v>
      </c>
      <c r="H456" s="973" t="b">
        <v>1</v>
      </c>
      <c r="I456" s="973" t="b">
        <v>0</v>
      </c>
      <c r="J456" s="973" t="n">
        <v>0.7</v>
      </c>
      <c r="K456" s="973" t="n">
        <v>0.24375</v>
      </c>
      <c r="L456" s="973" t="n">
        <v>0.24375</v>
      </c>
      <c r="M456" s="973" t="inlineStr">
        <is>
          <t>Identity Provider; SaaS; Windows</t>
        </is>
      </c>
      <c r="N456" s="973" t="inlineStr">
        <is>
          <t>https://attack.mitre.org/techniques/T1110/</t>
        </is>
      </c>
      <c r="O456" s="973" t="n"/>
      <c r="P456" s="973" t="n"/>
    </row>
    <row r="457">
      <c r="A457" s="973" t="inlineStr">
        <is>
          <t>Malicious insider</t>
        </is>
      </c>
      <c r="B457" s="973" t="inlineStr">
        <is>
          <t>Sensitive-data compromise</t>
        </is>
      </c>
      <c r="C457" s="973" t="inlineStr">
        <is>
          <t>Identity and credential compromise</t>
        </is>
      </c>
      <c r="D457" s="973" t="inlineStr">
        <is>
          <t>T1098</t>
        </is>
      </c>
      <c r="E457" s="973" t="inlineStr">
        <is>
          <t>Account Manipulation</t>
        </is>
      </c>
      <c r="F457" s="973" t="inlineStr">
        <is>
          <t>S3</t>
        </is>
      </c>
      <c r="G457" s="973" t="b">
        <v>1</v>
      </c>
      <c r="H457" s="973" t="b">
        <v>1</v>
      </c>
      <c r="I457" s="973" t="b">
        <v>1</v>
      </c>
      <c r="J457" s="973" t="n">
        <v>0.7</v>
      </c>
      <c r="K457" s="973" t="n">
        <v>0.2477547340393066</v>
      </c>
      <c r="L457" s="973" t="n">
        <v>0.2477547340393066</v>
      </c>
      <c r="M457" s="973" t="inlineStr">
        <is>
          <t>Identity Provider; SaaS; Windows</t>
        </is>
      </c>
      <c r="N457" s="973" t="inlineStr">
        <is>
          <t>https://attack.mitre.org/techniques/T1098/</t>
        </is>
      </c>
      <c r="O457" s="973" t="n"/>
      <c r="P457" s="973" t="n"/>
    </row>
    <row r="458">
      <c r="A458" s="973" t="inlineStr">
        <is>
          <t>Malicious insider</t>
        </is>
      </c>
      <c r="B458" s="973" t="inlineStr">
        <is>
          <t>Sensitive-data compromise</t>
        </is>
      </c>
      <c r="C458" s="973" t="inlineStr">
        <is>
          <t>Identity and credential compromise</t>
        </is>
      </c>
      <c r="D458" s="973" t="inlineStr">
        <is>
          <t>T1087</t>
        </is>
      </c>
      <c r="E458" s="973" t="inlineStr">
        <is>
          <t>Account Discovery</t>
        </is>
      </c>
      <c r="F458" s="973" t="inlineStr">
        <is>
          <t>S4</t>
        </is>
      </c>
      <c r="G458" s="973" t="b">
        <v>1</v>
      </c>
      <c r="H458" s="973" t="b">
        <v>1</v>
      </c>
      <c r="I458" s="973" t="b">
        <v>1</v>
      </c>
      <c r="J458" s="973" t="n">
        <v>0.6</v>
      </c>
      <c r="K458" s="973" t="n">
        <v>0</v>
      </c>
      <c r="L458" s="973" t="n">
        <v>0</v>
      </c>
      <c r="M458" s="973" t="inlineStr">
        <is>
          <t>Identity Provider; SaaS; Windows</t>
        </is>
      </c>
      <c r="N458" s="973" t="inlineStr">
        <is>
          <t>https://attack.mitre.org/techniques/T1087/</t>
        </is>
      </c>
      <c r="O458" s="973" t="n"/>
      <c r="P458" s="973" t="n"/>
    </row>
    <row r="459">
      <c r="A459" s="973" t="inlineStr">
        <is>
          <t>Malicious insider</t>
        </is>
      </c>
      <c r="B459" s="973" t="inlineStr">
        <is>
          <t>Sensitive-data compromise</t>
        </is>
      </c>
      <c r="C459" s="973" t="inlineStr">
        <is>
          <t>Identity and credential compromise</t>
        </is>
      </c>
      <c r="D459" s="973" t="inlineStr">
        <is>
          <t>T1213</t>
        </is>
      </c>
      <c r="E459" s="973" t="inlineStr">
        <is>
          <t>Data from Information Repositories</t>
        </is>
      </c>
      <c r="F459" s="973" t="inlineStr">
        <is>
          <t>S4</t>
        </is>
      </c>
      <c r="G459" s="973" t="b">
        <v>1</v>
      </c>
      <c r="H459" s="973" t="b">
        <v>1</v>
      </c>
      <c r="I459" s="973" t="b">
        <v>1</v>
      </c>
      <c r="J459" s="973" t="n">
        <v>0.8</v>
      </c>
      <c r="K459" s="973" t="n">
        <v>0.177890625</v>
      </c>
      <c r="L459" s="973" t="n">
        <v>0.177890625</v>
      </c>
      <c r="M459" s="973" t="inlineStr">
        <is>
          <t>SaaS; Office Suite; Windows</t>
        </is>
      </c>
      <c r="N459" s="973" t="inlineStr">
        <is>
          <t>https://attack.mitre.org/techniques/T1213/</t>
        </is>
      </c>
      <c r="O459" s="973" t="n"/>
      <c r="P459" s="973" t="n"/>
    </row>
    <row r="460">
      <c r="A460" s="973" t="inlineStr">
        <is>
          <t>Malicious insider</t>
        </is>
      </c>
      <c r="B460" s="973" t="inlineStr">
        <is>
          <t>Sensitive-data compromise</t>
        </is>
      </c>
      <c r="C460" s="973" t="inlineStr">
        <is>
          <t>Identity and credential compromise</t>
        </is>
      </c>
      <c r="D460" s="973" t="inlineStr">
        <is>
          <t>T1567</t>
        </is>
      </c>
      <c r="E460" s="973" t="inlineStr">
        <is>
          <t>Exfiltration Over Web Service</t>
        </is>
      </c>
      <c r="F460" s="973" t="inlineStr">
        <is>
          <t>S5</t>
        </is>
      </c>
      <c r="G460" s="973" t="b">
        <v>1</v>
      </c>
      <c r="H460" s="973" t="b">
        <v>1</v>
      </c>
      <c r="I460" s="973" t="b">
        <v>1</v>
      </c>
      <c r="J460" s="973" t="n">
        <v>0.7</v>
      </c>
      <c r="K460" s="973" t="n">
        <v>0.20625</v>
      </c>
      <c r="L460" s="973" t="n">
        <v>0.20625</v>
      </c>
      <c r="M460" s="973" t="inlineStr">
        <is>
          <t>SaaS; Office Suite</t>
        </is>
      </c>
      <c r="N460" s="973" t="inlineStr">
        <is>
          <t>https://attack.mitre.org/techniques/T1567/</t>
        </is>
      </c>
      <c r="O460" s="973" t="n"/>
      <c r="P460" s="973" t="n"/>
    </row>
    <row r="461">
      <c r="A461" s="973" t="inlineStr">
        <is>
          <t>Malicious insider</t>
        </is>
      </c>
      <c r="B461" s="973" t="inlineStr">
        <is>
          <t>Sensitive-data compromise</t>
        </is>
      </c>
      <c r="C461" s="973" t="inlineStr">
        <is>
          <t>Identity and credential compromise</t>
        </is>
      </c>
      <c r="D461" s="973" t="inlineStr">
        <is>
          <t>T1657</t>
        </is>
      </c>
      <c r="E461" s="973" t="inlineStr">
        <is>
          <t>Financial Theft</t>
        </is>
      </c>
      <c r="F461" s="973" t="inlineStr">
        <is>
          <t>S5</t>
        </is>
      </c>
      <c r="G461" s="973" t="b">
        <v>1</v>
      </c>
      <c r="H461" s="973" t="b">
        <v>0</v>
      </c>
      <c r="I461" s="973" t="b">
        <v>0</v>
      </c>
      <c r="J461" s="973" t="n">
        <v>0.8</v>
      </c>
      <c r="K461" s="973" t="n">
        <v>0.275654296875</v>
      </c>
      <c r="L461" s="973" t="n">
        <v>0.275654296875</v>
      </c>
      <c r="M461" s="973" t="inlineStr">
        <is>
          <t>SaaS; Office Suite; Identity Provider</t>
        </is>
      </c>
      <c r="N461" s="973" t="inlineStr">
        <is>
          <t>https://attack.mitre.org/techniques/T1657/</t>
        </is>
      </c>
      <c r="O461" s="973" t="n"/>
      <c r="P461" s="973" t="n"/>
    </row>
    <row r="462">
      <c r="A462" s="973" t="inlineStr">
        <is>
          <t>Malicious insider</t>
        </is>
      </c>
      <c r="B462" s="973" t="inlineStr">
        <is>
          <t>Sensitive-data compromise</t>
        </is>
      </c>
      <c r="C462" s="973" t="inlineStr">
        <is>
          <t>Identity and credential compromise</t>
        </is>
      </c>
      <c r="D462" s="973" t="inlineStr">
        <is>
          <t>T1565</t>
        </is>
      </c>
      <c r="E462" s="973" t="inlineStr">
        <is>
          <t>Data Manipulation</t>
        </is>
      </c>
      <c r="F462" s="973" t="inlineStr">
        <is>
          <t>S5</t>
        </is>
      </c>
      <c r="G462" s="973" t="b">
        <v>1</v>
      </c>
      <c r="H462" s="973" t="b">
        <v>0</v>
      </c>
      <c r="I462" s="973" t="b">
        <v>0</v>
      </c>
      <c r="J462" s="973" t="n">
        <v>0.5</v>
      </c>
      <c r="K462" s="973" t="n">
        <v>0.2206064987182617</v>
      </c>
      <c r="L462" s="973" t="n">
        <v>0.2206064987182617</v>
      </c>
      <c r="M462" s="973" t="inlineStr">
        <is>
          <t>SaaS; Databases; Windows</t>
        </is>
      </c>
      <c r="N462" s="973" t="inlineStr">
        <is>
          <t>https://attack.mitre.org/techniques/T1565/</t>
        </is>
      </c>
      <c r="O462" s="973" t="n"/>
      <c r="P462" s="973" t="n"/>
    </row>
    <row r="463">
      <c r="A463" s="973" t="inlineStr">
        <is>
          <t>Malicious insider</t>
        </is>
      </c>
      <c r="B463" s="973" t="inlineStr">
        <is>
          <t>Sensitive-data compromise</t>
        </is>
      </c>
      <c r="C463" s="973" t="inlineStr">
        <is>
          <t>Identity and credential compromise</t>
        </is>
      </c>
      <c r="D463" s="973" t="inlineStr">
        <is>
          <t>T1486</t>
        </is>
      </c>
      <c r="E463" s="973" t="inlineStr">
        <is>
          <t>Data Encrypted for Impact</t>
        </is>
      </c>
      <c r="F463" s="973" t="inlineStr">
        <is>
          <t>S5</t>
        </is>
      </c>
      <c r="G463" s="973" t="b">
        <v>1</v>
      </c>
      <c r="H463" s="973" t="b">
        <v>0</v>
      </c>
      <c r="I463" s="973" t="b">
        <v>0</v>
      </c>
      <c r="J463" s="973" t="n">
        <v>0.7</v>
      </c>
      <c r="K463" s="973" t="n">
        <v>0.16875</v>
      </c>
      <c r="L463" s="973" t="n">
        <v>0.16875</v>
      </c>
      <c r="M463" s="973" t="inlineStr">
        <is>
          <t>Windows; Linux; IaaS</t>
        </is>
      </c>
      <c r="N463" s="973" t="inlineStr">
        <is>
          <t>https://attack.mitre.org/techniques/T1486/</t>
        </is>
      </c>
      <c r="O463" s="973" t="n"/>
      <c r="P463" s="973" t="n"/>
    </row>
    <row r="464">
      <c r="A464" s="973" t="inlineStr">
        <is>
          <t>Malicious insider</t>
        </is>
      </c>
      <c r="B464" s="973" t="inlineStr">
        <is>
          <t>Sensitive-data compromise</t>
        </is>
      </c>
      <c r="C464" s="973" t="inlineStr">
        <is>
          <t>Identity and credential compromise</t>
        </is>
      </c>
      <c r="D464" s="973" t="inlineStr">
        <is>
          <t>T1490</t>
        </is>
      </c>
      <c r="E464" s="973" t="inlineStr">
        <is>
          <t>Inhibit System Recovery</t>
        </is>
      </c>
      <c r="F464" s="973" t="inlineStr">
        <is>
          <t>S5</t>
        </is>
      </c>
      <c r="G464" s="973" t="b">
        <v>1</v>
      </c>
      <c r="H464" s="973" t="b">
        <v>0</v>
      </c>
      <c r="I464" s="973" t="b">
        <v>0</v>
      </c>
      <c r="J464" s="973" t="n">
        <v>0.6</v>
      </c>
      <c r="K464" s="973" t="n">
        <v>0</v>
      </c>
      <c r="L464" s="973" t="n">
        <v>0</v>
      </c>
      <c r="M464" s="973" t="inlineStr">
        <is>
          <t>Windows; Linux; IaaS</t>
        </is>
      </c>
      <c r="N464" s="973" t="inlineStr">
        <is>
          <t>https://attack.mitre.org/techniques/T1490/</t>
        </is>
      </c>
      <c r="O464" s="973" t="n"/>
      <c r="P464" s="973" t="n"/>
    </row>
    <row r="465">
      <c r="A465" s="973" t="inlineStr">
        <is>
          <t>Malicious insider</t>
        </is>
      </c>
      <c r="B465" s="973" t="inlineStr">
        <is>
          <t>Sensitive-data compromise</t>
        </is>
      </c>
      <c r="C465" s="973" t="inlineStr">
        <is>
          <t>User endpoint and social engineering</t>
        </is>
      </c>
      <c r="D465" s="973" t="inlineStr">
        <is>
          <t>T1566</t>
        </is>
      </c>
      <c r="E465" s="973" t="inlineStr">
        <is>
          <t>Phishing</t>
        </is>
      </c>
      <c r="F465" s="973" t="inlineStr">
        <is>
          <t>S1</t>
        </is>
      </c>
      <c r="G465" s="973" t="b">
        <v>1</v>
      </c>
      <c r="H465" s="973" t="b">
        <v>1</v>
      </c>
      <c r="I465" s="973" t="b">
        <v>1</v>
      </c>
      <c r="J465" s="973" t="n">
        <v>1</v>
      </c>
      <c r="K465" s="973" t="n">
        <v>0.20625</v>
      </c>
      <c r="L465" s="973" t="n">
        <v>0.20625</v>
      </c>
      <c r="M465" s="973" t="inlineStr">
        <is>
          <t>Windows; SaaS; Office Suite</t>
        </is>
      </c>
      <c r="N465" s="973" t="inlineStr">
        <is>
          <t>https://attack.mitre.org/techniques/T1566/</t>
        </is>
      </c>
      <c r="O465" s="973" t="n"/>
      <c r="P465" s="973" t="n"/>
    </row>
    <row r="466">
      <c r="A466" s="973" t="inlineStr">
        <is>
          <t>Malicious insider</t>
        </is>
      </c>
      <c r="B466" s="973" t="inlineStr">
        <is>
          <t>Sensitive-data compromise</t>
        </is>
      </c>
      <c r="C466" s="973" t="inlineStr">
        <is>
          <t>User endpoint and social engineering</t>
        </is>
      </c>
      <c r="D466" s="973" t="inlineStr">
        <is>
          <t>T1203</t>
        </is>
      </c>
      <c r="E466" s="973" t="inlineStr">
        <is>
          <t>Exploitation for Client Execution</t>
        </is>
      </c>
      <c r="F466" s="973" t="inlineStr">
        <is>
          <t>S2</t>
        </is>
      </c>
      <c r="G466" s="973" t="b">
        <v>0</v>
      </c>
      <c r="H466" s="973" t="b">
        <v>1</v>
      </c>
      <c r="I466" s="973" t="b">
        <v>0</v>
      </c>
      <c r="J466" s="973" t="n">
        <v>0.8</v>
      </c>
      <c r="K466" s="973" t="n">
        <v>0.2404920959472656</v>
      </c>
      <c r="L466" s="973" t="n">
        <v>0.2404920959472656</v>
      </c>
      <c r="M466" s="973" t="inlineStr">
        <is>
          <t>Windows; macOS; Linux</t>
        </is>
      </c>
      <c r="N466" s="973" t="inlineStr">
        <is>
          <t>https://attack.mitre.org/techniques/T1203/</t>
        </is>
      </c>
      <c r="O466" s="973" t="n"/>
      <c r="P466" s="973" t="n"/>
    </row>
    <row r="467">
      <c r="A467" s="973" t="inlineStr">
        <is>
          <t>Malicious insider</t>
        </is>
      </c>
      <c r="B467" s="973" t="inlineStr">
        <is>
          <t>Sensitive-data compromise</t>
        </is>
      </c>
      <c r="C467" s="973" t="inlineStr">
        <is>
          <t>User endpoint and social engineering</t>
        </is>
      </c>
      <c r="D467" s="973" t="inlineStr">
        <is>
          <t>T1059</t>
        </is>
      </c>
      <c r="E467" s="973" t="inlineStr">
        <is>
          <t>Command and Scripting Interpreter</t>
        </is>
      </c>
      <c r="F467" s="973" t="inlineStr">
        <is>
          <t>S2</t>
        </is>
      </c>
      <c r="G467" s="973" t="b">
        <v>1</v>
      </c>
      <c r="H467" s="973" t="b">
        <v>1</v>
      </c>
      <c r="I467" s="973" t="b">
        <v>1</v>
      </c>
      <c r="J467" s="973" t="n">
        <v>0.9</v>
      </c>
      <c r="K467" s="973" t="n">
        <v>0.1875</v>
      </c>
      <c r="L467" s="973" t="n">
        <v>0.1875</v>
      </c>
      <c r="M467" s="973" t="inlineStr">
        <is>
          <t>Windows; macOS; Linux; IaaS</t>
        </is>
      </c>
      <c r="N467" s="973" t="inlineStr">
        <is>
          <t>https://attack.mitre.org/techniques/T1059/</t>
        </is>
      </c>
      <c r="O467" s="973" t="n"/>
      <c r="P467" s="973" t="n"/>
    </row>
    <row r="468">
      <c r="A468" s="973" t="inlineStr">
        <is>
          <t>Malicious insider</t>
        </is>
      </c>
      <c r="B468" s="973" t="inlineStr">
        <is>
          <t>Sensitive-data compromise</t>
        </is>
      </c>
      <c r="C468" s="973" t="inlineStr">
        <is>
          <t>User endpoint and social engineering</t>
        </is>
      </c>
      <c r="D468" s="973" t="inlineStr">
        <is>
          <t>T1068</t>
        </is>
      </c>
      <c r="E468" s="973" t="inlineStr">
        <is>
          <t>Exploitation for Privilege Escalation</t>
        </is>
      </c>
      <c r="F468" s="973" t="inlineStr">
        <is>
          <t>S3</t>
        </is>
      </c>
      <c r="G468" s="973" t="b">
        <v>1</v>
      </c>
      <c r="H468" s="973" t="b">
        <v>1</v>
      </c>
      <c r="I468" s="973" t="b">
        <v>1</v>
      </c>
      <c r="J468" s="973" t="n">
        <v>0.7</v>
      </c>
      <c r="K468" s="973" t="n">
        <v>0.2094165115356445</v>
      </c>
      <c r="L468" s="973" t="n">
        <v>0.2094165115356445</v>
      </c>
      <c r="M468" s="973" t="inlineStr">
        <is>
          <t>Windows; macOS; Linux</t>
        </is>
      </c>
      <c r="N468" s="973" t="inlineStr">
        <is>
          <t>https://attack.mitre.org/techniques/T1068/</t>
        </is>
      </c>
      <c r="O468" s="973" t="n"/>
      <c r="P468" s="973" t="n"/>
    </row>
    <row r="469">
      <c r="A469" s="973" t="inlineStr">
        <is>
          <t>Malicious insider</t>
        </is>
      </c>
      <c r="B469" s="973" t="inlineStr">
        <is>
          <t>Sensitive-data compromise</t>
        </is>
      </c>
      <c r="C469" s="973" t="inlineStr">
        <is>
          <t>User endpoint and social engineering</t>
        </is>
      </c>
      <c r="D469" s="973" t="inlineStr">
        <is>
          <t>T1003</t>
        </is>
      </c>
      <c r="E469" s="973" t="inlineStr">
        <is>
          <t>OS Credential Dumping</t>
        </is>
      </c>
      <c r="F469" s="973" t="inlineStr">
        <is>
          <t>S3</t>
        </is>
      </c>
      <c r="G469" s="973" t="b">
        <v>1</v>
      </c>
      <c r="H469" s="973" t="b">
        <v>1</v>
      </c>
      <c r="I469" s="973" t="b">
        <v>1</v>
      </c>
      <c r="J469" s="973" t="n">
        <v>0.8</v>
      </c>
      <c r="K469" s="973" t="n">
        <v>0.232294921875</v>
      </c>
      <c r="L469" s="973" t="n">
        <v>0.232294921875</v>
      </c>
      <c r="M469" s="973" t="inlineStr">
        <is>
          <t>Windows; Linux; macOS</t>
        </is>
      </c>
      <c r="N469" s="973" t="inlineStr">
        <is>
          <t>https://attack.mitre.org/techniques/T1003/</t>
        </is>
      </c>
      <c r="O469" s="973" t="n"/>
      <c r="P469" s="973" t="n"/>
    </row>
    <row r="470">
      <c r="A470" s="973" t="inlineStr">
        <is>
          <t>Malicious insider</t>
        </is>
      </c>
      <c r="B470" s="973" t="inlineStr">
        <is>
          <t>Sensitive-data compromise</t>
        </is>
      </c>
      <c r="C470" s="973" t="inlineStr">
        <is>
          <t>User endpoint and social engineering</t>
        </is>
      </c>
      <c r="D470" s="973" t="inlineStr">
        <is>
          <t>T1046</t>
        </is>
      </c>
      <c r="E470" s="973" t="inlineStr">
        <is>
          <t>Network Service Discovery</t>
        </is>
      </c>
      <c r="F470" s="973" t="inlineStr">
        <is>
          <t>S4</t>
        </is>
      </c>
      <c r="G470" s="973" t="b">
        <v>1</v>
      </c>
      <c r="H470" s="973" t="b">
        <v>1</v>
      </c>
      <c r="I470" s="973" t="b">
        <v>1</v>
      </c>
      <c r="J470" s="973" t="n">
        <v>0.6</v>
      </c>
      <c r="K470" s="973" t="n">
        <v>0.16875</v>
      </c>
      <c r="L470" s="973" t="n">
        <v>0.16875</v>
      </c>
      <c r="M470" s="973" t="inlineStr">
        <is>
          <t>Network Devices; Windows; Linux</t>
        </is>
      </c>
      <c r="N470" s="973" t="inlineStr">
        <is>
          <t>https://attack.mitre.org/techniques/T1046/</t>
        </is>
      </c>
      <c r="O470" s="973" t="n"/>
      <c r="P470" s="973" t="n"/>
    </row>
    <row r="471">
      <c r="A471" s="973" t="inlineStr">
        <is>
          <t>Malicious insider</t>
        </is>
      </c>
      <c r="B471" s="973" t="inlineStr">
        <is>
          <t>Sensitive-data compromise</t>
        </is>
      </c>
      <c r="C471" s="973" t="inlineStr">
        <is>
          <t>User endpoint and social engineering</t>
        </is>
      </c>
      <c r="D471" s="973" t="inlineStr">
        <is>
          <t>T1021</t>
        </is>
      </c>
      <c r="E471" s="973" t="inlineStr">
        <is>
          <t>Remote Services</t>
        </is>
      </c>
      <c r="F471" s="973" t="inlineStr">
        <is>
          <t>S4</t>
        </is>
      </c>
      <c r="G471" s="973" t="b">
        <v>1</v>
      </c>
      <c r="H471" s="973" t="b">
        <v>1</v>
      </c>
      <c r="I471" s="973" t="b">
        <v>1</v>
      </c>
      <c r="J471" s="973" t="n">
        <v>0.8</v>
      </c>
      <c r="K471" s="973" t="n">
        <v>0.1875</v>
      </c>
      <c r="L471" s="973" t="n">
        <v>0.1875</v>
      </c>
      <c r="M471" s="973" t="inlineStr">
        <is>
          <t>Windows; Linux; Network Devices</t>
        </is>
      </c>
      <c r="N471" s="973" t="inlineStr">
        <is>
          <t>https://attack.mitre.org/techniques/T1021/</t>
        </is>
      </c>
      <c r="O471" s="973" t="n"/>
      <c r="P471" s="973" t="n"/>
    </row>
    <row r="472">
      <c r="A472" s="973" t="inlineStr">
        <is>
          <t>Malicious insider</t>
        </is>
      </c>
      <c r="B472" s="973" t="inlineStr">
        <is>
          <t>Sensitive-data compromise</t>
        </is>
      </c>
      <c r="C472" s="973" t="inlineStr">
        <is>
          <t>User endpoint and social engineering</t>
        </is>
      </c>
      <c r="D472" s="973" t="inlineStr">
        <is>
          <t>T1213</t>
        </is>
      </c>
      <c r="E472" s="973" t="inlineStr">
        <is>
          <t>Data from Information Repositories</t>
        </is>
      </c>
      <c r="F472" s="973" t="inlineStr">
        <is>
          <t>S4</t>
        </is>
      </c>
      <c r="G472" s="973" t="b">
        <v>1</v>
      </c>
      <c r="H472" s="973" t="b">
        <v>1</v>
      </c>
      <c r="I472" s="973" t="b">
        <v>1</v>
      </c>
      <c r="J472" s="973" t="n">
        <v>0.7</v>
      </c>
      <c r="K472" s="973" t="n">
        <v>0.177890625</v>
      </c>
      <c r="L472" s="973" t="n">
        <v>0.177890625</v>
      </c>
      <c r="M472" s="973" t="inlineStr">
        <is>
          <t>SaaS; Office Suite; Windows</t>
        </is>
      </c>
      <c r="N472" s="973" t="inlineStr">
        <is>
          <t>https://attack.mitre.org/techniques/T1213/</t>
        </is>
      </c>
      <c r="O472" s="973" t="n"/>
      <c r="P472" s="973" t="n"/>
    </row>
    <row r="473">
      <c r="A473" s="973" t="inlineStr">
        <is>
          <t>Malicious insider</t>
        </is>
      </c>
      <c r="B473" s="973" t="inlineStr">
        <is>
          <t>Sensitive-data compromise</t>
        </is>
      </c>
      <c r="C473" s="973" t="inlineStr">
        <is>
          <t>User endpoint and social engineering</t>
        </is>
      </c>
      <c r="D473" s="973" t="inlineStr">
        <is>
          <t>T1486</t>
        </is>
      </c>
      <c r="E473" s="973" t="inlineStr">
        <is>
          <t>Data Encrypted for Impact</t>
        </is>
      </c>
      <c r="F473" s="973" t="inlineStr">
        <is>
          <t>S5</t>
        </is>
      </c>
      <c r="G473" s="973" t="b">
        <v>1</v>
      </c>
      <c r="H473" s="973" t="b">
        <v>0</v>
      </c>
      <c r="I473" s="973" t="b">
        <v>0</v>
      </c>
      <c r="J473" s="973" t="n">
        <v>0.8</v>
      </c>
      <c r="K473" s="973" t="n">
        <v>0.16875</v>
      </c>
      <c r="L473" s="973" t="n">
        <v>0.16875</v>
      </c>
      <c r="M473" s="973" t="inlineStr">
        <is>
          <t>Windows; Linux; IaaS</t>
        </is>
      </c>
      <c r="N473" s="973" t="inlineStr">
        <is>
          <t>https://attack.mitre.org/techniques/T1486/</t>
        </is>
      </c>
      <c r="O473" s="973" t="n"/>
      <c r="P473" s="973" t="n"/>
    </row>
    <row r="474">
      <c r="A474" s="973" t="inlineStr">
        <is>
          <t>Malicious insider</t>
        </is>
      </c>
      <c r="B474" s="973" t="inlineStr">
        <is>
          <t>Sensitive-data compromise</t>
        </is>
      </c>
      <c r="C474" s="973" t="inlineStr">
        <is>
          <t>User endpoint and social engineering</t>
        </is>
      </c>
      <c r="D474" s="973" t="inlineStr">
        <is>
          <t>T1490</t>
        </is>
      </c>
      <c r="E474" s="973" t="inlineStr">
        <is>
          <t>Inhibit System Recovery</t>
        </is>
      </c>
      <c r="F474" s="973" t="inlineStr">
        <is>
          <t>S5</t>
        </is>
      </c>
      <c r="G474" s="973" t="b">
        <v>1</v>
      </c>
      <c r="H474" s="973" t="b">
        <v>0</v>
      </c>
      <c r="I474" s="973" t="b">
        <v>0</v>
      </c>
      <c r="J474" s="973" t="n">
        <v>0.7</v>
      </c>
      <c r="K474" s="973" t="n">
        <v>0</v>
      </c>
      <c r="L474" s="973" t="n">
        <v>0</v>
      </c>
      <c r="M474" s="973" t="inlineStr">
        <is>
          <t>Windows; Linux; IaaS</t>
        </is>
      </c>
      <c r="N474" s="973" t="inlineStr">
        <is>
          <t>https://attack.mitre.org/techniques/T1490/</t>
        </is>
      </c>
      <c r="O474" s="973" t="n"/>
      <c r="P474" s="973" t="n"/>
    </row>
    <row r="475">
      <c r="A475" s="973" t="inlineStr">
        <is>
          <t>Malicious insider</t>
        </is>
      </c>
      <c r="B475" s="973" t="inlineStr">
        <is>
          <t>Sensitive-data compromise</t>
        </is>
      </c>
      <c r="C475" s="973" t="inlineStr">
        <is>
          <t>User endpoint and social engineering</t>
        </is>
      </c>
      <c r="D475" s="973" t="inlineStr">
        <is>
          <t>T1567</t>
        </is>
      </c>
      <c r="E475" s="973" t="inlineStr">
        <is>
          <t>Exfiltration Over Web Service</t>
        </is>
      </c>
      <c r="F475" s="973" t="inlineStr">
        <is>
          <t>S5</t>
        </is>
      </c>
      <c r="G475" s="973" t="b">
        <v>1</v>
      </c>
      <c r="H475" s="973" t="b">
        <v>1</v>
      </c>
      <c r="I475" s="973" t="b">
        <v>1</v>
      </c>
      <c r="J475" s="973" t="n">
        <v>0.7</v>
      </c>
      <c r="K475" s="973" t="n">
        <v>0.20625</v>
      </c>
      <c r="L475" s="973" t="n">
        <v>0.20625</v>
      </c>
      <c r="M475" s="973" t="inlineStr">
        <is>
          <t>SaaS; Office Suite</t>
        </is>
      </c>
      <c r="N475" s="973" t="inlineStr">
        <is>
          <t>https://attack.mitre.org/techniques/T1567/</t>
        </is>
      </c>
      <c r="O475" s="973" t="n"/>
      <c r="P475" s="973" t="n"/>
    </row>
    <row r="476">
      <c r="A476" s="973" t="inlineStr">
        <is>
          <t>Malicious insider</t>
        </is>
      </c>
      <c r="B476" s="973" t="inlineStr">
        <is>
          <t>Sensitive-data compromise</t>
        </is>
      </c>
      <c r="C476" s="973" t="inlineStr">
        <is>
          <t>User endpoint and social engineering</t>
        </is>
      </c>
      <c r="D476" s="973" t="inlineStr">
        <is>
          <t>T1657</t>
        </is>
      </c>
      <c r="E476" s="973" t="inlineStr">
        <is>
          <t>Financial Theft</t>
        </is>
      </c>
      <c r="F476" s="973" t="inlineStr">
        <is>
          <t>S5</t>
        </is>
      </c>
      <c r="G476" s="973" t="b">
        <v>1</v>
      </c>
      <c r="H476" s="973" t="b">
        <v>0</v>
      </c>
      <c r="I476" s="973" t="b">
        <v>0</v>
      </c>
      <c r="J476" s="973" t="n">
        <v>0.5</v>
      </c>
      <c r="K476" s="973" t="n">
        <v>0.275654296875</v>
      </c>
      <c r="L476" s="973" t="n">
        <v>0.275654296875</v>
      </c>
      <c r="M476" s="973" t="inlineStr">
        <is>
          <t>SaaS; Office Suite; Identity Provider</t>
        </is>
      </c>
      <c r="N476" s="973" t="inlineStr">
        <is>
          <t>https://attack.mitre.org/techniques/T1657/</t>
        </is>
      </c>
      <c r="O476" s="973" t="n"/>
      <c r="P476" s="973" t="n"/>
    </row>
    <row r="477">
      <c r="A477" s="973" t="inlineStr">
        <is>
          <t>Malicious insider</t>
        </is>
      </c>
      <c r="B477" s="973" t="inlineStr">
        <is>
          <t>Sensitive-data compromise</t>
        </is>
      </c>
      <c r="C477" s="973" t="inlineStr">
        <is>
          <t>User endpoint and social engineering</t>
        </is>
      </c>
      <c r="D477" s="973" t="inlineStr">
        <is>
          <t>T1565</t>
        </is>
      </c>
      <c r="E477" s="973" t="inlineStr">
        <is>
          <t>Data Manipulation</t>
        </is>
      </c>
      <c r="F477" s="973" t="inlineStr">
        <is>
          <t>S5</t>
        </is>
      </c>
      <c r="G477" s="973" t="b">
        <v>1</v>
      </c>
      <c r="H477" s="973" t="b">
        <v>0</v>
      </c>
      <c r="I477" s="973" t="b">
        <v>0</v>
      </c>
      <c r="J477" s="973" t="n">
        <v>0.5</v>
      </c>
      <c r="K477" s="973" t="n">
        <v>0.2206064987182617</v>
      </c>
      <c r="L477" s="973" t="n">
        <v>0.2206064987182617</v>
      </c>
      <c r="M477" s="973" t="inlineStr">
        <is>
          <t>SaaS; Databases; Windows</t>
        </is>
      </c>
      <c r="N477" s="973" t="inlineStr">
        <is>
          <t>https://attack.mitre.org/techniques/T1565/</t>
        </is>
      </c>
      <c r="O477" s="973" t="n"/>
      <c r="P477" s="973" t="n"/>
    </row>
    <row r="478">
      <c r="A478" s="973" t="inlineStr">
        <is>
          <t>Malicious insider</t>
        </is>
      </c>
      <c r="B478" s="973" t="inlineStr">
        <is>
          <t>Sensitive-data compromise</t>
        </is>
      </c>
      <c r="C478" s="973" t="inlineStr">
        <is>
          <t>Public-facing application exploitation</t>
        </is>
      </c>
      <c r="D478" s="973" t="inlineStr">
        <is>
          <t>T1190</t>
        </is>
      </c>
      <c r="E478" s="973" t="inlineStr">
        <is>
          <t>Exploit Public-Facing Application</t>
        </is>
      </c>
      <c r="F478" s="973" t="inlineStr">
        <is>
          <t>S1</t>
        </is>
      </c>
      <c r="G478" s="973" t="b">
        <v>0</v>
      </c>
      <c r="H478" s="973" t="b">
        <v>1</v>
      </c>
      <c r="I478" s="973" t="b">
        <v>0</v>
      </c>
      <c r="J478" s="973" t="n">
        <v>1</v>
      </c>
      <c r="K478" s="973" t="n">
        <v>0.2496630477905274</v>
      </c>
      <c r="L478" s="973" t="n">
        <v>0.2496630477905274</v>
      </c>
      <c r="M478" s="973" t="inlineStr">
        <is>
          <t>Network Devices; SaaS; IaaS</t>
        </is>
      </c>
      <c r="N478" s="973" t="inlineStr">
        <is>
          <t>https://attack.mitre.org/techniques/T1190/</t>
        </is>
      </c>
      <c r="O478" s="973" t="n"/>
      <c r="P478" s="973" t="n"/>
    </row>
    <row r="479">
      <c r="A479" s="973" t="inlineStr">
        <is>
          <t>Malicious insider</t>
        </is>
      </c>
      <c r="B479" s="973" t="inlineStr">
        <is>
          <t>Sensitive-data compromise</t>
        </is>
      </c>
      <c r="C479" s="973" t="inlineStr">
        <is>
          <t>Public-facing application exploitation</t>
        </is>
      </c>
      <c r="D479" s="973" t="inlineStr">
        <is>
          <t>T1059</t>
        </is>
      </c>
      <c r="E479" s="973" t="inlineStr">
        <is>
          <t>Command and Scripting Interpreter</t>
        </is>
      </c>
      <c r="F479" s="973" t="inlineStr">
        <is>
          <t>S2</t>
        </is>
      </c>
      <c r="G479" s="973" t="b">
        <v>1</v>
      </c>
      <c r="H479" s="973" t="b">
        <v>1</v>
      </c>
      <c r="I479" s="973" t="b">
        <v>1</v>
      </c>
      <c r="J479" s="973" t="n">
        <v>0.8</v>
      </c>
      <c r="K479" s="973" t="n">
        <v>0.1875</v>
      </c>
      <c r="L479" s="973" t="n">
        <v>0.1875</v>
      </c>
      <c r="M479" s="973" t="inlineStr">
        <is>
          <t>Windows; macOS; Linux; IaaS</t>
        </is>
      </c>
      <c r="N479" s="973" t="inlineStr">
        <is>
          <t>https://attack.mitre.org/techniques/T1059/</t>
        </is>
      </c>
      <c r="O479" s="973" t="n"/>
      <c r="P479" s="973" t="n"/>
    </row>
    <row r="480">
      <c r="A480" s="973" t="inlineStr">
        <is>
          <t>Malicious insider</t>
        </is>
      </c>
      <c r="B480" s="973" t="inlineStr">
        <is>
          <t>Sensitive-data compromise</t>
        </is>
      </c>
      <c r="C480" s="973" t="inlineStr">
        <is>
          <t>Public-facing application exploitation</t>
        </is>
      </c>
      <c r="D480" s="973" t="inlineStr">
        <is>
          <t>T1068</t>
        </is>
      </c>
      <c r="E480" s="973" t="inlineStr">
        <is>
          <t>Exploitation for Privilege Escalation</t>
        </is>
      </c>
      <c r="F480" s="973" t="inlineStr">
        <is>
          <t>S3</t>
        </is>
      </c>
      <c r="G480" s="973" t="b">
        <v>1</v>
      </c>
      <c r="H480" s="973" t="b">
        <v>1</v>
      </c>
      <c r="I480" s="973" t="b">
        <v>1</v>
      </c>
      <c r="J480" s="973" t="n">
        <v>0.7</v>
      </c>
      <c r="K480" s="973" t="n">
        <v>0.2094165115356445</v>
      </c>
      <c r="L480" s="973" t="n">
        <v>0.2094165115356445</v>
      </c>
      <c r="M480" s="973" t="inlineStr">
        <is>
          <t>Windows; macOS; Linux</t>
        </is>
      </c>
      <c r="N480" s="973" t="inlineStr">
        <is>
          <t>https://attack.mitre.org/techniques/T1068/</t>
        </is>
      </c>
      <c r="O480" s="973" t="n"/>
      <c r="P480" s="973" t="n"/>
    </row>
    <row r="481">
      <c r="A481" s="973" t="inlineStr">
        <is>
          <t>Malicious insider</t>
        </is>
      </c>
      <c r="B481" s="973" t="inlineStr">
        <is>
          <t>Sensitive-data compromise</t>
        </is>
      </c>
      <c r="C481" s="973" t="inlineStr">
        <is>
          <t>Public-facing application exploitation</t>
        </is>
      </c>
      <c r="D481" s="973" t="inlineStr">
        <is>
          <t>T1003</t>
        </is>
      </c>
      <c r="E481" s="973" t="inlineStr">
        <is>
          <t>OS Credential Dumping</t>
        </is>
      </c>
      <c r="F481" s="973" t="inlineStr">
        <is>
          <t>S3</t>
        </is>
      </c>
      <c r="G481" s="973" t="b">
        <v>1</v>
      </c>
      <c r="H481" s="973" t="b">
        <v>1</v>
      </c>
      <c r="I481" s="973" t="b">
        <v>1</v>
      </c>
      <c r="J481" s="973" t="n">
        <v>0.6</v>
      </c>
      <c r="K481" s="973" t="n">
        <v>0.232294921875</v>
      </c>
      <c r="L481" s="973" t="n">
        <v>0.232294921875</v>
      </c>
      <c r="M481" s="973" t="inlineStr">
        <is>
          <t>Windows; Linux; macOS</t>
        </is>
      </c>
      <c r="N481" s="973" t="inlineStr">
        <is>
          <t>https://attack.mitre.org/techniques/T1003/</t>
        </is>
      </c>
      <c r="O481" s="973" t="n"/>
      <c r="P481" s="973" t="n"/>
    </row>
    <row r="482">
      <c r="A482" s="973" t="inlineStr">
        <is>
          <t>Malicious insider</t>
        </is>
      </c>
      <c r="B482" s="973" t="inlineStr">
        <is>
          <t>Sensitive-data compromise</t>
        </is>
      </c>
      <c r="C482" s="973" t="inlineStr">
        <is>
          <t>Public-facing application exploitation</t>
        </is>
      </c>
      <c r="D482" s="973" t="inlineStr">
        <is>
          <t>T1046</t>
        </is>
      </c>
      <c r="E482" s="973" t="inlineStr">
        <is>
          <t>Network Service Discovery</t>
        </is>
      </c>
      <c r="F482" s="973" t="inlineStr">
        <is>
          <t>S4</t>
        </is>
      </c>
      <c r="G482" s="973" t="b">
        <v>1</v>
      </c>
      <c r="H482" s="973" t="b">
        <v>1</v>
      </c>
      <c r="I482" s="973" t="b">
        <v>1</v>
      </c>
      <c r="J482" s="973" t="n">
        <v>0.7</v>
      </c>
      <c r="K482" s="973" t="n">
        <v>0.16875</v>
      </c>
      <c r="L482" s="973" t="n">
        <v>0.16875</v>
      </c>
      <c r="M482" s="973" t="inlineStr">
        <is>
          <t>Network Devices; Windows; Linux</t>
        </is>
      </c>
      <c r="N482" s="973" t="inlineStr">
        <is>
          <t>https://attack.mitre.org/techniques/T1046/</t>
        </is>
      </c>
      <c r="O482" s="973" t="n"/>
      <c r="P482" s="973" t="n"/>
    </row>
    <row r="483">
      <c r="A483" s="973" t="inlineStr">
        <is>
          <t>Malicious insider</t>
        </is>
      </c>
      <c r="B483" s="973" t="inlineStr">
        <is>
          <t>Sensitive-data compromise</t>
        </is>
      </c>
      <c r="C483" s="973" t="inlineStr">
        <is>
          <t>Public-facing application exploitation</t>
        </is>
      </c>
      <c r="D483" s="973" t="inlineStr">
        <is>
          <t>T1210</t>
        </is>
      </c>
      <c r="E483" s="973" t="inlineStr">
        <is>
          <t>Exploitation of Remote Services</t>
        </is>
      </c>
      <c r="F483" s="973" t="inlineStr">
        <is>
          <t>S4</t>
        </is>
      </c>
      <c r="G483" s="973" t="b">
        <v>1</v>
      </c>
      <c r="H483" s="973" t="b">
        <v>1</v>
      </c>
      <c r="I483" s="973" t="b">
        <v>1</v>
      </c>
      <c r="J483" s="973" t="n">
        <v>0.9</v>
      </c>
      <c r="K483" s="973" t="n">
        <v>0.2103495368957519</v>
      </c>
      <c r="L483" s="973" t="n">
        <v>0.2103495368957519</v>
      </c>
      <c r="M483" s="973" t="inlineStr">
        <is>
          <t>Windows; Linux; Network Devices</t>
        </is>
      </c>
      <c r="N483" s="973" t="inlineStr">
        <is>
          <t>https://attack.mitre.org/techniques/T1210/</t>
        </is>
      </c>
      <c r="O483" s="973" t="n"/>
      <c r="P483" s="973" t="n"/>
    </row>
    <row r="484">
      <c r="A484" s="973" t="inlineStr">
        <is>
          <t>Malicious insider</t>
        </is>
      </c>
      <c r="B484" s="973" t="inlineStr">
        <is>
          <t>Sensitive-data compromise</t>
        </is>
      </c>
      <c r="C484" s="973" t="inlineStr">
        <is>
          <t>Public-facing application exploitation</t>
        </is>
      </c>
      <c r="D484" s="973" t="inlineStr">
        <is>
          <t>T1021</t>
        </is>
      </c>
      <c r="E484" s="973" t="inlineStr">
        <is>
          <t>Remote Services</t>
        </is>
      </c>
      <c r="F484" s="973" t="inlineStr">
        <is>
          <t>S4</t>
        </is>
      </c>
      <c r="G484" s="973" t="b">
        <v>1</v>
      </c>
      <c r="H484" s="973" t="b">
        <v>1</v>
      </c>
      <c r="I484" s="973" t="b">
        <v>1</v>
      </c>
      <c r="J484" s="973" t="n">
        <v>0.7</v>
      </c>
      <c r="K484" s="973" t="n">
        <v>0.1875</v>
      </c>
      <c r="L484" s="973" t="n">
        <v>0.1875</v>
      </c>
      <c r="M484" s="973" t="inlineStr">
        <is>
          <t>Windows; Linux; Network Devices</t>
        </is>
      </c>
      <c r="N484" s="973" t="inlineStr">
        <is>
          <t>https://attack.mitre.org/techniques/T1021/</t>
        </is>
      </c>
      <c r="O484" s="973" t="n"/>
      <c r="P484" s="973" t="n"/>
    </row>
    <row r="485">
      <c r="A485" s="973" t="inlineStr">
        <is>
          <t>Malicious insider</t>
        </is>
      </c>
      <c r="B485" s="973" t="inlineStr">
        <is>
          <t>Sensitive-data compromise</t>
        </is>
      </c>
      <c r="C485" s="973" t="inlineStr">
        <is>
          <t>Public-facing application exploitation</t>
        </is>
      </c>
      <c r="D485" s="973" t="inlineStr">
        <is>
          <t>T1486</t>
        </is>
      </c>
      <c r="E485" s="973" t="inlineStr">
        <is>
          <t>Data Encrypted for Impact</t>
        </is>
      </c>
      <c r="F485" s="973" t="inlineStr">
        <is>
          <t>S5</t>
        </is>
      </c>
      <c r="G485" s="973" t="b">
        <v>1</v>
      </c>
      <c r="H485" s="973" t="b">
        <v>0</v>
      </c>
      <c r="I485" s="973" t="b">
        <v>0</v>
      </c>
      <c r="J485" s="973" t="n">
        <v>0.6</v>
      </c>
      <c r="K485" s="973" t="n">
        <v>0.16875</v>
      </c>
      <c r="L485" s="973" t="n">
        <v>0.16875</v>
      </c>
      <c r="M485" s="973" t="inlineStr">
        <is>
          <t>Windows; Linux; IaaS</t>
        </is>
      </c>
      <c r="N485" s="973" t="inlineStr">
        <is>
          <t>https://attack.mitre.org/techniques/T1486/</t>
        </is>
      </c>
      <c r="O485" s="973" t="n"/>
      <c r="P485" s="973" t="n"/>
    </row>
    <row r="486">
      <c r="A486" s="973" t="inlineStr">
        <is>
          <t>Malicious insider</t>
        </is>
      </c>
      <c r="B486" s="973" t="inlineStr">
        <is>
          <t>Sensitive-data compromise</t>
        </is>
      </c>
      <c r="C486" s="973" t="inlineStr">
        <is>
          <t>Public-facing application exploitation</t>
        </is>
      </c>
      <c r="D486" s="973" t="inlineStr">
        <is>
          <t>T1490</t>
        </is>
      </c>
      <c r="E486" s="973" t="inlineStr">
        <is>
          <t>Inhibit System Recovery</t>
        </is>
      </c>
      <c r="F486" s="973" t="inlineStr">
        <is>
          <t>S5</t>
        </is>
      </c>
      <c r="G486" s="973" t="b">
        <v>1</v>
      </c>
      <c r="H486" s="973" t="b">
        <v>0</v>
      </c>
      <c r="I486" s="973" t="b">
        <v>0</v>
      </c>
      <c r="J486" s="973" t="n">
        <v>0.5</v>
      </c>
      <c r="K486" s="973" t="n">
        <v>0</v>
      </c>
      <c r="L486" s="973" t="n">
        <v>0</v>
      </c>
      <c r="M486" s="973" t="inlineStr">
        <is>
          <t>Windows; Linux; IaaS</t>
        </is>
      </c>
      <c r="N486" s="973" t="inlineStr">
        <is>
          <t>https://attack.mitre.org/techniques/T1490/</t>
        </is>
      </c>
      <c r="O486" s="973" t="n"/>
      <c r="P486" s="973" t="n"/>
    </row>
    <row r="487">
      <c r="A487" s="973" t="inlineStr">
        <is>
          <t>Malicious insider</t>
        </is>
      </c>
      <c r="B487" s="973" t="inlineStr">
        <is>
          <t>Sensitive-data compromise</t>
        </is>
      </c>
      <c r="C487" s="973" t="inlineStr">
        <is>
          <t>Public-facing application exploitation</t>
        </is>
      </c>
      <c r="D487" s="973" t="inlineStr">
        <is>
          <t>T1567</t>
        </is>
      </c>
      <c r="E487" s="973" t="inlineStr">
        <is>
          <t>Exfiltration Over Web Service</t>
        </is>
      </c>
      <c r="F487" s="973" t="inlineStr">
        <is>
          <t>S5</t>
        </is>
      </c>
      <c r="G487" s="973" t="b">
        <v>1</v>
      </c>
      <c r="H487" s="973" t="b">
        <v>1</v>
      </c>
      <c r="I487" s="973" t="b">
        <v>1</v>
      </c>
      <c r="J487" s="973" t="n">
        <v>0.6</v>
      </c>
      <c r="K487" s="973" t="n">
        <v>0.20625</v>
      </c>
      <c r="L487" s="973" t="n">
        <v>0.20625</v>
      </c>
      <c r="M487" s="973" t="inlineStr">
        <is>
          <t>SaaS; Office Suite</t>
        </is>
      </c>
      <c r="N487" s="973" t="inlineStr">
        <is>
          <t>https://attack.mitre.org/techniques/T1567/</t>
        </is>
      </c>
      <c r="O487" s="973" t="n"/>
      <c r="P487" s="973" t="n"/>
    </row>
    <row r="488">
      <c r="A488" s="973" t="inlineStr">
        <is>
          <t>Malicious insider</t>
        </is>
      </c>
      <c r="B488" s="973" t="inlineStr">
        <is>
          <t>Sensitive-data compromise</t>
        </is>
      </c>
      <c r="C488" s="973" t="inlineStr">
        <is>
          <t>Public-facing application exploitation</t>
        </is>
      </c>
      <c r="D488" s="973" t="inlineStr">
        <is>
          <t>T1565</t>
        </is>
      </c>
      <c r="E488" s="973" t="inlineStr">
        <is>
          <t>Data Manipulation</t>
        </is>
      </c>
      <c r="F488" s="973" t="inlineStr">
        <is>
          <t>S5</t>
        </is>
      </c>
      <c r="G488" s="973" t="b">
        <v>1</v>
      </c>
      <c r="H488" s="973" t="b">
        <v>0</v>
      </c>
      <c r="I488" s="973" t="b">
        <v>0</v>
      </c>
      <c r="J488" s="973" t="n">
        <v>0.6</v>
      </c>
      <c r="K488" s="973" t="n">
        <v>0.2206064987182617</v>
      </c>
      <c r="L488" s="973" t="n">
        <v>0.2206064987182617</v>
      </c>
      <c r="M488" s="973" t="inlineStr">
        <is>
          <t>SaaS; Databases; Windows</t>
        </is>
      </c>
      <c r="N488" s="973" t="inlineStr">
        <is>
          <t>https://attack.mitre.org/techniques/T1565/</t>
        </is>
      </c>
      <c r="O488" s="973" t="n"/>
      <c r="P488" s="973" t="n"/>
    </row>
    <row r="489">
      <c r="A489" s="973" t="inlineStr">
        <is>
          <t>Malicious insider</t>
        </is>
      </c>
      <c r="B489" s="973" t="inlineStr">
        <is>
          <t>Sensitive-data compromise</t>
        </is>
      </c>
      <c r="C489" s="973" t="inlineStr">
        <is>
          <t>Public-facing application exploitation</t>
        </is>
      </c>
      <c r="D489" s="973" t="inlineStr">
        <is>
          <t>T1657</t>
        </is>
      </c>
      <c r="E489" s="973" t="inlineStr">
        <is>
          <t>Financial Theft</t>
        </is>
      </c>
      <c r="F489" s="973" t="inlineStr">
        <is>
          <t>S5</t>
        </is>
      </c>
      <c r="G489" s="973" t="b">
        <v>1</v>
      </c>
      <c r="H489" s="973" t="b">
        <v>0</v>
      </c>
      <c r="I489" s="973" t="b">
        <v>0</v>
      </c>
      <c r="J489" s="973" t="n">
        <v>0.4</v>
      </c>
      <c r="K489" s="973" t="n">
        <v>0.275654296875</v>
      </c>
      <c r="L489" s="973" t="n">
        <v>0.275654296875</v>
      </c>
      <c r="M489" s="973" t="inlineStr">
        <is>
          <t>SaaS; Office Suite; Identity Provider</t>
        </is>
      </c>
      <c r="N489" s="973" t="inlineStr">
        <is>
          <t>https://attack.mitre.org/techniques/T1657/</t>
        </is>
      </c>
      <c r="O489" s="973" t="n"/>
      <c r="P489" s="973" t="n"/>
    </row>
    <row r="490">
      <c r="A490" s="973" t="inlineStr">
        <is>
          <t>Malicious insider</t>
        </is>
      </c>
      <c r="B490" s="973" t="inlineStr">
        <is>
          <t>Sensitive-data compromise</t>
        </is>
      </c>
      <c r="C490" s="973" t="inlineStr">
        <is>
          <t>Third-party or software supply chain</t>
        </is>
      </c>
      <c r="D490" s="973" t="inlineStr">
        <is>
          <t>T1199</t>
        </is>
      </c>
      <c r="E490" s="973" t="inlineStr">
        <is>
          <t>Trusted Relationship</t>
        </is>
      </c>
      <c r="F490" s="973" t="inlineStr">
        <is>
          <t>S3</t>
        </is>
      </c>
      <c r="G490" s="973" t="b">
        <v>1</v>
      </c>
      <c r="H490" s="973" t="b">
        <v>1</v>
      </c>
      <c r="I490" s="973" t="b">
        <v>1</v>
      </c>
      <c r="J490" s="973" t="n">
        <v>1</v>
      </c>
      <c r="K490" s="973" t="n">
        <v>0.20625</v>
      </c>
      <c r="L490" s="973" t="n">
        <v>0.20625</v>
      </c>
      <c r="M490" s="973" t="inlineStr">
        <is>
          <t>SaaS; IaaS; Network Devices</t>
        </is>
      </c>
      <c r="N490" s="973" t="inlineStr">
        <is>
          <t>https://attack.mitre.org/techniques/T1199/</t>
        </is>
      </c>
      <c r="O490" s="973" t="n"/>
      <c r="P490" s="973" t="n"/>
    </row>
    <row r="491">
      <c r="A491" s="973" t="inlineStr">
        <is>
          <t>Malicious insider</t>
        </is>
      </c>
      <c r="B491" s="973" t="inlineStr">
        <is>
          <t>Sensitive-data compromise</t>
        </is>
      </c>
      <c r="C491" s="973" t="inlineStr">
        <is>
          <t>Third-party or software supply chain</t>
        </is>
      </c>
      <c r="D491" s="973" t="inlineStr">
        <is>
          <t>T1098</t>
        </is>
      </c>
      <c r="E491" s="973" t="inlineStr">
        <is>
          <t>Account Manipulation</t>
        </is>
      </c>
      <c r="F491" s="973" t="inlineStr">
        <is>
          <t>S3</t>
        </is>
      </c>
      <c r="G491" s="973" t="b">
        <v>1</v>
      </c>
      <c r="H491" s="973" t="b">
        <v>1</v>
      </c>
      <c r="I491" s="973" t="b">
        <v>1</v>
      </c>
      <c r="J491" s="973" t="n">
        <v>0.6</v>
      </c>
      <c r="K491" s="973" t="n">
        <v>0.2477547340393066</v>
      </c>
      <c r="L491" s="973" t="n">
        <v>0.2477547340393066</v>
      </c>
      <c r="M491" s="973" t="inlineStr">
        <is>
          <t>Identity Provider; SaaS; Windows</t>
        </is>
      </c>
      <c r="N491" s="973" t="inlineStr">
        <is>
          <t>https://attack.mitre.org/techniques/T1098/</t>
        </is>
      </c>
      <c r="O491" s="973" t="n"/>
      <c r="P491" s="973" t="n"/>
    </row>
    <row r="492">
      <c r="A492" s="973" t="inlineStr">
        <is>
          <t>Malicious insider</t>
        </is>
      </c>
      <c r="B492" s="973" t="inlineStr">
        <is>
          <t>Sensitive-data compromise</t>
        </is>
      </c>
      <c r="C492" s="973" t="inlineStr">
        <is>
          <t>Third-party or software supply chain</t>
        </is>
      </c>
      <c r="D492" s="973" t="inlineStr">
        <is>
          <t>T1087</t>
        </is>
      </c>
      <c r="E492" s="973" t="inlineStr">
        <is>
          <t>Account Discovery</t>
        </is>
      </c>
      <c r="F492" s="973" t="inlineStr">
        <is>
          <t>S4</t>
        </is>
      </c>
      <c r="G492" s="973" t="b">
        <v>1</v>
      </c>
      <c r="H492" s="973" t="b">
        <v>1</v>
      </c>
      <c r="I492" s="973" t="b">
        <v>1</v>
      </c>
      <c r="J492" s="973" t="n">
        <v>0.5</v>
      </c>
      <c r="K492" s="973" t="n">
        <v>0</v>
      </c>
      <c r="L492" s="973" t="n">
        <v>0</v>
      </c>
      <c r="M492" s="973" t="inlineStr">
        <is>
          <t>Identity Provider; SaaS; Windows</t>
        </is>
      </c>
      <c r="N492" s="973" t="inlineStr">
        <is>
          <t>https://attack.mitre.org/techniques/T1087/</t>
        </is>
      </c>
      <c r="O492" s="973" t="n"/>
      <c r="P492" s="973" t="n"/>
    </row>
    <row r="493">
      <c r="A493" s="973" t="inlineStr">
        <is>
          <t>Malicious insider</t>
        </is>
      </c>
      <c r="B493" s="973" t="inlineStr">
        <is>
          <t>Sensitive-data compromise</t>
        </is>
      </c>
      <c r="C493" s="973" t="inlineStr">
        <is>
          <t>Third-party or software supply chain</t>
        </is>
      </c>
      <c r="D493" s="973" t="inlineStr">
        <is>
          <t>T1213</t>
        </is>
      </c>
      <c r="E493" s="973" t="inlineStr">
        <is>
          <t>Data from Information Repositories</t>
        </is>
      </c>
      <c r="F493" s="973" t="inlineStr">
        <is>
          <t>S4</t>
        </is>
      </c>
      <c r="G493" s="973" t="b">
        <v>1</v>
      </c>
      <c r="H493" s="973" t="b">
        <v>1</v>
      </c>
      <c r="I493" s="973" t="b">
        <v>1</v>
      </c>
      <c r="J493" s="973" t="n">
        <v>0.7</v>
      </c>
      <c r="K493" s="973" t="n">
        <v>0.177890625</v>
      </c>
      <c r="L493" s="973" t="n">
        <v>0.177890625</v>
      </c>
      <c r="M493" s="973" t="inlineStr">
        <is>
          <t>SaaS; Office Suite; Windows</t>
        </is>
      </c>
      <c r="N493" s="973" t="inlineStr">
        <is>
          <t>https://attack.mitre.org/techniques/T1213/</t>
        </is>
      </c>
      <c r="O493" s="973" t="n"/>
      <c r="P493" s="973" t="n"/>
    </row>
    <row r="494">
      <c r="A494" s="973" t="inlineStr">
        <is>
          <t>Malicious insider</t>
        </is>
      </c>
      <c r="B494" s="973" t="inlineStr">
        <is>
          <t>Sensitive-data compromise</t>
        </is>
      </c>
      <c r="C494" s="973" t="inlineStr">
        <is>
          <t>Third-party or software supply chain</t>
        </is>
      </c>
      <c r="D494" s="973" t="inlineStr">
        <is>
          <t>T1567</t>
        </is>
      </c>
      <c r="E494" s="973" t="inlineStr">
        <is>
          <t>Exfiltration Over Web Service</t>
        </is>
      </c>
      <c r="F494" s="973" t="inlineStr">
        <is>
          <t>S5</t>
        </is>
      </c>
      <c r="G494" s="973" t="b">
        <v>1</v>
      </c>
      <c r="H494" s="973" t="b">
        <v>1</v>
      </c>
      <c r="I494" s="973" t="b">
        <v>1</v>
      </c>
      <c r="J494" s="973" t="n">
        <v>0.6</v>
      </c>
      <c r="K494" s="973" t="n">
        <v>0.20625</v>
      </c>
      <c r="L494" s="973" t="n">
        <v>0.20625</v>
      </c>
      <c r="M494" s="973" t="inlineStr">
        <is>
          <t>SaaS; Office Suite</t>
        </is>
      </c>
      <c r="N494" s="973" t="inlineStr">
        <is>
          <t>https://attack.mitre.org/techniques/T1567/</t>
        </is>
      </c>
      <c r="O494" s="973" t="n"/>
      <c r="P494" s="973" t="n"/>
    </row>
    <row r="495">
      <c r="A495" s="973" t="inlineStr">
        <is>
          <t>Malicious insider</t>
        </is>
      </c>
      <c r="B495" s="973" t="inlineStr">
        <is>
          <t>Sensitive-data compromise</t>
        </is>
      </c>
      <c r="C495" s="973" t="inlineStr">
        <is>
          <t>Third-party or software supply chain</t>
        </is>
      </c>
      <c r="D495" s="973" t="inlineStr">
        <is>
          <t>T1486</t>
        </is>
      </c>
      <c r="E495" s="973" t="inlineStr">
        <is>
          <t>Data Encrypted for Impact</t>
        </is>
      </c>
      <c r="F495" s="973" t="inlineStr">
        <is>
          <t>S5</t>
        </is>
      </c>
      <c r="G495" s="973" t="b">
        <v>1</v>
      </c>
      <c r="H495" s="973" t="b">
        <v>0</v>
      </c>
      <c r="I495" s="973" t="b">
        <v>0</v>
      </c>
      <c r="J495" s="973" t="n">
        <v>0.5</v>
      </c>
      <c r="K495" s="973" t="n">
        <v>0.16875</v>
      </c>
      <c r="L495" s="973" t="n">
        <v>0.16875</v>
      </c>
      <c r="M495" s="973" t="inlineStr">
        <is>
          <t>Windows; Linux; IaaS</t>
        </is>
      </c>
      <c r="N495" s="973" t="inlineStr">
        <is>
          <t>https://attack.mitre.org/techniques/T1486/</t>
        </is>
      </c>
      <c r="O495" s="973" t="n"/>
      <c r="P495" s="973" t="n"/>
    </row>
    <row r="496">
      <c r="A496" s="973" t="inlineStr">
        <is>
          <t>Malicious insider</t>
        </is>
      </c>
      <c r="B496" s="973" t="inlineStr">
        <is>
          <t>Sensitive-data compromise</t>
        </is>
      </c>
      <c r="C496" s="973" t="inlineStr">
        <is>
          <t>Third-party or software supply chain</t>
        </is>
      </c>
      <c r="D496" s="973" t="inlineStr">
        <is>
          <t>T1565</t>
        </is>
      </c>
      <c r="E496" s="973" t="inlineStr">
        <is>
          <t>Data Manipulation</t>
        </is>
      </c>
      <c r="F496" s="973" t="inlineStr">
        <is>
          <t>S5</t>
        </is>
      </c>
      <c r="G496" s="973" t="b">
        <v>1</v>
      </c>
      <c r="H496" s="973" t="b">
        <v>0</v>
      </c>
      <c r="I496" s="973" t="b">
        <v>0</v>
      </c>
      <c r="J496" s="973" t="n">
        <v>0.6</v>
      </c>
      <c r="K496" s="973" t="n">
        <v>0.2206064987182617</v>
      </c>
      <c r="L496" s="973" t="n">
        <v>0.2206064987182617</v>
      </c>
      <c r="M496" s="973" t="inlineStr">
        <is>
          <t>SaaS; Databases; Windows</t>
        </is>
      </c>
      <c r="N496" s="973" t="inlineStr">
        <is>
          <t>https://attack.mitre.org/techniques/T1565/</t>
        </is>
      </c>
      <c r="O496" s="973" t="n"/>
      <c r="P496" s="973" t="n"/>
    </row>
    <row r="497">
      <c r="A497" s="973" t="inlineStr">
        <is>
          <t>Malicious insider</t>
        </is>
      </c>
      <c r="B497" s="973" t="inlineStr">
        <is>
          <t>Sensitive-data compromise</t>
        </is>
      </c>
      <c r="C497" s="973" t="inlineStr">
        <is>
          <t>Third-party or software supply chain</t>
        </is>
      </c>
      <c r="D497" s="973" t="inlineStr">
        <is>
          <t>T1657</t>
        </is>
      </c>
      <c r="E497" s="973" t="inlineStr">
        <is>
          <t>Financial Theft</t>
        </is>
      </c>
      <c r="F497" s="973" t="inlineStr">
        <is>
          <t>S5</t>
        </is>
      </c>
      <c r="G497" s="973" t="b">
        <v>1</v>
      </c>
      <c r="H497" s="973" t="b">
        <v>0</v>
      </c>
      <c r="I497" s="973" t="b">
        <v>0</v>
      </c>
      <c r="J497" s="973" t="n">
        <v>0.5</v>
      </c>
      <c r="K497" s="973" t="n">
        <v>0.275654296875</v>
      </c>
      <c r="L497" s="973" t="n">
        <v>0.275654296875</v>
      </c>
      <c r="M497" s="973" t="inlineStr">
        <is>
          <t>SaaS; Office Suite; Identity Provider</t>
        </is>
      </c>
      <c r="N497" s="973" t="inlineStr">
        <is>
          <t>https://attack.mitre.org/techniques/T1657/</t>
        </is>
      </c>
      <c r="O497" s="973" t="n"/>
      <c r="P497" s="973" t="n"/>
    </row>
    <row r="498">
      <c r="A498" s="973" t="inlineStr">
        <is>
          <t>Malicious insider</t>
        </is>
      </c>
      <c r="B498" s="973" t="inlineStr">
        <is>
          <t>Sensitive-data compromise</t>
        </is>
      </c>
      <c r="C498" s="973" t="inlineStr">
        <is>
          <t>Insider or trusted access</t>
        </is>
      </c>
      <c r="D498" s="973" t="inlineStr">
        <is>
          <t>T1098</t>
        </is>
      </c>
      <c r="E498" s="973" t="inlineStr">
        <is>
          <t>Account Manipulation</t>
        </is>
      </c>
      <c r="F498" s="973" t="inlineStr">
        <is>
          <t>S3</t>
        </is>
      </c>
      <c r="G498" s="973" t="b">
        <v>1</v>
      </c>
      <c r="H498" s="973" t="b">
        <v>1</v>
      </c>
      <c r="I498" s="973" t="b">
        <v>1</v>
      </c>
      <c r="J498" s="973" t="n">
        <v>0.8</v>
      </c>
      <c r="K498" s="973" t="n">
        <v>0.2477547340393066</v>
      </c>
      <c r="L498" s="973" t="n">
        <v>0.2477547340393066</v>
      </c>
      <c r="M498" s="973" t="inlineStr">
        <is>
          <t>Identity Provider; SaaS; Windows</t>
        </is>
      </c>
      <c r="N498" s="973" t="inlineStr">
        <is>
          <t>https://attack.mitre.org/techniques/T1098/</t>
        </is>
      </c>
      <c r="O498" s="973" t="n"/>
      <c r="P498" s="973" t="n"/>
    </row>
    <row r="499">
      <c r="A499" s="973" t="inlineStr">
        <is>
          <t>Malicious insider</t>
        </is>
      </c>
      <c r="B499" s="973" t="inlineStr">
        <is>
          <t>Sensitive-data compromise</t>
        </is>
      </c>
      <c r="C499" s="973" t="inlineStr">
        <is>
          <t>Insider or trusted access</t>
        </is>
      </c>
      <c r="D499" s="973" t="inlineStr">
        <is>
          <t>T1087</t>
        </is>
      </c>
      <c r="E499" s="973" t="inlineStr">
        <is>
          <t>Account Discovery</t>
        </is>
      </c>
      <c r="F499" s="973" t="inlineStr">
        <is>
          <t>S4</t>
        </is>
      </c>
      <c r="G499" s="973" t="b">
        <v>1</v>
      </c>
      <c r="H499" s="973" t="b">
        <v>1</v>
      </c>
      <c r="I499" s="973" t="b">
        <v>1</v>
      </c>
      <c r="J499" s="973" t="n">
        <v>0.6</v>
      </c>
      <c r="K499" s="973" t="n">
        <v>0</v>
      </c>
      <c r="L499" s="973" t="n">
        <v>0</v>
      </c>
      <c r="M499" s="973" t="inlineStr">
        <is>
          <t>Identity Provider; SaaS; Windows</t>
        </is>
      </c>
      <c r="N499" s="973" t="inlineStr">
        <is>
          <t>https://attack.mitre.org/techniques/T1087/</t>
        </is>
      </c>
      <c r="O499" s="973" t="n"/>
      <c r="P499" s="973" t="n"/>
    </row>
    <row r="500">
      <c r="A500" s="973" t="inlineStr">
        <is>
          <t>Malicious insider</t>
        </is>
      </c>
      <c r="B500" s="973" t="inlineStr">
        <is>
          <t>Sensitive-data compromise</t>
        </is>
      </c>
      <c r="C500" s="973" t="inlineStr">
        <is>
          <t>Insider or trusted access</t>
        </is>
      </c>
      <c r="D500" s="973" t="inlineStr">
        <is>
          <t>T1213</t>
        </is>
      </c>
      <c r="E500" s="973" t="inlineStr">
        <is>
          <t>Data from Information Repositories</t>
        </is>
      </c>
      <c r="F500" s="973" t="inlineStr">
        <is>
          <t>S4</t>
        </is>
      </c>
      <c r="G500" s="973" t="b">
        <v>1</v>
      </c>
      <c r="H500" s="973" t="b">
        <v>1</v>
      </c>
      <c r="I500" s="973" t="b">
        <v>1</v>
      </c>
      <c r="J500" s="973" t="n">
        <v>0.9</v>
      </c>
      <c r="K500" s="973" t="n">
        <v>0.177890625</v>
      </c>
      <c r="L500" s="973" t="n">
        <v>0.177890625</v>
      </c>
      <c r="M500" s="973" t="inlineStr">
        <is>
          <t>SaaS; Office Suite; Windows</t>
        </is>
      </c>
      <c r="N500" s="973" t="inlineStr">
        <is>
          <t>https://attack.mitre.org/techniques/T1213/</t>
        </is>
      </c>
      <c r="O500" s="973" t="n"/>
      <c r="P500" s="973" t="n"/>
    </row>
    <row r="501">
      <c r="A501" s="973" t="inlineStr">
        <is>
          <t>Malicious insider</t>
        </is>
      </c>
      <c r="B501" s="973" t="inlineStr">
        <is>
          <t>Sensitive-data compromise</t>
        </is>
      </c>
      <c r="C501" s="973" t="inlineStr">
        <is>
          <t>Insider or trusted access</t>
        </is>
      </c>
      <c r="D501" s="973" t="inlineStr">
        <is>
          <t>T1567</t>
        </is>
      </c>
      <c r="E501" s="973" t="inlineStr">
        <is>
          <t>Exfiltration Over Web Service</t>
        </is>
      </c>
      <c r="F501" s="973" t="inlineStr">
        <is>
          <t>S5</t>
        </is>
      </c>
      <c r="G501" s="973" t="b">
        <v>1</v>
      </c>
      <c r="H501" s="973" t="b">
        <v>1</v>
      </c>
      <c r="I501" s="973" t="b">
        <v>1</v>
      </c>
      <c r="J501" s="973" t="n">
        <v>0.8</v>
      </c>
      <c r="K501" s="973" t="n">
        <v>0.20625</v>
      </c>
      <c r="L501" s="973" t="n">
        <v>0.20625</v>
      </c>
      <c r="M501" s="973" t="inlineStr">
        <is>
          <t>SaaS; Office Suite</t>
        </is>
      </c>
      <c r="N501" s="973" t="inlineStr">
        <is>
          <t>https://attack.mitre.org/techniques/T1567/</t>
        </is>
      </c>
      <c r="O501" s="973" t="n"/>
      <c r="P501" s="973" t="n"/>
    </row>
    <row r="502">
      <c r="A502" s="973" t="inlineStr">
        <is>
          <t>Malicious insider</t>
        </is>
      </c>
      <c r="B502" s="973" t="inlineStr">
        <is>
          <t>Sensitive-data compromise</t>
        </is>
      </c>
      <c r="C502" s="973" t="inlineStr">
        <is>
          <t>Insider or trusted access</t>
        </is>
      </c>
      <c r="D502" s="973" t="inlineStr">
        <is>
          <t>T1565</t>
        </is>
      </c>
      <c r="E502" s="973" t="inlineStr">
        <is>
          <t>Data Manipulation</t>
        </is>
      </c>
      <c r="F502" s="973" t="inlineStr">
        <is>
          <t>S5</t>
        </is>
      </c>
      <c r="G502" s="973" t="b">
        <v>1</v>
      </c>
      <c r="H502" s="973" t="b">
        <v>0</v>
      </c>
      <c r="I502" s="973" t="b">
        <v>0</v>
      </c>
      <c r="J502" s="973" t="n">
        <v>0.9</v>
      </c>
      <c r="K502" s="973" t="n">
        <v>0.2206064987182617</v>
      </c>
      <c r="L502" s="973" t="n">
        <v>0.2206064987182617</v>
      </c>
      <c r="M502" s="973" t="inlineStr">
        <is>
          <t>SaaS; Databases; Windows</t>
        </is>
      </c>
      <c r="N502" s="973" t="inlineStr">
        <is>
          <t>https://attack.mitre.org/techniques/T1565/</t>
        </is>
      </c>
      <c r="O502" s="973" t="n"/>
      <c r="P502" s="973" t="n"/>
    </row>
    <row r="503">
      <c r="A503" s="973" t="inlineStr">
        <is>
          <t>Malicious insider</t>
        </is>
      </c>
      <c r="B503" s="973" t="inlineStr">
        <is>
          <t>Sensitive-data compromise</t>
        </is>
      </c>
      <c r="C503" s="973" t="inlineStr">
        <is>
          <t>Insider or trusted access</t>
        </is>
      </c>
      <c r="D503" s="973" t="inlineStr">
        <is>
          <t>T1657</t>
        </is>
      </c>
      <c r="E503" s="973" t="inlineStr">
        <is>
          <t>Financial Theft</t>
        </is>
      </c>
      <c r="F503" s="973" t="inlineStr">
        <is>
          <t>S5</t>
        </is>
      </c>
      <c r="G503" s="973" t="b">
        <v>1</v>
      </c>
      <c r="H503" s="973" t="b">
        <v>0</v>
      </c>
      <c r="I503" s="973" t="b">
        <v>0</v>
      </c>
      <c r="J503" s="973" t="n">
        <v>0.9</v>
      </c>
      <c r="K503" s="973" t="n">
        <v>0.275654296875</v>
      </c>
      <c r="L503" s="973" t="n">
        <v>0.275654296875</v>
      </c>
      <c r="M503" s="973" t="inlineStr">
        <is>
          <t>SaaS; Office Suite; Identity Provider</t>
        </is>
      </c>
      <c r="N503" s="973" t="inlineStr">
        <is>
          <t>https://attack.mitre.org/techniques/T1657/</t>
        </is>
      </c>
      <c r="O503" s="973" t="n"/>
      <c r="P503" s="973" t="n"/>
    </row>
    <row r="504">
      <c r="A504" s="973" t="inlineStr">
        <is>
          <t>Malicious insider</t>
        </is>
      </c>
      <c r="B504" s="973" t="inlineStr">
        <is>
          <t>Data or transaction-integrity compromise</t>
        </is>
      </c>
      <c r="C504" s="973" t="inlineStr">
        <is>
          <t>Identity and credential compromise</t>
        </is>
      </c>
      <c r="D504" s="973" t="inlineStr">
        <is>
          <t>T1566</t>
        </is>
      </c>
      <c r="E504" s="973" t="inlineStr">
        <is>
          <t>Phishing</t>
        </is>
      </c>
      <c r="F504" s="973" t="inlineStr">
        <is>
          <t>S1</t>
        </is>
      </c>
      <c r="G504" s="973" t="b">
        <v>1</v>
      </c>
      <c r="H504" s="973" t="b">
        <v>1</v>
      </c>
      <c r="I504" s="973" t="b">
        <v>1</v>
      </c>
      <c r="J504" s="973" t="n">
        <v>1</v>
      </c>
      <c r="K504" s="973" t="n">
        <v>0.20625</v>
      </c>
      <c r="L504" s="973" t="n">
        <v>0.20625</v>
      </c>
      <c r="M504" s="973" t="inlineStr">
        <is>
          <t>Windows; SaaS; Office Suite</t>
        </is>
      </c>
      <c r="N504" s="973" t="inlineStr">
        <is>
          <t>https://attack.mitre.org/techniques/T1566/</t>
        </is>
      </c>
      <c r="O504" s="973" t="n"/>
      <c r="P504" s="973" t="n"/>
    </row>
    <row r="505">
      <c r="A505" s="973" t="inlineStr">
        <is>
          <t>Malicious insider</t>
        </is>
      </c>
      <c r="B505" s="973" t="inlineStr">
        <is>
          <t>Data or transaction-integrity compromise</t>
        </is>
      </c>
      <c r="C505" s="973" t="inlineStr">
        <is>
          <t>Identity and credential compromise</t>
        </is>
      </c>
      <c r="D505" s="973" t="inlineStr">
        <is>
          <t>T1078</t>
        </is>
      </c>
      <c r="E505" s="973" t="inlineStr">
        <is>
          <t>Valid Accounts</t>
        </is>
      </c>
      <c r="F505" s="973" t="inlineStr">
        <is>
          <t>S1</t>
        </is>
      </c>
      <c r="G505" s="973" t="b">
        <v>1</v>
      </c>
      <c r="H505" s="973" t="b">
        <v>1</v>
      </c>
      <c r="I505" s="973" t="b">
        <v>1</v>
      </c>
      <c r="J505" s="973" t="n">
        <v>1</v>
      </c>
      <c r="K505" s="973" t="n">
        <v>0.272109375</v>
      </c>
      <c r="L505" s="973" t="n">
        <v>0.272109375</v>
      </c>
      <c r="M505" s="973" t="inlineStr">
        <is>
          <t>Identity Provider; SaaS; IaaS; Windows</t>
        </is>
      </c>
      <c r="N505" s="973" t="inlineStr">
        <is>
          <t>https://attack.mitre.org/techniques/T1078/</t>
        </is>
      </c>
      <c r="O505" s="973" t="n"/>
      <c r="P505" s="973" t="n"/>
    </row>
    <row r="506">
      <c r="A506" s="973" t="inlineStr">
        <is>
          <t>Malicious insider</t>
        </is>
      </c>
      <c r="B506" s="973" t="inlineStr">
        <is>
          <t>Data or transaction-integrity compromise</t>
        </is>
      </c>
      <c r="C506" s="973" t="inlineStr">
        <is>
          <t>Identity and credential compromise</t>
        </is>
      </c>
      <c r="D506" s="973" t="inlineStr">
        <is>
          <t>T1110</t>
        </is>
      </c>
      <c r="E506" s="973" t="inlineStr">
        <is>
          <t>Brute Force</t>
        </is>
      </c>
      <c r="F506" s="973" t="inlineStr">
        <is>
          <t>S1</t>
        </is>
      </c>
      <c r="G506" s="973" t="b">
        <v>0</v>
      </c>
      <c r="H506" s="973" t="b">
        <v>1</v>
      </c>
      <c r="I506" s="973" t="b">
        <v>0</v>
      </c>
      <c r="J506" s="973" t="n">
        <v>0.7</v>
      </c>
      <c r="K506" s="973" t="n">
        <v>0.24375</v>
      </c>
      <c r="L506" s="973" t="n">
        <v>0.24375</v>
      </c>
      <c r="M506" s="973" t="inlineStr">
        <is>
          <t>Identity Provider; SaaS; Windows</t>
        </is>
      </c>
      <c r="N506" s="973" t="inlineStr">
        <is>
          <t>https://attack.mitre.org/techniques/T1110/</t>
        </is>
      </c>
      <c r="O506" s="973" t="n"/>
      <c r="P506" s="973" t="n"/>
    </row>
    <row r="507">
      <c r="A507" s="973" t="inlineStr">
        <is>
          <t>Malicious insider</t>
        </is>
      </c>
      <c r="B507" s="973" t="inlineStr">
        <is>
          <t>Data or transaction-integrity compromise</t>
        </is>
      </c>
      <c r="C507" s="973" t="inlineStr">
        <is>
          <t>Identity and credential compromise</t>
        </is>
      </c>
      <c r="D507" s="973" t="inlineStr">
        <is>
          <t>T1098</t>
        </is>
      </c>
      <c r="E507" s="973" t="inlineStr">
        <is>
          <t>Account Manipulation</t>
        </is>
      </c>
      <c r="F507" s="973" t="inlineStr">
        <is>
          <t>S3</t>
        </is>
      </c>
      <c r="G507" s="973" t="b">
        <v>1</v>
      </c>
      <c r="H507" s="973" t="b">
        <v>1</v>
      </c>
      <c r="I507" s="973" t="b">
        <v>1</v>
      </c>
      <c r="J507" s="973" t="n">
        <v>0.7</v>
      </c>
      <c r="K507" s="973" t="n">
        <v>0.2477547340393066</v>
      </c>
      <c r="L507" s="973" t="n">
        <v>0.2477547340393066</v>
      </c>
      <c r="M507" s="973" t="inlineStr">
        <is>
          <t>Identity Provider; SaaS; Windows</t>
        </is>
      </c>
      <c r="N507" s="973" t="inlineStr">
        <is>
          <t>https://attack.mitre.org/techniques/T1098/</t>
        </is>
      </c>
      <c r="O507" s="973" t="n"/>
      <c r="P507" s="973" t="n"/>
    </row>
    <row r="508">
      <c r="A508" s="973" t="inlineStr">
        <is>
          <t>Malicious insider</t>
        </is>
      </c>
      <c r="B508" s="973" t="inlineStr">
        <is>
          <t>Data or transaction-integrity compromise</t>
        </is>
      </c>
      <c r="C508" s="973" t="inlineStr">
        <is>
          <t>Identity and credential compromise</t>
        </is>
      </c>
      <c r="D508" s="973" t="inlineStr">
        <is>
          <t>T1087</t>
        </is>
      </c>
      <c r="E508" s="973" t="inlineStr">
        <is>
          <t>Account Discovery</t>
        </is>
      </c>
      <c r="F508" s="973" t="inlineStr">
        <is>
          <t>S4</t>
        </is>
      </c>
      <c r="G508" s="973" t="b">
        <v>1</v>
      </c>
      <c r="H508" s="973" t="b">
        <v>1</v>
      </c>
      <c r="I508" s="973" t="b">
        <v>1</v>
      </c>
      <c r="J508" s="973" t="n">
        <v>0.6</v>
      </c>
      <c r="K508" s="973" t="n">
        <v>0</v>
      </c>
      <c r="L508" s="973" t="n">
        <v>0</v>
      </c>
      <c r="M508" s="973" t="inlineStr">
        <is>
          <t>Identity Provider; SaaS; Windows</t>
        </is>
      </c>
      <c r="N508" s="973" t="inlineStr">
        <is>
          <t>https://attack.mitre.org/techniques/T1087/</t>
        </is>
      </c>
      <c r="O508" s="973" t="n"/>
      <c r="P508" s="973" t="n"/>
    </row>
    <row r="509">
      <c r="A509" s="973" t="inlineStr">
        <is>
          <t>Malicious insider</t>
        </is>
      </c>
      <c r="B509" s="973" t="inlineStr">
        <is>
          <t>Data or transaction-integrity compromise</t>
        </is>
      </c>
      <c r="C509" s="973" t="inlineStr">
        <is>
          <t>Identity and credential compromise</t>
        </is>
      </c>
      <c r="D509" s="973" t="inlineStr">
        <is>
          <t>T1213</t>
        </is>
      </c>
      <c r="E509" s="973" t="inlineStr">
        <is>
          <t>Data from Information Repositories</t>
        </is>
      </c>
      <c r="F509" s="973" t="inlineStr">
        <is>
          <t>S4</t>
        </is>
      </c>
      <c r="G509" s="973" t="b">
        <v>1</v>
      </c>
      <c r="H509" s="973" t="b">
        <v>1</v>
      </c>
      <c r="I509" s="973" t="b">
        <v>1</v>
      </c>
      <c r="J509" s="973" t="n">
        <v>0.8</v>
      </c>
      <c r="K509" s="973" t="n">
        <v>0.177890625</v>
      </c>
      <c r="L509" s="973" t="n">
        <v>0.177890625</v>
      </c>
      <c r="M509" s="973" t="inlineStr">
        <is>
          <t>SaaS; Office Suite; Windows</t>
        </is>
      </c>
      <c r="N509" s="973" t="inlineStr">
        <is>
          <t>https://attack.mitre.org/techniques/T1213/</t>
        </is>
      </c>
      <c r="O509" s="973" t="n"/>
      <c r="P509" s="973" t="n"/>
    </row>
    <row r="510">
      <c r="A510" s="973" t="inlineStr">
        <is>
          <t>Malicious insider</t>
        </is>
      </c>
      <c r="B510" s="973" t="inlineStr">
        <is>
          <t>Data or transaction-integrity compromise</t>
        </is>
      </c>
      <c r="C510" s="973" t="inlineStr">
        <is>
          <t>Identity and credential compromise</t>
        </is>
      </c>
      <c r="D510" s="973" t="inlineStr">
        <is>
          <t>T1567</t>
        </is>
      </c>
      <c r="E510" s="973" t="inlineStr">
        <is>
          <t>Exfiltration Over Web Service</t>
        </is>
      </c>
      <c r="F510" s="973" t="inlineStr">
        <is>
          <t>S5</t>
        </is>
      </c>
      <c r="G510" s="973" t="b">
        <v>1</v>
      </c>
      <c r="H510" s="973" t="b">
        <v>0</v>
      </c>
      <c r="I510" s="973" t="b">
        <v>0</v>
      </c>
      <c r="J510" s="973" t="n">
        <v>0.7</v>
      </c>
      <c r="K510" s="973" t="n">
        <v>0.20625</v>
      </c>
      <c r="L510" s="973" t="n">
        <v>0.20625</v>
      </c>
      <c r="M510" s="973" t="inlineStr">
        <is>
          <t>SaaS; Office Suite</t>
        </is>
      </c>
      <c r="N510" s="973" t="inlineStr">
        <is>
          <t>https://attack.mitre.org/techniques/T1567/</t>
        </is>
      </c>
      <c r="O510" s="973" t="n"/>
      <c r="P510" s="973" t="n"/>
    </row>
    <row r="511">
      <c r="A511" s="973" t="inlineStr">
        <is>
          <t>Malicious insider</t>
        </is>
      </c>
      <c r="B511" s="973" t="inlineStr">
        <is>
          <t>Data or transaction-integrity compromise</t>
        </is>
      </c>
      <c r="C511" s="973" t="inlineStr">
        <is>
          <t>Identity and credential compromise</t>
        </is>
      </c>
      <c r="D511" s="973" t="inlineStr">
        <is>
          <t>T1657</t>
        </is>
      </c>
      <c r="E511" s="973" t="inlineStr">
        <is>
          <t>Financial Theft</t>
        </is>
      </c>
      <c r="F511" s="973" t="inlineStr">
        <is>
          <t>S5</t>
        </is>
      </c>
      <c r="G511" s="973" t="b">
        <v>1</v>
      </c>
      <c r="H511" s="973" t="b">
        <v>0</v>
      </c>
      <c r="I511" s="973" t="b">
        <v>0</v>
      </c>
      <c r="J511" s="973" t="n">
        <v>0.8</v>
      </c>
      <c r="K511" s="973" t="n">
        <v>0.275654296875</v>
      </c>
      <c r="L511" s="973" t="n">
        <v>0.275654296875</v>
      </c>
      <c r="M511" s="973" t="inlineStr">
        <is>
          <t>SaaS; Office Suite; Identity Provider</t>
        </is>
      </c>
      <c r="N511" s="973" t="inlineStr">
        <is>
          <t>https://attack.mitre.org/techniques/T1657/</t>
        </is>
      </c>
      <c r="O511" s="973" t="n"/>
      <c r="P511" s="973" t="n"/>
    </row>
    <row r="512">
      <c r="A512" s="973" t="inlineStr">
        <is>
          <t>Malicious insider</t>
        </is>
      </c>
      <c r="B512" s="973" t="inlineStr">
        <is>
          <t>Data or transaction-integrity compromise</t>
        </is>
      </c>
      <c r="C512" s="973" t="inlineStr">
        <is>
          <t>Identity and credential compromise</t>
        </is>
      </c>
      <c r="D512" s="973" t="inlineStr">
        <is>
          <t>T1565</t>
        </is>
      </c>
      <c r="E512" s="973" t="inlineStr">
        <is>
          <t>Data Manipulation</t>
        </is>
      </c>
      <c r="F512" s="973" t="inlineStr">
        <is>
          <t>S5</t>
        </is>
      </c>
      <c r="G512" s="973" t="b">
        <v>1</v>
      </c>
      <c r="H512" s="973" t="b">
        <v>1</v>
      </c>
      <c r="I512" s="973" t="b">
        <v>1</v>
      </c>
      <c r="J512" s="973" t="n">
        <v>0.5</v>
      </c>
      <c r="K512" s="973" t="n">
        <v>0.2206064987182617</v>
      </c>
      <c r="L512" s="973" t="n">
        <v>0.2206064987182617</v>
      </c>
      <c r="M512" s="973" t="inlineStr">
        <is>
          <t>SaaS; Databases; Windows</t>
        </is>
      </c>
      <c r="N512" s="973" t="inlineStr">
        <is>
          <t>https://attack.mitre.org/techniques/T1565/</t>
        </is>
      </c>
      <c r="O512" s="973" t="n"/>
      <c r="P512" s="973" t="n"/>
    </row>
    <row r="513">
      <c r="A513" s="973" t="inlineStr">
        <is>
          <t>Malicious insider</t>
        </is>
      </c>
      <c r="B513" s="973" t="inlineStr">
        <is>
          <t>Data or transaction-integrity compromise</t>
        </is>
      </c>
      <c r="C513" s="973" t="inlineStr">
        <is>
          <t>Identity and credential compromise</t>
        </is>
      </c>
      <c r="D513" s="973" t="inlineStr">
        <is>
          <t>T1486</t>
        </is>
      </c>
      <c r="E513" s="973" t="inlineStr">
        <is>
          <t>Data Encrypted for Impact</t>
        </is>
      </c>
      <c r="F513" s="973" t="inlineStr">
        <is>
          <t>S5</t>
        </is>
      </c>
      <c r="G513" s="973" t="b">
        <v>1</v>
      </c>
      <c r="H513" s="973" t="b">
        <v>1</v>
      </c>
      <c r="I513" s="973" t="b">
        <v>1</v>
      </c>
      <c r="J513" s="973" t="n">
        <v>0.7</v>
      </c>
      <c r="K513" s="973" t="n">
        <v>0.16875</v>
      </c>
      <c r="L513" s="973" t="n">
        <v>0.16875</v>
      </c>
      <c r="M513" s="973" t="inlineStr">
        <is>
          <t>Windows; Linux; IaaS</t>
        </is>
      </c>
      <c r="N513" s="973" t="inlineStr">
        <is>
          <t>https://attack.mitre.org/techniques/T1486/</t>
        </is>
      </c>
      <c r="O513" s="973" t="n"/>
      <c r="P513" s="973" t="n"/>
    </row>
    <row r="514">
      <c r="A514" s="973" t="inlineStr">
        <is>
          <t>Malicious insider</t>
        </is>
      </c>
      <c r="B514" s="973" t="inlineStr">
        <is>
          <t>Data or transaction-integrity compromise</t>
        </is>
      </c>
      <c r="C514" s="973" t="inlineStr">
        <is>
          <t>Identity and credential compromise</t>
        </is>
      </c>
      <c r="D514" s="973" t="inlineStr">
        <is>
          <t>T1490</t>
        </is>
      </c>
      <c r="E514" s="973" t="inlineStr">
        <is>
          <t>Inhibit System Recovery</t>
        </is>
      </c>
      <c r="F514" s="973" t="inlineStr">
        <is>
          <t>S5</t>
        </is>
      </c>
      <c r="G514" s="973" t="b">
        <v>1</v>
      </c>
      <c r="H514" s="973" t="b">
        <v>1</v>
      </c>
      <c r="I514" s="973" t="b">
        <v>1</v>
      </c>
      <c r="J514" s="973" t="n">
        <v>0.6</v>
      </c>
      <c r="K514" s="973" t="n">
        <v>0</v>
      </c>
      <c r="L514" s="973" t="n">
        <v>0</v>
      </c>
      <c r="M514" s="973" t="inlineStr">
        <is>
          <t>Windows; Linux; IaaS</t>
        </is>
      </c>
      <c r="N514" s="973" t="inlineStr">
        <is>
          <t>https://attack.mitre.org/techniques/T1490/</t>
        </is>
      </c>
      <c r="O514" s="973" t="n"/>
      <c r="P514" s="973" t="n"/>
    </row>
    <row r="515">
      <c r="A515" s="973" t="inlineStr">
        <is>
          <t>Malicious insider</t>
        </is>
      </c>
      <c r="B515" s="973" t="inlineStr">
        <is>
          <t>Data or transaction-integrity compromise</t>
        </is>
      </c>
      <c r="C515" s="973" t="inlineStr">
        <is>
          <t>User endpoint and social engineering</t>
        </is>
      </c>
      <c r="D515" s="973" t="inlineStr">
        <is>
          <t>T1566</t>
        </is>
      </c>
      <c r="E515" s="973" t="inlineStr">
        <is>
          <t>Phishing</t>
        </is>
      </c>
      <c r="F515" s="973" t="inlineStr">
        <is>
          <t>S1</t>
        </is>
      </c>
      <c r="G515" s="973" t="b">
        <v>1</v>
      </c>
      <c r="H515" s="973" t="b">
        <v>1</v>
      </c>
      <c r="I515" s="973" t="b">
        <v>1</v>
      </c>
      <c r="J515" s="973" t="n">
        <v>1</v>
      </c>
      <c r="K515" s="973" t="n">
        <v>0.20625</v>
      </c>
      <c r="L515" s="973" t="n">
        <v>0.20625</v>
      </c>
      <c r="M515" s="973" t="inlineStr">
        <is>
          <t>Windows; SaaS; Office Suite</t>
        </is>
      </c>
      <c r="N515" s="973" t="inlineStr">
        <is>
          <t>https://attack.mitre.org/techniques/T1566/</t>
        </is>
      </c>
      <c r="O515" s="973" t="n"/>
      <c r="P515" s="973" t="n"/>
    </row>
    <row r="516">
      <c r="A516" s="973" t="inlineStr">
        <is>
          <t>Malicious insider</t>
        </is>
      </c>
      <c r="B516" s="973" t="inlineStr">
        <is>
          <t>Data or transaction-integrity compromise</t>
        </is>
      </c>
      <c r="C516" s="973" t="inlineStr">
        <is>
          <t>User endpoint and social engineering</t>
        </is>
      </c>
      <c r="D516" s="973" t="inlineStr">
        <is>
          <t>T1203</t>
        </is>
      </c>
      <c r="E516" s="973" t="inlineStr">
        <is>
          <t>Exploitation for Client Execution</t>
        </is>
      </c>
      <c r="F516" s="973" t="inlineStr">
        <is>
          <t>S2</t>
        </is>
      </c>
      <c r="G516" s="973" t="b">
        <v>0</v>
      </c>
      <c r="H516" s="973" t="b">
        <v>1</v>
      </c>
      <c r="I516" s="973" t="b">
        <v>0</v>
      </c>
      <c r="J516" s="973" t="n">
        <v>0.8</v>
      </c>
      <c r="K516" s="973" t="n">
        <v>0.2404920959472656</v>
      </c>
      <c r="L516" s="973" t="n">
        <v>0.2404920959472656</v>
      </c>
      <c r="M516" s="973" t="inlineStr">
        <is>
          <t>Windows; macOS; Linux</t>
        </is>
      </c>
      <c r="N516" s="973" t="inlineStr">
        <is>
          <t>https://attack.mitre.org/techniques/T1203/</t>
        </is>
      </c>
      <c r="O516" s="973" t="n"/>
      <c r="P516" s="973" t="n"/>
    </row>
    <row r="517">
      <c r="A517" s="973" t="inlineStr">
        <is>
          <t>Malicious insider</t>
        </is>
      </c>
      <c r="B517" s="973" t="inlineStr">
        <is>
          <t>Data or transaction-integrity compromise</t>
        </is>
      </c>
      <c r="C517" s="973" t="inlineStr">
        <is>
          <t>User endpoint and social engineering</t>
        </is>
      </c>
      <c r="D517" s="973" t="inlineStr">
        <is>
          <t>T1059</t>
        </is>
      </c>
      <c r="E517" s="973" t="inlineStr">
        <is>
          <t>Command and Scripting Interpreter</t>
        </is>
      </c>
      <c r="F517" s="973" t="inlineStr">
        <is>
          <t>S2</t>
        </is>
      </c>
      <c r="G517" s="973" t="b">
        <v>1</v>
      </c>
      <c r="H517" s="973" t="b">
        <v>1</v>
      </c>
      <c r="I517" s="973" t="b">
        <v>1</v>
      </c>
      <c r="J517" s="973" t="n">
        <v>0.9</v>
      </c>
      <c r="K517" s="973" t="n">
        <v>0.1875</v>
      </c>
      <c r="L517" s="973" t="n">
        <v>0.1875</v>
      </c>
      <c r="M517" s="973" t="inlineStr">
        <is>
          <t>Windows; macOS; Linux; IaaS</t>
        </is>
      </c>
      <c r="N517" s="973" t="inlineStr">
        <is>
          <t>https://attack.mitre.org/techniques/T1059/</t>
        </is>
      </c>
      <c r="O517" s="973" t="n"/>
      <c r="P517" s="973" t="n"/>
    </row>
    <row r="518">
      <c r="A518" s="973" t="inlineStr">
        <is>
          <t>Malicious insider</t>
        </is>
      </c>
      <c r="B518" s="973" t="inlineStr">
        <is>
          <t>Data or transaction-integrity compromise</t>
        </is>
      </c>
      <c r="C518" s="973" t="inlineStr">
        <is>
          <t>User endpoint and social engineering</t>
        </is>
      </c>
      <c r="D518" s="973" t="inlineStr">
        <is>
          <t>T1068</t>
        </is>
      </c>
      <c r="E518" s="973" t="inlineStr">
        <is>
          <t>Exploitation for Privilege Escalation</t>
        </is>
      </c>
      <c r="F518" s="973" t="inlineStr">
        <is>
          <t>S3</t>
        </is>
      </c>
      <c r="G518" s="973" t="b">
        <v>1</v>
      </c>
      <c r="H518" s="973" t="b">
        <v>1</v>
      </c>
      <c r="I518" s="973" t="b">
        <v>1</v>
      </c>
      <c r="J518" s="973" t="n">
        <v>0.7</v>
      </c>
      <c r="K518" s="973" t="n">
        <v>0.2094165115356445</v>
      </c>
      <c r="L518" s="973" t="n">
        <v>0.2094165115356445</v>
      </c>
      <c r="M518" s="973" t="inlineStr">
        <is>
          <t>Windows; macOS; Linux</t>
        </is>
      </c>
      <c r="N518" s="973" t="inlineStr">
        <is>
          <t>https://attack.mitre.org/techniques/T1068/</t>
        </is>
      </c>
      <c r="O518" s="973" t="n"/>
      <c r="P518" s="973" t="n"/>
    </row>
    <row r="519">
      <c r="A519" s="973" t="inlineStr">
        <is>
          <t>Malicious insider</t>
        </is>
      </c>
      <c r="B519" s="973" t="inlineStr">
        <is>
          <t>Data or transaction-integrity compromise</t>
        </is>
      </c>
      <c r="C519" s="973" t="inlineStr">
        <is>
          <t>User endpoint and social engineering</t>
        </is>
      </c>
      <c r="D519" s="973" t="inlineStr">
        <is>
          <t>T1003</t>
        </is>
      </c>
      <c r="E519" s="973" t="inlineStr">
        <is>
          <t>OS Credential Dumping</t>
        </is>
      </c>
      <c r="F519" s="973" t="inlineStr">
        <is>
          <t>S3</t>
        </is>
      </c>
      <c r="G519" s="973" t="b">
        <v>1</v>
      </c>
      <c r="H519" s="973" t="b">
        <v>1</v>
      </c>
      <c r="I519" s="973" t="b">
        <v>1</v>
      </c>
      <c r="J519" s="973" t="n">
        <v>0.8</v>
      </c>
      <c r="K519" s="973" t="n">
        <v>0.232294921875</v>
      </c>
      <c r="L519" s="973" t="n">
        <v>0.232294921875</v>
      </c>
      <c r="M519" s="973" t="inlineStr">
        <is>
          <t>Windows; Linux; macOS</t>
        </is>
      </c>
      <c r="N519" s="973" t="inlineStr">
        <is>
          <t>https://attack.mitre.org/techniques/T1003/</t>
        </is>
      </c>
      <c r="O519" s="973" t="n"/>
      <c r="P519" s="973" t="n"/>
    </row>
    <row r="520">
      <c r="A520" s="973" t="inlineStr">
        <is>
          <t>Malicious insider</t>
        </is>
      </c>
      <c r="B520" s="973" t="inlineStr">
        <is>
          <t>Data or transaction-integrity compromise</t>
        </is>
      </c>
      <c r="C520" s="973" t="inlineStr">
        <is>
          <t>User endpoint and social engineering</t>
        </is>
      </c>
      <c r="D520" s="973" t="inlineStr">
        <is>
          <t>T1046</t>
        </is>
      </c>
      <c r="E520" s="973" t="inlineStr">
        <is>
          <t>Network Service Discovery</t>
        </is>
      </c>
      <c r="F520" s="973" t="inlineStr">
        <is>
          <t>S4</t>
        </is>
      </c>
      <c r="G520" s="973" t="b">
        <v>1</v>
      </c>
      <c r="H520" s="973" t="b">
        <v>1</v>
      </c>
      <c r="I520" s="973" t="b">
        <v>1</v>
      </c>
      <c r="J520" s="973" t="n">
        <v>0.6</v>
      </c>
      <c r="K520" s="973" t="n">
        <v>0.16875</v>
      </c>
      <c r="L520" s="973" t="n">
        <v>0.16875</v>
      </c>
      <c r="M520" s="973" t="inlineStr">
        <is>
          <t>Network Devices; Windows; Linux</t>
        </is>
      </c>
      <c r="N520" s="973" t="inlineStr">
        <is>
          <t>https://attack.mitre.org/techniques/T1046/</t>
        </is>
      </c>
      <c r="O520" s="973" t="n"/>
      <c r="P520" s="973" t="n"/>
    </row>
    <row r="521">
      <c r="A521" s="973" t="inlineStr">
        <is>
          <t>Malicious insider</t>
        </is>
      </c>
      <c r="B521" s="973" t="inlineStr">
        <is>
          <t>Data or transaction-integrity compromise</t>
        </is>
      </c>
      <c r="C521" s="973" t="inlineStr">
        <is>
          <t>User endpoint and social engineering</t>
        </is>
      </c>
      <c r="D521" s="973" t="inlineStr">
        <is>
          <t>T1021</t>
        </is>
      </c>
      <c r="E521" s="973" t="inlineStr">
        <is>
          <t>Remote Services</t>
        </is>
      </c>
      <c r="F521" s="973" t="inlineStr">
        <is>
          <t>S4</t>
        </is>
      </c>
      <c r="G521" s="973" t="b">
        <v>1</v>
      </c>
      <c r="H521" s="973" t="b">
        <v>1</v>
      </c>
      <c r="I521" s="973" t="b">
        <v>1</v>
      </c>
      <c r="J521" s="973" t="n">
        <v>0.8</v>
      </c>
      <c r="K521" s="973" t="n">
        <v>0.1875</v>
      </c>
      <c r="L521" s="973" t="n">
        <v>0.1875</v>
      </c>
      <c r="M521" s="973" t="inlineStr">
        <is>
          <t>Windows; Linux; Network Devices</t>
        </is>
      </c>
      <c r="N521" s="973" t="inlineStr">
        <is>
          <t>https://attack.mitre.org/techniques/T1021/</t>
        </is>
      </c>
      <c r="O521" s="973" t="n"/>
      <c r="P521" s="973" t="n"/>
    </row>
    <row r="522">
      <c r="A522" s="973" t="inlineStr">
        <is>
          <t>Malicious insider</t>
        </is>
      </c>
      <c r="B522" s="973" t="inlineStr">
        <is>
          <t>Data or transaction-integrity compromise</t>
        </is>
      </c>
      <c r="C522" s="973" t="inlineStr">
        <is>
          <t>User endpoint and social engineering</t>
        </is>
      </c>
      <c r="D522" s="973" t="inlineStr">
        <is>
          <t>T1213</t>
        </is>
      </c>
      <c r="E522" s="973" t="inlineStr">
        <is>
          <t>Data from Information Repositories</t>
        </is>
      </c>
      <c r="F522" s="973" t="inlineStr">
        <is>
          <t>S4</t>
        </is>
      </c>
      <c r="G522" s="973" t="b">
        <v>1</v>
      </c>
      <c r="H522" s="973" t="b">
        <v>1</v>
      </c>
      <c r="I522" s="973" t="b">
        <v>1</v>
      </c>
      <c r="J522" s="973" t="n">
        <v>0.7</v>
      </c>
      <c r="K522" s="973" t="n">
        <v>0.177890625</v>
      </c>
      <c r="L522" s="973" t="n">
        <v>0.177890625</v>
      </c>
      <c r="M522" s="973" t="inlineStr">
        <is>
          <t>SaaS; Office Suite; Windows</t>
        </is>
      </c>
      <c r="N522" s="973" t="inlineStr">
        <is>
          <t>https://attack.mitre.org/techniques/T1213/</t>
        </is>
      </c>
      <c r="O522" s="973" t="n"/>
      <c r="P522" s="973" t="n"/>
    </row>
    <row r="523">
      <c r="A523" s="973" t="inlineStr">
        <is>
          <t>Malicious insider</t>
        </is>
      </c>
      <c r="B523" s="973" t="inlineStr">
        <is>
          <t>Data or transaction-integrity compromise</t>
        </is>
      </c>
      <c r="C523" s="973" t="inlineStr">
        <is>
          <t>User endpoint and social engineering</t>
        </is>
      </c>
      <c r="D523" s="973" t="inlineStr">
        <is>
          <t>T1486</t>
        </is>
      </c>
      <c r="E523" s="973" t="inlineStr">
        <is>
          <t>Data Encrypted for Impact</t>
        </is>
      </c>
      <c r="F523" s="973" t="inlineStr">
        <is>
          <t>S5</t>
        </is>
      </c>
      <c r="G523" s="973" t="b">
        <v>1</v>
      </c>
      <c r="H523" s="973" t="b">
        <v>1</v>
      </c>
      <c r="I523" s="973" t="b">
        <v>1</v>
      </c>
      <c r="J523" s="973" t="n">
        <v>0.8</v>
      </c>
      <c r="K523" s="973" t="n">
        <v>0.16875</v>
      </c>
      <c r="L523" s="973" t="n">
        <v>0.16875</v>
      </c>
      <c r="M523" s="973" t="inlineStr">
        <is>
          <t>Windows; Linux; IaaS</t>
        </is>
      </c>
      <c r="N523" s="973" t="inlineStr">
        <is>
          <t>https://attack.mitre.org/techniques/T1486/</t>
        </is>
      </c>
      <c r="O523" s="973" t="n"/>
      <c r="P523" s="973" t="n"/>
    </row>
    <row r="524">
      <c r="A524" s="973" t="inlineStr">
        <is>
          <t>Malicious insider</t>
        </is>
      </c>
      <c r="B524" s="973" t="inlineStr">
        <is>
          <t>Data or transaction-integrity compromise</t>
        </is>
      </c>
      <c r="C524" s="973" t="inlineStr">
        <is>
          <t>User endpoint and social engineering</t>
        </is>
      </c>
      <c r="D524" s="973" t="inlineStr">
        <is>
          <t>T1490</t>
        </is>
      </c>
      <c r="E524" s="973" t="inlineStr">
        <is>
          <t>Inhibit System Recovery</t>
        </is>
      </c>
      <c r="F524" s="973" t="inlineStr">
        <is>
          <t>S5</t>
        </is>
      </c>
      <c r="G524" s="973" t="b">
        <v>1</v>
      </c>
      <c r="H524" s="973" t="b">
        <v>1</v>
      </c>
      <c r="I524" s="973" t="b">
        <v>1</v>
      </c>
      <c r="J524" s="973" t="n">
        <v>0.7</v>
      </c>
      <c r="K524" s="973" t="n">
        <v>0</v>
      </c>
      <c r="L524" s="973" t="n">
        <v>0</v>
      </c>
      <c r="M524" s="973" t="inlineStr">
        <is>
          <t>Windows; Linux; IaaS</t>
        </is>
      </c>
      <c r="N524" s="973" t="inlineStr">
        <is>
          <t>https://attack.mitre.org/techniques/T1490/</t>
        </is>
      </c>
      <c r="O524" s="973" t="n"/>
      <c r="P524" s="973" t="n"/>
    </row>
    <row r="525">
      <c r="A525" s="973" t="inlineStr">
        <is>
          <t>Malicious insider</t>
        </is>
      </c>
      <c r="B525" s="973" t="inlineStr">
        <is>
          <t>Data or transaction-integrity compromise</t>
        </is>
      </c>
      <c r="C525" s="973" t="inlineStr">
        <is>
          <t>User endpoint and social engineering</t>
        </is>
      </c>
      <c r="D525" s="973" t="inlineStr">
        <is>
          <t>T1567</t>
        </is>
      </c>
      <c r="E525" s="973" t="inlineStr">
        <is>
          <t>Exfiltration Over Web Service</t>
        </is>
      </c>
      <c r="F525" s="973" t="inlineStr">
        <is>
          <t>S5</t>
        </is>
      </c>
      <c r="G525" s="973" t="b">
        <v>1</v>
      </c>
      <c r="H525" s="973" t="b">
        <v>0</v>
      </c>
      <c r="I525" s="973" t="b">
        <v>0</v>
      </c>
      <c r="J525" s="973" t="n">
        <v>0.7</v>
      </c>
      <c r="K525" s="973" t="n">
        <v>0.20625</v>
      </c>
      <c r="L525" s="973" t="n">
        <v>0.20625</v>
      </c>
      <c r="M525" s="973" t="inlineStr">
        <is>
          <t>SaaS; Office Suite</t>
        </is>
      </c>
      <c r="N525" s="973" t="inlineStr">
        <is>
          <t>https://attack.mitre.org/techniques/T1567/</t>
        </is>
      </c>
      <c r="O525" s="973" t="n"/>
      <c r="P525" s="973" t="n"/>
    </row>
    <row r="526">
      <c r="A526" s="973" t="inlineStr">
        <is>
          <t>Malicious insider</t>
        </is>
      </c>
      <c r="B526" s="973" t="inlineStr">
        <is>
          <t>Data or transaction-integrity compromise</t>
        </is>
      </c>
      <c r="C526" s="973" t="inlineStr">
        <is>
          <t>User endpoint and social engineering</t>
        </is>
      </c>
      <c r="D526" s="973" t="inlineStr">
        <is>
          <t>T1657</t>
        </is>
      </c>
      <c r="E526" s="973" t="inlineStr">
        <is>
          <t>Financial Theft</t>
        </is>
      </c>
      <c r="F526" s="973" t="inlineStr">
        <is>
          <t>S5</t>
        </is>
      </c>
      <c r="G526" s="973" t="b">
        <v>1</v>
      </c>
      <c r="H526" s="973" t="b">
        <v>0</v>
      </c>
      <c r="I526" s="973" t="b">
        <v>0</v>
      </c>
      <c r="J526" s="973" t="n">
        <v>0.5</v>
      </c>
      <c r="K526" s="973" t="n">
        <v>0.275654296875</v>
      </c>
      <c r="L526" s="973" t="n">
        <v>0.275654296875</v>
      </c>
      <c r="M526" s="973" t="inlineStr">
        <is>
          <t>SaaS; Office Suite; Identity Provider</t>
        </is>
      </c>
      <c r="N526" s="973" t="inlineStr">
        <is>
          <t>https://attack.mitre.org/techniques/T1657/</t>
        </is>
      </c>
      <c r="O526" s="973" t="n"/>
      <c r="P526" s="973" t="n"/>
    </row>
    <row r="527">
      <c r="A527" s="973" t="inlineStr">
        <is>
          <t>Malicious insider</t>
        </is>
      </c>
      <c r="B527" s="973" t="inlineStr">
        <is>
          <t>Data or transaction-integrity compromise</t>
        </is>
      </c>
      <c r="C527" s="973" t="inlineStr">
        <is>
          <t>User endpoint and social engineering</t>
        </is>
      </c>
      <c r="D527" s="973" t="inlineStr">
        <is>
          <t>T1565</t>
        </is>
      </c>
      <c r="E527" s="973" t="inlineStr">
        <is>
          <t>Data Manipulation</t>
        </is>
      </c>
      <c r="F527" s="973" t="inlineStr">
        <is>
          <t>S5</t>
        </is>
      </c>
      <c r="G527" s="973" t="b">
        <v>1</v>
      </c>
      <c r="H527" s="973" t="b">
        <v>1</v>
      </c>
      <c r="I527" s="973" t="b">
        <v>1</v>
      </c>
      <c r="J527" s="973" t="n">
        <v>0.5</v>
      </c>
      <c r="K527" s="973" t="n">
        <v>0.2206064987182617</v>
      </c>
      <c r="L527" s="973" t="n">
        <v>0.2206064987182617</v>
      </c>
      <c r="M527" s="973" t="inlineStr">
        <is>
          <t>SaaS; Databases; Windows</t>
        </is>
      </c>
      <c r="N527" s="973" t="inlineStr">
        <is>
          <t>https://attack.mitre.org/techniques/T1565/</t>
        </is>
      </c>
      <c r="O527" s="973" t="n"/>
      <c r="P527" s="973" t="n"/>
    </row>
    <row r="528">
      <c r="A528" s="973" t="inlineStr">
        <is>
          <t>Malicious insider</t>
        </is>
      </c>
      <c r="B528" s="973" t="inlineStr">
        <is>
          <t>Data or transaction-integrity compromise</t>
        </is>
      </c>
      <c r="C528" s="973" t="inlineStr">
        <is>
          <t>Public-facing application exploitation</t>
        </is>
      </c>
      <c r="D528" s="973" t="inlineStr">
        <is>
          <t>T1190</t>
        </is>
      </c>
      <c r="E528" s="973" t="inlineStr">
        <is>
          <t>Exploit Public-Facing Application</t>
        </is>
      </c>
      <c r="F528" s="973" t="inlineStr">
        <is>
          <t>S1</t>
        </is>
      </c>
      <c r="G528" s="973" t="b">
        <v>0</v>
      </c>
      <c r="H528" s="973" t="b">
        <v>1</v>
      </c>
      <c r="I528" s="973" t="b">
        <v>0</v>
      </c>
      <c r="J528" s="973" t="n">
        <v>1</v>
      </c>
      <c r="K528" s="973" t="n">
        <v>0.2496630477905274</v>
      </c>
      <c r="L528" s="973" t="n">
        <v>0.2496630477905274</v>
      </c>
      <c r="M528" s="973" t="inlineStr">
        <is>
          <t>Network Devices; SaaS; IaaS</t>
        </is>
      </c>
      <c r="N528" s="973" t="inlineStr">
        <is>
          <t>https://attack.mitre.org/techniques/T1190/</t>
        </is>
      </c>
      <c r="O528" s="973" t="n"/>
      <c r="P528" s="973" t="n"/>
    </row>
    <row r="529">
      <c r="A529" s="973" t="inlineStr">
        <is>
          <t>Malicious insider</t>
        </is>
      </c>
      <c r="B529" s="973" t="inlineStr">
        <is>
          <t>Data or transaction-integrity compromise</t>
        </is>
      </c>
      <c r="C529" s="973" t="inlineStr">
        <is>
          <t>Public-facing application exploitation</t>
        </is>
      </c>
      <c r="D529" s="973" t="inlineStr">
        <is>
          <t>T1059</t>
        </is>
      </c>
      <c r="E529" s="973" t="inlineStr">
        <is>
          <t>Command and Scripting Interpreter</t>
        </is>
      </c>
      <c r="F529" s="973" t="inlineStr">
        <is>
          <t>S2</t>
        </is>
      </c>
      <c r="G529" s="973" t="b">
        <v>1</v>
      </c>
      <c r="H529" s="973" t="b">
        <v>1</v>
      </c>
      <c r="I529" s="973" t="b">
        <v>1</v>
      </c>
      <c r="J529" s="973" t="n">
        <v>0.8</v>
      </c>
      <c r="K529" s="973" t="n">
        <v>0.1875</v>
      </c>
      <c r="L529" s="973" t="n">
        <v>0.1875</v>
      </c>
      <c r="M529" s="973" t="inlineStr">
        <is>
          <t>Windows; macOS; Linux; IaaS</t>
        </is>
      </c>
      <c r="N529" s="973" t="inlineStr">
        <is>
          <t>https://attack.mitre.org/techniques/T1059/</t>
        </is>
      </c>
      <c r="O529" s="973" t="n"/>
      <c r="P529" s="973" t="n"/>
    </row>
    <row r="530">
      <c r="A530" s="973" t="inlineStr">
        <is>
          <t>Malicious insider</t>
        </is>
      </c>
      <c r="B530" s="973" t="inlineStr">
        <is>
          <t>Data or transaction-integrity compromise</t>
        </is>
      </c>
      <c r="C530" s="973" t="inlineStr">
        <is>
          <t>Public-facing application exploitation</t>
        </is>
      </c>
      <c r="D530" s="973" t="inlineStr">
        <is>
          <t>T1068</t>
        </is>
      </c>
      <c r="E530" s="973" t="inlineStr">
        <is>
          <t>Exploitation for Privilege Escalation</t>
        </is>
      </c>
      <c r="F530" s="973" t="inlineStr">
        <is>
          <t>S3</t>
        </is>
      </c>
      <c r="G530" s="973" t="b">
        <v>1</v>
      </c>
      <c r="H530" s="973" t="b">
        <v>1</v>
      </c>
      <c r="I530" s="973" t="b">
        <v>1</v>
      </c>
      <c r="J530" s="973" t="n">
        <v>0.7</v>
      </c>
      <c r="K530" s="973" t="n">
        <v>0.2094165115356445</v>
      </c>
      <c r="L530" s="973" t="n">
        <v>0.2094165115356445</v>
      </c>
      <c r="M530" s="973" t="inlineStr">
        <is>
          <t>Windows; macOS; Linux</t>
        </is>
      </c>
      <c r="N530" s="973" t="inlineStr">
        <is>
          <t>https://attack.mitre.org/techniques/T1068/</t>
        </is>
      </c>
      <c r="O530" s="973" t="n"/>
      <c r="P530" s="973" t="n"/>
    </row>
    <row r="531">
      <c r="A531" s="973" t="inlineStr">
        <is>
          <t>Malicious insider</t>
        </is>
      </c>
      <c r="B531" s="973" t="inlineStr">
        <is>
          <t>Data or transaction-integrity compromise</t>
        </is>
      </c>
      <c r="C531" s="973" t="inlineStr">
        <is>
          <t>Public-facing application exploitation</t>
        </is>
      </c>
      <c r="D531" s="973" t="inlineStr">
        <is>
          <t>T1003</t>
        </is>
      </c>
      <c r="E531" s="973" t="inlineStr">
        <is>
          <t>OS Credential Dumping</t>
        </is>
      </c>
      <c r="F531" s="973" t="inlineStr">
        <is>
          <t>S3</t>
        </is>
      </c>
      <c r="G531" s="973" t="b">
        <v>1</v>
      </c>
      <c r="H531" s="973" t="b">
        <v>1</v>
      </c>
      <c r="I531" s="973" t="b">
        <v>1</v>
      </c>
      <c r="J531" s="973" t="n">
        <v>0.6</v>
      </c>
      <c r="K531" s="973" t="n">
        <v>0.232294921875</v>
      </c>
      <c r="L531" s="973" t="n">
        <v>0.232294921875</v>
      </c>
      <c r="M531" s="973" t="inlineStr">
        <is>
          <t>Windows; Linux; macOS</t>
        </is>
      </c>
      <c r="N531" s="973" t="inlineStr">
        <is>
          <t>https://attack.mitre.org/techniques/T1003/</t>
        </is>
      </c>
      <c r="O531" s="973" t="n"/>
      <c r="P531" s="973" t="n"/>
    </row>
    <row r="532">
      <c r="A532" s="973" t="inlineStr">
        <is>
          <t>Malicious insider</t>
        </is>
      </c>
      <c r="B532" s="973" t="inlineStr">
        <is>
          <t>Data or transaction-integrity compromise</t>
        </is>
      </c>
      <c r="C532" s="973" t="inlineStr">
        <is>
          <t>Public-facing application exploitation</t>
        </is>
      </c>
      <c r="D532" s="973" t="inlineStr">
        <is>
          <t>T1046</t>
        </is>
      </c>
      <c r="E532" s="973" t="inlineStr">
        <is>
          <t>Network Service Discovery</t>
        </is>
      </c>
      <c r="F532" s="973" t="inlineStr">
        <is>
          <t>S4</t>
        </is>
      </c>
      <c r="G532" s="973" t="b">
        <v>1</v>
      </c>
      <c r="H532" s="973" t="b">
        <v>1</v>
      </c>
      <c r="I532" s="973" t="b">
        <v>1</v>
      </c>
      <c r="J532" s="973" t="n">
        <v>0.7</v>
      </c>
      <c r="K532" s="973" t="n">
        <v>0.16875</v>
      </c>
      <c r="L532" s="973" t="n">
        <v>0.16875</v>
      </c>
      <c r="M532" s="973" t="inlineStr">
        <is>
          <t>Network Devices; Windows; Linux</t>
        </is>
      </c>
      <c r="N532" s="973" t="inlineStr">
        <is>
          <t>https://attack.mitre.org/techniques/T1046/</t>
        </is>
      </c>
      <c r="O532" s="973" t="n"/>
      <c r="P532" s="973" t="n"/>
    </row>
    <row r="533">
      <c r="A533" s="973" t="inlineStr">
        <is>
          <t>Malicious insider</t>
        </is>
      </c>
      <c r="B533" s="973" t="inlineStr">
        <is>
          <t>Data or transaction-integrity compromise</t>
        </is>
      </c>
      <c r="C533" s="973" t="inlineStr">
        <is>
          <t>Public-facing application exploitation</t>
        </is>
      </c>
      <c r="D533" s="973" t="inlineStr">
        <is>
          <t>T1210</t>
        </is>
      </c>
      <c r="E533" s="973" t="inlineStr">
        <is>
          <t>Exploitation of Remote Services</t>
        </is>
      </c>
      <c r="F533" s="973" t="inlineStr">
        <is>
          <t>S4</t>
        </is>
      </c>
      <c r="G533" s="973" t="b">
        <v>1</v>
      </c>
      <c r="H533" s="973" t="b">
        <v>1</v>
      </c>
      <c r="I533" s="973" t="b">
        <v>1</v>
      </c>
      <c r="J533" s="973" t="n">
        <v>0.9</v>
      </c>
      <c r="K533" s="973" t="n">
        <v>0.2103495368957519</v>
      </c>
      <c r="L533" s="973" t="n">
        <v>0.2103495368957519</v>
      </c>
      <c r="M533" s="973" t="inlineStr">
        <is>
          <t>Windows; Linux; Network Devices</t>
        </is>
      </c>
      <c r="N533" s="973" t="inlineStr">
        <is>
          <t>https://attack.mitre.org/techniques/T1210/</t>
        </is>
      </c>
      <c r="O533" s="973" t="n"/>
      <c r="P533" s="973" t="n"/>
    </row>
    <row r="534">
      <c r="A534" s="973" t="inlineStr">
        <is>
          <t>Malicious insider</t>
        </is>
      </c>
      <c r="B534" s="973" t="inlineStr">
        <is>
          <t>Data or transaction-integrity compromise</t>
        </is>
      </c>
      <c r="C534" s="973" t="inlineStr">
        <is>
          <t>Public-facing application exploitation</t>
        </is>
      </c>
      <c r="D534" s="973" t="inlineStr">
        <is>
          <t>T1021</t>
        </is>
      </c>
      <c r="E534" s="973" t="inlineStr">
        <is>
          <t>Remote Services</t>
        </is>
      </c>
      <c r="F534" s="973" t="inlineStr">
        <is>
          <t>S4</t>
        </is>
      </c>
      <c r="G534" s="973" t="b">
        <v>1</v>
      </c>
      <c r="H534" s="973" t="b">
        <v>1</v>
      </c>
      <c r="I534" s="973" t="b">
        <v>1</v>
      </c>
      <c r="J534" s="973" t="n">
        <v>0.7</v>
      </c>
      <c r="K534" s="973" t="n">
        <v>0.1875</v>
      </c>
      <c r="L534" s="973" t="n">
        <v>0.1875</v>
      </c>
      <c r="M534" s="973" t="inlineStr">
        <is>
          <t>Windows; Linux; Network Devices</t>
        </is>
      </c>
      <c r="N534" s="973" t="inlineStr">
        <is>
          <t>https://attack.mitre.org/techniques/T1021/</t>
        </is>
      </c>
      <c r="O534" s="973" t="n"/>
      <c r="P534" s="973" t="n"/>
    </row>
    <row r="535">
      <c r="A535" s="973" t="inlineStr">
        <is>
          <t>Malicious insider</t>
        </is>
      </c>
      <c r="B535" s="973" t="inlineStr">
        <is>
          <t>Data or transaction-integrity compromise</t>
        </is>
      </c>
      <c r="C535" s="973" t="inlineStr">
        <is>
          <t>Public-facing application exploitation</t>
        </is>
      </c>
      <c r="D535" s="973" t="inlineStr">
        <is>
          <t>T1486</t>
        </is>
      </c>
      <c r="E535" s="973" t="inlineStr">
        <is>
          <t>Data Encrypted for Impact</t>
        </is>
      </c>
      <c r="F535" s="973" t="inlineStr">
        <is>
          <t>S5</t>
        </is>
      </c>
      <c r="G535" s="973" t="b">
        <v>1</v>
      </c>
      <c r="H535" s="973" t="b">
        <v>1</v>
      </c>
      <c r="I535" s="973" t="b">
        <v>1</v>
      </c>
      <c r="J535" s="973" t="n">
        <v>0.6</v>
      </c>
      <c r="K535" s="973" t="n">
        <v>0.16875</v>
      </c>
      <c r="L535" s="973" t="n">
        <v>0.16875</v>
      </c>
      <c r="M535" s="973" t="inlineStr">
        <is>
          <t>Windows; Linux; IaaS</t>
        </is>
      </c>
      <c r="N535" s="973" t="inlineStr">
        <is>
          <t>https://attack.mitre.org/techniques/T1486/</t>
        </is>
      </c>
      <c r="O535" s="973" t="n"/>
      <c r="P535" s="973" t="n"/>
    </row>
    <row r="536">
      <c r="A536" s="973" t="inlineStr">
        <is>
          <t>Malicious insider</t>
        </is>
      </c>
      <c r="B536" s="973" t="inlineStr">
        <is>
          <t>Data or transaction-integrity compromise</t>
        </is>
      </c>
      <c r="C536" s="973" t="inlineStr">
        <is>
          <t>Public-facing application exploitation</t>
        </is>
      </c>
      <c r="D536" s="973" t="inlineStr">
        <is>
          <t>T1490</t>
        </is>
      </c>
      <c r="E536" s="973" t="inlineStr">
        <is>
          <t>Inhibit System Recovery</t>
        </is>
      </c>
      <c r="F536" s="973" t="inlineStr">
        <is>
          <t>S5</t>
        </is>
      </c>
      <c r="G536" s="973" t="b">
        <v>1</v>
      </c>
      <c r="H536" s="973" t="b">
        <v>1</v>
      </c>
      <c r="I536" s="973" t="b">
        <v>1</v>
      </c>
      <c r="J536" s="973" t="n">
        <v>0.5</v>
      </c>
      <c r="K536" s="973" t="n">
        <v>0</v>
      </c>
      <c r="L536" s="973" t="n">
        <v>0</v>
      </c>
      <c r="M536" s="973" t="inlineStr">
        <is>
          <t>Windows; Linux; IaaS</t>
        </is>
      </c>
      <c r="N536" s="973" t="inlineStr">
        <is>
          <t>https://attack.mitre.org/techniques/T1490/</t>
        </is>
      </c>
      <c r="O536" s="973" t="n"/>
      <c r="P536" s="973" t="n"/>
    </row>
    <row r="537">
      <c r="A537" s="973" t="inlineStr">
        <is>
          <t>Malicious insider</t>
        </is>
      </c>
      <c r="B537" s="973" t="inlineStr">
        <is>
          <t>Data or transaction-integrity compromise</t>
        </is>
      </c>
      <c r="C537" s="973" t="inlineStr">
        <is>
          <t>Public-facing application exploitation</t>
        </is>
      </c>
      <c r="D537" s="973" t="inlineStr">
        <is>
          <t>T1567</t>
        </is>
      </c>
      <c r="E537" s="973" t="inlineStr">
        <is>
          <t>Exfiltration Over Web Service</t>
        </is>
      </c>
      <c r="F537" s="973" t="inlineStr">
        <is>
          <t>S5</t>
        </is>
      </c>
      <c r="G537" s="973" t="b">
        <v>1</v>
      </c>
      <c r="H537" s="973" t="b">
        <v>0</v>
      </c>
      <c r="I537" s="973" t="b">
        <v>0</v>
      </c>
      <c r="J537" s="973" t="n">
        <v>0.6</v>
      </c>
      <c r="K537" s="973" t="n">
        <v>0.20625</v>
      </c>
      <c r="L537" s="973" t="n">
        <v>0.20625</v>
      </c>
      <c r="M537" s="973" t="inlineStr">
        <is>
          <t>SaaS; Office Suite</t>
        </is>
      </c>
      <c r="N537" s="973" t="inlineStr">
        <is>
          <t>https://attack.mitre.org/techniques/T1567/</t>
        </is>
      </c>
      <c r="O537" s="973" t="n"/>
      <c r="P537" s="973" t="n"/>
    </row>
    <row r="538">
      <c r="A538" s="973" t="inlineStr">
        <is>
          <t>Malicious insider</t>
        </is>
      </c>
      <c r="B538" s="973" t="inlineStr">
        <is>
          <t>Data or transaction-integrity compromise</t>
        </is>
      </c>
      <c r="C538" s="973" t="inlineStr">
        <is>
          <t>Public-facing application exploitation</t>
        </is>
      </c>
      <c r="D538" s="973" t="inlineStr">
        <is>
          <t>T1565</t>
        </is>
      </c>
      <c r="E538" s="973" t="inlineStr">
        <is>
          <t>Data Manipulation</t>
        </is>
      </c>
      <c r="F538" s="973" t="inlineStr">
        <is>
          <t>S5</t>
        </is>
      </c>
      <c r="G538" s="973" t="b">
        <v>1</v>
      </c>
      <c r="H538" s="973" t="b">
        <v>1</v>
      </c>
      <c r="I538" s="973" t="b">
        <v>1</v>
      </c>
      <c r="J538" s="973" t="n">
        <v>0.6</v>
      </c>
      <c r="K538" s="973" t="n">
        <v>0.2206064987182617</v>
      </c>
      <c r="L538" s="973" t="n">
        <v>0.2206064987182617</v>
      </c>
      <c r="M538" s="973" t="inlineStr">
        <is>
          <t>SaaS; Databases; Windows</t>
        </is>
      </c>
      <c r="N538" s="973" t="inlineStr">
        <is>
          <t>https://attack.mitre.org/techniques/T1565/</t>
        </is>
      </c>
      <c r="O538" s="973" t="n"/>
      <c r="P538" s="973" t="n"/>
    </row>
    <row r="539">
      <c r="A539" s="973" t="inlineStr">
        <is>
          <t>Malicious insider</t>
        </is>
      </c>
      <c r="B539" s="973" t="inlineStr">
        <is>
          <t>Data or transaction-integrity compromise</t>
        </is>
      </c>
      <c r="C539" s="973" t="inlineStr">
        <is>
          <t>Public-facing application exploitation</t>
        </is>
      </c>
      <c r="D539" s="973" t="inlineStr">
        <is>
          <t>T1657</t>
        </is>
      </c>
      <c r="E539" s="973" t="inlineStr">
        <is>
          <t>Financial Theft</t>
        </is>
      </c>
      <c r="F539" s="973" t="inlineStr">
        <is>
          <t>S5</t>
        </is>
      </c>
      <c r="G539" s="973" t="b">
        <v>1</v>
      </c>
      <c r="H539" s="973" t="b">
        <v>0</v>
      </c>
      <c r="I539" s="973" t="b">
        <v>0</v>
      </c>
      <c r="J539" s="973" t="n">
        <v>0.4</v>
      </c>
      <c r="K539" s="973" t="n">
        <v>0.275654296875</v>
      </c>
      <c r="L539" s="973" t="n">
        <v>0.275654296875</v>
      </c>
      <c r="M539" s="973" t="inlineStr">
        <is>
          <t>SaaS; Office Suite; Identity Provider</t>
        </is>
      </c>
      <c r="N539" s="973" t="inlineStr">
        <is>
          <t>https://attack.mitre.org/techniques/T1657/</t>
        </is>
      </c>
      <c r="O539" s="973" t="n"/>
      <c r="P539" s="973" t="n"/>
    </row>
    <row r="540">
      <c r="A540" s="973" t="inlineStr">
        <is>
          <t>Malicious insider</t>
        </is>
      </c>
      <c r="B540" s="973" t="inlineStr">
        <is>
          <t>Data or transaction-integrity compromise</t>
        </is>
      </c>
      <c r="C540" s="973" t="inlineStr">
        <is>
          <t>Third-party or software supply chain</t>
        </is>
      </c>
      <c r="D540" s="973" t="inlineStr">
        <is>
          <t>T1199</t>
        </is>
      </c>
      <c r="E540" s="973" t="inlineStr">
        <is>
          <t>Trusted Relationship</t>
        </is>
      </c>
      <c r="F540" s="973" t="inlineStr">
        <is>
          <t>S3</t>
        </is>
      </c>
      <c r="G540" s="973" t="b">
        <v>1</v>
      </c>
      <c r="H540" s="973" t="b">
        <v>1</v>
      </c>
      <c r="I540" s="973" t="b">
        <v>1</v>
      </c>
      <c r="J540" s="973" t="n">
        <v>1</v>
      </c>
      <c r="K540" s="973" t="n">
        <v>0.20625</v>
      </c>
      <c r="L540" s="973" t="n">
        <v>0.20625</v>
      </c>
      <c r="M540" s="973" t="inlineStr">
        <is>
          <t>SaaS; IaaS; Network Devices</t>
        </is>
      </c>
      <c r="N540" s="973" t="inlineStr">
        <is>
          <t>https://attack.mitre.org/techniques/T1199/</t>
        </is>
      </c>
      <c r="O540" s="973" t="n"/>
      <c r="P540" s="973" t="n"/>
    </row>
    <row r="541">
      <c r="A541" s="973" t="inlineStr">
        <is>
          <t>Malicious insider</t>
        </is>
      </c>
      <c r="B541" s="973" t="inlineStr">
        <is>
          <t>Data or transaction-integrity compromise</t>
        </is>
      </c>
      <c r="C541" s="973" t="inlineStr">
        <is>
          <t>Third-party or software supply chain</t>
        </is>
      </c>
      <c r="D541" s="973" t="inlineStr">
        <is>
          <t>T1098</t>
        </is>
      </c>
      <c r="E541" s="973" t="inlineStr">
        <is>
          <t>Account Manipulation</t>
        </is>
      </c>
      <c r="F541" s="973" t="inlineStr">
        <is>
          <t>S3</t>
        </is>
      </c>
      <c r="G541" s="973" t="b">
        <v>1</v>
      </c>
      <c r="H541" s="973" t="b">
        <v>1</v>
      </c>
      <c r="I541" s="973" t="b">
        <v>1</v>
      </c>
      <c r="J541" s="973" t="n">
        <v>0.6</v>
      </c>
      <c r="K541" s="973" t="n">
        <v>0.2477547340393066</v>
      </c>
      <c r="L541" s="973" t="n">
        <v>0.2477547340393066</v>
      </c>
      <c r="M541" s="973" t="inlineStr">
        <is>
          <t>Identity Provider; SaaS; Windows</t>
        </is>
      </c>
      <c r="N541" s="973" t="inlineStr">
        <is>
          <t>https://attack.mitre.org/techniques/T1098/</t>
        </is>
      </c>
      <c r="O541" s="973" t="n"/>
      <c r="P541" s="973" t="n"/>
    </row>
    <row r="542">
      <c r="A542" s="973" t="inlineStr">
        <is>
          <t>Malicious insider</t>
        </is>
      </c>
      <c r="B542" s="973" t="inlineStr">
        <is>
          <t>Data or transaction-integrity compromise</t>
        </is>
      </c>
      <c r="C542" s="973" t="inlineStr">
        <is>
          <t>Third-party or software supply chain</t>
        </is>
      </c>
      <c r="D542" s="973" t="inlineStr">
        <is>
          <t>T1087</t>
        </is>
      </c>
      <c r="E542" s="973" t="inlineStr">
        <is>
          <t>Account Discovery</t>
        </is>
      </c>
      <c r="F542" s="973" t="inlineStr">
        <is>
          <t>S4</t>
        </is>
      </c>
      <c r="G542" s="973" t="b">
        <v>1</v>
      </c>
      <c r="H542" s="973" t="b">
        <v>1</v>
      </c>
      <c r="I542" s="973" t="b">
        <v>1</v>
      </c>
      <c r="J542" s="973" t="n">
        <v>0.5</v>
      </c>
      <c r="K542" s="973" t="n">
        <v>0</v>
      </c>
      <c r="L542" s="973" t="n">
        <v>0</v>
      </c>
      <c r="M542" s="973" t="inlineStr">
        <is>
          <t>Identity Provider; SaaS; Windows</t>
        </is>
      </c>
      <c r="N542" s="973" t="inlineStr">
        <is>
          <t>https://attack.mitre.org/techniques/T1087/</t>
        </is>
      </c>
      <c r="O542" s="973" t="n"/>
      <c r="P542" s="973" t="n"/>
    </row>
    <row r="543">
      <c r="A543" s="973" t="inlineStr">
        <is>
          <t>Malicious insider</t>
        </is>
      </c>
      <c r="B543" s="973" t="inlineStr">
        <is>
          <t>Data or transaction-integrity compromise</t>
        </is>
      </c>
      <c r="C543" s="973" t="inlineStr">
        <is>
          <t>Third-party or software supply chain</t>
        </is>
      </c>
      <c r="D543" s="973" t="inlineStr">
        <is>
          <t>T1213</t>
        </is>
      </c>
      <c r="E543" s="973" t="inlineStr">
        <is>
          <t>Data from Information Repositories</t>
        </is>
      </c>
      <c r="F543" s="973" t="inlineStr">
        <is>
          <t>S4</t>
        </is>
      </c>
      <c r="G543" s="973" t="b">
        <v>1</v>
      </c>
      <c r="H543" s="973" t="b">
        <v>1</v>
      </c>
      <c r="I543" s="973" t="b">
        <v>1</v>
      </c>
      <c r="J543" s="973" t="n">
        <v>0.7</v>
      </c>
      <c r="K543" s="973" t="n">
        <v>0.177890625</v>
      </c>
      <c r="L543" s="973" t="n">
        <v>0.177890625</v>
      </c>
      <c r="M543" s="973" t="inlineStr">
        <is>
          <t>SaaS; Office Suite; Windows</t>
        </is>
      </c>
      <c r="N543" s="973" t="inlineStr">
        <is>
          <t>https://attack.mitre.org/techniques/T1213/</t>
        </is>
      </c>
      <c r="O543" s="973" t="n"/>
      <c r="P543" s="973" t="n"/>
    </row>
    <row r="544">
      <c r="A544" s="973" t="inlineStr">
        <is>
          <t>Malicious insider</t>
        </is>
      </c>
      <c r="B544" s="973" t="inlineStr">
        <is>
          <t>Data or transaction-integrity compromise</t>
        </is>
      </c>
      <c r="C544" s="973" t="inlineStr">
        <is>
          <t>Third-party or software supply chain</t>
        </is>
      </c>
      <c r="D544" s="973" t="inlineStr">
        <is>
          <t>T1567</t>
        </is>
      </c>
      <c r="E544" s="973" t="inlineStr">
        <is>
          <t>Exfiltration Over Web Service</t>
        </is>
      </c>
      <c r="F544" s="973" t="inlineStr">
        <is>
          <t>S5</t>
        </is>
      </c>
      <c r="G544" s="973" t="b">
        <v>1</v>
      </c>
      <c r="H544" s="973" t="b">
        <v>0</v>
      </c>
      <c r="I544" s="973" t="b">
        <v>0</v>
      </c>
      <c r="J544" s="973" t="n">
        <v>0.6</v>
      </c>
      <c r="K544" s="973" t="n">
        <v>0.20625</v>
      </c>
      <c r="L544" s="973" t="n">
        <v>0.20625</v>
      </c>
      <c r="M544" s="973" t="inlineStr">
        <is>
          <t>SaaS; Office Suite</t>
        </is>
      </c>
      <c r="N544" s="973" t="inlineStr">
        <is>
          <t>https://attack.mitre.org/techniques/T1567/</t>
        </is>
      </c>
      <c r="O544" s="973" t="n"/>
      <c r="P544" s="973" t="n"/>
    </row>
    <row r="545">
      <c r="A545" s="973" t="inlineStr">
        <is>
          <t>Malicious insider</t>
        </is>
      </c>
      <c r="B545" s="973" t="inlineStr">
        <is>
          <t>Data or transaction-integrity compromise</t>
        </is>
      </c>
      <c r="C545" s="973" t="inlineStr">
        <is>
          <t>Third-party or software supply chain</t>
        </is>
      </c>
      <c r="D545" s="973" t="inlineStr">
        <is>
          <t>T1486</t>
        </is>
      </c>
      <c r="E545" s="973" t="inlineStr">
        <is>
          <t>Data Encrypted for Impact</t>
        </is>
      </c>
      <c r="F545" s="973" t="inlineStr">
        <is>
          <t>S5</t>
        </is>
      </c>
      <c r="G545" s="973" t="b">
        <v>1</v>
      </c>
      <c r="H545" s="973" t="b">
        <v>1</v>
      </c>
      <c r="I545" s="973" t="b">
        <v>1</v>
      </c>
      <c r="J545" s="973" t="n">
        <v>0.5</v>
      </c>
      <c r="K545" s="973" t="n">
        <v>0.16875</v>
      </c>
      <c r="L545" s="973" t="n">
        <v>0.16875</v>
      </c>
      <c r="M545" s="973" t="inlineStr">
        <is>
          <t>Windows; Linux; IaaS</t>
        </is>
      </c>
      <c r="N545" s="973" t="inlineStr">
        <is>
          <t>https://attack.mitre.org/techniques/T1486/</t>
        </is>
      </c>
      <c r="O545" s="973" t="n"/>
      <c r="P545" s="973" t="n"/>
    </row>
    <row r="546">
      <c r="A546" s="973" t="inlineStr">
        <is>
          <t>Malicious insider</t>
        </is>
      </c>
      <c r="B546" s="973" t="inlineStr">
        <is>
          <t>Data or transaction-integrity compromise</t>
        </is>
      </c>
      <c r="C546" s="973" t="inlineStr">
        <is>
          <t>Third-party or software supply chain</t>
        </is>
      </c>
      <c r="D546" s="973" t="inlineStr">
        <is>
          <t>T1565</t>
        </is>
      </c>
      <c r="E546" s="973" t="inlineStr">
        <is>
          <t>Data Manipulation</t>
        </is>
      </c>
      <c r="F546" s="973" t="inlineStr">
        <is>
          <t>S5</t>
        </is>
      </c>
      <c r="G546" s="973" t="b">
        <v>1</v>
      </c>
      <c r="H546" s="973" t="b">
        <v>1</v>
      </c>
      <c r="I546" s="973" t="b">
        <v>1</v>
      </c>
      <c r="J546" s="973" t="n">
        <v>0.6</v>
      </c>
      <c r="K546" s="973" t="n">
        <v>0.2206064987182617</v>
      </c>
      <c r="L546" s="973" t="n">
        <v>0.2206064987182617</v>
      </c>
      <c r="M546" s="973" t="inlineStr">
        <is>
          <t>SaaS; Databases; Windows</t>
        </is>
      </c>
      <c r="N546" s="973" t="inlineStr">
        <is>
          <t>https://attack.mitre.org/techniques/T1565/</t>
        </is>
      </c>
      <c r="O546" s="973" t="n"/>
      <c r="P546" s="973" t="n"/>
    </row>
    <row r="547">
      <c r="A547" s="973" t="inlineStr">
        <is>
          <t>Malicious insider</t>
        </is>
      </c>
      <c r="B547" s="973" t="inlineStr">
        <is>
          <t>Data or transaction-integrity compromise</t>
        </is>
      </c>
      <c r="C547" s="973" t="inlineStr">
        <is>
          <t>Third-party or software supply chain</t>
        </is>
      </c>
      <c r="D547" s="973" t="inlineStr">
        <is>
          <t>T1657</t>
        </is>
      </c>
      <c r="E547" s="973" t="inlineStr">
        <is>
          <t>Financial Theft</t>
        </is>
      </c>
      <c r="F547" s="973" t="inlineStr">
        <is>
          <t>S5</t>
        </is>
      </c>
      <c r="G547" s="973" t="b">
        <v>1</v>
      </c>
      <c r="H547" s="973" t="b">
        <v>0</v>
      </c>
      <c r="I547" s="973" t="b">
        <v>0</v>
      </c>
      <c r="J547" s="973" t="n">
        <v>0.5</v>
      </c>
      <c r="K547" s="973" t="n">
        <v>0.275654296875</v>
      </c>
      <c r="L547" s="973" t="n">
        <v>0.275654296875</v>
      </c>
      <c r="M547" s="973" t="inlineStr">
        <is>
          <t>SaaS; Office Suite; Identity Provider</t>
        </is>
      </c>
      <c r="N547" s="973" t="inlineStr">
        <is>
          <t>https://attack.mitre.org/techniques/T1657/</t>
        </is>
      </c>
      <c r="O547" s="973" t="n"/>
      <c r="P547" s="973" t="n"/>
    </row>
    <row r="548">
      <c r="A548" s="973" t="inlineStr">
        <is>
          <t>Malicious insider</t>
        </is>
      </c>
      <c r="B548" s="973" t="inlineStr">
        <is>
          <t>Data or transaction-integrity compromise</t>
        </is>
      </c>
      <c r="C548" s="973" t="inlineStr">
        <is>
          <t>Insider or trusted access</t>
        </is>
      </c>
      <c r="D548" s="973" t="inlineStr">
        <is>
          <t>T1098</t>
        </is>
      </c>
      <c r="E548" s="973" t="inlineStr">
        <is>
          <t>Account Manipulation</t>
        </is>
      </c>
      <c r="F548" s="973" t="inlineStr">
        <is>
          <t>S3</t>
        </is>
      </c>
      <c r="G548" s="973" t="b">
        <v>1</v>
      </c>
      <c r="H548" s="973" t="b">
        <v>1</v>
      </c>
      <c r="I548" s="973" t="b">
        <v>1</v>
      </c>
      <c r="J548" s="973" t="n">
        <v>0.8</v>
      </c>
      <c r="K548" s="973" t="n">
        <v>0.2477547340393066</v>
      </c>
      <c r="L548" s="973" t="n">
        <v>0.2477547340393066</v>
      </c>
      <c r="M548" s="973" t="inlineStr">
        <is>
          <t>Identity Provider; SaaS; Windows</t>
        </is>
      </c>
      <c r="N548" s="973" t="inlineStr">
        <is>
          <t>https://attack.mitre.org/techniques/T1098/</t>
        </is>
      </c>
      <c r="O548" s="973" t="n"/>
      <c r="P548" s="973" t="n"/>
    </row>
    <row r="549">
      <c r="A549" s="973" t="inlineStr">
        <is>
          <t>Malicious insider</t>
        </is>
      </c>
      <c r="B549" s="973" t="inlineStr">
        <is>
          <t>Data or transaction-integrity compromise</t>
        </is>
      </c>
      <c r="C549" s="973" t="inlineStr">
        <is>
          <t>Insider or trusted access</t>
        </is>
      </c>
      <c r="D549" s="973" t="inlineStr">
        <is>
          <t>T1087</t>
        </is>
      </c>
      <c r="E549" s="973" t="inlineStr">
        <is>
          <t>Account Discovery</t>
        </is>
      </c>
      <c r="F549" s="973" t="inlineStr">
        <is>
          <t>S4</t>
        </is>
      </c>
      <c r="G549" s="973" t="b">
        <v>1</v>
      </c>
      <c r="H549" s="973" t="b">
        <v>1</v>
      </c>
      <c r="I549" s="973" t="b">
        <v>1</v>
      </c>
      <c r="J549" s="973" t="n">
        <v>0.6</v>
      </c>
      <c r="K549" s="973" t="n">
        <v>0</v>
      </c>
      <c r="L549" s="973" t="n">
        <v>0</v>
      </c>
      <c r="M549" s="973" t="inlineStr">
        <is>
          <t>Identity Provider; SaaS; Windows</t>
        </is>
      </c>
      <c r="N549" s="973" t="inlineStr">
        <is>
          <t>https://attack.mitre.org/techniques/T1087/</t>
        </is>
      </c>
      <c r="O549" s="973" t="n"/>
      <c r="P549" s="973" t="n"/>
    </row>
    <row r="550">
      <c r="A550" s="973" t="inlineStr">
        <is>
          <t>Malicious insider</t>
        </is>
      </c>
      <c r="B550" s="973" t="inlineStr">
        <is>
          <t>Data or transaction-integrity compromise</t>
        </is>
      </c>
      <c r="C550" s="973" t="inlineStr">
        <is>
          <t>Insider or trusted access</t>
        </is>
      </c>
      <c r="D550" s="973" t="inlineStr">
        <is>
          <t>T1213</t>
        </is>
      </c>
      <c r="E550" s="973" t="inlineStr">
        <is>
          <t>Data from Information Repositories</t>
        </is>
      </c>
      <c r="F550" s="973" t="inlineStr">
        <is>
          <t>S4</t>
        </is>
      </c>
      <c r="G550" s="973" t="b">
        <v>1</v>
      </c>
      <c r="H550" s="973" t="b">
        <v>1</v>
      </c>
      <c r="I550" s="973" t="b">
        <v>1</v>
      </c>
      <c r="J550" s="973" t="n">
        <v>0.9</v>
      </c>
      <c r="K550" s="973" t="n">
        <v>0.177890625</v>
      </c>
      <c r="L550" s="973" t="n">
        <v>0.177890625</v>
      </c>
      <c r="M550" s="973" t="inlineStr">
        <is>
          <t>SaaS; Office Suite; Windows</t>
        </is>
      </c>
      <c r="N550" s="973" t="inlineStr">
        <is>
          <t>https://attack.mitre.org/techniques/T1213/</t>
        </is>
      </c>
      <c r="O550" s="973" t="n"/>
      <c r="P550" s="973" t="n"/>
    </row>
    <row r="551">
      <c r="A551" s="973" t="inlineStr">
        <is>
          <t>Malicious insider</t>
        </is>
      </c>
      <c r="B551" s="973" t="inlineStr">
        <is>
          <t>Data or transaction-integrity compromise</t>
        </is>
      </c>
      <c r="C551" s="973" t="inlineStr">
        <is>
          <t>Insider or trusted access</t>
        </is>
      </c>
      <c r="D551" s="973" t="inlineStr">
        <is>
          <t>T1567</t>
        </is>
      </c>
      <c r="E551" s="973" t="inlineStr">
        <is>
          <t>Exfiltration Over Web Service</t>
        </is>
      </c>
      <c r="F551" s="973" t="inlineStr">
        <is>
          <t>S5</t>
        </is>
      </c>
      <c r="G551" s="973" t="b">
        <v>1</v>
      </c>
      <c r="H551" s="973" t="b">
        <v>0</v>
      </c>
      <c r="I551" s="973" t="b">
        <v>0</v>
      </c>
      <c r="J551" s="973" t="n">
        <v>0.8</v>
      </c>
      <c r="K551" s="973" t="n">
        <v>0.20625</v>
      </c>
      <c r="L551" s="973" t="n">
        <v>0.20625</v>
      </c>
      <c r="M551" s="973" t="inlineStr">
        <is>
          <t>SaaS; Office Suite</t>
        </is>
      </c>
      <c r="N551" s="973" t="inlineStr">
        <is>
          <t>https://attack.mitre.org/techniques/T1567/</t>
        </is>
      </c>
      <c r="O551" s="973" t="n"/>
      <c r="P551" s="973" t="n"/>
    </row>
    <row r="552">
      <c r="A552" s="973" t="inlineStr">
        <is>
          <t>Malicious insider</t>
        </is>
      </c>
      <c r="B552" s="973" t="inlineStr">
        <is>
          <t>Data or transaction-integrity compromise</t>
        </is>
      </c>
      <c r="C552" s="973" t="inlineStr">
        <is>
          <t>Insider or trusted access</t>
        </is>
      </c>
      <c r="D552" s="973" t="inlineStr">
        <is>
          <t>T1565</t>
        </is>
      </c>
      <c r="E552" s="973" t="inlineStr">
        <is>
          <t>Data Manipulation</t>
        </is>
      </c>
      <c r="F552" s="973" t="inlineStr">
        <is>
          <t>S5</t>
        </is>
      </c>
      <c r="G552" s="973" t="b">
        <v>1</v>
      </c>
      <c r="H552" s="973" t="b">
        <v>1</v>
      </c>
      <c r="I552" s="973" t="b">
        <v>1</v>
      </c>
      <c r="J552" s="973" t="n">
        <v>0.9</v>
      </c>
      <c r="K552" s="973" t="n">
        <v>0.2206064987182617</v>
      </c>
      <c r="L552" s="973" t="n">
        <v>0.2206064987182617</v>
      </c>
      <c r="M552" s="973" t="inlineStr">
        <is>
          <t>SaaS; Databases; Windows</t>
        </is>
      </c>
      <c r="N552" s="973" t="inlineStr">
        <is>
          <t>https://attack.mitre.org/techniques/T1565/</t>
        </is>
      </c>
      <c r="O552" s="973" t="n"/>
      <c r="P552" s="973" t="n"/>
    </row>
    <row r="553">
      <c r="A553" s="973" t="inlineStr">
        <is>
          <t>Malicious insider</t>
        </is>
      </c>
      <c r="B553" s="973" t="inlineStr">
        <is>
          <t>Data or transaction-integrity compromise</t>
        </is>
      </c>
      <c r="C553" s="973" t="inlineStr">
        <is>
          <t>Insider or trusted access</t>
        </is>
      </c>
      <c r="D553" s="973" t="inlineStr">
        <is>
          <t>T1657</t>
        </is>
      </c>
      <c r="E553" s="973" t="inlineStr">
        <is>
          <t>Financial Theft</t>
        </is>
      </c>
      <c r="F553" s="973" t="inlineStr">
        <is>
          <t>S5</t>
        </is>
      </c>
      <c r="G553" s="973" t="b">
        <v>1</v>
      </c>
      <c r="H553" s="973" t="b">
        <v>0</v>
      </c>
      <c r="I553" s="973" t="b">
        <v>0</v>
      </c>
      <c r="J553" s="973" t="n">
        <v>0.9</v>
      </c>
      <c r="K553" s="973" t="n">
        <v>0.275654296875</v>
      </c>
      <c r="L553" s="973" t="n">
        <v>0.275654296875</v>
      </c>
      <c r="M553" s="973" t="inlineStr">
        <is>
          <t>SaaS; Office Suite; Identity Provider</t>
        </is>
      </c>
      <c r="N553" s="973" t="inlineStr">
        <is>
          <t>https://attack.mitre.org/techniques/T1657/</t>
        </is>
      </c>
      <c r="O553" s="973" t="n"/>
      <c r="P553" s="973" t="n"/>
    </row>
    <row r="554">
      <c r="A554" s="973" t="inlineStr">
        <is>
          <t>Malicious insider</t>
        </is>
      </c>
      <c r="B554" s="973" t="inlineStr">
        <is>
          <t>Cyber-enabled theft or fraud</t>
        </is>
      </c>
      <c r="C554" s="973" t="inlineStr">
        <is>
          <t>Identity and credential compromise</t>
        </is>
      </c>
      <c r="D554" s="973" t="inlineStr">
        <is>
          <t>T1566</t>
        </is>
      </c>
      <c r="E554" s="973" t="inlineStr">
        <is>
          <t>Phishing</t>
        </is>
      </c>
      <c r="F554" s="973" t="inlineStr">
        <is>
          <t>S1</t>
        </is>
      </c>
      <c r="G554" s="973" t="b">
        <v>1</v>
      </c>
      <c r="H554" s="973" t="b">
        <v>1</v>
      </c>
      <c r="I554" s="973" t="b">
        <v>1</v>
      </c>
      <c r="J554" s="973" t="n">
        <v>1</v>
      </c>
      <c r="K554" s="973" t="n">
        <v>0.20625</v>
      </c>
      <c r="L554" s="973" t="n">
        <v>0.20625</v>
      </c>
      <c r="M554" s="973" t="inlineStr">
        <is>
          <t>Windows; SaaS; Office Suite</t>
        </is>
      </c>
      <c r="N554" s="973" t="inlineStr">
        <is>
          <t>https://attack.mitre.org/techniques/T1566/</t>
        </is>
      </c>
      <c r="O554" s="973" t="n"/>
      <c r="P554" s="973" t="n"/>
    </row>
    <row r="555">
      <c r="A555" s="973" t="inlineStr">
        <is>
          <t>Malicious insider</t>
        </is>
      </c>
      <c r="B555" s="973" t="inlineStr">
        <is>
          <t>Cyber-enabled theft or fraud</t>
        </is>
      </c>
      <c r="C555" s="973" t="inlineStr">
        <is>
          <t>Identity and credential compromise</t>
        </is>
      </c>
      <c r="D555" s="973" t="inlineStr">
        <is>
          <t>T1078</t>
        </is>
      </c>
      <c r="E555" s="973" t="inlineStr">
        <is>
          <t>Valid Accounts</t>
        </is>
      </c>
      <c r="F555" s="973" t="inlineStr">
        <is>
          <t>S1</t>
        </is>
      </c>
      <c r="G555" s="973" t="b">
        <v>1</v>
      </c>
      <c r="H555" s="973" t="b">
        <v>1</v>
      </c>
      <c r="I555" s="973" t="b">
        <v>1</v>
      </c>
      <c r="J555" s="973" t="n">
        <v>1</v>
      </c>
      <c r="K555" s="973" t="n">
        <v>0.272109375</v>
      </c>
      <c r="L555" s="973" t="n">
        <v>0.272109375</v>
      </c>
      <c r="M555" s="973" t="inlineStr">
        <is>
          <t>Identity Provider; SaaS; IaaS; Windows</t>
        </is>
      </c>
      <c r="N555" s="973" t="inlineStr">
        <is>
          <t>https://attack.mitre.org/techniques/T1078/</t>
        </is>
      </c>
      <c r="O555" s="973" t="n"/>
      <c r="P555" s="973" t="n"/>
    </row>
    <row r="556">
      <c r="A556" s="973" t="inlineStr">
        <is>
          <t>Malicious insider</t>
        </is>
      </c>
      <c r="B556" s="973" t="inlineStr">
        <is>
          <t>Cyber-enabled theft or fraud</t>
        </is>
      </c>
      <c r="C556" s="973" t="inlineStr">
        <is>
          <t>Identity and credential compromise</t>
        </is>
      </c>
      <c r="D556" s="973" t="inlineStr">
        <is>
          <t>T1110</t>
        </is>
      </c>
      <c r="E556" s="973" t="inlineStr">
        <is>
          <t>Brute Force</t>
        </is>
      </c>
      <c r="F556" s="973" t="inlineStr">
        <is>
          <t>S1</t>
        </is>
      </c>
      <c r="G556" s="973" t="b">
        <v>0</v>
      </c>
      <c r="H556" s="973" t="b">
        <v>1</v>
      </c>
      <c r="I556" s="973" t="b">
        <v>0</v>
      </c>
      <c r="J556" s="973" t="n">
        <v>0.7</v>
      </c>
      <c r="K556" s="973" t="n">
        <v>0.24375</v>
      </c>
      <c r="L556" s="973" t="n">
        <v>0.24375</v>
      </c>
      <c r="M556" s="973" t="inlineStr">
        <is>
          <t>Identity Provider; SaaS; Windows</t>
        </is>
      </c>
      <c r="N556" s="973" t="inlineStr">
        <is>
          <t>https://attack.mitre.org/techniques/T1110/</t>
        </is>
      </c>
      <c r="O556" s="973" t="n"/>
      <c r="P556" s="973" t="n"/>
    </row>
    <row r="557">
      <c r="A557" s="973" t="inlineStr">
        <is>
          <t>Malicious insider</t>
        </is>
      </c>
      <c r="B557" s="973" t="inlineStr">
        <is>
          <t>Cyber-enabled theft or fraud</t>
        </is>
      </c>
      <c r="C557" s="973" t="inlineStr">
        <is>
          <t>Identity and credential compromise</t>
        </is>
      </c>
      <c r="D557" s="973" t="inlineStr">
        <is>
          <t>T1098</t>
        </is>
      </c>
      <c r="E557" s="973" t="inlineStr">
        <is>
          <t>Account Manipulation</t>
        </is>
      </c>
      <c r="F557" s="973" t="inlineStr">
        <is>
          <t>S3</t>
        </is>
      </c>
      <c r="G557" s="973" t="b">
        <v>1</v>
      </c>
      <c r="H557" s="973" t="b">
        <v>1</v>
      </c>
      <c r="I557" s="973" t="b">
        <v>1</v>
      </c>
      <c r="J557" s="973" t="n">
        <v>0.7</v>
      </c>
      <c r="K557" s="973" t="n">
        <v>0.2477547340393066</v>
      </c>
      <c r="L557" s="973" t="n">
        <v>0.2477547340393066</v>
      </c>
      <c r="M557" s="973" t="inlineStr">
        <is>
          <t>Identity Provider; SaaS; Windows</t>
        </is>
      </c>
      <c r="N557" s="973" t="inlineStr">
        <is>
          <t>https://attack.mitre.org/techniques/T1098/</t>
        </is>
      </c>
      <c r="O557" s="973" t="n"/>
      <c r="P557" s="973" t="n"/>
    </row>
    <row r="558">
      <c r="A558" s="973" t="inlineStr">
        <is>
          <t>Malicious insider</t>
        </is>
      </c>
      <c r="B558" s="973" t="inlineStr">
        <is>
          <t>Cyber-enabled theft or fraud</t>
        </is>
      </c>
      <c r="C558" s="973" t="inlineStr">
        <is>
          <t>Identity and credential compromise</t>
        </is>
      </c>
      <c r="D558" s="973" t="inlineStr">
        <is>
          <t>T1567</t>
        </is>
      </c>
      <c r="E558" s="973" t="inlineStr">
        <is>
          <t>Exfiltration Over Web Service</t>
        </is>
      </c>
      <c r="F558" s="973" t="inlineStr">
        <is>
          <t>S5</t>
        </is>
      </c>
      <c r="G558" s="973" t="b">
        <v>1</v>
      </c>
      <c r="H558" s="973" t="b">
        <v>0</v>
      </c>
      <c r="I558" s="973" t="b">
        <v>0</v>
      </c>
      <c r="J558" s="973" t="n">
        <v>0.7</v>
      </c>
      <c r="K558" s="973" t="n">
        <v>0.20625</v>
      </c>
      <c r="L558" s="973" t="n">
        <v>0.20625</v>
      </c>
      <c r="M558" s="973" t="inlineStr">
        <is>
          <t>SaaS; Office Suite</t>
        </is>
      </c>
      <c r="N558" s="973" t="inlineStr">
        <is>
          <t>https://attack.mitre.org/techniques/T1567/</t>
        </is>
      </c>
      <c r="O558" s="973" t="n"/>
      <c r="P558" s="973" t="n"/>
    </row>
    <row r="559">
      <c r="A559" s="973" t="inlineStr">
        <is>
          <t>Malicious insider</t>
        </is>
      </c>
      <c r="B559" s="973" t="inlineStr">
        <is>
          <t>Cyber-enabled theft or fraud</t>
        </is>
      </c>
      <c r="C559" s="973" t="inlineStr">
        <is>
          <t>Identity and credential compromise</t>
        </is>
      </c>
      <c r="D559" s="973" t="inlineStr">
        <is>
          <t>T1657</t>
        </is>
      </c>
      <c r="E559" s="973" t="inlineStr">
        <is>
          <t>Financial Theft</t>
        </is>
      </c>
      <c r="F559" s="973" t="inlineStr">
        <is>
          <t>S5</t>
        </is>
      </c>
      <c r="G559" s="973" t="b">
        <v>1</v>
      </c>
      <c r="H559" s="973" t="b">
        <v>1</v>
      </c>
      <c r="I559" s="973" t="b">
        <v>1</v>
      </c>
      <c r="J559" s="973" t="n">
        <v>0.8</v>
      </c>
      <c r="K559" s="973" t="n">
        <v>0.275654296875</v>
      </c>
      <c r="L559" s="973" t="n">
        <v>0.275654296875</v>
      </c>
      <c r="M559" s="973" t="inlineStr">
        <is>
          <t>SaaS; Office Suite; Identity Provider</t>
        </is>
      </c>
      <c r="N559" s="973" t="inlineStr">
        <is>
          <t>https://attack.mitre.org/techniques/T1657/</t>
        </is>
      </c>
      <c r="O559" s="973" t="n"/>
      <c r="P559" s="973" t="n"/>
    </row>
    <row r="560">
      <c r="A560" s="973" t="inlineStr">
        <is>
          <t>Malicious insider</t>
        </is>
      </c>
      <c r="B560" s="973" t="inlineStr">
        <is>
          <t>Cyber-enabled theft or fraud</t>
        </is>
      </c>
      <c r="C560" s="973" t="inlineStr">
        <is>
          <t>Identity and credential compromise</t>
        </is>
      </c>
      <c r="D560" s="973" t="inlineStr">
        <is>
          <t>T1565</t>
        </is>
      </c>
      <c r="E560" s="973" t="inlineStr">
        <is>
          <t>Data Manipulation</t>
        </is>
      </c>
      <c r="F560" s="973" t="inlineStr">
        <is>
          <t>S5</t>
        </is>
      </c>
      <c r="G560" s="973" t="b">
        <v>1</v>
      </c>
      <c r="H560" s="973" t="b">
        <v>1</v>
      </c>
      <c r="I560" s="973" t="b">
        <v>1</v>
      </c>
      <c r="J560" s="973" t="n">
        <v>0.5</v>
      </c>
      <c r="K560" s="973" t="n">
        <v>0.2206064987182617</v>
      </c>
      <c r="L560" s="973" t="n">
        <v>0.2206064987182617</v>
      </c>
      <c r="M560" s="973" t="inlineStr">
        <is>
          <t>SaaS; Databases; Windows</t>
        </is>
      </c>
      <c r="N560" s="973" t="inlineStr">
        <is>
          <t>https://attack.mitre.org/techniques/T1565/</t>
        </is>
      </c>
      <c r="O560" s="973" t="n"/>
      <c r="P560" s="973" t="n"/>
    </row>
    <row r="561">
      <c r="A561" s="973" t="inlineStr">
        <is>
          <t>Malicious insider</t>
        </is>
      </c>
      <c r="B561" s="973" t="inlineStr">
        <is>
          <t>Cyber-enabled theft or fraud</t>
        </is>
      </c>
      <c r="C561" s="973" t="inlineStr">
        <is>
          <t>Identity and credential compromise</t>
        </is>
      </c>
      <c r="D561" s="973" t="inlineStr">
        <is>
          <t>T1486</t>
        </is>
      </c>
      <c r="E561" s="973" t="inlineStr">
        <is>
          <t>Data Encrypted for Impact</t>
        </is>
      </c>
      <c r="F561" s="973" t="inlineStr">
        <is>
          <t>S5</t>
        </is>
      </c>
      <c r="G561" s="973" t="b">
        <v>1</v>
      </c>
      <c r="H561" s="973" t="b">
        <v>0</v>
      </c>
      <c r="I561" s="973" t="b">
        <v>0</v>
      </c>
      <c r="J561" s="973" t="n">
        <v>0.7</v>
      </c>
      <c r="K561" s="973" t="n">
        <v>0.16875</v>
      </c>
      <c r="L561" s="973" t="n">
        <v>0.16875</v>
      </c>
      <c r="M561" s="973" t="inlineStr">
        <is>
          <t>Windows; Linux; IaaS</t>
        </is>
      </c>
      <c r="N561" s="973" t="inlineStr">
        <is>
          <t>https://attack.mitre.org/techniques/T1486/</t>
        </is>
      </c>
      <c r="O561" s="973" t="n"/>
      <c r="P561" s="973" t="n"/>
    </row>
    <row r="562">
      <c r="A562" s="973" t="inlineStr">
        <is>
          <t>Malicious insider</t>
        </is>
      </c>
      <c r="B562" s="973" t="inlineStr">
        <is>
          <t>Cyber-enabled theft or fraud</t>
        </is>
      </c>
      <c r="C562" s="973" t="inlineStr">
        <is>
          <t>Identity and credential compromise</t>
        </is>
      </c>
      <c r="D562" s="973" t="inlineStr">
        <is>
          <t>T1490</t>
        </is>
      </c>
      <c r="E562" s="973" t="inlineStr">
        <is>
          <t>Inhibit System Recovery</t>
        </is>
      </c>
      <c r="F562" s="973" t="inlineStr">
        <is>
          <t>S5</t>
        </is>
      </c>
      <c r="G562" s="973" t="b">
        <v>1</v>
      </c>
      <c r="H562" s="973" t="b">
        <v>0</v>
      </c>
      <c r="I562" s="973" t="b">
        <v>0</v>
      </c>
      <c r="J562" s="973" t="n">
        <v>0.6</v>
      </c>
      <c r="K562" s="973" t="n">
        <v>0</v>
      </c>
      <c r="L562" s="973" t="n">
        <v>0</v>
      </c>
      <c r="M562" s="973" t="inlineStr">
        <is>
          <t>Windows; Linux; IaaS</t>
        </is>
      </c>
      <c r="N562" s="973" t="inlineStr">
        <is>
          <t>https://attack.mitre.org/techniques/T1490/</t>
        </is>
      </c>
      <c r="O562" s="973" t="n"/>
      <c r="P562" s="973" t="n"/>
    </row>
    <row r="563">
      <c r="A563" s="973" t="inlineStr">
        <is>
          <t>Malicious insider</t>
        </is>
      </c>
      <c r="B563" s="973" t="inlineStr">
        <is>
          <t>Cyber-enabled theft or fraud</t>
        </is>
      </c>
      <c r="C563" s="973" t="inlineStr">
        <is>
          <t>User endpoint and social engineering</t>
        </is>
      </c>
      <c r="D563" s="973" t="inlineStr">
        <is>
          <t>T1566</t>
        </is>
      </c>
      <c r="E563" s="973" t="inlineStr">
        <is>
          <t>Phishing</t>
        </is>
      </c>
      <c r="F563" s="973" t="inlineStr">
        <is>
          <t>S1</t>
        </is>
      </c>
      <c r="G563" s="973" t="b">
        <v>1</v>
      </c>
      <c r="H563" s="973" t="b">
        <v>1</v>
      </c>
      <c r="I563" s="973" t="b">
        <v>1</v>
      </c>
      <c r="J563" s="973" t="n">
        <v>1</v>
      </c>
      <c r="K563" s="973" t="n">
        <v>0.20625</v>
      </c>
      <c r="L563" s="973" t="n">
        <v>0.20625</v>
      </c>
      <c r="M563" s="973" t="inlineStr">
        <is>
          <t>Windows; SaaS; Office Suite</t>
        </is>
      </c>
      <c r="N563" s="973" t="inlineStr">
        <is>
          <t>https://attack.mitre.org/techniques/T1566/</t>
        </is>
      </c>
      <c r="O563" s="973" t="n"/>
      <c r="P563" s="973" t="n"/>
    </row>
    <row r="564">
      <c r="A564" s="973" t="inlineStr">
        <is>
          <t>Malicious insider</t>
        </is>
      </c>
      <c r="B564" s="973" t="inlineStr">
        <is>
          <t>Cyber-enabled theft or fraud</t>
        </is>
      </c>
      <c r="C564" s="973" t="inlineStr">
        <is>
          <t>User endpoint and social engineering</t>
        </is>
      </c>
      <c r="D564" s="973" t="inlineStr">
        <is>
          <t>T1203</t>
        </is>
      </c>
      <c r="E564" s="973" t="inlineStr">
        <is>
          <t>Exploitation for Client Execution</t>
        </is>
      </c>
      <c r="F564" s="973" t="inlineStr">
        <is>
          <t>S2</t>
        </is>
      </c>
      <c r="G564" s="973" t="b">
        <v>0</v>
      </c>
      <c r="H564" s="973" t="b">
        <v>1</v>
      </c>
      <c r="I564" s="973" t="b">
        <v>0</v>
      </c>
      <c r="J564" s="973" t="n">
        <v>0.8</v>
      </c>
      <c r="K564" s="973" t="n">
        <v>0.2404920959472656</v>
      </c>
      <c r="L564" s="973" t="n">
        <v>0.2404920959472656</v>
      </c>
      <c r="M564" s="973" t="inlineStr">
        <is>
          <t>Windows; macOS; Linux</t>
        </is>
      </c>
      <c r="N564" s="973" t="inlineStr">
        <is>
          <t>https://attack.mitre.org/techniques/T1203/</t>
        </is>
      </c>
      <c r="O564" s="973" t="n"/>
      <c r="P564" s="973" t="n"/>
    </row>
    <row r="565">
      <c r="A565" s="973" t="inlineStr">
        <is>
          <t>Malicious insider</t>
        </is>
      </c>
      <c r="B565" s="973" t="inlineStr">
        <is>
          <t>Cyber-enabled theft or fraud</t>
        </is>
      </c>
      <c r="C565" s="973" t="inlineStr">
        <is>
          <t>User endpoint and social engineering</t>
        </is>
      </c>
      <c r="D565" s="973" t="inlineStr">
        <is>
          <t>T1059</t>
        </is>
      </c>
      <c r="E565" s="973" t="inlineStr">
        <is>
          <t>Command and Scripting Interpreter</t>
        </is>
      </c>
      <c r="F565" s="973" t="inlineStr">
        <is>
          <t>S2</t>
        </is>
      </c>
      <c r="G565" s="973" t="b">
        <v>1</v>
      </c>
      <c r="H565" s="973" t="b">
        <v>1</v>
      </c>
      <c r="I565" s="973" t="b">
        <v>1</v>
      </c>
      <c r="J565" s="973" t="n">
        <v>0.9</v>
      </c>
      <c r="K565" s="973" t="n">
        <v>0.1875</v>
      </c>
      <c r="L565" s="973" t="n">
        <v>0.1875</v>
      </c>
      <c r="M565" s="973" t="inlineStr">
        <is>
          <t>Windows; macOS; Linux; IaaS</t>
        </is>
      </c>
      <c r="N565" s="973" t="inlineStr">
        <is>
          <t>https://attack.mitre.org/techniques/T1059/</t>
        </is>
      </c>
      <c r="O565" s="973" t="n"/>
      <c r="P565" s="973" t="n"/>
    </row>
    <row r="566">
      <c r="A566" s="973" t="inlineStr">
        <is>
          <t>Malicious insider</t>
        </is>
      </c>
      <c r="B566" s="973" t="inlineStr">
        <is>
          <t>Cyber-enabled theft or fraud</t>
        </is>
      </c>
      <c r="C566" s="973" t="inlineStr">
        <is>
          <t>User endpoint and social engineering</t>
        </is>
      </c>
      <c r="D566" s="973" t="inlineStr">
        <is>
          <t>T1486</t>
        </is>
      </c>
      <c r="E566" s="973" t="inlineStr">
        <is>
          <t>Data Encrypted for Impact</t>
        </is>
      </c>
      <c r="F566" s="973" t="inlineStr">
        <is>
          <t>S5</t>
        </is>
      </c>
      <c r="G566" s="973" t="b">
        <v>1</v>
      </c>
      <c r="H566" s="973" t="b">
        <v>0</v>
      </c>
      <c r="I566" s="973" t="b">
        <v>0</v>
      </c>
      <c r="J566" s="973" t="n">
        <v>0.8</v>
      </c>
      <c r="K566" s="973" t="n">
        <v>0.16875</v>
      </c>
      <c r="L566" s="973" t="n">
        <v>0.16875</v>
      </c>
      <c r="M566" s="973" t="inlineStr">
        <is>
          <t>Windows; Linux; IaaS</t>
        </is>
      </c>
      <c r="N566" s="973" t="inlineStr">
        <is>
          <t>https://attack.mitre.org/techniques/T1486/</t>
        </is>
      </c>
      <c r="O566" s="973" t="n"/>
      <c r="P566" s="973" t="n"/>
    </row>
    <row r="567">
      <c r="A567" s="973" t="inlineStr">
        <is>
          <t>Malicious insider</t>
        </is>
      </c>
      <c r="B567" s="973" t="inlineStr">
        <is>
          <t>Cyber-enabled theft or fraud</t>
        </is>
      </c>
      <c r="C567" s="973" t="inlineStr">
        <is>
          <t>User endpoint and social engineering</t>
        </is>
      </c>
      <c r="D567" s="973" t="inlineStr">
        <is>
          <t>T1490</t>
        </is>
      </c>
      <c r="E567" s="973" t="inlineStr">
        <is>
          <t>Inhibit System Recovery</t>
        </is>
      </c>
      <c r="F567" s="973" t="inlineStr">
        <is>
          <t>S5</t>
        </is>
      </c>
      <c r="G567" s="973" t="b">
        <v>1</v>
      </c>
      <c r="H567" s="973" t="b">
        <v>0</v>
      </c>
      <c r="I567" s="973" t="b">
        <v>0</v>
      </c>
      <c r="J567" s="973" t="n">
        <v>0.7</v>
      </c>
      <c r="K567" s="973" t="n">
        <v>0</v>
      </c>
      <c r="L567" s="973" t="n">
        <v>0</v>
      </c>
      <c r="M567" s="973" t="inlineStr">
        <is>
          <t>Windows; Linux; IaaS</t>
        </is>
      </c>
      <c r="N567" s="973" t="inlineStr">
        <is>
          <t>https://attack.mitre.org/techniques/T1490/</t>
        </is>
      </c>
      <c r="O567" s="973" t="n"/>
      <c r="P567" s="973" t="n"/>
    </row>
    <row r="568">
      <c r="A568" s="973" t="inlineStr">
        <is>
          <t>Malicious insider</t>
        </is>
      </c>
      <c r="B568" s="973" t="inlineStr">
        <is>
          <t>Cyber-enabled theft or fraud</t>
        </is>
      </c>
      <c r="C568" s="973" t="inlineStr">
        <is>
          <t>User endpoint and social engineering</t>
        </is>
      </c>
      <c r="D568" s="973" t="inlineStr">
        <is>
          <t>T1567</t>
        </is>
      </c>
      <c r="E568" s="973" t="inlineStr">
        <is>
          <t>Exfiltration Over Web Service</t>
        </is>
      </c>
      <c r="F568" s="973" t="inlineStr">
        <is>
          <t>S5</t>
        </is>
      </c>
      <c r="G568" s="973" t="b">
        <v>1</v>
      </c>
      <c r="H568" s="973" t="b">
        <v>0</v>
      </c>
      <c r="I568" s="973" t="b">
        <v>0</v>
      </c>
      <c r="J568" s="973" t="n">
        <v>0.7</v>
      </c>
      <c r="K568" s="973" t="n">
        <v>0.20625</v>
      </c>
      <c r="L568" s="973" t="n">
        <v>0.20625</v>
      </c>
      <c r="M568" s="973" t="inlineStr">
        <is>
          <t>SaaS; Office Suite</t>
        </is>
      </c>
      <c r="N568" s="973" t="inlineStr">
        <is>
          <t>https://attack.mitre.org/techniques/T1567/</t>
        </is>
      </c>
      <c r="O568" s="973" t="n"/>
      <c r="P568" s="973" t="n"/>
    </row>
    <row r="569">
      <c r="A569" s="973" t="inlineStr">
        <is>
          <t>Malicious insider</t>
        </is>
      </c>
      <c r="B569" s="973" t="inlineStr">
        <is>
          <t>Cyber-enabled theft or fraud</t>
        </is>
      </c>
      <c r="C569" s="973" t="inlineStr">
        <is>
          <t>User endpoint and social engineering</t>
        </is>
      </c>
      <c r="D569" s="973" t="inlineStr">
        <is>
          <t>T1657</t>
        </is>
      </c>
      <c r="E569" s="973" t="inlineStr">
        <is>
          <t>Financial Theft</t>
        </is>
      </c>
      <c r="F569" s="973" t="inlineStr">
        <is>
          <t>S5</t>
        </is>
      </c>
      <c r="G569" s="973" t="b">
        <v>1</v>
      </c>
      <c r="H569" s="973" t="b">
        <v>1</v>
      </c>
      <c r="I569" s="973" t="b">
        <v>1</v>
      </c>
      <c r="J569" s="973" t="n">
        <v>0.5</v>
      </c>
      <c r="K569" s="973" t="n">
        <v>0.275654296875</v>
      </c>
      <c r="L569" s="973" t="n">
        <v>0.275654296875</v>
      </c>
      <c r="M569" s="973" t="inlineStr">
        <is>
          <t>SaaS; Office Suite; Identity Provider</t>
        </is>
      </c>
      <c r="N569" s="973" t="inlineStr">
        <is>
          <t>https://attack.mitre.org/techniques/T1657/</t>
        </is>
      </c>
      <c r="O569" s="973" t="n"/>
      <c r="P569" s="973" t="n"/>
    </row>
    <row r="570">
      <c r="A570" s="973" t="inlineStr">
        <is>
          <t>Malicious insider</t>
        </is>
      </c>
      <c r="B570" s="973" t="inlineStr">
        <is>
          <t>Cyber-enabled theft or fraud</t>
        </is>
      </c>
      <c r="C570" s="973" t="inlineStr">
        <is>
          <t>User endpoint and social engineering</t>
        </is>
      </c>
      <c r="D570" s="973" t="inlineStr">
        <is>
          <t>T1565</t>
        </is>
      </c>
      <c r="E570" s="973" t="inlineStr">
        <is>
          <t>Data Manipulation</t>
        </is>
      </c>
      <c r="F570" s="973" t="inlineStr">
        <is>
          <t>S5</t>
        </is>
      </c>
      <c r="G570" s="973" t="b">
        <v>1</v>
      </c>
      <c r="H570" s="973" t="b">
        <v>1</v>
      </c>
      <c r="I570" s="973" t="b">
        <v>1</v>
      </c>
      <c r="J570" s="973" t="n">
        <v>0.5</v>
      </c>
      <c r="K570" s="973" t="n">
        <v>0.2206064987182617</v>
      </c>
      <c r="L570" s="973" t="n">
        <v>0.2206064987182617</v>
      </c>
      <c r="M570" s="973" t="inlineStr">
        <is>
          <t>SaaS; Databases; Windows</t>
        </is>
      </c>
      <c r="N570" s="973" t="inlineStr">
        <is>
          <t>https://attack.mitre.org/techniques/T1565/</t>
        </is>
      </c>
      <c r="O570" s="973" t="n"/>
      <c r="P570" s="973" t="n"/>
    </row>
    <row r="571">
      <c r="A571" s="973" t="inlineStr">
        <is>
          <t>Malicious insider</t>
        </is>
      </c>
      <c r="B571" s="973" t="inlineStr">
        <is>
          <t>Cyber-enabled theft or fraud</t>
        </is>
      </c>
      <c r="C571" s="973" t="inlineStr">
        <is>
          <t>Public-facing application exploitation</t>
        </is>
      </c>
      <c r="D571" s="973" t="inlineStr">
        <is>
          <t>T1190</t>
        </is>
      </c>
      <c r="E571" s="973" t="inlineStr">
        <is>
          <t>Exploit Public-Facing Application</t>
        </is>
      </c>
      <c r="F571" s="973" t="inlineStr">
        <is>
          <t>S1</t>
        </is>
      </c>
      <c r="G571" s="973" t="b">
        <v>0</v>
      </c>
      <c r="H571" s="973" t="b">
        <v>1</v>
      </c>
      <c r="I571" s="973" t="b">
        <v>0</v>
      </c>
      <c r="J571" s="973" t="n">
        <v>1</v>
      </c>
      <c r="K571" s="973" t="n">
        <v>0.2496630477905274</v>
      </c>
      <c r="L571" s="973" t="n">
        <v>0.2496630477905274</v>
      </c>
      <c r="M571" s="973" t="inlineStr">
        <is>
          <t>Network Devices; SaaS; IaaS</t>
        </is>
      </c>
      <c r="N571" s="973" t="inlineStr">
        <is>
          <t>https://attack.mitre.org/techniques/T1190/</t>
        </is>
      </c>
      <c r="O571" s="973" t="n"/>
      <c r="P571" s="973" t="n"/>
    </row>
    <row r="572">
      <c r="A572" s="973" t="inlineStr">
        <is>
          <t>Malicious insider</t>
        </is>
      </c>
      <c r="B572" s="973" t="inlineStr">
        <is>
          <t>Cyber-enabled theft or fraud</t>
        </is>
      </c>
      <c r="C572" s="973" t="inlineStr">
        <is>
          <t>Public-facing application exploitation</t>
        </is>
      </c>
      <c r="D572" s="973" t="inlineStr">
        <is>
          <t>T1059</t>
        </is>
      </c>
      <c r="E572" s="973" t="inlineStr">
        <is>
          <t>Command and Scripting Interpreter</t>
        </is>
      </c>
      <c r="F572" s="973" t="inlineStr">
        <is>
          <t>S2</t>
        </is>
      </c>
      <c r="G572" s="973" t="b">
        <v>1</v>
      </c>
      <c r="H572" s="973" t="b">
        <v>1</v>
      </c>
      <c r="I572" s="973" t="b">
        <v>1</v>
      </c>
      <c r="J572" s="973" t="n">
        <v>0.8</v>
      </c>
      <c r="K572" s="973" t="n">
        <v>0.1875</v>
      </c>
      <c r="L572" s="973" t="n">
        <v>0.1875</v>
      </c>
      <c r="M572" s="973" t="inlineStr">
        <is>
          <t>Windows; macOS; Linux; IaaS</t>
        </is>
      </c>
      <c r="N572" s="973" t="inlineStr">
        <is>
          <t>https://attack.mitre.org/techniques/T1059/</t>
        </is>
      </c>
      <c r="O572" s="973" t="n"/>
      <c r="P572" s="973" t="n"/>
    </row>
    <row r="573">
      <c r="A573" s="973" t="inlineStr">
        <is>
          <t>Malicious insider</t>
        </is>
      </c>
      <c r="B573" s="973" t="inlineStr">
        <is>
          <t>Cyber-enabled theft or fraud</t>
        </is>
      </c>
      <c r="C573" s="973" t="inlineStr">
        <is>
          <t>Public-facing application exploitation</t>
        </is>
      </c>
      <c r="D573" s="973" t="inlineStr">
        <is>
          <t>T1068</t>
        </is>
      </c>
      <c r="E573" s="973" t="inlineStr">
        <is>
          <t>Exploitation for Privilege Escalation</t>
        </is>
      </c>
      <c r="F573" s="973" t="inlineStr">
        <is>
          <t>S3</t>
        </is>
      </c>
      <c r="G573" s="973" t="b">
        <v>1</v>
      </c>
      <c r="H573" s="973" t="b">
        <v>1</v>
      </c>
      <c r="I573" s="973" t="b">
        <v>1</v>
      </c>
      <c r="J573" s="973" t="n">
        <v>0.7</v>
      </c>
      <c r="K573" s="973" t="n">
        <v>0.2094165115356445</v>
      </c>
      <c r="L573" s="973" t="n">
        <v>0.2094165115356445</v>
      </c>
      <c r="M573" s="973" t="inlineStr">
        <is>
          <t>Windows; macOS; Linux</t>
        </is>
      </c>
      <c r="N573" s="973" t="inlineStr">
        <is>
          <t>https://attack.mitre.org/techniques/T1068/</t>
        </is>
      </c>
      <c r="O573" s="973" t="n"/>
      <c r="P573" s="973" t="n"/>
    </row>
    <row r="574">
      <c r="A574" s="973" t="inlineStr">
        <is>
          <t>Malicious insider</t>
        </is>
      </c>
      <c r="B574" s="973" t="inlineStr">
        <is>
          <t>Cyber-enabled theft or fraud</t>
        </is>
      </c>
      <c r="C574" s="973" t="inlineStr">
        <is>
          <t>Public-facing application exploitation</t>
        </is>
      </c>
      <c r="D574" s="973" t="inlineStr">
        <is>
          <t>T1003</t>
        </is>
      </c>
      <c r="E574" s="973" t="inlineStr">
        <is>
          <t>OS Credential Dumping</t>
        </is>
      </c>
      <c r="F574" s="973" t="inlineStr">
        <is>
          <t>S3</t>
        </is>
      </c>
      <c r="G574" s="973" t="b">
        <v>1</v>
      </c>
      <c r="H574" s="973" t="b">
        <v>1</v>
      </c>
      <c r="I574" s="973" t="b">
        <v>1</v>
      </c>
      <c r="J574" s="973" t="n">
        <v>0.6</v>
      </c>
      <c r="K574" s="973" t="n">
        <v>0.232294921875</v>
      </c>
      <c r="L574" s="973" t="n">
        <v>0.232294921875</v>
      </c>
      <c r="M574" s="973" t="inlineStr">
        <is>
          <t>Windows; Linux; macOS</t>
        </is>
      </c>
      <c r="N574" s="973" t="inlineStr">
        <is>
          <t>https://attack.mitre.org/techniques/T1003/</t>
        </is>
      </c>
      <c r="O574" s="973" t="n"/>
      <c r="P574" s="973" t="n"/>
    </row>
    <row r="575">
      <c r="A575" s="973" t="inlineStr">
        <is>
          <t>Malicious insider</t>
        </is>
      </c>
      <c r="B575" s="973" t="inlineStr">
        <is>
          <t>Cyber-enabled theft or fraud</t>
        </is>
      </c>
      <c r="C575" s="973" t="inlineStr">
        <is>
          <t>Public-facing application exploitation</t>
        </is>
      </c>
      <c r="D575" s="973" t="inlineStr">
        <is>
          <t>T1046</t>
        </is>
      </c>
      <c r="E575" s="973" t="inlineStr">
        <is>
          <t>Network Service Discovery</t>
        </is>
      </c>
      <c r="F575" s="973" t="inlineStr">
        <is>
          <t>S4</t>
        </is>
      </c>
      <c r="G575" s="973" t="b">
        <v>1</v>
      </c>
      <c r="H575" s="973" t="b">
        <v>1</v>
      </c>
      <c r="I575" s="973" t="b">
        <v>1</v>
      </c>
      <c r="J575" s="973" t="n">
        <v>0.7</v>
      </c>
      <c r="K575" s="973" t="n">
        <v>0.16875</v>
      </c>
      <c r="L575" s="973" t="n">
        <v>0.16875</v>
      </c>
      <c r="M575" s="973" t="inlineStr">
        <is>
          <t>Network Devices; Windows; Linux</t>
        </is>
      </c>
      <c r="N575" s="973" t="inlineStr">
        <is>
          <t>https://attack.mitre.org/techniques/T1046/</t>
        </is>
      </c>
      <c r="O575" s="973" t="n"/>
      <c r="P575" s="973" t="n"/>
    </row>
    <row r="576">
      <c r="A576" s="973" t="inlineStr">
        <is>
          <t>Malicious insider</t>
        </is>
      </c>
      <c r="B576" s="973" t="inlineStr">
        <is>
          <t>Cyber-enabled theft or fraud</t>
        </is>
      </c>
      <c r="C576" s="973" t="inlineStr">
        <is>
          <t>Public-facing application exploitation</t>
        </is>
      </c>
      <c r="D576" s="973" t="inlineStr">
        <is>
          <t>T1210</t>
        </is>
      </c>
      <c r="E576" s="973" t="inlineStr">
        <is>
          <t>Exploitation of Remote Services</t>
        </is>
      </c>
      <c r="F576" s="973" t="inlineStr">
        <is>
          <t>S4</t>
        </is>
      </c>
      <c r="G576" s="973" t="b">
        <v>1</v>
      </c>
      <c r="H576" s="973" t="b">
        <v>1</v>
      </c>
      <c r="I576" s="973" t="b">
        <v>1</v>
      </c>
      <c r="J576" s="973" t="n">
        <v>0.9</v>
      </c>
      <c r="K576" s="973" t="n">
        <v>0.2103495368957519</v>
      </c>
      <c r="L576" s="973" t="n">
        <v>0.2103495368957519</v>
      </c>
      <c r="M576" s="973" t="inlineStr">
        <is>
          <t>Windows; Linux; Network Devices</t>
        </is>
      </c>
      <c r="N576" s="973" t="inlineStr">
        <is>
          <t>https://attack.mitre.org/techniques/T1210/</t>
        </is>
      </c>
      <c r="O576" s="973" t="n"/>
      <c r="P576" s="973" t="n"/>
    </row>
    <row r="577">
      <c r="A577" s="973" t="inlineStr">
        <is>
          <t>Malicious insider</t>
        </is>
      </c>
      <c r="B577" s="973" t="inlineStr">
        <is>
          <t>Cyber-enabled theft or fraud</t>
        </is>
      </c>
      <c r="C577" s="973" t="inlineStr">
        <is>
          <t>Public-facing application exploitation</t>
        </is>
      </c>
      <c r="D577" s="973" t="inlineStr">
        <is>
          <t>T1021</t>
        </is>
      </c>
      <c r="E577" s="973" t="inlineStr">
        <is>
          <t>Remote Services</t>
        </is>
      </c>
      <c r="F577" s="973" t="inlineStr">
        <is>
          <t>S4</t>
        </is>
      </c>
      <c r="G577" s="973" t="b">
        <v>1</v>
      </c>
      <c r="H577" s="973" t="b">
        <v>1</v>
      </c>
      <c r="I577" s="973" t="b">
        <v>1</v>
      </c>
      <c r="J577" s="973" t="n">
        <v>0.7</v>
      </c>
      <c r="K577" s="973" t="n">
        <v>0.1875</v>
      </c>
      <c r="L577" s="973" t="n">
        <v>0.1875</v>
      </c>
      <c r="M577" s="973" t="inlineStr">
        <is>
          <t>Windows; Linux; Network Devices</t>
        </is>
      </c>
      <c r="N577" s="973" t="inlineStr">
        <is>
          <t>https://attack.mitre.org/techniques/T1021/</t>
        </is>
      </c>
      <c r="O577" s="973" t="n"/>
      <c r="P577" s="973" t="n"/>
    </row>
    <row r="578">
      <c r="A578" s="973" t="inlineStr">
        <is>
          <t>Malicious insider</t>
        </is>
      </c>
      <c r="B578" s="973" t="inlineStr">
        <is>
          <t>Cyber-enabled theft or fraud</t>
        </is>
      </c>
      <c r="C578" s="973" t="inlineStr">
        <is>
          <t>Public-facing application exploitation</t>
        </is>
      </c>
      <c r="D578" s="973" t="inlineStr">
        <is>
          <t>T1486</t>
        </is>
      </c>
      <c r="E578" s="973" t="inlineStr">
        <is>
          <t>Data Encrypted for Impact</t>
        </is>
      </c>
      <c r="F578" s="973" t="inlineStr">
        <is>
          <t>S5</t>
        </is>
      </c>
      <c r="G578" s="973" t="b">
        <v>1</v>
      </c>
      <c r="H578" s="973" t="b">
        <v>0</v>
      </c>
      <c r="I578" s="973" t="b">
        <v>0</v>
      </c>
      <c r="J578" s="973" t="n">
        <v>0.6</v>
      </c>
      <c r="K578" s="973" t="n">
        <v>0.16875</v>
      </c>
      <c r="L578" s="973" t="n">
        <v>0.16875</v>
      </c>
      <c r="M578" s="973" t="inlineStr">
        <is>
          <t>Windows; Linux; IaaS</t>
        </is>
      </c>
      <c r="N578" s="973" t="inlineStr">
        <is>
          <t>https://attack.mitre.org/techniques/T1486/</t>
        </is>
      </c>
      <c r="O578" s="973" t="n"/>
      <c r="P578" s="973" t="n"/>
    </row>
    <row r="579">
      <c r="A579" s="973" t="inlineStr">
        <is>
          <t>Malicious insider</t>
        </is>
      </c>
      <c r="B579" s="973" t="inlineStr">
        <is>
          <t>Cyber-enabled theft or fraud</t>
        </is>
      </c>
      <c r="C579" s="973" t="inlineStr">
        <is>
          <t>Public-facing application exploitation</t>
        </is>
      </c>
      <c r="D579" s="973" t="inlineStr">
        <is>
          <t>T1490</t>
        </is>
      </c>
      <c r="E579" s="973" t="inlineStr">
        <is>
          <t>Inhibit System Recovery</t>
        </is>
      </c>
      <c r="F579" s="973" t="inlineStr">
        <is>
          <t>S5</t>
        </is>
      </c>
      <c r="G579" s="973" t="b">
        <v>1</v>
      </c>
      <c r="H579" s="973" t="b">
        <v>0</v>
      </c>
      <c r="I579" s="973" t="b">
        <v>0</v>
      </c>
      <c r="J579" s="973" t="n">
        <v>0.5</v>
      </c>
      <c r="K579" s="973" t="n">
        <v>0</v>
      </c>
      <c r="L579" s="973" t="n">
        <v>0</v>
      </c>
      <c r="M579" s="973" t="inlineStr">
        <is>
          <t>Windows; Linux; IaaS</t>
        </is>
      </c>
      <c r="N579" s="973" t="inlineStr">
        <is>
          <t>https://attack.mitre.org/techniques/T1490/</t>
        </is>
      </c>
      <c r="O579" s="973" t="n"/>
      <c r="P579" s="973" t="n"/>
    </row>
    <row r="580">
      <c r="A580" s="973" t="inlineStr">
        <is>
          <t>Malicious insider</t>
        </is>
      </c>
      <c r="B580" s="973" t="inlineStr">
        <is>
          <t>Cyber-enabled theft or fraud</t>
        </is>
      </c>
      <c r="C580" s="973" t="inlineStr">
        <is>
          <t>Public-facing application exploitation</t>
        </is>
      </c>
      <c r="D580" s="973" t="inlineStr">
        <is>
          <t>T1567</t>
        </is>
      </c>
      <c r="E580" s="973" t="inlineStr">
        <is>
          <t>Exfiltration Over Web Service</t>
        </is>
      </c>
      <c r="F580" s="973" t="inlineStr">
        <is>
          <t>S5</t>
        </is>
      </c>
      <c r="G580" s="973" t="b">
        <v>1</v>
      </c>
      <c r="H580" s="973" t="b">
        <v>0</v>
      </c>
      <c r="I580" s="973" t="b">
        <v>0</v>
      </c>
      <c r="J580" s="973" t="n">
        <v>0.6</v>
      </c>
      <c r="K580" s="973" t="n">
        <v>0.20625</v>
      </c>
      <c r="L580" s="973" t="n">
        <v>0.20625</v>
      </c>
      <c r="M580" s="973" t="inlineStr">
        <is>
          <t>SaaS; Office Suite</t>
        </is>
      </c>
      <c r="N580" s="973" t="inlineStr">
        <is>
          <t>https://attack.mitre.org/techniques/T1567/</t>
        </is>
      </c>
      <c r="O580" s="973" t="n"/>
      <c r="P580" s="973" t="n"/>
    </row>
    <row r="581">
      <c r="A581" s="973" t="inlineStr">
        <is>
          <t>Malicious insider</t>
        </is>
      </c>
      <c r="B581" s="973" t="inlineStr">
        <is>
          <t>Cyber-enabled theft or fraud</t>
        </is>
      </c>
      <c r="C581" s="973" t="inlineStr">
        <is>
          <t>Public-facing application exploitation</t>
        </is>
      </c>
      <c r="D581" s="973" t="inlineStr">
        <is>
          <t>T1565</t>
        </is>
      </c>
      <c r="E581" s="973" t="inlineStr">
        <is>
          <t>Data Manipulation</t>
        </is>
      </c>
      <c r="F581" s="973" t="inlineStr">
        <is>
          <t>S5</t>
        </is>
      </c>
      <c r="G581" s="973" t="b">
        <v>1</v>
      </c>
      <c r="H581" s="973" t="b">
        <v>1</v>
      </c>
      <c r="I581" s="973" t="b">
        <v>1</v>
      </c>
      <c r="J581" s="973" t="n">
        <v>0.6</v>
      </c>
      <c r="K581" s="973" t="n">
        <v>0.2206064987182617</v>
      </c>
      <c r="L581" s="973" t="n">
        <v>0.2206064987182617</v>
      </c>
      <c r="M581" s="973" t="inlineStr">
        <is>
          <t>SaaS; Databases; Windows</t>
        </is>
      </c>
      <c r="N581" s="973" t="inlineStr">
        <is>
          <t>https://attack.mitre.org/techniques/T1565/</t>
        </is>
      </c>
      <c r="O581" s="973" t="n"/>
      <c r="P581" s="973" t="n"/>
    </row>
    <row r="582">
      <c r="A582" s="973" t="inlineStr">
        <is>
          <t>Malicious insider</t>
        </is>
      </c>
      <c r="B582" s="973" t="inlineStr">
        <is>
          <t>Cyber-enabled theft or fraud</t>
        </is>
      </c>
      <c r="C582" s="973" t="inlineStr">
        <is>
          <t>Public-facing application exploitation</t>
        </is>
      </c>
      <c r="D582" s="973" t="inlineStr">
        <is>
          <t>T1657</t>
        </is>
      </c>
      <c r="E582" s="973" t="inlineStr">
        <is>
          <t>Financial Theft</t>
        </is>
      </c>
      <c r="F582" s="973" t="inlineStr">
        <is>
          <t>S5</t>
        </is>
      </c>
      <c r="G582" s="973" t="b">
        <v>1</v>
      </c>
      <c r="H582" s="973" t="b">
        <v>1</v>
      </c>
      <c r="I582" s="973" t="b">
        <v>1</v>
      </c>
      <c r="J582" s="973" t="n">
        <v>0.4</v>
      </c>
      <c r="K582" s="973" t="n">
        <v>0.275654296875</v>
      </c>
      <c r="L582" s="973" t="n">
        <v>0.275654296875</v>
      </c>
      <c r="M582" s="973" t="inlineStr">
        <is>
          <t>SaaS; Office Suite; Identity Provider</t>
        </is>
      </c>
      <c r="N582" s="973" t="inlineStr">
        <is>
          <t>https://attack.mitre.org/techniques/T1657/</t>
        </is>
      </c>
      <c r="O582" s="973" t="n"/>
      <c r="P582" s="973" t="n"/>
    </row>
    <row r="583">
      <c r="A583" s="973" t="inlineStr">
        <is>
          <t>Malicious insider</t>
        </is>
      </c>
      <c r="B583" s="973" t="inlineStr">
        <is>
          <t>Cyber-enabled theft or fraud</t>
        </is>
      </c>
      <c r="C583" s="973" t="inlineStr">
        <is>
          <t>Third-party or software supply chain</t>
        </is>
      </c>
      <c r="D583" s="973" t="inlineStr">
        <is>
          <t>T1199</t>
        </is>
      </c>
      <c r="E583" s="973" t="inlineStr">
        <is>
          <t>Trusted Relationship</t>
        </is>
      </c>
      <c r="F583" s="973" t="inlineStr">
        <is>
          <t>S3</t>
        </is>
      </c>
      <c r="G583" s="973" t="b">
        <v>1</v>
      </c>
      <c r="H583" s="973" t="b">
        <v>1</v>
      </c>
      <c r="I583" s="973" t="b">
        <v>1</v>
      </c>
      <c r="J583" s="973" t="n">
        <v>1</v>
      </c>
      <c r="K583" s="973" t="n">
        <v>0.20625</v>
      </c>
      <c r="L583" s="973" t="n">
        <v>0.20625</v>
      </c>
      <c r="M583" s="973" t="inlineStr">
        <is>
          <t>SaaS; IaaS; Network Devices</t>
        </is>
      </c>
      <c r="N583" s="973" t="inlineStr">
        <is>
          <t>https://attack.mitre.org/techniques/T1199/</t>
        </is>
      </c>
      <c r="O583" s="973" t="n"/>
      <c r="P583" s="973" t="n"/>
    </row>
    <row r="584">
      <c r="A584" s="973" t="inlineStr">
        <is>
          <t>Malicious insider</t>
        </is>
      </c>
      <c r="B584" s="973" t="inlineStr">
        <is>
          <t>Cyber-enabled theft or fraud</t>
        </is>
      </c>
      <c r="C584" s="973" t="inlineStr">
        <is>
          <t>Third-party or software supply chain</t>
        </is>
      </c>
      <c r="D584" s="973" t="inlineStr">
        <is>
          <t>T1098</t>
        </is>
      </c>
      <c r="E584" s="973" t="inlineStr">
        <is>
          <t>Account Manipulation</t>
        </is>
      </c>
      <c r="F584" s="973" t="inlineStr">
        <is>
          <t>S3</t>
        </is>
      </c>
      <c r="G584" s="973" t="b">
        <v>1</v>
      </c>
      <c r="H584" s="973" t="b">
        <v>1</v>
      </c>
      <c r="I584" s="973" t="b">
        <v>1</v>
      </c>
      <c r="J584" s="973" t="n">
        <v>0.6</v>
      </c>
      <c r="K584" s="973" t="n">
        <v>0.2477547340393066</v>
      </c>
      <c r="L584" s="973" t="n">
        <v>0.2477547340393066</v>
      </c>
      <c r="M584" s="973" t="inlineStr">
        <is>
          <t>Identity Provider; SaaS; Windows</t>
        </is>
      </c>
      <c r="N584" s="973" t="inlineStr">
        <is>
          <t>https://attack.mitre.org/techniques/T1098/</t>
        </is>
      </c>
      <c r="O584" s="973" t="n"/>
      <c r="P584" s="973" t="n"/>
    </row>
    <row r="585">
      <c r="A585" s="973" t="inlineStr">
        <is>
          <t>Malicious insider</t>
        </is>
      </c>
      <c r="B585" s="973" t="inlineStr">
        <is>
          <t>Cyber-enabled theft or fraud</t>
        </is>
      </c>
      <c r="C585" s="973" t="inlineStr">
        <is>
          <t>Third-party or software supply chain</t>
        </is>
      </c>
      <c r="D585" s="973" t="inlineStr">
        <is>
          <t>T1087</t>
        </is>
      </c>
      <c r="E585" s="973" t="inlineStr">
        <is>
          <t>Account Discovery</t>
        </is>
      </c>
      <c r="F585" s="973" t="inlineStr">
        <is>
          <t>S4</t>
        </is>
      </c>
      <c r="G585" s="973" t="b">
        <v>1</v>
      </c>
      <c r="H585" s="973" t="b">
        <v>1</v>
      </c>
      <c r="I585" s="973" t="b">
        <v>1</v>
      </c>
      <c r="J585" s="973" t="n">
        <v>0.5</v>
      </c>
      <c r="K585" s="973" t="n">
        <v>0</v>
      </c>
      <c r="L585" s="973" t="n">
        <v>0</v>
      </c>
      <c r="M585" s="973" t="inlineStr">
        <is>
          <t>Identity Provider; SaaS; Windows</t>
        </is>
      </c>
      <c r="N585" s="973" t="inlineStr">
        <is>
          <t>https://attack.mitre.org/techniques/T1087/</t>
        </is>
      </c>
      <c r="O585" s="973" t="n"/>
      <c r="P585" s="973" t="n"/>
    </row>
    <row r="586">
      <c r="A586" s="973" t="inlineStr">
        <is>
          <t>Malicious insider</t>
        </is>
      </c>
      <c r="B586" s="973" t="inlineStr">
        <is>
          <t>Cyber-enabled theft or fraud</t>
        </is>
      </c>
      <c r="C586" s="973" t="inlineStr">
        <is>
          <t>Third-party or software supply chain</t>
        </is>
      </c>
      <c r="D586" s="973" t="inlineStr">
        <is>
          <t>T1213</t>
        </is>
      </c>
      <c r="E586" s="973" t="inlineStr">
        <is>
          <t>Data from Information Repositories</t>
        </is>
      </c>
      <c r="F586" s="973" t="inlineStr">
        <is>
          <t>S4</t>
        </is>
      </c>
      <c r="G586" s="973" t="b">
        <v>1</v>
      </c>
      <c r="H586" s="973" t="b">
        <v>1</v>
      </c>
      <c r="I586" s="973" t="b">
        <v>1</v>
      </c>
      <c r="J586" s="973" t="n">
        <v>0.7</v>
      </c>
      <c r="K586" s="973" t="n">
        <v>0.177890625</v>
      </c>
      <c r="L586" s="973" t="n">
        <v>0.177890625</v>
      </c>
      <c r="M586" s="973" t="inlineStr">
        <is>
          <t>SaaS; Office Suite; Windows</t>
        </is>
      </c>
      <c r="N586" s="973" t="inlineStr">
        <is>
          <t>https://attack.mitre.org/techniques/T1213/</t>
        </is>
      </c>
      <c r="O586" s="973" t="n"/>
      <c r="P586" s="973" t="n"/>
    </row>
    <row r="587">
      <c r="A587" s="973" t="inlineStr">
        <is>
          <t>Malicious insider</t>
        </is>
      </c>
      <c r="B587" s="973" t="inlineStr">
        <is>
          <t>Cyber-enabled theft or fraud</t>
        </is>
      </c>
      <c r="C587" s="973" t="inlineStr">
        <is>
          <t>Third-party or software supply chain</t>
        </is>
      </c>
      <c r="D587" s="973" t="inlineStr">
        <is>
          <t>T1567</t>
        </is>
      </c>
      <c r="E587" s="973" t="inlineStr">
        <is>
          <t>Exfiltration Over Web Service</t>
        </is>
      </c>
      <c r="F587" s="973" t="inlineStr">
        <is>
          <t>S5</t>
        </is>
      </c>
      <c r="G587" s="973" t="b">
        <v>1</v>
      </c>
      <c r="H587" s="973" t="b">
        <v>0</v>
      </c>
      <c r="I587" s="973" t="b">
        <v>0</v>
      </c>
      <c r="J587" s="973" t="n">
        <v>0.6</v>
      </c>
      <c r="K587" s="973" t="n">
        <v>0.20625</v>
      </c>
      <c r="L587" s="973" t="n">
        <v>0.20625</v>
      </c>
      <c r="M587" s="973" t="inlineStr">
        <is>
          <t>SaaS; Office Suite</t>
        </is>
      </c>
      <c r="N587" s="973" t="inlineStr">
        <is>
          <t>https://attack.mitre.org/techniques/T1567/</t>
        </is>
      </c>
      <c r="O587" s="973" t="n"/>
      <c r="P587" s="973" t="n"/>
    </row>
    <row r="588">
      <c r="A588" s="973" t="inlineStr">
        <is>
          <t>Malicious insider</t>
        </is>
      </c>
      <c r="B588" s="973" t="inlineStr">
        <is>
          <t>Cyber-enabled theft or fraud</t>
        </is>
      </c>
      <c r="C588" s="973" t="inlineStr">
        <is>
          <t>Third-party or software supply chain</t>
        </is>
      </c>
      <c r="D588" s="973" t="inlineStr">
        <is>
          <t>T1486</t>
        </is>
      </c>
      <c r="E588" s="973" t="inlineStr">
        <is>
          <t>Data Encrypted for Impact</t>
        </is>
      </c>
      <c r="F588" s="973" t="inlineStr">
        <is>
          <t>S5</t>
        </is>
      </c>
      <c r="G588" s="973" t="b">
        <v>1</v>
      </c>
      <c r="H588" s="973" t="b">
        <v>0</v>
      </c>
      <c r="I588" s="973" t="b">
        <v>0</v>
      </c>
      <c r="J588" s="973" t="n">
        <v>0.5</v>
      </c>
      <c r="K588" s="973" t="n">
        <v>0.16875</v>
      </c>
      <c r="L588" s="973" t="n">
        <v>0.16875</v>
      </c>
      <c r="M588" s="973" t="inlineStr">
        <is>
          <t>Windows; Linux; IaaS</t>
        </is>
      </c>
      <c r="N588" s="973" t="inlineStr">
        <is>
          <t>https://attack.mitre.org/techniques/T1486/</t>
        </is>
      </c>
      <c r="O588" s="973" t="n"/>
      <c r="P588" s="973" t="n"/>
    </row>
    <row r="589">
      <c r="A589" s="973" t="inlineStr">
        <is>
          <t>Malicious insider</t>
        </is>
      </c>
      <c r="B589" s="973" t="inlineStr">
        <is>
          <t>Cyber-enabled theft or fraud</t>
        </is>
      </c>
      <c r="C589" s="973" t="inlineStr">
        <is>
          <t>Third-party or software supply chain</t>
        </is>
      </c>
      <c r="D589" s="973" t="inlineStr">
        <is>
          <t>T1565</t>
        </is>
      </c>
      <c r="E589" s="973" t="inlineStr">
        <is>
          <t>Data Manipulation</t>
        </is>
      </c>
      <c r="F589" s="973" t="inlineStr">
        <is>
          <t>S5</t>
        </is>
      </c>
      <c r="G589" s="973" t="b">
        <v>1</v>
      </c>
      <c r="H589" s="973" t="b">
        <v>1</v>
      </c>
      <c r="I589" s="973" t="b">
        <v>1</v>
      </c>
      <c r="J589" s="973" t="n">
        <v>0.6</v>
      </c>
      <c r="K589" s="973" t="n">
        <v>0.2206064987182617</v>
      </c>
      <c r="L589" s="973" t="n">
        <v>0.2206064987182617</v>
      </c>
      <c r="M589" s="973" t="inlineStr">
        <is>
          <t>SaaS; Databases; Windows</t>
        </is>
      </c>
      <c r="N589" s="973" t="inlineStr">
        <is>
          <t>https://attack.mitre.org/techniques/T1565/</t>
        </is>
      </c>
      <c r="O589" s="973" t="n"/>
      <c r="P589" s="973" t="n"/>
    </row>
    <row r="590">
      <c r="A590" s="973" t="inlineStr">
        <is>
          <t>Malicious insider</t>
        </is>
      </c>
      <c r="B590" s="973" t="inlineStr">
        <is>
          <t>Cyber-enabled theft or fraud</t>
        </is>
      </c>
      <c r="C590" s="973" t="inlineStr">
        <is>
          <t>Third-party or software supply chain</t>
        </is>
      </c>
      <c r="D590" s="973" t="inlineStr">
        <is>
          <t>T1657</t>
        </is>
      </c>
      <c r="E590" s="973" t="inlineStr">
        <is>
          <t>Financial Theft</t>
        </is>
      </c>
      <c r="F590" s="973" t="inlineStr">
        <is>
          <t>S5</t>
        </is>
      </c>
      <c r="G590" s="973" t="b">
        <v>1</v>
      </c>
      <c r="H590" s="973" t="b">
        <v>1</v>
      </c>
      <c r="I590" s="973" t="b">
        <v>1</v>
      </c>
      <c r="J590" s="973" t="n">
        <v>0.5</v>
      </c>
      <c r="K590" s="973" t="n">
        <v>0.275654296875</v>
      </c>
      <c r="L590" s="973" t="n">
        <v>0.275654296875</v>
      </c>
      <c r="M590" s="973" t="inlineStr">
        <is>
          <t>SaaS; Office Suite; Identity Provider</t>
        </is>
      </c>
      <c r="N590" s="973" t="inlineStr">
        <is>
          <t>https://attack.mitre.org/techniques/T1657/</t>
        </is>
      </c>
      <c r="O590" s="973" t="n"/>
      <c r="P590" s="973" t="n"/>
    </row>
    <row r="591">
      <c r="A591" s="973" t="inlineStr">
        <is>
          <t>Malicious insider</t>
        </is>
      </c>
      <c r="B591" s="973" t="inlineStr">
        <is>
          <t>Cyber-enabled theft or fraud</t>
        </is>
      </c>
      <c r="C591" s="973" t="inlineStr">
        <is>
          <t>Insider or trusted access</t>
        </is>
      </c>
      <c r="D591" s="973" t="inlineStr">
        <is>
          <t>T1098</t>
        </is>
      </c>
      <c r="E591" s="973" t="inlineStr">
        <is>
          <t>Account Manipulation</t>
        </is>
      </c>
      <c r="F591" s="973" t="inlineStr">
        <is>
          <t>S3</t>
        </is>
      </c>
      <c r="G591" s="973" t="b">
        <v>1</v>
      </c>
      <c r="H591" s="973" t="b">
        <v>1</v>
      </c>
      <c r="I591" s="973" t="b">
        <v>1</v>
      </c>
      <c r="J591" s="973" t="n">
        <v>0.8</v>
      </c>
      <c r="K591" s="973" t="n">
        <v>0.2477547340393066</v>
      </c>
      <c r="L591" s="973" t="n">
        <v>0.2477547340393066</v>
      </c>
      <c r="M591" s="973" t="inlineStr">
        <is>
          <t>Identity Provider; SaaS; Windows</t>
        </is>
      </c>
      <c r="N591" s="973" t="inlineStr">
        <is>
          <t>https://attack.mitre.org/techniques/T1098/</t>
        </is>
      </c>
      <c r="O591" s="973" t="n"/>
      <c r="P591" s="973" t="n"/>
    </row>
    <row r="592">
      <c r="A592" s="973" t="inlineStr">
        <is>
          <t>Malicious insider</t>
        </is>
      </c>
      <c r="B592" s="973" t="inlineStr">
        <is>
          <t>Cyber-enabled theft or fraud</t>
        </is>
      </c>
      <c r="C592" s="973" t="inlineStr">
        <is>
          <t>Insider or trusted access</t>
        </is>
      </c>
      <c r="D592" s="973" t="inlineStr">
        <is>
          <t>T1567</t>
        </is>
      </c>
      <c r="E592" s="973" t="inlineStr">
        <is>
          <t>Exfiltration Over Web Service</t>
        </is>
      </c>
      <c r="F592" s="973" t="inlineStr">
        <is>
          <t>S5</t>
        </is>
      </c>
      <c r="G592" s="973" t="b">
        <v>1</v>
      </c>
      <c r="H592" s="973" t="b">
        <v>0</v>
      </c>
      <c r="I592" s="973" t="b">
        <v>0</v>
      </c>
      <c r="J592" s="973" t="n">
        <v>0.8</v>
      </c>
      <c r="K592" s="973" t="n">
        <v>0.20625</v>
      </c>
      <c r="L592" s="973" t="n">
        <v>0.20625</v>
      </c>
      <c r="M592" s="973" t="inlineStr">
        <is>
          <t>SaaS; Office Suite</t>
        </is>
      </c>
      <c r="N592" s="973" t="inlineStr">
        <is>
          <t>https://attack.mitre.org/techniques/T1567/</t>
        </is>
      </c>
      <c r="O592" s="973" t="n"/>
      <c r="P592" s="973" t="n"/>
    </row>
    <row r="593">
      <c r="A593" s="973" t="inlineStr">
        <is>
          <t>Malicious insider</t>
        </is>
      </c>
      <c r="B593" s="973" t="inlineStr">
        <is>
          <t>Cyber-enabled theft or fraud</t>
        </is>
      </c>
      <c r="C593" s="973" t="inlineStr">
        <is>
          <t>Insider or trusted access</t>
        </is>
      </c>
      <c r="D593" s="973" t="inlineStr">
        <is>
          <t>T1565</t>
        </is>
      </c>
      <c r="E593" s="973" t="inlineStr">
        <is>
          <t>Data Manipulation</t>
        </is>
      </c>
      <c r="F593" s="973" t="inlineStr">
        <is>
          <t>S5</t>
        </is>
      </c>
      <c r="G593" s="973" t="b">
        <v>1</v>
      </c>
      <c r="H593" s="973" t="b">
        <v>1</v>
      </c>
      <c r="I593" s="973" t="b">
        <v>1</v>
      </c>
      <c r="J593" s="973" t="n">
        <v>0.9</v>
      </c>
      <c r="K593" s="973" t="n">
        <v>0.2206064987182617</v>
      </c>
      <c r="L593" s="973" t="n">
        <v>0.2206064987182617</v>
      </c>
      <c r="M593" s="973" t="inlineStr">
        <is>
          <t>SaaS; Databases; Windows</t>
        </is>
      </c>
      <c r="N593" s="973" t="inlineStr">
        <is>
          <t>https://attack.mitre.org/techniques/T1565/</t>
        </is>
      </c>
      <c r="O593" s="973" t="n"/>
      <c r="P593" s="973" t="n"/>
    </row>
    <row r="594">
      <c r="A594" s="973" t="inlineStr">
        <is>
          <t>Malicious insider</t>
        </is>
      </c>
      <c r="B594" s="973" t="inlineStr">
        <is>
          <t>Cyber-enabled theft or fraud</t>
        </is>
      </c>
      <c r="C594" s="973" t="inlineStr">
        <is>
          <t>Insider or trusted access</t>
        </is>
      </c>
      <c r="D594" s="973" t="inlineStr">
        <is>
          <t>T1657</t>
        </is>
      </c>
      <c r="E594" s="973" t="inlineStr">
        <is>
          <t>Financial Theft</t>
        </is>
      </c>
      <c r="F594" s="973" t="inlineStr">
        <is>
          <t>S5</t>
        </is>
      </c>
      <c r="G594" s="973" t="b">
        <v>1</v>
      </c>
      <c r="H594" s="973" t="b">
        <v>1</v>
      </c>
      <c r="I594" s="973" t="b">
        <v>1</v>
      </c>
      <c r="J594" s="973" t="n">
        <v>0.9</v>
      </c>
      <c r="K594" s="973" t="n">
        <v>0.275654296875</v>
      </c>
      <c r="L594" s="973" t="n">
        <v>0.275654296875</v>
      </c>
      <c r="M594" s="973" t="inlineStr">
        <is>
          <t>SaaS; Office Suite; Identity Provider</t>
        </is>
      </c>
      <c r="N594" s="973" t="inlineStr">
        <is>
          <t>https://attack.mitre.org/techniques/T1657/</t>
        </is>
      </c>
      <c r="O594" s="973" t="n"/>
      <c r="P594" s="973" t="n"/>
    </row>
    <row r="595">
      <c r="A595" s="973" t="inlineStr">
        <is>
          <t>Hacktivist</t>
        </is>
      </c>
      <c r="B595" s="973" t="inlineStr">
        <is>
          <t>Critical business-service disruption</t>
        </is>
      </c>
      <c r="C595" s="973" t="inlineStr">
        <is>
          <t>Identity and credential compromise</t>
        </is>
      </c>
      <c r="D595" s="973" t="inlineStr">
        <is>
          <t>T1566</t>
        </is>
      </c>
      <c r="E595" s="973" t="inlineStr">
        <is>
          <t>Phishing</t>
        </is>
      </c>
      <c r="F595" s="973" t="inlineStr">
        <is>
          <t>S1</t>
        </is>
      </c>
      <c r="G595" s="973" t="b">
        <v>1</v>
      </c>
      <c r="H595" s="973" t="b">
        <v>1</v>
      </c>
      <c r="I595" s="973" t="b">
        <v>1</v>
      </c>
      <c r="J595" s="973" t="n">
        <v>1</v>
      </c>
      <c r="K595" s="973" t="n">
        <v>0.20625</v>
      </c>
      <c r="L595" s="973" t="n">
        <v>0.20625</v>
      </c>
      <c r="M595" s="973" t="inlineStr">
        <is>
          <t>Windows; SaaS; Office Suite</t>
        </is>
      </c>
      <c r="N595" s="973" t="inlineStr">
        <is>
          <t>https://attack.mitre.org/techniques/T1566/</t>
        </is>
      </c>
      <c r="O595" s="973" t="n"/>
      <c r="P595" s="973" t="n"/>
    </row>
    <row r="596">
      <c r="A596" s="973" t="inlineStr">
        <is>
          <t>Hacktivist</t>
        </is>
      </c>
      <c r="B596" s="973" t="inlineStr">
        <is>
          <t>Critical business-service disruption</t>
        </is>
      </c>
      <c r="C596" s="973" t="inlineStr">
        <is>
          <t>Identity and credential compromise</t>
        </is>
      </c>
      <c r="D596" s="973" t="inlineStr">
        <is>
          <t>T1078</t>
        </is>
      </c>
      <c r="E596" s="973" t="inlineStr">
        <is>
          <t>Valid Accounts</t>
        </is>
      </c>
      <c r="F596" s="973" t="inlineStr">
        <is>
          <t>S1</t>
        </is>
      </c>
      <c r="G596" s="973" t="b">
        <v>1</v>
      </c>
      <c r="H596" s="973" t="b">
        <v>1</v>
      </c>
      <c r="I596" s="973" t="b">
        <v>1</v>
      </c>
      <c r="J596" s="973" t="n">
        <v>1</v>
      </c>
      <c r="K596" s="973" t="n">
        <v>0.272109375</v>
      </c>
      <c r="L596" s="973" t="n">
        <v>0.272109375</v>
      </c>
      <c r="M596" s="973" t="inlineStr">
        <is>
          <t>Identity Provider; SaaS; IaaS; Windows</t>
        </is>
      </c>
      <c r="N596" s="973" t="inlineStr">
        <is>
          <t>https://attack.mitre.org/techniques/T1078/</t>
        </is>
      </c>
      <c r="O596" s="973" t="n"/>
      <c r="P596" s="973" t="n"/>
    </row>
    <row r="597">
      <c r="A597" s="973" t="inlineStr">
        <is>
          <t>Hacktivist</t>
        </is>
      </c>
      <c r="B597" s="973" t="inlineStr">
        <is>
          <t>Critical business-service disruption</t>
        </is>
      </c>
      <c r="C597" s="973" t="inlineStr">
        <is>
          <t>Identity and credential compromise</t>
        </is>
      </c>
      <c r="D597" s="973" t="inlineStr">
        <is>
          <t>T1110</t>
        </is>
      </c>
      <c r="E597" s="973" t="inlineStr">
        <is>
          <t>Brute Force</t>
        </is>
      </c>
      <c r="F597" s="973" t="inlineStr">
        <is>
          <t>S1</t>
        </is>
      </c>
      <c r="G597" s="973" t="b">
        <v>1</v>
      </c>
      <c r="H597" s="973" t="b">
        <v>1</v>
      </c>
      <c r="I597" s="973" t="b">
        <v>1</v>
      </c>
      <c r="J597" s="973" t="n">
        <v>0.7</v>
      </c>
      <c r="K597" s="973" t="n">
        <v>0.24375</v>
      </c>
      <c r="L597" s="973" t="n">
        <v>0.24375</v>
      </c>
      <c r="M597" s="973" t="inlineStr">
        <is>
          <t>Identity Provider; SaaS; Windows</t>
        </is>
      </c>
      <c r="N597" s="973" t="inlineStr">
        <is>
          <t>https://attack.mitre.org/techniques/T1110/</t>
        </is>
      </c>
      <c r="O597" s="973" t="n"/>
      <c r="P597" s="973" t="n"/>
    </row>
    <row r="598">
      <c r="A598" s="973" t="inlineStr">
        <is>
          <t>Hacktivist</t>
        </is>
      </c>
      <c r="B598" s="973" t="inlineStr">
        <is>
          <t>Critical business-service disruption</t>
        </is>
      </c>
      <c r="C598" s="973" t="inlineStr">
        <is>
          <t>Identity and credential compromise</t>
        </is>
      </c>
      <c r="D598" s="973" t="inlineStr">
        <is>
          <t>T1098</t>
        </is>
      </c>
      <c r="E598" s="973" t="inlineStr">
        <is>
          <t>Account Manipulation</t>
        </is>
      </c>
      <c r="F598" s="973" t="inlineStr">
        <is>
          <t>S3</t>
        </is>
      </c>
      <c r="G598" s="973" t="b">
        <v>1</v>
      </c>
      <c r="H598" s="973" t="b">
        <v>1</v>
      </c>
      <c r="I598" s="973" t="b">
        <v>1</v>
      </c>
      <c r="J598" s="973" t="n">
        <v>0.7</v>
      </c>
      <c r="K598" s="973" t="n">
        <v>0.2477547340393066</v>
      </c>
      <c r="L598" s="973" t="n">
        <v>0.2477547340393066</v>
      </c>
      <c r="M598" s="973" t="inlineStr">
        <is>
          <t>Identity Provider; SaaS; Windows</t>
        </is>
      </c>
      <c r="N598" s="973" t="inlineStr">
        <is>
          <t>https://attack.mitre.org/techniques/T1098/</t>
        </is>
      </c>
      <c r="O598" s="973" t="n"/>
      <c r="P598" s="973" t="n"/>
    </row>
    <row r="599">
      <c r="A599" s="973" t="inlineStr">
        <is>
          <t>Hacktivist</t>
        </is>
      </c>
      <c r="B599" s="973" t="inlineStr">
        <is>
          <t>Critical business-service disruption</t>
        </is>
      </c>
      <c r="C599" s="973" t="inlineStr">
        <is>
          <t>Identity and credential compromise</t>
        </is>
      </c>
      <c r="D599" s="973" t="inlineStr">
        <is>
          <t>T1087</t>
        </is>
      </c>
      <c r="E599" s="973" t="inlineStr">
        <is>
          <t>Account Discovery</t>
        </is>
      </c>
      <c r="F599" s="973" t="inlineStr">
        <is>
          <t>S4</t>
        </is>
      </c>
      <c r="G599" s="973" t="b">
        <v>1</v>
      </c>
      <c r="H599" s="973" t="b">
        <v>1</v>
      </c>
      <c r="I599" s="973" t="b">
        <v>1</v>
      </c>
      <c r="J599" s="973" t="n">
        <v>0.6</v>
      </c>
      <c r="K599" s="973" t="n">
        <v>0</v>
      </c>
      <c r="L599" s="973" t="n">
        <v>0</v>
      </c>
      <c r="M599" s="973" t="inlineStr">
        <is>
          <t>Identity Provider; SaaS; Windows</t>
        </is>
      </c>
      <c r="N599" s="973" t="inlineStr">
        <is>
          <t>https://attack.mitre.org/techniques/T1087/</t>
        </is>
      </c>
      <c r="O599" s="973" t="n"/>
      <c r="P599" s="973" t="n"/>
    </row>
    <row r="600">
      <c r="A600" s="973" t="inlineStr">
        <is>
          <t>Hacktivist</t>
        </is>
      </c>
      <c r="B600" s="973" t="inlineStr">
        <is>
          <t>Critical business-service disruption</t>
        </is>
      </c>
      <c r="C600" s="973" t="inlineStr">
        <is>
          <t>Identity and credential compromise</t>
        </is>
      </c>
      <c r="D600" s="973" t="inlineStr">
        <is>
          <t>T1213</t>
        </is>
      </c>
      <c r="E600" s="973" t="inlineStr">
        <is>
          <t>Data from Information Repositories</t>
        </is>
      </c>
      <c r="F600" s="973" t="inlineStr">
        <is>
          <t>S4</t>
        </is>
      </c>
      <c r="G600" s="973" t="b">
        <v>0</v>
      </c>
      <c r="H600" s="973" t="b">
        <v>0</v>
      </c>
      <c r="I600" s="973" t="b">
        <v>0</v>
      </c>
      <c r="J600" s="973" t="n">
        <v>0.8</v>
      </c>
      <c r="K600" s="973" t="n">
        <v>0.177890625</v>
      </c>
      <c r="L600" s="973" t="n">
        <v>0.177890625</v>
      </c>
      <c r="M600" s="973" t="inlineStr">
        <is>
          <t>SaaS; Office Suite; Windows</t>
        </is>
      </c>
      <c r="N600" s="973" t="inlineStr">
        <is>
          <t>https://attack.mitre.org/techniques/T1213/</t>
        </is>
      </c>
      <c r="O600" s="973" t="n"/>
      <c r="P600" s="973" t="n"/>
    </row>
    <row r="601">
      <c r="A601" s="973" t="inlineStr">
        <is>
          <t>Hacktivist</t>
        </is>
      </c>
      <c r="B601" s="973" t="inlineStr">
        <is>
          <t>Critical business-service disruption</t>
        </is>
      </c>
      <c r="C601" s="973" t="inlineStr">
        <is>
          <t>Identity and credential compromise</t>
        </is>
      </c>
      <c r="D601" s="973" t="inlineStr">
        <is>
          <t>T1567</t>
        </is>
      </c>
      <c r="E601" s="973" t="inlineStr">
        <is>
          <t>Exfiltration Over Web Service</t>
        </is>
      </c>
      <c r="F601" s="973" t="inlineStr">
        <is>
          <t>S5</t>
        </is>
      </c>
      <c r="G601" s="973" t="b">
        <v>1</v>
      </c>
      <c r="H601" s="973" t="b">
        <v>0</v>
      </c>
      <c r="I601" s="973" t="b">
        <v>0</v>
      </c>
      <c r="J601" s="973" t="n">
        <v>0.7</v>
      </c>
      <c r="K601" s="973" t="n">
        <v>0.20625</v>
      </c>
      <c r="L601" s="973" t="n">
        <v>0.20625</v>
      </c>
      <c r="M601" s="973" t="inlineStr">
        <is>
          <t>SaaS; Office Suite</t>
        </is>
      </c>
      <c r="N601" s="973" t="inlineStr">
        <is>
          <t>https://attack.mitre.org/techniques/T1567/</t>
        </is>
      </c>
      <c r="O601" s="973" t="n"/>
      <c r="P601" s="973" t="n"/>
    </row>
    <row r="602">
      <c r="A602" s="973" t="inlineStr">
        <is>
          <t>Hacktivist</t>
        </is>
      </c>
      <c r="B602" s="973" t="inlineStr">
        <is>
          <t>Critical business-service disruption</t>
        </is>
      </c>
      <c r="C602" s="973" t="inlineStr">
        <is>
          <t>Identity and credential compromise</t>
        </is>
      </c>
      <c r="D602" s="973" t="inlineStr">
        <is>
          <t>T1657</t>
        </is>
      </c>
      <c r="E602" s="973" t="inlineStr">
        <is>
          <t>Financial Theft</t>
        </is>
      </c>
      <c r="F602" s="973" t="inlineStr">
        <is>
          <t>S5</t>
        </is>
      </c>
      <c r="G602" s="973" t="b">
        <v>0</v>
      </c>
      <c r="H602" s="973" t="b">
        <v>0</v>
      </c>
      <c r="I602" s="973" t="b">
        <v>0</v>
      </c>
      <c r="J602" s="973" t="n">
        <v>0.8</v>
      </c>
      <c r="K602" s="973" t="n">
        <v>0.275654296875</v>
      </c>
      <c r="L602" s="973" t="n">
        <v>0.275654296875</v>
      </c>
      <c r="M602" s="973" t="inlineStr">
        <is>
          <t>SaaS; Office Suite; Identity Provider</t>
        </is>
      </c>
      <c r="N602" s="973" t="inlineStr">
        <is>
          <t>https://attack.mitre.org/techniques/T1657/</t>
        </is>
      </c>
      <c r="O602" s="973" t="n"/>
      <c r="P602" s="973" t="n"/>
    </row>
    <row r="603">
      <c r="A603" s="973" t="inlineStr">
        <is>
          <t>Hacktivist</t>
        </is>
      </c>
      <c r="B603" s="973" t="inlineStr">
        <is>
          <t>Critical business-service disruption</t>
        </is>
      </c>
      <c r="C603" s="973" t="inlineStr">
        <is>
          <t>Identity and credential compromise</t>
        </is>
      </c>
      <c r="D603" s="973" t="inlineStr">
        <is>
          <t>T1565</t>
        </is>
      </c>
      <c r="E603" s="973" t="inlineStr">
        <is>
          <t>Data Manipulation</t>
        </is>
      </c>
      <c r="F603" s="973" t="inlineStr">
        <is>
          <t>S5</t>
        </is>
      </c>
      <c r="G603" s="973" t="b">
        <v>1</v>
      </c>
      <c r="H603" s="973" t="b">
        <v>1</v>
      </c>
      <c r="I603" s="973" t="b">
        <v>1</v>
      </c>
      <c r="J603" s="973" t="n">
        <v>0.5</v>
      </c>
      <c r="K603" s="973" t="n">
        <v>0.2206064987182617</v>
      </c>
      <c r="L603" s="973" t="n">
        <v>0.2206064987182617</v>
      </c>
      <c r="M603" s="973" t="inlineStr">
        <is>
          <t>SaaS; Databases; Windows</t>
        </is>
      </c>
      <c r="N603" s="973" t="inlineStr">
        <is>
          <t>https://attack.mitre.org/techniques/T1565/</t>
        </is>
      </c>
      <c r="O603" s="973" t="n"/>
      <c r="P603" s="973" t="n"/>
    </row>
    <row r="604">
      <c r="A604" s="973" t="inlineStr">
        <is>
          <t>Hacktivist</t>
        </is>
      </c>
      <c r="B604" s="973" t="inlineStr">
        <is>
          <t>Critical business-service disruption</t>
        </is>
      </c>
      <c r="C604" s="973" t="inlineStr">
        <is>
          <t>Identity and credential compromise</t>
        </is>
      </c>
      <c r="D604" s="973" t="inlineStr">
        <is>
          <t>T1486</t>
        </is>
      </c>
      <c r="E604" s="973" t="inlineStr">
        <is>
          <t>Data Encrypted for Impact</t>
        </is>
      </c>
      <c r="F604" s="973" t="inlineStr">
        <is>
          <t>S5</t>
        </is>
      </c>
      <c r="G604" s="973" t="b">
        <v>0</v>
      </c>
      <c r="H604" s="973" t="b">
        <v>1</v>
      </c>
      <c r="I604" s="973" t="b">
        <v>0</v>
      </c>
      <c r="J604" s="973" t="n">
        <v>0.7</v>
      </c>
      <c r="K604" s="973" t="n">
        <v>0.16875</v>
      </c>
      <c r="L604" s="973" t="n">
        <v>0.16875</v>
      </c>
      <c r="M604" s="973" t="inlineStr">
        <is>
          <t>Windows; Linux; IaaS</t>
        </is>
      </c>
      <c r="N604" s="973" t="inlineStr">
        <is>
          <t>https://attack.mitre.org/techniques/T1486/</t>
        </is>
      </c>
      <c r="O604" s="973" t="n"/>
      <c r="P604" s="973" t="n"/>
    </row>
    <row r="605">
      <c r="A605" s="973" t="inlineStr">
        <is>
          <t>Hacktivist</t>
        </is>
      </c>
      <c r="B605" s="973" t="inlineStr">
        <is>
          <t>Critical business-service disruption</t>
        </is>
      </c>
      <c r="C605" s="973" t="inlineStr">
        <is>
          <t>Identity and credential compromise</t>
        </is>
      </c>
      <c r="D605" s="973" t="inlineStr">
        <is>
          <t>T1490</t>
        </is>
      </c>
      <c r="E605" s="973" t="inlineStr">
        <is>
          <t>Inhibit System Recovery</t>
        </is>
      </c>
      <c r="F605" s="973" t="inlineStr">
        <is>
          <t>S5</t>
        </is>
      </c>
      <c r="G605" s="973" t="b">
        <v>0</v>
      </c>
      <c r="H605" s="973" t="b">
        <v>1</v>
      </c>
      <c r="I605" s="973" t="b">
        <v>0</v>
      </c>
      <c r="J605" s="973" t="n">
        <v>0.6</v>
      </c>
      <c r="K605" s="973" t="n">
        <v>0</v>
      </c>
      <c r="L605" s="973" t="n">
        <v>0</v>
      </c>
      <c r="M605" s="973" t="inlineStr">
        <is>
          <t>Windows; Linux; IaaS</t>
        </is>
      </c>
      <c r="N605" s="973" t="inlineStr">
        <is>
          <t>https://attack.mitre.org/techniques/T1490/</t>
        </is>
      </c>
      <c r="O605" s="973" t="n"/>
      <c r="P605" s="973" t="n"/>
    </row>
    <row r="606">
      <c r="A606" s="973" t="inlineStr">
        <is>
          <t>Hacktivist</t>
        </is>
      </c>
      <c r="B606" s="973" t="inlineStr">
        <is>
          <t>Critical business-service disruption</t>
        </is>
      </c>
      <c r="C606" s="973" t="inlineStr">
        <is>
          <t>User endpoint and social engineering</t>
        </is>
      </c>
      <c r="D606" s="973" t="inlineStr">
        <is>
          <t>T1566</t>
        </is>
      </c>
      <c r="E606" s="973" t="inlineStr">
        <is>
          <t>Phishing</t>
        </is>
      </c>
      <c r="F606" s="973" t="inlineStr">
        <is>
          <t>S1</t>
        </is>
      </c>
      <c r="G606" s="973" t="b">
        <v>1</v>
      </c>
      <c r="H606" s="973" t="b">
        <v>1</v>
      </c>
      <c r="I606" s="973" t="b">
        <v>1</v>
      </c>
      <c r="J606" s="973" t="n">
        <v>1</v>
      </c>
      <c r="K606" s="973" t="n">
        <v>0.20625</v>
      </c>
      <c r="L606" s="973" t="n">
        <v>0.20625</v>
      </c>
      <c r="M606" s="973" t="inlineStr">
        <is>
          <t>Windows; SaaS; Office Suite</t>
        </is>
      </c>
      <c r="N606" s="973" t="inlineStr">
        <is>
          <t>https://attack.mitre.org/techniques/T1566/</t>
        </is>
      </c>
      <c r="O606" s="973" t="n"/>
      <c r="P606" s="973" t="n"/>
    </row>
    <row r="607">
      <c r="A607" s="973" t="inlineStr">
        <is>
          <t>Hacktivist</t>
        </is>
      </c>
      <c r="B607" s="973" t="inlineStr">
        <is>
          <t>Critical business-service disruption</t>
        </is>
      </c>
      <c r="C607" s="973" t="inlineStr">
        <is>
          <t>User endpoint and social engineering</t>
        </is>
      </c>
      <c r="D607" s="973" t="inlineStr">
        <is>
          <t>T1203</t>
        </is>
      </c>
      <c r="E607" s="973" t="inlineStr">
        <is>
          <t>Exploitation for Client Execution</t>
        </is>
      </c>
      <c r="F607" s="973" t="inlineStr">
        <is>
          <t>S2</t>
        </is>
      </c>
      <c r="G607" s="973" t="b">
        <v>0</v>
      </c>
      <c r="H607" s="973" t="b">
        <v>1</v>
      </c>
      <c r="I607" s="973" t="b">
        <v>0</v>
      </c>
      <c r="J607" s="973" t="n">
        <v>0.8</v>
      </c>
      <c r="K607" s="973" t="n">
        <v>0.2404920959472656</v>
      </c>
      <c r="L607" s="973" t="n">
        <v>0.2404920959472656</v>
      </c>
      <c r="M607" s="973" t="inlineStr">
        <is>
          <t>Windows; macOS; Linux</t>
        </is>
      </c>
      <c r="N607" s="973" t="inlineStr">
        <is>
          <t>https://attack.mitre.org/techniques/T1203/</t>
        </is>
      </c>
      <c r="O607" s="973" t="n"/>
      <c r="P607" s="973" t="n"/>
    </row>
    <row r="608">
      <c r="A608" s="973" t="inlineStr">
        <is>
          <t>Hacktivist</t>
        </is>
      </c>
      <c r="B608" s="973" t="inlineStr">
        <is>
          <t>Critical business-service disruption</t>
        </is>
      </c>
      <c r="C608" s="973" t="inlineStr">
        <is>
          <t>User endpoint and social engineering</t>
        </is>
      </c>
      <c r="D608" s="973" t="inlineStr">
        <is>
          <t>T1059</t>
        </is>
      </c>
      <c r="E608" s="973" t="inlineStr">
        <is>
          <t>Command and Scripting Interpreter</t>
        </is>
      </c>
      <c r="F608" s="973" t="inlineStr">
        <is>
          <t>S2</t>
        </is>
      </c>
      <c r="G608" s="973" t="b">
        <v>1</v>
      </c>
      <c r="H608" s="973" t="b">
        <v>1</v>
      </c>
      <c r="I608" s="973" t="b">
        <v>1</v>
      </c>
      <c r="J608" s="973" t="n">
        <v>0.9</v>
      </c>
      <c r="K608" s="973" t="n">
        <v>0.1875</v>
      </c>
      <c r="L608" s="973" t="n">
        <v>0.1875</v>
      </c>
      <c r="M608" s="973" t="inlineStr">
        <is>
          <t>Windows; macOS; Linux; IaaS</t>
        </is>
      </c>
      <c r="N608" s="973" t="inlineStr">
        <is>
          <t>https://attack.mitre.org/techniques/T1059/</t>
        </is>
      </c>
      <c r="O608" s="973" t="n"/>
      <c r="P608" s="973" t="n"/>
    </row>
    <row r="609">
      <c r="A609" s="973" t="inlineStr">
        <is>
          <t>Hacktivist</t>
        </is>
      </c>
      <c r="B609" s="973" t="inlineStr">
        <is>
          <t>Critical business-service disruption</t>
        </is>
      </c>
      <c r="C609" s="973" t="inlineStr">
        <is>
          <t>User endpoint and social engineering</t>
        </is>
      </c>
      <c r="D609" s="973" t="inlineStr">
        <is>
          <t>T1068</t>
        </is>
      </c>
      <c r="E609" s="973" t="inlineStr">
        <is>
          <t>Exploitation for Privilege Escalation</t>
        </is>
      </c>
      <c r="F609" s="973" t="inlineStr">
        <is>
          <t>S3</t>
        </is>
      </c>
      <c r="G609" s="973" t="b">
        <v>1</v>
      </c>
      <c r="H609" s="973" t="b">
        <v>1</v>
      </c>
      <c r="I609" s="973" t="b">
        <v>1</v>
      </c>
      <c r="J609" s="973" t="n">
        <v>0.7</v>
      </c>
      <c r="K609" s="973" t="n">
        <v>0.2094165115356445</v>
      </c>
      <c r="L609" s="973" t="n">
        <v>0.2094165115356445</v>
      </c>
      <c r="M609" s="973" t="inlineStr">
        <is>
          <t>Windows; macOS; Linux</t>
        </is>
      </c>
      <c r="N609" s="973" t="inlineStr">
        <is>
          <t>https://attack.mitre.org/techniques/T1068/</t>
        </is>
      </c>
      <c r="O609" s="973" t="n"/>
      <c r="P609" s="973" t="n"/>
    </row>
    <row r="610">
      <c r="A610" s="973" t="inlineStr">
        <is>
          <t>Hacktivist</t>
        </is>
      </c>
      <c r="B610" s="973" t="inlineStr">
        <is>
          <t>Critical business-service disruption</t>
        </is>
      </c>
      <c r="C610" s="973" t="inlineStr">
        <is>
          <t>User endpoint and social engineering</t>
        </is>
      </c>
      <c r="D610" s="973" t="inlineStr">
        <is>
          <t>T1003</t>
        </is>
      </c>
      <c r="E610" s="973" t="inlineStr">
        <is>
          <t>OS Credential Dumping</t>
        </is>
      </c>
      <c r="F610" s="973" t="inlineStr">
        <is>
          <t>S3</t>
        </is>
      </c>
      <c r="G610" s="973" t="b">
        <v>1</v>
      </c>
      <c r="H610" s="973" t="b">
        <v>1</v>
      </c>
      <c r="I610" s="973" t="b">
        <v>1</v>
      </c>
      <c r="J610" s="973" t="n">
        <v>0.8</v>
      </c>
      <c r="K610" s="973" t="n">
        <v>0.232294921875</v>
      </c>
      <c r="L610" s="973" t="n">
        <v>0.232294921875</v>
      </c>
      <c r="M610" s="973" t="inlineStr">
        <is>
          <t>Windows; Linux; macOS</t>
        </is>
      </c>
      <c r="N610" s="973" t="inlineStr">
        <is>
          <t>https://attack.mitre.org/techniques/T1003/</t>
        </is>
      </c>
      <c r="O610" s="973" t="n"/>
      <c r="P610" s="973" t="n"/>
    </row>
    <row r="611">
      <c r="A611" s="973" t="inlineStr">
        <is>
          <t>Hacktivist</t>
        </is>
      </c>
      <c r="B611" s="973" t="inlineStr">
        <is>
          <t>Critical business-service disruption</t>
        </is>
      </c>
      <c r="C611" s="973" t="inlineStr">
        <is>
          <t>User endpoint and social engineering</t>
        </is>
      </c>
      <c r="D611" s="973" t="inlineStr">
        <is>
          <t>T1046</t>
        </is>
      </c>
      <c r="E611" s="973" t="inlineStr">
        <is>
          <t>Network Service Discovery</t>
        </is>
      </c>
      <c r="F611" s="973" t="inlineStr">
        <is>
          <t>S4</t>
        </is>
      </c>
      <c r="G611" s="973" t="b">
        <v>1</v>
      </c>
      <c r="H611" s="973" t="b">
        <v>1</v>
      </c>
      <c r="I611" s="973" t="b">
        <v>1</v>
      </c>
      <c r="J611" s="973" t="n">
        <v>0.6</v>
      </c>
      <c r="K611" s="973" t="n">
        <v>0.16875</v>
      </c>
      <c r="L611" s="973" t="n">
        <v>0.16875</v>
      </c>
      <c r="M611" s="973" t="inlineStr">
        <is>
          <t>Network Devices; Windows; Linux</t>
        </is>
      </c>
      <c r="N611" s="973" t="inlineStr">
        <is>
          <t>https://attack.mitre.org/techniques/T1046/</t>
        </is>
      </c>
      <c r="O611" s="973" t="n"/>
      <c r="P611" s="973" t="n"/>
    </row>
    <row r="612">
      <c r="A612" s="973" t="inlineStr">
        <is>
          <t>Hacktivist</t>
        </is>
      </c>
      <c r="B612" s="973" t="inlineStr">
        <is>
          <t>Critical business-service disruption</t>
        </is>
      </c>
      <c r="C612" s="973" t="inlineStr">
        <is>
          <t>User endpoint and social engineering</t>
        </is>
      </c>
      <c r="D612" s="973" t="inlineStr">
        <is>
          <t>T1021</t>
        </is>
      </c>
      <c r="E612" s="973" t="inlineStr">
        <is>
          <t>Remote Services</t>
        </is>
      </c>
      <c r="F612" s="973" t="inlineStr">
        <is>
          <t>S4</t>
        </is>
      </c>
      <c r="G612" s="973" t="b">
        <v>1</v>
      </c>
      <c r="H612" s="973" t="b">
        <v>1</v>
      </c>
      <c r="I612" s="973" t="b">
        <v>1</v>
      </c>
      <c r="J612" s="973" t="n">
        <v>0.8</v>
      </c>
      <c r="K612" s="973" t="n">
        <v>0.1875</v>
      </c>
      <c r="L612" s="973" t="n">
        <v>0.1875</v>
      </c>
      <c r="M612" s="973" t="inlineStr">
        <is>
          <t>Windows; Linux; Network Devices</t>
        </is>
      </c>
      <c r="N612" s="973" t="inlineStr">
        <is>
          <t>https://attack.mitre.org/techniques/T1021/</t>
        </is>
      </c>
      <c r="O612" s="973" t="n"/>
      <c r="P612" s="973" t="n"/>
    </row>
    <row r="613">
      <c r="A613" s="973" t="inlineStr">
        <is>
          <t>Hacktivist</t>
        </is>
      </c>
      <c r="B613" s="973" t="inlineStr">
        <is>
          <t>Critical business-service disruption</t>
        </is>
      </c>
      <c r="C613" s="973" t="inlineStr">
        <is>
          <t>User endpoint and social engineering</t>
        </is>
      </c>
      <c r="D613" s="973" t="inlineStr">
        <is>
          <t>T1213</t>
        </is>
      </c>
      <c r="E613" s="973" t="inlineStr">
        <is>
          <t>Data from Information Repositories</t>
        </is>
      </c>
      <c r="F613" s="973" t="inlineStr">
        <is>
          <t>S4</t>
        </is>
      </c>
      <c r="G613" s="973" t="b">
        <v>0</v>
      </c>
      <c r="H613" s="973" t="b">
        <v>0</v>
      </c>
      <c r="I613" s="973" t="b">
        <v>0</v>
      </c>
      <c r="J613" s="973" t="n">
        <v>0.7</v>
      </c>
      <c r="K613" s="973" t="n">
        <v>0.177890625</v>
      </c>
      <c r="L613" s="973" t="n">
        <v>0.177890625</v>
      </c>
      <c r="M613" s="973" t="inlineStr">
        <is>
          <t>SaaS; Office Suite; Windows</t>
        </is>
      </c>
      <c r="N613" s="973" t="inlineStr">
        <is>
          <t>https://attack.mitre.org/techniques/T1213/</t>
        </is>
      </c>
      <c r="O613" s="973" t="n"/>
      <c r="P613" s="973" t="n"/>
    </row>
    <row r="614">
      <c r="A614" s="973" t="inlineStr">
        <is>
          <t>Hacktivist</t>
        </is>
      </c>
      <c r="B614" s="973" t="inlineStr">
        <is>
          <t>Critical business-service disruption</t>
        </is>
      </c>
      <c r="C614" s="973" t="inlineStr">
        <is>
          <t>User endpoint and social engineering</t>
        </is>
      </c>
      <c r="D614" s="973" t="inlineStr">
        <is>
          <t>T1486</t>
        </is>
      </c>
      <c r="E614" s="973" t="inlineStr">
        <is>
          <t>Data Encrypted for Impact</t>
        </is>
      </c>
      <c r="F614" s="973" t="inlineStr">
        <is>
          <t>S5</t>
        </is>
      </c>
      <c r="G614" s="973" t="b">
        <v>0</v>
      </c>
      <c r="H614" s="973" t="b">
        <v>1</v>
      </c>
      <c r="I614" s="973" t="b">
        <v>0</v>
      </c>
      <c r="J614" s="973" t="n">
        <v>0.8</v>
      </c>
      <c r="K614" s="973" t="n">
        <v>0.16875</v>
      </c>
      <c r="L614" s="973" t="n">
        <v>0.16875</v>
      </c>
      <c r="M614" s="973" t="inlineStr">
        <is>
          <t>Windows; Linux; IaaS</t>
        </is>
      </c>
      <c r="N614" s="973" t="inlineStr">
        <is>
          <t>https://attack.mitre.org/techniques/T1486/</t>
        </is>
      </c>
      <c r="O614" s="973" t="n"/>
      <c r="P614" s="973" t="n"/>
    </row>
    <row r="615">
      <c r="A615" s="973" t="inlineStr">
        <is>
          <t>Hacktivist</t>
        </is>
      </c>
      <c r="B615" s="973" t="inlineStr">
        <is>
          <t>Critical business-service disruption</t>
        </is>
      </c>
      <c r="C615" s="973" t="inlineStr">
        <is>
          <t>User endpoint and social engineering</t>
        </is>
      </c>
      <c r="D615" s="973" t="inlineStr">
        <is>
          <t>T1490</t>
        </is>
      </c>
      <c r="E615" s="973" t="inlineStr">
        <is>
          <t>Inhibit System Recovery</t>
        </is>
      </c>
      <c r="F615" s="973" t="inlineStr">
        <is>
          <t>S5</t>
        </is>
      </c>
      <c r="G615" s="973" t="b">
        <v>0</v>
      </c>
      <c r="H615" s="973" t="b">
        <v>1</v>
      </c>
      <c r="I615" s="973" t="b">
        <v>0</v>
      </c>
      <c r="J615" s="973" t="n">
        <v>0.7</v>
      </c>
      <c r="K615" s="973" t="n">
        <v>0</v>
      </c>
      <c r="L615" s="973" t="n">
        <v>0</v>
      </c>
      <c r="M615" s="973" t="inlineStr">
        <is>
          <t>Windows; Linux; IaaS</t>
        </is>
      </c>
      <c r="N615" s="973" t="inlineStr">
        <is>
          <t>https://attack.mitre.org/techniques/T1490/</t>
        </is>
      </c>
      <c r="O615" s="973" t="n"/>
      <c r="P615" s="973" t="n"/>
    </row>
    <row r="616">
      <c r="A616" s="973" t="inlineStr">
        <is>
          <t>Hacktivist</t>
        </is>
      </c>
      <c r="B616" s="973" t="inlineStr">
        <is>
          <t>Critical business-service disruption</t>
        </is>
      </c>
      <c r="C616" s="973" t="inlineStr">
        <is>
          <t>User endpoint and social engineering</t>
        </is>
      </c>
      <c r="D616" s="973" t="inlineStr">
        <is>
          <t>T1567</t>
        </is>
      </c>
      <c r="E616" s="973" t="inlineStr">
        <is>
          <t>Exfiltration Over Web Service</t>
        </is>
      </c>
      <c r="F616" s="973" t="inlineStr">
        <is>
          <t>S5</t>
        </is>
      </c>
      <c r="G616" s="973" t="b">
        <v>1</v>
      </c>
      <c r="H616" s="973" t="b">
        <v>0</v>
      </c>
      <c r="I616" s="973" t="b">
        <v>0</v>
      </c>
      <c r="J616" s="973" t="n">
        <v>0.7</v>
      </c>
      <c r="K616" s="973" t="n">
        <v>0.20625</v>
      </c>
      <c r="L616" s="973" t="n">
        <v>0.20625</v>
      </c>
      <c r="M616" s="973" t="inlineStr">
        <is>
          <t>SaaS; Office Suite</t>
        </is>
      </c>
      <c r="N616" s="973" t="inlineStr">
        <is>
          <t>https://attack.mitre.org/techniques/T1567/</t>
        </is>
      </c>
      <c r="O616" s="973" t="n"/>
      <c r="P616" s="973" t="n"/>
    </row>
    <row r="617">
      <c r="A617" s="973" t="inlineStr">
        <is>
          <t>Hacktivist</t>
        </is>
      </c>
      <c r="B617" s="973" t="inlineStr">
        <is>
          <t>Critical business-service disruption</t>
        </is>
      </c>
      <c r="C617" s="973" t="inlineStr">
        <is>
          <t>User endpoint and social engineering</t>
        </is>
      </c>
      <c r="D617" s="973" t="inlineStr">
        <is>
          <t>T1657</t>
        </is>
      </c>
      <c r="E617" s="973" t="inlineStr">
        <is>
          <t>Financial Theft</t>
        </is>
      </c>
      <c r="F617" s="973" t="inlineStr">
        <is>
          <t>S5</t>
        </is>
      </c>
      <c r="G617" s="973" t="b">
        <v>0</v>
      </c>
      <c r="H617" s="973" t="b">
        <v>0</v>
      </c>
      <c r="I617" s="973" t="b">
        <v>0</v>
      </c>
      <c r="J617" s="973" t="n">
        <v>0.5</v>
      </c>
      <c r="K617" s="973" t="n">
        <v>0.275654296875</v>
      </c>
      <c r="L617" s="973" t="n">
        <v>0.275654296875</v>
      </c>
      <c r="M617" s="973" t="inlineStr">
        <is>
          <t>SaaS; Office Suite; Identity Provider</t>
        </is>
      </c>
      <c r="N617" s="973" t="inlineStr">
        <is>
          <t>https://attack.mitre.org/techniques/T1657/</t>
        </is>
      </c>
      <c r="O617" s="973" t="n"/>
      <c r="P617" s="973" t="n"/>
    </row>
    <row r="618">
      <c r="A618" s="973" t="inlineStr">
        <is>
          <t>Hacktivist</t>
        </is>
      </c>
      <c r="B618" s="973" t="inlineStr">
        <is>
          <t>Critical business-service disruption</t>
        </is>
      </c>
      <c r="C618" s="973" t="inlineStr">
        <is>
          <t>User endpoint and social engineering</t>
        </is>
      </c>
      <c r="D618" s="973" t="inlineStr">
        <is>
          <t>T1565</t>
        </is>
      </c>
      <c r="E618" s="973" t="inlineStr">
        <is>
          <t>Data Manipulation</t>
        </is>
      </c>
      <c r="F618" s="973" t="inlineStr">
        <is>
          <t>S5</t>
        </is>
      </c>
      <c r="G618" s="973" t="b">
        <v>1</v>
      </c>
      <c r="H618" s="973" t="b">
        <v>1</v>
      </c>
      <c r="I618" s="973" t="b">
        <v>1</v>
      </c>
      <c r="J618" s="973" t="n">
        <v>0.5</v>
      </c>
      <c r="K618" s="973" t="n">
        <v>0.2206064987182617</v>
      </c>
      <c r="L618" s="973" t="n">
        <v>0.2206064987182617</v>
      </c>
      <c r="M618" s="973" t="inlineStr">
        <is>
          <t>SaaS; Databases; Windows</t>
        </is>
      </c>
      <c r="N618" s="973" t="inlineStr">
        <is>
          <t>https://attack.mitre.org/techniques/T1565/</t>
        </is>
      </c>
      <c r="O618" s="973" t="n"/>
      <c r="P618" s="973" t="n"/>
    </row>
    <row r="619">
      <c r="A619" s="973" t="inlineStr">
        <is>
          <t>Hacktivist</t>
        </is>
      </c>
      <c r="B619" s="973" t="inlineStr">
        <is>
          <t>Critical business-service disruption</t>
        </is>
      </c>
      <c r="C619" s="973" t="inlineStr">
        <is>
          <t>Public-facing application exploitation</t>
        </is>
      </c>
      <c r="D619" s="973" t="inlineStr">
        <is>
          <t>T1190</t>
        </is>
      </c>
      <c r="E619" s="973" t="inlineStr">
        <is>
          <t>Exploit Public-Facing Application</t>
        </is>
      </c>
      <c r="F619" s="973" t="inlineStr">
        <is>
          <t>S1</t>
        </is>
      </c>
      <c r="G619" s="973" t="b">
        <v>1</v>
      </c>
      <c r="H619" s="973" t="b">
        <v>1</v>
      </c>
      <c r="I619" s="973" t="b">
        <v>1</v>
      </c>
      <c r="J619" s="973" t="n">
        <v>1</v>
      </c>
      <c r="K619" s="973" t="n">
        <v>0.2496630477905274</v>
      </c>
      <c r="L619" s="973" t="n">
        <v>0.2496630477905274</v>
      </c>
      <c r="M619" s="973" t="inlineStr">
        <is>
          <t>Network Devices; SaaS; IaaS</t>
        </is>
      </c>
      <c r="N619" s="973" t="inlineStr">
        <is>
          <t>https://attack.mitre.org/techniques/T1190/</t>
        </is>
      </c>
      <c r="O619" s="973" t="n"/>
      <c r="P619" s="973" t="n"/>
    </row>
    <row r="620">
      <c r="A620" s="973" t="inlineStr">
        <is>
          <t>Hacktivist</t>
        </is>
      </c>
      <c r="B620" s="973" t="inlineStr">
        <is>
          <t>Critical business-service disruption</t>
        </is>
      </c>
      <c r="C620" s="973" t="inlineStr">
        <is>
          <t>Public-facing application exploitation</t>
        </is>
      </c>
      <c r="D620" s="973" t="inlineStr">
        <is>
          <t>T1059</t>
        </is>
      </c>
      <c r="E620" s="973" t="inlineStr">
        <is>
          <t>Command and Scripting Interpreter</t>
        </is>
      </c>
      <c r="F620" s="973" t="inlineStr">
        <is>
          <t>S2</t>
        </is>
      </c>
      <c r="G620" s="973" t="b">
        <v>1</v>
      </c>
      <c r="H620" s="973" t="b">
        <v>1</v>
      </c>
      <c r="I620" s="973" t="b">
        <v>1</v>
      </c>
      <c r="J620" s="973" t="n">
        <v>0.8</v>
      </c>
      <c r="K620" s="973" t="n">
        <v>0.1875</v>
      </c>
      <c r="L620" s="973" t="n">
        <v>0.1875</v>
      </c>
      <c r="M620" s="973" t="inlineStr">
        <is>
          <t>Windows; macOS; Linux; IaaS</t>
        </is>
      </c>
      <c r="N620" s="973" t="inlineStr">
        <is>
          <t>https://attack.mitre.org/techniques/T1059/</t>
        </is>
      </c>
      <c r="O620" s="973" t="n"/>
      <c r="P620" s="973" t="n"/>
    </row>
    <row r="621">
      <c r="A621" s="973" t="inlineStr">
        <is>
          <t>Hacktivist</t>
        </is>
      </c>
      <c r="B621" s="973" t="inlineStr">
        <is>
          <t>Critical business-service disruption</t>
        </is>
      </c>
      <c r="C621" s="973" t="inlineStr">
        <is>
          <t>Public-facing application exploitation</t>
        </is>
      </c>
      <c r="D621" s="973" t="inlineStr">
        <is>
          <t>T1068</t>
        </is>
      </c>
      <c r="E621" s="973" t="inlineStr">
        <is>
          <t>Exploitation for Privilege Escalation</t>
        </is>
      </c>
      <c r="F621" s="973" t="inlineStr">
        <is>
          <t>S3</t>
        </is>
      </c>
      <c r="G621" s="973" t="b">
        <v>1</v>
      </c>
      <c r="H621" s="973" t="b">
        <v>1</v>
      </c>
      <c r="I621" s="973" t="b">
        <v>1</v>
      </c>
      <c r="J621" s="973" t="n">
        <v>0.7</v>
      </c>
      <c r="K621" s="973" t="n">
        <v>0.2094165115356445</v>
      </c>
      <c r="L621" s="973" t="n">
        <v>0.2094165115356445</v>
      </c>
      <c r="M621" s="973" t="inlineStr">
        <is>
          <t>Windows; macOS; Linux</t>
        </is>
      </c>
      <c r="N621" s="973" t="inlineStr">
        <is>
          <t>https://attack.mitre.org/techniques/T1068/</t>
        </is>
      </c>
      <c r="O621" s="973" t="n"/>
      <c r="P621" s="973" t="n"/>
    </row>
    <row r="622">
      <c r="A622" s="973" t="inlineStr">
        <is>
          <t>Hacktivist</t>
        </is>
      </c>
      <c r="B622" s="973" t="inlineStr">
        <is>
          <t>Critical business-service disruption</t>
        </is>
      </c>
      <c r="C622" s="973" t="inlineStr">
        <is>
          <t>Public-facing application exploitation</t>
        </is>
      </c>
      <c r="D622" s="973" t="inlineStr">
        <is>
          <t>T1003</t>
        </is>
      </c>
      <c r="E622" s="973" t="inlineStr">
        <is>
          <t>OS Credential Dumping</t>
        </is>
      </c>
      <c r="F622" s="973" t="inlineStr">
        <is>
          <t>S3</t>
        </is>
      </c>
      <c r="G622" s="973" t="b">
        <v>1</v>
      </c>
      <c r="H622" s="973" t="b">
        <v>1</v>
      </c>
      <c r="I622" s="973" t="b">
        <v>1</v>
      </c>
      <c r="J622" s="973" t="n">
        <v>0.6</v>
      </c>
      <c r="K622" s="973" t="n">
        <v>0.232294921875</v>
      </c>
      <c r="L622" s="973" t="n">
        <v>0.232294921875</v>
      </c>
      <c r="M622" s="973" t="inlineStr">
        <is>
          <t>Windows; Linux; macOS</t>
        </is>
      </c>
      <c r="N622" s="973" t="inlineStr">
        <is>
          <t>https://attack.mitre.org/techniques/T1003/</t>
        </is>
      </c>
      <c r="O622" s="973" t="n"/>
      <c r="P622" s="973" t="n"/>
    </row>
    <row r="623">
      <c r="A623" s="973" t="inlineStr">
        <is>
          <t>Hacktivist</t>
        </is>
      </c>
      <c r="B623" s="973" t="inlineStr">
        <is>
          <t>Critical business-service disruption</t>
        </is>
      </c>
      <c r="C623" s="973" t="inlineStr">
        <is>
          <t>Public-facing application exploitation</t>
        </is>
      </c>
      <c r="D623" s="973" t="inlineStr">
        <is>
          <t>T1046</t>
        </is>
      </c>
      <c r="E623" s="973" t="inlineStr">
        <is>
          <t>Network Service Discovery</t>
        </is>
      </c>
      <c r="F623" s="973" t="inlineStr">
        <is>
          <t>S4</t>
        </is>
      </c>
      <c r="G623" s="973" t="b">
        <v>1</v>
      </c>
      <c r="H623" s="973" t="b">
        <v>1</v>
      </c>
      <c r="I623" s="973" t="b">
        <v>1</v>
      </c>
      <c r="J623" s="973" t="n">
        <v>0.7</v>
      </c>
      <c r="K623" s="973" t="n">
        <v>0.16875</v>
      </c>
      <c r="L623" s="973" t="n">
        <v>0.16875</v>
      </c>
      <c r="M623" s="973" t="inlineStr">
        <is>
          <t>Network Devices; Windows; Linux</t>
        </is>
      </c>
      <c r="N623" s="973" t="inlineStr">
        <is>
          <t>https://attack.mitre.org/techniques/T1046/</t>
        </is>
      </c>
      <c r="O623" s="973" t="n"/>
      <c r="P623" s="973" t="n"/>
    </row>
    <row r="624">
      <c r="A624" s="973" t="inlineStr">
        <is>
          <t>Hacktivist</t>
        </is>
      </c>
      <c r="B624" s="973" t="inlineStr">
        <is>
          <t>Critical business-service disruption</t>
        </is>
      </c>
      <c r="C624" s="973" t="inlineStr">
        <is>
          <t>Public-facing application exploitation</t>
        </is>
      </c>
      <c r="D624" s="973" t="inlineStr">
        <is>
          <t>T1210</t>
        </is>
      </c>
      <c r="E624" s="973" t="inlineStr">
        <is>
          <t>Exploitation of Remote Services</t>
        </is>
      </c>
      <c r="F624" s="973" t="inlineStr">
        <is>
          <t>S4</t>
        </is>
      </c>
      <c r="G624" s="973" t="b">
        <v>1</v>
      </c>
      <c r="H624" s="973" t="b">
        <v>1</v>
      </c>
      <c r="I624" s="973" t="b">
        <v>1</v>
      </c>
      <c r="J624" s="973" t="n">
        <v>0.9</v>
      </c>
      <c r="K624" s="973" t="n">
        <v>0.2103495368957519</v>
      </c>
      <c r="L624" s="973" t="n">
        <v>0.2103495368957519</v>
      </c>
      <c r="M624" s="973" t="inlineStr">
        <is>
          <t>Windows; Linux; Network Devices</t>
        </is>
      </c>
      <c r="N624" s="973" t="inlineStr">
        <is>
          <t>https://attack.mitre.org/techniques/T1210/</t>
        </is>
      </c>
      <c r="O624" s="973" t="n"/>
      <c r="P624" s="973" t="n"/>
    </row>
    <row r="625">
      <c r="A625" s="973" t="inlineStr">
        <is>
          <t>Hacktivist</t>
        </is>
      </c>
      <c r="B625" s="973" t="inlineStr">
        <is>
          <t>Critical business-service disruption</t>
        </is>
      </c>
      <c r="C625" s="973" t="inlineStr">
        <is>
          <t>Public-facing application exploitation</t>
        </is>
      </c>
      <c r="D625" s="973" t="inlineStr">
        <is>
          <t>T1021</t>
        </is>
      </c>
      <c r="E625" s="973" t="inlineStr">
        <is>
          <t>Remote Services</t>
        </is>
      </c>
      <c r="F625" s="973" t="inlineStr">
        <is>
          <t>S4</t>
        </is>
      </c>
      <c r="G625" s="973" t="b">
        <v>1</v>
      </c>
      <c r="H625" s="973" t="b">
        <v>1</v>
      </c>
      <c r="I625" s="973" t="b">
        <v>1</v>
      </c>
      <c r="J625" s="973" t="n">
        <v>0.7</v>
      </c>
      <c r="K625" s="973" t="n">
        <v>0.1875</v>
      </c>
      <c r="L625" s="973" t="n">
        <v>0.1875</v>
      </c>
      <c r="M625" s="973" t="inlineStr">
        <is>
          <t>Windows; Linux; Network Devices</t>
        </is>
      </c>
      <c r="N625" s="973" t="inlineStr">
        <is>
          <t>https://attack.mitre.org/techniques/T1021/</t>
        </is>
      </c>
      <c r="O625" s="973" t="n"/>
      <c r="P625" s="973" t="n"/>
    </row>
    <row r="626">
      <c r="A626" s="973" t="inlineStr">
        <is>
          <t>Hacktivist</t>
        </is>
      </c>
      <c r="B626" s="973" t="inlineStr">
        <is>
          <t>Critical business-service disruption</t>
        </is>
      </c>
      <c r="C626" s="973" t="inlineStr">
        <is>
          <t>Public-facing application exploitation</t>
        </is>
      </c>
      <c r="D626" s="973" t="inlineStr">
        <is>
          <t>T1486</t>
        </is>
      </c>
      <c r="E626" s="973" t="inlineStr">
        <is>
          <t>Data Encrypted for Impact</t>
        </is>
      </c>
      <c r="F626" s="973" t="inlineStr">
        <is>
          <t>S5</t>
        </is>
      </c>
      <c r="G626" s="973" t="b">
        <v>0</v>
      </c>
      <c r="H626" s="973" t="b">
        <v>1</v>
      </c>
      <c r="I626" s="973" t="b">
        <v>0</v>
      </c>
      <c r="J626" s="973" t="n">
        <v>0.6</v>
      </c>
      <c r="K626" s="973" t="n">
        <v>0.16875</v>
      </c>
      <c r="L626" s="973" t="n">
        <v>0.16875</v>
      </c>
      <c r="M626" s="973" t="inlineStr">
        <is>
          <t>Windows; Linux; IaaS</t>
        </is>
      </c>
      <c r="N626" s="973" t="inlineStr">
        <is>
          <t>https://attack.mitre.org/techniques/T1486/</t>
        </is>
      </c>
      <c r="O626" s="973" t="n"/>
      <c r="P626" s="973" t="n"/>
    </row>
    <row r="627">
      <c r="A627" s="973" t="inlineStr">
        <is>
          <t>Hacktivist</t>
        </is>
      </c>
      <c r="B627" s="973" t="inlineStr">
        <is>
          <t>Critical business-service disruption</t>
        </is>
      </c>
      <c r="C627" s="973" t="inlineStr">
        <is>
          <t>Public-facing application exploitation</t>
        </is>
      </c>
      <c r="D627" s="973" t="inlineStr">
        <is>
          <t>T1490</t>
        </is>
      </c>
      <c r="E627" s="973" t="inlineStr">
        <is>
          <t>Inhibit System Recovery</t>
        </is>
      </c>
      <c r="F627" s="973" t="inlineStr">
        <is>
          <t>S5</t>
        </is>
      </c>
      <c r="G627" s="973" t="b">
        <v>0</v>
      </c>
      <c r="H627" s="973" t="b">
        <v>1</v>
      </c>
      <c r="I627" s="973" t="b">
        <v>0</v>
      </c>
      <c r="J627" s="973" t="n">
        <v>0.5</v>
      </c>
      <c r="K627" s="973" t="n">
        <v>0</v>
      </c>
      <c r="L627" s="973" t="n">
        <v>0</v>
      </c>
      <c r="M627" s="973" t="inlineStr">
        <is>
          <t>Windows; Linux; IaaS</t>
        </is>
      </c>
      <c r="N627" s="973" t="inlineStr">
        <is>
          <t>https://attack.mitre.org/techniques/T1490/</t>
        </is>
      </c>
      <c r="O627" s="973" t="n"/>
      <c r="P627" s="973" t="n"/>
    </row>
    <row r="628">
      <c r="A628" s="973" t="inlineStr">
        <is>
          <t>Hacktivist</t>
        </is>
      </c>
      <c r="B628" s="973" t="inlineStr">
        <is>
          <t>Critical business-service disruption</t>
        </is>
      </c>
      <c r="C628" s="973" t="inlineStr">
        <is>
          <t>Public-facing application exploitation</t>
        </is>
      </c>
      <c r="D628" s="973" t="inlineStr">
        <is>
          <t>T1567</t>
        </is>
      </c>
      <c r="E628" s="973" t="inlineStr">
        <is>
          <t>Exfiltration Over Web Service</t>
        </is>
      </c>
      <c r="F628" s="973" t="inlineStr">
        <is>
          <t>S5</t>
        </is>
      </c>
      <c r="G628" s="973" t="b">
        <v>1</v>
      </c>
      <c r="H628" s="973" t="b">
        <v>0</v>
      </c>
      <c r="I628" s="973" t="b">
        <v>0</v>
      </c>
      <c r="J628" s="973" t="n">
        <v>0.6</v>
      </c>
      <c r="K628" s="973" t="n">
        <v>0.20625</v>
      </c>
      <c r="L628" s="973" t="n">
        <v>0.20625</v>
      </c>
      <c r="M628" s="973" t="inlineStr">
        <is>
          <t>SaaS; Office Suite</t>
        </is>
      </c>
      <c r="N628" s="973" t="inlineStr">
        <is>
          <t>https://attack.mitre.org/techniques/T1567/</t>
        </is>
      </c>
      <c r="O628" s="973" t="n"/>
      <c r="P628" s="973" t="n"/>
    </row>
    <row r="629">
      <c r="A629" s="973" t="inlineStr">
        <is>
          <t>Hacktivist</t>
        </is>
      </c>
      <c r="B629" s="973" t="inlineStr">
        <is>
          <t>Critical business-service disruption</t>
        </is>
      </c>
      <c r="C629" s="973" t="inlineStr">
        <is>
          <t>Public-facing application exploitation</t>
        </is>
      </c>
      <c r="D629" s="973" t="inlineStr">
        <is>
          <t>T1565</t>
        </is>
      </c>
      <c r="E629" s="973" t="inlineStr">
        <is>
          <t>Data Manipulation</t>
        </is>
      </c>
      <c r="F629" s="973" t="inlineStr">
        <is>
          <t>S5</t>
        </is>
      </c>
      <c r="G629" s="973" t="b">
        <v>1</v>
      </c>
      <c r="H629" s="973" t="b">
        <v>1</v>
      </c>
      <c r="I629" s="973" t="b">
        <v>1</v>
      </c>
      <c r="J629" s="973" t="n">
        <v>0.6</v>
      </c>
      <c r="K629" s="973" t="n">
        <v>0.2206064987182617</v>
      </c>
      <c r="L629" s="973" t="n">
        <v>0.2206064987182617</v>
      </c>
      <c r="M629" s="973" t="inlineStr">
        <is>
          <t>SaaS; Databases; Windows</t>
        </is>
      </c>
      <c r="N629" s="973" t="inlineStr">
        <is>
          <t>https://attack.mitre.org/techniques/T1565/</t>
        </is>
      </c>
      <c r="O629" s="973" t="n"/>
      <c r="P629" s="973" t="n"/>
    </row>
    <row r="630">
      <c r="A630" s="973" t="inlineStr">
        <is>
          <t>Hacktivist</t>
        </is>
      </c>
      <c r="B630" s="973" t="inlineStr">
        <is>
          <t>Critical business-service disruption</t>
        </is>
      </c>
      <c r="C630" s="973" t="inlineStr">
        <is>
          <t>Public-facing application exploitation</t>
        </is>
      </c>
      <c r="D630" s="973" t="inlineStr">
        <is>
          <t>T1657</t>
        </is>
      </c>
      <c r="E630" s="973" t="inlineStr">
        <is>
          <t>Financial Theft</t>
        </is>
      </c>
      <c r="F630" s="973" t="inlineStr">
        <is>
          <t>S5</t>
        </is>
      </c>
      <c r="G630" s="973" t="b">
        <v>0</v>
      </c>
      <c r="H630" s="973" t="b">
        <v>0</v>
      </c>
      <c r="I630" s="973" t="b">
        <v>0</v>
      </c>
      <c r="J630" s="973" t="n">
        <v>0.4</v>
      </c>
      <c r="K630" s="973" t="n">
        <v>0.275654296875</v>
      </c>
      <c r="L630" s="973" t="n">
        <v>0.275654296875</v>
      </c>
      <c r="M630" s="973" t="inlineStr">
        <is>
          <t>SaaS; Office Suite; Identity Provider</t>
        </is>
      </c>
      <c r="N630" s="973" t="inlineStr">
        <is>
          <t>https://attack.mitre.org/techniques/T1657/</t>
        </is>
      </c>
      <c r="O630" s="973" t="n"/>
      <c r="P630" s="973" t="n"/>
    </row>
    <row r="631">
      <c r="A631" s="973" t="inlineStr">
        <is>
          <t>Hacktivist</t>
        </is>
      </c>
      <c r="B631" s="973" t="inlineStr">
        <is>
          <t>Critical business-service disruption</t>
        </is>
      </c>
      <c r="C631" s="973" t="inlineStr">
        <is>
          <t>Third-party or software supply chain</t>
        </is>
      </c>
      <c r="D631" s="973" t="inlineStr">
        <is>
          <t>T1199</t>
        </is>
      </c>
      <c r="E631" s="973" t="inlineStr">
        <is>
          <t>Trusted Relationship</t>
        </is>
      </c>
      <c r="F631" s="973" t="inlineStr">
        <is>
          <t>S3</t>
        </is>
      </c>
      <c r="G631" s="973" t="b">
        <v>1</v>
      </c>
      <c r="H631" s="973" t="b">
        <v>1</v>
      </c>
      <c r="I631" s="973" t="b">
        <v>1</v>
      </c>
      <c r="J631" s="973" t="n">
        <v>1</v>
      </c>
      <c r="K631" s="973" t="n">
        <v>0.20625</v>
      </c>
      <c r="L631" s="973" t="n">
        <v>0.20625</v>
      </c>
      <c r="M631" s="973" t="inlineStr">
        <is>
          <t>SaaS; IaaS; Network Devices</t>
        </is>
      </c>
      <c r="N631" s="973" t="inlineStr">
        <is>
          <t>https://attack.mitre.org/techniques/T1199/</t>
        </is>
      </c>
      <c r="O631" s="973" t="n"/>
      <c r="P631" s="973" t="n"/>
    </row>
    <row r="632">
      <c r="A632" s="973" t="inlineStr">
        <is>
          <t>Hacktivist</t>
        </is>
      </c>
      <c r="B632" s="973" t="inlineStr">
        <is>
          <t>Critical business-service disruption</t>
        </is>
      </c>
      <c r="C632" s="973" t="inlineStr">
        <is>
          <t>Third-party or software supply chain</t>
        </is>
      </c>
      <c r="D632" s="973" t="inlineStr">
        <is>
          <t>T1098</t>
        </is>
      </c>
      <c r="E632" s="973" t="inlineStr">
        <is>
          <t>Account Manipulation</t>
        </is>
      </c>
      <c r="F632" s="973" t="inlineStr">
        <is>
          <t>S3</t>
        </is>
      </c>
      <c r="G632" s="973" t="b">
        <v>1</v>
      </c>
      <c r="H632" s="973" t="b">
        <v>1</v>
      </c>
      <c r="I632" s="973" t="b">
        <v>1</v>
      </c>
      <c r="J632" s="973" t="n">
        <v>0.6</v>
      </c>
      <c r="K632" s="973" t="n">
        <v>0.2477547340393066</v>
      </c>
      <c r="L632" s="973" t="n">
        <v>0.2477547340393066</v>
      </c>
      <c r="M632" s="973" t="inlineStr">
        <is>
          <t>Identity Provider; SaaS; Windows</t>
        </is>
      </c>
      <c r="N632" s="973" t="inlineStr">
        <is>
          <t>https://attack.mitre.org/techniques/T1098/</t>
        </is>
      </c>
      <c r="O632" s="973" t="n"/>
      <c r="P632" s="973" t="n"/>
    </row>
    <row r="633">
      <c r="A633" s="973" t="inlineStr">
        <is>
          <t>Hacktivist</t>
        </is>
      </c>
      <c r="B633" s="973" t="inlineStr">
        <is>
          <t>Critical business-service disruption</t>
        </is>
      </c>
      <c r="C633" s="973" t="inlineStr">
        <is>
          <t>Third-party or software supply chain</t>
        </is>
      </c>
      <c r="D633" s="973" t="inlineStr">
        <is>
          <t>T1087</t>
        </is>
      </c>
      <c r="E633" s="973" t="inlineStr">
        <is>
          <t>Account Discovery</t>
        </is>
      </c>
      <c r="F633" s="973" t="inlineStr">
        <is>
          <t>S4</t>
        </is>
      </c>
      <c r="G633" s="973" t="b">
        <v>1</v>
      </c>
      <c r="H633" s="973" t="b">
        <v>1</v>
      </c>
      <c r="I633" s="973" t="b">
        <v>1</v>
      </c>
      <c r="J633" s="973" t="n">
        <v>0.5</v>
      </c>
      <c r="K633" s="973" t="n">
        <v>0</v>
      </c>
      <c r="L633" s="973" t="n">
        <v>0</v>
      </c>
      <c r="M633" s="973" t="inlineStr">
        <is>
          <t>Identity Provider; SaaS; Windows</t>
        </is>
      </c>
      <c r="N633" s="973" t="inlineStr">
        <is>
          <t>https://attack.mitre.org/techniques/T1087/</t>
        </is>
      </c>
      <c r="O633" s="973" t="n"/>
      <c r="P633" s="973" t="n"/>
    </row>
    <row r="634">
      <c r="A634" s="973" t="inlineStr">
        <is>
          <t>Hacktivist</t>
        </is>
      </c>
      <c r="B634" s="973" t="inlineStr">
        <is>
          <t>Critical business-service disruption</t>
        </is>
      </c>
      <c r="C634" s="973" t="inlineStr">
        <is>
          <t>Third-party or software supply chain</t>
        </is>
      </c>
      <c r="D634" s="973" t="inlineStr">
        <is>
          <t>T1213</t>
        </is>
      </c>
      <c r="E634" s="973" t="inlineStr">
        <is>
          <t>Data from Information Repositories</t>
        </is>
      </c>
      <c r="F634" s="973" t="inlineStr">
        <is>
          <t>S4</t>
        </is>
      </c>
      <c r="G634" s="973" t="b">
        <v>0</v>
      </c>
      <c r="H634" s="973" t="b">
        <v>0</v>
      </c>
      <c r="I634" s="973" t="b">
        <v>0</v>
      </c>
      <c r="J634" s="973" t="n">
        <v>0.7</v>
      </c>
      <c r="K634" s="973" t="n">
        <v>0.177890625</v>
      </c>
      <c r="L634" s="973" t="n">
        <v>0.177890625</v>
      </c>
      <c r="M634" s="973" t="inlineStr">
        <is>
          <t>SaaS; Office Suite; Windows</t>
        </is>
      </c>
      <c r="N634" s="973" t="inlineStr">
        <is>
          <t>https://attack.mitre.org/techniques/T1213/</t>
        </is>
      </c>
      <c r="O634" s="973" t="n"/>
      <c r="P634" s="973" t="n"/>
    </row>
    <row r="635">
      <c r="A635" s="973" t="inlineStr">
        <is>
          <t>Hacktivist</t>
        </is>
      </c>
      <c r="B635" s="973" t="inlineStr">
        <is>
          <t>Critical business-service disruption</t>
        </is>
      </c>
      <c r="C635" s="973" t="inlineStr">
        <is>
          <t>Third-party or software supply chain</t>
        </is>
      </c>
      <c r="D635" s="973" t="inlineStr">
        <is>
          <t>T1567</t>
        </is>
      </c>
      <c r="E635" s="973" t="inlineStr">
        <is>
          <t>Exfiltration Over Web Service</t>
        </is>
      </c>
      <c r="F635" s="973" t="inlineStr">
        <is>
          <t>S5</t>
        </is>
      </c>
      <c r="G635" s="973" t="b">
        <v>1</v>
      </c>
      <c r="H635" s="973" t="b">
        <v>0</v>
      </c>
      <c r="I635" s="973" t="b">
        <v>0</v>
      </c>
      <c r="J635" s="973" t="n">
        <v>0.6</v>
      </c>
      <c r="K635" s="973" t="n">
        <v>0.20625</v>
      </c>
      <c r="L635" s="973" t="n">
        <v>0.20625</v>
      </c>
      <c r="M635" s="973" t="inlineStr">
        <is>
          <t>SaaS; Office Suite</t>
        </is>
      </c>
      <c r="N635" s="973" t="inlineStr">
        <is>
          <t>https://attack.mitre.org/techniques/T1567/</t>
        </is>
      </c>
      <c r="O635" s="973" t="n"/>
      <c r="P635" s="973" t="n"/>
    </row>
    <row r="636">
      <c r="A636" s="973" t="inlineStr">
        <is>
          <t>Hacktivist</t>
        </is>
      </c>
      <c r="B636" s="973" t="inlineStr">
        <is>
          <t>Critical business-service disruption</t>
        </is>
      </c>
      <c r="C636" s="973" t="inlineStr">
        <is>
          <t>Third-party or software supply chain</t>
        </is>
      </c>
      <c r="D636" s="973" t="inlineStr">
        <is>
          <t>T1486</t>
        </is>
      </c>
      <c r="E636" s="973" t="inlineStr">
        <is>
          <t>Data Encrypted for Impact</t>
        </is>
      </c>
      <c r="F636" s="973" t="inlineStr">
        <is>
          <t>S5</t>
        </is>
      </c>
      <c r="G636" s="973" t="b">
        <v>0</v>
      </c>
      <c r="H636" s="973" t="b">
        <v>1</v>
      </c>
      <c r="I636" s="973" t="b">
        <v>0</v>
      </c>
      <c r="J636" s="973" t="n">
        <v>0.5</v>
      </c>
      <c r="K636" s="973" t="n">
        <v>0.16875</v>
      </c>
      <c r="L636" s="973" t="n">
        <v>0.16875</v>
      </c>
      <c r="M636" s="973" t="inlineStr">
        <is>
          <t>Windows; Linux; IaaS</t>
        </is>
      </c>
      <c r="N636" s="973" t="inlineStr">
        <is>
          <t>https://attack.mitre.org/techniques/T1486/</t>
        </is>
      </c>
      <c r="O636" s="973" t="n"/>
      <c r="P636" s="973" t="n"/>
    </row>
    <row r="637">
      <c r="A637" s="973" t="inlineStr">
        <is>
          <t>Hacktivist</t>
        </is>
      </c>
      <c r="B637" s="973" t="inlineStr">
        <is>
          <t>Critical business-service disruption</t>
        </is>
      </c>
      <c r="C637" s="973" t="inlineStr">
        <is>
          <t>Third-party or software supply chain</t>
        </is>
      </c>
      <c r="D637" s="973" t="inlineStr">
        <is>
          <t>T1565</t>
        </is>
      </c>
      <c r="E637" s="973" t="inlineStr">
        <is>
          <t>Data Manipulation</t>
        </is>
      </c>
      <c r="F637" s="973" t="inlineStr">
        <is>
          <t>S5</t>
        </is>
      </c>
      <c r="G637" s="973" t="b">
        <v>1</v>
      </c>
      <c r="H637" s="973" t="b">
        <v>1</v>
      </c>
      <c r="I637" s="973" t="b">
        <v>1</v>
      </c>
      <c r="J637" s="973" t="n">
        <v>0.6</v>
      </c>
      <c r="K637" s="973" t="n">
        <v>0.2206064987182617</v>
      </c>
      <c r="L637" s="973" t="n">
        <v>0.2206064987182617</v>
      </c>
      <c r="M637" s="973" t="inlineStr">
        <is>
          <t>SaaS; Databases; Windows</t>
        </is>
      </c>
      <c r="N637" s="973" t="inlineStr">
        <is>
          <t>https://attack.mitre.org/techniques/T1565/</t>
        </is>
      </c>
      <c r="O637" s="973" t="n"/>
      <c r="P637" s="973" t="n"/>
    </row>
    <row r="638">
      <c r="A638" s="973" t="inlineStr">
        <is>
          <t>Hacktivist</t>
        </is>
      </c>
      <c r="B638" s="973" t="inlineStr">
        <is>
          <t>Critical business-service disruption</t>
        </is>
      </c>
      <c r="C638" s="973" t="inlineStr">
        <is>
          <t>Third-party or software supply chain</t>
        </is>
      </c>
      <c r="D638" s="973" t="inlineStr">
        <is>
          <t>T1657</t>
        </is>
      </c>
      <c r="E638" s="973" t="inlineStr">
        <is>
          <t>Financial Theft</t>
        </is>
      </c>
      <c r="F638" s="973" t="inlineStr">
        <is>
          <t>S5</t>
        </is>
      </c>
      <c r="G638" s="973" t="b">
        <v>0</v>
      </c>
      <c r="H638" s="973" t="b">
        <v>0</v>
      </c>
      <c r="I638" s="973" t="b">
        <v>0</v>
      </c>
      <c r="J638" s="973" t="n">
        <v>0.5</v>
      </c>
      <c r="K638" s="973" t="n">
        <v>0.275654296875</v>
      </c>
      <c r="L638" s="973" t="n">
        <v>0.275654296875</v>
      </c>
      <c r="M638" s="973" t="inlineStr">
        <is>
          <t>SaaS; Office Suite; Identity Provider</t>
        </is>
      </c>
      <c r="N638" s="973" t="inlineStr">
        <is>
          <t>https://attack.mitre.org/techniques/T1657/</t>
        </is>
      </c>
      <c r="O638" s="973" t="n"/>
      <c r="P638" s="973" t="n"/>
    </row>
    <row r="639">
      <c r="A639" s="973" t="inlineStr">
        <is>
          <t>Hacktivist</t>
        </is>
      </c>
      <c r="B639" s="973" t="inlineStr">
        <is>
          <t>Critical business-service disruption</t>
        </is>
      </c>
      <c r="C639" s="973" t="inlineStr">
        <is>
          <t>Direct availability or DDoS</t>
        </is>
      </c>
      <c r="D639" s="973" t="inlineStr">
        <is>
          <t>T1498</t>
        </is>
      </c>
      <c r="E639" s="973" t="inlineStr">
        <is>
          <t>Network Denial of Service</t>
        </is>
      </c>
      <c r="F639" s="973" t="inlineStr">
        <is>
          <t>S1</t>
        </is>
      </c>
      <c r="G639" s="973" t="b">
        <v>1</v>
      </c>
      <c r="H639" s="973" t="b">
        <v>1</v>
      </c>
      <c r="I639" s="973" t="b">
        <v>1</v>
      </c>
      <c r="J639" s="973" t="n">
        <v>1</v>
      </c>
      <c r="K639" s="973" t="n">
        <v>0.2866992187499999</v>
      </c>
      <c r="L639" s="973" t="n">
        <v>0.2866992187499999</v>
      </c>
      <c r="M639" s="973" t="inlineStr">
        <is>
          <t>Network Devices</t>
        </is>
      </c>
      <c r="N639" s="973" t="inlineStr">
        <is>
          <t>https://attack.mitre.org/techniques/T1498/</t>
        </is>
      </c>
      <c r="O639" s="973" t="n"/>
      <c r="P639" s="973" t="n"/>
    </row>
    <row r="640">
      <c r="A640" s="973" t="inlineStr">
        <is>
          <t>Hacktivist</t>
        </is>
      </c>
      <c r="B640" s="973" t="inlineStr">
        <is>
          <t>Critical business-service disruption</t>
        </is>
      </c>
      <c r="C640" s="973" t="inlineStr">
        <is>
          <t>Direct availability or DDoS</t>
        </is>
      </c>
      <c r="D640" s="973" t="inlineStr">
        <is>
          <t>T1499</t>
        </is>
      </c>
      <c r="E640" s="973" t="inlineStr">
        <is>
          <t>Endpoint Denial of Service</t>
        </is>
      </c>
      <c r="F640" s="973" t="inlineStr">
        <is>
          <t>S5</t>
        </is>
      </c>
      <c r="G640" s="973" t="b">
        <v>1</v>
      </c>
      <c r="H640" s="973" t="b">
        <v>1</v>
      </c>
      <c r="I640" s="973" t="b">
        <v>1</v>
      </c>
      <c r="J640" s="973" t="n">
        <v>1</v>
      </c>
      <c r="K640" s="973" t="n">
        <v>0.225</v>
      </c>
      <c r="L640" s="973" t="n">
        <v>0.225</v>
      </c>
      <c r="M640" s="973" t="inlineStr">
        <is>
          <t>Windows; Linux; Network Devices</t>
        </is>
      </c>
      <c r="N640" s="973" t="inlineStr">
        <is>
          <t>https://attack.mitre.org/techniques/T1499/</t>
        </is>
      </c>
      <c r="O640" s="973" t="n"/>
      <c r="P640" s="973" t="n"/>
    </row>
    <row r="641">
      <c r="A641" s="973" t="inlineStr">
        <is>
          <t>Hacktivist</t>
        </is>
      </c>
      <c r="B641" s="973" t="inlineStr">
        <is>
          <t>Critical business-service disruption</t>
        </is>
      </c>
      <c r="C641" s="973" t="inlineStr">
        <is>
          <t>Insider or trusted access</t>
        </is>
      </c>
      <c r="D641" s="973" t="inlineStr">
        <is>
          <t>T1098</t>
        </is>
      </c>
      <c r="E641" s="973" t="inlineStr">
        <is>
          <t>Account Manipulation</t>
        </is>
      </c>
      <c r="F641" s="973" t="inlineStr">
        <is>
          <t>S3</t>
        </is>
      </c>
      <c r="G641" s="973" t="b">
        <v>1</v>
      </c>
      <c r="H641" s="973" t="b">
        <v>1</v>
      </c>
      <c r="I641" s="973" t="b">
        <v>1</v>
      </c>
      <c r="J641" s="973" t="n">
        <v>0.8</v>
      </c>
      <c r="K641" s="973" t="n">
        <v>0.2477547340393066</v>
      </c>
      <c r="L641" s="973" t="n">
        <v>0.2477547340393066</v>
      </c>
      <c r="M641" s="973" t="inlineStr">
        <is>
          <t>Identity Provider; SaaS; Windows</t>
        </is>
      </c>
      <c r="N641" s="973" t="inlineStr">
        <is>
          <t>https://attack.mitre.org/techniques/T1098/</t>
        </is>
      </c>
      <c r="O641" s="973" t="n"/>
      <c r="P641" s="973" t="n"/>
    </row>
    <row r="642">
      <c r="A642" s="973" t="inlineStr">
        <is>
          <t>Hacktivist</t>
        </is>
      </c>
      <c r="B642" s="973" t="inlineStr">
        <is>
          <t>Critical business-service disruption</t>
        </is>
      </c>
      <c r="C642" s="973" t="inlineStr">
        <is>
          <t>Insider or trusted access</t>
        </is>
      </c>
      <c r="D642" s="973" t="inlineStr">
        <is>
          <t>T1087</t>
        </is>
      </c>
      <c r="E642" s="973" t="inlineStr">
        <is>
          <t>Account Discovery</t>
        </is>
      </c>
      <c r="F642" s="973" t="inlineStr">
        <is>
          <t>S4</t>
        </is>
      </c>
      <c r="G642" s="973" t="b">
        <v>1</v>
      </c>
      <c r="H642" s="973" t="b">
        <v>1</v>
      </c>
      <c r="I642" s="973" t="b">
        <v>1</v>
      </c>
      <c r="J642" s="973" t="n">
        <v>0.6</v>
      </c>
      <c r="K642" s="973" t="n">
        <v>0</v>
      </c>
      <c r="L642" s="973" t="n">
        <v>0</v>
      </c>
      <c r="M642" s="973" t="inlineStr">
        <is>
          <t>Identity Provider; SaaS; Windows</t>
        </is>
      </c>
      <c r="N642" s="973" t="inlineStr">
        <is>
          <t>https://attack.mitre.org/techniques/T1087/</t>
        </is>
      </c>
      <c r="O642" s="973" t="n"/>
      <c r="P642" s="973" t="n"/>
    </row>
    <row r="643">
      <c r="A643" s="973" t="inlineStr">
        <is>
          <t>Hacktivist</t>
        </is>
      </c>
      <c r="B643" s="973" t="inlineStr">
        <is>
          <t>Critical business-service disruption</t>
        </is>
      </c>
      <c r="C643" s="973" t="inlineStr">
        <is>
          <t>Insider or trusted access</t>
        </is>
      </c>
      <c r="D643" s="973" t="inlineStr">
        <is>
          <t>T1213</t>
        </is>
      </c>
      <c r="E643" s="973" t="inlineStr">
        <is>
          <t>Data from Information Repositories</t>
        </is>
      </c>
      <c r="F643" s="973" t="inlineStr">
        <is>
          <t>S4</t>
        </is>
      </c>
      <c r="G643" s="973" t="b">
        <v>0</v>
      </c>
      <c r="H643" s="973" t="b">
        <v>0</v>
      </c>
      <c r="I643" s="973" t="b">
        <v>0</v>
      </c>
      <c r="J643" s="973" t="n">
        <v>0.9</v>
      </c>
      <c r="K643" s="973" t="n">
        <v>0.177890625</v>
      </c>
      <c r="L643" s="973" t="n">
        <v>0.177890625</v>
      </c>
      <c r="M643" s="973" t="inlineStr">
        <is>
          <t>SaaS; Office Suite; Windows</t>
        </is>
      </c>
      <c r="N643" s="973" t="inlineStr">
        <is>
          <t>https://attack.mitre.org/techniques/T1213/</t>
        </is>
      </c>
      <c r="O643" s="973" t="n"/>
      <c r="P643" s="973" t="n"/>
    </row>
    <row r="644">
      <c r="A644" s="973" t="inlineStr">
        <is>
          <t>Hacktivist</t>
        </is>
      </c>
      <c r="B644" s="973" t="inlineStr">
        <is>
          <t>Critical business-service disruption</t>
        </is>
      </c>
      <c r="C644" s="973" t="inlineStr">
        <is>
          <t>Insider or trusted access</t>
        </is>
      </c>
      <c r="D644" s="973" t="inlineStr">
        <is>
          <t>T1567</t>
        </is>
      </c>
      <c r="E644" s="973" t="inlineStr">
        <is>
          <t>Exfiltration Over Web Service</t>
        </is>
      </c>
      <c r="F644" s="973" t="inlineStr">
        <is>
          <t>S5</t>
        </is>
      </c>
      <c r="G644" s="973" t="b">
        <v>1</v>
      </c>
      <c r="H644" s="973" t="b">
        <v>0</v>
      </c>
      <c r="I644" s="973" t="b">
        <v>0</v>
      </c>
      <c r="J644" s="973" t="n">
        <v>0.8</v>
      </c>
      <c r="K644" s="973" t="n">
        <v>0.20625</v>
      </c>
      <c r="L644" s="973" t="n">
        <v>0.20625</v>
      </c>
      <c r="M644" s="973" t="inlineStr">
        <is>
          <t>SaaS; Office Suite</t>
        </is>
      </c>
      <c r="N644" s="973" t="inlineStr">
        <is>
          <t>https://attack.mitre.org/techniques/T1567/</t>
        </is>
      </c>
      <c r="O644" s="973" t="n"/>
      <c r="P644" s="973" t="n"/>
    </row>
    <row r="645">
      <c r="A645" s="973" t="inlineStr">
        <is>
          <t>Hacktivist</t>
        </is>
      </c>
      <c r="B645" s="973" t="inlineStr">
        <is>
          <t>Critical business-service disruption</t>
        </is>
      </c>
      <c r="C645" s="973" t="inlineStr">
        <is>
          <t>Insider or trusted access</t>
        </is>
      </c>
      <c r="D645" s="973" t="inlineStr">
        <is>
          <t>T1565</t>
        </is>
      </c>
      <c r="E645" s="973" t="inlineStr">
        <is>
          <t>Data Manipulation</t>
        </is>
      </c>
      <c r="F645" s="973" t="inlineStr">
        <is>
          <t>S5</t>
        </is>
      </c>
      <c r="G645" s="973" t="b">
        <v>1</v>
      </c>
      <c r="H645" s="973" t="b">
        <v>1</v>
      </c>
      <c r="I645" s="973" t="b">
        <v>1</v>
      </c>
      <c r="J645" s="973" t="n">
        <v>0.9</v>
      </c>
      <c r="K645" s="973" t="n">
        <v>0.2206064987182617</v>
      </c>
      <c r="L645" s="973" t="n">
        <v>0.2206064987182617</v>
      </c>
      <c r="M645" s="973" t="inlineStr">
        <is>
          <t>SaaS; Databases; Windows</t>
        </is>
      </c>
      <c r="N645" s="973" t="inlineStr">
        <is>
          <t>https://attack.mitre.org/techniques/T1565/</t>
        </is>
      </c>
      <c r="O645" s="973" t="n"/>
      <c r="P645" s="973" t="n"/>
    </row>
    <row r="646">
      <c r="A646" s="973" t="inlineStr">
        <is>
          <t>Hacktivist</t>
        </is>
      </c>
      <c r="B646" s="973" t="inlineStr">
        <is>
          <t>Critical business-service disruption</t>
        </is>
      </c>
      <c r="C646" s="973" t="inlineStr">
        <is>
          <t>Insider or trusted access</t>
        </is>
      </c>
      <c r="D646" s="973" t="inlineStr">
        <is>
          <t>T1657</t>
        </is>
      </c>
      <c r="E646" s="973" t="inlineStr">
        <is>
          <t>Financial Theft</t>
        </is>
      </c>
      <c r="F646" s="973" t="inlineStr">
        <is>
          <t>S5</t>
        </is>
      </c>
      <c r="G646" s="973" t="b">
        <v>0</v>
      </c>
      <c r="H646" s="973" t="b">
        <v>0</v>
      </c>
      <c r="I646" s="973" t="b">
        <v>0</v>
      </c>
      <c r="J646" s="973" t="n">
        <v>0.9</v>
      </c>
      <c r="K646" s="973" t="n">
        <v>0.275654296875</v>
      </c>
      <c r="L646" s="973" t="n">
        <v>0.275654296875</v>
      </c>
      <c r="M646" s="973" t="inlineStr">
        <is>
          <t>SaaS; Office Suite; Identity Provider</t>
        </is>
      </c>
      <c r="N646" s="973" t="inlineStr">
        <is>
          <t>https://attack.mitre.org/techniques/T1657/</t>
        </is>
      </c>
      <c r="O646" s="973" t="n"/>
      <c r="P646" s="973" t="n"/>
    </row>
    <row r="647">
      <c r="A647" s="973" t="inlineStr">
        <is>
          <t>Hacktivist</t>
        </is>
      </c>
      <c r="B647" s="973" t="inlineStr">
        <is>
          <t>Sensitive-data compromise</t>
        </is>
      </c>
      <c r="C647" s="973" t="inlineStr">
        <is>
          <t>Identity and credential compromise</t>
        </is>
      </c>
      <c r="D647" s="973" t="inlineStr">
        <is>
          <t>T1566</t>
        </is>
      </c>
      <c r="E647" s="973" t="inlineStr">
        <is>
          <t>Phishing</t>
        </is>
      </c>
      <c r="F647" s="973" t="inlineStr">
        <is>
          <t>S1</t>
        </is>
      </c>
      <c r="G647" s="973" t="b">
        <v>1</v>
      </c>
      <c r="H647" s="973" t="b">
        <v>1</v>
      </c>
      <c r="I647" s="973" t="b">
        <v>1</v>
      </c>
      <c r="J647" s="973" t="n">
        <v>1</v>
      </c>
      <c r="K647" s="973" t="n">
        <v>0.20625</v>
      </c>
      <c r="L647" s="973" t="n">
        <v>0.20625</v>
      </c>
      <c r="M647" s="973" t="inlineStr">
        <is>
          <t>Windows; SaaS; Office Suite</t>
        </is>
      </c>
      <c r="N647" s="973" t="inlineStr">
        <is>
          <t>https://attack.mitre.org/techniques/T1566/</t>
        </is>
      </c>
      <c r="O647" s="973" t="n"/>
      <c r="P647" s="973" t="n"/>
    </row>
    <row r="648">
      <c r="A648" s="973" t="inlineStr">
        <is>
          <t>Hacktivist</t>
        </is>
      </c>
      <c r="B648" s="973" t="inlineStr">
        <is>
          <t>Sensitive-data compromise</t>
        </is>
      </c>
      <c r="C648" s="973" t="inlineStr">
        <is>
          <t>Identity and credential compromise</t>
        </is>
      </c>
      <c r="D648" s="973" t="inlineStr">
        <is>
          <t>T1078</t>
        </is>
      </c>
      <c r="E648" s="973" t="inlineStr">
        <is>
          <t>Valid Accounts</t>
        </is>
      </c>
      <c r="F648" s="973" t="inlineStr">
        <is>
          <t>S1</t>
        </is>
      </c>
      <c r="G648" s="973" t="b">
        <v>1</v>
      </c>
      <c r="H648" s="973" t="b">
        <v>1</v>
      </c>
      <c r="I648" s="973" t="b">
        <v>1</v>
      </c>
      <c r="J648" s="973" t="n">
        <v>1</v>
      </c>
      <c r="K648" s="973" t="n">
        <v>0.272109375</v>
      </c>
      <c r="L648" s="973" t="n">
        <v>0.272109375</v>
      </c>
      <c r="M648" s="973" t="inlineStr">
        <is>
          <t>Identity Provider; SaaS; IaaS; Windows</t>
        </is>
      </c>
      <c r="N648" s="973" t="inlineStr">
        <is>
          <t>https://attack.mitre.org/techniques/T1078/</t>
        </is>
      </c>
      <c r="O648" s="973" t="n"/>
      <c r="P648" s="973" t="n"/>
    </row>
    <row r="649">
      <c r="A649" s="973" t="inlineStr">
        <is>
          <t>Hacktivist</t>
        </is>
      </c>
      <c r="B649" s="973" t="inlineStr">
        <is>
          <t>Sensitive-data compromise</t>
        </is>
      </c>
      <c r="C649" s="973" t="inlineStr">
        <is>
          <t>Identity and credential compromise</t>
        </is>
      </c>
      <c r="D649" s="973" t="inlineStr">
        <is>
          <t>T1110</t>
        </is>
      </c>
      <c r="E649" s="973" t="inlineStr">
        <is>
          <t>Brute Force</t>
        </is>
      </c>
      <c r="F649" s="973" t="inlineStr">
        <is>
          <t>S1</t>
        </is>
      </c>
      <c r="G649" s="973" t="b">
        <v>1</v>
      </c>
      <c r="H649" s="973" t="b">
        <v>1</v>
      </c>
      <c r="I649" s="973" t="b">
        <v>1</v>
      </c>
      <c r="J649" s="973" t="n">
        <v>0.7</v>
      </c>
      <c r="K649" s="973" t="n">
        <v>0.24375</v>
      </c>
      <c r="L649" s="973" t="n">
        <v>0.24375</v>
      </c>
      <c r="M649" s="973" t="inlineStr">
        <is>
          <t>Identity Provider; SaaS; Windows</t>
        </is>
      </c>
      <c r="N649" s="973" t="inlineStr">
        <is>
          <t>https://attack.mitre.org/techniques/T1110/</t>
        </is>
      </c>
      <c r="O649" s="973" t="n"/>
      <c r="P649" s="973" t="n"/>
    </row>
    <row r="650">
      <c r="A650" s="973" t="inlineStr">
        <is>
          <t>Hacktivist</t>
        </is>
      </c>
      <c r="B650" s="973" t="inlineStr">
        <is>
          <t>Sensitive-data compromise</t>
        </is>
      </c>
      <c r="C650" s="973" t="inlineStr">
        <is>
          <t>Identity and credential compromise</t>
        </is>
      </c>
      <c r="D650" s="973" t="inlineStr">
        <is>
          <t>T1098</t>
        </is>
      </c>
      <c r="E650" s="973" t="inlineStr">
        <is>
          <t>Account Manipulation</t>
        </is>
      </c>
      <c r="F650" s="973" t="inlineStr">
        <is>
          <t>S3</t>
        </is>
      </c>
      <c r="G650" s="973" t="b">
        <v>1</v>
      </c>
      <c r="H650" s="973" t="b">
        <v>1</v>
      </c>
      <c r="I650" s="973" t="b">
        <v>1</v>
      </c>
      <c r="J650" s="973" t="n">
        <v>0.7</v>
      </c>
      <c r="K650" s="973" t="n">
        <v>0.2477547340393066</v>
      </c>
      <c r="L650" s="973" t="n">
        <v>0.2477547340393066</v>
      </c>
      <c r="M650" s="973" t="inlineStr">
        <is>
          <t>Identity Provider; SaaS; Windows</t>
        </is>
      </c>
      <c r="N650" s="973" t="inlineStr">
        <is>
          <t>https://attack.mitre.org/techniques/T1098/</t>
        </is>
      </c>
      <c r="O650" s="973" t="n"/>
      <c r="P650" s="973" t="n"/>
    </row>
    <row r="651">
      <c r="A651" s="973" t="inlineStr">
        <is>
          <t>Hacktivist</t>
        </is>
      </c>
      <c r="B651" s="973" t="inlineStr">
        <is>
          <t>Sensitive-data compromise</t>
        </is>
      </c>
      <c r="C651" s="973" t="inlineStr">
        <is>
          <t>Identity and credential compromise</t>
        </is>
      </c>
      <c r="D651" s="973" t="inlineStr">
        <is>
          <t>T1087</t>
        </is>
      </c>
      <c r="E651" s="973" t="inlineStr">
        <is>
          <t>Account Discovery</t>
        </is>
      </c>
      <c r="F651" s="973" t="inlineStr">
        <is>
          <t>S4</t>
        </is>
      </c>
      <c r="G651" s="973" t="b">
        <v>1</v>
      </c>
      <c r="H651" s="973" t="b">
        <v>1</v>
      </c>
      <c r="I651" s="973" t="b">
        <v>1</v>
      </c>
      <c r="J651" s="973" t="n">
        <v>0.6</v>
      </c>
      <c r="K651" s="973" t="n">
        <v>0</v>
      </c>
      <c r="L651" s="973" t="n">
        <v>0</v>
      </c>
      <c r="M651" s="973" t="inlineStr">
        <is>
          <t>Identity Provider; SaaS; Windows</t>
        </is>
      </c>
      <c r="N651" s="973" t="inlineStr">
        <is>
          <t>https://attack.mitre.org/techniques/T1087/</t>
        </is>
      </c>
      <c r="O651" s="973" t="n"/>
      <c r="P651" s="973" t="n"/>
    </row>
    <row r="652">
      <c r="A652" s="973" t="inlineStr">
        <is>
          <t>Hacktivist</t>
        </is>
      </c>
      <c r="B652" s="973" t="inlineStr">
        <is>
          <t>Sensitive-data compromise</t>
        </is>
      </c>
      <c r="C652" s="973" t="inlineStr">
        <is>
          <t>Identity and credential compromise</t>
        </is>
      </c>
      <c r="D652" s="973" t="inlineStr">
        <is>
          <t>T1213</t>
        </is>
      </c>
      <c r="E652" s="973" t="inlineStr">
        <is>
          <t>Data from Information Repositories</t>
        </is>
      </c>
      <c r="F652" s="973" t="inlineStr">
        <is>
          <t>S4</t>
        </is>
      </c>
      <c r="G652" s="973" t="b">
        <v>0</v>
      </c>
      <c r="H652" s="973" t="b">
        <v>1</v>
      </c>
      <c r="I652" s="973" t="b">
        <v>0</v>
      </c>
      <c r="J652" s="973" t="n">
        <v>0.8</v>
      </c>
      <c r="K652" s="973" t="n">
        <v>0.177890625</v>
      </c>
      <c r="L652" s="973" t="n">
        <v>0.177890625</v>
      </c>
      <c r="M652" s="973" t="inlineStr">
        <is>
          <t>SaaS; Office Suite; Windows</t>
        </is>
      </c>
      <c r="N652" s="973" t="inlineStr">
        <is>
          <t>https://attack.mitre.org/techniques/T1213/</t>
        </is>
      </c>
      <c r="O652" s="973" t="n"/>
      <c r="P652" s="973" t="n"/>
    </row>
    <row r="653">
      <c r="A653" s="973" t="inlineStr">
        <is>
          <t>Hacktivist</t>
        </is>
      </c>
      <c r="B653" s="973" t="inlineStr">
        <is>
          <t>Sensitive-data compromise</t>
        </is>
      </c>
      <c r="C653" s="973" t="inlineStr">
        <is>
          <t>Identity and credential compromise</t>
        </is>
      </c>
      <c r="D653" s="973" t="inlineStr">
        <is>
          <t>T1567</t>
        </is>
      </c>
      <c r="E653" s="973" t="inlineStr">
        <is>
          <t>Exfiltration Over Web Service</t>
        </is>
      </c>
      <c r="F653" s="973" t="inlineStr">
        <is>
          <t>S5</t>
        </is>
      </c>
      <c r="G653" s="973" t="b">
        <v>1</v>
      </c>
      <c r="H653" s="973" t="b">
        <v>1</v>
      </c>
      <c r="I653" s="973" t="b">
        <v>1</v>
      </c>
      <c r="J653" s="973" t="n">
        <v>0.7</v>
      </c>
      <c r="K653" s="973" t="n">
        <v>0.20625</v>
      </c>
      <c r="L653" s="973" t="n">
        <v>0.20625</v>
      </c>
      <c r="M653" s="973" t="inlineStr">
        <is>
          <t>SaaS; Office Suite</t>
        </is>
      </c>
      <c r="N653" s="973" t="inlineStr">
        <is>
          <t>https://attack.mitre.org/techniques/T1567/</t>
        </is>
      </c>
      <c r="O653" s="973" t="n"/>
      <c r="P653" s="973" t="n"/>
    </row>
    <row r="654">
      <c r="A654" s="973" t="inlineStr">
        <is>
          <t>Hacktivist</t>
        </is>
      </c>
      <c r="B654" s="973" t="inlineStr">
        <is>
          <t>Sensitive-data compromise</t>
        </is>
      </c>
      <c r="C654" s="973" t="inlineStr">
        <is>
          <t>Identity and credential compromise</t>
        </is>
      </c>
      <c r="D654" s="973" t="inlineStr">
        <is>
          <t>T1657</t>
        </is>
      </c>
      <c r="E654" s="973" t="inlineStr">
        <is>
          <t>Financial Theft</t>
        </is>
      </c>
      <c r="F654" s="973" t="inlineStr">
        <is>
          <t>S5</t>
        </is>
      </c>
      <c r="G654" s="973" t="b">
        <v>0</v>
      </c>
      <c r="H654" s="973" t="b">
        <v>0</v>
      </c>
      <c r="I654" s="973" t="b">
        <v>0</v>
      </c>
      <c r="J654" s="973" t="n">
        <v>0.8</v>
      </c>
      <c r="K654" s="973" t="n">
        <v>0.275654296875</v>
      </c>
      <c r="L654" s="973" t="n">
        <v>0.275654296875</v>
      </c>
      <c r="M654" s="973" t="inlineStr">
        <is>
          <t>SaaS; Office Suite; Identity Provider</t>
        </is>
      </c>
      <c r="N654" s="973" t="inlineStr">
        <is>
          <t>https://attack.mitre.org/techniques/T1657/</t>
        </is>
      </c>
      <c r="O654" s="973" t="n"/>
      <c r="P654" s="973" t="n"/>
    </row>
    <row r="655">
      <c r="A655" s="973" t="inlineStr">
        <is>
          <t>Hacktivist</t>
        </is>
      </c>
      <c r="B655" s="973" t="inlineStr">
        <is>
          <t>Sensitive-data compromise</t>
        </is>
      </c>
      <c r="C655" s="973" t="inlineStr">
        <is>
          <t>Identity and credential compromise</t>
        </is>
      </c>
      <c r="D655" s="973" t="inlineStr">
        <is>
          <t>T1565</t>
        </is>
      </c>
      <c r="E655" s="973" t="inlineStr">
        <is>
          <t>Data Manipulation</t>
        </is>
      </c>
      <c r="F655" s="973" t="inlineStr">
        <is>
          <t>S5</t>
        </is>
      </c>
      <c r="G655" s="973" t="b">
        <v>1</v>
      </c>
      <c r="H655" s="973" t="b">
        <v>0</v>
      </c>
      <c r="I655" s="973" t="b">
        <v>0</v>
      </c>
      <c r="J655" s="973" t="n">
        <v>0.5</v>
      </c>
      <c r="K655" s="973" t="n">
        <v>0.2206064987182617</v>
      </c>
      <c r="L655" s="973" t="n">
        <v>0.2206064987182617</v>
      </c>
      <c r="M655" s="973" t="inlineStr">
        <is>
          <t>SaaS; Databases; Windows</t>
        </is>
      </c>
      <c r="N655" s="973" t="inlineStr">
        <is>
          <t>https://attack.mitre.org/techniques/T1565/</t>
        </is>
      </c>
      <c r="O655" s="973" t="n"/>
      <c r="P655" s="973" t="n"/>
    </row>
    <row r="656">
      <c r="A656" s="973" t="inlineStr">
        <is>
          <t>Hacktivist</t>
        </is>
      </c>
      <c r="B656" s="973" t="inlineStr">
        <is>
          <t>Sensitive-data compromise</t>
        </is>
      </c>
      <c r="C656" s="973" t="inlineStr">
        <is>
          <t>Identity and credential compromise</t>
        </is>
      </c>
      <c r="D656" s="973" t="inlineStr">
        <is>
          <t>T1486</t>
        </is>
      </c>
      <c r="E656" s="973" t="inlineStr">
        <is>
          <t>Data Encrypted for Impact</t>
        </is>
      </c>
      <c r="F656" s="973" t="inlineStr">
        <is>
          <t>S5</t>
        </is>
      </c>
      <c r="G656" s="973" t="b">
        <v>0</v>
      </c>
      <c r="H656" s="973" t="b">
        <v>0</v>
      </c>
      <c r="I656" s="973" t="b">
        <v>0</v>
      </c>
      <c r="J656" s="973" t="n">
        <v>0.7</v>
      </c>
      <c r="K656" s="973" t="n">
        <v>0.16875</v>
      </c>
      <c r="L656" s="973" t="n">
        <v>0.16875</v>
      </c>
      <c r="M656" s="973" t="inlineStr">
        <is>
          <t>Windows; Linux; IaaS</t>
        </is>
      </c>
      <c r="N656" s="973" t="inlineStr">
        <is>
          <t>https://attack.mitre.org/techniques/T1486/</t>
        </is>
      </c>
      <c r="O656" s="973" t="n"/>
      <c r="P656" s="973" t="n"/>
    </row>
    <row r="657">
      <c r="A657" s="973" t="inlineStr">
        <is>
          <t>Hacktivist</t>
        </is>
      </c>
      <c r="B657" s="973" t="inlineStr">
        <is>
          <t>Sensitive-data compromise</t>
        </is>
      </c>
      <c r="C657" s="973" t="inlineStr">
        <is>
          <t>Identity and credential compromise</t>
        </is>
      </c>
      <c r="D657" s="973" t="inlineStr">
        <is>
          <t>T1490</t>
        </is>
      </c>
      <c r="E657" s="973" t="inlineStr">
        <is>
          <t>Inhibit System Recovery</t>
        </is>
      </c>
      <c r="F657" s="973" t="inlineStr">
        <is>
          <t>S5</t>
        </is>
      </c>
      <c r="G657" s="973" t="b">
        <v>0</v>
      </c>
      <c r="H657" s="973" t="b">
        <v>0</v>
      </c>
      <c r="I657" s="973" t="b">
        <v>0</v>
      </c>
      <c r="J657" s="973" t="n">
        <v>0.6</v>
      </c>
      <c r="K657" s="973" t="n">
        <v>0</v>
      </c>
      <c r="L657" s="973" t="n">
        <v>0</v>
      </c>
      <c r="M657" s="973" t="inlineStr">
        <is>
          <t>Windows; Linux; IaaS</t>
        </is>
      </c>
      <c r="N657" s="973" t="inlineStr">
        <is>
          <t>https://attack.mitre.org/techniques/T1490/</t>
        </is>
      </c>
      <c r="O657" s="973" t="n"/>
      <c r="P657" s="973" t="n"/>
    </row>
    <row r="658">
      <c r="A658" s="973" t="inlineStr">
        <is>
          <t>Hacktivist</t>
        </is>
      </c>
      <c r="B658" s="973" t="inlineStr">
        <is>
          <t>Sensitive-data compromise</t>
        </is>
      </c>
      <c r="C658" s="973" t="inlineStr">
        <is>
          <t>User endpoint and social engineering</t>
        </is>
      </c>
      <c r="D658" s="973" t="inlineStr">
        <is>
          <t>T1566</t>
        </is>
      </c>
      <c r="E658" s="973" t="inlineStr">
        <is>
          <t>Phishing</t>
        </is>
      </c>
      <c r="F658" s="973" t="inlineStr">
        <is>
          <t>S1</t>
        </is>
      </c>
      <c r="G658" s="973" t="b">
        <v>1</v>
      </c>
      <c r="H658" s="973" t="b">
        <v>1</v>
      </c>
      <c r="I658" s="973" t="b">
        <v>1</v>
      </c>
      <c r="J658" s="973" t="n">
        <v>1</v>
      </c>
      <c r="K658" s="973" t="n">
        <v>0.20625</v>
      </c>
      <c r="L658" s="973" t="n">
        <v>0.20625</v>
      </c>
      <c r="M658" s="973" t="inlineStr">
        <is>
          <t>Windows; SaaS; Office Suite</t>
        </is>
      </c>
      <c r="N658" s="973" t="inlineStr">
        <is>
          <t>https://attack.mitre.org/techniques/T1566/</t>
        </is>
      </c>
      <c r="O658" s="973" t="n"/>
      <c r="P658" s="973" t="n"/>
    </row>
    <row r="659">
      <c r="A659" s="973" t="inlineStr">
        <is>
          <t>Hacktivist</t>
        </is>
      </c>
      <c r="B659" s="973" t="inlineStr">
        <is>
          <t>Sensitive-data compromise</t>
        </is>
      </c>
      <c r="C659" s="973" t="inlineStr">
        <is>
          <t>User endpoint and social engineering</t>
        </is>
      </c>
      <c r="D659" s="973" t="inlineStr">
        <is>
          <t>T1203</t>
        </is>
      </c>
      <c r="E659" s="973" t="inlineStr">
        <is>
          <t>Exploitation for Client Execution</t>
        </is>
      </c>
      <c r="F659" s="973" t="inlineStr">
        <is>
          <t>S2</t>
        </is>
      </c>
      <c r="G659" s="973" t="b">
        <v>0</v>
      </c>
      <c r="H659" s="973" t="b">
        <v>1</v>
      </c>
      <c r="I659" s="973" t="b">
        <v>0</v>
      </c>
      <c r="J659" s="973" t="n">
        <v>0.8</v>
      </c>
      <c r="K659" s="973" t="n">
        <v>0.2404920959472656</v>
      </c>
      <c r="L659" s="973" t="n">
        <v>0.2404920959472656</v>
      </c>
      <c r="M659" s="973" t="inlineStr">
        <is>
          <t>Windows; macOS; Linux</t>
        </is>
      </c>
      <c r="N659" s="973" t="inlineStr">
        <is>
          <t>https://attack.mitre.org/techniques/T1203/</t>
        </is>
      </c>
      <c r="O659" s="973" t="n"/>
      <c r="P659" s="973" t="n"/>
    </row>
    <row r="660">
      <c r="A660" s="973" t="inlineStr">
        <is>
          <t>Hacktivist</t>
        </is>
      </c>
      <c r="B660" s="973" t="inlineStr">
        <is>
          <t>Sensitive-data compromise</t>
        </is>
      </c>
      <c r="C660" s="973" t="inlineStr">
        <is>
          <t>User endpoint and social engineering</t>
        </is>
      </c>
      <c r="D660" s="973" t="inlineStr">
        <is>
          <t>T1059</t>
        </is>
      </c>
      <c r="E660" s="973" t="inlineStr">
        <is>
          <t>Command and Scripting Interpreter</t>
        </is>
      </c>
      <c r="F660" s="973" t="inlineStr">
        <is>
          <t>S2</t>
        </is>
      </c>
      <c r="G660" s="973" t="b">
        <v>1</v>
      </c>
      <c r="H660" s="973" t="b">
        <v>1</v>
      </c>
      <c r="I660" s="973" t="b">
        <v>1</v>
      </c>
      <c r="J660" s="973" t="n">
        <v>0.9</v>
      </c>
      <c r="K660" s="973" t="n">
        <v>0.1875</v>
      </c>
      <c r="L660" s="973" t="n">
        <v>0.1875</v>
      </c>
      <c r="M660" s="973" t="inlineStr">
        <is>
          <t>Windows; macOS; Linux; IaaS</t>
        </is>
      </c>
      <c r="N660" s="973" t="inlineStr">
        <is>
          <t>https://attack.mitre.org/techniques/T1059/</t>
        </is>
      </c>
      <c r="O660" s="973" t="n"/>
      <c r="P660" s="973" t="n"/>
    </row>
    <row r="661">
      <c r="A661" s="973" t="inlineStr">
        <is>
          <t>Hacktivist</t>
        </is>
      </c>
      <c r="B661" s="973" t="inlineStr">
        <is>
          <t>Sensitive-data compromise</t>
        </is>
      </c>
      <c r="C661" s="973" t="inlineStr">
        <is>
          <t>User endpoint and social engineering</t>
        </is>
      </c>
      <c r="D661" s="973" t="inlineStr">
        <is>
          <t>T1068</t>
        </is>
      </c>
      <c r="E661" s="973" t="inlineStr">
        <is>
          <t>Exploitation for Privilege Escalation</t>
        </is>
      </c>
      <c r="F661" s="973" t="inlineStr">
        <is>
          <t>S3</t>
        </is>
      </c>
      <c r="G661" s="973" t="b">
        <v>1</v>
      </c>
      <c r="H661" s="973" t="b">
        <v>1</v>
      </c>
      <c r="I661" s="973" t="b">
        <v>1</v>
      </c>
      <c r="J661" s="973" t="n">
        <v>0.7</v>
      </c>
      <c r="K661" s="973" t="n">
        <v>0.2094165115356445</v>
      </c>
      <c r="L661" s="973" t="n">
        <v>0.2094165115356445</v>
      </c>
      <c r="M661" s="973" t="inlineStr">
        <is>
          <t>Windows; macOS; Linux</t>
        </is>
      </c>
      <c r="N661" s="973" t="inlineStr">
        <is>
          <t>https://attack.mitre.org/techniques/T1068/</t>
        </is>
      </c>
      <c r="O661" s="973" t="n"/>
      <c r="P661" s="973" t="n"/>
    </row>
    <row r="662">
      <c r="A662" s="973" t="inlineStr">
        <is>
          <t>Hacktivist</t>
        </is>
      </c>
      <c r="B662" s="973" t="inlineStr">
        <is>
          <t>Sensitive-data compromise</t>
        </is>
      </c>
      <c r="C662" s="973" t="inlineStr">
        <is>
          <t>User endpoint and social engineering</t>
        </is>
      </c>
      <c r="D662" s="973" t="inlineStr">
        <is>
          <t>T1003</t>
        </is>
      </c>
      <c r="E662" s="973" t="inlineStr">
        <is>
          <t>OS Credential Dumping</t>
        </is>
      </c>
      <c r="F662" s="973" t="inlineStr">
        <is>
          <t>S3</t>
        </is>
      </c>
      <c r="G662" s="973" t="b">
        <v>1</v>
      </c>
      <c r="H662" s="973" t="b">
        <v>1</v>
      </c>
      <c r="I662" s="973" t="b">
        <v>1</v>
      </c>
      <c r="J662" s="973" t="n">
        <v>0.8</v>
      </c>
      <c r="K662" s="973" t="n">
        <v>0.232294921875</v>
      </c>
      <c r="L662" s="973" t="n">
        <v>0.232294921875</v>
      </c>
      <c r="M662" s="973" t="inlineStr">
        <is>
          <t>Windows; Linux; macOS</t>
        </is>
      </c>
      <c r="N662" s="973" t="inlineStr">
        <is>
          <t>https://attack.mitre.org/techniques/T1003/</t>
        </is>
      </c>
      <c r="O662" s="973" t="n"/>
      <c r="P662" s="973" t="n"/>
    </row>
    <row r="663">
      <c r="A663" s="973" t="inlineStr">
        <is>
          <t>Hacktivist</t>
        </is>
      </c>
      <c r="B663" s="973" t="inlineStr">
        <is>
          <t>Sensitive-data compromise</t>
        </is>
      </c>
      <c r="C663" s="973" t="inlineStr">
        <is>
          <t>User endpoint and social engineering</t>
        </is>
      </c>
      <c r="D663" s="973" t="inlineStr">
        <is>
          <t>T1046</t>
        </is>
      </c>
      <c r="E663" s="973" t="inlineStr">
        <is>
          <t>Network Service Discovery</t>
        </is>
      </c>
      <c r="F663" s="973" t="inlineStr">
        <is>
          <t>S4</t>
        </is>
      </c>
      <c r="G663" s="973" t="b">
        <v>1</v>
      </c>
      <c r="H663" s="973" t="b">
        <v>1</v>
      </c>
      <c r="I663" s="973" t="b">
        <v>1</v>
      </c>
      <c r="J663" s="973" t="n">
        <v>0.6</v>
      </c>
      <c r="K663" s="973" t="n">
        <v>0.16875</v>
      </c>
      <c r="L663" s="973" t="n">
        <v>0.16875</v>
      </c>
      <c r="M663" s="973" t="inlineStr">
        <is>
          <t>Network Devices; Windows; Linux</t>
        </is>
      </c>
      <c r="N663" s="973" t="inlineStr">
        <is>
          <t>https://attack.mitre.org/techniques/T1046/</t>
        </is>
      </c>
      <c r="O663" s="973" t="n"/>
      <c r="P663" s="973" t="n"/>
    </row>
    <row r="664">
      <c r="A664" s="973" t="inlineStr">
        <is>
          <t>Hacktivist</t>
        </is>
      </c>
      <c r="B664" s="973" t="inlineStr">
        <is>
          <t>Sensitive-data compromise</t>
        </is>
      </c>
      <c r="C664" s="973" t="inlineStr">
        <is>
          <t>User endpoint and social engineering</t>
        </is>
      </c>
      <c r="D664" s="973" t="inlineStr">
        <is>
          <t>T1021</t>
        </is>
      </c>
      <c r="E664" s="973" t="inlineStr">
        <is>
          <t>Remote Services</t>
        </is>
      </c>
      <c r="F664" s="973" t="inlineStr">
        <is>
          <t>S4</t>
        </is>
      </c>
      <c r="G664" s="973" t="b">
        <v>1</v>
      </c>
      <c r="H664" s="973" t="b">
        <v>1</v>
      </c>
      <c r="I664" s="973" t="b">
        <v>1</v>
      </c>
      <c r="J664" s="973" t="n">
        <v>0.8</v>
      </c>
      <c r="K664" s="973" t="n">
        <v>0.1875</v>
      </c>
      <c r="L664" s="973" t="n">
        <v>0.1875</v>
      </c>
      <c r="M664" s="973" t="inlineStr">
        <is>
          <t>Windows; Linux; Network Devices</t>
        </is>
      </c>
      <c r="N664" s="973" t="inlineStr">
        <is>
          <t>https://attack.mitre.org/techniques/T1021/</t>
        </is>
      </c>
      <c r="O664" s="973" t="n"/>
      <c r="P664" s="973" t="n"/>
    </row>
    <row r="665">
      <c r="A665" s="973" t="inlineStr">
        <is>
          <t>Hacktivist</t>
        </is>
      </c>
      <c r="B665" s="973" t="inlineStr">
        <is>
          <t>Sensitive-data compromise</t>
        </is>
      </c>
      <c r="C665" s="973" t="inlineStr">
        <is>
          <t>User endpoint and social engineering</t>
        </is>
      </c>
      <c r="D665" s="973" t="inlineStr">
        <is>
          <t>T1213</t>
        </is>
      </c>
      <c r="E665" s="973" t="inlineStr">
        <is>
          <t>Data from Information Repositories</t>
        </is>
      </c>
      <c r="F665" s="973" t="inlineStr">
        <is>
          <t>S4</t>
        </is>
      </c>
      <c r="G665" s="973" t="b">
        <v>0</v>
      </c>
      <c r="H665" s="973" t="b">
        <v>1</v>
      </c>
      <c r="I665" s="973" t="b">
        <v>0</v>
      </c>
      <c r="J665" s="973" t="n">
        <v>0.7</v>
      </c>
      <c r="K665" s="973" t="n">
        <v>0.177890625</v>
      </c>
      <c r="L665" s="973" t="n">
        <v>0.177890625</v>
      </c>
      <c r="M665" s="973" t="inlineStr">
        <is>
          <t>SaaS; Office Suite; Windows</t>
        </is>
      </c>
      <c r="N665" s="973" t="inlineStr">
        <is>
          <t>https://attack.mitre.org/techniques/T1213/</t>
        </is>
      </c>
      <c r="O665" s="973" t="n"/>
      <c r="P665" s="973" t="n"/>
    </row>
    <row r="666">
      <c r="A666" s="973" t="inlineStr">
        <is>
          <t>Hacktivist</t>
        </is>
      </c>
      <c r="B666" s="973" t="inlineStr">
        <is>
          <t>Sensitive-data compromise</t>
        </is>
      </c>
      <c r="C666" s="973" t="inlineStr">
        <is>
          <t>User endpoint and social engineering</t>
        </is>
      </c>
      <c r="D666" s="973" t="inlineStr">
        <is>
          <t>T1486</t>
        </is>
      </c>
      <c r="E666" s="973" t="inlineStr">
        <is>
          <t>Data Encrypted for Impact</t>
        </is>
      </c>
      <c r="F666" s="973" t="inlineStr">
        <is>
          <t>S5</t>
        </is>
      </c>
      <c r="G666" s="973" t="b">
        <v>0</v>
      </c>
      <c r="H666" s="973" t="b">
        <v>0</v>
      </c>
      <c r="I666" s="973" t="b">
        <v>0</v>
      </c>
      <c r="J666" s="973" t="n">
        <v>0.8</v>
      </c>
      <c r="K666" s="973" t="n">
        <v>0.16875</v>
      </c>
      <c r="L666" s="973" t="n">
        <v>0.16875</v>
      </c>
      <c r="M666" s="973" t="inlineStr">
        <is>
          <t>Windows; Linux; IaaS</t>
        </is>
      </c>
      <c r="N666" s="973" t="inlineStr">
        <is>
          <t>https://attack.mitre.org/techniques/T1486/</t>
        </is>
      </c>
      <c r="O666" s="973" t="n"/>
      <c r="P666" s="973" t="n"/>
    </row>
    <row r="667">
      <c r="A667" s="973" t="inlineStr">
        <is>
          <t>Hacktivist</t>
        </is>
      </c>
      <c r="B667" s="973" t="inlineStr">
        <is>
          <t>Sensitive-data compromise</t>
        </is>
      </c>
      <c r="C667" s="973" t="inlineStr">
        <is>
          <t>User endpoint and social engineering</t>
        </is>
      </c>
      <c r="D667" s="973" t="inlineStr">
        <is>
          <t>T1490</t>
        </is>
      </c>
      <c r="E667" s="973" t="inlineStr">
        <is>
          <t>Inhibit System Recovery</t>
        </is>
      </c>
      <c r="F667" s="973" t="inlineStr">
        <is>
          <t>S5</t>
        </is>
      </c>
      <c r="G667" s="973" t="b">
        <v>0</v>
      </c>
      <c r="H667" s="973" t="b">
        <v>0</v>
      </c>
      <c r="I667" s="973" t="b">
        <v>0</v>
      </c>
      <c r="J667" s="973" t="n">
        <v>0.7</v>
      </c>
      <c r="K667" s="973" t="n">
        <v>0</v>
      </c>
      <c r="L667" s="973" t="n">
        <v>0</v>
      </c>
      <c r="M667" s="973" t="inlineStr">
        <is>
          <t>Windows; Linux; IaaS</t>
        </is>
      </c>
      <c r="N667" s="973" t="inlineStr">
        <is>
          <t>https://attack.mitre.org/techniques/T1490/</t>
        </is>
      </c>
      <c r="O667" s="973" t="n"/>
      <c r="P667" s="973" t="n"/>
    </row>
    <row r="668">
      <c r="A668" s="973" t="inlineStr">
        <is>
          <t>Hacktivist</t>
        </is>
      </c>
      <c r="B668" s="973" t="inlineStr">
        <is>
          <t>Sensitive-data compromise</t>
        </is>
      </c>
      <c r="C668" s="973" t="inlineStr">
        <is>
          <t>User endpoint and social engineering</t>
        </is>
      </c>
      <c r="D668" s="973" t="inlineStr">
        <is>
          <t>T1567</t>
        </is>
      </c>
      <c r="E668" s="973" t="inlineStr">
        <is>
          <t>Exfiltration Over Web Service</t>
        </is>
      </c>
      <c r="F668" s="973" t="inlineStr">
        <is>
          <t>S5</t>
        </is>
      </c>
      <c r="G668" s="973" t="b">
        <v>1</v>
      </c>
      <c r="H668" s="973" t="b">
        <v>1</v>
      </c>
      <c r="I668" s="973" t="b">
        <v>1</v>
      </c>
      <c r="J668" s="973" t="n">
        <v>0.7</v>
      </c>
      <c r="K668" s="973" t="n">
        <v>0.20625</v>
      </c>
      <c r="L668" s="973" t="n">
        <v>0.20625</v>
      </c>
      <c r="M668" s="973" t="inlineStr">
        <is>
          <t>SaaS; Office Suite</t>
        </is>
      </c>
      <c r="N668" s="973" t="inlineStr">
        <is>
          <t>https://attack.mitre.org/techniques/T1567/</t>
        </is>
      </c>
      <c r="O668" s="973" t="n"/>
      <c r="P668" s="973" t="n"/>
    </row>
    <row r="669">
      <c r="A669" s="973" t="inlineStr">
        <is>
          <t>Hacktivist</t>
        </is>
      </c>
      <c r="B669" s="973" t="inlineStr">
        <is>
          <t>Sensitive-data compromise</t>
        </is>
      </c>
      <c r="C669" s="973" t="inlineStr">
        <is>
          <t>User endpoint and social engineering</t>
        </is>
      </c>
      <c r="D669" s="973" t="inlineStr">
        <is>
          <t>T1657</t>
        </is>
      </c>
      <c r="E669" s="973" t="inlineStr">
        <is>
          <t>Financial Theft</t>
        </is>
      </c>
      <c r="F669" s="973" t="inlineStr">
        <is>
          <t>S5</t>
        </is>
      </c>
      <c r="G669" s="973" t="b">
        <v>0</v>
      </c>
      <c r="H669" s="973" t="b">
        <v>0</v>
      </c>
      <c r="I669" s="973" t="b">
        <v>0</v>
      </c>
      <c r="J669" s="973" t="n">
        <v>0.5</v>
      </c>
      <c r="K669" s="973" t="n">
        <v>0.275654296875</v>
      </c>
      <c r="L669" s="973" t="n">
        <v>0.275654296875</v>
      </c>
      <c r="M669" s="973" t="inlineStr">
        <is>
          <t>SaaS; Office Suite; Identity Provider</t>
        </is>
      </c>
      <c r="N669" s="973" t="inlineStr">
        <is>
          <t>https://attack.mitre.org/techniques/T1657/</t>
        </is>
      </c>
      <c r="O669" s="973" t="n"/>
      <c r="P669" s="973" t="n"/>
    </row>
    <row r="670">
      <c r="A670" s="973" t="inlineStr">
        <is>
          <t>Hacktivist</t>
        </is>
      </c>
      <c r="B670" s="973" t="inlineStr">
        <is>
          <t>Sensitive-data compromise</t>
        </is>
      </c>
      <c r="C670" s="973" t="inlineStr">
        <is>
          <t>User endpoint and social engineering</t>
        </is>
      </c>
      <c r="D670" s="973" t="inlineStr">
        <is>
          <t>T1565</t>
        </is>
      </c>
      <c r="E670" s="973" t="inlineStr">
        <is>
          <t>Data Manipulation</t>
        </is>
      </c>
      <c r="F670" s="973" t="inlineStr">
        <is>
          <t>S5</t>
        </is>
      </c>
      <c r="G670" s="973" t="b">
        <v>1</v>
      </c>
      <c r="H670" s="973" t="b">
        <v>0</v>
      </c>
      <c r="I670" s="973" t="b">
        <v>0</v>
      </c>
      <c r="J670" s="973" t="n">
        <v>0.5</v>
      </c>
      <c r="K670" s="973" t="n">
        <v>0.2206064987182617</v>
      </c>
      <c r="L670" s="973" t="n">
        <v>0.2206064987182617</v>
      </c>
      <c r="M670" s="973" t="inlineStr">
        <is>
          <t>SaaS; Databases; Windows</t>
        </is>
      </c>
      <c r="N670" s="973" t="inlineStr">
        <is>
          <t>https://attack.mitre.org/techniques/T1565/</t>
        </is>
      </c>
      <c r="O670" s="973" t="n"/>
      <c r="P670" s="973" t="n"/>
    </row>
    <row r="671">
      <c r="A671" s="973" t="inlineStr">
        <is>
          <t>Hacktivist</t>
        </is>
      </c>
      <c r="B671" s="973" t="inlineStr">
        <is>
          <t>Sensitive-data compromise</t>
        </is>
      </c>
      <c r="C671" s="973" t="inlineStr">
        <is>
          <t>Public-facing application exploitation</t>
        </is>
      </c>
      <c r="D671" s="973" t="inlineStr">
        <is>
          <t>T1190</t>
        </is>
      </c>
      <c r="E671" s="973" t="inlineStr">
        <is>
          <t>Exploit Public-Facing Application</t>
        </is>
      </c>
      <c r="F671" s="973" t="inlineStr">
        <is>
          <t>S1</t>
        </is>
      </c>
      <c r="G671" s="973" t="b">
        <v>1</v>
      </c>
      <c r="H671" s="973" t="b">
        <v>1</v>
      </c>
      <c r="I671" s="973" t="b">
        <v>1</v>
      </c>
      <c r="J671" s="973" t="n">
        <v>1</v>
      </c>
      <c r="K671" s="973" t="n">
        <v>0.2496630477905274</v>
      </c>
      <c r="L671" s="973" t="n">
        <v>0.2496630477905274</v>
      </c>
      <c r="M671" s="973" t="inlineStr">
        <is>
          <t>Network Devices; SaaS; IaaS</t>
        </is>
      </c>
      <c r="N671" s="973" t="inlineStr">
        <is>
          <t>https://attack.mitre.org/techniques/T1190/</t>
        </is>
      </c>
      <c r="O671" s="973" t="n"/>
      <c r="P671" s="973" t="n"/>
    </row>
    <row r="672">
      <c r="A672" s="973" t="inlineStr">
        <is>
          <t>Hacktivist</t>
        </is>
      </c>
      <c r="B672" s="973" t="inlineStr">
        <is>
          <t>Sensitive-data compromise</t>
        </is>
      </c>
      <c r="C672" s="973" t="inlineStr">
        <is>
          <t>Public-facing application exploitation</t>
        </is>
      </c>
      <c r="D672" s="973" t="inlineStr">
        <is>
          <t>T1059</t>
        </is>
      </c>
      <c r="E672" s="973" t="inlineStr">
        <is>
          <t>Command and Scripting Interpreter</t>
        </is>
      </c>
      <c r="F672" s="973" t="inlineStr">
        <is>
          <t>S2</t>
        </is>
      </c>
      <c r="G672" s="973" t="b">
        <v>1</v>
      </c>
      <c r="H672" s="973" t="b">
        <v>1</v>
      </c>
      <c r="I672" s="973" t="b">
        <v>1</v>
      </c>
      <c r="J672" s="973" t="n">
        <v>0.8</v>
      </c>
      <c r="K672" s="973" t="n">
        <v>0.1875</v>
      </c>
      <c r="L672" s="973" t="n">
        <v>0.1875</v>
      </c>
      <c r="M672" s="973" t="inlineStr">
        <is>
          <t>Windows; macOS; Linux; IaaS</t>
        </is>
      </c>
      <c r="N672" s="973" t="inlineStr">
        <is>
          <t>https://attack.mitre.org/techniques/T1059/</t>
        </is>
      </c>
      <c r="O672" s="973" t="n"/>
      <c r="P672" s="973" t="n"/>
    </row>
    <row r="673">
      <c r="A673" s="973" t="inlineStr">
        <is>
          <t>Hacktivist</t>
        </is>
      </c>
      <c r="B673" s="973" t="inlineStr">
        <is>
          <t>Sensitive-data compromise</t>
        </is>
      </c>
      <c r="C673" s="973" t="inlineStr">
        <is>
          <t>Public-facing application exploitation</t>
        </is>
      </c>
      <c r="D673" s="973" t="inlineStr">
        <is>
          <t>T1068</t>
        </is>
      </c>
      <c r="E673" s="973" t="inlineStr">
        <is>
          <t>Exploitation for Privilege Escalation</t>
        </is>
      </c>
      <c r="F673" s="973" t="inlineStr">
        <is>
          <t>S3</t>
        </is>
      </c>
      <c r="G673" s="973" t="b">
        <v>1</v>
      </c>
      <c r="H673" s="973" t="b">
        <v>1</v>
      </c>
      <c r="I673" s="973" t="b">
        <v>1</v>
      </c>
      <c r="J673" s="973" t="n">
        <v>0.7</v>
      </c>
      <c r="K673" s="973" t="n">
        <v>0.2094165115356445</v>
      </c>
      <c r="L673" s="973" t="n">
        <v>0.2094165115356445</v>
      </c>
      <c r="M673" s="973" t="inlineStr">
        <is>
          <t>Windows; macOS; Linux</t>
        </is>
      </c>
      <c r="N673" s="973" t="inlineStr">
        <is>
          <t>https://attack.mitre.org/techniques/T1068/</t>
        </is>
      </c>
      <c r="O673" s="973" t="n"/>
      <c r="P673" s="973" t="n"/>
    </row>
    <row r="674">
      <c r="A674" s="973" t="inlineStr">
        <is>
          <t>Hacktivist</t>
        </is>
      </c>
      <c r="B674" s="973" t="inlineStr">
        <is>
          <t>Sensitive-data compromise</t>
        </is>
      </c>
      <c r="C674" s="973" t="inlineStr">
        <is>
          <t>Public-facing application exploitation</t>
        </is>
      </c>
      <c r="D674" s="973" t="inlineStr">
        <is>
          <t>T1003</t>
        </is>
      </c>
      <c r="E674" s="973" t="inlineStr">
        <is>
          <t>OS Credential Dumping</t>
        </is>
      </c>
      <c r="F674" s="973" t="inlineStr">
        <is>
          <t>S3</t>
        </is>
      </c>
      <c r="G674" s="973" t="b">
        <v>1</v>
      </c>
      <c r="H674" s="973" t="b">
        <v>1</v>
      </c>
      <c r="I674" s="973" t="b">
        <v>1</v>
      </c>
      <c r="J674" s="973" t="n">
        <v>0.6</v>
      </c>
      <c r="K674" s="973" t="n">
        <v>0.232294921875</v>
      </c>
      <c r="L674" s="973" t="n">
        <v>0.232294921875</v>
      </c>
      <c r="M674" s="973" t="inlineStr">
        <is>
          <t>Windows; Linux; macOS</t>
        </is>
      </c>
      <c r="N674" s="973" t="inlineStr">
        <is>
          <t>https://attack.mitre.org/techniques/T1003/</t>
        </is>
      </c>
      <c r="O674" s="973" t="n"/>
      <c r="P674" s="973" t="n"/>
    </row>
    <row r="675">
      <c r="A675" s="973" t="inlineStr">
        <is>
          <t>Hacktivist</t>
        </is>
      </c>
      <c r="B675" s="973" t="inlineStr">
        <is>
          <t>Sensitive-data compromise</t>
        </is>
      </c>
      <c r="C675" s="973" t="inlineStr">
        <is>
          <t>Public-facing application exploitation</t>
        </is>
      </c>
      <c r="D675" s="973" t="inlineStr">
        <is>
          <t>T1046</t>
        </is>
      </c>
      <c r="E675" s="973" t="inlineStr">
        <is>
          <t>Network Service Discovery</t>
        </is>
      </c>
      <c r="F675" s="973" t="inlineStr">
        <is>
          <t>S4</t>
        </is>
      </c>
      <c r="G675" s="973" t="b">
        <v>1</v>
      </c>
      <c r="H675" s="973" t="b">
        <v>1</v>
      </c>
      <c r="I675" s="973" t="b">
        <v>1</v>
      </c>
      <c r="J675" s="973" t="n">
        <v>0.7</v>
      </c>
      <c r="K675" s="973" t="n">
        <v>0.16875</v>
      </c>
      <c r="L675" s="973" t="n">
        <v>0.16875</v>
      </c>
      <c r="M675" s="973" t="inlineStr">
        <is>
          <t>Network Devices; Windows; Linux</t>
        </is>
      </c>
      <c r="N675" s="973" t="inlineStr">
        <is>
          <t>https://attack.mitre.org/techniques/T1046/</t>
        </is>
      </c>
      <c r="O675" s="973" t="n"/>
      <c r="P675" s="973" t="n"/>
    </row>
    <row r="676">
      <c r="A676" s="973" t="inlineStr">
        <is>
          <t>Hacktivist</t>
        </is>
      </c>
      <c r="B676" s="973" t="inlineStr">
        <is>
          <t>Sensitive-data compromise</t>
        </is>
      </c>
      <c r="C676" s="973" t="inlineStr">
        <is>
          <t>Public-facing application exploitation</t>
        </is>
      </c>
      <c r="D676" s="973" t="inlineStr">
        <is>
          <t>T1210</t>
        </is>
      </c>
      <c r="E676" s="973" t="inlineStr">
        <is>
          <t>Exploitation of Remote Services</t>
        </is>
      </c>
      <c r="F676" s="973" t="inlineStr">
        <is>
          <t>S4</t>
        </is>
      </c>
      <c r="G676" s="973" t="b">
        <v>1</v>
      </c>
      <c r="H676" s="973" t="b">
        <v>1</v>
      </c>
      <c r="I676" s="973" t="b">
        <v>1</v>
      </c>
      <c r="J676" s="973" t="n">
        <v>0.9</v>
      </c>
      <c r="K676" s="973" t="n">
        <v>0.2103495368957519</v>
      </c>
      <c r="L676" s="973" t="n">
        <v>0.2103495368957519</v>
      </c>
      <c r="M676" s="973" t="inlineStr">
        <is>
          <t>Windows; Linux; Network Devices</t>
        </is>
      </c>
      <c r="N676" s="973" t="inlineStr">
        <is>
          <t>https://attack.mitre.org/techniques/T1210/</t>
        </is>
      </c>
      <c r="O676" s="973" t="n"/>
      <c r="P676" s="973" t="n"/>
    </row>
    <row r="677">
      <c r="A677" s="973" t="inlineStr">
        <is>
          <t>Hacktivist</t>
        </is>
      </c>
      <c r="B677" s="973" t="inlineStr">
        <is>
          <t>Sensitive-data compromise</t>
        </is>
      </c>
      <c r="C677" s="973" t="inlineStr">
        <is>
          <t>Public-facing application exploitation</t>
        </is>
      </c>
      <c r="D677" s="973" t="inlineStr">
        <is>
          <t>T1021</t>
        </is>
      </c>
      <c r="E677" s="973" t="inlineStr">
        <is>
          <t>Remote Services</t>
        </is>
      </c>
      <c r="F677" s="973" t="inlineStr">
        <is>
          <t>S4</t>
        </is>
      </c>
      <c r="G677" s="973" t="b">
        <v>1</v>
      </c>
      <c r="H677" s="973" t="b">
        <v>1</v>
      </c>
      <c r="I677" s="973" t="b">
        <v>1</v>
      </c>
      <c r="J677" s="973" t="n">
        <v>0.7</v>
      </c>
      <c r="K677" s="973" t="n">
        <v>0.1875</v>
      </c>
      <c r="L677" s="973" t="n">
        <v>0.1875</v>
      </c>
      <c r="M677" s="973" t="inlineStr">
        <is>
          <t>Windows; Linux; Network Devices</t>
        </is>
      </c>
      <c r="N677" s="973" t="inlineStr">
        <is>
          <t>https://attack.mitre.org/techniques/T1021/</t>
        </is>
      </c>
      <c r="O677" s="973" t="n"/>
      <c r="P677" s="973" t="n"/>
    </row>
    <row r="678">
      <c r="A678" s="973" t="inlineStr">
        <is>
          <t>Hacktivist</t>
        </is>
      </c>
      <c r="B678" s="973" t="inlineStr">
        <is>
          <t>Sensitive-data compromise</t>
        </is>
      </c>
      <c r="C678" s="973" t="inlineStr">
        <is>
          <t>Public-facing application exploitation</t>
        </is>
      </c>
      <c r="D678" s="973" t="inlineStr">
        <is>
          <t>T1486</t>
        </is>
      </c>
      <c r="E678" s="973" t="inlineStr">
        <is>
          <t>Data Encrypted for Impact</t>
        </is>
      </c>
      <c r="F678" s="973" t="inlineStr">
        <is>
          <t>S5</t>
        </is>
      </c>
      <c r="G678" s="973" t="b">
        <v>0</v>
      </c>
      <c r="H678" s="973" t="b">
        <v>0</v>
      </c>
      <c r="I678" s="973" t="b">
        <v>0</v>
      </c>
      <c r="J678" s="973" t="n">
        <v>0.6</v>
      </c>
      <c r="K678" s="973" t="n">
        <v>0.16875</v>
      </c>
      <c r="L678" s="973" t="n">
        <v>0.16875</v>
      </c>
      <c r="M678" s="973" t="inlineStr">
        <is>
          <t>Windows; Linux; IaaS</t>
        </is>
      </c>
      <c r="N678" s="973" t="inlineStr">
        <is>
          <t>https://attack.mitre.org/techniques/T1486/</t>
        </is>
      </c>
      <c r="O678" s="973" t="n"/>
      <c r="P678" s="973" t="n"/>
    </row>
    <row r="679">
      <c r="A679" s="973" t="inlineStr">
        <is>
          <t>Hacktivist</t>
        </is>
      </c>
      <c r="B679" s="973" t="inlineStr">
        <is>
          <t>Sensitive-data compromise</t>
        </is>
      </c>
      <c r="C679" s="973" t="inlineStr">
        <is>
          <t>Public-facing application exploitation</t>
        </is>
      </c>
      <c r="D679" s="973" t="inlineStr">
        <is>
          <t>T1490</t>
        </is>
      </c>
      <c r="E679" s="973" t="inlineStr">
        <is>
          <t>Inhibit System Recovery</t>
        </is>
      </c>
      <c r="F679" s="973" t="inlineStr">
        <is>
          <t>S5</t>
        </is>
      </c>
      <c r="G679" s="973" t="b">
        <v>0</v>
      </c>
      <c r="H679" s="973" t="b">
        <v>0</v>
      </c>
      <c r="I679" s="973" t="b">
        <v>0</v>
      </c>
      <c r="J679" s="973" t="n">
        <v>0.5</v>
      </c>
      <c r="K679" s="973" t="n">
        <v>0</v>
      </c>
      <c r="L679" s="973" t="n">
        <v>0</v>
      </c>
      <c r="M679" s="973" t="inlineStr">
        <is>
          <t>Windows; Linux; IaaS</t>
        </is>
      </c>
      <c r="N679" s="973" t="inlineStr">
        <is>
          <t>https://attack.mitre.org/techniques/T1490/</t>
        </is>
      </c>
      <c r="O679" s="973" t="n"/>
      <c r="P679" s="973" t="n"/>
    </row>
    <row r="680">
      <c r="A680" s="973" t="inlineStr">
        <is>
          <t>Hacktivist</t>
        </is>
      </c>
      <c r="B680" s="973" t="inlineStr">
        <is>
          <t>Sensitive-data compromise</t>
        </is>
      </c>
      <c r="C680" s="973" t="inlineStr">
        <is>
          <t>Public-facing application exploitation</t>
        </is>
      </c>
      <c r="D680" s="973" t="inlineStr">
        <is>
          <t>T1567</t>
        </is>
      </c>
      <c r="E680" s="973" t="inlineStr">
        <is>
          <t>Exfiltration Over Web Service</t>
        </is>
      </c>
      <c r="F680" s="973" t="inlineStr">
        <is>
          <t>S5</t>
        </is>
      </c>
      <c r="G680" s="973" t="b">
        <v>1</v>
      </c>
      <c r="H680" s="973" t="b">
        <v>1</v>
      </c>
      <c r="I680" s="973" t="b">
        <v>1</v>
      </c>
      <c r="J680" s="973" t="n">
        <v>0.6</v>
      </c>
      <c r="K680" s="973" t="n">
        <v>0.20625</v>
      </c>
      <c r="L680" s="973" t="n">
        <v>0.20625</v>
      </c>
      <c r="M680" s="973" t="inlineStr">
        <is>
          <t>SaaS; Office Suite</t>
        </is>
      </c>
      <c r="N680" s="973" t="inlineStr">
        <is>
          <t>https://attack.mitre.org/techniques/T1567/</t>
        </is>
      </c>
      <c r="O680" s="973" t="n"/>
      <c r="P680" s="973" t="n"/>
    </row>
    <row r="681">
      <c r="A681" s="973" t="inlineStr">
        <is>
          <t>Hacktivist</t>
        </is>
      </c>
      <c r="B681" s="973" t="inlineStr">
        <is>
          <t>Sensitive-data compromise</t>
        </is>
      </c>
      <c r="C681" s="973" t="inlineStr">
        <is>
          <t>Public-facing application exploitation</t>
        </is>
      </c>
      <c r="D681" s="973" t="inlineStr">
        <is>
          <t>T1565</t>
        </is>
      </c>
      <c r="E681" s="973" t="inlineStr">
        <is>
          <t>Data Manipulation</t>
        </is>
      </c>
      <c r="F681" s="973" t="inlineStr">
        <is>
          <t>S5</t>
        </is>
      </c>
      <c r="G681" s="973" t="b">
        <v>1</v>
      </c>
      <c r="H681" s="973" t="b">
        <v>0</v>
      </c>
      <c r="I681" s="973" t="b">
        <v>0</v>
      </c>
      <c r="J681" s="973" t="n">
        <v>0.6</v>
      </c>
      <c r="K681" s="973" t="n">
        <v>0.2206064987182617</v>
      </c>
      <c r="L681" s="973" t="n">
        <v>0.2206064987182617</v>
      </c>
      <c r="M681" s="973" t="inlineStr">
        <is>
          <t>SaaS; Databases; Windows</t>
        </is>
      </c>
      <c r="N681" s="973" t="inlineStr">
        <is>
          <t>https://attack.mitre.org/techniques/T1565/</t>
        </is>
      </c>
      <c r="O681" s="973" t="n"/>
      <c r="P681" s="973" t="n"/>
    </row>
    <row r="682">
      <c r="A682" s="973" t="inlineStr">
        <is>
          <t>Hacktivist</t>
        </is>
      </c>
      <c r="B682" s="973" t="inlineStr">
        <is>
          <t>Sensitive-data compromise</t>
        </is>
      </c>
      <c r="C682" s="973" t="inlineStr">
        <is>
          <t>Public-facing application exploitation</t>
        </is>
      </c>
      <c r="D682" s="973" t="inlineStr">
        <is>
          <t>T1657</t>
        </is>
      </c>
      <c r="E682" s="973" t="inlineStr">
        <is>
          <t>Financial Theft</t>
        </is>
      </c>
      <c r="F682" s="973" t="inlineStr">
        <is>
          <t>S5</t>
        </is>
      </c>
      <c r="G682" s="973" t="b">
        <v>0</v>
      </c>
      <c r="H682" s="973" t="b">
        <v>0</v>
      </c>
      <c r="I682" s="973" t="b">
        <v>0</v>
      </c>
      <c r="J682" s="973" t="n">
        <v>0.4</v>
      </c>
      <c r="K682" s="973" t="n">
        <v>0.275654296875</v>
      </c>
      <c r="L682" s="973" t="n">
        <v>0.275654296875</v>
      </c>
      <c r="M682" s="973" t="inlineStr">
        <is>
          <t>SaaS; Office Suite; Identity Provider</t>
        </is>
      </c>
      <c r="N682" s="973" t="inlineStr">
        <is>
          <t>https://attack.mitre.org/techniques/T1657/</t>
        </is>
      </c>
      <c r="O682" s="973" t="n"/>
      <c r="P682" s="973" t="n"/>
    </row>
    <row r="683">
      <c r="A683" s="973" t="inlineStr">
        <is>
          <t>Hacktivist</t>
        </is>
      </c>
      <c r="B683" s="973" t="inlineStr">
        <is>
          <t>Sensitive-data compromise</t>
        </is>
      </c>
      <c r="C683" s="973" t="inlineStr">
        <is>
          <t>Third-party or software supply chain</t>
        </is>
      </c>
      <c r="D683" s="973" t="inlineStr">
        <is>
          <t>T1199</t>
        </is>
      </c>
      <c r="E683" s="973" t="inlineStr">
        <is>
          <t>Trusted Relationship</t>
        </is>
      </c>
      <c r="F683" s="973" t="inlineStr">
        <is>
          <t>S3</t>
        </is>
      </c>
      <c r="G683" s="973" t="b">
        <v>1</v>
      </c>
      <c r="H683" s="973" t="b">
        <v>1</v>
      </c>
      <c r="I683" s="973" t="b">
        <v>1</v>
      </c>
      <c r="J683" s="973" t="n">
        <v>1</v>
      </c>
      <c r="K683" s="973" t="n">
        <v>0.20625</v>
      </c>
      <c r="L683" s="973" t="n">
        <v>0.20625</v>
      </c>
      <c r="M683" s="973" t="inlineStr">
        <is>
          <t>SaaS; IaaS; Network Devices</t>
        </is>
      </c>
      <c r="N683" s="973" t="inlineStr">
        <is>
          <t>https://attack.mitre.org/techniques/T1199/</t>
        </is>
      </c>
      <c r="O683" s="973" t="n"/>
      <c r="P683" s="973" t="n"/>
    </row>
    <row r="684">
      <c r="A684" s="973" t="inlineStr">
        <is>
          <t>Hacktivist</t>
        </is>
      </c>
      <c r="B684" s="973" t="inlineStr">
        <is>
          <t>Sensitive-data compromise</t>
        </is>
      </c>
      <c r="C684" s="973" t="inlineStr">
        <is>
          <t>Third-party or software supply chain</t>
        </is>
      </c>
      <c r="D684" s="973" t="inlineStr">
        <is>
          <t>T1098</t>
        </is>
      </c>
      <c r="E684" s="973" t="inlineStr">
        <is>
          <t>Account Manipulation</t>
        </is>
      </c>
      <c r="F684" s="973" t="inlineStr">
        <is>
          <t>S3</t>
        </is>
      </c>
      <c r="G684" s="973" t="b">
        <v>1</v>
      </c>
      <c r="H684" s="973" t="b">
        <v>1</v>
      </c>
      <c r="I684" s="973" t="b">
        <v>1</v>
      </c>
      <c r="J684" s="973" t="n">
        <v>0.6</v>
      </c>
      <c r="K684" s="973" t="n">
        <v>0.2477547340393066</v>
      </c>
      <c r="L684" s="973" t="n">
        <v>0.2477547340393066</v>
      </c>
      <c r="M684" s="973" t="inlineStr">
        <is>
          <t>Identity Provider; SaaS; Windows</t>
        </is>
      </c>
      <c r="N684" s="973" t="inlineStr">
        <is>
          <t>https://attack.mitre.org/techniques/T1098/</t>
        </is>
      </c>
      <c r="O684" s="973" t="n"/>
      <c r="P684" s="973" t="n"/>
    </row>
    <row r="685">
      <c r="A685" s="973" t="inlineStr">
        <is>
          <t>Hacktivist</t>
        </is>
      </c>
      <c r="B685" s="973" t="inlineStr">
        <is>
          <t>Sensitive-data compromise</t>
        </is>
      </c>
      <c r="C685" s="973" t="inlineStr">
        <is>
          <t>Third-party or software supply chain</t>
        </is>
      </c>
      <c r="D685" s="973" t="inlineStr">
        <is>
          <t>T1087</t>
        </is>
      </c>
      <c r="E685" s="973" t="inlineStr">
        <is>
          <t>Account Discovery</t>
        </is>
      </c>
      <c r="F685" s="973" t="inlineStr">
        <is>
          <t>S4</t>
        </is>
      </c>
      <c r="G685" s="973" t="b">
        <v>1</v>
      </c>
      <c r="H685" s="973" t="b">
        <v>1</v>
      </c>
      <c r="I685" s="973" t="b">
        <v>1</v>
      </c>
      <c r="J685" s="973" t="n">
        <v>0.5</v>
      </c>
      <c r="K685" s="973" t="n">
        <v>0</v>
      </c>
      <c r="L685" s="973" t="n">
        <v>0</v>
      </c>
      <c r="M685" s="973" t="inlineStr">
        <is>
          <t>Identity Provider; SaaS; Windows</t>
        </is>
      </c>
      <c r="N685" s="973" t="inlineStr">
        <is>
          <t>https://attack.mitre.org/techniques/T1087/</t>
        </is>
      </c>
      <c r="O685" s="973" t="n"/>
      <c r="P685" s="973" t="n"/>
    </row>
    <row r="686">
      <c r="A686" s="973" t="inlineStr">
        <is>
          <t>Hacktivist</t>
        </is>
      </c>
      <c r="B686" s="973" t="inlineStr">
        <is>
          <t>Sensitive-data compromise</t>
        </is>
      </c>
      <c r="C686" s="973" t="inlineStr">
        <is>
          <t>Third-party or software supply chain</t>
        </is>
      </c>
      <c r="D686" s="973" t="inlineStr">
        <is>
          <t>T1213</t>
        </is>
      </c>
      <c r="E686" s="973" t="inlineStr">
        <is>
          <t>Data from Information Repositories</t>
        </is>
      </c>
      <c r="F686" s="973" t="inlineStr">
        <is>
          <t>S4</t>
        </is>
      </c>
      <c r="G686" s="973" t="b">
        <v>0</v>
      </c>
      <c r="H686" s="973" t="b">
        <v>1</v>
      </c>
      <c r="I686" s="973" t="b">
        <v>0</v>
      </c>
      <c r="J686" s="973" t="n">
        <v>0.7</v>
      </c>
      <c r="K686" s="973" t="n">
        <v>0.177890625</v>
      </c>
      <c r="L686" s="973" t="n">
        <v>0.177890625</v>
      </c>
      <c r="M686" s="973" t="inlineStr">
        <is>
          <t>SaaS; Office Suite; Windows</t>
        </is>
      </c>
      <c r="N686" s="973" t="inlineStr">
        <is>
          <t>https://attack.mitre.org/techniques/T1213/</t>
        </is>
      </c>
      <c r="O686" s="973" t="n"/>
      <c r="P686" s="973" t="n"/>
    </row>
    <row r="687">
      <c r="A687" s="973" t="inlineStr">
        <is>
          <t>Hacktivist</t>
        </is>
      </c>
      <c r="B687" s="973" t="inlineStr">
        <is>
          <t>Sensitive-data compromise</t>
        </is>
      </c>
      <c r="C687" s="973" t="inlineStr">
        <is>
          <t>Third-party or software supply chain</t>
        </is>
      </c>
      <c r="D687" s="973" t="inlineStr">
        <is>
          <t>T1567</t>
        </is>
      </c>
      <c r="E687" s="973" t="inlineStr">
        <is>
          <t>Exfiltration Over Web Service</t>
        </is>
      </c>
      <c r="F687" s="973" t="inlineStr">
        <is>
          <t>S5</t>
        </is>
      </c>
      <c r="G687" s="973" t="b">
        <v>1</v>
      </c>
      <c r="H687" s="973" t="b">
        <v>1</v>
      </c>
      <c r="I687" s="973" t="b">
        <v>1</v>
      </c>
      <c r="J687" s="973" t="n">
        <v>0.6</v>
      </c>
      <c r="K687" s="973" t="n">
        <v>0.20625</v>
      </c>
      <c r="L687" s="973" t="n">
        <v>0.20625</v>
      </c>
      <c r="M687" s="973" t="inlineStr">
        <is>
          <t>SaaS; Office Suite</t>
        </is>
      </c>
      <c r="N687" s="973" t="inlineStr">
        <is>
          <t>https://attack.mitre.org/techniques/T1567/</t>
        </is>
      </c>
      <c r="O687" s="973" t="n"/>
      <c r="P687" s="973" t="n"/>
    </row>
    <row r="688">
      <c r="A688" s="973" t="inlineStr">
        <is>
          <t>Hacktivist</t>
        </is>
      </c>
      <c r="B688" s="973" t="inlineStr">
        <is>
          <t>Sensitive-data compromise</t>
        </is>
      </c>
      <c r="C688" s="973" t="inlineStr">
        <is>
          <t>Third-party or software supply chain</t>
        </is>
      </c>
      <c r="D688" s="973" t="inlineStr">
        <is>
          <t>T1486</t>
        </is>
      </c>
      <c r="E688" s="973" t="inlineStr">
        <is>
          <t>Data Encrypted for Impact</t>
        </is>
      </c>
      <c r="F688" s="973" t="inlineStr">
        <is>
          <t>S5</t>
        </is>
      </c>
      <c r="G688" s="973" t="b">
        <v>0</v>
      </c>
      <c r="H688" s="973" t="b">
        <v>0</v>
      </c>
      <c r="I688" s="973" t="b">
        <v>0</v>
      </c>
      <c r="J688" s="973" t="n">
        <v>0.5</v>
      </c>
      <c r="K688" s="973" t="n">
        <v>0.16875</v>
      </c>
      <c r="L688" s="973" t="n">
        <v>0.16875</v>
      </c>
      <c r="M688" s="973" t="inlineStr">
        <is>
          <t>Windows; Linux; IaaS</t>
        </is>
      </c>
      <c r="N688" s="973" t="inlineStr">
        <is>
          <t>https://attack.mitre.org/techniques/T1486/</t>
        </is>
      </c>
      <c r="O688" s="973" t="n"/>
      <c r="P688" s="973" t="n"/>
    </row>
    <row r="689">
      <c r="A689" s="973" t="inlineStr">
        <is>
          <t>Hacktivist</t>
        </is>
      </c>
      <c r="B689" s="973" t="inlineStr">
        <is>
          <t>Sensitive-data compromise</t>
        </is>
      </c>
      <c r="C689" s="973" t="inlineStr">
        <is>
          <t>Third-party or software supply chain</t>
        </is>
      </c>
      <c r="D689" s="973" t="inlineStr">
        <is>
          <t>T1565</t>
        </is>
      </c>
      <c r="E689" s="973" t="inlineStr">
        <is>
          <t>Data Manipulation</t>
        </is>
      </c>
      <c r="F689" s="973" t="inlineStr">
        <is>
          <t>S5</t>
        </is>
      </c>
      <c r="G689" s="973" t="b">
        <v>1</v>
      </c>
      <c r="H689" s="973" t="b">
        <v>0</v>
      </c>
      <c r="I689" s="973" t="b">
        <v>0</v>
      </c>
      <c r="J689" s="973" t="n">
        <v>0.6</v>
      </c>
      <c r="K689" s="973" t="n">
        <v>0.2206064987182617</v>
      </c>
      <c r="L689" s="973" t="n">
        <v>0.2206064987182617</v>
      </c>
      <c r="M689" s="973" t="inlineStr">
        <is>
          <t>SaaS; Databases; Windows</t>
        </is>
      </c>
      <c r="N689" s="973" t="inlineStr">
        <is>
          <t>https://attack.mitre.org/techniques/T1565/</t>
        </is>
      </c>
      <c r="O689" s="973" t="n"/>
      <c r="P689" s="973" t="n"/>
    </row>
    <row r="690">
      <c r="A690" s="973" t="inlineStr">
        <is>
          <t>Hacktivist</t>
        </is>
      </c>
      <c r="B690" s="973" t="inlineStr">
        <is>
          <t>Sensitive-data compromise</t>
        </is>
      </c>
      <c r="C690" s="973" t="inlineStr">
        <is>
          <t>Third-party or software supply chain</t>
        </is>
      </c>
      <c r="D690" s="973" t="inlineStr">
        <is>
          <t>T1657</t>
        </is>
      </c>
      <c r="E690" s="973" t="inlineStr">
        <is>
          <t>Financial Theft</t>
        </is>
      </c>
      <c r="F690" s="973" t="inlineStr">
        <is>
          <t>S5</t>
        </is>
      </c>
      <c r="G690" s="973" t="b">
        <v>0</v>
      </c>
      <c r="H690" s="973" t="b">
        <v>0</v>
      </c>
      <c r="I690" s="973" t="b">
        <v>0</v>
      </c>
      <c r="J690" s="973" t="n">
        <v>0.5</v>
      </c>
      <c r="K690" s="973" t="n">
        <v>0.275654296875</v>
      </c>
      <c r="L690" s="973" t="n">
        <v>0.275654296875</v>
      </c>
      <c r="M690" s="973" t="inlineStr">
        <is>
          <t>SaaS; Office Suite; Identity Provider</t>
        </is>
      </c>
      <c r="N690" s="973" t="inlineStr">
        <is>
          <t>https://attack.mitre.org/techniques/T1657/</t>
        </is>
      </c>
      <c r="O690" s="973" t="n"/>
      <c r="P690" s="973" t="n"/>
    </row>
    <row r="691">
      <c r="A691" s="973" t="inlineStr">
        <is>
          <t>Hacktivist</t>
        </is>
      </c>
      <c r="B691" s="973" t="inlineStr">
        <is>
          <t>Sensitive-data compromise</t>
        </is>
      </c>
      <c r="C691" s="973" t="inlineStr">
        <is>
          <t>Insider or trusted access</t>
        </is>
      </c>
      <c r="D691" s="973" t="inlineStr">
        <is>
          <t>T1098</t>
        </is>
      </c>
      <c r="E691" s="973" t="inlineStr">
        <is>
          <t>Account Manipulation</t>
        </is>
      </c>
      <c r="F691" s="973" t="inlineStr">
        <is>
          <t>S3</t>
        </is>
      </c>
      <c r="G691" s="973" t="b">
        <v>1</v>
      </c>
      <c r="H691" s="973" t="b">
        <v>1</v>
      </c>
      <c r="I691" s="973" t="b">
        <v>1</v>
      </c>
      <c r="J691" s="973" t="n">
        <v>0.8</v>
      </c>
      <c r="K691" s="973" t="n">
        <v>0.2477547340393066</v>
      </c>
      <c r="L691" s="973" t="n">
        <v>0.2477547340393066</v>
      </c>
      <c r="M691" s="973" t="inlineStr">
        <is>
          <t>Identity Provider; SaaS; Windows</t>
        </is>
      </c>
      <c r="N691" s="973" t="inlineStr">
        <is>
          <t>https://attack.mitre.org/techniques/T1098/</t>
        </is>
      </c>
      <c r="O691" s="973" t="n"/>
      <c r="P691" s="973" t="n"/>
    </row>
    <row r="692">
      <c r="A692" s="973" t="inlineStr">
        <is>
          <t>Hacktivist</t>
        </is>
      </c>
      <c r="B692" s="973" t="inlineStr">
        <is>
          <t>Sensitive-data compromise</t>
        </is>
      </c>
      <c r="C692" s="973" t="inlineStr">
        <is>
          <t>Insider or trusted access</t>
        </is>
      </c>
      <c r="D692" s="973" t="inlineStr">
        <is>
          <t>T1087</t>
        </is>
      </c>
      <c r="E692" s="973" t="inlineStr">
        <is>
          <t>Account Discovery</t>
        </is>
      </c>
      <c r="F692" s="973" t="inlineStr">
        <is>
          <t>S4</t>
        </is>
      </c>
      <c r="G692" s="973" t="b">
        <v>1</v>
      </c>
      <c r="H692" s="973" t="b">
        <v>1</v>
      </c>
      <c r="I692" s="973" t="b">
        <v>1</v>
      </c>
      <c r="J692" s="973" t="n">
        <v>0.6</v>
      </c>
      <c r="K692" s="973" t="n">
        <v>0</v>
      </c>
      <c r="L692" s="973" t="n">
        <v>0</v>
      </c>
      <c r="M692" s="973" t="inlineStr">
        <is>
          <t>Identity Provider; SaaS; Windows</t>
        </is>
      </c>
      <c r="N692" s="973" t="inlineStr">
        <is>
          <t>https://attack.mitre.org/techniques/T1087/</t>
        </is>
      </c>
      <c r="O692" s="973" t="n"/>
      <c r="P692" s="973" t="n"/>
    </row>
    <row r="693">
      <c r="A693" s="973" t="inlineStr">
        <is>
          <t>Hacktivist</t>
        </is>
      </c>
      <c r="B693" s="973" t="inlineStr">
        <is>
          <t>Sensitive-data compromise</t>
        </is>
      </c>
      <c r="C693" s="973" t="inlineStr">
        <is>
          <t>Insider or trusted access</t>
        </is>
      </c>
      <c r="D693" s="973" t="inlineStr">
        <is>
          <t>T1213</t>
        </is>
      </c>
      <c r="E693" s="973" t="inlineStr">
        <is>
          <t>Data from Information Repositories</t>
        </is>
      </c>
      <c r="F693" s="973" t="inlineStr">
        <is>
          <t>S4</t>
        </is>
      </c>
      <c r="G693" s="973" t="b">
        <v>0</v>
      </c>
      <c r="H693" s="973" t="b">
        <v>1</v>
      </c>
      <c r="I693" s="973" t="b">
        <v>0</v>
      </c>
      <c r="J693" s="973" t="n">
        <v>0.9</v>
      </c>
      <c r="K693" s="973" t="n">
        <v>0.177890625</v>
      </c>
      <c r="L693" s="973" t="n">
        <v>0.177890625</v>
      </c>
      <c r="M693" s="973" t="inlineStr">
        <is>
          <t>SaaS; Office Suite; Windows</t>
        </is>
      </c>
      <c r="N693" s="973" t="inlineStr">
        <is>
          <t>https://attack.mitre.org/techniques/T1213/</t>
        </is>
      </c>
      <c r="O693" s="973" t="n"/>
      <c r="P693" s="973" t="n"/>
    </row>
    <row r="694">
      <c r="A694" s="973" t="inlineStr">
        <is>
          <t>Hacktivist</t>
        </is>
      </c>
      <c r="B694" s="973" t="inlineStr">
        <is>
          <t>Sensitive-data compromise</t>
        </is>
      </c>
      <c r="C694" s="973" t="inlineStr">
        <is>
          <t>Insider or trusted access</t>
        </is>
      </c>
      <c r="D694" s="973" t="inlineStr">
        <is>
          <t>T1567</t>
        </is>
      </c>
      <c r="E694" s="973" t="inlineStr">
        <is>
          <t>Exfiltration Over Web Service</t>
        </is>
      </c>
      <c r="F694" s="973" t="inlineStr">
        <is>
          <t>S5</t>
        </is>
      </c>
      <c r="G694" s="973" t="b">
        <v>1</v>
      </c>
      <c r="H694" s="973" t="b">
        <v>1</v>
      </c>
      <c r="I694" s="973" t="b">
        <v>1</v>
      </c>
      <c r="J694" s="973" t="n">
        <v>0.8</v>
      </c>
      <c r="K694" s="973" t="n">
        <v>0.20625</v>
      </c>
      <c r="L694" s="973" t="n">
        <v>0.20625</v>
      </c>
      <c r="M694" s="973" t="inlineStr">
        <is>
          <t>SaaS; Office Suite</t>
        </is>
      </c>
      <c r="N694" s="973" t="inlineStr">
        <is>
          <t>https://attack.mitre.org/techniques/T1567/</t>
        </is>
      </c>
      <c r="O694" s="973" t="n"/>
      <c r="P694" s="973" t="n"/>
    </row>
    <row r="695">
      <c r="A695" s="973" t="inlineStr">
        <is>
          <t>Hacktivist</t>
        </is>
      </c>
      <c r="B695" s="973" t="inlineStr">
        <is>
          <t>Sensitive-data compromise</t>
        </is>
      </c>
      <c r="C695" s="973" t="inlineStr">
        <is>
          <t>Insider or trusted access</t>
        </is>
      </c>
      <c r="D695" s="973" t="inlineStr">
        <is>
          <t>T1565</t>
        </is>
      </c>
      <c r="E695" s="973" t="inlineStr">
        <is>
          <t>Data Manipulation</t>
        </is>
      </c>
      <c r="F695" s="973" t="inlineStr">
        <is>
          <t>S5</t>
        </is>
      </c>
      <c r="G695" s="973" t="b">
        <v>1</v>
      </c>
      <c r="H695" s="973" t="b">
        <v>0</v>
      </c>
      <c r="I695" s="973" t="b">
        <v>0</v>
      </c>
      <c r="J695" s="973" t="n">
        <v>0.9</v>
      </c>
      <c r="K695" s="973" t="n">
        <v>0.2206064987182617</v>
      </c>
      <c r="L695" s="973" t="n">
        <v>0.2206064987182617</v>
      </c>
      <c r="M695" s="973" t="inlineStr">
        <is>
          <t>SaaS; Databases; Windows</t>
        </is>
      </c>
      <c r="N695" s="973" t="inlineStr">
        <is>
          <t>https://attack.mitre.org/techniques/T1565/</t>
        </is>
      </c>
      <c r="O695" s="973" t="n"/>
      <c r="P695" s="973" t="n"/>
    </row>
    <row r="696">
      <c r="A696" s="973" t="inlineStr">
        <is>
          <t>Hacktivist</t>
        </is>
      </c>
      <c r="B696" s="973" t="inlineStr">
        <is>
          <t>Sensitive-data compromise</t>
        </is>
      </c>
      <c r="C696" s="973" t="inlineStr">
        <is>
          <t>Insider or trusted access</t>
        </is>
      </c>
      <c r="D696" s="973" t="inlineStr">
        <is>
          <t>T1657</t>
        </is>
      </c>
      <c r="E696" s="973" t="inlineStr">
        <is>
          <t>Financial Theft</t>
        </is>
      </c>
      <c r="F696" s="973" t="inlineStr">
        <is>
          <t>S5</t>
        </is>
      </c>
      <c r="G696" s="973" t="b">
        <v>0</v>
      </c>
      <c r="H696" s="973" t="b">
        <v>0</v>
      </c>
      <c r="I696" s="973" t="b">
        <v>0</v>
      </c>
      <c r="J696" s="973" t="n">
        <v>0.9</v>
      </c>
      <c r="K696" s="973" t="n">
        <v>0.275654296875</v>
      </c>
      <c r="L696" s="973" t="n">
        <v>0.275654296875</v>
      </c>
      <c r="M696" s="973" t="inlineStr">
        <is>
          <t>SaaS; Office Suite; Identity Provider</t>
        </is>
      </c>
      <c r="N696" s="973" t="inlineStr">
        <is>
          <t>https://attack.mitre.org/techniques/T1657/</t>
        </is>
      </c>
      <c r="O696" s="973" t="n"/>
      <c r="P696" s="973" t="n"/>
    </row>
    <row r="697">
      <c r="A697" s="973" t="inlineStr">
        <is>
          <t>Hacktivist</t>
        </is>
      </c>
      <c r="B697" s="973" t="inlineStr">
        <is>
          <t>Data or transaction-integrity compromise</t>
        </is>
      </c>
      <c r="C697" s="973" t="inlineStr">
        <is>
          <t>Identity and credential compromise</t>
        </is>
      </c>
      <c r="D697" s="973" t="inlineStr">
        <is>
          <t>T1566</t>
        </is>
      </c>
      <c r="E697" s="973" t="inlineStr">
        <is>
          <t>Phishing</t>
        </is>
      </c>
      <c r="F697" s="973" t="inlineStr">
        <is>
          <t>S1</t>
        </is>
      </c>
      <c r="G697" s="973" t="b">
        <v>1</v>
      </c>
      <c r="H697" s="973" t="b">
        <v>1</v>
      </c>
      <c r="I697" s="973" t="b">
        <v>1</v>
      </c>
      <c r="J697" s="973" t="n">
        <v>1</v>
      </c>
      <c r="K697" s="973" t="n">
        <v>0.20625</v>
      </c>
      <c r="L697" s="973" t="n">
        <v>0.20625</v>
      </c>
      <c r="M697" s="973" t="inlineStr">
        <is>
          <t>Windows; SaaS; Office Suite</t>
        </is>
      </c>
      <c r="N697" s="973" t="inlineStr">
        <is>
          <t>https://attack.mitre.org/techniques/T1566/</t>
        </is>
      </c>
      <c r="O697" s="973" t="n"/>
      <c r="P697" s="973" t="n"/>
    </row>
    <row r="698">
      <c r="A698" s="973" t="inlineStr">
        <is>
          <t>Hacktivist</t>
        </is>
      </c>
      <c r="B698" s="973" t="inlineStr">
        <is>
          <t>Data or transaction-integrity compromise</t>
        </is>
      </c>
      <c r="C698" s="973" t="inlineStr">
        <is>
          <t>Identity and credential compromise</t>
        </is>
      </c>
      <c r="D698" s="973" t="inlineStr">
        <is>
          <t>T1078</t>
        </is>
      </c>
      <c r="E698" s="973" t="inlineStr">
        <is>
          <t>Valid Accounts</t>
        </is>
      </c>
      <c r="F698" s="973" t="inlineStr">
        <is>
          <t>S1</t>
        </is>
      </c>
      <c r="G698" s="973" t="b">
        <v>1</v>
      </c>
      <c r="H698" s="973" t="b">
        <v>1</v>
      </c>
      <c r="I698" s="973" t="b">
        <v>1</v>
      </c>
      <c r="J698" s="973" t="n">
        <v>1</v>
      </c>
      <c r="K698" s="973" t="n">
        <v>0.272109375</v>
      </c>
      <c r="L698" s="973" t="n">
        <v>0.272109375</v>
      </c>
      <c r="M698" s="973" t="inlineStr">
        <is>
          <t>Identity Provider; SaaS; IaaS; Windows</t>
        </is>
      </c>
      <c r="N698" s="973" t="inlineStr">
        <is>
          <t>https://attack.mitre.org/techniques/T1078/</t>
        </is>
      </c>
      <c r="O698" s="973" t="n"/>
      <c r="P698" s="973" t="n"/>
    </row>
    <row r="699">
      <c r="A699" s="973" t="inlineStr">
        <is>
          <t>Hacktivist</t>
        </is>
      </c>
      <c r="B699" s="973" t="inlineStr">
        <is>
          <t>Data or transaction-integrity compromise</t>
        </is>
      </c>
      <c r="C699" s="973" t="inlineStr">
        <is>
          <t>Identity and credential compromise</t>
        </is>
      </c>
      <c r="D699" s="973" t="inlineStr">
        <is>
          <t>T1110</t>
        </is>
      </c>
      <c r="E699" s="973" t="inlineStr">
        <is>
          <t>Brute Force</t>
        </is>
      </c>
      <c r="F699" s="973" t="inlineStr">
        <is>
          <t>S1</t>
        </is>
      </c>
      <c r="G699" s="973" t="b">
        <v>1</v>
      </c>
      <c r="H699" s="973" t="b">
        <v>1</v>
      </c>
      <c r="I699" s="973" t="b">
        <v>1</v>
      </c>
      <c r="J699" s="973" t="n">
        <v>0.7</v>
      </c>
      <c r="K699" s="973" t="n">
        <v>0.24375</v>
      </c>
      <c r="L699" s="973" t="n">
        <v>0.24375</v>
      </c>
      <c r="M699" s="973" t="inlineStr">
        <is>
          <t>Identity Provider; SaaS; Windows</t>
        </is>
      </c>
      <c r="N699" s="973" t="inlineStr">
        <is>
          <t>https://attack.mitre.org/techniques/T1110/</t>
        </is>
      </c>
      <c r="O699" s="973" t="n"/>
      <c r="P699" s="973" t="n"/>
    </row>
    <row r="700">
      <c r="A700" s="973" t="inlineStr">
        <is>
          <t>Hacktivist</t>
        </is>
      </c>
      <c r="B700" s="973" t="inlineStr">
        <is>
          <t>Data or transaction-integrity compromise</t>
        </is>
      </c>
      <c r="C700" s="973" t="inlineStr">
        <is>
          <t>Identity and credential compromise</t>
        </is>
      </c>
      <c r="D700" s="973" t="inlineStr">
        <is>
          <t>T1098</t>
        </is>
      </c>
      <c r="E700" s="973" t="inlineStr">
        <is>
          <t>Account Manipulation</t>
        </is>
      </c>
      <c r="F700" s="973" t="inlineStr">
        <is>
          <t>S3</t>
        </is>
      </c>
      <c r="G700" s="973" t="b">
        <v>1</v>
      </c>
      <c r="H700" s="973" t="b">
        <v>1</v>
      </c>
      <c r="I700" s="973" t="b">
        <v>1</v>
      </c>
      <c r="J700" s="973" t="n">
        <v>0.7</v>
      </c>
      <c r="K700" s="973" t="n">
        <v>0.2477547340393066</v>
      </c>
      <c r="L700" s="973" t="n">
        <v>0.2477547340393066</v>
      </c>
      <c r="M700" s="973" t="inlineStr">
        <is>
          <t>Identity Provider; SaaS; Windows</t>
        </is>
      </c>
      <c r="N700" s="973" t="inlineStr">
        <is>
          <t>https://attack.mitre.org/techniques/T1098/</t>
        </is>
      </c>
      <c r="O700" s="973" t="n"/>
      <c r="P700" s="973" t="n"/>
    </row>
    <row r="701">
      <c r="A701" s="973" t="inlineStr">
        <is>
          <t>Hacktivist</t>
        </is>
      </c>
      <c r="B701" s="973" t="inlineStr">
        <is>
          <t>Data or transaction-integrity compromise</t>
        </is>
      </c>
      <c r="C701" s="973" t="inlineStr">
        <is>
          <t>Identity and credential compromise</t>
        </is>
      </c>
      <c r="D701" s="973" t="inlineStr">
        <is>
          <t>T1087</t>
        </is>
      </c>
      <c r="E701" s="973" t="inlineStr">
        <is>
          <t>Account Discovery</t>
        </is>
      </c>
      <c r="F701" s="973" t="inlineStr">
        <is>
          <t>S4</t>
        </is>
      </c>
      <c r="G701" s="973" t="b">
        <v>1</v>
      </c>
      <c r="H701" s="973" t="b">
        <v>1</v>
      </c>
      <c r="I701" s="973" t="b">
        <v>1</v>
      </c>
      <c r="J701" s="973" t="n">
        <v>0.6</v>
      </c>
      <c r="K701" s="973" t="n">
        <v>0</v>
      </c>
      <c r="L701" s="973" t="n">
        <v>0</v>
      </c>
      <c r="M701" s="973" t="inlineStr">
        <is>
          <t>Identity Provider; SaaS; Windows</t>
        </is>
      </c>
      <c r="N701" s="973" t="inlineStr">
        <is>
          <t>https://attack.mitre.org/techniques/T1087/</t>
        </is>
      </c>
      <c r="O701" s="973" t="n"/>
      <c r="P701" s="973" t="n"/>
    </row>
    <row r="702">
      <c r="A702" s="973" t="inlineStr">
        <is>
          <t>Hacktivist</t>
        </is>
      </c>
      <c r="B702" s="973" t="inlineStr">
        <is>
          <t>Data or transaction-integrity compromise</t>
        </is>
      </c>
      <c r="C702" s="973" t="inlineStr">
        <is>
          <t>Identity and credential compromise</t>
        </is>
      </c>
      <c r="D702" s="973" t="inlineStr">
        <is>
          <t>T1213</t>
        </is>
      </c>
      <c r="E702" s="973" t="inlineStr">
        <is>
          <t>Data from Information Repositories</t>
        </is>
      </c>
      <c r="F702" s="973" t="inlineStr">
        <is>
          <t>S4</t>
        </is>
      </c>
      <c r="G702" s="973" t="b">
        <v>0</v>
      </c>
      <c r="H702" s="973" t="b">
        <v>1</v>
      </c>
      <c r="I702" s="973" t="b">
        <v>0</v>
      </c>
      <c r="J702" s="973" t="n">
        <v>0.8</v>
      </c>
      <c r="K702" s="973" t="n">
        <v>0.177890625</v>
      </c>
      <c r="L702" s="973" t="n">
        <v>0.177890625</v>
      </c>
      <c r="M702" s="973" t="inlineStr">
        <is>
          <t>SaaS; Office Suite; Windows</t>
        </is>
      </c>
      <c r="N702" s="973" t="inlineStr">
        <is>
          <t>https://attack.mitre.org/techniques/T1213/</t>
        </is>
      </c>
      <c r="O702" s="973" t="n"/>
      <c r="P702" s="973" t="n"/>
    </row>
    <row r="703">
      <c r="A703" s="973" t="inlineStr">
        <is>
          <t>Hacktivist</t>
        </is>
      </c>
      <c r="B703" s="973" t="inlineStr">
        <is>
          <t>Data or transaction-integrity compromise</t>
        </is>
      </c>
      <c r="C703" s="973" t="inlineStr">
        <is>
          <t>Identity and credential compromise</t>
        </is>
      </c>
      <c r="D703" s="973" t="inlineStr">
        <is>
          <t>T1567</t>
        </is>
      </c>
      <c r="E703" s="973" t="inlineStr">
        <is>
          <t>Exfiltration Over Web Service</t>
        </is>
      </c>
      <c r="F703" s="973" t="inlineStr">
        <is>
          <t>S5</t>
        </is>
      </c>
      <c r="G703" s="973" t="b">
        <v>1</v>
      </c>
      <c r="H703" s="973" t="b">
        <v>0</v>
      </c>
      <c r="I703" s="973" t="b">
        <v>0</v>
      </c>
      <c r="J703" s="973" t="n">
        <v>0.7</v>
      </c>
      <c r="K703" s="973" t="n">
        <v>0.20625</v>
      </c>
      <c r="L703" s="973" t="n">
        <v>0.20625</v>
      </c>
      <c r="M703" s="973" t="inlineStr">
        <is>
          <t>SaaS; Office Suite</t>
        </is>
      </c>
      <c r="N703" s="973" t="inlineStr">
        <is>
          <t>https://attack.mitre.org/techniques/T1567/</t>
        </is>
      </c>
      <c r="O703" s="973" t="n"/>
      <c r="P703" s="973" t="n"/>
    </row>
    <row r="704">
      <c r="A704" s="973" t="inlineStr">
        <is>
          <t>Hacktivist</t>
        </is>
      </c>
      <c r="B704" s="973" t="inlineStr">
        <is>
          <t>Data or transaction-integrity compromise</t>
        </is>
      </c>
      <c r="C704" s="973" t="inlineStr">
        <is>
          <t>Identity and credential compromise</t>
        </is>
      </c>
      <c r="D704" s="973" t="inlineStr">
        <is>
          <t>T1657</t>
        </is>
      </c>
      <c r="E704" s="973" t="inlineStr">
        <is>
          <t>Financial Theft</t>
        </is>
      </c>
      <c r="F704" s="973" t="inlineStr">
        <is>
          <t>S5</t>
        </is>
      </c>
      <c r="G704" s="973" t="b">
        <v>0</v>
      </c>
      <c r="H704" s="973" t="b">
        <v>0</v>
      </c>
      <c r="I704" s="973" t="b">
        <v>0</v>
      </c>
      <c r="J704" s="973" t="n">
        <v>0.8</v>
      </c>
      <c r="K704" s="973" t="n">
        <v>0.275654296875</v>
      </c>
      <c r="L704" s="973" t="n">
        <v>0.275654296875</v>
      </c>
      <c r="M704" s="973" t="inlineStr">
        <is>
          <t>SaaS; Office Suite; Identity Provider</t>
        </is>
      </c>
      <c r="N704" s="973" t="inlineStr">
        <is>
          <t>https://attack.mitre.org/techniques/T1657/</t>
        </is>
      </c>
      <c r="O704" s="973" t="n"/>
      <c r="P704" s="973" t="n"/>
    </row>
    <row r="705">
      <c r="A705" s="973" t="inlineStr">
        <is>
          <t>Hacktivist</t>
        </is>
      </c>
      <c r="B705" s="973" t="inlineStr">
        <is>
          <t>Data or transaction-integrity compromise</t>
        </is>
      </c>
      <c r="C705" s="973" t="inlineStr">
        <is>
          <t>Identity and credential compromise</t>
        </is>
      </c>
      <c r="D705" s="973" t="inlineStr">
        <is>
          <t>T1565</t>
        </is>
      </c>
      <c r="E705" s="973" t="inlineStr">
        <is>
          <t>Data Manipulation</t>
        </is>
      </c>
      <c r="F705" s="973" t="inlineStr">
        <is>
          <t>S5</t>
        </is>
      </c>
      <c r="G705" s="973" t="b">
        <v>1</v>
      </c>
      <c r="H705" s="973" t="b">
        <v>1</v>
      </c>
      <c r="I705" s="973" t="b">
        <v>1</v>
      </c>
      <c r="J705" s="973" t="n">
        <v>0.5</v>
      </c>
      <c r="K705" s="973" t="n">
        <v>0.2206064987182617</v>
      </c>
      <c r="L705" s="973" t="n">
        <v>0.2206064987182617</v>
      </c>
      <c r="M705" s="973" t="inlineStr">
        <is>
          <t>SaaS; Databases; Windows</t>
        </is>
      </c>
      <c r="N705" s="973" t="inlineStr">
        <is>
          <t>https://attack.mitre.org/techniques/T1565/</t>
        </is>
      </c>
      <c r="O705" s="973" t="n"/>
      <c r="P705" s="973" t="n"/>
    </row>
    <row r="706">
      <c r="A706" s="973" t="inlineStr">
        <is>
          <t>Hacktivist</t>
        </is>
      </c>
      <c r="B706" s="973" t="inlineStr">
        <is>
          <t>Data or transaction-integrity compromise</t>
        </is>
      </c>
      <c r="C706" s="973" t="inlineStr">
        <is>
          <t>Identity and credential compromise</t>
        </is>
      </c>
      <c r="D706" s="973" t="inlineStr">
        <is>
          <t>T1486</t>
        </is>
      </c>
      <c r="E706" s="973" t="inlineStr">
        <is>
          <t>Data Encrypted for Impact</t>
        </is>
      </c>
      <c r="F706" s="973" t="inlineStr">
        <is>
          <t>S5</t>
        </is>
      </c>
      <c r="G706" s="973" t="b">
        <v>0</v>
      </c>
      <c r="H706" s="973" t="b">
        <v>1</v>
      </c>
      <c r="I706" s="973" t="b">
        <v>0</v>
      </c>
      <c r="J706" s="973" t="n">
        <v>0.7</v>
      </c>
      <c r="K706" s="973" t="n">
        <v>0.16875</v>
      </c>
      <c r="L706" s="973" t="n">
        <v>0.16875</v>
      </c>
      <c r="M706" s="973" t="inlineStr">
        <is>
          <t>Windows; Linux; IaaS</t>
        </is>
      </c>
      <c r="N706" s="973" t="inlineStr">
        <is>
          <t>https://attack.mitre.org/techniques/T1486/</t>
        </is>
      </c>
      <c r="O706" s="973" t="n"/>
      <c r="P706" s="973" t="n"/>
    </row>
    <row r="707">
      <c r="A707" s="973" t="inlineStr">
        <is>
          <t>Hacktivist</t>
        </is>
      </c>
      <c r="B707" s="973" t="inlineStr">
        <is>
          <t>Data or transaction-integrity compromise</t>
        </is>
      </c>
      <c r="C707" s="973" t="inlineStr">
        <is>
          <t>Identity and credential compromise</t>
        </is>
      </c>
      <c r="D707" s="973" t="inlineStr">
        <is>
          <t>T1490</t>
        </is>
      </c>
      <c r="E707" s="973" t="inlineStr">
        <is>
          <t>Inhibit System Recovery</t>
        </is>
      </c>
      <c r="F707" s="973" t="inlineStr">
        <is>
          <t>S5</t>
        </is>
      </c>
      <c r="G707" s="973" t="b">
        <v>0</v>
      </c>
      <c r="H707" s="973" t="b">
        <v>1</v>
      </c>
      <c r="I707" s="973" t="b">
        <v>0</v>
      </c>
      <c r="J707" s="973" t="n">
        <v>0.6</v>
      </c>
      <c r="K707" s="973" t="n">
        <v>0</v>
      </c>
      <c r="L707" s="973" t="n">
        <v>0</v>
      </c>
      <c r="M707" s="973" t="inlineStr">
        <is>
          <t>Windows; Linux; IaaS</t>
        </is>
      </c>
      <c r="N707" s="973" t="inlineStr">
        <is>
          <t>https://attack.mitre.org/techniques/T1490/</t>
        </is>
      </c>
      <c r="O707" s="973" t="n"/>
      <c r="P707" s="973" t="n"/>
    </row>
    <row r="708">
      <c r="A708" s="973" t="inlineStr">
        <is>
          <t>Hacktivist</t>
        </is>
      </c>
      <c r="B708" s="973" t="inlineStr">
        <is>
          <t>Data or transaction-integrity compromise</t>
        </is>
      </c>
      <c r="C708" s="973" t="inlineStr">
        <is>
          <t>User endpoint and social engineering</t>
        </is>
      </c>
      <c r="D708" s="973" t="inlineStr">
        <is>
          <t>T1566</t>
        </is>
      </c>
      <c r="E708" s="973" t="inlineStr">
        <is>
          <t>Phishing</t>
        </is>
      </c>
      <c r="F708" s="973" t="inlineStr">
        <is>
          <t>S1</t>
        </is>
      </c>
      <c r="G708" s="973" t="b">
        <v>1</v>
      </c>
      <c r="H708" s="973" t="b">
        <v>1</v>
      </c>
      <c r="I708" s="973" t="b">
        <v>1</v>
      </c>
      <c r="J708" s="973" t="n">
        <v>1</v>
      </c>
      <c r="K708" s="973" t="n">
        <v>0.20625</v>
      </c>
      <c r="L708" s="973" t="n">
        <v>0.20625</v>
      </c>
      <c r="M708" s="973" t="inlineStr">
        <is>
          <t>Windows; SaaS; Office Suite</t>
        </is>
      </c>
      <c r="N708" s="973" t="inlineStr">
        <is>
          <t>https://attack.mitre.org/techniques/T1566/</t>
        </is>
      </c>
      <c r="O708" s="973" t="n"/>
      <c r="P708" s="973" t="n"/>
    </row>
    <row r="709">
      <c r="A709" s="973" t="inlineStr">
        <is>
          <t>Hacktivist</t>
        </is>
      </c>
      <c r="B709" s="973" t="inlineStr">
        <is>
          <t>Data or transaction-integrity compromise</t>
        </is>
      </c>
      <c r="C709" s="973" t="inlineStr">
        <is>
          <t>User endpoint and social engineering</t>
        </is>
      </c>
      <c r="D709" s="973" t="inlineStr">
        <is>
          <t>T1203</t>
        </is>
      </c>
      <c r="E709" s="973" t="inlineStr">
        <is>
          <t>Exploitation for Client Execution</t>
        </is>
      </c>
      <c r="F709" s="973" t="inlineStr">
        <is>
          <t>S2</t>
        </is>
      </c>
      <c r="G709" s="973" t="b">
        <v>0</v>
      </c>
      <c r="H709" s="973" t="b">
        <v>1</v>
      </c>
      <c r="I709" s="973" t="b">
        <v>0</v>
      </c>
      <c r="J709" s="973" t="n">
        <v>0.8</v>
      </c>
      <c r="K709" s="973" t="n">
        <v>0.2404920959472656</v>
      </c>
      <c r="L709" s="973" t="n">
        <v>0.2404920959472656</v>
      </c>
      <c r="M709" s="973" t="inlineStr">
        <is>
          <t>Windows; macOS; Linux</t>
        </is>
      </c>
      <c r="N709" s="973" t="inlineStr">
        <is>
          <t>https://attack.mitre.org/techniques/T1203/</t>
        </is>
      </c>
      <c r="O709" s="973" t="n"/>
      <c r="P709" s="973" t="n"/>
    </row>
    <row r="710">
      <c r="A710" s="973" t="inlineStr">
        <is>
          <t>Hacktivist</t>
        </is>
      </c>
      <c r="B710" s="973" t="inlineStr">
        <is>
          <t>Data or transaction-integrity compromise</t>
        </is>
      </c>
      <c r="C710" s="973" t="inlineStr">
        <is>
          <t>User endpoint and social engineering</t>
        </is>
      </c>
      <c r="D710" s="973" t="inlineStr">
        <is>
          <t>T1059</t>
        </is>
      </c>
      <c r="E710" s="973" t="inlineStr">
        <is>
          <t>Command and Scripting Interpreter</t>
        </is>
      </c>
      <c r="F710" s="973" t="inlineStr">
        <is>
          <t>S2</t>
        </is>
      </c>
      <c r="G710" s="973" t="b">
        <v>1</v>
      </c>
      <c r="H710" s="973" t="b">
        <v>1</v>
      </c>
      <c r="I710" s="973" t="b">
        <v>1</v>
      </c>
      <c r="J710" s="973" t="n">
        <v>0.9</v>
      </c>
      <c r="K710" s="973" t="n">
        <v>0.1875</v>
      </c>
      <c r="L710" s="973" t="n">
        <v>0.1875</v>
      </c>
      <c r="M710" s="973" t="inlineStr">
        <is>
          <t>Windows; macOS; Linux; IaaS</t>
        </is>
      </c>
      <c r="N710" s="973" t="inlineStr">
        <is>
          <t>https://attack.mitre.org/techniques/T1059/</t>
        </is>
      </c>
      <c r="O710" s="973" t="n"/>
      <c r="P710" s="973" t="n"/>
    </row>
    <row r="711">
      <c r="A711" s="973" t="inlineStr">
        <is>
          <t>Hacktivist</t>
        </is>
      </c>
      <c r="B711" s="973" t="inlineStr">
        <is>
          <t>Data or transaction-integrity compromise</t>
        </is>
      </c>
      <c r="C711" s="973" t="inlineStr">
        <is>
          <t>User endpoint and social engineering</t>
        </is>
      </c>
      <c r="D711" s="973" t="inlineStr">
        <is>
          <t>T1068</t>
        </is>
      </c>
      <c r="E711" s="973" t="inlineStr">
        <is>
          <t>Exploitation for Privilege Escalation</t>
        </is>
      </c>
      <c r="F711" s="973" t="inlineStr">
        <is>
          <t>S3</t>
        </is>
      </c>
      <c r="G711" s="973" t="b">
        <v>1</v>
      </c>
      <c r="H711" s="973" t="b">
        <v>1</v>
      </c>
      <c r="I711" s="973" t="b">
        <v>1</v>
      </c>
      <c r="J711" s="973" t="n">
        <v>0.7</v>
      </c>
      <c r="K711" s="973" t="n">
        <v>0.2094165115356445</v>
      </c>
      <c r="L711" s="973" t="n">
        <v>0.2094165115356445</v>
      </c>
      <c r="M711" s="973" t="inlineStr">
        <is>
          <t>Windows; macOS; Linux</t>
        </is>
      </c>
      <c r="N711" s="973" t="inlineStr">
        <is>
          <t>https://attack.mitre.org/techniques/T1068/</t>
        </is>
      </c>
      <c r="O711" s="973" t="n"/>
      <c r="P711" s="973" t="n"/>
    </row>
    <row r="712">
      <c r="A712" s="973" t="inlineStr">
        <is>
          <t>Hacktivist</t>
        </is>
      </c>
      <c r="B712" s="973" t="inlineStr">
        <is>
          <t>Data or transaction-integrity compromise</t>
        </is>
      </c>
      <c r="C712" s="973" t="inlineStr">
        <is>
          <t>User endpoint and social engineering</t>
        </is>
      </c>
      <c r="D712" s="973" t="inlineStr">
        <is>
          <t>T1003</t>
        </is>
      </c>
      <c r="E712" s="973" t="inlineStr">
        <is>
          <t>OS Credential Dumping</t>
        </is>
      </c>
      <c r="F712" s="973" t="inlineStr">
        <is>
          <t>S3</t>
        </is>
      </c>
      <c r="G712" s="973" t="b">
        <v>1</v>
      </c>
      <c r="H712" s="973" t="b">
        <v>1</v>
      </c>
      <c r="I712" s="973" t="b">
        <v>1</v>
      </c>
      <c r="J712" s="973" t="n">
        <v>0.8</v>
      </c>
      <c r="K712" s="973" t="n">
        <v>0.232294921875</v>
      </c>
      <c r="L712" s="973" t="n">
        <v>0.232294921875</v>
      </c>
      <c r="M712" s="973" t="inlineStr">
        <is>
          <t>Windows; Linux; macOS</t>
        </is>
      </c>
      <c r="N712" s="973" t="inlineStr">
        <is>
          <t>https://attack.mitre.org/techniques/T1003/</t>
        </is>
      </c>
      <c r="O712" s="973" t="n"/>
      <c r="P712" s="973" t="n"/>
    </row>
    <row r="713">
      <c r="A713" s="973" t="inlineStr">
        <is>
          <t>Hacktivist</t>
        </is>
      </c>
      <c r="B713" s="973" t="inlineStr">
        <is>
          <t>Data or transaction-integrity compromise</t>
        </is>
      </c>
      <c r="C713" s="973" t="inlineStr">
        <is>
          <t>User endpoint and social engineering</t>
        </is>
      </c>
      <c r="D713" s="973" t="inlineStr">
        <is>
          <t>T1046</t>
        </is>
      </c>
      <c r="E713" s="973" t="inlineStr">
        <is>
          <t>Network Service Discovery</t>
        </is>
      </c>
      <c r="F713" s="973" t="inlineStr">
        <is>
          <t>S4</t>
        </is>
      </c>
      <c r="G713" s="973" t="b">
        <v>1</v>
      </c>
      <c r="H713" s="973" t="b">
        <v>1</v>
      </c>
      <c r="I713" s="973" t="b">
        <v>1</v>
      </c>
      <c r="J713" s="973" t="n">
        <v>0.6</v>
      </c>
      <c r="K713" s="973" t="n">
        <v>0.16875</v>
      </c>
      <c r="L713" s="973" t="n">
        <v>0.16875</v>
      </c>
      <c r="M713" s="973" t="inlineStr">
        <is>
          <t>Network Devices; Windows; Linux</t>
        </is>
      </c>
      <c r="N713" s="973" t="inlineStr">
        <is>
          <t>https://attack.mitre.org/techniques/T1046/</t>
        </is>
      </c>
      <c r="O713" s="973" t="n"/>
      <c r="P713" s="973" t="n"/>
    </row>
    <row r="714">
      <c r="A714" s="973" t="inlineStr">
        <is>
          <t>Hacktivist</t>
        </is>
      </c>
      <c r="B714" s="973" t="inlineStr">
        <is>
          <t>Data or transaction-integrity compromise</t>
        </is>
      </c>
      <c r="C714" s="973" t="inlineStr">
        <is>
          <t>User endpoint and social engineering</t>
        </is>
      </c>
      <c r="D714" s="973" t="inlineStr">
        <is>
          <t>T1021</t>
        </is>
      </c>
      <c r="E714" s="973" t="inlineStr">
        <is>
          <t>Remote Services</t>
        </is>
      </c>
      <c r="F714" s="973" t="inlineStr">
        <is>
          <t>S4</t>
        </is>
      </c>
      <c r="G714" s="973" t="b">
        <v>1</v>
      </c>
      <c r="H714" s="973" t="b">
        <v>1</v>
      </c>
      <c r="I714" s="973" t="b">
        <v>1</v>
      </c>
      <c r="J714" s="973" t="n">
        <v>0.8</v>
      </c>
      <c r="K714" s="973" t="n">
        <v>0.1875</v>
      </c>
      <c r="L714" s="973" t="n">
        <v>0.1875</v>
      </c>
      <c r="M714" s="973" t="inlineStr">
        <is>
          <t>Windows; Linux; Network Devices</t>
        </is>
      </c>
      <c r="N714" s="973" t="inlineStr">
        <is>
          <t>https://attack.mitre.org/techniques/T1021/</t>
        </is>
      </c>
      <c r="O714" s="973" t="n"/>
      <c r="P714" s="973" t="n"/>
    </row>
    <row r="715">
      <c r="A715" s="973" t="inlineStr">
        <is>
          <t>Hacktivist</t>
        </is>
      </c>
      <c r="B715" s="973" t="inlineStr">
        <is>
          <t>Data or transaction-integrity compromise</t>
        </is>
      </c>
      <c r="C715" s="973" t="inlineStr">
        <is>
          <t>User endpoint and social engineering</t>
        </is>
      </c>
      <c r="D715" s="973" t="inlineStr">
        <is>
          <t>T1213</t>
        </is>
      </c>
      <c r="E715" s="973" t="inlineStr">
        <is>
          <t>Data from Information Repositories</t>
        </is>
      </c>
      <c r="F715" s="973" t="inlineStr">
        <is>
          <t>S4</t>
        </is>
      </c>
      <c r="G715" s="973" t="b">
        <v>0</v>
      </c>
      <c r="H715" s="973" t="b">
        <v>1</v>
      </c>
      <c r="I715" s="973" t="b">
        <v>0</v>
      </c>
      <c r="J715" s="973" t="n">
        <v>0.7</v>
      </c>
      <c r="K715" s="973" t="n">
        <v>0.177890625</v>
      </c>
      <c r="L715" s="973" t="n">
        <v>0.177890625</v>
      </c>
      <c r="M715" s="973" t="inlineStr">
        <is>
          <t>SaaS; Office Suite; Windows</t>
        </is>
      </c>
      <c r="N715" s="973" t="inlineStr">
        <is>
          <t>https://attack.mitre.org/techniques/T1213/</t>
        </is>
      </c>
      <c r="O715" s="973" t="n"/>
      <c r="P715" s="973" t="n"/>
    </row>
    <row r="716">
      <c r="A716" s="973" t="inlineStr">
        <is>
          <t>Hacktivist</t>
        </is>
      </c>
      <c r="B716" s="973" t="inlineStr">
        <is>
          <t>Data or transaction-integrity compromise</t>
        </is>
      </c>
      <c r="C716" s="973" t="inlineStr">
        <is>
          <t>User endpoint and social engineering</t>
        </is>
      </c>
      <c r="D716" s="973" t="inlineStr">
        <is>
          <t>T1486</t>
        </is>
      </c>
      <c r="E716" s="973" t="inlineStr">
        <is>
          <t>Data Encrypted for Impact</t>
        </is>
      </c>
      <c r="F716" s="973" t="inlineStr">
        <is>
          <t>S5</t>
        </is>
      </c>
      <c r="G716" s="973" t="b">
        <v>0</v>
      </c>
      <c r="H716" s="973" t="b">
        <v>1</v>
      </c>
      <c r="I716" s="973" t="b">
        <v>0</v>
      </c>
      <c r="J716" s="973" t="n">
        <v>0.8</v>
      </c>
      <c r="K716" s="973" t="n">
        <v>0.16875</v>
      </c>
      <c r="L716" s="973" t="n">
        <v>0.16875</v>
      </c>
      <c r="M716" s="973" t="inlineStr">
        <is>
          <t>Windows; Linux; IaaS</t>
        </is>
      </c>
      <c r="N716" s="973" t="inlineStr">
        <is>
          <t>https://attack.mitre.org/techniques/T1486/</t>
        </is>
      </c>
      <c r="O716" s="973" t="n"/>
      <c r="P716" s="973" t="n"/>
    </row>
    <row r="717">
      <c r="A717" s="973" t="inlineStr">
        <is>
          <t>Hacktivist</t>
        </is>
      </c>
      <c r="B717" s="973" t="inlineStr">
        <is>
          <t>Data or transaction-integrity compromise</t>
        </is>
      </c>
      <c r="C717" s="973" t="inlineStr">
        <is>
          <t>User endpoint and social engineering</t>
        </is>
      </c>
      <c r="D717" s="973" t="inlineStr">
        <is>
          <t>T1490</t>
        </is>
      </c>
      <c r="E717" s="973" t="inlineStr">
        <is>
          <t>Inhibit System Recovery</t>
        </is>
      </c>
      <c r="F717" s="973" t="inlineStr">
        <is>
          <t>S5</t>
        </is>
      </c>
      <c r="G717" s="973" t="b">
        <v>0</v>
      </c>
      <c r="H717" s="973" t="b">
        <v>1</v>
      </c>
      <c r="I717" s="973" t="b">
        <v>0</v>
      </c>
      <c r="J717" s="973" t="n">
        <v>0.7</v>
      </c>
      <c r="K717" s="973" t="n">
        <v>0</v>
      </c>
      <c r="L717" s="973" t="n">
        <v>0</v>
      </c>
      <c r="M717" s="973" t="inlineStr">
        <is>
          <t>Windows; Linux; IaaS</t>
        </is>
      </c>
      <c r="N717" s="973" t="inlineStr">
        <is>
          <t>https://attack.mitre.org/techniques/T1490/</t>
        </is>
      </c>
      <c r="O717" s="973" t="n"/>
      <c r="P717" s="973" t="n"/>
    </row>
    <row r="718">
      <c r="A718" s="973" t="inlineStr">
        <is>
          <t>Hacktivist</t>
        </is>
      </c>
      <c r="B718" s="973" t="inlineStr">
        <is>
          <t>Data or transaction-integrity compromise</t>
        </is>
      </c>
      <c r="C718" s="973" t="inlineStr">
        <is>
          <t>User endpoint and social engineering</t>
        </is>
      </c>
      <c r="D718" s="973" t="inlineStr">
        <is>
          <t>T1567</t>
        </is>
      </c>
      <c r="E718" s="973" t="inlineStr">
        <is>
          <t>Exfiltration Over Web Service</t>
        </is>
      </c>
      <c r="F718" s="973" t="inlineStr">
        <is>
          <t>S5</t>
        </is>
      </c>
      <c r="G718" s="973" t="b">
        <v>1</v>
      </c>
      <c r="H718" s="973" t="b">
        <v>0</v>
      </c>
      <c r="I718" s="973" t="b">
        <v>0</v>
      </c>
      <c r="J718" s="973" t="n">
        <v>0.7</v>
      </c>
      <c r="K718" s="973" t="n">
        <v>0.20625</v>
      </c>
      <c r="L718" s="973" t="n">
        <v>0.20625</v>
      </c>
      <c r="M718" s="973" t="inlineStr">
        <is>
          <t>SaaS; Office Suite</t>
        </is>
      </c>
      <c r="N718" s="973" t="inlineStr">
        <is>
          <t>https://attack.mitre.org/techniques/T1567/</t>
        </is>
      </c>
      <c r="O718" s="973" t="n"/>
      <c r="P718" s="973" t="n"/>
    </row>
    <row r="719">
      <c r="A719" s="973" t="inlineStr">
        <is>
          <t>Hacktivist</t>
        </is>
      </c>
      <c r="B719" s="973" t="inlineStr">
        <is>
          <t>Data or transaction-integrity compromise</t>
        </is>
      </c>
      <c r="C719" s="973" t="inlineStr">
        <is>
          <t>User endpoint and social engineering</t>
        </is>
      </c>
      <c r="D719" s="973" t="inlineStr">
        <is>
          <t>T1657</t>
        </is>
      </c>
      <c r="E719" s="973" t="inlineStr">
        <is>
          <t>Financial Theft</t>
        </is>
      </c>
      <c r="F719" s="973" t="inlineStr">
        <is>
          <t>S5</t>
        </is>
      </c>
      <c r="G719" s="973" t="b">
        <v>0</v>
      </c>
      <c r="H719" s="973" t="b">
        <v>0</v>
      </c>
      <c r="I719" s="973" t="b">
        <v>0</v>
      </c>
      <c r="J719" s="973" t="n">
        <v>0.5</v>
      </c>
      <c r="K719" s="973" t="n">
        <v>0.275654296875</v>
      </c>
      <c r="L719" s="973" t="n">
        <v>0.275654296875</v>
      </c>
      <c r="M719" s="973" t="inlineStr">
        <is>
          <t>SaaS; Office Suite; Identity Provider</t>
        </is>
      </c>
      <c r="N719" s="973" t="inlineStr">
        <is>
          <t>https://attack.mitre.org/techniques/T1657/</t>
        </is>
      </c>
      <c r="O719" s="973" t="n"/>
      <c r="P719" s="973" t="n"/>
    </row>
    <row r="720">
      <c r="A720" s="973" t="inlineStr">
        <is>
          <t>Hacktivist</t>
        </is>
      </c>
      <c r="B720" s="973" t="inlineStr">
        <is>
          <t>Data or transaction-integrity compromise</t>
        </is>
      </c>
      <c r="C720" s="973" t="inlineStr">
        <is>
          <t>User endpoint and social engineering</t>
        </is>
      </c>
      <c r="D720" s="973" t="inlineStr">
        <is>
          <t>T1565</t>
        </is>
      </c>
      <c r="E720" s="973" t="inlineStr">
        <is>
          <t>Data Manipulation</t>
        </is>
      </c>
      <c r="F720" s="973" t="inlineStr">
        <is>
          <t>S5</t>
        </is>
      </c>
      <c r="G720" s="973" t="b">
        <v>1</v>
      </c>
      <c r="H720" s="973" t="b">
        <v>1</v>
      </c>
      <c r="I720" s="973" t="b">
        <v>1</v>
      </c>
      <c r="J720" s="973" t="n">
        <v>0.5</v>
      </c>
      <c r="K720" s="973" t="n">
        <v>0.2206064987182617</v>
      </c>
      <c r="L720" s="973" t="n">
        <v>0.2206064987182617</v>
      </c>
      <c r="M720" s="973" t="inlineStr">
        <is>
          <t>SaaS; Databases; Windows</t>
        </is>
      </c>
      <c r="N720" s="973" t="inlineStr">
        <is>
          <t>https://attack.mitre.org/techniques/T1565/</t>
        </is>
      </c>
      <c r="O720" s="973" t="n"/>
      <c r="P720" s="973" t="n"/>
    </row>
    <row r="721">
      <c r="A721" s="973" t="inlineStr">
        <is>
          <t>Hacktivist</t>
        </is>
      </c>
      <c r="B721" s="973" t="inlineStr">
        <is>
          <t>Data or transaction-integrity compromise</t>
        </is>
      </c>
      <c r="C721" s="973" t="inlineStr">
        <is>
          <t>Public-facing application exploitation</t>
        </is>
      </c>
      <c r="D721" s="973" t="inlineStr">
        <is>
          <t>T1190</t>
        </is>
      </c>
      <c r="E721" s="973" t="inlineStr">
        <is>
          <t>Exploit Public-Facing Application</t>
        </is>
      </c>
      <c r="F721" s="973" t="inlineStr">
        <is>
          <t>S1</t>
        </is>
      </c>
      <c r="G721" s="973" t="b">
        <v>1</v>
      </c>
      <c r="H721" s="973" t="b">
        <v>1</v>
      </c>
      <c r="I721" s="973" t="b">
        <v>1</v>
      </c>
      <c r="J721" s="973" t="n">
        <v>1</v>
      </c>
      <c r="K721" s="973" t="n">
        <v>0.2496630477905274</v>
      </c>
      <c r="L721" s="973" t="n">
        <v>0.2496630477905274</v>
      </c>
      <c r="M721" s="973" t="inlineStr">
        <is>
          <t>Network Devices; SaaS; IaaS</t>
        </is>
      </c>
      <c r="N721" s="973" t="inlineStr">
        <is>
          <t>https://attack.mitre.org/techniques/T1190/</t>
        </is>
      </c>
      <c r="O721" s="973" t="n"/>
      <c r="P721" s="973" t="n"/>
    </row>
    <row r="722">
      <c r="A722" s="973" t="inlineStr">
        <is>
          <t>Hacktivist</t>
        </is>
      </c>
      <c r="B722" s="973" t="inlineStr">
        <is>
          <t>Data or transaction-integrity compromise</t>
        </is>
      </c>
      <c r="C722" s="973" t="inlineStr">
        <is>
          <t>Public-facing application exploitation</t>
        </is>
      </c>
      <c r="D722" s="973" t="inlineStr">
        <is>
          <t>T1059</t>
        </is>
      </c>
      <c r="E722" s="973" t="inlineStr">
        <is>
          <t>Command and Scripting Interpreter</t>
        </is>
      </c>
      <c r="F722" s="973" t="inlineStr">
        <is>
          <t>S2</t>
        </is>
      </c>
      <c r="G722" s="973" t="b">
        <v>1</v>
      </c>
      <c r="H722" s="973" t="b">
        <v>1</v>
      </c>
      <c r="I722" s="973" t="b">
        <v>1</v>
      </c>
      <c r="J722" s="973" t="n">
        <v>0.8</v>
      </c>
      <c r="K722" s="973" t="n">
        <v>0.1875</v>
      </c>
      <c r="L722" s="973" t="n">
        <v>0.1875</v>
      </c>
      <c r="M722" s="973" t="inlineStr">
        <is>
          <t>Windows; macOS; Linux; IaaS</t>
        </is>
      </c>
      <c r="N722" s="973" t="inlineStr">
        <is>
          <t>https://attack.mitre.org/techniques/T1059/</t>
        </is>
      </c>
      <c r="O722" s="973" t="n"/>
      <c r="P722" s="973" t="n"/>
    </row>
    <row r="723">
      <c r="A723" s="973" t="inlineStr">
        <is>
          <t>Hacktivist</t>
        </is>
      </c>
      <c r="B723" s="973" t="inlineStr">
        <is>
          <t>Data or transaction-integrity compromise</t>
        </is>
      </c>
      <c r="C723" s="973" t="inlineStr">
        <is>
          <t>Public-facing application exploitation</t>
        </is>
      </c>
      <c r="D723" s="973" t="inlineStr">
        <is>
          <t>T1068</t>
        </is>
      </c>
      <c r="E723" s="973" t="inlineStr">
        <is>
          <t>Exploitation for Privilege Escalation</t>
        </is>
      </c>
      <c r="F723" s="973" t="inlineStr">
        <is>
          <t>S3</t>
        </is>
      </c>
      <c r="G723" s="973" t="b">
        <v>1</v>
      </c>
      <c r="H723" s="973" t="b">
        <v>1</v>
      </c>
      <c r="I723" s="973" t="b">
        <v>1</v>
      </c>
      <c r="J723" s="973" t="n">
        <v>0.7</v>
      </c>
      <c r="K723" s="973" t="n">
        <v>0.2094165115356445</v>
      </c>
      <c r="L723" s="973" t="n">
        <v>0.2094165115356445</v>
      </c>
      <c r="M723" s="973" t="inlineStr">
        <is>
          <t>Windows; macOS; Linux</t>
        </is>
      </c>
      <c r="N723" s="973" t="inlineStr">
        <is>
          <t>https://attack.mitre.org/techniques/T1068/</t>
        </is>
      </c>
      <c r="O723" s="973" t="n"/>
      <c r="P723" s="973" t="n"/>
    </row>
    <row r="724">
      <c r="A724" s="973" t="inlineStr">
        <is>
          <t>Hacktivist</t>
        </is>
      </c>
      <c r="B724" s="973" t="inlineStr">
        <is>
          <t>Data or transaction-integrity compromise</t>
        </is>
      </c>
      <c r="C724" s="973" t="inlineStr">
        <is>
          <t>Public-facing application exploitation</t>
        </is>
      </c>
      <c r="D724" s="973" t="inlineStr">
        <is>
          <t>T1003</t>
        </is>
      </c>
      <c r="E724" s="973" t="inlineStr">
        <is>
          <t>OS Credential Dumping</t>
        </is>
      </c>
      <c r="F724" s="973" t="inlineStr">
        <is>
          <t>S3</t>
        </is>
      </c>
      <c r="G724" s="973" t="b">
        <v>1</v>
      </c>
      <c r="H724" s="973" t="b">
        <v>1</v>
      </c>
      <c r="I724" s="973" t="b">
        <v>1</v>
      </c>
      <c r="J724" s="973" t="n">
        <v>0.6</v>
      </c>
      <c r="K724" s="973" t="n">
        <v>0.232294921875</v>
      </c>
      <c r="L724" s="973" t="n">
        <v>0.232294921875</v>
      </c>
      <c r="M724" s="973" t="inlineStr">
        <is>
          <t>Windows; Linux; macOS</t>
        </is>
      </c>
      <c r="N724" s="973" t="inlineStr">
        <is>
          <t>https://attack.mitre.org/techniques/T1003/</t>
        </is>
      </c>
      <c r="O724" s="973" t="n"/>
      <c r="P724" s="973" t="n"/>
    </row>
    <row r="725">
      <c r="A725" s="973" t="inlineStr">
        <is>
          <t>Hacktivist</t>
        </is>
      </c>
      <c r="B725" s="973" t="inlineStr">
        <is>
          <t>Data or transaction-integrity compromise</t>
        </is>
      </c>
      <c r="C725" s="973" t="inlineStr">
        <is>
          <t>Public-facing application exploitation</t>
        </is>
      </c>
      <c r="D725" s="973" t="inlineStr">
        <is>
          <t>T1046</t>
        </is>
      </c>
      <c r="E725" s="973" t="inlineStr">
        <is>
          <t>Network Service Discovery</t>
        </is>
      </c>
      <c r="F725" s="973" t="inlineStr">
        <is>
          <t>S4</t>
        </is>
      </c>
      <c r="G725" s="973" t="b">
        <v>1</v>
      </c>
      <c r="H725" s="973" t="b">
        <v>1</v>
      </c>
      <c r="I725" s="973" t="b">
        <v>1</v>
      </c>
      <c r="J725" s="973" t="n">
        <v>0.7</v>
      </c>
      <c r="K725" s="973" t="n">
        <v>0.16875</v>
      </c>
      <c r="L725" s="973" t="n">
        <v>0.16875</v>
      </c>
      <c r="M725" s="973" t="inlineStr">
        <is>
          <t>Network Devices; Windows; Linux</t>
        </is>
      </c>
      <c r="N725" s="973" t="inlineStr">
        <is>
          <t>https://attack.mitre.org/techniques/T1046/</t>
        </is>
      </c>
      <c r="O725" s="973" t="n"/>
      <c r="P725" s="973" t="n"/>
    </row>
    <row r="726">
      <c r="A726" s="973" t="inlineStr">
        <is>
          <t>Hacktivist</t>
        </is>
      </c>
      <c r="B726" s="973" t="inlineStr">
        <is>
          <t>Data or transaction-integrity compromise</t>
        </is>
      </c>
      <c r="C726" s="973" t="inlineStr">
        <is>
          <t>Public-facing application exploitation</t>
        </is>
      </c>
      <c r="D726" s="973" t="inlineStr">
        <is>
          <t>T1210</t>
        </is>
      </c>
      <c r="E726" s="973" t="inlineStr">
        <is>
          <t>Exploitation of Remote Services</t>
        </is>
      </c>
      <c r="F726" s="973" t="inlineStr">
        <is>
          <t>S4</t>
        </is>
      </c>
      <c r="G726" s="973" t="b">
        <v>1</v>
      </c>
      <c r="H726" s="973" t="b">
        <v>1</v>
      </c>
      <c r="I726" s="973" t="b">
        <v>1</v>
      </c>
      <c r="J726" s="973" t="n">
        <v>0.9</v>
      </c>
      <c r="K726" s="973" t="n">
        <v>0.2103495368957519</v>
      </c>
      <c r="L726" s="973" t="n">
        <v>0.2103495368957519</v>
      </c>
      <c r="M726" s="973" t="inlineStr">
        <is>
          <t>Windows; Linux; Network Devices</t>
        </is>
      </c>
      <c r="N726" s="973" t="inlineStr">
        <is>
          <t>https://attack.mitre.org/techniques/T1210/</t>
        </is>
      </c>
      <c r="O726" s="973" t="n"/>
      <c r="P726" s="973" t="n"/>
    </row>
    <row r="727">
      <c r="A727" s="973" t="inlineStr">
        <is>
          <t>Hacktivist</t>
        </is>
      </c>
      <c r="B727" s="973" t="inlineStr">
        <is>
          <t>Data or transaction-integrity compromise</t>
        </is>
      </c>
      <c r="C727" s="973" t="inlineStr">
        <is>
          <t>Public-facing application exploitation</t>
        </is>
      </c>
      <c r="D727" s="973" t="inlineStr">
        <is>
          <t>T1021</t>
        </is>
      </c>
      <c r="E727" s="973" t="inlineStr">
        <is>
          <t>Remote Services</t>
        </is>
      </c>
      <c r="F727" s="973" t="inlineStr">
        <is>
          <t>S4</t>
        </is>
      </c>
      <c r="G727" s="973" t="b">
        <v>1</v>
      </c>
      <c r="H727" s="973" t="b">
        <v>1</v>
      </c>
      <c r="I727" s="973" t="b">
        <v>1</v>
      </c>
      <c r="J727" s="973" t="n">
        <v>0.7</v>
      </c>
      <c r="K727" s="973" t="n">
        <v>0.1875</v>
      </c>
      <c r="L727" s="973" t="n">
        <v>0.1875</v>
      </c>
      <c r="M727" s="973" t="inlineStr">
        <is>
          <t>Windows; Linux; Network Devices</t>
        </is>
      </c>
      <c r="N727" s="973" t="inlineStr">
        <is>
          <t>https://attack.mitre.org/techniques/T1021/</t>
        </is>
      </c>
      <c r="O727" s="973" t="n"/>
      <c r="P727" s="973" t="n"/>
    </row>
    <row r="728">
      <c r="A728" s="973" t="inlineStr">
        <is>
          <t>Hacktivist</t>
        </is>
      </c>
      <c r="B728" s="973" t="inlineStr">
        <is>
          <t>Data or transaction-integrity compromise</t>
        </is>
      </c>
      <c r="C728" s="973" t="inlineStr">
        <is>
          <t>Public-facing application exploitation</t>
        </is>
      </c>
      <c r="D728" s="973" t="inlineStr">
        <is>
          <t>T1486</t>
        </is>
      </c>
      <c r="E728" s="973" t="inlineStr">
        <is>
          <t>Data Encrypted for Impact</t>
        </is>
      </c>
      <c r="F728" s="973" t="inlineStr">
        <is>
          <t>S5</t>
        </is>
      </c>
      <c r="G728" s="973" t="b">
        <v>0</v>
      </c>
      <c r="H728" s="973" t="b">
        <v>1</v>
      </c>
      <c r="I728" s="973" t="b">
        <v>0</v>
      </c>
      <c r="J728" s="973" t="n">
        <v>0.6</v>
      </c>
      <c r="K728" s="973" t="n">
        <v>0.16875</v>
      </c>
      <c r="L728" s="973" t="n">
        <v>0.16875</v>
      </c>
      <c r="M728" s="973" t="inlineStr">
        <is>
          <t>Windows; Linux; IaaS</t>
        </is>
      </c>
      <c r="N728" s="973" t="inlineStr">
        <is>
          <t>https://attack.mitre.org/techniques/T1486/</t>
        </is>
      </c>
      <c r="O728" s="973" t="n"/>
      <c r="P728" s="973" t="n"/>
    </row>
    <row r="729">
      <c r="A729" s="973" t="inlineStr">
        <is>
          <t>Hacktivist</t>
        </is>
      </c>
      <c r="B729" s="973" t="inlineStr">
        <is>
          <t>Data or transaction-integrity compromise</t>
        </is>
      </c>
      <c r="C729" s="973" t="inlineStr">
        <is>
          <t>Public-facing application exploitation</t>
        </is>
      </c>
      <c r="D729" s="973" t="inlineStr">
        <is>
          <t>T1490</t>
        </is>
      </c>
      <c r="E729" s="973" t="inlineStr">
        <is>
          <t>Inhibit System Recovery</t>
        </is>
      </c>
      <c r="F729" s="973" t="inlineStr">
        <is>
          <t>S5</t>
        </is>
      </c>
      <c r="G729" s="973" t="b">
        <v>0</v>
      </c>
      <c r="H729" s="973" t="b">
        <v>1</v>
      </c>
      <c r="I729" s="973" t="b">
        <v>0</v>
      </c>
      <c r="J729" s="973" t="n">
        <v>0.5</v>
      </c>
      <c r="K729" s="973" t="n">
        <v>0</v>
      </c>
      <c r="L729" s="973" t="n">
        <v>0</v>
      </c>
      <c r="M729" s="973" t="inlineStr">
        <is>
          <t>Windows; Linux; IaaS</t>
        </is>
      </c>
      <c r="N729" s="973" t="inlineStr">
        <is>
          <t>https://attack.mitre.org/techniques/T1490/</t>
        </is>
      </c>
      <c r="O729" s="973" t="n"/>
      <c r="P729" s="973" t="n"/>
    </row>
    <row r="730">
      <c r="A730" s="973" t="inlineStr">
        <is>
          <t>Hacktivist</t>
        </is>
      </c>
      <c r="B730" s="973" t="inlineStr">
        <is>
          <t>Data or transaction-integrity compromise</t>
        </is>
      </c>
      <c r="C730" s="973" t="inlineStr">
        <is>
          <t>Public-facing application exploitation</t>
        </is>
      </c>
      <c r="D730" s="973" t="inlineStr">
        <is>
          <t>T1567</t>
        </is>
      </c>
      <c r="E730" s="973" t="inlineStr">
        <is>
          <t>Exfiltration Over Web Service</t>
        </is>
      </c>
      <c r="F730" s="973" t="inlineStr">
        <is>
          <t>S5</t>
        </is>
      </c>
      <c r="G730" s="973" t="b">
        <v>1</v>
      </c>
      <c r="H730" s="973" t="b">
        <v>0</v>
      </c>
      <c r="I730" s="973" t="b">
        <v>0</v>
      </c>
      <c r="J730" s="973" t="n">
        <v>0.6</v>
      </c>
      <c r="K730" s="973" t="n">
        <v>0.20625</v>
      </c>
      <c r="L730" s="973" t="n">
        <v>0.20625</v>
      </c>
      <c r="M730" s="973" t="inlineStr">
        <is>
          <t>SaaS; Office Suite</t>
        </is>
      </c>
      <c r="N730" s="973" t="inlineStr">
        <is>
          <t>https://attack.mitre.org/techniques/T1567/</t>
        </is>
      </c>
      <c r="O730" s="973" t="n"/>
      <c r="P730" s="973" t="n"/>
    </row>
    <row r="731">
      <c r="A731" s="973" t="inlineStr">
        <is>
          <t>Hacktivist</t>
        </is>
      </c>
      <c r="B731" s="973" t="inlineStr">
        <is>
          <t>Data or transaction-integrity compromise</t>
        </is>
      </c>
      <c r="C731" s="973" t="inlineStr">
        <is>
          <t>Public-facing application exploitation</t>
        </is>
      </c>
      <c r="D731" s="973" t="inlineStr">
        <is>
          <t>T1565</t>
        </is>
      </c>
      <c r="E731" s="973" t="inlineStr">
        <is>
          <t>Data Manipulation</t>
        </is>
      </c>
      <c r="F731" s="973" t="inlineStr">
        <is>
          <t>S5</t>
        </is>
      </c>
      <c r="G731" s="973" t="b">
        <v>1</v>
      </c>
      <c r="H731" s="973" t="b">
        <v>1</v>
      </c>
      <c r="I731" s="973" t="b">
        <v>1</v>
      </c>
      <c r="J731" s="973" t="n">
        <v>0.6</v>
      </c>
      <c r="K731" s="973" t="n">
        <v>0.2206064987182617</v>
      </c>
      <c r="L731" s="973" t="n">
        <v>0.2206064987182617</v>
      </c>
      <c r="M731" s="973" t="inlineStr">
        <is>
          <t>SaaS; Databases; Windows</t>
        </is>
      </c>
      <c r="N731" s="973" t="inlineStr">
        <is>
          <t>https://attack.mitre.org/techniques/T1565/</t>
        </is>
      </c>
      <c r="O731" s="973" t="n"/>
      <c r="P731" s="973" t="n"/>
    </row>
    <row r="732">
      <c r="A732" s="973" t="inlineStr">
        <is>
          <t>Hacktivist</t>
        </is>
      </c>
      <c r="B732" s="973" t="inlineStr">
        <is>
          <t>Data or transaction-integrity compromise</t>
        </is>
      </c>
      <c r="C732" s="973" t="inlineStr">
        <is>
          <t>Public-facing application exploitation</t>
        </is>
      </c>
      <c r="D732" s="973" t="inlineStr">
        <is>
          <t>T1657</t>
        </is>
      </c>
      <c r="E732" s="973" t="inlineStr">
        <is>
          <t>Financial Theft</t>
        </is>
      </c>
      <c r="F732" s="973" t="inlineStr">
        <is>
          <t>S5</t>
        </is>
      </c>
      <c r="G732" s="973" t="b">
        <v>0</v>
      </c>
      <c r="H732" s="973" t="b">
        <v>0</v>
      </c>
      <c r="I732" s="973" t="b">
        <v>0</v>
      </c>
      <c r="J732" s="973" t="n">
        <v>0.4</v>
      </c>
      <c r="K732" s="973" t="n">
        <v>0.275654296875</v>
      </c>
      <c r="L732" s="973" t="n">
        <v>0.275654296875</v>
      </c>
      <c r="M732" s="973" t="inlineStr">
        <is>
          <t>SaaS; Office Suite; Identity Provider</t>
        </is>
      </c>
      <c r="N732" s="973" t="inlineStr">
        <is>
          <t>https://attack.mitre.org/techniques/T1657/</t>
        </is>
      </c>
      <c r="O732" s="973" t="n"/>
      <c r="P732" s="973" t="n"/>
    </row>
    <row r="733">
      <c r="A733" s="973" t="inlineStr">
        <is>
          <t>Hacktivist</t>
        </is>
      </c>
      <c r="B733" s="973" t="inlineStr">
        <is>
          <t>Data or transaction-integrity compromise</t>
        </is>
      </c>
      <c r="C733" s="973" t="inlineStr">
        <is>
          <t>Third-party or software supply chain</t>
        </is>
      </c>
      <c r="D733" s="973" t="inlineStr">
        <is>
          <t>T1199</t>
        </is>
      </c>
      <c r="E733" s="973" t="inlineStr">
        <is>
          <t>Trusted Relationship</t>
        </is>
      </c>
      <c r="F733" s="973" t="inlineStr">
        <is>
          <t>S3</t>
        </is>
      </c>
      <c r="G733" s="973" t="b">
        <v>1</v>
      </c>
      <c r="H733" s="973" t="b">
        <v>1</v>
      </c>
      <c r="I733" s="973" t="b">
        <v>1</v>
      </c>
      <c r="J733" s="973" t="n">
        <v>1</v>
      </c>
      <c r="K733" s="973" t="n">
        <v>0.20625</v>
      </c>
      <c r="L733" s="973" t="n">
        <v>0.20625</v>
      </c>
      <c r="M733" s="973" t="inlineStr">
        <is>
          <t>SaaS; IaaS; Network Devices</t>
        </is>
      </c>
      <c r="N733" s="973" t="inlineStr">
        <is>
          <t>https://attack.mitre.org/techniques/T1199/</t>
        </is>
      </c>
      <c r="O733" s="973" t="n"/>
      <c r="P733" s="973" t="n"/>
    </row>
    <row r="734">
      <c r="A734" s="973" t="inlineStr">
        <is>
          <t>Hacktivist</t>
        </is>
      </c>
      <c r="B734" s="973" t="inlineStr">
        <is>
          <t>Data or transaction-integrity compromise</t>
        </is>
      </c>
      <c r="C734" s="973" t="inlineStr">
        <is>
          <t>Third-party or software supply chain</t>
        </is>
      </c>
      <c r="D734" s="973" t="inlineStr">
        <is>
          <t>T1098</t>
        </is>
      </c>
      <c r="E734" s="973" t="inlineStr">
        <is>
          <t>Account Manipulation</t>
        </is>
      </c>
      <c r="F734" s="973" t="inlineStr">
        <is>
          <t>S3</t>
        </is>
      </c>
      <c r="G734" s="973" t="b">
        <v>1</v>
      </c>
      <c r="H734" s="973" t="b">
        <v>1</v>
      </c>
      <c r="I734" s="973" t="b">
        <v>1</v>
      </c>
      <c r="J734" s="973" t="n">
        <v>0.6</v>
      </c>
      <c r="K734" s="973" t="n">
        <v>0.2477547340393066</v>
      </c>
      <c r="L734" s="973" t="n">
        <v>0.2477547340393066</v>
      </c>
      <c r="M734" s="973" t="inlineStr">
        <is>
          <t>Identity Provider; SaaS; Windows</t>
        </is>
      </c>
      <c r="N734" s="973" t="inlineStr">
        <is>
          <t>https://attack.mitre.org/techniques/T1098/</t>
        </is>
      </c>
      <c r="O734" s="973" t="n"/>
      <c r="P734" s="973" t="n"/>
    </row>
    <row r="735">
      <c r="A735" s="973" t="inlineStr">
        <is>
          <t>Hacktivist</t>
        </is>
      </c>
      <c r="B735" s="973" t="inlineStr">
        <is>
          <t>Data or transaction-integrity compromise</t>
        </is>
      </c>
      <c r="C735" s="973" t="inlineStr">
        <is>
          <t>Third-party or software supply chain</t>
        </is>
      </c>
      <c r="D735" s="973" t="inlineStr">
        <is>
          <t>T1087</t>
        </is>
      </c>
      <c r="E735" s="973" t="inlineStr">
        <is>
          <t>Account Discovery</t>
        </is>
      </c>
      <c r="F735" s="973" t="inlineStr">
        <is>
          <t>S4</t>
        </is>
      </c>
      <c r="G735" s="973" t="b">
        <v>1</v>
      </c>
      <c r="H735" s="973" t="b">
        <v>1</v>
      </c>
      <c r="I735" s="973" t="b">
        <v>1</v>
      </c>
      <c r="J735" s="973" t="n">
        <v>0.5</v>
      </c>
      <c r="K735" s="973" t="n">
        <v>0</v>
      </c>
      <c r="L735" s="973" t="n">
        <v>0</v>
      </c>
      <c r="M735" s="973" t="inlineStr">
        <is>
          <t>Identity Provider; SaaS; Windows</t>
        </is>
      </c>
      <c r="N735" s="973" t="inlineStr">
        <is>
          <t>https://attack.mitre.org/techniques/T1087/</t>
        </is>
      </c>
      <c r="O735" s="973" t="n"/>
      <c r="P735" s="973" t="n"/>
    </row>
    <row r="736">
      <c r="A736" s="973" t="inlineStr">
        <is>
          <t>Hacktivist</t>
        </is>
      </c>
      <c r="B736" s="973" t="inlineStr">
        <is>
          <t>Data or transaction-integrity compromise</t>
        </is>
      </c>
      <c r="C736" s="973" t="inlineStr">
        <is>
          <t>Third-party or software supply chain</t>
        </is>
      </c>
      <c r="D736" s="973" t="inlineStr">
        <is>
          <t>T1213</t>
        </is>
      </c>
      <c r="E736" s="973" t="inlineStr">
        <is>
          <t>Data from Information Repositories</t>
        </is>
      </c>
      <c r="F736" s="973" t="inlineStr">
        <is>
          <t>S4</t>
        </is>
      </c>
      <c r="G736" s="973" t="b">
        <v>0</v>
      </c>
      <c r="H736" s="973" t="b">
        <v>1</v>
      </c>
      <c r="I736" s="973" t="b">
        <v>0</v>
      </c>
      <c r="J736" s="973" t="n">
        <v>0.7</v>
      </c>
      <c r="K736" s="973" t="n">
        <v>0.177890625</v>
      </c>
      <c r="L736" s="973" t="n">
        <v>0.177890625</v>
      </c>
      <c r="M736" s="973" t="inlineStr">
        <is>
          <t>SaaS; Office Suite; Windows</t>
        </is>
      </c>
      <c r="N736" s="973" t="inlineStr">
        <is>
          <t>https://attack.mitre.org/techniques/T1213/</t>
        </is>
      </c>
      <c r="O736" s="973" t="n"/>
      <c r="P736" s="973" t="n"/>
    </row>
    <row r="737">
      <c r="A737" s="973" t="inlineStr">
        <is>
          <t>Hacktivist</t>
        </is>
      </c>
      <c r="B737" s="973" t="inlineStr">
        <is>
          <t>Data or transaction-integrity compromise</t>
        </is>
      </c>
      <c r="C737" s="973" t="inlineStr">
        <is>
          <t>Third-party or software supply chain</t>
        </is>
      </c>
      <c r="D737" s="973" t="inlineStr">
        <is>
          <t>T1567</t>
        </is>
      </c>
      <c r="E737" s="973" t="inlineStr">
        <is>
          <t>Exfiltration Over Web Service</t>
        </is>
      </c>
      <c r="F737" s="973" t="inlineStr">
        <is>
          <t>S5</t>
        </is>
      </c>
      <c r="G737" s="973" t="b">
        <v>1</v>
      </c>
      <c r="H737" s="973" t="b">
        <v>0</v>
      </c>
      <c r="I737" s="973" t="b">
        <v>0</v>
      </c>
      <c r="J737" s="973" t="n">
        <v>0.6</v>
      </c>
      <c r="K737" s="973" t="n">
        <v>0.20625</v>
      </c>
      <c r="L737" s="973" t="n">
        <v>0.20625</v>
      </c>
      <c r="M737" s="973" t="inlineStr">
        <is>
          <t>SaaS; Office Suite</t>
        </is>
      </c>
      <c r="N737" s="973" t="inlineStr">
        <is>
          <t>https://attack.mitre.org/techniques/T1567/</t>
        </is>
      </c>
      <c r="O737" s="973" t="n"/>
      <c r="P737" s="973" t="n"/>
    </row>
    <row r="738">
      <c r="A738" s="973" t="inlineStr">
        <is>
          <t>Hacktivist</t>
        </is>
      </c>
      <c r="B738" s="973" t="inlineStr">
        <is>
          <t>Data or transaction-integrity compromise</t>
        </is>
      </c>
      <c r="C738" s="973" t="inlineStr">
        <is>
          <t>Third-party or software supply chain</t>
        </is>
      </c>
      <c r="D738" s="973" t="inlineStr">
        <is>
          <t>T1486</t>
        </is>
      </c>
      <c r="E738" s="973" t="inlineStr">
        <is>
          <t>Data Encrypted for Impact</t>
        </is>
      </c>
      <c r="F738" s="973" t="inlineStr">
        <is>
          <t>S5</t>
        </is>
      </c>
      <c r="G738" s="973" t="b">
        <v>0</v>
      </c>
      <c r="H738" s="973" t="b">
        <v>1</v>
      </c>
      <c r="I738" s="973" t="b">
        <v>0</v>
      </c>
      <c r="J738" s="973" t="n">
        <v>0.5</v>
      </c>
      <c r="K738" s="973" t="n">
        <v>0.16875</v>
      </c>
      <c r="L738" s="973" t="n">
        <v>0.16875</v>
      </c>
      <c r="M738" s="973" t="inlineStr">
        <is>
          <t>Windows; Linux; IaaS</t>
        </is>
      </c>
      <c r="N738" s="973" t="inlineStr">
        <is>
          <t>https://attack.mitre.org/techniques/T1486/</t>
        </is>
      </c>
      <c r="O738" s="973" t="n"/>
      <c r="P738" s="973" t="n"/>
    </row>
    <row r="739">
      <c r="A739" s="973" t="inlineStr">
        <is>
          <t>Hacktivist</t>
        </is>
      </c>
      <c r="B739" s="973" t="inlineStr">
        <is>
          <t>Data or transaction-integrity compromise</t>
        </is>
      </c>
      <c r="C739" s="973" t="inlineStr">
        <is>
          <t>Third-party or software supply chain</t>
        </is>
      </c>
      <c r="D739" s="973" t="inlineStr">
        <is>
          <t>T1565</t>
        </is>
      </c>
      <c r="E739" s="973" t="inlineStr">
        <is>
          <t>Data Manipulation</t>
        </is>
      </c>
      <c r="F739" s="973" t="inlineStr">
        <is>
          <t>S5</t>
        </is>
      </c>
      <c r="G739" s="973" t="b">
        <v>1</v>
      </c>
      <c r="H739" s="973" t="b">
        <v>1</v>
      </c>
      <c r="I739" s="973" t="b">
        <v>1</v>
      </c>
      <c r="J739" s="973" t="n">
        <v>0.6</v>
      </c>
      <c r="K739" s="973" t="n">
        <v>0.2206064987182617</v>
      </c>
      <c r="L739" s="973" t="n">
        <v>0.2206064987182617</v>
      </c>
      <c r="M739" s="973" t="inlineStr">
        <is>
          <t>SaaS; Databases; Windows</t>
        </is>
      </c>
      <c r="N739" s="973" t="inlineStr">
        <is>
          <t>https://attack.mitre.org/techniques/T1565/</t>
        </is>
      </c>
      <c r="O739" s="973" t="n"/>
      <c r="P739" s="973" t="n"/>
    </row>
    <row r="740">
      <c r="A740" s="973" t="inlineStr">
        <is>
          <t>Hacktivist</t>
        </is>
      </c>
      <c r="B740" s="973" t="inlineStr">
        <is>
          <t>Data or transaction-integrity compromise</t>
        </is>
      </c>
      <c r="C740" s="973" t="inlineStr">
        <is>
          <t>Third-party or software supply chain</t>
        </is>
      </c>
      <c r="D740" s="973" t="inlineStr">
        <is>
          <t>T1657</t>
        </is>
      </c>
      <c r="E740" s="973" t="inlineStr">
        <is>
          <t>Financial Theft</t>
        </is>
      </c>
      <c r="F740" s="973" t="inlineStr">
        <is>
          <t>S5</t>
        </is>
      </c>
      <c r="G740" s="973" t="b">
        <v>0</v>
      </c>
      <c r="H740" s="973" t="b">
        <v>0</v>
      </c>
      <c r="I740" s="973" t="b">
        <v>0</v>
      </c>
      <c r="J740" s="973" t="n">
        <v>0.5</v>
      </c>
      <c r="K740" s="973" t="n">
        <v>0.275654296875</v>
      </c>
      <c r="L740" s="973" t="n">
        <v>0.275654296875</v>
      </c>
      <c r="M740" s="973" t="inlineStr">
        <is>
          <t>SaaS; Office Suite; Identity Provider</t>
        </is>
      </c>
      <c r="N740" s="973" t="inlineStr">
        <is>
          <t>https://attack.mitre.org/techniques/T1657/</t>
        </is>
      </c>
      <c r="O740" s="973" t="n"/>
      <c r="P740" s="973" t="n"/>
    </row>
    <row r="741">
      <c r="A741" s="973" t="inlineStr">
        <is>
          <t>Hacktivist</t>
        </is>
      </c>
      <c r="B741" s="973" t="inlineStr">
        <is>
          <t>Data or transaction-integrity compromise</t>
        </is>
      </c>
      <c r="C741" s="973" t="inlineStr">
        <is>
          <t>Insider or trusted access</t>
        </is>
      </c>
      <c r="D741" s="973" t="inlineStr">
        <is>
          <t>T1098</t>
        </is>
      </c>
      <c r="E741" s="973" t="inlineStr">
        <is>
          <t>Account Manipulation</t>
        </is>
      </c>
      <c r="F741" s="973" t="inlineStr">
        <is>
          <t>S3</t>
        </is>
      </c>
      <c r="G741" s="973" t="b">
        <v>1</v>
      </c>
      <c r="H741" s="973" t="b">
        <v>1</v>
      </c>
      <c r="I741" s="973" t="b">
        <v>1</v>
      </c>
      <c r="J741" s="973" t="n">
        <v>0.8</v>
      </c>
      <c r="K741" s="973" t="n">
        <v>0.2477547340393066</v>
      </c>
      <c r="L741" s="973" t="n">
        <v>0.2477547340393066</v>
      </c>
      <c r="M741" s="973" t="inlineStr">
        <is>
          <t>Identity Provider; SaaS; Windows</t>
        </is>
      </c>
      <c r="N741" s="973" t="inlineStr">
        <is>
          <t>https://attack.mitre.org/techniques/T1098/</t>
        </is>
      </c>
      <c r="O741" s="973" t="n"/>
      <c r="P741" s="973" t="n"/>
    </row>
    <row r="742">
      <c r="A742" s="973" t="inlineStr">
        <is>
          <t>Hacktivist</t>
        </is>
      </c>
      <c r="B742" s="973" t="inlineStr">
        <is>
          <t>Data or transaction-integrity compromise</t>
        </is>
      </c>
      <c r="C742" s="973" t="inlineStr">
        <is>
          <t>Insider or trusted access</t>
        </is>
      </c>
      <c r="D742" s="973" t="inlineStr">
        <is>
          <t>T1087</t>
        </is>
      </c>
      <c r="E742" s="973" t="inlineStr">
        <is>
          <t>Account Discovery</t>
        </is>
      </c>
      <c r="F742" s="973" t="inlineStr">
        <is>
          <t>S4</t>
        </is>
      </c>
      <c r="G742" s="973" t="b">
        <v>1</v>
      </c>
      <c r="H742" s="973" t="b">
        <v>1</v>
      </c>
      <c r="I742" s="973" t="b">
        <v>1</v>
      </c>
      <c r="J742" s="973" t="n">
        <v>0.6</v>
      </c>
      <c r="K742" s="973" t="n">
        <v>0</v>
      </c>
      <c r="L742" s="973" t="n">
        <v>0</v>
      </c>
      <c r="M742" s="973" t="inlineStr">
        <is>
          <t>Identity Provider; SaaS; Windows</t>
        </is>
      </c>
      <c r="N742" s="973" t="inlineStr">
        <is>
          <t>https://attack.mitre.org/techniques/T1087/</t>
        </is>
      </c>
      <c r="O742" s="973" t="n"/>
      <c r="P742" s="973" t="n"/>
    </row>
    <row r="743">
      <c r="A743" s="973" t="inlineStr">
        <is>
          <t>Hacktivist</t>
        </is>
      </c>
      <c r="B743" s="973" t="inlineStr">
        <is>
          <t>Data or transaction-integrity compromise</t>
        </is>
      </c>
      <c r="C743" s="973" t="inlineStr">
        <is>
          <t>Insider or trusted access</t>
        </is>
      </c>
      <c r="D743" s="973" t="inlineStr">
        <is>
          <t>T1213</t>
        </is>
      </c>
      <c r="E743" s="973" t="inlineStr">
        <is>
          <t>Data from Information Repositories</t>
        </is>
      </c>
      <c r="F743" s="973" t="inlineStr">
        <is>
          <t>S4</t>
        </is>
      </c>
      <c r="G743" s="973" t="b">
        <v>0</v>
      </c>
      <c r="H743" s="973" t="b">
        <v>1</v>
      </c>
      <c r="I743" s="973" t="b">
        <v>0</v>
      </c>
      <c r="J743" s="973" t="n">
        <v>0.9</v>
      </c>
      <c r="K743" s="973" t="n">
        <v>0.177890625</v>
      </c>
      <c r="L743" s="973" t="n">
        <v>0.177890625</v>
      </c>
      <c r="M743" s="973" t="inlineStr">
        <is>
          <t>SaaS; Office Suite; Windows</t>
        </is>
      </c>
      <c r="N743" s="973" t="inlineStr">
        <is>
          <t>https://attack.mitre.org/techniques/T1213/</t>
        </is>
      </c>
      <c r="O743" s="973" t="n"/>
      <c r="P743" s="973" t="n"/>
    </row>
    <row r="744">
      <c r="A744" s="973" t="inlineStr">
        <is>
          <t>Hacktivist</t>
        </is>
      </c>
      <c r="B744" s="973" t="inlineStr">
        <is>
          <t>Data or transaction-integrity compromise</t>
        </is>
      </c>
      <c r="C744" s="973" t="inlineStr">
        <is>
          <t>Insider or trusted access</t>
        </is>
      </c>
      <c r="D744" s="973" t="inlineStr">
        <is>
          <t>T1567</t>
        </is>
      </c>
      <c r="E744" s="973" t="inlineStr">
        <is>
          <t>Exfiltration Over Web Service</t>
        </is>
      </c>
      <c r="F744" s="973" t="inlineStr">
        <is>
          <t>S5</t>
        </is>
      </c>
      <c r="G744" s="973" t="b">
        <v>1</v>
      </c>
      <c r="H744" s="973" t="b">
        <v>0</v>
      </c>
      <c r="I744" s="973" t="b">
        <v>0</v>
      </c>
      <c r="J744" s="973" t="n">
        <v>0.8</v>
      </c>
      <c r="K744" s="973" t="n">
        <v>0.20625</v>
      </c>
      <c r="L744" s="973" t="n">
        <v>0.20625</v>
      </c>
      <c r="M744" s="973" t="inlineStr">
        <is>
          <t>SaaS; Office Suite</t>
        </is>
      </c>
      <c r="N744" s="973" t="inlineStr">
        <is>
          <t>https://attack.mitre.org/techniques/T1567/</t>
        </is>
      </c>
      <c r="O744" s="973" t="n"/>
      <c r="P744" s="973" t="n"/>
    </row>
    <row r="745">
      <c r="A745" s="973" t="inlineStr">
        <is>
          <t>Hacktivist</t>
        </is>
      </c>
      <c r="B745" s="973" t="inlineStr">
        <is>
          <t>Data or transaction-integrity compromise</t>
        </is>
      </c>
      <c r="C745" s="973" t="inlineStr">
        <is>
          <t>Insider or trusted access</t>
        </is>
      </c>
      <c r="D745" s="973" t="inlineStr">
        <is>
          <t>T1565</t>
        </is>
      </c>
      <c r="E745" s="973" t="inlineStr">
        <is>
          <t>Data Manipulation</t>
        </is>
      </c>
      <c r="F745" s="973" t="inlineStr">
        <is>
          <t>S5</t>
        </is>
      </c>
      <c r="G745" s="973" t="b">
        <v>1</v>
      </c>
      <c r="H745" s="973" t="b">
        <v>1</v>
      </c>
      <c r="I745" s="973" t="b">
        <v>1</v>
      </c>
      <c r="J745" s="973" t="n">
        <v>0.9</v>
      </c>
      <c r="K745" s="973" t="n">
        <v>0.2206064987182617</v>
      </c>
      <c r="L745" s="973" t="n">
        <v>0.2206064987182617</v>
      </c>
      <c r="M745" s="973" t="inlineStr">
        <is>
          <t>SaaS; Databases; Windows</t>
        </is>
      </c>
      <c r="N745" s="973" t="inlineStr">
        <is>
          <t>https://attack.mitre.org/techniques/T1565/</t>
        </is>
      </c>
      <c r="O745" s="973" t="n"/>
      <c r="P745" s="973" t="n"/>
    </row>
    <row r="746">
      <c r="A746" s="973" t="inlineStr">
        <is>
          <t>Hacktivist</t>
        </is>
      </c>
      <c r="B746" s="973" t="inlineStr">
        <is>
          <t>Data or transaction-integrity compromise</t>
        </is>
      </c>
      <c r="C746" s="973" t="inlineStr">
        <is>
          <t>Insider or trusted access</t>
        </is>
      </c>
      <c r="D746" s="973" t="inlineStr">
        <is>
          <t>T1657</t>
        </is>
      </c>
      <c r="E746" s="973" t="inlineStr">
        <is>
          <t>Financial Theft</t>
        </is>
      </c>
      <c r="F746" s="973" t="inlineStr">
        <is>
          <t>S5</t>
        </is>
      </c>
      <c r="G746" s="973" t="b">
        <v>0</v>
      </c>
      <c r="H746" s="973" t="b">
        <v>0</v>
      </c>
      <c r="I746" s="973" t="b">
        <v>0</v>
      </c>
      <c r="J746" s="973" t="n">
        <v>0.9</v>
      </c>
      <c r="K746" s="973" t="n">
        <v>0.275654296875</v>
      </c>
      <c r="L746" s="973" t="n">
        <v>0.275654296875</v>
      </c>
      <c r="M746" s="973" t="inlineStr">
        <is>
          <t>SaaS; Office Suite; Identity Provider</t>
        </is>
      </c>
      <c r="N746" s="973" t="inlineStr">
        <is>
          <t>https://attack.mitre.org/techniques/T1657/</t>
        </is>
      </c>
      <c r="O746" s="973" t="n"/>
      <c r="P746" s="973" t="n"/>
    </row>
    <row r="747">
      <c r="A747" s="973" t="inlineStr">
        <is>
          <t>Hacktivist</t>
        </is>
      </c>
      <c r="B747" s="973" t="inlineStr">
        <is>
          <t>Cyber-enabled theft or fraud</t>
        </is>
      </c>
      <c r="C747" s="973" t="inlineStr">
        <is>
          <t>Identity and credential compromise</t>
        </is>
      </c>
      <c r="D747" s="973" t="inlineStr">
        <is>
          <t>T1566</t>
        </is>
      </c>
      <c r="E747" s="973" t="inlineStr">
        <is>
          <t>Phishing</t>
        </is>
      </c>
      <c r="F747" s="973" t="inlineStr">
        <is>
          <t>S1</t>
        </is>
      </c>
      <c r="G747" s="973" t="b">
        <v>1</v>
      </c>
      <c r="H747" s="973" t="b">
        <v>1</v>
      </c>
      <c r="I747" s="973" t="b">
        <v>1</v>
      </c>
      <c r="J747" s="973" t="n">
        <v>1</v>
      </c>
      <c r="K747" s="973" t="n">
        <v>0.20625</v>
      </c>
      <c r="L747" s="973" t="n">
        <v>0.20625</v>
      </c>
      <c r="M747" s="973" t="inlineStr">
        <is>
          <t>Windows; SaaS; Office Suite</t>
        </is>
      </c>
      <c r="N747" s="973" t="inlineStr">
        <is>
          <t>https://attack.mitre.org/techniques/T1566/</t>
        </is>
      </c>
      <c r="O747" s="973" t="n"/>
      <c r="P747" s="973" t="n"/>
    </row>
    <row r="748">
      <c r="A748" s="973" t="inlineStr">
        <is>
          <t>Hacktivist</t>
        </is>
      </c>
      <c r="B748" s="973" t="inlineStr">
        <is>
          <t>Cyber-enabled theft or fraud</t>
        </is>
      </c>
      <c r="C748" s="973" t="inlineStr">
        <is>
          <t>Identity and credential compromise</t>
        </is>
      </c>
      <c r="D748" s="973" t="inlineStr">
        <is>
          <t>T1078</t>
        </is>
      </c>
      <c r="E748" s="973" t="inlineStr">
        <is>
          <t>Valid Accounts</t>
        </is>
      </c>
      <c r="F748" s="973" t="inlineStr">
        <is>
          <t>S1</t>
        </is>
      </c>
      <c r="G748" s="973" t="b">
        <v>1</v>
      </c>
      <c r="H748" s="973" t="b">
        <v>1</v>
      </c>
      <c r="I748" s="973" t="b">
        <v>1</v>
      </c>
      <c r="J748" s="973" t="n">
        <v>1</v>
      </c>
      <c r="K748" s="973" t="n">
        <v>0.272109375</v>
      </c>
      <c r="L748" s="973" t="n">
        <v>0.272109375</v>
      </c>
      <c r="M748" s="973" t="inlineStr">
        <is>
          <t>Identity Provider; SaaS; IaaS; Windows</t>
        </is>
      </c>
      <c r="N748" s="973" t="inlineStr">
        <is>
          <t>https://attack.mitre.org/techniques/T1078/</t>
        </is>
      </c>
      <c r="O748" s="973" t="n"/>
      <c r="P748" s="973" t="n"/>
    </row>
    <row r="749">
      <c r="A749" s="973" t="inlineStr">
        <is>
          <t>Hacktivist</t>
        </is>
      </c>
      <c r="B749" s="973" t="inlineStr">
        <is>
          <t>Cyber-enabled theft or fraud</t>
        </is>
      </c>
      <c r="C749" s="973" t="inlineStr">
        <is>
          <t>Identity and credential compromise</t>
        </is>
      </c>
      <c r="D749" s="973" t="inlineStr">
        <is>
          <t>T1110</t>
        </is>
      </c>
      <c r="E749" s="973" t="inlineStr">
        <is>
          <t>Brute Force</t>
        </is>
      </c>
      <c r="F749" s="973" t="inlineStr">
        <is>
          <t>S1</t>
        </is>
      </c>
      <c r="G749" s="973" t="b">
        <v>1</v>
      </c>
      <c r="H749" s="973" t="b">
        <v>1</v>
      </c>
      <c r="I749" s="973" t="b">
        <v>1</v>
      </c>
      <c r="J749" s="973" t="n">
        <v>0.7</v>
      </c>
      <c r="K749" s="973" t="n">
        <v>0.24375</v>
      </c>
      <c r="L749" s="973" t="n">
        <v>0.24375</v>
      </c>
      <c r="M749" s="973" t="inlineStr">
        <is>
          <t>Identity Provider; SaaS; Windows</t>
        </is>
      </c>
      <c r="N749" s="973" t="inlineStr">
        <is>
          <t>https://attack.mitre.org/techniques/T1110/</t>
        </is>
      </c>
      <c r="O749" s="973" t="n"/>
      <c r="P749" s="973" t="n"/>
    </row>
    <row r="750">
      <c r="A750" s="973" t="inlineStr">
        <is>
          <t>Hacktivist</t>
        </is>
      </c>
      <c r="B750" s="973" t="inlineStr">
        <is>
          <t>Cyber-enabled theft or fraud</t>
        </is>
      </c>
      <c r="C750" s="973" t="inlineStr">
        <is>
          <t>Identity and credential compromise</t>
        </is>
      </c>
      <c r="D750" s="973" t="inlineStr">
        <is>
          <t>T1098</t>
        </is>
      </c>
      <c r="E750" s="973" t="inlineStr">
        <is>
          <t>Account Manipulation</t>
        </is>
      </c>
      <c r="F750" s="973" t="inlineStr">
        <is>
          <t>S3</t>
        </is>
      </c>
      <c r="G750" s="973" t="b">
        <v>1</v>
      </c>
      <c r="H750" s="973" t="b">
        <v>1</v>
      </c>
      <c r="I750" s="973" t="b">
        <v>1</v>
      </c>
      <c r="J750" s="973" t="n">
        <v>0.7</v>
      </c>
      <c r="K750" s="973" t="n">
        <v>0.2477547340393066</v>
      </c>
      <c r="L750" s="973" t="n">
        <v>0.2477547340393066</v>
      </c>
      <c r="M750" s="973" t="inlineStr">
        <is>
          <t>Identity Provider; SaaS; Windows</t>
        </is>
      </c>
      <c r="N750" s="973" t="inlineStr">
        <is>
          <t>https://attack.mitre.org/techniques/T1098/</t>
        </is>
      </c>
      <c r="O750" s="973" t="n"/>
      <c r="P750" s="973" t="n"/>
    </row>
    <row r="751">
      <c r="A751" s="973" t="inlineStr">
        <is>
          <t>Hacktivist</t>
        </is>
      </c>
      <c r="B751" s="973" t="inlineStr">
        <is>
          <t>Cyber-enabled theft or fraud</t>
        </is>
      </c>
      <c r="C751" s="973" t="inlineStr">
        <is>
          <t>Identity and credential compromise</t>
        </is>
      </c>
      <c r="D751" s="973" t="inlineStr">
        <is>
          <t>T1567</t>
        </is>
      </c>
      <c r="E751" s="973" t="inlineStr">
        <is>
          <t>Exfiltration Over Web Service</t>
        </is>
      </c>
      <c r="F751" s="973" t="inlineStr">
        <is>
          <t>S5</t>
        </is>
      </c>
      <c r="G751" s="973" t="b">
        <v>1</v>
      </c>
      <c r="H751" s="973" t="b">
        <v>0</v>
      </c>
      <c r="I751" s="973" t="b">
        <v>0</v>
      </c>
      <c r="J751" s="973" t="n">
        <v>0.7</v>
      </c>
      <c r="K751" s="973" t="n">
        <v>0.20625</v>
      </c>
      <c r="L751" s="973" t="n">
        <v>0.20625</v>
      </c>
      <c r="M751" s="973" t="inlineStr">
        <is>
          <t>SaaS; Office Suite</t>
        </is>
      </c>
      <c r="N751" s="973" t="inlineStr">
        <is>
          <t>https://attack.mitre.org/techniques/T1567/</t>
        </is>
      </c>
      <c r="O751" s="973" t="n"/>
      <c r="P751" s="973" t="n"/>
    </row>
    <row r="752">
      <c r="A752" s="973" t="inlineStr">
        <is>
          <t>Hacktivist</t>
        </is>
      </c>
      <c r="B752" s="973" t="inlineStr">
        <is>
          <t>Cyber-enabled theft or fraud</t>
        </is>
      </c>
      <c r="C752" s="973" t="inlineStr">
        <is>
          <t>Identity and credential compromise</t>
        </is>
      </c>
      <c r="D752" s="973" t="inlineStr">
        <is>
          <t>T1657</t>
        </is>
      </c>
      <c r="E752" s="973" t="inlineStr">
        <is>
          <t>Financial Theft</t>
        </is>
      </c>
      <c r="F752" s="973" t="inlineStr">
        <is>
          <t>S5</t>
        </is>
      </c>
      <c r="G752" s="973" t="b">
        <v>0</v>
      </c>
      <c r="H752" s="973" t="b">
        <v>1</v>
      </c>
      <c r="I752" s="973" t="b">
        <v>0</v>
      </c>
      <c r="J752" s="973" t="n">
        <v>0.8</v>
      </c>
      <c r="K752" s="973" t="n">
        <v>0.275654296875</v>
      </c>
      <c r="L752" s="973" t="n">
        <v>0.275654296875</v>
      </c>
      <c r="M752" s="973" t="inlineStr">
        <is>
          <t>SaaS; Office Suite; Identity Provider</t>
        </is>
      </c>
      <c r="N752" s="973" t="inlineStr">
        <is>
          <t>https://attack.mitre.org/techniques/T1657/</t>
        </is>
      </c>
      <c r="O752" s="973" t="n"/>
      <c r="P752" s="973" t="n"/>
    </row>
    <row r="753">
      <c r="A753" s="973" t="inlineStr">
        <is>
          <t>Hacktivist</t>
        </is>
      </c>
      <c r="B753" s="973" t="inlineStr">
        <is>
          <t>Cyber-enabled theft or fraud</t>
        </is>
      </c>
      <c r="C753" s="973" t="inlineStr">
        <is>
          <t>Identity and credential compromise</t>
        </is>
      </c>
      <c r="D753" s="973" t="inlineStr">
        <is>
          <t>T1565</t>
        </is>
      </c>
      <c r="E753" s="973" t="inlineStr">
        <is>
          <t>Data Manipulation</t>
        </is>
      </c>
      <c r="F753" s="973" t="inlineStr">
        <is>
          <t>S5</t>
        </is>
      </c>
      <c r="G753" s="973" t="b">
        <v>1</v>
      </c>
      <c r="H753" s="973" t="b">
        <v>1</v>
      </c>
      <c r="I753" s="973" t="b">
        <v>1</v>
      </c>
      <c r="J753" s="973" t="n">
        <v>0.5</v>
      </c>
      <c r="K753" s="973" t="n">
        <v>0.2206064987182617</v>
      </c>
      <c r="L753" s="973" t="n">
        <v>0.2206064987182617</v>
      </c>
      <c r="M753" s="973" t="inlineStr">
        <is>
          <t>SaaS; Databases; Windows</t>
        </is>
      </c>
      <c r="N753" s="973" t="inlineStr">
        <is>
          <t>https://attack.mitre.org/techniques/T1565/</t>
        </is>
      </c>
      <c r="O753" s="973" t="n"/>
      <c r="P753" s="973" t="n"/>
    </row>
    <row r="754">
      <c r="A754" s="973" t="inlineStr">
        <is>
          <t>Hacktivist</t>
        </is>
      </c>
      <c r="B754" s="973" t="inlineStr">
        <is>
          <t>Cyber-enabled theft or fraud</t>
        </is>
      </c>
      <c r="C754" s="973" t="inlineStr">
        <is>
          <t>Identity and credential compromise</t>
        </is>
      </c>
      <c r="D754" s="973" t="inlineStr">
        <is>
          <t>T1486</t>
        </is>
      </c>
      <c r="E754" s="973" t="inlineStr">
        <is>
          <t>Data Encrypted for Impact</t>
        </is>
      </c>
      <c r="F754" s="973" t="inlineStr">
        <is>
          <t>S5</t>
        </is>
      </c>
      <c r="G754" s="973" t="b">
        <v>0</v>
      </c>
      <c r="H754" s="973" t="b">
        <v>0</v>
      </c>
      <c r="I754" s="973" t="b">
        <v>0</v>
      </c>
      <c r="J754" s="973" t="n">
        <v>0.7</v>
      </c>
      <c r="K754" s="973" t="n">
        <v>0.16875</v>
      </c>
      <c r="L754" s="973" t="n">
        <v>0.16875</v>
      </c>
      <c r="M754" s="973" t="inlineStr">
        <is>
          <t>Windows; Linux; IaaS</t>
        </is>
      </c>
      <c r="N754" s="973" t="inlineStr">
        <is>
          <t>https://attack.mitre.org/techniques/T1486/</t>
        </is>
      </c>
      <c r="O754" s="973" t="n"/>
      <c r="P754" s="973" t="n"/>
    </row>
    <row r="755">
      <c r="A755" s="973" t="inlineStr">
        <is>
          <t>Hacktivist</t>
        </is>
      </c>
      <c r="B755" s="973" t="inlineStr">
        <is>
          <t>Cyber-enabled theft or fraud</t>
        </is>
      </c>
      <c r="C755" s="973" t="inlineStr">
        <is>
          <t>Identity and credential compromise</t>
        </is>
      </c>
      <c r="D755" s="973" t="inlineStr">
        <is>
          <t>T1490</t>
        </is>
      </c>
      <c r="E755" s="973" t="inlineStr">
        <is>
          <t>Inhibit System Recovery</t>
        </is>
      </c>
      <c r="F755" s="973" t="inlineStr">
        <is>
          <t>S5</t>
        </is>
      </c>
      <c r="G755" s="973" t="b">
        <v>0</v>
      </c>
      <c r="H755" s="973" t="b">
        <v>0</v>
      </c>
      <c r="I755" s="973" t="b">
        <v>0</v>
      </c>
      <c r="J755" s="973" t="n">
        <v>0.6</v>
      </c>
      <c r="K755" s="973" t="n">
        <v>0</v>
      </c>
      <c r="L755" s="973" t="n">
        <v>0</v>
      </c>
      <c r="M755" s="973" t="inlineStr">
        <is>
          <t>Windows; Linux; IaaS</t>
        </is>
      </c>
      <c r="N755" s="973" t="inlineStr">
        <is>
          <t>https://attack.mitre.org/techniques/T1490/</t>
        </is>
      </c>
      <c r="O755" s="973" t="n"/>
      <c r="P755" s="973" t="n"/>
    </row>
    <row r="756">
      <c r="A756" s="973" t="inlineStr">
        <is>
          <t>Hacktivist</t>
        </is>
      </c>
      <c r="B756" s="973" t="inlineStr">
        <is>
          <t>Cyber-enabled theft or fraud</t>
        </is>
      </c>
      <c r="C756" s="973" t="inlineStr">
        <is>
          <t>User endpoint and social engineering</t>
        </is>
      </c>
      <c r="D756" s="973" t="inlineStr">
        <is>
          <t>T1566</t>
        </is>
      </c>
      <c r="E756" s="973" t="inlineStr">
        <is>
          <t>Phishing</t>
        </is>
      </c>
      <c r="F756" s="973" t="inlineStr">
        <is>
          <t>S1</t>
        </is>
      </c>
      <c r="G756" s="973" t="b">
        <v>1</v>
      </c>
      <c r="H756" s="973" t="b">
        <v>1</v>
      </c>
      <c r="I756" s="973" t="b">
        <v>1</v>
      </c>
      <c r="J756" s="973" t="n">
        <v>1</v>
      </c>
      <c r="K756" s="973" t="n">
        <v>0.20625</v>
      </c>
      <c r="L756" s="973" t="n">
        <v>0.20625</v>
      </c>
      <c r="M756" s="973" t="inlineStr">
        <is>
          <t>Windows; SaaS; Office Suite</t>
        </is>
      </c>
      <c r="N756" s="973" t="inlineStr">
        <is>
          <t>https://attack.mitre.org/techniques/T1566/</t>
        </is>
      </c>
      <c r="O756" s="973" t="n"/>
      <c r="P756" s="973" t="n"/>
    </row>
    <row r="757">
      <c r="A757" s="973" t="inlineStr">
        <is>
          <t>Hacktivist</t>
        </is>
      </c>
      <c r="B757" s="973" t="inlineStr">
        <is>
          <t>Cyber-enabled theft or fraud</t>
        </is>
      </c>
      <c r="C757" s="973" t="inlineStr">
        <is>
          <t>User endpoint and social engineering</t>
        </is>
      </c>
      <c r="D757" s="973" t="inlineStr">
        <is>
          <t>T1203</t>
        </is>
      </c>
      <c r="E757" s="973" t="inlineStr">
        <is>
          <t>Exploitation for Client Execution</t>
        </is>
      </c>
      <c r="F757" s="973" t="inlineStr">
        <is>
          <t>S2</t>
        </is>
      </c>
      <c r="G757" s="973" t="b">
        <v>0</v>
      </c>
      <c r="H757" s="973" t="b">
        <v>1</v>
      </c>
      <c r="I757" s="973" t="b">
        <v>0</v>
      </c>
      <c r="J757" s="973" t="n">
        <v>0.8</v>
      </c>
      <c r="K757" s="973" t="n">
        <v>0.2404920959472656</v>
      </c>
      <c r="L757" s="973" t="n">
        <v>0.2404920959472656</v>
      </c>
      <c r="M757" s="973" t="inlineStr">
        <is>
          <t>Windows; macOS; Linux</t>
        </is>
      </c>
      <c r="N757" s="973" t="inlineStr">
        <is>
          <t>https://attack.mitre.org/techniques/T1203/</t>
        </is>
      </c>
      <c r="O757" s="973" t="n"/>
      <c r="P757" s="973" t="n"/>
    </row>
    <row r="758">
      <c r="A758" s="973" t="inlineStr">
        <is>
          <t>Hacktivist</t>
        </is>
      </c>
      <c r="B758" s="973" t="inlineStr">
        <is>
          <t>Cyber-enabled theft or fraud</t>
        </is>
      </c>
      <c r="C758" s="973" t="inlineStr">
        <is>
          <t>User endpoint and social engineering</t>
        </is>
      </c>
      <c r="D758" s="973" t="inlineStr">
        <is>
          <t>T1059</t>
        </is>
      </c>
      <c r="E758" s="973" t="inlineStr">
        <is>
          <t>Command and Scripting Interpreter</t>
        </is>
      </c>
      <c r="F758" s="973" t="inlineStr">
        <is>
          <t>S2</t>
        </is>
      </c>
      <c r="G758" s="973" t="b">
        <v>1</v>
      </c>
      <c r="H758" s="973" t="b">
        <v>1</v>
      </c>
      <c r="I758" s="973" t="b">
        <v>1</v>
      </c>
      <c r="J758" s="973" t="n">
        <v>0.9</v>
      </c>
      <c r="K758" s="973" t="n">
        <v>0.1875</v>
      </c>
      <c r="L758" s="973" t="n">
        <v>0.1875</v>
      </c>
      <c r="M758" s="973" t="inlineStr">
        <is>
          <t>Windows; macOS; Linux; IaaS</t>
        </is>
      </c>
      <c r="N758" s="973" t="inlineStr">
        <is>
          <t>https://attack.mitre.org/techniques/T1059/</t>
        </is>
      </c>
      <c r="O758" s="973" t="n"/>
      <c r="P758" s="973" t="n"/>
    </row>
    <row r="759">
      <c r="A759" s="973" t="inlineStr">
        <is>
          <t>Hacktivist</t>
        </is>
      </c>
      <c r="B759" s="973" t="inlineStr">
        <is>
          <t>Cyber-enabled theft or fraud</t>
        </is>
      </c>
      <c r="C759" s="973" t="inlineStr">
        <is>
          <t>User endpoint and social engineering</t>
        </is>
      </c>
      <c r="D759" s="973" t="inlineStr">
        <is>
          <t>T1486</t>
        </is>
      </c>
      <c r="E759" s="973" t="inlineStr">
        <is>
          <t>Data Encrypted for Impact</t>
        </is>
      </c>
      <c r="F759" s="973" t="inlineStr">
        <is>
          <t>S5</t>
        </is>
      </c>
      <c r="G759" s="973" t="b">
        <v>0</v>
      </c>
      <c r="H759" s="973" t="b">
        <v>0</v>
      </c>
      <c r="I759" s="973" t="b">
        <v>0</v>
      </c>
      <c r="J759" s="973" t="n">
        <v>0.8</v>
      </c>
      <c r="K759" s="973" t="n">
        <v>0.16875</v>
      </c>
      <c r="L759" s="973" t="n">
        <v>0.16875</v>
      </c>
      <c r="M759" s="973" t="inlineStr">
        <is>
          <t>Windows; Linux; IaaS</t>
        </is>
      </c>
      <c r="N759" s="973" t="inlineStr">
        <is>
          <t>https://attack.mitre.org/techniques/T1486/</t>
        </is>
      </c>
      <c r="O759" s="973" t="n"/>
      <c r="P759" s="973" t="n"/>
    </row>
    <row r="760">
      <c r="A760" s="973" t="inlineStr">
        <is>
          <t>Hacktivist</t>
        </is>
      </c>
      <c r="B760" s="973" t="inlineStr">
        <is>
          <t>Cyber-enabled theft or fraud</t>
        </is>
      </c>
      <c r="C760" s="973" t="inlineStr">
        <is>
          <t>User endpoint and social engineering</t>
        </is>
      </c>
      <c r="D760" s="973" t="inlineStr">
        <is>
          <t>T1490</t>
        </is>
      </c>
      <c r="E760" s="973" t="inlineStr">
        <is>
          <t>Inhibit System Recovery</t>
        </is>
      </c>
      <c r="F760" s="973" t="inlineStr">
        <is>
          <t>S5</t>
        </is>
      </c>
      <c r="G760" s="973" t="b">
        <v>0</v>
      </c>
      <c r="H760" s="973" t="b">
        <v>0</v>
      </c>
      <c r="I760" s="973" t="b">
        <v>0</v>
      </c>
      <c r="J760" s="973" t="n">
        <v>0.7</v>
      </c>
      <c r="K760" s="973" t="n">
        <v>0</v>
      </c>
      <c r="L760" s="973" t="n">
        <v>0</v>
      </c>
      <c r="M760" s="973" t="inlineStr">
        <is>
          <t>Windows; Linux; IaaS</t>
        </is>
      </c>
      <c r="N760" s="973" t="inlineStr">
        <is>
          <t>https://attack.mitre.org/techniques/T1490/</t>
        </is>
      </c>
      <c r="O760" s="973" t="n"/>
      <c r="P760" s="973" t="n"/>
    </row>
    <row r="761">
      <c r="A761" s="973" t="inlineStr">
        <is>
          <t>Hacktivist</t>
        </is>
      </c>
      <c r="B761" s="973" t="inlineStr">
        <is>
          <t>Cyber-enabled theft or fraud</t>
        </is>
      </c>
      <c r="C761" s="973" t="inlineStr">
        <is>
          <t>User endpoint and social engineering</t>
        </is>
      </c>
      <c r="D761" s="973" t="inlineStr">
        <is>
          <t>T1567</t>
        </is>
      </c>
      <c r="E761" s="973" t="inlineStr">
        <is>
          <t>Exfiltration Over Web Service</t>
        </is>
      </c>
      <c r="F761" s="973" t="inlineStr">
        <is>
          <t>S5</t>
        </is>
      </c>
      <c r="G761" s="973" t="b">
        <v>1</v>
      </c>
      <c r="H761" s="973" t="b">
        <v>0</v>
      </c>
      <c r="I761" s="973" t="b">
        <v>0</v>
      </c>
      <c r="J761" s="973" t="n">
        <v>0.7</v>
      </c>
      <c r="K761" s="973" t="n">
        <v>0.20625</v>
      </c>
      <c r="L761" s="973" t="n">
        <v>0.20625</v>
      </c>
      <c r="M761" s="973" t="inlineStr">
        <is>
          <t>SaaS; Office Suite</t>
        </is>
      </c>
      <c r="N761" s="973" t="inlineStr">
        <is>
          <t>https://attack.mitre.org/techniques/T1567/</t>
        </is>
      </c>
      <c r="O761" s="973" t="n"/>
      <c r="P761" s="973" t="n"/>
    </row>
    <row r="762">
      <c r="A762" s="973" t="inlineStr">
        <is>
          <t>Hacktivist</t>
        </is>
      </c>
      <c r="B762" s="973" t="inlineStr">
        <is>
          <t>Cyber-enabled theft or fraud</t>
        </is>
      </c>
      <c r="C762" s="973" t="inlineStr">
        <is>
          <t>User endpoint and social engineering</t>
        </is>
      </c>
      <c r="D762" s="973" t="inlineStr">
        <is>
          <t>T1657</t>
        </is>
      </c>
      <c r="E762" s="973" t="inlineStr">
        <is>
          <t>Financial Theft</t>
        </is>
      </c>
      <c r="F762" s="973" t="inlineStr">
        <is>
          <t>S5</t>
        </is>
      </c>
      <c r="G762" s="973" t="b">
        <v>0</v>
      </c>
      <c r="H762" s="973" t="b">
        <v>1</v>
      </c>
      <c r="I762" s="973" t="b">
        <v>0</v>
      </c>
      <c r="J762" s="973" t="n">
        <v>0.5</v>
      </c>
      <c r="K762" s="973" t="n">
        <v>0.275654296875</v>
      </c>
      <c r="L762" s="973" t="n">
        <v>0.275654296875</v>
      </c>
      <c r="M762" s="973" t="inlineStr">
        <is>
          <t>SaaS; Office Suite; Identity Provider</t>
        </is>
      </c>
      <c r="N762" s="973" t="inlineStr">
        <is>
          <t>https://attack.mitre.org/techniques/T1657/</t>
        </is>
      </c>
      <c r="O762" s="973" t="n"/>
      <c r="P762" s="973" t="n"/>
    </row>
    <row r="763">
      <c r="A763" s="973" t="inlineStr">
        <is>
          <t>Hacktivist</t>
        </is>
      </c>
      <c r="B763" s="973" t="inlineStr">
        <is>
          <t>Cyber-enabled theft or fraud</t>
        </is>
      </c>
      <c r="C763" s="973" t="inlineStr">
        <is>
          <t>User endpoint and social engineering</t>
        </is>
      </c>
      <c r="D763" s="973" t="inlineStr">
        <is>
          <t>T1565</t>
        </is>
      </c>
      <c r="E763" s="973" t="inlineStr">
        <is>
          <t>Data Manipulation</t>
        </is>
      </c>
      <c r="F763" s="973" t="inlineStr">
        <is>
          <t>S5</t>
        </is>
      </c>
      <c r="G763" s="973" t="b">
        <v>1</v>
      </c>
      <c r="H763" s="973" t="b">
        <v>1</v>
      </c>
      <c r="I763" s="973" t="b">
        <v>1</v>
      </c>
      <c r="J763" s="973" t="n">
        <v>0.5</v>
      </c>
      <c r="K763" s="973" t="n">
        <v>0.2206064987182617</v>
      </c>
      <c r="L763" s="973" t="n">
        <v>0.2206064987182617</v>
      </c>
      <c r="M763" s="973" t="inlineStr">
        <is>
          <t>SaaS; Databases; Windows</t>
        </is>
      </c>
      <c r="N763" s="973" t="inlineStr">
        <is>
          <t>https://attack.mitre.org/techniques/T1565/</t>
        </is>
      </c>
      <c r="O763" s="973" t="n"/>
      <c r="P763" s="973" t="n"/>
    </row>
    <row r="764">
      <c r="A764" s="973" t="inlineStr">
        <is>
          <t>Hacktivist</t>
        </is>
      </c>
      <c r="B764" s="973" t="inlineStr">
        <is>
          <t>Cyber-enabled theft or fraud</t>
        </is>
      </c>
      <c r="C764" s="973" t="inlineStr">
        <is>
          <t>Public-facing application exploitation</t>
        </is>
      </c>
      <c r="D764" s="973" t="inlineStr">
        <is>
          <t>T1190</t>
        </is>
      </c>
      <c r="E764" s="973" t="inlineStr">
        <is>
          <t>Exploit Public-Facing Application</t>
        </is>
      </c>
      <c r="F764" s="973" t="inlineStr">
        <is>
          <t>S1</t>
        </is>
      </c>
      <c r="G764" s="973" t="b">
        <v>1</v>
      </c>
      <c r="H764" s="973" t="b">
        <v>1</v>
      </c>
      <c r="I764" s="973" t="b">
        <v>1</v>
      </c>
      <c r="J764" s="973" t="n">
        <v>1</v>
      </c>
      <c r="K764" s="973" t="n">
        <v>0.2496630477905274</v>
      </c>
      <c r="L764" s="973" t="n">
        <v>0.2496630477905274</v>
      </c>
      <c r="M764" s="973" t="inlineStr">
        <is>
          <t>Network Devices; SaaS; IaaS</t>
        </is>
      </c>
      <c r="N764" s="973" t="inlineStr">
        <is>
          <t>https://attack.mitre.org/techniques/T1190/</t>
        </is>
      </c>
      <c r="O764" s="973" t="n"/>
      <c r="P764" s="973" t="n"/>
    </row>
    <row r="765">
      <c r="A765" s="973" t="inlineStr">
        <is>
          <t>Hacktivist</t>
        </is>
      </c>
      <c r="B765" s="973" t="inlineStr">
        <is>
          <t>Cyber-enabled theft or fraud</t>
        </is>
      </c>
      <c r="C765" s="973" t="inlineStr">
        <is>
          <t>Public-facing application exploitation</t>
        </is>
      </c>
      <c r="D765" s="973" t="inlineStr">
        <is>
          <t>T1059</t>
        </is>
      </c>
      <c r="E765" s="973" t="inlineStr">
        <is>
          <t>Command and Scripting Interpreter</t>
        </is>
      </c>
      <c r="F765" s="973" t="inlineStr">
        <is>
          <t>S2</t>
        </is>
      </c>
      <c r="G765" s="973" t="b">
        <v>1</v>
      </c>
      <c r="H765" s="973" t="b">
        <v>1</v>
      </c>
      <c r="I765" s="973" t="b">
        <v>1</v>
      </c>
      <c r="J765" s="973" t="n">
        <v>0.8</v>
      </c>
      <c r="K765" s="973" t="n">
        <v>0.1875</v>
      </c>
      <c r="L765" s="973" t="n">
        <v>0.1875</v>
      </c>
      <c r="M765" s="973" t="inlineStr">
        <is>
          <t>Windows; macOS; Linux; IaaS</t>
        </is>
      </c>
      <c r="N765" s="973" t="inlineStr">
        <is>
          <t>https://attack.mitre.org/techniques/T1059/</t>
        </is>
      </c>
      <c r="O765" s="973" t="n"/>
      <c r="P765" s="973" t="n"/>
    </row>
    <row r="766">
      <c r="A766" s="973" t="inlineStr">
        <is>
          <t>Hacktivist</t>
        </is>
      </c>
      <c r="B766" s="973" t="inlineStr">
        <is>
          <t>Cyber-enabled theft or fraud</t>
        </is>
      </c>
      <c r="C766" s="973" t="inlineStr">
        <is>
          <t>Public-facing application exploitation</t>
        </is>
      </c>
      <c r="D766" s="973" t="inlineStr">
        <is>
          <t>T1068</t>
        </is>
      </c>
      <c r="E766" s="973" t="inlineStr">
        <is>
          <t>Exploitation for Privilege Escalation</t>
        </is>
      </c>
      <c r="F766" s="973" t="inlineStr">
        <is>
          <t>S3</t>
        </is>
      </c>
      <c r="G766" s="973" t="b">
        <v>1</v>
      </c>
      <c r="H766" s="973" t="b">
        <v>1</v>
      </c>
      <c r="I766" s="973" t="b">
        <v>1</v>
      </c>
      <c r="J766" s="973" t="n">
        <v>0.7</v>
      </c>
      <c r="K766" s="973" t="n">
        <v>0.2094165115356445</v>
      </c>
      <c r="L766" s="973" t="n">
        <v>0.2094165115356445</v>
      </c>
      <c r="M766" s="973" t="inlineStr">
        <is>
          <t>Windows; macOS; Linux</t>
        </is>
      </c>
      <c r="N766" s="973" t="inlineStr">
        <is>
          <t>https://attack.mitre.org/techniques/T1068/</t>
        </is>
      </c>
      <c r="O766" s="973" t="n"/>
      <c r="P766" s="973" t="n"/>
    </row>
    <row r="767">
      <c r="A767" s="973" t="inlineStr">
        <is>
          <t>Hacktivist</t>
        </is>
      </c>
      <c r="B767" s="973" t="inlineStr">
        <is>
          <t>Cyber-enabled theft or fraud</t>
        </is>
      </c>
      <c r="C767" s="973" t="inlineStr">
        <is>
          <t>Public-facing application exploitation</t>
        </is>
      </c>
      <c r="D767" s="973" t="inlineStr">
        <is>
          <t>T1003</t>
        </is>
      </c>
      <c r="E767" s="973" t="inlineStr">
        <is>
          <t>OS Credential Dumping</t>
        </is>
      </c>
      <c r="F767" s="973" t="inlineStr">
        <is>
          <t>S3</t>
        </is>
      </c>
      <c r="G767" s="973" t="b">
        <v>1</v>
      </c>
      <c r="H767" s="973" t="b">
        <v>1</v>
      </c>
      <c r="I767" s="973" t="b">
        <v>1</v>
      </c>
      <c r="J767" s="973" t="n">
        <v>0.6</v>
      </c>
      <c r="K767" s="973" t="n">
        <v>0.232294921875</v>
      </c>
      <c r="L767" s="973" t="n">
        <v>0.232294921875</v>
      </c>
      <c r="M767" s="973" t="inlineStr">
        <is>
          <t>Windows; Linux; macOS</t>
        </is>
      </c>
      <c r="N767" s="973" t="inlineStr">
        <is>
          <t>https://attack.mitre.org/techniques/T1003/</t>
        </is>
      </c>
      <c r="O767" s="973" t="n"/>
      <c r="P767" s="973" t="n"/>
    </row>
    <row r="768">
      <c r="A768" s="973" t="inlineStr">
        <is>
          <t>Hacktivist</t>
        </is>
      </c>
      <c r="B768" s="973" t="inlineStr">
        <is>
          <t>Cyber-enabled theft or fraud</t>
        </is>
      </c>
      <c r="C768" s="973" t="inlineStr">
        <is>
          <t>Public-facing application exploitation</t>
        </is>
      </c>
      <c r="D768" s="973" t="inlineStr">
        <is>
          <t>T1046</t>
        </is>
      </c>
      <c r="E768" s="973" t="inlineStr">
        <is>
          <t>Network Service Discovery</t>
        </is>
      </c>
      <c r="F768" s="973" t="inlineStr">
        <is>
          <t>S4</t>
        </is>
      </c>
      <c r="G768" s="973" t="b">
        <v>1</v>
      </c>
      <c r="H768" s="973" t="b">
        <v>1</v>
      </c>
      <c r="I768" s="973" t="b">
        <v>1</v>
      </c>
      <c r="J768" s="973" t="n">
        <v>0.7</v>
      </c>
      <c r="K768" s="973" t="n">
        <v>0.16875</v>
      </c>
      <c r="L768" s="973" t="n">
        <v>0.16875</v>
      </c>
      <c r="M768" s="973" t="inlineStr">
        <is>
          <t>Network Devices; Windows; Linux</t>
        </is>
      </c>
      <c r="N768" s="973" t="inlineStr">
        <is>
          <t>https://attack.mitre.org/techniques/T1046/</t>
        </is>
      </c>
      <c r="O768" s="973" t="n"/>
      <c r="P768" s="973" t="n"/>
    </row>
    <row r="769">
      <c r="A769" s="973" t="inlineStr">
        <is>
          <t>Hacktivist</t>
        </is>
      </c>
      <c r="B769" s="973" t="inlineStr">
        <is>
          <t>Cyber-enabled theft or fraud</t>
        </is>
      </c>
      <c r="C769" s="973" t="inlineStr">
        <is>
          <t>Public-facing application exploitation</t>
        </is>
      </c>
      <c r="D769" s="973" t="inlineStr">
        <is>
          <t>T1210</t>
        </is>
      </c>
      <c r="E769" s="973" t="inlineStr">
        <is>
          <t>Exploitation of Remote Services</t>
        </is>
      </c>
      <c r="F769" s="973" t="inlineStr">
        <is>
          <t>S4</t>
        </is>
      </c>
      <c r="G769" s="973" t="b">
        <v>1</v>
      </c>
      <c r="H769" s="973" t="b">
        <v>1</v>
      </c>
      <c r="I769" s="973" t="b">
        <v>1</v>
      </c>
      <c r="J769" s="973" t="n">
        <v>0.9</v>
      </c>
      <c r="K769" s="973" t="n">
        <v>0.2103495368957519</v>
      </c>
      <c r="L769" s="973" t="n">
        <v>0.2103495368957519</v>
      </c>
      <c r="M769" s="973" t="inlineStr">
        <is>
          <t>Windows; Linux; Network Devices</t>
        </is>
      </c>
      <c r="N769" s="973" t="inlineStr">
        <is>
          <t>https://attack.mitre.org/techniques/T1210/</t>
        </is>
      </c>
      <c r="O769" s="973" t="n"/>
      <c r="P769" s="973" t="n"/>
    </row>
    <row r="770">
      <c r="A770" s="973" t="inlineStr">
        <is>
          <t>Hacktivist</t>
        </is>
      </c>
      <c r="B770" s="973" t="inlineStr">
        <is>
          <t>Cyber-enabled theft or fraud</t>
        </is>
      </c>
      <c r="C770" s="973" t="inlineStr">
        <is>
          <t>Public-facing application exploitation</t>
        </is>
      </c>
      <c r="D770" s="973" t="inlineStr">
        <is>
          <t>T1021</t>
        </is>
      </c>
      <c r="E770" s="973" t="inlineStr">
        <is>
          <t>Remote Services</t>
        </is>
      </c>
      <c r="F770" s="973" t="inlineStr">
        <is>
          <t>S4</t>
        </is>
      </c>
      <c r="G770" s="973" t="b">
        <v>1</v>
      </c>
      <c r="H770" s="973" t="b">
        <v>1</v>
      </c>
      <c r="I770" s="973" t="b">
        <v>1</v>
      </c>
      <c r="J770" s="973" t="n">
        <v>0.7</v>
      </c>
      <c r="K770" s="973" t="n">
        <v>0.1875</v>
      </c>
      <c r="L770" s="973" t="n">
        <v>0.1875</v>
      </c>
      <c r="M770" s="973" t="inlineStr">
        <is>
          <t>Windows; Linux; Network Devices</t>
        </is>
      </c>
      <c r="N770" s="973" t="inlineStr">
        <is>
          <t>https://attack.mitre.org/techniques/T1021/</t>
        </is>
      </c>
      <c r="O770" s="973" t="n"/>
      <c r="P770" s="973" t="n"/>
    </row>
    <row r="771">
      <c r="A771" s="973" t="inlineStr">
        <is>
          <t>Hacktivist</t>
        </is>
      </c>
      <c r="B771" s="973" t="inlineStr">
        <is>
          <t>Cyber-enabled theft or fraud</t>
        </is>
      </c>
      <c r="C771" s="973" t="inlineStr">
        <is>
          <t>Public-facing application exploitation</t>
        </is>
      </c>
      <c r="D771" s="973" t="inlineStr">
        <is>
          <t>T1486</t>
        </is>
      </c>
      <c r="E771" s="973" t="inlineStr">
        <is>
          <t>Data Encrypted for Impact</t>
        </is>
      </c>
      <c r="F771" s="973" t="inlineStr">
        <is>
          <t>S5</t>
        </is>
      </c>
      <c r="G771" s="973" t="b">
        <v>0</v>
      </c>
      <c r="H771" s="973" t="b">
        <v>0</v>
      </c>
      <c r="I771" s="973" t="b">
        <v>0</v>
      </c>
      <c r="J771" s="973" t="n">
        <v>0.6</v>
      </c>
      <c r="K771" s="973" t="n">
        <v>0.16875</v>
      </c>
      <c r="L771" s="973" t="n">
        <v>0.16875</v>
      </c>
      <c r="M771" s="973" t="inlineStr">
        <is>
          <t>Windows; Linux; IaaS</t>
        </is>
      </c>
      <c r="N771" s="973" t="inlineStr">
        <is>
          <t>https://attack.mitre.org/techniques/T1486/</t>
        </is>
      </c>
      <c r="O771" s="973" t="n"/>
      <c r="P771" s="973" t="n"/>
    </row>
    <row r="772">
      <c r="A772" s="973" t="inlineStr">
        <is>
          <t>Hacktivist</t>
        </is>
      </c>
      <c r="B772" s="973" t="inlineStr">
        <is>
          <t>Cyber-enabled theft or fraud</t>
        </is>
      </c>
      <c r="C772" s="973" t="inlineStr">
        <is>
          <t>Public-facing application exploitation</t>
        </is>
      </c>
      <c r="D772" s="973" t="inlineStr">
        <is>
          <t>T1490</t>
        </is>
      </c>
      <c r="E772" s="973" t="inlineStr">
        <is>
          <t>Inhibit System Recovery</t>
        </is>
      </c>
      <c r="F772" s="973" t="inlineStr">
        <is>
          <t>S5</t>
        </is>
      </c>
      <c r="G772" s="973" t="b">
        <v>0</v>
      </c>
      <c r="H772" s="973" t="b">
        <v>0</v>
      </c>
      <c r="I772" s="973" t="b">
        <v>0</v>
      </c>
      <c r="J772" s="973" t="n">
        <v>0.5</v>
      </c>
      <c r="K772" s="973" t="n">
        <v>0</v>
      </c>
      <c r="L772" s="973" t="n">
        <v>0</v>
      </c>
      <c r="M772" s="973" t="inlineStr">
        <is>
          <t>Windows; Linux; IaaS</t>
        </is>
      </c>
      <c r="N772" s="973" t="inlineStr">
        <is>
          <t>https://attack.mitre.org/techniques/T1490/</t>
        </is>
      </c>
      <c r="O772" s="973" t="n"/>
      <c r="P772" s="973" t="n"/>
    </row>
    <row r="773">
      <c r="A773" s="973" t="inlineStr">
        <is>
          <t>Hacktivist</t>
        </is>
      </c>
      <c r="B773" s="973" t="inlineStr">
        <is>
          <t>Cyber-enabled theft or fraud</t>
        </is>
      </c>
      <c r="C773" s="973" t="inlineStr">
        <is>
          <t>Public-facing application exploitation</t>
        </is>
      </c>
      <c r="D773" s="973" t="inlineStr">
        <is>
          <t>T1567</t>
        </is>
      </c>
      <c r="E773" s="973" t="inlineStr">
        <is>
          <t>Exfiltration Over Web Service</t>
        </is>
      </c>
      <c r="F773" s="973" t="inlineStr">
        <is>
          <t>S5</t>
        </is>
      </c>
      <c r="G773" s="973" t="b">
        <v>1</v>
      </c>
      <c r="H773" s="973" t="b">
        <v>0</v>
      </c>
      <c r="I773" s="973" t="b">
        <v>0</v>
      </c>
      <c r="J773" s="973" t="n">
        <v>0.6</v>
      </c>
      <c r="K773" s="973" t="n">
        <v>0.20625</v>
      </c>
      <c r="L773" s="973" t="n">
        <v>0.20625</v>
      </c>
      <c r="M773" s="973" t="inlineStr">
        <is>
          <t>SaaS; Office Suite</t>
        </is>
      </c>
      <c r="N773" s="973" t="inlineStr">
        <is>
          <t>https://attack.mitre.org/techniques/T1567/</t>
        </is>
      </c>
      <c r="O773" s="973" t="n"/>
      <c r="P773" s="973" t="n"/>
    </row>
    <row r="774">
      <c r="A774" s="973" t="inlineStr">
        <is>
          <t>Hacktivist</t>
        </is>
      </c>
      <c r="B774" s="973" t="inlineStr">
        <is>
          <t>Cyber-enabled theft or fraud</t>
        </is>
      </c>
      <c r="C774" s="973" t="inlineStr">
        <is>
          <t>Public-facing application exploitation</t>
        </is>
      </c>
      <c r="D774" s="973" t="inlineStr">
        <is>
          <t>T1565</t>
        </is>
      </c>
      <c r="E774" s="973" t="inlineStr">
        <is>
          <t>Data Manipulation</t>
        </is>
      </c>
      <c r="F774" s="973" t="inlineStr">
        <is>
          <t>S5</t>
        </is>
      </c>
      <c r="G774" s="973" t="b">
        <v>1</v>
      </c>
      <c r="H774" s="973" t="b">
        <v>1</v>
      </c>
      <c r="I774" s="973" t="b">
        <v>1</v>
      </c>
      <c r="J774" s="973" t="n">
        <v>0.6</v>
      </c>
      <c r="K774" s="973" t="n">
        <v>0.2206064987182617</v>
      </c>
      <c r="L774" s="973" t="n">
        <v>0.2206064987182617</v>
      </c>
      <c r="M774" s="973" t="inlineStr">
        <is>
          <t>SaaS; Databases; Windows</t>
        </is>
      </c>
      <c r="N774" s="973" t="inlineStr">
        <is>
          <t>https://attack.mitre.org/techniques/T1565/</t>
        </is>
      </c>
      <c r="O774" s="973" t="n"/>
      <c r="P774" s="973" t="n"/>
    </row>
    <row r="775">
      <c r="A775" s="973" t="inlineStr">
        <is>
          <t>Hacktivist</t>
        </is>
      </c>
      <c r="B775" s="973" t="inlineStr">
        <is>
          <t>Cyber-enabled theft or fraud</t>
        </is>
      </c>
      <c r="C775" s="973" t="inlineStr">
        <is>
          <t>Public-facing application exploitation</t>
        </is>
      </c>
      <c r="D775" s="973" t="inlineStr">
        <is>
          <t>T1657</t>
        </is>
      </c>
      <c r="E775" s="973" t="inlineStr">
        <is>
          <t>Financial Theft</t>
        </is>
      </c>
      <c r="F775" s="973" t="inlineStr">
        <is>
          <t>S5</t>
        </is>
      </c>
      <c r="G775" s="973" t="b">
        <v>0</v>
      </c>
      <c r="H775" s="973" t="b">
        <v>1</v>
      </c>
      <c r="I775" s="973" t="b">
        <v>0</v>
      </c>
      <c r="J775" s="973" t="n">
        <v>0.4</v>
      </c>
      <c r="K775" s="973" t="n">
        <v>0.275654296875</v>
      </c>
      <c r="L775" s="973" t="n">
        <v>0.275654296875</v>
      </c>
      <c r="M775" s="973" t="inlineStr">
        <is>
          <t>SaaS; Office Suite; Identity Provider</t>
        </is>
      </c>
      <c r="N775" s="973" t="inlineStr">
        <is>
          <t>https://attack.mitre.org/techniques/T1657/</t>
        </is>
      </c>
      <c r="O775" s="973" t="n"/>
      <c r="P775" s="973" t="n"/>
    </row>
    <row r="776">
      <c r="A776" s="973" t="inlineStr">
        <is>
          <t>Hacktivist</t>
        </is>
      </c>
      <c r="B776" s="973" t="inlineStr">
        <is>
          <t>Cyber-enabled theft or fraud</t>
        </is>
      </c>
      <c r="C776" s="973" t="inlineStr">
        <is>
          <t>Third-party or software supply chain</t>
        </is>
      </c>
      <c r="D776" s="973" t="inlineStr">
        <is>
          <t>T1199</t>
        </is>
      </c>
      <c r="E776" s="973" t="inlineStr">
        <is>
          <t>Trusted Relationship</t>
        </is>
      </c>
      <c r="F776" s="973" t="inlineStr">
        <is>
          <t>S3</t>
        </is>
      </c>
      <c r="G776" s="973" t="b">
        <v>1</v>
      </c>
      <c r="H776" s="973" t="b">
        <v>1</v>
      </c>
      <c r="I776" s="973" t="b">
        <v>1</v>
      </c>
      <c r="J776" s="973" t="n">
        <v>1</v>
      </c>
      <c r="K776" s="973" t="n">
        <v>0.20625</v>
      </c>
      <c r="L776" s="973" t="n">
        <v>0.20625</v>
      </c>
      <c r="M776" s="973" t="inlineStr">
        <is>
          <t>SaaS; IaaS; Network Devices</t>
        </is>
      </c>
      <c r="N776" s="973" t="inlineStr">
        <is>
          <t>https://attack.mitre.org/techniques/T1199/</t>
        </is>
      </c>
      <c r="O776" s="973" t="n"/>
      <c r="P776" s="973" t="n"/>
    </row>
    <row r="777">
      <c r="A777" s="973" t="inlineStr">
        <is>
          <t>Hacktivist</t>
        </is>
      </c>
      <c r="B777" s="973" t="inlineStr">
        <is>
          <t>Cyber-enabled theft or fraud</t>
        </is>
      </c>
      <c r="C777" s="973" t="inlineStr">
        <is>
          <t>Third-party or software supply chain</t>
        </is>
      </c>
      <c r="D777" s="973" t="inlineStr">
        <is>
          <t>T1098</t>
        </is>
      </c>
      <c r="E777" s="973" t="inlineStr">
        <is>
          <t>Account Manipulation</t>
        </is>
      </c>
      <c r="F777" s="973" t="inlineStr">
        <is>
          <t>S3</t>
        </is>
      </c>
      <c r="G777" s="973" t="b">
        <v>1</v>
      </c>
      <c r="H777" s="973" t="b">
        <v>1</v>
      </c>
      <c r="I777" s="973" t="b">
        <v>1</v>
      </c>
      <c r="J777" s="973" t="n">
        <v>0.6</v>
      </c>
      <c r="K777" s="973" t="n">
        <v>0.2477547340393066</v>
      </c>
      <c r="L777" s="973" t="n">
        <v>0.2477547340393066</v>
      </c>
      <c r="M777" s="973" t="inlineStr">
        <is>
          <t>Identity Provider; SaaS; Windows</t>
        </is>
      </c>
      <c r="N777" s="973" t="inlineStr">
        <is>
          <t>https://attack.mitre.org/techniques/T1098/</t>
        </is>
      </c>
      <c r="O777" s="973" t="n"/>
      <c r="P777" s="973" t="n"/>
    </row>
    <row r="778">
      <c r="A778" s="973" t="inlineStr">
        <is>
          <t>Hacktivist</t>
        </is>
      </c>
      <c r="B778" s="973" t="inlineStr">
        <is>
          <t>Cyber-enabled theft or fraud</t>
        </is>
      </c>
      <c r="C778" s="973" t="inlineStr">
        <is>
          <t>Third-party or software supply chain</t>
        </is>
      </c>
      <c r="D778" s="973" t="inlineStr">
        <is>
          <t>T1087</t>
        </is>
      </c>
      <c r="E778" s="973" t="inlineStr">
        <is>
          <t>Account Discovery</t>
        </is>
      </c>
      <c r="F778" s="973" t="inlineStr">
        <is>
          <t>S4</t>
        </is>
      </c>
      <c r="G778" s="973" t="b">
        <v>1</v>
      </c>
      <c r="H778" s="973" t="b">
        <v>1</v>
      </c>
      <c r="I778" s="973" t="b">
        <v>1</v>
      </c>
      <c r="J778" s="973" t="n">
        <v>0.5</v>
      </c>
      <c r="K778" s="973" t="n">
        <v>0</v>
      </c>
      <c r="L778" s="973" t="n">
        <v>0</v>
      </c>
      <c r="M778" s="973" t="inlineStr">
        <is>
          <t>Identity Provider; SaaS; Windows</t>
        </is>
      </c>
      <c r="N778" s="973" t="inlineStr">
        <is>
          <t>https://attack.mitre.org/techniques/T1087/</t>
        </is>
      </c>
      <c r="O778" s="973" t="n"/>
      <c r="P778" s="973" t="n"/>
    </row>
    <row r="779">
      <c r="A779" s="973" t="inlineStr">
        <is>
          <t>Hacktivist</t>
        </is>
      </c>
      <c r="B779" s="973" t="inlineStr">
        <is>
          <t>Cyber-enabled theft or fraud</t>
        </is>
      </c>
      <c r="C779" s="973" t="inlineStr">
        <is>
          <t>Third-party or software supply chain</t>
        </is>
      </c>
      <c r="D779" s="973" t="inlineStr">
        <is>
          <t>T1213</t>
        </is>
      </c>
      <c r="E779" s="973" t="inlineStr">
        <is>
          <t>Data from Information Repositories</t>
        </is>
      </c>
      <c r="F779" s="973" t="inlineStr">
        <is>
          <t>S4</t>
        </is>
      </c>
      <c r="G779" s="973" t="b">
        <v>0</v>
      </c>
      <c r="H779" s="973" t="b">
        <v>1</v>
      </c>
      <c r="I779" s="973" t="b">
        <v>0</v>
      </c>
      <c r="J779" s="973" t="n">
        <v>0.7</v>
      </c>
      <c r="K779" s="973" t="n">
        <v>0.177890625</v>
      </c>
      <c r="L779" s="973" t="n">
        <v>0.177890625</v>
      </c>
      <c r="M779" s="973" t="inlineStr">
        <is>
          <t>SaaS; Office Suite; Windows</t>
        </is>
      </c>
      <c r="N779" s="973" t="inlineStr">
        <is>
          <t>https://attack.mitre.org/techniques/T1213/</t>
        </is>
      </c>
      <c r="O779" s="973" t="n"/>
      <c r="P779" s="973" t="n"/>
    </row>
    <row r="780">
      <c r="A780" s="973" t="inlineStr">
        <is>
          <t>Hacktivist</t>
        </is>
      </c>
      <c r="B780" s="973" t="inlineStr">
        <is>
          <t>Cyber-enabled theft or fraud</t>
        </is>
      </c>
      <c r="C780" s="973" t="inlineStr">
        <is>
          <t>Third-party or software supply chain</t>
        </is>
      </c>
      <c r="D780" s="973" t="inlineStr">
        <is>
          <t>T1567</t>
        </is>
      </c>
      <c r="E780" s="973" t="inlineStr">
        <is>
          <t>Exfiltration Over Web Service</t>
        </is>
      </c>
      <c r="F780" s="973" t="inlineStr">
        <is>
          <t>S5</t>
        </is>
      </c>
      <c r="G780" s="973" t="b">
        <v>1</v>
      </c>
      <c r="H780" s="973" t="b">
        <v>0</v>
      </c>
      <c r="I780" s="973" t="b">
        <v>0</v>
      </c>
      <c r="J780" s="973" t="n">
        <v>0.6</v>
      </c>
      <c r="K780" s="973" t="n">
        <v>0.20625</v>
      </c>
      <c r="L780" s="973" t="n">
        <v>0.20625</v>
      </c>
      <c r="M780" s="973" t="inlineStr">
        <is>
          <t>SaaS; Office Suite</t>
        </is>
      </c>
      <c r="N780" s="973" t="inlineStr">
        <is>
          <t>https://attack.mitre.org/techniques/T1567/</t>
        </is>
      </c>
      <c r="O780" s="973" t="n"/>
      <c r="P780" s="973" t="n"/>
    </row>
    <row r="781">
      <c r="A781" s="973" t="inlineStr">
        <is>
          <t>Hacktivist</t>
        </is>
      </c>
      <c r="B781" s="973" t="inlineStr">
        <is>
          <t>Cyber-enabled theft or fraud</t>
        </is>
      </c>
      <c r="C781" s="973" t="inlineStr">
        <is>
          <t>Third-party or software supply chain</t>
        </is>
      </c>
      <c r="D781" s="973" t="inlineStr">
        <is>
          <t>T1486</t>
        </is>
      </c>
      <c r="E781" s="973" t="inlineStr">
        <is>
          <t>Data Encrypted for Impact</t>
        </is>
      </c>
      <c r="F781" s="973" t="inlineStr">
        <is>
          <t>S5</t>
        </is>
      </c>
      <c r="G781" s="973" t="b">
        <v>0</v>
      </c>
      <c r="H781" s="973" t="b">
        <v>0</v>
      </c>
      <c r="I781" s="973" t="b">
        <v>0</v>
      </c>
      <c r="J781" s="973" t="n">
        <v>0.5</v>
      </c>
      <c r="K781" s="973" t="n">
        <v>0.16875</v>
      </c>
      <c r="L781" s="973" t="n">
        <v>0.16875</v>
      </c>
      <c r="M781" s="973" t="inlineStr">
        <is>
          <t>Windows; Linux; IaaS</t>
        </is>
      </c>
      <c r="N781" s="973" t="inlineStr">
        <is>
          <t>https://attack.mitre.org/techniques/T1486/</t>
        </is>
      </c>
      <c r="O781" s="973" t="n"/>
      <c r="P781" s="973" t="n"/>
    </row>
    <row r="782">
      <c r="A782" s="973" t="inlineStr">
        <is>
          <t>Hacktivist</t>
        </is>
      </c>
      <c r="B782" s="973" t="inlineStr">
        <is>
          <t>Cyber-enabled theft or fraud</t>
        </is>
      </c>
      <c r="C782" s="973" t="inlineStr">
        <is>
          <t>Third-party or software supply chain</t>
        </is>
      </c>
      <c r="D782" s="973" t="inlineStr">
        <is>
          <t>T1565</t>
        </is>
      </c>
      <c r="E782" s="973" t="inlineStr">
        <is>
          <t>Data Manipulation</t>
        </is>
      </c>
      <c r="F782" s="973" t="inlineStr">
        <is>
          <t>S5</t>
        </is>
      </c>
      <c r="G782" s="973" t="b">
        <v>1</v>
      </c>
      <c r="H782" s="973" t="b">
        <v>1</v>
      </c>
      <c r="I782" s="973" t="b">
        <v>1</v>
      </c>
      <c r="J782" s="973" t="n">
        <v>0.6</v>
      </c>
      <c r="K782" s="973" t="n">
        <v>0.2206064987182617</v>
      </c>
      <c r="L782" s="973" t="n">
        <v>0.2206064987182617</v>
      </c>
      <c r="M782" s="973" t="inlineStr">
        <is>
          <t>SaaS; Databases; Windows</t>
        </is>
      </c>
      <c r="N782" s="973" t="inlineStr">
        <is>
          <t>https://attack.mitre.org/techniques/T1565/</t>
        </is>
      </c>
      <c r="O782" s="973" t="n"/>
      <c r="P782" s="973" t="n"/>
    </row>
    <row r="783">
      <c r="A783" s="973" t="inlineStr">
        <is>
          <t>Hacktivist</t>
        </is>
      </c>
      <c r="B783" s="973" t="inlineStr">
        <is>
          <t>Cyber-enabled theft or fraud</t>
        </is>
      </c>
      <c r="C783" s="973" t="inlineStr">
        <is>
          <t>Third-party or software supply chain</t>
        </is>
      </c>
      <c r="D783" s="973" t="inlineStr">
        <is>
          <t>T1657</t>
        </is>
      </c>
      <c r="E783" s="973" t="inlineStr">
        <is>
          <t>Financial Theft</t>
        </is>
      </c>
      <c r="F783" s="973" t="inlineStr">
        <is>
          <t>S5</t>
        </is>
      </c>
      <c r="G783" s="973" t="b">
        <v>0</v>
      </c>
      <c r="H783" s="973" t="b">
        <v>1</v>
      </c>
      <c r="I783" s="973" t="b">
        <v>0</v>
      </c>
      <c r="J783" s="973" t="n">
        <v>0.5</v>
      </c>
      <c r="K783" s="973" t="n">
        <v>0.275654296875</v>
      </c>
      <c r="L783" s="973" t="n">
        <v>0.275654296875</v>
      </c>
      <c r="M783" s="973" t="inlineStr">
        <is>
          <t>SaaS; Office Suite; Identity Provider</t>
        </is>
      </c>
      <c r="N783" s="973" t="inlineStr">
        <is>
          <t>https://attack.mitre.org/techniques/T1657/</t>
        </is>
      </c>
      <c r="O783" s="973" t="n"/>
      <c r="P783" s="973" t="n"/>
    </row>
    <row r="784">
      <c r="A784" s="973" t="inlineStr">
        <is>
          <t>Hacktivist</t>
        </is>
      </c>
      <c r="B784" s="973" t="inlineStr">
        <is>
          <t>Cyber-enabled theft or fraud</t>
        </is>
      </c>
      <c r="C784" s="973" t="inlineStr">
        <is>
          <t>Insider or trusted access</t>
        </is>
      </c>
      <c r="D784" s="973" t="inlineStr">
        <is>
          <t>T1098</t>
        </is>
      </c>
      <c r="E784" s="973" t="inlineStr">
        <is>
          <t>Account Manipulation</t>
        </is>
      </c>
      <c r="F784" s="973" t="inlineStr">
        <is>
          <t>S3</t>
        </is>
      </c>
      <c r="G784" s="973" t="b">
        <v>1</v>
      </c>
      <c r="H784" s="973" t="b">
        <v>1</v>
      </c>
      <c r="I784" s="973" t="b">
        <v>1</v>
      </c>
      <c r="J784" s="973" t="n">
        <v>0.8</v>
      </c>
      <c r="K784" s="973" t="n">
        <v>0.2477547340393066</v>
      </c>
      <c r="L784" s="973" t="n">
        <v>0.2477547340393066</v>
      </c>
      <c r="M784" s="973" t="inlineStr">
        <is>
          <t>Identity Provider; SaaS; Windows</t>
        </is>
      </c>
      <c r="N784" s="973" t="inlineStr">
        <is>
          <t>https://attack.mitre.org/techniques/T1098/</t>
        </is>
      </c>
      <c r="O784" s="973" t="n"/>
      <c r="P784" s="973" t="n"/>
    </row>
    <row r="785">
      <c r="A785" s="973" t="inlineStr">
        <is>
          <t>Hacktivist</t>
        </is>
      </c>
      <c r="B785" s="973" t="inlineStr">
        <is>
          <t>Cyber-enabled theft or fraud</t>
        </is>
      </c>
      <c r="C785" s="973" t="inlineStr">
        <is>
          <t>Insider or trusted access</t>
        </is>
      </c>
      <c r="D785" s="973" t="inlineStr">
        <is>
          <t>T1567</t>
        </is>
      </c>
      <c r="E785" s="973" t="inlineStr">
        <is>
          <t>Exfiltration Over Web Service</t>
        </is>
      </c>
      <c r="F785" s="973" t="inlineStr">
        <is>
          <t>S5</t>
        </is>
      </c>
      <c r="G785" s="973" t="b">
        <v>1</v>
      </c>
      <c r="H785" s="973" t="b">
        <v>0</v>
      </c>
      <c r="I785" s="973" t="b">
        <v>0</v>
      </c>
      <c r="J785" s="973" t="n">
        <v>0.8</v>
      </c>
      <c r="K785" s="973" t="n">
        <v>0.20625</v>
      </c>
      <c r="L785" s="973" t="n">
        <v>0.20625</v>
      </c>
      <c r="M785" s="973" t="inlineStr">
        <is>
          <t>SaaS; Office Suite</t>
        </is>
      </c>
      <c r="N785" s="973" t="inlineStr">
        <is>
          <t>https://attack.mitre.org/techniques/T1567/</t>
        </is>
      </c>
      <c r="O785" s="973" t="n"/>
      <c r="P785" s="973" t="n"/>
    </row>
    <row r="786">
      <c r="A786" s="973" t="inlineStr">
        <is>
          <t>Hacktivist</t>
        </is>
      </c>
      <c r="B786" s="973" t="inlineStr">
        <is>
          <t>Cyber-enabled theft or fraud</t>
        </is>
      </c>
      <c r="C786" s="973" t="inlineStr">
        <is>
          <t>Insider or trusted access</t>
        </is>
      </c>
      <c r="D786" s="973" t="inlineStr">
        <is>
          <t>T1565</t>
        </is>
      </c>
      <c r="E786" s="973" t="inlineStr">
        <is>
          <t>Data Manipulation</t>
        </is>
      </c>
      <c r="F786" s="973" t="inlineStr">
        <is>
          <t>S5</t>
        </is>
      </c>
      <c r="G786" s="973" t="b">
        <v>1</v>
      </c>
      <c r="H786" s="973" t="b">
        <v>1</v>
      </c>
      <c r="I786" s="973" t="b">
        <v>1</v>
      </c>
      <c r="J786" s="973" t="n">
        <v>0.9</v>
      </c>
      <c r="K786" s="973" t="n">
        <v>0.2206064987182617</v>
      </c>
      <c r="L786" s="973" t="n">
        <v>0.2206064987182617</v>
      </c>
      <c r="M786" s="973" t="inlineStr">
        <is>
          <t>SaaS; Databases; Windows</t>
        </is>
      </c>
      <c r="N786" s="973" t="inlineStr">
        <is>
          <t>https://attack.mitre.org/techniques/T1565/</t>
        </is>
      </c>
      <c r="O786" s="973" t="n"/>
      <c r="P786" s="973" t="n"/>
    </row>
    <row r="787">
      <c r="A787" s="973" t="inlineStr">
        <is>
          <t>Hacktivist</t>
        </is>
      </c>
      <c r="B787" s="973" t="inlineStr">
        <is>
          <t>Cyber-enabled theft or fraud</t>
        </is>
      </c>
      <c r="C787" s="973" t="inlineStr">
        <is>
          <t>Insider or trusted access</t>
        </is>
      </c>
      <c r="D787" s="973" t="inlineStr">
        <is>
          <t>T1657</t>
        </is>
      </c>
      <c r="E787" s="973" t="inlineStr">
        <is>
          <t>Financial Theft</t>
        </is>
      </c>
      <c r="F787" s="973" t="inlineStr">
        <is>
          <t>S5</t>
        </is>
      </c>
      <c r="G787" s="973" t="b">
        <v>0</v>
      </c>
      <c r="H787" s="973" t="b">
        <v>1</v>
      </c>
      <c r="I787" s="973" t="b">
        <v>0</v>
      </c>
      <c r="J787" s="973" t="n">
        <v>0.9</v>
      </c>
      <c r="K787" s="973" t="n">
        <v>0.275654296875</v>
      </c>
      <c r="L787" s="973" t="n">
        <v>0.275654296875</v>
      </c>
      <c r="M787" s="973" t="inlineStr">
        <is>
          <t>SaaS; Office Suite; Identity Provider</t>
        </is>
      </c>
      <c r="N787" s="973" t="inlineStr">
        <is>
          <t>https://attack.mitre.org/techniques/T1657/</t>
        </is>
      </c>
      <c r="O787" s="973" t="n"/>
      <c r="P787" s="973" t="n"/>
    </row>
    <row r="788">
      <c r="A788" s="973" t="n"/>
      <c r="B788" s="973" t="n"/>
      <c r="C788" s="973" t="n"/>
      <c r="D788" s="973" t="n"/>
      <c r="E788" s="973" t="n"/>
      <c r="F788" s="973" t="n"/>
      <c r="G788" s="973" t="n"/>
      <c r="H788" s="973" t="n"/>
      <c r="I788" s="973" t="n"/>
      <c r="J788" s="973" t="n"/>
      <c r="K788" s="973" t="n"/>
      <c r="L788" s="973" t="n"/>
      <c r="M788" s="973" t="n"/>
      <c r="N788" s="973" t="n"/>
      <c r="O788" s="973" t="n"/>
      <c r="P788" s="973" t="n"/>
    </row>
    <row r="789">
      <c r="A789" s="973" t="n"/>
      <c r="B789" s="973" t="n"/>
      <c r="C789" s="973" t="n"/>
      <c r="D789" s="973" t="n"/>
      <c r="E789" s="973" t="n"/>
      <c r="F789" s="973" t="n"/>
      <c r="G789" s="973" t="n"/>
      <c r="H789" s="973" t="n"/>
      <c r="I789" s="973" t="n"/>
      <c r="J789" s="973" t="n"/>
      <c r="K789" s="973" t="n"/>
      <c r="L789" s="973" t="n"/>
      <c r="M789" s="973" t="n"/>
      <c r="N789" s="973" t="n"/>
      <c r="O789" s="973" t="n"/>
      <c r="P789" s="973" t="n"/>
    </row>
    <row r="790">
      <c r="A790" s="973" t="n"/>
      <c r="B790" s="973" t="n"/>
      <c r="C790" s="973" t="n"/>
      <c r="D790" s="973" t="n"/>
      <c r="E790" s="973" t="n"/>
      <c r="F790" s="973" t="n"/>
      <c r="G790" s="973" t="n"/>
      <c r="H790" s="973" t="n"/>
      <c r="I790" s="973" t="n"/>
      <c r="J790" s="973" t="n"/>
      <c r="K790" s="973" t="n"/>
      <c r="L790" s="973" t="n"/>
      <c r="M790" s="973" t="n"/>
      <c r="N790" s="973" t="n"/>
      <c r="O790" s="973" t="n"/>
      <c r="P790" s="973" t="n"/>
    </row>
    <row r="791">
      <c r="A791" s="973" t="n"/>
      <c r="B791" s="973" t="n"/>
      <c r="C791" s="973" t="n"/>
      <c r="D791" s="973" t="n"/>
      <c r="E791" s="973" t="n"/>
      <c r="F791" s="973" t="n"/>
      <c r="G791" s="973" t="n"/>
      <c r="H791" s="973" t="n"/>
      <c r="I791" s="973" t="n"/>
      <c r="J791" s="973" t="n"/>
      <c r="K791" s="973" t="n"/>
      <c r="L791" s="973" t="n"/>
      <c r="M791" s="973" t="n"/>
      <c r="N791" s="973" t="n"/>
      <c r="O791" s="973" t="n"/>
      <c r="P791" s="973" t="n"/>
    </row>
    <row r="792">
      <c r="A792" s="973" t="n"/>
      <c r="B792" s="973" t="n"/>
      <c r="C792" s="973" t="n"/>
      <c r="D792" s="973" t="n"/>
      <c r="E792" s="973" t="n"/>
      <c r="F792" s="973" t="n"/>
      <c r="G792" s="973" t="n"/>
      <c r="H792" s="973" t="n"/>
      <c r="I792" s="973" t="n"/>
      <c r="J792" s="973" t="n"/>
      <c r="K792" s="973" t="n"/>
      <c r="L792" s="973" t="n"/>
      <c r="M792" s="973" t="n"/>
      <c r="N792" s="973" t="n"/>
      <c r="O792" s="973" t="n"/>
      <c r="P792" s="973" t="n"/>
    </row>
    <row r="793">
      <c r="A793" s="973" t="n"/>
      <c r="B793" s="973" t="n"/>
      <c r="C793" s="973" t="n"/>
      <c r="D793" s="973" t="n"/>
      <c r="E793" s="973" t="n"/>
      <c r="F793" s="973" t="n"/>
      <c r="G793" s="973" t="n"/>
      <c r="H793" s="973" t="n"/>
      <c r="I793" s="973" t="n"/>
      <c r="J793" s="973" t="n"/>
      <c r="K793" s="973" t="n"/>
      <c r="L793" s="973" t="n"/>
      <c r="M793" s="973" t="n"/>
      <c r="N793" s="973" t="n"/>
      <c r="O793" s="973" t="n"/>
      <c r="P793" s="973" t="n"/>
    </row>
    <row r="794">
      <c r="A794" s="973" t="n"/>
      <c r="B794" s="973" t="n"/>
      <c r="C794" s="973" t="n"/>
      <c r="D794" s="973" t="n"/>
      <c r="E794" s="973" t="n"/>
      <c r="F794" s="973" t="n"/>
      <c r="G794" s="973" t="n"/>
      <c r="H794" s="973" t="n"/>
      <c r="I794" s="973" t="n"/>
      <c r="J794" s="973" t="n"/>
      <c r="K794" s="973" t="n"/>
      <c r="L794" s="973" t="n"/>
      <c r="M794" s="973" t="n"/>
      <c r="N794" s="973" t="n"/>
      <c r="O794" s="973" t="n"/>
      <c r="P794" s="973" t="n"/>
    </row>
    <row r="795">
      <c r="A795" s="973" t="n"/>
      <c r="B795" s="973" t="n"/>
      <c r="C795" s="973" t="n"/>
      <c r="D795" s="973" t="n"/>
      <c r="E795" s="973" t="n"/>
      <c r="F795" s="973" t="n"/>
      <c r="G795" s="973" t="n"/>
      <c r="H795" s="973" t="n"/>
      <c r="I795" s="973" t="n"/>
      <c r="J795" s="973" t="n"/>
      <c r="K795" s="973" t="n"/>
      <c r="L795" s="973" t="n"/>
      <c r="M795" s="973" t="n"/>
      <c r="N795" s="973" t="n"/>
      <c r="O795" s="973" t="n"/>
      <c r="P795" s="973" t="n"/>
    </row>
    <row r="796">
      <c r="A796" s="973" t="n"/>
      <c r="B796" s="973" t="n"/>
      <c r="C796" s="973" t="n"/>
      <c r="D796" s="973" t="n"/>
      <c r="E796" s="973" t="n"/>
      <c r="F796" s="973" t="n"/>
      <c r="G796" s="973" t="n"/>
      <c r="H796" s="973" t="n"/>
      <c r="I796" s="973" t="n"/>
      <c r="J796" s="973" t="n"/>
      <c r="K796" s="973" t="n"/>
      <c r="L796" s="973" t="n"/>
      <c r="M796" s="973" t="n"/>
      <c r="N796" s="973" t="n"/>
      <c r="O796" s="973" t="n"/>
      <c r="P796" s="973" t="n"/>
    </row>
    <row r="797">
      <c r="A797" s="973" t="n"/>
      <c r="B797" s="973" t="n"/>
      <c r="C797" s="973" t="n"/>
      <c r="D797" s="973" t="n"/>
      <c r="E797" s="973" t="n"/>
      <c r="F797" s="973" t="n"/>
      <c r="G797" s="973" t="n"/>
      <c r="H797" s="973" t="n"/>
      <c r="I797" s="973" t="n"/>
      <c r="J797" s="973" t="n"/>
      <c r="K797" s="973" t="n"/>
      <c r="L797" s="973" t="n"/>
      <c r="M797" s="973" t="n"/>
      <c r="N797" s="973" t="n"/>
      <c r="O797" s="973" t="n"/>
      <c r="P797" s="973" t="n"/>
    </row>
    <row r="798">
      <c r="A798" s="973" t="n"/>
      <c r="B798" s="973" t="n"/>
      <c r="C798" s="973" t="n"/>
      <c r="D798" s="973" t="n"/>
      <c r="E798" s="973" t="n"/>
      <c r="F798" s="973" t="n"/>
      <c r="G798" s="973" t="n"/>
      <c r="H798" s="973" t="n"/>
      <c r="I798" s="973" t="n"/>
      <c r="J798" s="973" t="n"/>
      <c r="K798" s="973" t="n"/>
      <c r="L798" s="973" t="n"/>
      <c r="M798" s="973" t="n"/>
      <c r="N798" s="973" t="n"/>
      <c r="O798" s="973" t="n"/>
      <c r="P798" s="973" t="n"/>
    </row>
    <row r="799">
      <c r="A799" s="973" t="n"/>
      <c r="B799" s="973" t="n"/>
      <c r="C799" s="973" t="n"/>
      <c r="D799" s="973" t="n"/>
      <c r="E799" s="973" t="n"/>
      <c r="F799" s="973" t="n"/>
      <c r="G799" s="973" t="n"/>
      <c r="H799" s="973" t="n"/>
      <c r="I799" s="973" t="n"/>
      <c r="J799" s="973" t="n"/>
      <c r="K799" s="973" t="n"/>
      <c r="L799" s="973" t="n"/>
      <c r="M799" s="973" t="n"/>
      <c r="N799" s="973" t="n"/>
      <c r="O799" s="973" t="n"/>
      <c r="P799" s="973" t="n"/>
    </row>
    <row r="800">
      <c r="A800" s="973" t="n"/>
      <c r="B800" s="973" t="n"/>
      <c r="C800" s="973" t="n"/>
      <c r="D800" s="973" t="n"/>
      <c r="E800" s="973" t="n"/>
      <c r="F800" s="973" t="n"/>
      <c r="G800" s="973" t="n"/>
      <c r="H800" s="973" t="n"/>
      <c r="I800" s="973" t="n"/>
      <c r="J800" s="973" t="n"/>
      <c r="K800" s="973" t="n"/>
      <c r="L800" s="973" t="n"/>
      <c r="M800" s="973" t="n"/>
      <c r="N800" s="973" t="n"/>
      <c r="O800" s="973" t="n"/>
      <c r="P800" s="973" t="n"/>
    </row>
  </sheetData>
  <pageMargins left="0.7" right="0.7" top="0.75" bottom="0.75" header="0.3" footer="0.3"/>
</worksheet>
</file>

<file path=xl/worksheets/sheet64.xml><?xml version="1.0" encoding="utf-8"?>
<worksheet xmlns="http://schemas.openxmlformats.org/spreadsheetml/2006/main">
  <sheetPr>
    <tabColor rgb="007F7F7F"/>
    <outlinePr summaryBelow="1" summaryRight="1"/>
    <pageSetUpPr/>
  </sheetPr>
  <dimension ref="A1:AO250"/>
  <sheetViews>
    <sheetView workbookViewId="0">
      <selection activeCell="A1" sqref="A1"/>
    </sheetView>
  </sheetViews>
  <sheetFormatPr baseColWidth="8" defaultRowHeight="15"/>
  <sheetData>
    <row r="1">
      <c r="A1" s="970" t="inlineStr">
        <is>
          <t>11 — Composite Attack-Path Calculation</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c r="AE1" s="970" t="n"/>
      <c r="AF1" s="970" t="n"/>
      <c r="AG1" s="970" t="n"/>
      <c r="AH1" s="970" t="n"/>
      <c r="AI1" s="970" t="n"/>
      <c r="AJ1" s="970" t="n"/>
      <c r="AK1" s="970" t="n"/>
      <c r="AL1" s="970" t="n"/>
      <c r="AM1" s="970" t="n"/>
      <c r="AN1" s="970" t="n"/>
      <c r="AO1" s="970" t="n"/>
    </row>
    <row r="2">
      <c r="A2" s="966" t="inlineStr">
        <is>
          <t>Required-stage masks, reference/actual barriers, exposure factors and conditional success.</t>
        </is>
      </c>
      <c r="B2" s="966" t="n"/>
      <c r="C2" s="966" t="n"/>
      <c r="D2" s="966" t="n"/>
      <c r="E2" s="966" t="n"/>
      <c r="F2" s="966" t="n"/>
      <c r="G2" s="966" t="n"/>
      <c r="H2" s="966" t="n"/>
      <c r="I2" s="966" t="n"/>
      <c r="J2" s="966" t="n"/>
      <c r="K2" s="966" t="n"/>
      <c r="L2" s="966" t="n"/>
      <c r="M2" s="966" t="n"/>
      <c r="N2" s="966" t="n"/>
      <c r="O2" s="966" t="n"/>
      <c r="P2" s="966" t="n"/>
      <c r="Q2" s="966" t="n"/>
      <c r="R2" s="966" t="n"/>
      <c r="S2" s="966" t="n"/>
      <c r="T2" s="966" t="n"/>
      <c r="U2" s="966" t="n"/>
      <c r="V2" s="966" t="n"/>
      <c r="W2" s="966" t="n"/>
      <c r="X2" s="966" t="n"/>
      <c r="Y2" s="966" t="n"/>
      <c r="Z2" s="966" t="n"/>
      <c r="AA2" s="966" t="n"/>
      <c r="AB2" s="966" t="n"/>
      <c r="AC2" s="966" t="n"/>
      <c r="AD2" s="966" t="n"/>
      <c r="AE2" s="966" t="n"/>
      <c r="AF2" s="966" t="n"/>
      <c r="AG2" s="966" t="n"/>
      <c r="AH2" s="966" t="n"/>
      <c r="AI2" s="966" t="n"/>
      <c r="AJ2" s="966" t="n"/>
      <c r="AK2" s="966" t="n"/>
      <c r="AL2" s="966" t="n"/>
      <c r="AM2" s="966" t="n"/>
      <c r="AN2" s="966" t="n"/>
      <c r="AO2" s="966" t="n"/>
    </row>
    <row r="3">
      <c r="A3" s="973" t="n"/>
      <c r="B3" s="973" t="n"/>
      <c r="C3" s="973" t="n"/>
      <c r="D3" s="973" t="n"/>
      <c r="E3" s="973" t="n"/>
      <c r="F3" s="973" t="n"/>
      <c r="G3" s="973" t="n"/>
      <c r="H3" s="973" t="n"/>
      <c r="I3" s="973" t="n"/>
      <c r="J3" s="973" t="n"/>
      <c r="K3" s="973" t="n"/>
      <c r="L3" s="973" t="n"/>
      <c r="M3" s="973" t="n"/>
      <c r="N3" s="973" t="n"/>
      <c r="O3" s="973" t="n"/>
      <c r="P3" s="973" t="n"/>
      <c r="Q3" s="973" t="n"/>
      <c r="R3" s="973" t="n"/>
      <c r="S3" s="973" t="n"/>
      <c r="T3" s="973" t="n"/>
      <c r="U3" s="973" t="n"/>
      <c r="V3" s="973" t="n"/>
      <c r="W3" s="973" t="n"/>
      <c r="X3" s="973" t="n"/>
      <c r="Y3" s="973" t="n"/>
      <c r="Z3" s="973" t="n"/>
      <c r="AA3" s="973" t="n"/>
      <c r="AB3" s="973" t="n"/>
      <c r="AC3" s="973" t="n"/>
      <c r="AD3" s="973" t="n"/>
      <c r="AE3" s="973" t="n"/>
      <c r="AF3" s="973" t="n"/>
      <c r="AG3" s="973" t="n"/>
      <c r="AH3" s="973" t="n"/>
      <c r="AI3" s="973" t="n"/>
      <c r="AJ3" s="973" t="n"/>
      <c r="AK3" s="973" t="n"/>
      <c r="AL3" s="973" t="n"/>
      <c r="AM3" s="973" t="n"/>
      <c r="AN3" s="973" t="n"/>
      <c r="AO3" s="973" t="n"/>
    </row>
    <row r="4">
      <c r="A4" s="973" t="n"/>
      <c r="B4" s="973" t="n"/>
      <c r="C4" s="973" t="n"/>
      <c r="D4" s="973" t="n"/>
      <c r="E4" s="973" t="n"/>
      <c r="F4" s="973" t="n"/>
      <c r="G4" s="973" t="n"/>
      <c r="H4" s="973" t="n"/>
      <c r="I4" s="973" t="n"/>
      <c r="J4" s="973" t="n"/>
      <c r="K4" s="973" t="n"/>
      <c r="L4" s="973" t="n"/>
      <c r="M4" s="973" t="n"/>
      <c r="N4" s="973" t="n"/>
      <c r="O4" s="973" t="n"/>
      <c r="P4" s="973" t="n"/>
      <c r="Q4" s="973" t="n"/>
      <c r="R4" s="973" t="n"/>
      <c r="S4" s="973" t="n"/>
      <c r="T4" s="973" t="n"/>
      <c r="U4" s="973" t="n"/>
      <c r="V4" s="973" t="n"/>
      <c r="W4" s="973" t="n"/>
      <c r="X4" s="973" t="n"/>
      <c r="Y4" s="973" t="n"/>
      <c r="Z4" s="973" t="n"/>
      <c r="AA4" s="973" t="n"/>
      <c r="AB4" s="973" t="n"/>
      <c r="AC4" s="973" t="n"/>
      <c r="AD4" s="973" t="n"/>
      <c r="AE4" s="973" t="n"/>
      <c r="AF4" s="973" t="n"/>
      <c r="AG4" s="973" t="n"/>
      <c r="AH4" s="973" t="n"/>
      <c r="AI4" s="973" t="n"/>
      <c r="AJ4" s="973" t="n"/>
      <c r="AK4" s="973" t="n"/>
      <c r="AL4" s="973" t="n"/>
      <c r="AM4" s="973" t="n"/>
      <c r="AN4" s="973" t="n"/>
      <c r="AO4" s="973" t="n"/>
    </row>
    <row r="5">
      <c r="A5" s="973" t="inlineStr">
        <is>
          <t>ENGINE OUTPUT — do not edit. Run the Python engine after changing inputs or sector packs.</t>
        </is>
      </c>
      <c r="B5" s="973" t="n"/>
      <c r="C5" s="973" t="n"/>
      <c r="D5" s="973" t="n"/>
      <c r="E5" s="973" t="n"/>
      <c r="F5" s="973" t="n"/>
      <c r="G5" s="973" t="n"/>
      <c r="H5" s="973" t="n"/>
      <c r="I5" s="973" t="n"/>
      <c r="J5" s="973" t="n"/>
      <c r="K5" s="973" t="n"/>
      <c r="L5" s="973" t="n"/>
      <c r="M5" s="973" t="n"/>
      <c r="N5" s="973" t="n"/>
      <c r="O5" s="973" t="n"/>
      <c r="P5" s="973" t="n"/>
      <c r="Q5" s="973" t="n"/>
      <c r="R5" s="973" t="n"/>
      <c r="S5" s="973" t="n"/>
      <c r="T5" s="973" t="n"/>
      <c r="U5" s="973" t="n"/>
      <c r="V5" s="973" t="n"/>
      <c r="W5" s="973" t="n"/>
      <c r="X5" s="973" t="n"/>
      <c r="Y5" s="973" t="n"/>
      <c r="Z5" s="973" t="n"/>
      <c r="AA5" s="973" t="n"/>
      <c r="AB5" s="973" t="n"/>
      <c r="AC5" s="973" t="n"/>
      <c r="AD5" s="973" t="n"/>
      <c r="AE5" s="973" t="n"/>
      <c r="AF5" s="973" t="n"/>
      <c r="AG5" s="973" t="n"/>
      <c r="AH5" s="973" t="n"/>
      <c r="AI5" s="973" t="n"/>
      <c r="AJ5" s="973" t="n"/>
      <c r="AK5" s="973" t="n"/>
      <c r="AL5" s="973" t="n"/>
      <c r="AM5" s="973" t="n"/>
      <c r="AN5" s="973" t="n"/>
      <c r="AO5" s="973" t="n"/>
    </row>
    <row r="6">
      <c r="A6" s="973" t="n"/>
      <c r="B6" s="973" t="n"/>
      <c r="C6" s="973" t="n"/>
      <c r="D6" s="973" t="n"/>
      <c r="E6" s="973" t="n"/>
      <c r="F6" s="973" t="n"/>
      <c r="G6" s="973" t="n"/>
      <c r="H6" s="973" t="n"/>
      <c r="I6" s="973" t="n"/>
      <c r="J6" s="973" t="n"/>
      <c r="K6" s="973" t="n"/>
      <c r="L6" s="973" t="n"/>
      <c r="M6" s="973" t="n"/>
      <c r="N6" s="973" t="n"/>
      <c r="O6" s="973" t="n"/>
      <c r="P6" s="973" t="n"/>
      <c r="Q6" s="973" t="n"/>
      <c r="R6" s="973" t="n"/>
      <c r="S6" s="973" t="n"/>
      <c r="T6" s="973" t="n"/>
      <c r="U6" s="973" t="n"/>
      <c r="V6" s="973" t="n"/>
      <c r="W6" s="973" t="n"/>
      <c r="X6" s="973" t="n"/>
      <c r="Y6" s="973" t="n"/>
      <c r="Z6" s="973" t="n"/>
      <c r="AA6" s="973" t="n"/>
      <c r="AB6" s="973" t="n"/>
      <c r="AC6" s="973" t="n"/>
      <c r="AD6" s="973" t="n"/>
      <c r="AE6" s="973" t="n"/>
      <c r="AF6" s="973" t="n"/>
      <c r="AG6" s="973" t="n"/>
      <c r="AH6" s="973" t="n"/>
      <c r="AI6" s="973" t="n"/>
      <c r="AJ6" s="973" t="n"/>
      <c r="AK6" s="973" t="n"/>
      <c r="AL6" s="973" t="n"/>
      <c r="AM6" s="973" t="n"/>
      <c r="AN6" s="973" t="n"/>
      <c r="AO6" s="973" t="n"/>
    </row>
    <row r="7">
      <c r="A7" s="973" t="n"/>
      <c r="B7" s="973" t="n"/>
      <c r="C7" s="973" t="n"/>
      <c r="D7" s="973" t="n"/>
      <c r="E7" s="973" t="n"/>
      <c r="F7" s="973" t="n"/>
      <c r="G7" s="973" t="n"/>
      <c r="H7" s="973" t="n"/>
      <c r="I7" s="973" t="n"/>
      <c r="J7" s="973" t="n"/>
      <c r="K7" s="973" t="n"/>
      <c r="L7" s="973" t="n"/>
      <c r="M7" s="973" t="n"/>
      <c r="N7" s="973" t="n"/>
      <c r="O7" s="973" t="n"/>
      <c r="P7" s="973" t="n"/>
      <c r="Q7" s="973" t="n"/>
      <c r="R7" s="973" t="n"/>
      <c r="S7" s="973" t="n"/>
      <c r="T7" s="973" t="n"/>
      <c r="U7" s="973" t="n"/>
      <c r="V7" s="973" t="n"/>
      <c r="W7" s="973" t="n"/>
      <c r="X7" s="973" t="n"/>
      <c r="Y7" s="973" t="n"/>
      <c r="Z7" s="973" t="n"/>
      <c r="AA7" s="973" t="n"/>
      <c r="AB7" s="973" t="n"/>
      <c r="AC7" s="973" t="n"/>
      <c r="AD7" s="973" t="n"/>
      <c r="AE7" s="973" t="n"/>
      <c r="AF7" s="973" t="n"/>
      <c r="AG7" s="973" t="n"/>
      <c r="AH7" s="973" t="n"/>
      <c r="AI7" s="973" t="n"/>
      <c r="AJ7" s="973" t="n"/>
      <c r="AK7" s="973" t="n"/>
      <c r="AL7" s="973" t="n"/>
      <c r="AM7" s="973" t="n"/>
      <c r="AN7" s="973" t="n"/>
      <c r="AO7" s="973" t="n"/>
    </row>
    <row r="8">
      <c r="A8" s="973" t="n"/>
      <c r="B8" s="973" t="n"/>
      <c r="C8" s="973" t="n"/>
      <c r="D8" s="973" t="n"/>
      <c r="E8" s="973" t="n"/>
      <c r="F8" s="973" t="n"/>
      <c r="G8" s="973" t="n"/>
      <c r="H8" s="973" t="n"/>
      <c r="I8" s="973" t="n"/>
      <c r="J8" s="973" t="n"/>
      <c r="K8" s="973" t="n"/>
      <c r="L8" s="973" t="n"/>
      <c r="M8" s="973" t="n"/>
      <c r="N8" s="973" t="n"/>
      <c r="O8" s="973" t="n"/>
      <c r="P8" s="973" t="n"/>
      <c r="Q8" s="973" t="n"/>
      <c r="R8" s="973" t="n"/>
      <c r="S8" s="973" t="n"/>
      <c r="T8" s="973" t="n"/>
      <c r="U8" s="973" t="n"/>
      <c r="V8" s="973" t="n"/>
      <c r="W8" s="973" t="n"/>
      <c r="X8" s="973" t="n"/>
      <c r="Y8" s="973" t="n"/>
      <c r="Z8" s="973" t="n"/>
      <c r="AA8" s="973" t="n"/>
      <c r="AB8" s="973" t="n"/>
      <c r="AC8" s="973" t="n"/>
      <c r="AD8" s="973" t="n"/>
      <c r="AE8" s="973" t="n"/>
      <c r="AF8" s="973" t="n"/>
      <c r="AG8" s="973" t="n"/>
      <c r="AH8" s="973" t="n"/>
      <c r="AI8" s="973" t="n"/>
      <c r="AJ8" s="973" t="n"/>
      <c r="AK8" s="973" t="n"/>
      <c r="AL8" s="973" t="n"/>
      <c r="AM8" s="973" t="n"/>
      <c r="AN8" s="973" t="n"/>
      <c r="AO8" s="973" t="n"/>
    </row>
    <row r="9">
      <c r="A9" s="973" t="n"/>
      <c r="B9" s="973" t="n"/>
      <c r="C9" s="973" t="n"/>
      <c r="D9" s="973" t="n"/>
      <c r="E9" s="973" t="n"/>
      <c r="F9" s="973" t="n"/>
      <c r="G9" s="973" t="n"/>
      <c r="H9" s="973" t="n"/>
      <c r="I9" s="973" t="n"/>
      <c r="J9" s="973" t="n"/>
      <c r="K9" s="973" t="n"/>
      <c r="L9" s="973" t="n"/>
      <c r="M9" s="973" t="n"/>
      <c r="N9" s="973" t="n"/>
      <c r="O9" s="973" t="n"/>
      <c r="P9" s="973" t="n"/>
      <c r="Q9" s="973" t="n"/>
      <c r="R9" s="973" t="n"/>
      <c r="S9" s="973" t="n"/>
      <c r="T9" s="973" t="n"/>
      <c r="U9" s="973" t="n"/>
      <c r="V9" s="973" t="n"/>
      <c r="W9" s="973" t="n"/>
      <c r="X9" s="973" t="n"/>
      <c r="Y9" s="973" t="n"/>
      <c r="Z9" s="973" t="n"/>
      <c r="AA9" s="973" t="n"/>
      <c r="AB9" s="973" t="n"/>
      <c r="AC9" s="973" t="n"/>
      <c r="AD9" s="973" t="n"/>
      <c r="AE9" s="973" t="n"/>
      <c r="AF9" s="973" t="n"/>
      <c r="AG9" s="973" t="n"/>
      <c r="AH9" s="973" t="n"/>
      <c r="AI9" s="973" t="n"/>
      <c r="AJ9" s="973" t="n"/>
      <c r="AK9" s="973" t="n"/>
      <c r="AL9" s="973" t="n"/>
      <c r="AM9" s="973" t="n"/>
      <c r="AN9" s="973" t="n"/>
      <c r="AO9" s="973" t="n"/>
    </row>
    <row r="10">
      <c r="A10" s="973" t="n"/>
      <c r="B10" s="973" t="n"/>
      <c r="C10" s="973" t="n"/>
      <c r="D10" s="973" t="n"/>
      <c r="E10" s="973" t="n"/>
      <c r="F10" s="973" t="n"/>
      <c r="G10" s="973" t="n"/>
      <c r="H10" s="973" t="n"/>
      <c r="I10" s="973" t="n"/>
      <c r="J10" s="973" t="n"/>
      <c r="K10" s="973" t="n"/>
      <c r="L10" s="973" t="n"/>
      <c r="M10" s="973" t="n"/>
      <c r="N10" s="973" t="n"/>
      <c r="O10" s="973" t="n"/>
      <c r="P10" s="973" t="n"/>
      <c r="Q10" s="973" t="n"/>
      <c r="R10" s="973" t="n"/>
      <c r="S10" s="973" t="n"/>
      <c r="T10" s="973" t="n"/>
      <c r="U10" s="973" t="n"/>
      <c r="V10" s="973" t="n"/>
      <c r="W10" s="973" t="n"/>
      <c r="X10" s="973" t="n"/>
      <c r="Y10" s="973" t="n"/>
      <c r="Z10" s="973" t="n"/>
      <c r="AA10" s="973" t="n"/>
      <c r="AB10" s="973" t="n"/>
      <c r="AC10" s="973" t="n"/>
      <c r="AD10" s="973" t="n"/>
      <c r="AE10" s="973" t="n"/>
      <c r="AF10" s="973" t="n"/>
      <c r="AG10" s="973" t="n"/>
      <c r="AH10" s="973" t="n"/>
      <c r="AI10" s="973" t="n"/>
      <c r="AJ10" s="973" t="n"/>
      <c r="AK10" s="973" t="n"/>
      <c r="AL10" s="973" t="n"/>
      <c r="AM10" s="973" t="n"/>
      <c r="AN10" s="973" t="n"/>
      <c r="AO10" s="973" t="n"/>
    </row>
    <row r="11">
      <c r="A11" s="973" t="n"/>
      <c r="B11" s="973" t="n"/>
      <c r="C11" s="973" t="n"/>
      <c r="D11" s="973" t="n"/>
      <c r="E11" s="973" t="n"/>
      <c r="F11" s="973" t="n"/>
      <c r="G11" s="973" t="n"/>
      <c r="H11" s="973" t="n"/>
      <c r="I11" s="973" t="n"/>
      <c r="J11" s="973" t="n"/>
      <c r="K11" s="973" t="n"/>
      <c r="L11" s="973" t="n"/>
      <c r="M11" s="973" t="n"/>
      <c r="N11" s="973" t="n"/>
      <c r="O11" s="973" t="n"/>
      <c r="P11" s="973" t="n"/>
      <c r="Q11" s="973" t="n"/>
      <c r="R11" s="973" t="n"/>
      <c r="S11" s="973" t="n"/>
      <c r="T11" s="973" t="n"/>
      <c r="U11" s="973" t="n"/>
      <c r="V11" s="973" t="n"/>
      <c r="W11" s="973" t="n"/>
      <c r="X11" s="973" t="n"/>
      <c r="Y11" s="973" t="n"/>
      <c r="Z11" s="973" t="n"/>
      <c r="AA11" s="973" t="n"/>
      <c r="AB11" s="973" t="n"/>
      <c r="AC11" s="973" t="n"/>
      <c r="AD11" s="973" t="n"/>
      <c r="AE11" s="973" t="n"/>
      <c r="AF11" s="973" t="n"/>
      <c r="AG11" s="973" t="n"/>
      <c r="AH11" s="973" t="n"/>
      <c r="AI11" s="973" t="n"/>
      <c r="AJ11" s="973" t="n"/>
      <c r="AK11" s="973" t="n"/>
      <c r="AL11" s="973" t="n"/>
      <c r="AM11" s="973" t="n"/>
      <c r="AN11" s="973" t="n"/>
      <c r="AO11" s="973" t="n"/>
    </row>
    <row r="12">
      <c r="A12" s="973" t="n"/>
      <c r="B12" s="973" t="n"/>
      <c r="C12" s="973" t="n"/>
      <c r="D12" s="973" t="n"/>
      <c r="E12" s="973" t="n"/>
      <c r="F12" s="973" t="n"/>
      <c r="G12" s="973" t="n"/>
      <c r="H12" s="973" t="n"/>
      <c r="I12" s="973" t="n"/>
      <c r="J12" s="973" t="n"/>
      <c r="K12" s="973" t="n"/>
      <c r="L12" s="973" t="n"/>
      <c r="M12" s="973" t="n"/>
      <c r="N12" s="973" t="n"/>
      <c r="O12" s="973" t="n"/>
      <c r="P12" s="973" t="n"/>
      <c r="Q12" s="973" t="n"/>
      <c r="R12" s="973" t="n"/>
      <c r="S12" s="973" t="n"/>
      <c r="T12" s="973" t="n"/>
      <c r="U12" s="973" t="n"/>
      <c r="V12" s="973" t="n"/>
      <c r="W12" s="973" t="n"/>
      <c r="X12" s="973" t="n"/>
      <c r="Y12" s="973" t="n"/>
      <c r="Z12" s="973" t="n"/>
      <c r="AA12" s="973" t="n"/>
      <c r="AB12" s="973" t="n"/>
      <c r="AC12" s="973" t="n"/>
      <c r="AD12" s="973" t="n"/>
      <c r="AE12" s="973" t="n"/>
      <c r="AF12" s="973" t="n"/>
      <c r="AG12" s="973" t="n"/>
      <c r="AH12" s="973" t="n"/>
      <c r="AI12" s="973" t="n"/>
      <c r="AJ12" s="973" t="n"/>
      <c r="AK12" s="973" t="n"/>
      <c r="AL12" s="973" t="n"/>
      <c r="AM12" s="973" t="n"/>
      <c r="AN12" s="973" t="n"/>
      <c r="AO12" s="973" t="n"/>
    </row>
    <row r="13">
      <c r="A13" s="973" t="n"/>
      <c r="B13" s="973" t="n"/>
      <c r="C13" s="973" t="n"/>
      <c r="D13" s="973" t="n"/>
      <c r="E13" s="973" t="n"/>
      <c r="F13" s="973" t="n"/>
      <c r="G13" s="973" t="n"/>
      <c r="H13" s="973" t="n"/>
      <c r="I13" s="973" t="n"/>
      <c r="J13" s="973" t="n"/>
      <c r="K13" s="973" t="n"/>
      <c r="L13" s="973" t="n"/>
      <c r="M13" s="973" t="n"/>
      <c r="N13" s="973" t="n"/>
      <c r="O13" s="973" t="n"/>
      <c r="P13" s="973" t="n"/>
      <c r="Q13" s="973" t="n"/>
      <c r="R13" s="973" t="n"/>
      <c r="S13" s="973" t="n"/>
      <c r="T13" s="973" t="n"/>
      <c r="U13" s="973" t="n"/>
      <c r="V13" s="973" t="n"/>
      <c r="W13" s="973" t="n"/>
      <c r="X13" s="973" t="n"/>
      <c r="Y13" s="973" t="n"/>
      <c r="Z13" s="973" t="n"/>
      <c r="AA13" s="973" t="n"/>
      <c r="AB13" s="973" t="n"/>
      <c r="AC13" s="973" t="n"/>
      <c r="AD13" s="973" t="n"/>
      <c r="AE13" s="973" t="n"/>
      <c r="AF13" s="973" t="n"/>
      <c r="AG13" s="973" t="n"/>
      <c r="AH13" s="973" t="n"/>
      <c r="AI13" s="973" t="n"/>
      <c r="AJ13" s="973" t="n"/>
      <c r="AK13" s="973" t="n"/>
      <c r="AL13" s="973" t="n"/>
      <c r="AM13" s="973" t="n"/>
      <c r="AN13" s="973" t="n"/>
      <c r="AO13" s="973" t="n"/>
    </row>
    <row r="14">
      <c r="A14" s="973" t="n"/>
      <c r="B14" s="973" t="n"/>
      <c r="C14" s="973" t="n"/>
      <c r="D14" s="973" t="n"/>
      <c r="E14" s="973" t="n"/>
      <c r="F14" s="973" t="n"/>
      <c r="G14" s="973" t="n"/>
      <c r="H14" s="973" t="n"/>
      <c r="I14" s="973" t="n"/>
      <c r="J14" s="973" t="n"/>
      <c r="K14" s="973" t="n"/>
      <c r="L14" s="973" t="n"/>
      <c r="M14" s="973" t="n"/>
      <c r="N14" s="973" t="n"/>
      <c r="O14" s="973" t="n"/>
      <c r="P14" s="973" t="n"/>
      <c r="Q14" s="973" t="n"/>
      <c r="R14" s="973" t="n"/>
      <c r="S14" s="973" t="n"/>
      <c r="T14" s="973" t="n"/>
      <c r="U14" s="973" t="n"/>
      <c r="V14" s="973" t="n"/>
      <c r="W14" s="973" t="n"/>
      <c r="X14" s="973" t="n"/>
      <c r="Y14" s="973" t="n"/>
      <c r="Z14" s="973" t="n"/>
      <c r="AA14" s="973" t="n"/>
      <c r="AB14" s="973" t="n"/>
      <c r="AC14" s="973" t="n"/>
      <c r="AD14" s="973" t="n"/>
      <c r="AE14" s="973" t="n"/>
      <c r="AF14" s="973" t="n"/>
      <c r="AG14" s="973" t="n"/>
      <c r="AH14" s="973" t="n"/>
      <c r="AI14" s="973" t="n"/>
      <c r="AJ14" s="973" t="n"/>
      <c r="AK14" s="973" t="n"/>
      <c r="AL14" s="973" t="n"/>
      <c r="AM14" s="973" t="n"/>
      <c r="AN14" s="973" t="n"/>
      <c r="AO14" s="973" t="n"/>
    </row>
    <row r="15">
      <c r="A15" s="969" t="inlineStr">
        <is>
          <t>Threat actor</t>
        </is>
      </c>
      <c r="B15" s="969" t="inlineStr">
        <is>
          <t>Scenario</t>
        </is>
      </c>
      <c r="C15" s="969" t="inlineStr">
        <is>
          <t>Route</t>
        </is>
      </c>
      <c r="D15" s="969" t="inlineStr">
        <is>
          <t>Path valid</t>
        </is>
      </c>
      <c r="E15" s="969" t="inlineStr">
        <is>
          <t>Attempts / yr</t>
        </is>
      </c>
      <c r="F15" s="969" t="inlineStr">
        <is>
          <t>Opportunity</t>
        </is>
      </c>
      <c r="G15" s="969" t="inlineStr">
        <is>
          <t>P(success)</t>
        </is>
      </c>
      <c r="H15" s="969" t="inlineStr">
        <is>
          <t>Duration factor</t>
        </is>
      </c>
      <c r="I15" s="969" t="inlineStr">
        <is>
          <t>Exposure factor</t>
        </is>
      </c>
      <c r="J15" s="969" t="inlineStr">
        <is>
          <t>Direct factor</t>
        </is>
      </c>
      <c r="K15" s="969" t="inlineStr">
        <is>
          <t>Impact factor</t>
        </is>
      </c>
      <c r="L15" s="969" t="inlineStr">
        <is>
          <t>S1 required</t>
        </is>
      </c>
      <c r="M15" s="969" t="inlineStr">
        <is>
          <t>S1 reference</t>
        </is>
      </c>
      <c r="N15" s="969" t="inlineStr">
        <is>
          <t>S1 actual barrier</t>
        </is>
      </c>
      <c r="O15" s="969" t="inlineStr">
        <is>
          <t>S1 reference barrier</t>
        </is>
      </c>
      <c r="P15" s="969" t="inlineStr">
        <is>
          <t>S1 exposure</t>
        </is>
      </c>
      <c r="Q15" s="969" t="inlineStr">
        <is>
          <t>S1 through</t>
        </is>
      </c>
      <c r="R15" s="969" t="inlineStr">
        <is>
          <t>S2 required</t>
        </is>
      </c>
      <c r="S15" s="969" t="inlineStr">
        <is>
          <t>S2 reference</t>
        </is>
      </c>
      <c r="T15" s="969" t="inlineStr">
        <is>
          <t>S2 actual barrier</t>
        </is>
      </c>
      <c r="U15" s="969" t="inlineStr">
        <is>
          <t>S2 reference barrier</t>
        </is>
      </c>
      <c r="V15" s="969" t="inlineStr">
        <is>
          <t>S2 exposure</t>
        </is>
      </c>
      <c r="W15" s="969" t="inlineStr">
        <is>
          <t>S2 through</t>
        </is>
      </c>
      <c r="X15" s="969" t="inlineStr">
        <is>
          <t>S3 required</t>
        </is>
      </c>
      <c r="Y15" s="969" t="inlineStr">
        <is>
          <t>S3 reference</t>
        </is>
      </c>
      <c r="Z15" s="969" t="inlineStr">
        <is>
          <t>S3 actual barrier</t>
        </is>
      </c>
      <c r="AA15" s="969" t="inlineStr">
        <is>
          <t>S3 reference barrier</t>
        </is>
      </c>
      <c r="AB15" s="969" t="inlineStr">
        <is>
          <t>S3 exposure</t>
        </is>
      </c>
      <c r="AC15" s="969" t="inlineStr">
        <is>
          <t>S3 through</t>
        </is>
      </c>
      <c r="AD15" s="969" t="inlineStr">
        <is>
          <t>S4 required</t>
        </is>
      </c>
      <c r="AE15" s="969" t="inlineStr">
        <is>
          <t>S4 reference</t>
        </is>
      </c>
      <c r="AF15" s="969" t="inlineStr">
        <is>
          <t>S4 actual barrier</t>
        </is>
      </c>
      <c r="AG15" s="969" t="inlineStr">
        <is>
          <t>S4 reference barrier</t>
        </is>
      </c>
      <c r="AH15" s="969" t="inlineStr">
        <is>
          <t>S4 exposure</t>
        </is>
      </c>
      <c r="AI15" s="969" t="inlineStr">
        <is>
          <t>S4 through</t>
        </is>
      </c>
      <c r="AJ15" s="969" t="inlineStr">
        <is>
          <t>S5 required</t>
        </is>
      </c>
      <c r="AK15" s="969" t="inlineStr">
        <is>
          <t>S5 reference</t>
        </is>
      </c>
      <c r="AL15" s="969" t="inlineStr">
        <is>
          <t>S5 actual barrier</t>
        </is>
      </c>
      <c r="AM15" s="969" t="inlineStr">
        <is>
          <t>S5 reference barrier</t>
        </is>
      </c>
      <c r="AN15" s="969" t="inlineStr">
        <is>
          <t>S5 exposure</t>
        </is>
      </c>
      <c r="AO15" s="969" t="inlineStr">
        <is>
          <t>S5 through</t>
        </is>
      </c>
    </row>
    <row r="16">
      <c r="A16" s="973" t="inlineStr">
        <is>
          <t>Nation-state</t>
        </is>
      </c>
      <c r="B16" s="973" t="inlineStr">
        <is>
          <t>Critical business-service disruption</t>
        </is>
      </c>
      <c r="C16" s="973" t="inlineStr">
        <is>
          <t>Identity and credential compromise</t>
        </is>
      </c>
      <c r="D16" s="973" t="b">
        <v>1</v>
      </c>
      <c r="E16" s="973" t="n">
        <v>0.006320224719101123</v>
      </c>
      <c r="F16" s="973" t="n">
        <v>1</v>
      </c>
      <c r="G16" s="973" t="n">
        <v>0.05898750000000001</v>
      </c>
      <c r="H16" s="973" t="n">
        <v>1</v>
      </c>
      <c r="I16" s="973" t="n">
        <v>1</v>
      </c>
      <c r="J16" s="973" t="n">
        <v>1</v>
      </c>
      <c r="K16" s="973" t="n">
        <v>1</v>
      </c>
      <c r="L16" s="973" t="b">
        <v>1</v>
      </c>
      <c r="M16" s="973" t="n">
        <v>0.3</v>
      </c>
      <c r="N16" s="973" t="n">
        <v>0.2403645833333333</v>
      </c>
      <c r="O16" s="973" t="n">
        <v>0.2403645833333333</v>
      </c>
      <c r="P16" s="973" t="n">
        <v>1</v>
      </c>
      <c r="Q16" s="973" t="n">
        <v>0.3</v>
      </c>
      <c r="R16" s="973" t="b">
        <v>0</v>
      </c>
      <c r="S16" s="973" t="n">
        <v>1</v>
      </c>
      <c r="T16" s="973" t="n">
        <v>0</v>
      </c>
      <c r="U16" s="973" t="n">
        <v>0</v>
      </c>
      <c r="V16" s="973" t="n">
        <v>1</v>
      </c>
      <c r="W16" s="973" t="n">
        <v>1</v>
      </c>
      <c r="X16" s="973" t="b">
        <v>1</v>
      </c>
      <c r="Y16" s="973" t="n">
        <v>0.55</v>
      </c>
      <c r="Z16" s="973" t="n">
        <v>0.2477547340393066</v>
      </c>
      <c r="AA16" s="973" t="n">
        <v>0.2477547340393066</v>
      </c>
      <c r="AB16" s="973" t="n">
        <v>1</v>
      </c>
      <c r="AC16" s="973" t="n">
        <v>0.55</v>
      </c>
      <c r="AD16" s="973" t="b">
        <v>1</v>
      </c>
      <c r="AE16" s="973" t="n">
        <v>0.55</v>
      </c>
      <c r="AF16" s="973" t="n">
        <v>0</v>
      </c>
      <c r="AG16" s="973" t="n">
        <v>0</v>
      </c>
      <c r="AH16" s="973" t="n">
        <v>1</v>
      </c>
      <c r="AI16" s="973" t="n">
        <v>0.55</v>
      </c>
      <c r="AJ16" s="973" t="b">
        <v>1</v>
      </c>
      <c r="AK16" s="973" t="n">
        <v>0.65</v>
      </c>
      <c r="AL16" s="973" t="n">
        <v>0.1269045829772949</v>
      </c>
      <c r="AM16" s="973" t="n">
        <v>0.1269045829772949</v>
      </c>
      <c r="AN16" s="973" t="n">
        <v>1</v>
      </c>
      <c r="AO16" s="973" t="n">
        <v>0.65</v>
      </c>
    </row>
    <row r="17">
      <c r="A17" s="973" t="inlineStr">
        <is>
          <t>Nation-state</t>
        </is>
      </c>
      <c r="B17" s="973" t="inlineStr">
        <is>
          <t>Critical business-service disruption</t>
        </is>
      </c>
      <c r="C17" s="973" t="inlineStr">
        <is>
          <t>User endpoint and social engineering</t>
        </is>
      </c>
      <c r="D17" s="973" t="b">
        <v>1</v>
      </c>
      <c r="E17" s="973" t="n">
        <v>0.005561797752808989</v>
      </c>
      <c r="F17" s="973" t="n">
        <v>1</v>
      </c>
      <c r="G17" s="973" t="n">
        <v>0.025515</v>
      </c>
      <c r="H17" s="973" t="n">
        <v>1</v>
      </c>
      <c r="I17" s="973" t="n">
        <v>1</v>
      </c>
      <c r="J17" s="973" t="n">
        <v>1</v>
      </c>
      <c r="K17" s="973" t="n">
        <v>1</v>
      </c>
      <c r="L17" s="973" t="b">
        <v>1</v>
      </c>
      <c r="M17" s="973" t="n">
        <v>0.35</v>
      </c>
      <c r="N17" s="973" t="n">
        <v>0.20625</v>
      </c>
      <c r="O17" s="973" t="n">
        <v>0.20625</v>
      </c>
      <c r="P17" s="973" t="n">
        <v>1</v>
      </c>
      <c r="Q17" s="973" t="n">
        <v>0.35</v>
      </c>
      <c r="R17" s="973" t="b">
        <v>1</v>
      </c>
      <c r="S17" s="973" t="n">
        <v>0.6</v>
      </c>
      <c r="T17" s="973" t="n">
        <v>0.2124374569163603</v>
      </c>
      <c r="U17" s="973" t="n">
        <v>0.2124374569163603</v>
      </c>
      <c r="V17" s="973" t="n">
        <v>1</v>
      </c>
      <c r="W17" s="973" t="n">
        <v>0.6</v>
      </c>
      <c r="X17" s="973" t="b">
        <v>1</v>
      </c>
      <c r="Y17" s="973" t="n">
        <v>0.45</v>
      </c>
      <c r="Z17" s="973" t="n">
        <v>0.2216183303833008</v>
      </c>
      <c r="AA17" s="973" t="n">
        <v>0.2216183303833008</v>
      </c>
      <c r="AB17" s="973" t="n">
        <v>1</v>
      </c>
      <c r="AC17" s="973" t="n">
        <v>0.45</v>
      </c>
      <c r="AD17" s="973" t="b">
        <v>1</v>
      </c>
      <c r="AE17" s="973" t="n">
        <v>0.45</v>
      </c>
      <c r="AF17" s="973" t="n">
        <v>0.1794642857142857</v>
      </c>
      <c r="AG17" s="973" t="n">
        <v>0.1794642857142857</v>
      </c>
      <c r="AH17" s="973" t="n">
        <v>1</v>
      </c>
      <c r="AI17" s="973" t="n">
        <v>0.45</v>
      </c>
      <c r="AJ17" s="973" t="b">
        <v>1</v>
      </c>
      <c r="AK17" s="973" t="n">
        <v>0.6</v>
      </c>
      <c r="AL17" s="973" t="n">
        <v>0.1226516246795654</v>
      </c>
      <c r="AM17" s="973" t="n">
        <v>0.1226516246795654</v>
      </c>
      <c r="AN17" s="973" t="n">
        <v>1</v>
      </c>
      <c r="AO17" s="973" t="n">
        <v>0.6</v>
      </c>
    </row>
    <row r="18">
      <c r="A18" s="973" t="inlineStr">
        <is>
          <t>Nation-state</t>
        </is>
      </c>
      <c r="B18" s="973" t="inlineStr">
        <is>
          <t>Critical business-service disruption</t>
        </is>
      </c>
      <c r="C18" s="973" t="inlineStr">
        <is>
          <t>Public-facing application exploitation</t>
        </is>
      </c>
      <c r="D18" s="973" t="b">
        <v>1</v>
      </c>
      <c r="E18" s="973" t="n">
        <v>0.009691011235955057</v>
      </c>
      <c r="F18" s="973" t="n">
        <v>1</v>
      </c>
      <c r="G18" s="973" t="n">
        <v>0.02025</v>
      </c>
      <c r="H18" s="973" t="n">
        <v>1</v>
      </c>
      <c r="I18" s="973" t="n">
        <v>1</v>
      </c>
      <c r="J18" s="973" t="n">
        <v>1</v>
      </c>
      <c r="K18" s="973" t="n">
        <v>1</v>
      </c>
      <c r="L18" s="973" t="b">
        <v>1</v>
      </c>
      <c r="M18" s="973" t="n">
        <v>0.25</v>
      </c>
      <c r="N18" s="973" t="n">
        <v>0.2496630477905274</v>
      </c>
      <c r="O18" s="973" t="n">
        <v>0.2496630477905274</v>
      </c>
      <c r="P18" s="973" t="n">
        <v>1</v>
      </c>
      <c r="Q18" s="973" t="n">
        <v>0.25</v>
      </c>
      <c r="R18" s="973" t="b">
        <v>1</v>
      </c>
      <c r="S18" s="973" t="n">
        <v>0.6</v>
      </c>
      <c r="T18" s="973" t="n">
        <v>0.1875</v>
      </c>
      <c r="U18" s="973" t="n">
        <v>0.1875</v>
      </c>
      <c r="V18" s="973" t="n">
        <v>1</v>
      </c>
      <c r="W18" s="973" t="n">
        <v>0.6</v>
      </c>
      <c r="X18" s="973" t="b">
        <v>1</v>
      </c>
      <c r="Y18" s="973" t="n">
        <v>0.5</v>
      </c>
      <c r="Z18" s="973" t="n">
        <v>0.2199757778461163</v>
      </c>
      <c r="AA18" s="973" t="n">
        <v>0.2199757778461163</v>
      </c>
      <c r="AB18" s="973" t="n">
        <v>1</v>
      </c>
      <c r="AC18" s="973" t="n">
        <v>0.5</v>
      </c>
      <c r="AD18" s="973" t="b">
        <v>1</v>
      </c>
      <c r="AE18" s="973" t="n">
        <v>0.45</v>
      </c>
      <c r="AF18" s="973" t="n">
        <v>0.1907346013939899</v>
      </c>
      <c r="AG18" s="973" t="n">
        <v>0.1907346013939899</v>
      </c>
      <c r="AH18" s="973" t="n">
        <v>1</v>
      </c>
      <c r="AI18" s="973" t="n">
        <v>0.45</v>
      </c>
      <c r="AJ18" s="973" t="b">
        <v>1</v>
      </c>
      <c r="AK18" s="973" t="n">
        <v>0.6</v>
      </c>
      <c r="AL18" s="973" t="n">
        <v>0.1374199407240924</v>
      </c>
      <c r="AM18" s="973" t="n">
        <v>0.1374199407240924</v>
      </c>
      <c r="AN18" s="973" t="n">
        <v>1</v>
      </c>
      <c r="AO18" s="973" t="n">
        <v>0.6</v>
      </c>
    </row>
    <row r="19">
      <c r="A19" s="973" t="inlineStr">
        <is>
          <t>Nation-state</t>
        </is>
      </c>
      <c r="B19" s="973" t="inlineStr">
        <is>
          <t>Critical business-service disruption</t>
        </is>
      </c>
      <c r="C19" s="973" t="inlineStr">
        <is>
          <t>Third-party or software supply chain</t>
        </is>
      </c>
      <c r="D19" s="973" t="b">
        <v>1</v>
      </c>
      <c r="E19" s="973" t="n">
        <v>0.006320224719101123</v>
      </c>
      <c r="F19" s="973" t="n">
        <v>1</v>
      </c>
      <c r="G19" s="973" t="n">
        <v>0.196625</v>
      </c>
      <c r="H19" s="973" t="n">
        <v>1</v>
      </c>
      <c r="I19" s="973" t="n">
        <v>1</v>
      </c>
      <c r="J19" s="973" t="n">
        <v>1</v>
      </c>
      <c r="K19" s="973" t="n">
        <v>1</v>
      </c>
      <c r="L19" s="973" t="b">
        <v>0</v>
      </c>
      <c r="M19" s="973" t="n">
        <v>1</v>
      </c>
      <c r="N19" s="973" t="n">
        <v>0</v>
      </c>
      <c r="O19" s="973" t="n">
        <v>0</v>
      </c>
      <c r="P19" s="973" t="n">
        <v>1</v>
      </c>
      <c r="Q19" s="973" t="n">
        <v>1</v>
      </c>
      <c r="R19" s="973" t="b">
        <v>0</v>
      </c>
      <c r="S19" s="973" t="n">
        <v>1</v>
      </c>
      <c r="T19" s="973" t="n">
        <v>0</v>
      </c>
      <c r="U19" s="973" t="n">
        <v>0</v>
      </c>
      <c r="V19" s="973" t="n">
        <v>1</v>
      </c>
      <c r="W19" s="973" t="n">
        <v>1</v>
      </c>
      <c r="X19" s="973" t="b">
        <v>1</v>
      </c>
      <c r="Y19" s="973" t="n">
        <v>0.55</v>
      </c>
      <c r="Z19" s="973" t="n">
        <v>0.22181427526474</v>
      </c>
      <c r="AA19" s="973" t="n">
        <v>0.22181427526474</v>
      </c>
      <c r="AB19" s="973" t="n">
        <v>1</v>
      </c>
      <c r="AC19" s="973" t="n">
        <v>0.55</v>
      </c>
      <c r="AD19" s="973" t="b">
        <v>1</v>
      </c>
      <c r="AE19" s="973" t="n">
        <v>0.55</v>
      </c>
      <c r="AF19" s="973" t="n">
        <v>0</v>
      </c>
      <c r="AG19" s="973" t="n">
        <v>0</v>
      </c>
      <c r="AH19" s="973" t="n">
        <v>1</v>
      </c>
      <c r="AI19" s="973" t="n">
        <v>0.55</v>
      </c>
      <c r="AJ19" s="973" t="b">
        <v>1</v>
      </c>
      <c r="AK19" s="973" t="n">
        <v>0.65</v>
      </c>
      <c r="AL19" s="973" t="n">
        <v>0.1970353629372337</v>
      </c>
      <c r="AM19" s="973" t="n">
        <v>0.1970353629372337</v>
      </c>
      <c r="AN19" s="973" t="n">
        <v>1</v>
      </c>
      <c r="AO19" s="973" t="n">
        <v>0.65</v>
      </c>
    </row>
    <row r="20">
      <c r="A20" s="973" t="inlineStr">
        <is>
          <t>Nation-state</t>
        </is>
      </c>
      <c r="B20" s="973" t="inlineStr">
        <is>
          <t>Critical business-service disruption</t>
        </is>
      </c>
      <c r="C20" s="973" t="inlineStr">
        <is>
          <t>Direct availability or DDoS</t>
        </is>
      </c>
      <c r="D20" s="973" t="b">
        <v>1</v>
      </c>
      <c r="E20" s="973" t="n">
        <v>0.001685393258426967</v>
      </c>
      <c r="F20" s="973" t="n">
        <v>1</v>
      </c>
      <c r="G20" s="973" t="n">
        <v>0.36</v>
      </c>
      <c r="H20" s="973" t="n">
        <v>1</v>
      </c>
      <c r="I20" s="973" t="n">
        <v>1</v>
      </c>
      <c r="J20" s="973" t="n">
        <v>1</v>
      </c>
      <c r="K20" s="973" t="n">
        <v>1</v>
      </c>
      <c r="L20" s="973" t="b">
        <v>1</v>
      </c>
      <c r="M20" s="973" t="n">
        <v>0.6</v>
      </c>
      <c r="N20" s="973" t="n">
        <v>0.2866992187499999</v>
      </c>
      <c r="O20" s="973" t="n">
        <v>0.2866992187499999</v>
      </c>
      <c r="P20" s="973" t="n">
        <v>1</v>
      </c>
      <c r="Q20" s="973" t="n">
        <v>0.6</v>
      </c>
      <c r="R20" s="973" t="b">
        <v>0</v>
      </c>
      <c r="S20" s="973" t="n">
        <v>1</v>
      </c>
      <c r="T20" s="973" t="n">
        <v>0</v>
      </c>
      <c r="U20" s="973" t="n">
        <v>0</v>
      </c>
      <c r="V20" s="973" t="n">
        <v>1</v>
      </c>
      <c r="W20" s="973" t="n">
        <v>1</v>
      </c>
      <c r="X20" s="973" t="b">
        <v>0</v>
      </c>
      <c r="Y20" s="973" t="n">
        <v>1</v>
      </c>
      <c r="Z20" s="973" t="n">
        <v>0</v>
      </c>
      <c r="AA20" s="973" t="n">
        <v>0</v>
      </c>
      <c r="AB20" s="973" t="n">
        <v>1</v>
      </c>
      <c r="AC20" s="973" t="n">
        <v>1</v>
      </c>
      <c r="AD20" s="973" t="b">
        <v>0</v>
      </c>
      <c r="AE20" s="973" t="n">
        <v>1</v>
      </c>
      <c r="AF20" s="973" t="n">
        <v>0</v>
      </c>
      <c r="AG20" s="973" t="n">
        <v>0</v>
      </c>
      <c r="AH20" s="973" t="n">
        <v>1</v>
      </c>
      <c r="AI20" s="973" t="n">
        <v>1</v>
      </c>
      <c r="AJ20" s="973" t="b">
        <v>1</v>
      </c>
      <c r="AK20" s="973" t="n">
        <v>0.6</v>
      </c>
      <c r="AL20" s="973" t="n">
        <v>0.225</v>
      </c>
      <c r="AM20" s="973" t="n">
        <v>0.225</v>
      </c>
      <c r="AN20" s="973" t="n">
        <v>1</v>
      </c>
      <c r="AO20" s="973" t="n">
        <v>0.6</v>
      </c>
    </row>
    <row r="21">
      <c r="A21" s="973" t="inlineStr">
        <is>
          <t>Nation-state</t>
        </is>
      </c>
      <c r="B21" s="973" t="inlineStr">
        <is>
          <t>Critical business-service disruption</t>
        </is>
      </c>
      <c r="C21" s="973" t="inlineStr">
        <is>
          <t>Insider or trusted access</t>
        </is>
      </c>
      <c r="D21" s="973" t="b">
        <v>1</v>
      </c>
      <c r="E21" s="973" t="n">
        <v>0.0004213483146067416</v>
      </c>
      <c r="F21" s="973" t="n">
        <v>1</v>
      </c>
      <c r="G21" s="973" t="n">
        <v>0.29575</v>
      </c>
      <c r="H21" s="973" t="n">
        <v>1</v>
      </c>
      <c r="I21" s="973" t="n">
        <v>1</v>
      </c>
      <c r="J21" s="973" t="n">
        <v>1</v>
      </c>
      <c r="K21" s="973" t="n">
        <v>1</v>
      </c>
      <c r="L21" s="973" t="b">
        <v>0</v>
      </c>
      <c r="M21" s="973" t="n">
        <v>1</v>
      </c>
      <c r="N21" s="973" t="n">
        <v>0</v>
      </c>
      <c r="O21" s="973" t="n">
        <v>0</v>
      </c>
      <c r="P21" s="973" t="n">
        <v>1</v>
      </c>
      <c r="Q21" s="973" t="n">
        <v>1</v>
      </c>
      <c r="R21" s="973" t="b">
        <v>0</v>
      </c>
      <c r="S21" s="973" t="n">
        <v>1</v>
      </c>
      <c r="T21" s="973" t="n">
        <v>0</v>
      </c>
      <c r="U21" s="973" t="n">
        <v>0</v>
      </c>
      <c r="V21" s="973" t="n">
        <v>1</v>
      </c>
      <c r="W21" s="973" t="n">
        <v>1</v>
      </c>
      <c r="X21" s="973" t="b">
        <v>1</v>
      </c>
      <c r="Y21" s="973" t="n">
        <v>0.7</v>
      </c>
      <c r="Z21" s="973" t="n">
        <v>0.2477547340393066</v>
      </c>
      <c r="AA21" s="973" t="n">
        <v>0.2477547340393066</v>
      </c>
      <c r="AB21" s="973" t="n">
        <v>1</v>
      </c>
      <c r="AC21" s="973" t="n">
        <v>0.7</v>
      </c>
      <c r="AD21" s="973" t="b">
        <v>1</v>
      </c>
      <c r="AE21" s="973" t="n">
        <v>0.65</v>
      </c>
      <c r="AF21" s="973" t="n">
        <v>0</v>
      </c>
      <c r="AG21" s="973" t="n">
        <v>0</v>
      </c>
      <c r="AH21" s="973" t="n">
        <v>1</v>
      </c>
      <c r="AI21" s="973" t="n">
        <v>0.65</v>
      </c>
      <c r="AJ21" s="973" t="b">
        <v>1</v>
      </c>
      <c r="AK21" s="973" t="n">
        <v>0.65</v>
      </c>
      <c r="AL21" s="973" t="n">
        <v>0.2206064987182617</v>
      </c>
      <c r="AM21" s="973" t="n">
        <v>0.2206064987182617</v>
      </c>
      <c r="AN21" s="973" t="n">
        <v>1</v>
      </c>
      <c r="AO21" s="973" t="n">
        <v>0.65</v>
      </c>
    </row>
    <row r="22">
      <c r="A22" s="973" t="inlineStr">
        <is>
          <t>Nation-state</t>
        </is>
      </c>
      <c r="B22" s="973" t="inlineStr">
        <is>
          <t>Sensitive-data compromise</t>
        </is>
      </c>
      <c r="C22" s="973" t="inlineStr">
        <is>
          <t>Identity and credential compromise</t>
        </is>
      </c>
      <c r="D22" s="973" t="b">
        <v>1</v>
      </c>
      <c r="E22" s="973" t="n">
        <v>0.01485849056603773</v>
      </c>
      <c r="F22" s="973" t="n">
        <v>1</v>
      </c>
      <c r="G22" s="973" t="n">
        <v>0.05898750000000001</v>
      </c>
      <c r="H22" s="973" t="n">
        <v>1</v>
      </c>
      <c r="I22" s="973" t="n">
        <v>1</v>
      </c>
      <c r="J22" s="973" t="n">
        <v>1</v>
      </c>
      <c r="K22" s="973" t="n">
        <v>1</v>
      </c>
      <c r="L22" s="973" t="b">
        <v>1</v>
      </c>
      <c r="M22" s="973" t="n">
        <v>0.3</v>
      </c>
      <c r="N22" s="973" t="n">
        <v>0.2403645833333333</v>
      </c>
      <c r="O22" s="973" t="n">
        <v>0.2403645833333333</v>
      </c>
      <c r="P22" s="973" t="n">
        <v>1</v>
      </c>
      <c r="Q22" s="973" t="n">
        <v>0.3</v>
      </c>
      <c r="R22" s="973" t="b">
        <v>0</v>
      </c>
      <c r="S22" s="973" t="n">
        <v>1</v>
      </c>
      <c r="T22" s="973" t="n">
        <v>0</v>
      </c>
      <c r="U22" s="973" t="n">
        <v>0</v>
      </c>
      <c r="V22" s="973" t="n">
        <v>1</v>
      </c>
      <c r="W22" s="973" t="n">
        <v>1</v>
      </c>
      <c r="X22" s="973" t="b">
        <v>1</v>
      </c>
      <c r="Y22" s="973" t="n">
        <v>0.55</v>
      </c>
      <c r="Z22" s="973" t="n">
        <v>0.2477547340393066</v>
      </c>
      <c r="AA22" s="973" t="n">
        <v>0.2477547340393066</v>
      </c>
      <c r="AB22" s="973" t="n">
        <v>1</v>
      </c>
      <c r="AC22" s="973" t="n">
        <v>0.55</v>
      </c>
      <c r="AD22" s="973" t="b">
        <v>1</v>
      </c>
      <c r="AE22" s="973" t="n">
        <v>0.55</v>
      </c>
      <c r="AF22" s="973" t="n">
        <v>0.1016517857142858</v>
      </c>
      <c r="AG22" s="973" t="n">
        <v>0.1016517857142858</v>
      </c>
      <c r="AH22" s="973" t="n">
        <v>1</v>
      </c>
      <c r="AI22" s="973" t="n">
        <v>0.55</v>
      </c>
      <c r="AJ22" s="973" t="b">
        <v>1</v>
      </c>
      <c r="AK22" s="973" t="n">
        <v>0.65</v>
      </c>
      <c r="AL22" s="973" t="n">
        <v>0.20625</v>
      </c>
      <c r="AM22" s="973" t="n">
        <v>0.20625</v>
      </c>
      <c r="AN22" s="973" t="n">
        <v>1</v>
      </c>
      <c r="AO22" s="973" t="n">
        <v>0.65</v>
      </c>
    </row>
    <row r="23">
      <c r="A23" s="973" t="inlineStr">
        <is>
          <t>Nation-state</t>
        </is>
      </c>
      <c r="B23" s="973" t="inlineStr">
        <is>
          <t>Sensitive-data compromise</t>
        </is>
      </c>
      <c r="C23" s="973" t="inlineStr">
        <is>
          <t>User endpoint and social engineering</t>
        </is>
      </c>
      <c r="D23" s="973" t="b">
        <v>1</v>
      </c>
      <c r="E23" s="973" t="n">
        <v>0.006537735849056604</v>
      </c>
      <c r="F23" s="973" t="n">
        <v>1</v>
      </c>
      <c r="G23" s="973" t="n">
        <v>0.025515</v>
      </c>
      <c r="H23" s="973" t="n">
        <v>1</v>
      </c>
      <c r="I23" s="973" t="n">
        <v>1</v>
      </c>
      <c r="J23" s="973" t="n">
        <v>1</v>
      </c>
      <c r="K23" s="973" t="n">
        <v>1</v>
      </c>
      <c r="L23" s="973" t="b">
        <v>1</v>
      </c>
      <c r="M23" s="973" t="n">
        <v>0.35</v>
      </c>
      <c r="N23" s="973" t="n">
        <v>0.20625</v>
      </c>
      <c r="O23" s="973" t="n">
        <v>0.20625</v>
      </c>
      <c r="P23" s="973" t="n">
        <v>1</v>
      </c>
      <c r="Q23" s="973" t="n">
        <v>0.35</v>
      </c>
      <c r="R23" s="973" t="b">
        <v>1</v>
      </c>
      <c r="S23" s="973" t="n">
        <v>0.6</v>
      </c>
      <c r="T23" s="973" t="n">
        <v>0.2124374569163603</v>
      </c>
      <c r="U23" s="973" t="n">
        <v>0.2124374569163603</v>
      </c>
      <c r="V23" s="973" t="n">
        <v>1</v>
      </c>
      <c r="W23" s="973" t="n">
        <v>0.6</v>
      </c>
      <c r="X23" s="973" t="b">
        <v>1</v>
      </c>
      <c r="Y23" s="973" t="n">
        <v>0.45</v>
      </c>
      <c r="Z23" s="973" t="n">
        <v>0.2216183303833008</v>
      </c>
      <c r="AA23" s="973" t="n">
        <v>0.2216183303833008</v>
      </c>
      <c r="AB23" s="973" t="n">
        <v>1</v>
      </c>
      <c r="AC23" s="973" t="n">
        <v>0.45</v>
      </c>
      <c r="AD23" s="973" t="b">
        <v>1</v>
      </c>
      <c r="AE23" s="973" t="n">
        <v>0.45</v>
      </c>
      <c r="AF23" s="973" t="n">
        <v>0.1789397321428572</v>
      </c>
      <c r="AG23" s="973" t="n">
        <v>0.1789397321428572</v>
      </c>
      <c r="AH23" s="973" t="n">
        <v>1</v>
      </c>
      <c r="AI23" s="973" t="n">
        <v>0.45</v>
      </c>
      <c r="AJ23" s="973" t="b">
        <v>1</v>
      </c>
      <c r="AK23" s="973" t="n">
        <v>0.6</v>
      </c>
      <c r="AL23" s="973" t="n">
        <v>0.20625</v>
      </c>
      <c r="AM23" s="973" t="n">
        <v>0.20625</v>
      </c>
      <c r="AN23" s="973" t="n">
        <v>1</v>
      </c>
      <c r="AO23" s="973" t="n">
        <v>0.6</v>
      </c>
    </row>
    <row r="24">
      <c r="A24" s="973" t="inlineStr">
        <is>
          <t>Nation-state</t>
        </is>
      </c>
      <c r="B24" s="973" t="inlineStr">
        <is>
          <t>Sensitive-data compromise</t>
        </is>
      </c>
      <c r="C24" s="973" t="inlineStr">
        <is>
          <t>Public-facing application exploitation</t>
        </is>
      </c>
      <c r="D24" s="973" t="b">
        <v>1</v>
      </c>
      <c r="E24" s="973" t="n">
        <v>0.01139150943396226</v>
      </c>
      <c r="F24" s="973" t="n">
        <v>1</v>
      </c>
      <c r="G24" s="973" t="n">
        <v>0.02025</v>
      </c>
      <c r="H24" s="973" t="n">
        <v>1</v>
      </c>
      <c r="I24" s="973" t="n">
        <v>1</v>
      </c>
      <c r="J24" s="973" t="n">
        <v>1</v>
      </c>
      <c r="K24" s="973" t="n">
        <v>1</v>
      </c>
      <c r="L24" s="973" t="b">
        <v>1</v>
      </c>
      <c r="M24" s="973" t="n">
        <v>0.25</v>
      </c>
      <c r="N24" s="973" t="n">
        <v>0.2496630477905274</v>
      </c>
      <c r="O24" s="973" t="n">
        <v>0.2496630477905274</v>
      </c>
      <c r="P24" s="973" t="n">
        <v>1</v>
      </c>
      <c r="Q24" s="973" t="n">
        <v>0.25</v>
      </c>
      <c r="R24" s="973" t="b">
        <v>1</v>
      </c>
      <c r="S24" s="973" t="n">
        <v>0.6</v>
      </c>
      <c r="T24" s="973" t="n">
        <v>0.1875</v>
      </c>
      <c r="U24" s="973" t="n">
        <v>0.1875</v>
      </c>
      <c r="V24" s="973" t="n">
        <v>1</v>
      </c>
      <c r="W24" s="973" t="n">
        <v>0.6</v>
      </c>
      <c r="X24" s="973" t="b">
        <v>1</v>
      </c>
      <c r="Y24" s="973" t="n">
        <v>0.5</v>
      </c>
      <c r="Z24" s="973" t="n">
        <v>0.2199757778461163</v>
      </c>
      <c r="AA24" s="973" t="n">
        <v>0.2199757778461163</v>
      </c>
      <c r="AB24" s="973" t="n">
        <v>1</v>
      </c>
      <c r="AC24" s="973" t="n">
        <v>0.5</v>
      </c>
      <c r="AD24" s="973" t="b">
        <v>1</v>
      </c>
      <c r="AE24" s="973" t="n">
        <v>0.45</v>
      </c>
      <c r="AF24" s="973" t="n">
        <v>0.1907346013939899</v>
      </c>
      <c r="AG24" s="973" t="n">
        <v>0.1907346013939899</v>
      </c>
      <c r="AH24" s="973" t="n">
        <v>1</v>
      </c>
      <c r="AI24" s="973" t="n">
        <v>0.45</v>
      </c>
      <c r="AJ24" s="973" t="b">
        <v>1</v>
      </c>
      <c r="AK24" s="973" t="n">
        <v>0.6</v>
      </c>
      <c r="AL24" s="973" t="n">
        <v>0.20625</v>
      </c>
      <c r="AM24" s="973" t="n">
        <v>0.20625</v>
      </c>
      <c r="AN24" s="973" t="n">
        <v>1</v>
      </c>
      <c r="AO24" s="973" t="n">
        <v>0.6</v>
      </c>
    </row>
    <row r="25">
      <c r="A25" s="973" t="inlineStr">
        <is>
          <t>Nation-state</t>
        </is>
      </c>
      <c r="B25" s="973" t="inlineStr">
        <is>
          <t>Sensitive-data compromise</t>
        </is>
      </c>
      <c r="C25" s="973" t="inlineStr">
        <is>
          <t>Third-party or software supply chain</t>
        </is>
      </c>
      <c r="D25" s="973" t="b">
        <v>1</v>
      </c>
      <c r="E25" s="973" t="n">
        <v>0.008419811320754717</v>
      </c>
      <c r="F25" s="973" t="n">
        <v>1</v>
      </c>
      <c r="G25" s="973" t="n">
        <v>0.196625</v>
      </c>
      <c r="H25" s="973" t="n">
        <v>1</v>
      </c>
      <c r="I25" s="973" t="n">
        <v>1</v>
      </c>
      <c r="J25" s="973" t="n">
        <v>1</v>
      </c>
      <c r="K25" s="973" t="n">
        <v>1</v>
      </c>
      <c r="L25" s="973" t="b">
        <v>0</v>
      </c>
      <c r="M25" s="973" t="n">
        <v>1</v>
      </c>
      <c r="N25" s="973" t="n">
        <v>0</v>
      </c>
      <c r="O25" s="973" t="n">
        <v>0</v>
      </c>
      <c r="P25" s="973" t="n">
        <v>1</v>
      </c>
      <c r="Q25" s="973" t="n">
        <v>1</v>
      </c>
      <c r="R25" s="973" t="b">
        <v>0</v>
      </c>
      <c r="S25" s="973" t="n">
        <v>1</v>
      </c>
      <c r="T25" s="973" t="n">
        <v>0</v>
      </c>
      <c r="U25" s="973" t="n">
        <v>0</v>
      </c>
      <c r="V25" s="973" t="n">
        <v>1</v>
      </c>
      <c r="W25" s="973" t="n">
        <v>1</v>
      </c>
      <c r="X25" s="973" t="b">
        <v>1</v>
      </c>
      <c r="Y25" s="973" t="n">
        <v>0.55</v>
      </c>
      <c r="Z25" s="973" t="n">
        <v>0.22181427526474</v>
      </c>
      <c r="AA25" s="973" t="n">
        <v>0.22181427526474</v>
      </c>
      <c r="AB25" s="973" t="n">
        <v>1</v>
      </c>
      <c r="AC25" s="973" t="n">
        <v>0.55</v>
      </c>
      <c r="AD25" s="973" t="b">
        <v>1</v>
      </c>
      <c r="AE25" s="973" t="n">
        <v>0.55</v>
      </c>
      <c r="AF25" s="973" t="n">
        <v>0.10376953125</v>
      </c>
      <c r="AG25" s="973" t="n">
        <v>0.10376953125</v>
      </c>
      <c r="AH25" s="973" t="n">
        <v>1</v>
      </c>
      <c r="AI25" s="973" t="n">
        <v>0.55</v>
      </c>
      <c r="AJ25" s="973" t="b">
        <v>1</v>
      </c>
      <c r="AK25" s="973" t="n">
        <v>0.65</v>
      </c>
      <c r="AL25" s="973" t="n">
        <v>0.20625</v>
      </c>
      <c r="AM25" s="973" t="n">
        <v>0.20625</v>
      </c>
      <c r="AN25" s="973" t="n">
        <v>1</v>
      </c>
      <c r="AO25" s="973" t="n">
        <v>0.65</v>
      </c>
    </row>
    <row r="26">
      <c r="A26" s="973" t="inlineStr">
        <is>
          <t>Nation-state</t>
        </is>
      </c>
      <c r="B26" s="973" t="inlineStr">
        <is>
          <t>Sensitive-data compromise</t>
        </is>
      </c>
      <c r="C26" s="973" t="inlineStr">
        <is>
          <t>Direct availability or DDoS</t>
        </is>
      </c>
      <c r="D26" s="973" t="b">
        <v>0</v>
      </c>
      <c r="E26" s="973" t="n">
        <v>0</v>
      </c>
      <c r="F26" s="973" t="n">
        <v>1</v>
      </c>
      <c r="G26" s="973" t="n">
        <v>0</v>
      </c>
      <c r="H26" s="973" t="n">
        <v>1</v>
      </c>
      <c r="I26" s="973" t="n">
        <v>1</v>
      </c>
      <c r="J26" s="973" t="n">
        <v>1</v>
      </c>
      <c r="K26" s="973" t="n">
        <v>1</v>
      </c>
      <c r="L26" s="973" t="b">
        <v>0</v>
      </c>
      <c r="M26" s="973" t="n">
        <v>1</v>
      </c>
      <c r="N26" s="973" t="n">
        <v>0</v>
      </c>
      <c r="O26" s="973" t="n">
        <v>0</v>
      </c>
      <c r="P26" s="973" t="n">
        <v>1</v>
      </c>
      <c r="Q26" s="973" t="n">
        <v>1</v>
      </c>
      <c r="R26" s="973" t="b">
        <v>0</v>
      </c>
      <c r="S26" s="973" t="n">
        <v>1</v>
      </c>
      <c r="T26" s="973" t="n">
        <v>0</v>
      </c>
      <c r="U26" s="973" t="n">
        <v>0</v>
      </c>
      <c r="V26" s="973" t="n">
        <v>1</v>
      </c>
      <c r="W26" s="973" t="n">
        <v>1</v>
      </c>
      <c r="X26" s="973" t="b">
        <v>0</v>
      </c>
      <c r="Y26" s="973" t="n">
        <v>1</v>
      </c>
      <c r="Z26" s="973" t="n">
        <v>0</v>
      </c>
      <c r="AA26" s="973" t="n">
        <v>0</v>
      </c>
      <c r="AB26" s="973" t="n">
        <v>1</v>
      </c>
      <c r="AC26" s="973" t="n">
        <v>1</v>
      </c>
      <c r="AD26" s="973" t="b">
        <v>0</v>
      </c>
      <c r="AE26" s="973" t="n">
        <v>1</v>
      </c>
      <c r="AF26" s="973" t="n">
        <v>0</v>
      </c>
      <c r="AG26" s="973" t="n">
        <v>0</v>
      </c>
      <c r="AH26" s="973" t="n">
        <v>1</v>
      </c>
      <c r="AI26" s="973" t="n">
        <v>1</v>
      </c>
      <c r="AJ26" s="973" t="b">
        <v>0</v>
      </c>
      <c r="AK26" s="973" t="n">
        <v>1</v>
      </c>
      <c r="AL26" s="973" t="n">
        <v>0</v>
      </c>
      <c r="AM26" s="973" t="n">
        <v>0</v>
      </c>
      <c r="AN26" s="973" t="n">
        <v>1</v>
      </c>
      <c r="AO26" s="973" t="n">
        <v>1</v>
      </c>
    </row>
    <row r="27">
      <c r="A27" s="973" t="inlineStr">
        <is>
          <t>Nation-state</t>
        </is>
      </c>
      <c r="B27" s="973" t="inlineStr">
        <is>
          <t>Sensitive-data compromise</t>
        </is>
      </c>
      <c r="C27" s="973" t="inlineStr">
        <is>
          <t>Insider or trusted access</t>
        </is>
      </c>
      <c r="D27" s="973" t="b">
        <v>1</v>
      </c>
      <c r="E27" s="973" t="n">
        <v>0.0007924528301886791</v>
      </c>
      <c r="F27" s="973" t="n">
        <v>1</v>
      </c>
      <c r="G27" s="973" t="n">
        <v>0.29575</v>
      </c>
      <c r="H27" s="973" t="n">
        <v>1</v>
      </c>
      <c r="I27" s="973" t="n">
        <v>1</v>
      </c>
      <c r="J27" s="973" t="n">
        <v>1</v>
      </c>
      <c r="K27" s="973" t="n">
        <v>1</v>
      </c>
      <c r="L27" s="973" t="b">
        <v>0</v>
      </c>
      <c r="M27" s="973" t="n">
        <v>1</v>
      </c>
      <c r="N27" s="973" t="n">
        <v>0</v>
      </c>
      <c r="O27" s="973" t="n">
        <v>0</v>
      </c>
      <c r="P27" s="973" t="n">
        <v>1</v>
      </c>
      <c r="Q27" s="973" t="n">
        <v>1</v>
      </c>
      <c r="R27" s="973" t="b">
        <v>0</v>
      </c>
      <c r="S27" s="973" t="n">
        <v>1</v>
      </c>
      <c r="T27" s="973" t="n">
        <v>0</v>
      </c>
      <c r="U27" s="973" t="n">
        <v>0</v>
      </c>
      <c r="V27" s="973" t="n">
        <v>1</v>
      </c>
      <c r="W27" s="973" t="n">
        <v>1</v>
      </c>
      <c r="X27" s="973" t="b">
        <v>1</v>
      </c>
      <c r="Y27" s="973" t="n">
        <v>0.7</v>
      </c>
      <c r="Z27" s="973" t="n">
        <v>0.2477547340393066</v>
      </c>
      <c r="AA27" s="973" t="n">
        <v>0.2477547340393066</v>
      </c>
      <c r="AB27" s="973" t="n">
        <v>1</v>
      </c>
      <c r="AC27" s="973" t="n">
        <v>0.7</v>
      </c>
      <c r="AD27" s="973" t="b">
        <v>1</v>
      </c>
      <c r="AE27" s="973" t="n">
        <v>0.65</v>
      </c>
      <c r="AF27" s="973" t="n">
        <v>0.106734375</v>
      </c>
      <c r="AG27" s="973" t="n">
        <v>0.106734375</v>
      </c>
      <c r="AH27" s="973" t="n">
        <v>1</v>
      </c>
      <c r="AI27" s="973" t="n">
        <v>0.65</v>
      </c>
      <c r="AJ27" s="973" t="b">
        <v>1</v>
      </c>
      <c r="AK27" s="973" t="n">
        <v>0.65</v>
      </c>
      <c r="AL27" s="973" t="n">
        <v>0.20625</v>
      </c>
      <c r="AM27" s="973" t="n">
        <v>0.20625</v>
      </c>
      <c r="AN27" s="973" t="n">
        <v>1</v>
      </c>
      <c r="AO27" s="973" t="n">
        <v>0.65</v>
      </c>
    </row>
    <row r="28">
      <c r="A28" s="973" t="inlineStr">
        <is>
          <t>Nation-state</t>
        </is>
      </c>
      <c r="B28" s="973" t="inlineStr">
        <is>
          <t>Data or transaction-integrity compromise</t>
        </is>
      </c>
      <c r="C28" s="973" t="inlineStr">
        <is>
          <t>Identity and credential compromise</t>
        </is>
      </c>
      <c r="D28" s="973" t="b">
        <v>1</v>
      </c>
      <c r="E28" s="973" t="n">
        <v>0.01047619047619047</v>
      </c>
      <c r="F28" s="973" t="n">
        <v>1</v>
      </c>
      <c r="G28" s="973" t="n">
        <v>0.05898750000000001</v>
      </c>
      <c r="H28" s="973" t="n">
        <v>1</v>
      </c>
      <c r="I28" s="973" t="n">
        <v>1</v>
      </c>
      <c r="J28" s="973" t="n">
        <v>1</v>
      </c>
      <c r="K28" s="973" t="n">
        <v>1</v>
      </c>
      <c r="L28" s="973" t="b">
        <v>1</v>
      </c>
      <c r="M28" s="973" t="n">
        <v>0.3</v>
      </c>
      <c r="N28" s="973" t="n">
        <v>0.2403645833333333</v>
      </c>
      <c r="O28" s="973" t="n">
        <v>0.2403645833333333</v>
      </c>
      <c r="P28" s="973" t="n">
        <v>1</v>
      </c>
      <c r="Q28" s="973" t="n">
        <v>0.3</v>
      </c>
      <c r="R28" s="973" t="b">
        <v>0</v>
      </c>
      <c r="S28" s="973" t="n">
        <v>1</v>
      </c>
      <c r="T28" s="973" t="n">
        <v>0</v>
      </c>
      <c r="U28" s="973" t="n">
        <v>0</v>
      </c>
      <c r="V28" s="973" t="n">
        <v>1</v>
      </c>
      <c r="W28" s="973" t="n">
        <v>1</v>
      </c>
      <c r="X28" s="973" t="b">
        <v>1</v>
      </c>
      <c r="Y28" s="973" t="n">
        <v>0.55</v>
      </c>
      <c r="Z28" s="973" t="n">
        <v>0.2477547340393066</v>
      </c>
      <c r="AA28" s="973" t="n">
        <v>0.2477547340393066</v>
      </c>
      <c r="AB28" s="973" t="n">
        <v>1</v>
      </c>
      <c r="AC28" s="973" t="n">
        <v>0.55</v>
      </c>
      <c r="AD28" s="973" t="b">
        <v>1</v>
      </c>
      <c r="AE28" s="973" t="n">
        <v>0.55</v>
      </c>
      <c r="AF28" s="973" t="n">
        <v>0.1016517857142858</v>
      </c>
      <c r="AG28" s="973" t="n">
        <v>0.1016517857142858</v>
      </c>
      <c r="AH28" s="973" t="n">
        <v>1</v>
      </c>
      <c r="AI28" s="973" t="n">
        <v>0.55</v>
      </c>
      <c r="AJ28" s="973" t="b">
        <v>1</v>
      </c>
      <c r="AK28" s="973" t="n">
        <v>0.65</v>
      </c>
      <c r="AL28" s="973" t="n">
        <v>0.1269045829772949</v>
      </c>
      <c r="AM28" s="973" t="n">
        <v>0.1269045829772949</v>
      </c>
      <c r="AN28" s="973" t="n">
        <v>1</v>
      </c>
      <c r="AO28" s="973" t="n">
        <v>0.65</v>
      </c>
    </row>
    <row r="29">
      <c r="A29" s="973" t="inlineStr">
        <is>
          <t>Nation-state</t>
        </is>
      </c>
      <c r="B29" s="973" t="inlineStr">
        <is>
          <t>Data or transaction-integrity compromise</t>
        </is>
      </c>
      <c r="C29" s="973" t="inlineStr">
        <is>
          <t>User endpoint and social engineering</t>
        </is>
      </c>
      <c r="D29" s="973" t="b">
        <v>1</v>
      </c>
      <c r="E29" s="973" t="n">
        <v>0.004285714285714285</v>
      </c>
      <c r="F29" s="973" t="n">
        <v>1</v>
      </c>
      <c r="G29" s="973" t="n">
        <v>0.025515</v>
      </c>
      <c r="H29" s="973" t="n">
        <v>1</v>
      </c>
      <c r="I29" s="973" t="n">
        <v>1</v>
      </c>
      <c r="J29" s="973" t="n">
        <v>1</v>
      </c>
      <c r="K29" s="973" t="n">
        <v>1</v>
      </c>
      <c r="L29" s="973" t="b">
        <v>1</v>
      </c>
      <c r="M29" s="973" t="n">
        <v>0.35</v>
      </c>
      <c r="N29" s="973" t="n">
        <v>0.20625</v>
      </c>
      <c r="O29" s="973" t="n">
        <v>0.20625</v>
      </c>
      <c r="P29" s="973" t="n">
        <v>1</v>
      </c>
      <c r="Q29" s="973" t="n">
        <v>0.35</v>
      </c>
      <c r="R29" s="973" t="b">
        <v>1</v>
      </c>
      <c r="S29" s="973" t="n">
        <v>0.6</v>
      </c>
      <c r="T29" s="973" t="n">
        <v>0.2124374569163603</v>
      </c>
      <c r="U29" s="973" t="n">
        <v>0.2124374569163603</v>
      </c>
      <c r="V29" s="973" t="n">
        <v>1</v>
      </c>
      <c r="W29" s="973" t="n">
        <v>0.6</v>
      </c>
      <c r="X29" s="973" t="b">
        <v>1</v>
      </c>
      <c r="Y29" s="973" t="n">
        <v>0.45</v>
      </c>
      <c r="Z29" s="973" t="n">
        <v>0.2216183303833008</v>
      </c>
      <c r="AA29" s="973" t="n">
        <v>0.2216183303833008</v>
      </c>
      <c r="AB29" s="973" t="n">
        <v>1</v>
      </c>
      <c r="AC29" s="973" t="n">
        <v>0.45</v>
      </c>
      <c r="AD29" s="973" t="b">
        <v>1</v>
      </c>
      <c r="AE29" s="973" t="n">
        <v>0.45</v>
      </c>
      <c r="AF29" s="973" t="n">
        <v>0.1789397321428572</v>
      </c>
      <c r="AG29" s="973" t="n">
        <v>0.1789397321428572</v>
      </c>
      <c r="AH29" s="973" t="n">
        <v>1</v>
      </c>
      <c r="AI29" s="973" t="n">
        <v>0.45</v>
      </c>
      <c r="AJ29" s="973" t="b">
        <v>1</v>
      </c>
      <c r="AK29" s="973" t="n">
        <v>0.6</v>
      </c>
      <c r="AL29" s="973" t="n">
        <v>0.1226516246795654</v>
      </c>
      <c r="AM29" s="973" t="n">
        <v>0.1226516246795654</v>
      </c>
      <c r="AN29" s="973" t="n">
        <v>1</v>
      </c>
      <c r="AO29" s="973" t="n">
        <v>0.6</v>
      </c>
    </row>
    <row r="30">
      <c r="A30" s="973" t="inlineStr">
        <is>
          <t>Nation-state</t>
        </is>
      </c>
      <c r="B30" s="973" t="inlineStr">
        <is>
          <t>Data or transaction-integrity compromise</t>
        </is>
      </c>
      <c r="C30" s="973" t="inlineStr">
        <is>
          <t>Public-facing application exploitation</t>
        </is>
      </c>
      <c r="D30" s="973" t="b">
        <v>1</v>
      </c>
      <c r="E30" s="973" t="n">
        <v>0.009523809523809523</v>
      </c>
      <c r="F30" s="973" t="n">
        <v>1</v>
      </c>
      <c r="G30" s="973" t="n">
        <v>0.02025</v>
      </c>
      <c r="H30" s="973" t="n">
        <v>1</v>
      </c>
      <c r="I30" s="973" t="n">
        <v>1</v>
      </c>
      <c r="J30" s="973" t="n">
        <v>1</v>
      </c>
      <c r="K30" s="973" t="n">
        <v>1</v>
      </c>
      <c r="L30" s="973" t="b">
        <v>1</v>
      </c>
      <c r="M30" s="973" t="n">
        <v>0.25</v>
      </c>
      <c r="N30" s="973" t="n">
        <v>0.2496630477905274</v>
      </c>
      <c r="O30" s="973" t="n">
        <v>0.2496630477905274</v>
      </c>
      <c r="P30" s="973" t="n">
        <v>1</v>
      </c>
      <c r="Q30" s="973" t="n">
        <v>0.25</v>
      </c>
      <c r="R30" s="973" t="b">
        <v>1</v>
      </c>
      <c r="S30" s="973" t="n">
        <v>0.6</v>
      </c>
      <c r="T30" s="973" t="n">
        <v>0.1875</v>
      </c>
      <c r="U30" s="973" t="n">
        <v>0.1875</v>
      </c>
      <c r="V30" s="973" t="n">
        <v>1</v>
      </c>
      <c r="W30" s="973" t="n">
        <v>0.6</v>
      </c>
      <c r="X30" s="973" t="b">
        <v>1</v>
      </c>
      <c r="Y30" s="973" t="n">
        <v>0.5</v>
      </c>
      <c r="Z30" s="973" t="n">
        <v>0.2199757778461163</v>
      </c>
      <c r="AA30" s="973" t="n">
        <v>0.2199757778461163</v>
      </c>
      <c r="AB30" s="973" t="n">
        <v>1</v>
      </c>
      <c r="AC30" s="973" t="n">
        <v>0.5</v>
      </c>
      <c r="AD30" s="973" t="b">
        <v>1</v>
      </c>
      <c r="AE30" s="973" t="n">
        <v>0.45</v>
      </c>
      <c r="AF30" s="973" t="n">
        <v>0.1907346013939899</v>
      </c>
      <c r="AG30" s="973" t="n">
        <v>0.1907346013939899</v>
      </c>
      <c r="AH30" s="973" t="n">
        <v>1</v>
      </c>
      <c r="AI30" s="973" t="n">
        <v>0.45</v>
      </c>
      <c r="AJ30" s="973" t="b">
        <v>1</v>
      </c>
      <c r="AK30" s="973" t="n">
        <v>0.6</v>
      </c>
      <c r="AL30" s="973" t="n">
        <v>0.1374199407240924</v>
      </c>
      <c r="AM30" s="973" t="n">
        <v>0.1374199407240924</v>
      </c>
      <c r="AN30" s="973" t="n">
        <v>1</v>
      </c>
      <c r="AO30" s="973" t="n">
        <v>0.6</v>
      </c>
    </row>
    <row r="31">
      <c r="A31" s="973" t="inlineStr">
        <is>
          <t>Nation-state</t>
        </is>
      </c>
      <c r="B31" s="973" t="inlineStr">
        <is>
          <t>Data or transaction-integrity compromise</t>
        </is>
      </c>
      <c r="C31" s="973" t="inlineStr">
        <is>
          <t>Third-party or software supply chain</t>
        </is>
      </c>
      <c r="D31" s="973" t="b">
        <v>1</v>
      </c>
      <c r="E31" s="973" t="n">
        <v>0.009523809523809523</v>
      </c>
      <c r="F31" s="973" t="n">
        <v>1</v>
      </c>
      <c r="G31" s="973" t="n">
        <v>0.196625</v>
      </c>
      <c r="H31" s="973" t="n">
        <v>1</v>
      </c>
      <c r="I31" s="973" t="n">
        <v>1</v>
      </c>
      <c r="J31" s="973" t="n">
        <v>1</v>
      </c>
      <c r="K31" s="973" t="n">
        <v>1</v>
      </c>
      <c r="L31" s="973" t="b">
        <v>0</v>
      </c>
      <c r="M31" s="973" t="n">
        <v>1</v>
      </c>
      <c r="N31" s="973" t="n">
        <v>0</v>
      </c>
      <c r="O31" s="973" t="n">
        <v>0</v>
      </c>
      <c r="P31" s="973" t="n">
        <v>1</v>
      </c>
      <c r="Q31" s="973" t="n">
        <v>1</v>
      </c>
      <c r="R31" s="973" t="b">
        <v>0</v>
      </c>
      <c r="S31" s="973" t="n">
        <v>1</v>
      </c>
      <c r="T31" s="973" t="n">
        <v>0</v>
      </c>
      <c r="U31" s="973" t="n">
        <v>0</v>
      </c>
      <c r="V31" s="973" t="n">
        <v>1</v>
      </c>
      <c r="W31" s="973" t="n">
        <v>1</v>
      </c>
      <c r="X31" s="973" t="b">
        <v>1</v>
      </c>
      <c r="Y31" s="973" t="n">
        <v>0.55</v>
      </c>
      <c r="Z31" s="973" t="n">
        <v>0.22181427526474</v>
      </c>
      <c r="AA31" s="973" t="n">
        <v>0.22181427526474</v>
      </c>
      <c r="AB31" s="973" t="n">
        <v>1</v>
      </c>
      <c r="AC31" s="973" t="n">
        <v>0.55</v>
      </c>
      <c r="AD31" s="973" t="b">
        <v>1</v>
      </c>
      <c r="AE31" s="973" t="n">
        <v>0.55</v>
      </c>
      <c r="AF31" s="973" t="n">
        <v>0.10376953125</v>
      </c>
      <c r="AG31" s="973" t="n">
        <v>0.10376953125</v>
      </c>
      <c r="AH31" s="973" t="n">
        <v>1</v>
      </c>
      <c r="AI31" s="973" t="n">
        <v>0.55</v>
      </c>
      <c r="AJ31" s="973" t="b">
        <v>1</v>
      </c>
      <c r="AK31" s="973" t="n">
        <v>0.65</v>
      </c>
      <c r="AL31" s="973" t="n">
        <v>0.1970353629372337</v>
      </c>
      <c r="AM31" s="973" t="n">
        <v>0.1970353629372337</v>
      </c>
      <c r="AN31" s="973" t="n">
        <v>1</v>
      </c>
      <c r="AO31" s="973" t="n">
        <v>0.65</v>
      </c>
    </row>
    <row r="32">
      <c r="A32" s="973" t="inlineStr">
        <is>
          <t>Nation-state</t>
        </is>
      </c>
      <c r="B32" s="973" t="inlineStr">
        <is>
          <t>Data or transaction-integrity compromise</t>
        </is>
      </c>
      <c r="C32" s="973" t="inlineStr">
        <is>
          <t>Direct availability or DDoS</t>
        </is>
      </c>
      <c r="D32" s="973" t="b">
        <v>0</v>
      </c>
      <c r="E32" s="973" t="n">
        <v>0</v>
      </c>
      <c r="F32" s="973" t="n">
        <v>1</v>
      </c>
      <c r="G32" s="973" t="n">
        <v>0</v>
      </c>
      <c r="H32" s="973" t="n">
        <v>1</v>
      </c>
      <c r="I32" s="973" t="n">
        <v>1</v>
      </c>
      <c r="J32" s="973" t="n">
        <v>1</v>
      </c>
      <c r="K32" s="973" t="n">
        <v>1</v>
      </c>
      <c r="L32" s="973" t="b">
        <v>0</v>
      </c>
      <c r="M32" s="973" t="n">
        <v>1</v>
      </c>
      <c r="N32" s="973" t="n">
        <v>0</v>
      </c>
      <c r="O32" s="973" t="n">
        <v>0</v>
      </c>
      <c r="P32" s="973" t="n">
        <v>1</v>
      </c>
      <c r="Q32" s="973" t="n">
        <v>1</v>
      </c>
      <c r="R32" s="973" t="b">
        <v>0</v>
      </c>
      <c r="S32" s="973" t="n">
        <v>1</v>
      </c>
      <c r="T32" s="973" t="n">
        <v>0</v>
      </c>
      <c r="U32" s="973" t="n">
        <v>0</v>
      </c>
      <c r="V32" s="973" t="n">
        <v>1</v>
      </c>
      <c r="W32" s="973" t="n">
        <v>1</v>
      </c>
      <c r="X32" s="973" t="b">
        <v>0</v>
      </c>
      <c r="Y32" s="973" t="n">
        <v>1</v>
      </c>
      <c r="Z32" s="973" t="n">
        <v>0</v>
      </c>
      <c r="AA32" s="973" t="n">
        <v>0</v>
      </c>
      <c r="AB32" s="973" t="n">
        <v>1</v>
      </c>
      <c r="AC32" s="973" t="n">
        <v>1</v>
      </c>
      <c r="AD32" s="973" t="b">
        <v>0</v>
      </c>
      <c r="AE32" s="973" t="n">
        <v>1</v>
      </c>
      <c r="AF32" s="973" t="n">
        <v>0</v>
      </c>
      <c r="AG32" s="973" t="n">
        <v>0</v>
      </c>
      <c r="AH32" s="973" t="n">
        <v>1</v>
      </c>
      <c r="AI32" s="973" t="n">
        <v>1</v>
      </c>
      <c r="AJ32" s="973" t="b">
        <v>0</v>
      </c>
      <c r="AK32" s="973" t="n">
        <v>1</v>
      </c>
      <c r="AL32" s="973" t="n">
        <v>0</v>
      </c>
      <c r="AM32" s="973" t="n">
        <v>0</v>
      </c>
      <c r="AN32" s="973" t="n">
        <v>1</v>
      </c>
      <c r="AO32" s="973" t="n">
        <v>1</v>
      </c>
    </row>
    <row r="33">
      <c r="A33" s="973" t="inlineStr">
        <is>
          <t>Nation-state</t>
        </is>
      </c>
      <c r="B33" s="973" t="inlineStr">
        <is>
          <t>Data or transaction-integrity compromise</t>
        </is>
      </c>
      <c r="C33" s="973" t="inlineStr">
        <is>
          <t>Insider or trusted access</t>
        </is>
      </c>
      <c r="D33" s="973" t="b">
        <v>1</v>
      </c>
      <c r="E33" s="973" t="n">
        <v>0.002190476190476191</v>
      </c>
      <c r="F33" s="973" t="n">
        <v>1</v>
      </c>
      <c r="G33" s="973" t="n">
        <v>0.29575</v>
      </c>
      <c r="H33" s="973" t="n">
        <v>1</v>
      </c>
      <c r="I33" s="973" t="n">
        <v>1</v>
      </c>
      <c r="J33" s="973" t="n">
        <v>1</v>
      </c>
      <c r="K33" s="973" t="n">
        <v>1</v>
      </c>
      <c r="L33" s="973" t="b">
        <v>0</v>
      </c>
      <c r="M33" s="973" t="n">
        <v>1</v>
      </c>
      <c r="N33" s="973" t="n">
        <v>0</v>
      </c>
      <c r="O33" s="973" t="n">
        <v>0</v>
      </c>
      <c r="P33" s="973" t="n">
        <v>1</v>
      </c>
      <c r="Q33" s="973" t="n">
        <v>1</v>
      </c>
      <c r="R33" s="973" t="b">
        <v>0</v>
      </c>
      <c r="S33" s="973" t="n">
        <v>1</v>
      </c>
      <c r="T33" s="973" t="n">
        <v>0</v>
      </c>
      <c r="U33" s="973" t="n">
        <v>0</v>
      </c>
      <c r="V33" s="973" t="n">
        <v>1</v>
      </c>
      <c r="W33" s="973" t="n">
        <v>1</v>
      </c>
      <c r="X33" s="973" t="b">
        <v>1</v>
      </c>
      <c r="Y33" s="973" t="n">
        <v>0.7</v>
      </c>
      <c r="Z33" s="973" t="n">
        <v>0.2477547340393066</v>
      </c>
      <c r="AA33" s="973" t="n">
        <v>0.2477547340393066</v>
      </c>
      <c r="AB33" s="973" t="n">
        <v>1</v>
      </c>
      <c r="AC33" s="973" t="n">
        <v>0.7</v>
      </c>
      <c r="AD33" s="973" t="b">
        <v>1</v>
      </c>
      <c r="AE33" s="973" t="n">
        <v>0.65</v>
      </c>
      <c r="AF33" s="973" t="n">
        <v>0.106734375</v>
      </c>
      <c r="AG33" s="973" t="n">
        <v>0.106734375</v>
      </c>
      <c r="AH33" s="973" t="n">
        <v>1</v>
      </c>
      <c r="AI33" s="973" t="n">
        <v>0.65</v>
      </c>
      <c r="AJ33" s="973" t="b">
        <v>1</v>
      </c>
      <c r="AK33" s="973" t="n">
        <v>0.65</v>
      </c>
      <c r="AL33" s="973" t="n">
        <v>0.2206064987182617</v>
      </c>
      <c r="AM33" s="973" t="n">
        <v>0.2206064987182617</v>
      </c>
      <c r="AN33" s="973" t="n">
        <v>1</v>
      </c>
      <c r="AO33" s="973" t="n">
        <v>0.65</v>
      </c>
    </row>
    <row r="34">
      <c r="A34" s="973" t="inlineStr">
        <is>
          <t>Nation-state</t>
        </is>
      </c>
      <c r="B34" s="973" t="inlineStr">
        <is>
          <t>Cyber-enabled theft or fraud</t>
        </is>
      </c>
      <c r="C34" s="973" t="inlineStr">
        <is>
          <t>Identity and credential compromise</t>
        </is>
      </c>
      <c r="D34" s="973" t="b">
        <v>1</v>
      </c>
      <c r="E34" s="973" t="n">
        <v>0.005865921787709497</v>
      </c>
      <c r="F34" s="973" t="n">
        <v>1</v>
      </c>
      <c r="G34" s="973" t="n">
        <v>0.10725</v>
      </c>
      <c r="H34" s="973" t="n">
        <v>1</v>
      </c>
      <c r="I34" s="973" t="n">
        <v>1</v>
      </c>
      <c r="J34" s="973" t="n">
        <v>1</v>
      </c>
      <c r="K34" s="973" t="n">
        <v>1</v>
      </c>
      <c r="L34" s="973" t="b">
        <v>1</v>
      </c>
      <c r="M34" s="973" t="n">
        <v>0.3</v>
      </c>
      <c r="N34" s="973" t="n">
        <v>0.2403645833333333</v>
      </c>
      <c r="O34" s="973" t="n">
        <v>0.2403645833333333</v>
      </c>
      <c r="P34" s="973" t="n">
        <v>1</v>
      </c>
      <c r="Q34" s="973" t="n">
        <v>0.3</v>
      </c>
      <c r="R34" s="973" t="b">
        <v>0</v>
      </c>
      <c r="S34" s="973" t="n">
        <v>1</v>
      </c>
      <c r="T34" s="973" t="n">
        <v>0</v>
      </c>
      <c r="U34" s="973" t="n">
        <v>0</v>
      </c>
      <c r="V34" s="973" t="n">
        <v>1</v>
      </c>
      <c r="W34" s="973" t="n">
        <v>1</v>
      </c>
      <c r="X34" s="973" t="b">
        <v>1</v>
      </c>
      <c r="Y34" s="973" t="n">
        <v>0.55</v>
      </c>
      <c r="Z34" s="973" t="n">
        <v>0.2477547340393066</v>
      </c>
      <c r="AA34" s="973" t="n">
        <v>0.2477547340393066</v>
      </c>
      <c r="AB34" s="973" t="n">
        <v>1</v>
      </c>
      <c r="AC34" s="973" t="n">
        <v>0.55</v>
      </c>
      <c r="AD34" s="973" t="b">
        <v>0</v>
      </c>
      <c r="AE34" s="973" t="n">
        <v>1</v>
      </c>
      <c r="AF34" s="973" t="n">
        <v>0</v>
      </c>
      <c r="AG34" s="973" t="n">
        <v>0</v>
      </c>
      <c r="AH34" s="973" t="n">
        <v>1</v>
      </c>
      <c r="AI34" s="973" t="n">
        <v>1</v>
      </c>
      <c r="AJ34" s="973" t="b">
        <v>1</v>
      </c>
      <c r="AK34" s="973" t="n">
        <v>0.65</v>
      </c>
      <c r="AL34" s="973" t="n">
        <v>0.2544820668147161</v>
      </c>
      <c r="AM34" s="973" t="n">
        <v>0.2544820668147161</v>
      </c>
      <c r="AN34" s="973" t="n">
        <v>1</v>
      </c>
      <c r="AO34" s="973" t="n">
        <v>0.65</v>
      </c>
    </row>
    <row r="35">
      <c r="A35" s="973" t="inlineStr">
        <is>
          <t>Nation-state</t>
        </is>
      </c>
      <c r="B35" s="973" t="inlineStr">
        <is>
          <t>Cyber-enabled theft or fraud</t>
        </is>
      </c>
      <c r="C35" s="973" t="inlineStr">
        <is>
          <t>User endpoint and social engineering</t>
        </is>
      </c>
      <c r="D35" s="973" t="b">
        <v>1</v>
      </c>
      <c r="E35" s="973" t="n">
        <v>0.001508379888268157</v>
      </c>
      <c r="F35" s="973" t="n">
        <v>1</v>
      </c>
      <c r="G35" s="973" t="n">
        <v>0.126</v>
      </c>
      <c r="H35" s="973" t="n">
        <v>1</v>
      </c>
      <c r="I35" s="973" t="n">
        <v>1</v>
      </c>
      <c r="J35" s="973" t="n">
        <v>1</v>
      </c>
      <c r="K35" s="973" t="n">
        <v>1</v>
      </c>
      <c r="L35" s="973" t="b">
        <v>1</v>
      </c>
      <c r="M35" s="973" t="n">
        <v>0.35</v>
      </c>
      <c r="N35" s="973" t="n">
        <v>0.20625</v>
      </c>
      <c r="O35" s="973" t="n">
        <v>0.20625</v>
      </c>
      <c r="P35" s="973" t="n">
        <v>1</v>
      </c>
      <c r="Q35" s="973" t="n">
        <v>0.35</v>
      </c>
      <c r="R35" s="973" t="b">
        <v>1</v>
      </c>
      <c r="S35" s="973" t="n">
        <v>0.6</v>
      </c>
      <c r="T35" s="973" t="n">
        <v>0.2124374569163603</v>
      </c>
      <c r="U35" s="973" t="n">
        <v>0.2124374569163603</v>
      </c>
      <c r="V35" s="973" t="n">
        <v>1</v>
      </c>
      <c r="W35" s="973" t="n">
        <v>0.6</v>
      </c>
      <c r="X35" s="973" t="b">
        <v>0</v>
      </c>
      <c r="Y35" s="973" t="n">
        <v>1</v>
      </c>
      <c r="Z35" s="973" t="n">
        <v>0</v>
      </c>
      <c r="AA35" s="973" t="n">
        <v>0</v>
      </c>
      <c r="AB35" s="973" t="n">
        <v>1</v>
      </c>
      <c r="AC35" s="973" t="n">
        <v>1</v>
      </c>
      <c r="AD35" s="973" t="b">
        <v>0</v>
      </c>
      <c r="AE35" s="973" t="n">
        <v>1</v>
      </c>
      <c r="AF35" s="973" t="n">
        <v>0</v>
      </c>
      <c r="AG35" s="973" t="n">
        <v>0</v>
      </c>
      <c r="AH35" s="973" t="n">
        <v>1</v>
      </c>
      <c r="AI35" s="973" t="n">
        <v>1</v>
      </c>
      <c r="AJ35" s="973" t="b">
        <v>1</v>
      </c>
      <c r="AK35" s="973" t="n">
        <v>0.6</v>
      </c>
      <c r="AL35" s="973" t="n">
        <v>0.2481303977966309</v>
      </c>
      <c r="AM35" s="973" t="n">
        <v>0.2481303977966309</v>
      </c>
      <c r="AN35" s="973" t="n">
        <v>1</v>
      </c>
      <c r="AO35" s="973" t="n">
        <v>0.6</v>
      </c>
    </row>
    <row r="36">
      <c r="A36" s="973" t="inlineStr">
        <is>
          <t>Nation-state</t>
        </is>
      </c>
      <c r="B36" s="973" t="inlineStr">
        <is>
          <t>Cyber-enabled theft or fraud</t>
        </is>
      </c>
      <c r="C36" s="973" t="inlineStr">
        <is>
          <t>Public-facing application exploitation</t>
        </is>
      </c>
      <c r="D36" s="973" t="b">
        <v>1</v>
      </c>
      <c r="E36" s="973" t="n">
        <v>0.002011173184357542</v>
      </c>
      <c r="F36" s="973" t="n">
        <v>1</v>
      </c>
      <c r="G36" s="973" t="n">
        <v>0.02025</v>
      </c>
      <c r="H36" s="973" t="n">
        <v>1</v>
      </c>
      <c r="I36" s="973" t="n">
        <v>1</v>
      </c>
      <c r="J36" s="973" t="n">
        <v>1</v>
      </c>
      <c r="K36" s="973" t="n">
        <v>1</v>
      </c>
      <c r="L36" s="973" t="b">
        <v>1</v>
      </c>
      <c r="M36" s="973" t="n">
        <v>0.25</v>
      </c>
      <c r="N36" s="973" t="n">
        <v>0.2496630477905274</v>
      </c>
      <c r="O36" s="973" t="n">
        <v>0.2496630477905274</v>
      </c>
      <c r="P36" s="973" t="n">
        <v>1</v>
      </c>
      <c r="Q36" s="973" t="n">
        <v>0.25</v>
      </c>
      <c r="R36" s="973" t="b">
        <v>1</v>
      </c>
      <c r="S36" s="973" t="n">
        <v>0.6</v>
      </c>
      <c r="T36" s="973" t="n">
        <v>0.1875</v>
      </c>
      <c r="U36" s="973" t="n">
        <v>0.1875</v>
      </c>
      <c r="V36" s="973" t="n">
        <v>1</v>
      </c>
      <c r="W36" s="973" t="n">
        <v>0.6</v>
      </c>
      <c r="X36" s="973" t="b">
        <v>1</v>
      </c>
      <c r="Y36" s="973" t="n">
        <v>0.5</v>
      </c>
      <c r="Z36" s="973" t="n">
        <v>0.2199757778461163</v>
      </c>
      <c r="AA36" s="973" t="n">
        <v>0.2199757778461163</v>
      </c>
      <c r="AB36" s="973" t="n">
        <v>1</v>
      </c>
      <c r="AC36" s="973" t="n">
        <v>0.5</v>
      </c>
      <c r="AD36" s="973" t="b">
        <v>1</v>
      </c>
      <c r="AE36" s="973" t="n">
        <v>0.45</v>
      </c>
      <c r="AF36" s="973" t="n">
        <v>0.1907346013939899</v>
      </c>
      <c r="AG36" s="973" t="n">
        <v>0.1907346013939899</v>
      </c>
      <c r="AH36" s="973" t="n">
        <v>1</v>
      </c>
      <c r="AI36" s="973" t="n">
        <v>0.45</v>
      </c>
      <c r="AJ36" s="973" t="b">
        <v>1</v>
      </c>
      <c r="AK36" s="973" t="n">
        <v>0.6</v>
      </c>
      <c r="AL36" s="973" t="n">
        <v>0.2426256179809571</v>
      </c>
      <c r="AM36" s="973" t="n">
        <v>0.2426256179809571</v>
      </c>
      <c r="AN36" s="973" t="n">
        <v>1</v>
      </c>
      <c r="AO36" s="973" t="n">
        <v>0.6</v>
      </c>
    </row>
    <row r="37">
      <c r="A37" s="973" t="inlineStr">
        <is>
          <t>Nation-state</t>
        </is>
      </c>
      <c r="B37" s="973" t="inlineStr">
        <is>
          <t>Cyber-enabled theft or fraud</t>
        </is>
      </c>
      <c r="C37" s="973" t="inlineStr">
        <is>
          <t>Third-party or software supply chain</t>
        </is>
      </c>
      <c r="D37" s="973" t="b">
        <v>1</v>
      </c>
      <c r="E37" s="973" t="n">
        <v>0.001675977653631285</v>
      </c>
      <c r="F37" s="973" t="n">
        <v>1</v>
      </c>
      <c r="G37" s="973" t="n">
        <v>0.196625</v>
      </c>
      <c r="H37" s="973" t="n">
        <v>1</v>
      </c>
      <c r="I37" s="973" t="n">
        <v>1</v>
      </c>
      <c r="J37" s="973" t="n">
        <v>1</v>
      </c>
      <c r="K37" s="973" t="n">
        <v>1</v>
      </c>
      <c r="L37" s="973" t="b">
        <v>0</v>
      </c>
      <c r="M37" s="973" t="n">
        <v>1</v>
      </c>
      <c r="N37" s="973" t="n">
        <v>0</v>
      </c>
      <c r="O37" s="973" t="n">
        <v>0</v>
      </c>
      <c r="P37" s="973" t="n">
        <v>1</v>
      </c>
      <c r="Q37" s="973" t="n">
        <v>1</v>
      </c>
      <c r="R37" s="973" t="b">
        <v>0</v>
      </c>
      <c r="S37" s="973" t="n">
        <v>1</v>
      </c>
      <c r="T37" s="973" t="n">
        <v>0</v>
      </c>
      <c r="U37" s="973" t="n">
        <v>0</v>
      </c>
      <c r="V37" s="973" t="n">
        <v>1</v>
      </c>
      <c r="W37" s="973" t="n">
        <v>1</v>
      </c>
      <c r="X37" s="973" t="b">
        <v>1</v>
      </c>
      <c r="Y37" s="973" t="n">
        <v>0.55</v>
      </c>
      <c r="Z37" s="973" t="n">
        <v>0.22181427526474</v>
      </c>
      <c r="AA37" s="973" t="n">
        <v>0.22181427526474</v>
      </c>
      <c r="AB37" s="973" t="n">
        <v>1</v>
      </c>
      <c r="AC37" s="973" t="n">
        <v>0.55</v>
      </c>
      <c r="AD37" s="973" t="b">
        <v>1</v>
      </c>
      <c r="AE37" s="973" t="n">
        <v>0.55</v>
      </c>
      <c r="AF37" s="973" t="n">
        <v>0.10376953125</v>
      </c>
      <c r="AG37" s="973" t="n">
        <v>0.10376953125</v>
      </c>
      <c r="AH37" s="973" t="n">
        <v>1</v>
      </c>
      <c r="AI37" s="973" t="n">
        <v>0.55</v>
      </c>
      <c r="AJ37" s="973" t="b">
        <v>1</v>
      </c>
      <c r="AK37" s="973" t="n">
        <v>0.65</v>
      </c>
      <c r="AL37" s="973" t="n">
        <v>0.2456282251531427</v>
      </c>
      <c r="AM37" s="973" t="n">
        <v>0.2456282251531427</v>
      </c>
      <c r="AN37" s="973" t="n">
        <v>1</v>
      </c>
      <c r="AO37" s="973" t="n">
        <v>0.65</v>
      </c>
    </row>
    <row r="38">
      <c r="A38" s="973" t="inlineStr">
        <is>
          <t>Nation-state</t>
        </is>
      </c>
      <c r="B38" s="973" t="inlineStr">
        <is>
          <t>Cyber-enabled theft or fraud</t>
        </is>
      </c>
      <c r="C38" s="973" t="inlineStr">
        <is>
          <t>Direct availability or DDoS</t>
        </is>
      </c>
      <c r="D38" s="973" t="b">
        <v>0</v>
      </c>
      <c r="E38" s="973" t="n">
        <v>0</v>
      </c>
      <c r="F38" s="973" t="n">
        <v>1</v>
      </c>
      <c r="G38" s="973" t="n">
        <v>0</v>
      </c>
      <c r="H38" s="973" t="n">
        <v>1</v>
      </c>
      <c r="I38" s="973" t="n">
        <v>1</v>
      </c>
      <c r="J38" s="973" t="n">
        <v>1</v>
      </c>
      <c r="K38" s="973" t="n">
        <v>1</v>
      </c>
      <c r="L38" s="973" t="b">
        <v>0</v>
      </c>
      <c r="M38" s="973" t="n">
        <v>1</v>
      </c>
      <c r="N38" s="973" t="n">
        <v>0</v>
      </c>
      <c r="O38" s="973" t="n">
        <v>0</v>
      </c>
      <c r="P38" s="973" t="n">
        <v>1</v>
      </c>
      <c r="Q38" s="973" t="n">
        <v>1</v>
      </c>
      <c r="R38" s="973" t="b">
        <v>0</v>
      </c>
      <c r="S38" s="973" t="n">
        <v>1</v>
      </c>
      <c r="T38" s="973" t="n">
        <v>0</v>
      </c>
      <c r="U38" s="973" t="n">
        <v>0</v>
      </c>
      <c r="V38" s="973" t="n">
        <v>1</v>
      </c>
      <c r="W38" s="973" t="n">
        <v>1</v>
      </c>
      <c r="X38" s="973" t="b">
        <v>0</v>
      </c>
      <c r="Y38" s="973" t="n">
        <v>1</v>
      </c>
      <c r="Z38" s="973" t="n">
        <v>0</v>
      </c>
      <c r="AA38" s="973" t="n">
        <v>0</v>
      </c>
      <c r="AB38" s="973" t="n">
        <v>1</v>
      </c>
      <c r="AC38" s="973" t="n">
        <v>1</v>
      </c>
      <c r="AD38" s="973" t="b">
        <v>0</v>
      </c>
      <c r="AE38" s="973" t="n">
        <v>1</v>
      </c>
      <c r="AF38" s="973" t="n">
        <v>0</v>
      </c>
      <c r="AG38" s="973" t="n">
        <v>0</v>
      </c>
      <c r="AH38" s="973" t="n">
        <v>1</v>
      </c>
      <c r="AI38" s="973" t="n">
        <v>1</v>
      </c>
      <c r="AJ38" s="973" t="b">
        <v>0</v>
      </c>
      <c r="AK38" s="973" t="n">
        <v>1</v>
      </c>
      <c r="AL38" s="973" t="n">
        <v>0</v>
      </c>
      <c r="AM38" s="973" t="n">
        <v>0</v>
      </c>
      <c r="AN38" s="973" t="n">
        <v>1</v>
      </c>
      <c r="AO38" s="973" t="n">
        <v>1</v>
      </c>
    </row>
    <row r="39">
      <c r="A39" s="973" t="inlineStr">
        <is>
          <t>Nation-state</t>
        </is>
      </c>
      <c r="B39" s="973" t="inlineStr">
        <is>
          <t>Cyber-enabled theft or fraud</t>
        </is>
      </c>
      <c r="C39" s="973" t="inlineStr">
        <is>
          <t>Insider or trusted access</t>
        </is>
      </c>
      <c r="D39" s="973" t="b">
        <v>1</v>
      </c>
      <c r="E39" s="973" t="n">
        <v>0.0009385474860335197</v>
      </c>
      <c r="F39" s="973" t="n">
        <v>1</v>
      </c>
      <c r="G39" s="973" t="n">
        <v>0.455</v>
      </c>
      <c r="H39" s="973" t="n">
        <v>1</v>
      </c>
      <c r="I39" s="973" t="n">
        <v>1</v>
      </c>
      <c r="J39" s="973" t="n">
        <v>1</v>
      </c>
      <c r="K39" s="973" t="n">
        <v>1</v>
      </c>
      <c r="L39" s="973" t="b">
        <v>0</v>
      </c>
      <c r="M39" s="973" t="n">
        <v>1</v>
      </c>
      <c r="N39" s="973" t="n">
        <v>0</v>
      </c>
      <c r="O39" s="973" t="n">
        <v>0</v>
      </c>
      <c r="P39" s="973" t="n">
        <v>1</v>
      </c>
      <c r="Q39" s="973" t="n">
        <v>1</v>
      </c>
      <c r="R39" s="973" t="b">
        <v>0</v>
      </c>
      <c r="S39" s="973" t="n">
        <v>1</v>
      </c>
      <c r="T39" s="973" t="n">
        <v>0</v>
      </c>
      <c r="U39" s="973" t="n">
        <v>0</v>
      </c>
      <c r="V39" s="973" t="n">
        <v>1</v>
      </c>
      <c r="W39" s="973" t="n">
        <v>1</v>
      </c>
      <c r="X39" s="973" t="b">
        <v>1</v>
      </c>
      <c r="Y39" s="973" t="n">
        <v>0.7</v>
      </c>
      <c r="Z39" s="973" t="n">
        <v>0.2477547340393066</v>
      </c>
      <c r="AA39" s="973" t="n">
        <v>0.2477547340393066</v>
      </c>
      <c r="AB39" s="973" t="n">
        <v>1</v>
      </c>
      <c r="AC39" s="973" t="n">
        <v>0.7</v>
      </c>
      <c r="AD39" s="973" t="b">
        <v>0</v>
      </c>
      <c r="AE39" s="973" t="n">
        <v>1</v>
      </c>
      <c r="AF39" s="973" t="n">
        <v>0</v>
      </c>
      <c r="AG39" s="973" t="n">
        <v>0</v>
      </c>
      <c r="AH39" s="973" t="n">
        <v>1</v>
      </c>
      <c r="AI39" s="973" t="n">
        <v>1</v>
      </c>
      <c r="AJ39" s="973" t="b">
        <v>1</v>
      </c>
      <c r="AK39" s="973" t="n">
        <v>0.65</v>
      </c>
      <c r="AL39" s="973" t="n">
        <v>0.2481303977966309</v>
      </c>
      <c r="AM39" s="973" t="n">
        <v>0.2481303977966309</v>
      </c>
      <c r="AN39" s="973" t="n">
        <v>1</v>
      </c>
      <c r="AO39" s="973" t="n">
        <v>0.65</v>
      </c>
    </row>
    <row r="40">
      <c r="A40" s="973" t="inlineStr">
        <is>
          <t>Cybercriminal</t>
        </is>
      </c>
      <c r="B40" s="973" t="inlineStr">
        <is>
          <t>Critical business-service disruption</t>
        </is>
      </c>
      <c r="C40" s="973" t="inlineStr">
        <is>
          <t>Identity and credential compromise</t>
        </is>
      </c>
      <c r="D40" s="973" t="b">
        <v>1</v>
      </c>
      <c r="E40" s="973" t="n">
        <v>0.04986420423682782</v>
      </c>
      <c r="F40" s="973" t="n">
        <v>1</v>
      </c>
      <c r="G40" s="973" t="n">
        <v>0.05898750000000001</v>
      </c>
      <c r="H40" s="973" t="n">
        <v>1</v>
      </c>
      <c r="I40" s="973" t="n">
        <v>1</v>
      </c>
      <c r="J40" s="973" t="n">
        <v>1</v>
      </c>
      <c r="K40" s="973" t="n">
        <v>1</v>
      </c>
      <c r="L40" s="973" t="b">
        <v>1</v>
      </c>
      <c r="M40" s="973" t="n">
        <v>0.3</v>
      </c>
      <c r="N40" s="973" t="n">
        <v>0.2403645833333333</v>
      </c>
      <c r="O40" s="973" t="n">
        <v>0.2403645833333333</v>
      </c>
      <c r="P40" s="973" t="n">
        <v>1</v>
      </c>
      <c r="Q40" s="973" t="n">
        <v>0.3</v>
      </c>
      <c r="R40" s="973" t="b">
        <v>0</v>
      </c>
      <c r="S40" s="973" t="n">
        <v>1</v>
      </c>
      <c r="T40" s="973" t="n">
        <v>0</v>
      </c>
      <c r="U40" s="973" t="n">
        <v>0</v>
      </c>
      <c r="V40" s="973" t="n">
        <v>1</v>
      </c>
      <c r="W40" s="973" t="n">
        <v>1</v>
      </c>
      <c r="X40" s="973" t="b">
        <v>1</v>
      </c>
      <c r="Y40" s="973" t="n">
        <v>0.55</v>
      </c>
      <c r="Z40" s="973" t="n">
        <v>0.2477547340393066</v>
      </c>
      <c r="AA40" s="973" t="n">
        <v>0.2477547340393066</v>
      </c>
      <c r="AB40" s="973" t="n">
        <v>1</v>
      </c>
      <c r="AC40" s="973" t="n">
        <v>0.55</v>
      </c>
      <c r="AD40" s="973" t="b">
        <v>1</v>
      </c>
      <c r="AE40" s="973" t="n">
        <v>0.55</v>
      </c>
      <c r="AF40" s="973" t="n">
        <v>0</v>
      </c>
      <c r="AG40" s="973" t="n">
        <v>0</v>
      </c>
      <c r="AH40" s="973" t="n">
        <v>1</v>
      </c>
      <c r="AI40" s="973" t="n">
        <v>0.55</v>
      </c>
      <c r="AJ40" s="973" t="b">
        <v>1</v>
      </c>
      <c r="AK40" s="973" t="n">
        <v>0.65</v>
      </c>
      <c r="AL40" s="973" t="n">
        <v>0.1269045829772949</v>
      </c>
      <c r="AM40" s="973" t="n">
        <v>0.1269045829772949</v>
      </c>
      <c r="AN40" s="973" t="n">
        <v>1</v>
      </c>
      <c r="AO40" s="973" t="n">
        <v>0.65</v>
      </c>
    </row>
    <row r="41">
      <c r="A41" s="973" t="inlineStr">
        <is>
          <t>Cybercriminal</t>
        </is>
      </c>
      <c r="B41" s="973" t="inlineStr">
        <is>
          <t>Critical business-service disruption</t>
        </is>
      </c>
      <c r="C41" s="973" t="inlineStr">
        <is>
          <t>User endpoint and social engineering</t>
        </is>
      </c>
      <c r="D41" s="973" t="b">
        <v>1</v>
      </c>
      <c r="E41" s="973" t="n">
        <v>0.06094513851167845</v>
      </c>
      <c r="F41" s="973" t="n">
        <v>1</v>
      </c>
      <c r="G41" s="973" t="n">
        <v>0.025515</v>
      </c>
      <c r="H41" s="973" t="n">
        <v>1</v>
      </c>
      <c r="I41" s="973" t="n">
        <v>1</v>
      </c>
      <c r="J41" s="973" t="n">
        <v>1</v>
      </c>
      <c r="K41" s="973" t="n">
        <v>1</v>
      </c>
      <c r="L41" s="973" t="b">
        <v>1</v>
      </c>
      <c r="M41" s="973" t="n">
        <v>0.35</v>
      </c>
      <c r="N41" s="973" t="n">
        <v>0.20625</v>
      </c>
      <c r="O41" s="973" t="n">
        <v>0.20625</v>
      </c>
      <c r="P41" s="973" t="n">
        <v>1</v>
      </c>
      <c r="Q41" s="973" t="n">
        <v>0.35</v>
      </c>
      <c r="R41" s="973" t="b">
        <v>1</v>
      </c>
      <c r="S41" s="973" t="n">
        <v>0.6</v>
      </c>
      <c r="T41" s="973" t="n">
        <v>0.2124374569163603</v>
      </c>
      <c r="U41" s="973" t="n">
        <v>0.2124374569163603</v>
      </c>
      <c r="V41" s="973" t="n">
        <v>1</v>
      </c>
      <c r="W41" s="973" t="n">
        <v>0.6</v>
      </c>
      <c r="X41" s="973" t="b">
        <v>1</v>
      </c>
      <c r="Y41" s="973" t="n">
        <v>0.45</v>
      </c>
      <c r="Z41" s="973" t="n">
        <v>0.2216183303833008</v>
      </c>
      <c r="AA41" s="973" t="n">
        <v>0.2216183303833008</v>
      </c>
      <c r="AB41" s="973" t="n">
        <v>1</v>
      </c>
      <c r="AC41" s="973" t="n">
        <v>0.45</v>
      </c>
      <c r="AD41" s="973" t="b">
        <v>1</v>
      </c>
      <c r="AE41" s="973" t="n">
        <v>0.45</v>
      </c>
      <c r="AF41" s="973" t="n">
        <v>0.1794642857142857</v>
      </c>
      <c r="AG41" s="973" t="n">
        <v>0.1794642857142857</v>
      </c>
      <c r="AH41" s="973" t="n">
        <v>1</v>
      </c>
      <c r="AI41" s="973" t="n">
        <v>0.45</v>
      </c>
      <c r="AJ41" s="973" t="b">
        <v>1</v>
      </c>
      <c r="AK41" s="973" t="n">
        <v>0.6</v>
      </c>
      <c r="AL41" s="973" t="n">
        <v>0.1226516246795654</v>
      </c>
      <c r="AM41" s="973" t="n">
        <v>0.1226516246795654</v>
      </c>
      <c r="AN41" s="973" t="n">
        <v>1</v>
      </c>
      <c r="AO41" s="973" t="n">
        <v>0.6</v>
      </c>
    </row>
    <row r="42">
      <c r="A42" s="973" t="inlineStr">
        <is>
          <t>Cybercriminal</t>
        </is>
      </c>
      <c r="B42" s="973" t="inlineStr">
        <is>
          <t>Critical business-service disruption</t>
        </is>
      </c>
      <c r="C42" s="973" t="inlineStr">
        <is>
          <t>Public-facing application exploitation</t>
        </is>
      </c>
      <c r="D42" s="973" t="b">
        <v>1</v>
      </c>
      <c r="E42" s="973" t="n">
        <v>0.05606952743074417</v>
      </c>
      <c r="F42" s="973" t="n">
        <v>1</v>
      </c>
      <c r="G42" s="973" t="n">
        <v>0.02025</v>
      </c>
      <c r="H42" s="973" t="n">
        <v>1</v>
      </c>
      <c r="I42" s="973" t="n">
        <v>1</v>
      </c>
      <c r="J42" s="973" t="n">
        <v>1</v>
      </c>
      <c r="K42" s="973" t="n">
        <v>1</v>
      </c>
      <c r="L42" s="973" t="b">
        <v>1</v>
      </c>
      <c r="M42" s="973" t="n">
        <v>0.25</v>
      </c>
      <c r="N42" s="973" t="n">
        <v>0.2496630477905274</v>
      </c>
      <c r="O42" s="973" t="n">
        <v>0.2496630477905274</v>
      </c>
      <c r="P42" s="973" t="n">
        <v>1</v>
      </c>
      <c r="Q42" s="973" t="n">
        <v>0.25</v>
      </c>
      <c r="R42" s="973" t="b">
        <v>1</v>
      </c>
      <c r="S42" s="973" t="n">
        <v>0.6</v>
      </c>
      <c r="T42" s="973" t="n">
        <v>0.1875</v>
      </c>
      <c r="U42" s="973" t="n">
        <v>0.1875</v>
      </c>
      <c r="V42" s="973" t="n">
        <v>1</v>
      </c>
      <c r="W42" s="973" t="n">
        <v>0.6</v>
      </c>
      <c r="X42" s="973" t="b">
        <v>1</v>
      </c>
      <c r="Y42" s="973" t="n">
        <v>0.5</v>
      </c>
      <c r="Z42" s="973" t="n">
        <v>0.2199757778461163</v>
      </c>
      <c r="AA42" s="973" t="n">
        <v>0.2199757778461163</v>
      </c>
      <c r="AB42" s="973" t="n">
        <v>1</v>
      </c>
      <c r="AC42" s="973" t="n">
        <v>0.5</v>
      </c>
      <c r="AD42" s="973" t="b">
        <v>1</v>
      </c>
      <c r="AE42" s="973" t="n">
        <v>0.45</v>
      </c>
      <c r="AF42" s="973" t="n">
        <v>0.1907346013939899</v>
      </c>
      <c r="AG42" s="973" t="n">
        <v>0.1907346013939899</v>
      </c>
      <c r="AH42" s="973" t="n">
        <v>1</v>
      </c>
      <c r="AI42" s="973" t="n">
        <v>0.45</v>
      </c>
      <c r="AJ42" s="973" t="b">
        <v>1</v>
      </c>
      <c r="AK42" s="973" t="n">
        <v>0.6</v>
      </c>
      <c r="AL42" s="973" t="n">
        <v>0.1374199407240924</v>
      </c>
      <c r="AM42" s="973" t="n">
        <v>0.1374199407240924</v>
      </c>
      <c r="AN42" s="973" t="n">
        <v>1</v>
      </c>
      <c r="AO42" s="973" t="n">
        <v>0.6</v>
      </c>
    </row>
    <row r="43">
      <c r="A43" s="973" t="inlineStr">
        <is>
          <t>Cybercriminal</t>
        </is>
      </c>
      <c r="B43" s="973" t="inlineStr">
        <is>
          <t>Critical business-service disruption</t>
        </is>
      </c>
      <c r="C43" s="973" t="inlineStr">
        <is>
          <t>Third-party or software supply chain</t>
        </is>
      </c>
      <c r="D43" s="973" t="b">
        <v>1</v>
      </c>
      <c r="E43" s="973" t="n">
        <v>0.01662140141227594</v>
      </c>
      <c r="F43" s="973" t="n">
        <v>1</v>
      </c>
      <c r="G43" s="973" t="n">
        <v>0.196625</v>
      </c>
      <c r="H43" s="973" t="n">
        <v>1</v>
      </c>
      <c r="I43" s="973" t="n">
        <v>1</v>
      </c>
      <c r="J43" s="973" t="n">
        <v>1</v>
      </c>
      <c r="K43" s="973" t="n">
        <v>1</v>
      </c>
      <c r="L43" s="973" t="b">
        <v>0</v>
      </c>
      <c r="M43" s="973" t="n">
        <v>1</v>
      </c>
      <c r="N43" s="973" t="n">
        <v>0</v>
      </c>
      <c r="O43" s="973" t="n">
        <v>0</v>
      </c>
      <c r="P43" s="973" t="n">
        <v>1</v>
      </c>
      <c r="Q43" s="973" t="n">
        <v>1</v>
      </c>
      <c r="R43" s="973" t="b">
        <v>0</v>
      </c>
      <c r="S43" s="973" t="n">
        <v>1</v>
      </c>
      <c r="T43" s="973" t="n">
        <v>0</v>
      </c>
      <c r="U43" s="973" t="n">
        <v>0</v>
      </c>
      <c r="V43" s="973" t="n">
        <v>1</v>
      </c>
      <c r="W43" s="973" t="n">
        <v>1</v>
      </c>
      <c r="X43" s="973" t="b">
        <v>1</v>
      </c>
      <c r="Y43" s="973" t="n">
        <v>0.55</v>
      </c>
      <c r="Z43" s="973" t="n">
        <v>0.22181427526474</v>
      </c>
      <c r="AA43" s="973" t="n">
        <v>0.22181427526474</v>
      </c>
      <c r="AB43" s="973" t="n">
        <v>1</v>
      </c>
      <c r="AC43" s="973" t="n">
        <v>0.55</v>
      </c>
      <c r="AD43" s="973" t="b">
        <v>1</v>
      </c>
      <c r="AE43" s="973" t="n">
        <v>0.55</v>
      </c>
      <c r="AF43" s="973" t="n">
        <v>0</v>
      </c>
      <c r="AG43" s="973" t="n">
        <v>0</v>
      </c>
      <c r="AH43" s="973" t="n">
        <v>1</v>
      </c>
      <c r="AI43" s="973" t="n">
        <v>0.55</v>
      </c>
      <c r="AJ43" s="973" t="b">
        <v>1</v>
      </c>
      <c r="AK43" s="973" t="n">
        <v>0.65</v>
      </c>
      <c r="AL43" s="973" t="n">
        <v>0.1970353629372337</v>
      </c>
      <c r="AM43" s="973" t="n">
        <v>0.1970353629372337</v>
      </c>
      <c r="AN43" s="973" t="n">
        <v>1</v>
      </c>
      <c r="AO43" s="973" t="n">
        <v>0.65</v>
      </c>
    </row>
    <row r="44">
      <c r="A44" s="973" t="inlineStr">
        <is>
          <t>Cybercriminal</t>
        </is>
      </c>
      <c r="B44" s="973" t="inlineStr">
        <is>
          <t>Critical business-service disruption</t>
        </is>
      </c>
      <c r="C44" s="973" t="inlineStr">
        <is>
          <t>Direct availability or DDoS</t>
        </is>
      </c>
      <c r="D44" s="973" t="b">
        <v>1</v>
      </c>
      <c r="E44" s="973" t="n">
        <v>0.017729494839761</v>
      </c>
      <c r="F44" s="973" t="n">
        <v>1</v>
      </c>
      <c r="G44" s="973" t="n">
        <v>0.36</v>
      </c>
      <c r="H44" s="973" t="n">
        <v>1</v>
      </c>
      <c r="I44" s="973" t="n">
        <v>1</v>
      </c>
      <c r="J44" s="973" t="n">
        <v>1</v>
      </c>
      <c r="K44" s="973" t="n">
        <v>1</v>
      </c>
      <c r="L44" s="973" t="b">
        <v>1</v>
      </c>
      <c r="M44" s="973" t="n">
        <v>0.6</v>
      </c>
      <c r="N44" s="973" t="n">
        <v>0.2866992187499999</v>
      </c>
      <c r="O44" s="973" t="n">
        <v>0.2866992187499999</v>
      </c>
      <c r="P44" s="973" t="n">
        <v>1</v>
      </c>
      <c r="Q44" s="973" t="n">
        <v>0.6</v>
      </c>
      <c r="R44" s="973" t="b">
        <v>0</v>
      </c>
      <c r="S44" s="973" t="n">
        <v>1</v>
      </c>
      <c r="T44" s="973" t="n">
        <v>0</v>
      </c>
      <c r="U44" s="973" t="n">
        <v>0</v>
      </c>
      <c r="V44" s="973" t="n">
        <v>1</v>
      </c>
      <c r="W44" s="973" t="n">
        <v>1</v>
      </c>
      <c r="X44" s="973" t="b">
        <v>0</v>
      </c>
      <c r="Y44" s="973" t="n">
        <v>1</v>
      </c>
      <c r="Z44" s="973" t="n">
        <v>0</v>
      </c>
      <c r="AA44" s="973" t="n">
        <v>0</v>
      </c>
      <c r="AB44" s="973" t="n">
        <v>1</v>
      </c>
      <c r="AC44" s="973" t="n">
        <v>1</v>
      </c>
      <c r="AD44" s="973" t="b">
        <v>0</v>
      </c>
      <c r="AE44" s="973" t="n">
        <v>1</v>
      </c>
      <c r="AF44" s="973" t="n">
        <v>0</v>
      </c>
      <c r="AG44" s="973" t="n">
        <v>0</v>
      </c>
      <c r="AH44" s="973" t="n">
        <v>1</v>
      </c>
      <c r="AI44" s="973" t="n">
        <v>1</v>
      </c>
      <c r="AJ44" s="973" t="b">
        <v>1</v>
      </c>
      <c r="AK44" s="973" t="n">
        <v>0.6</v>
      </c>
      <c r="AL44" s="973" t="n">
        <v>0.225</v>
      </c>
      <c r="AM44" s="973" t="n">
        <v>0.225</v>
      </c>
      <c r="AN44" s="973" t="n">
        <v>1</v>
      </c>
      <c r="AO44" s="973" t="n">
        <v>0.6</v>
      </c>
    </row>
    <row r="45">
      <c r="A45" s="973" t="inlineStr">
        <is>
          <t>Cybercriminal</t>
        </is>
      </c>
      <c r="B45" s="973" t="inlineStr">
        <is>
          <t>Critical business-service disruption</t>
        </is>
      </c>
      <c r="C45" s="973" t="inlineStr">
        <is>
          <t>Insider or trusted access</t>
        </is>
      </c>
      <c r="D45" s="973" t="b">
        <v>1</v>
      </c>
      <c r="E45" s="973" t="n">
        <v>0.002770233568712657</v>
      </c>
      <c r="F45" s="973" t="n">
        <v>1</v>
      </c>
      <c r="G45" s="973" t="n">
        <v>0.29575</v>
      </c>
      <c r="H45" s="973" t="n">
        <v>1</v>
      </c>
      <c r="I45" s="973" t="n">
        <v>1</v>
      </c>
      <c r="J45" s="973" t="n">
        <v>1</v>
      </c>
      <c r="K45" s="973" t="n">
        <v>1</v>
      </c>
      <c r="L45" s="973" t="b">
        <v>0</v>
      </c>
      <c r="M45" s="973" t="n">
        <v>1</v>
      </c>
      <c r="N45" s="973" t="n">
        <v>0</v>
      </c>
      <c r="O45" s="973" t="n">
        <v>0</v>
      </c>
      <c r="P45" s="973" t="n">
        <v>1</v>
      </c>
      <c r="Q45" s="973" t="n">
        <v>1</v>
      </c>
      <c r="R45" s="973" t="b">
        <v>0</v>
      </c>
      <c r="S45" s="973" t="n">
        <v>1</v>
      </c>
      <c r="T45" s="973" t="n">
        <v>0</v>
      </c>
      <c r="U45" s="973" t="n">
        <v>0</v>
      </c>
      <c r="V45" s="973" t="n">
        <v>1</v>
      </c>
      <c r="W45" s="973" t="n">
        <v>1</v>
      </c>
      <c r="X45" s="973" t="b">
        <v>1</v>
      </c>
      <c r="Y45" s="973" t="n">
        <v>0.7</v>
      </c>
      <c r="Z45" s="973" t="n">
        <v>0.2477547340393066</v>
      </c>
      <c r="AA45" s="973" t="n">
        <v>0.2477547340393066</v>
      </c>
      <c r="AB45" s="973" t="n">
        <v>1</v>
      </c>
      <c r="AC45" s="973" t="n">
        <v>0.7</v>
      </c>
      <c r="AD45" s="973" t="b">
        <v>1</v>
      </c>
      <c r="AE45" s="973" t="n">
        <v>0.65</v>
      </c>
      <c r="AF45" s="973" t="n">
        <v>0</v>
      </c>
      <c r="AG45" s="973" t="n">
        <v>0</v>
      </c>
      <c r="AH45" s="973" t="n">
        <v>1</v>
      </c>
      <c r="AI45" s="973" t="n">
        <v>0.65</v>
      </c>
      <c r="AJ45" s="973" t="b">
        <v>1</v>
      </c>
      <c r="AK45" s="973" t="n">
        <v>0.65</v>
      </c>
      <c r="AL45" s="973" t="n">
        <v>0.2206064987182617</v>
      </c>
      <c r="AM45" s="973" t="n">
        <v>0.2206064987182617</v>
      </c>
      <c r="AN45" s="973" t="n">
        <v>1</v>
      </c>
      <c r="AO45" s="973" t="n">
        <v>0.65</v>
      </c>
    </row>
    <row r="46">
      <c r="A46" s="973" t="inlineStr">
        <is>
          <t>Cybercriminal</t>
        </is>
      </c>
      <c r="B46" s="973" t="inlineStr">
        <is>
          <t>Sensitive-data compromise</t>
        </is>
      </c>
      <c r="C46" s="973" t="inlineStr">
        <is>
          <t>Identity and credential compromise</t>
        </is>
      </c>
      <c r="D46" s="973" t="b">
        <v>1</v>
      </c>
      <c r="E46" s="973" t="n">
        <v>0.07063711911357341</v>
      </c>
      <c r="F46" s="973" t="n">
        <v>1</v>
      </c>
      <c r="G46" s="973" t="n">
        <v>0.05898750000000001</v>
      </c>
      <c r="H46" s="973" t="n">
        <v>1</v>
      </c>
      <c r="I46" s="973" t="n">
        <v>1</v>
      </c>
      <c r="J46" s="973" t="n">
        <v>1</v>
      </c>
      <c r="K46" s="973" t="n">
        <v>1</v>
      </c>
      <c r="L46" s="973" t="b">
        <v>1</v>
      </c>
      <c r="M46" s="973" t="n">
        <v>0.3</v>
      </c>
      <c r="N46" s="973" t="n">
        <v>0.2403645833333333</v>
      </c>
      <c r="O46" s="973" t="n">
        <v>0.2403645833333333</v>
      </c>
      <c r="P46" s="973" t="n">
        <v>1</v>
      </c>
      <c r="Q46" s="973" t="n">
        <v>0.3</v>
      </c>
      <c r="R46" s="973" t="b">
        <v>0</v>
      </c>
      <c r="S46" s="973" t="n">
        <v>1</v>
      </c>
      <c r="T46" s="973" t="n">
        <v>0</v>
      </c>
      <c r="U46" s="973" t="n">
        <v>0</v>
      </c>
      <c r="V46" s="973" t="n">
        <v>1</v>
      </c>
      <c r="W46" s="973" t="n">
        <v>1</v>
      </c>
      <c r="X46" s="973" t="b">
        <v>1</v>
      </c>
      <c r="Y46" s="973" t="n">
        <v>0.55</v>
      </c>
      <c r="Z46" s="973" t="n">
        <v>0.2477547340393066</v>
      </c>
      <c r="AA46" s="973" t="n">
        <v>0.2477547340393066</v>
      </c>
      <c r="AB46" s="973" t="n">
        <v>1</v>
      </c>
      <c r="AC46" s="973" t="n">
        <v>0.55</v>
      </c>
      <c r="AD46" s="973" t="b">
        <v>1</v>
      </c>
      <c r="AE46" s="973" t="n">
        <v>0.55</v>
      </c>
      <c r="AF46" s="973" t="n">
        <v>0.1016517857142858</v>
      </c>
      <c r="AG46" s="973" t="n">
        <v>0.1016517857142858</v>
      </c>
      <c r="AH46" s="973" t="n">
        <v>1</v>
      </c>
      <c r="AI46" s="973" t="n">
        <v>0.55</v>
      </c>
      <c r="AJ46" s="973" t="b">
        <v>1</v>
      </c>
      <c r="AK46" s="973" t="n">
        <v>0.65</v>
      </c>
      <c r="AL46" s="973" t="n">
        <v>0.20625</v>
      </c>
      <c r="AM46" s="973" t="n">
        <v>0.20625</v>
      </c>
      <c r="AN46" s="973" t="n">
        <v>1</v>
      </c>
      <c r="AO46" s="973" t="n">
        <v>0.65</v>
      </c>
    </row>
    <row r="47">
      <c r="A47" s="973" t="inlineStr">
        <is>
          <t>Cybercriminal</t>
        </is>
      </c>
      <c r="B47" s="973" t="inlineStr">
        <is>
          <t>Sensitive-data compromise</t>
        </is>
      </c>
      <c r="C47" s="973" t="inlineStr">
        <is>
          <t>User endpoint and social engineering</t>
        </is>
      </c>
      <c r="D47" s="973" t="b">
        <v>1</v>
      </c>
      <c r="E47" s="973" t="n">
        <v>0.04316712834718375</v>
      </c>
      <c r="F47" s="973" t="n">
        <v>1</v>
      </c>
      <c r="G47" s="973" t="n">
        <v>0.025515</v>
      </c>
      <c r="H47" s="973" t="n">
        <v>1</v>
      </c>
      <c r="I47" s="973" t="n">
        <v>1</v>
      </c>
      <c r="J47" s="973" t="n">
        <v>1</v>
      </c>
      <c r="K47" s="973" t="n">
        <v>1</v>
      </c>
      <c r="L47" s="973" t="b">
        <v>1</v>
      </c>
      <c r="M47" s="973" t="n">
        <v>0.35</v>
      </c>
      <c r="N47" s="973" t="n">
        <v>0.20625</v>
      </c>
      <c r="O47" s="973" t="n">
        <v>0.20625</v>
      </c>
      <c r="P47" s="973" t="n">
        <v>1</v>
      </c>
      <c r="Q47" s="973" t="n">
        <v>0.35</v>
      </c>
      <c r="R47" s="973" t="b">
        <v>1</v>
      </c>
      <c r="S47" s="973" t="n">
        <v>0.6</v>
      </c>
      <c r="T47" s="973" t="n">
        <v>0.2124374569163603</v>
      </c>
      <c r="U47" s="973" t="n">
        <v>0.2124374569163603</v>
      </c>
      <c r="V47" s="973" t="n">
        <v>1</v>
      </c>
      <c r="W47" s="973" t="n">
        <v>0.6</v>
      </c>
      <c r="X47" s="973" t="b">
        <v>1</v>
      </c>
      <c r="Y47" s="973" t="n">
        <v>0.45</v>
      </c>
      <c r="Z47" s="973" t="n">
        <v>0.2216183303833008</v>
      </c>
      <c r="AA47" s="973" t="n">
        <v>0.2216183303833008</v>
      </c>
      <c r="AB47" s="973" t="n">
        <v>1</v>
      </c>
      <c r="AC47" s="973" t="n">
        <v>0.45</v>
      </c>
      <c r="AD47" s="973" t="b">
        <v>1</v>
      </c>
      <c r="AE47" s="973" t="n">
        <v>0.45</v>
      </c>
      <c r="AF47" s="973" t="n">
        <v>0.1789397321428572</v>
      </c>
      <c r="AG47" s="973" t="n">
        <v>0.1789397321428572</v>
      </c>
      <c r="AH47" s="973" t="n">
        <v>1</v>
      </c>
      <c r="AI47" s="973" t="n">
        <v>0.45</v>
      </c>
      <c r="AJ47" s="973" t="b">
        <v>1</v>
      </c>
      <c r="AK47" s="973" t="n">
        <v>0.6</v>
      </c>
      <c r="AL47" s="973" t="n">
        <v>0.20625</v>
      </c>
      <c r="AM47" s="973" t="n">
        <v>0.20625</v>
      </c>
      <c r="AN47" s="973" t="n">
        <v>1</v>
      </c>
      <c r="AO47" s="973" t="n">
        <v>0.6</v>
      </c>
    </row>
    <row r="48">
      <c r="A48" s="973" t="inlineStr">
        <is>
          <t>Cybercriminal</t>
        </is>
      </c>
      <c r="B48" s="973" t="inlineStr">
        <is>
          <t>Sensitive-data compromise</t>
        </is>
      </c>
      <c r="C48" s="973" t="inlineStr">
        <is>
          <t>Public-facing application exploitation</t>
        </is>
      </c>
      <c r="D48" s="973" t="b">
        <v>1</v>
      </c>
      <c r="E48" s="973" t="n">
        <v>0.03971375807940906</v>
      </c>
      <c r="F48" s="973" t="n">
        <v>1</v>
      </c>
      <c r="G48" s="973" t="n">
        <v>0.02025</v>
      </c>
      <c r="H48" s="973" t="n">
        <v>1</v>
      </c>
      <c r="I48" s="973" t="n">
        <v>1</v>
      </c>
      <c r="J48" s="973" t="n">
        <v>1</v>
      </c>
      <c r="K48" s="973" t="n">
        <v>1</v>
      </c>
      <c r="L48" s="973" t="b">
        <v>1</v>
      </c>
      <c r="M48" s="973" t="n">
        <v>0.25</v>
      </c>
      <c r="N48" s="973" t="n">
        <v>0.2496630477905274</v>
      </c>
      <c r="O48" s="973" t="n">
        <v>0.2496630477905274</v>
      </c>
      <c r="P48" s="973" t="n">
        <v>1</v>
      </c>
      <c r="Q48" s="973" t="n">
        <v>0.25</v>
      </c>
      <c r="R48" s="973" t="b">
        <v>1</v>
      </c>
      <c r="S48" s="973" t="n">
        <v>0.6</v>
      </c>
      <c r="T48" s="973" t="n">
        <v>0.1875</v>
      </c>
      <c r="U48" s="973" t="n">
        <v>0.1875</v>
      </c>
      <c r="V48" s="973" t="n">
        <v>1</v>
      </c>
      <c r="W48" s="973" t="n">
        <v>0.6</v>
      </c>
      <c r="X48" s="973" t="b">
        <v>1</v>
      </c>
      <c r="Y48" s="973" t="n">
        <v>0.5</v>
      </c>
      <c r="Z48" s="973" t="n">
        <v>0.2199757778461163</v>
      </c>
      <c r="AA48" s="973" t="n">
        <v>0.2199757778461163</v>
      </c>
      <c r="AB48" s="973" t="n">
        <v>1</v>
      </c>
      <c r="AC48" s="973" t="n">
        <v>0.5</v>
      </c>
      <c r="AD48" s="973" t="b">
        <v>1</v>
      </c>
      <c r="AE48" s="973" t="n">
        <v>0.45</v>
      </c>
      <c r="AF48" s="973" t="n">
        <v>0.1907346013939899</v>
      </c>
      <c r="AG48" s="973" t="n">
        <v>0.1907346013939899</v>
      </c>
      <c r="AH48" s="973" t="n">
        <v>1</v>
      </c>
      <c r="AI48" s="973" t="n">
        <v>0.45</v>
      </c>
      <c r="AJ48" s="973" t="b">
        <v>1</v>
      </c>
      <c r="AK48" s="973" t="n">
        <v>0.6</v>
      </c>
      <c r="AL48" s="973" t="n">
        <v>0.20625</v>
      </c>
      <c r="AM48" s="973" t="n">
        <v>0.20625</v>
      </c>
      <c r="AN48" s="973" t="n">
        <v>1</v>
      </c>
      <c r="AO48" s="973" t="n">
        <v>0.6</v>
      </c>
    </row>
    <row r="49">
      <c r="A49" s="973" t="inlineStr">
        <is>
          <t>Cybercriminal</t>
        </is>
      </c>
      <c r="B49" s="973" t="inlineStr">
        <is>
          <t>Sensitive-data compromise</t>
        </is>
      </c>
      <c r="C49" s="973" t="inlineStr">
        <is>
          <t>Third-party or software supply chain</t>
        </is>
      </c>
      <c r="D49" s="973" t="b">
        <v>1</v>
      </c>
      <c r="E49" s="973" t="n">
        <v>0.01334256694367498</v>
      </c>
      <c r="F49" s="973" t="n">
        <v>1</v>
      </c>
      <c r="G49" s="973" t="n">
        <v>0.196625</v>
      </c>
      <c r="H49" s="973" t="n">
        <v>1</v>
      </c>
      <c r="I49" s="973" t="n">
        <v>1</v>
      </c>
      <c r="J49" s="973" t="n">
        <v>1</v>
      </c>
      <c r="K49" s="973" t="n">
        <v>1</v>
      </c>
      <c r="L49" s="973" t="b">
        <v>0</v>
      </c>
      <c r="M49" s="973" t="n">
        <v>1</v>
      </c>
      <c r="N49" s="973" t="n">
        <v>0</v>
      </c>
      <c r="O49" s="973" t="n">
        <v>0</v>
      </c>
      <c r="P49" s="973" t="n">
        <v>1</v>
      </c>
      <c r="Q49" s="973" t="n">
        <v>1</v>
      </c>
      <c r="R49" s="973" t="b">
        <v>0</v>
      </c>
      <c r="S49" s="973" t="n">
        <v>1</v>
      </c>
      <c r="T49" s="973" t="n">
        <v>0</v>
      </c>
      <c r="U49" s="973" t="n">
        <v>0</v>
      </c>
      <c r="V49" s="973" t="n">
        <v>1</v>
      </c>
      <c r="W49" s="973" t="n">
        <v>1</v>
      </c>
      <c r="X49" s="973" t="b">
        <v>1</v>
      </c>
      <c r="Y49" s="973" t="n">
        <v>0.55</v>
      </c>
      <c r="Z49" s="973" t="n">
        <v>0.22181427526474</v>
      </c>
      <c r="AA49" s="973" t="n">
        <v>0.22181427526474</v>
      </c>
      <c r="AB49" s="973" t="n">
        <v>1</v>
      </c>
      <c r="AC49" s="973" t="n">
        <v>0.55</v>
      </c>
      <c r="AD49" s="973" t="b">
        <v>1</v>
      </c>
      <c r="AE49" s="973" t="n">
        <v>0.55</v>
      </c>
      <c r="AF49" s="973" t="n">
        <v>0.10376953125</v>
      </c>
      <c r="AG49" s="973" t="n">
        <v>0.10376953125</v>
      </c>
      <c r="AH49" s="973" t="n">
        <v>1</v>
      </c>
      <c r="AI49" s="973" t="n">
        <v>0.55</v>
      </c>
      <c r="AJ49" s="973" t="b">
        <v>1</v>
      </c>
      <c r="AK49" s="973" t="n">
        <v>0.65</v>
      </c>
      <c r="AL49" s="973" t="n">
        <v>0.20625</v>
      </c>
      <c r="AM49" s="973" t="n">
        <v>0.20625</v>
      </c>
      <c r="AN49" s="973" t="n">
        <v>1</v>
      </c>
      <c r="AO49" s="973" t="n">
        <v>0.65</v>
      </c>
    </row>
    <row r="50">
      <c r="A50" s="973" t="inlineStr">
        <is>
          <t>Cybercriminal</t>
        </is>
      </c>
      <c r="B50" s="973" t="inlineStr">
        <is>
          <t>Sensitive-data compromise</t>
        </is>
      </c>
      <c r="C50" s="973" t="inlineStr">
        <is>
          <t>Direct availability or DDoS</t>
        </is>
      </c>
      <c r="D50" s="973" t="b">
        <v>0</v>
      </c>
      <c r="E50" s="973" t="n">
        <v>0</v>
      </c>
      <c r="F50" s="973" t="n">
        <v>1</v>
      </c>
      <c r="G50" s="973" t="n">
        <v>0</v>
      </c>
      <c r="H50" s="973" t="n">
        <v>1</v>
      </c>
      <c r="I50" s="973" t="n">
        <v>1</v>
      </c>
      <c r="J50" s="973" t="n">
        <v>1</v>
      </c>
      <c r="K50" s="973" t="n">
        <v>1</v>
      </c>
      <c r="L50" s="973" t="b">
        <v>0</v>
      </c>
      <c r="M50" s="973" t="n">
        <v>1</v>
      </c>
      <c r="N50" s="973" t="n">
        <v>0</v>
      </c>
      <c r="O50" s="973" t="n">
        <v>0</v>
      </c>
      <c r="P50" s="973" t="n">
        <v>1</v>
      </c>
      <c r="Q50" s="973" t="n">
        <v>1</v>
      </c>
      <c r="R50" s="973" t="b">
        <v>0</v>
      </c>
      <c r="S50" s="973" t="n">
        <v>1</v>
      </c>
      <c r="T50" s="973" t="n">
        <v>0</v>
      </c>
      <c r="U50" s="973" t="n">
        <v>0</v>
      </c>
      <c r="V50" s="973" t="n">
        <v>1</v>
      </c>
      <c r="W50" s="973" t="n">
        <v>1</v>
      </c>
      <c r="X50" s="973" t="b">
        <v>0</v>
      </c>
      <c r="Y50" s="973" t="n">
        <v>1</v>
      </c>
      <c r="Z50" s="973" t="n">
        <v>0</v>
      </c>
      <c r="AA50" s="973" t="n">
        <v>0</v>
      </c>
      <c r="AB50" s="973" t="n">
        <v>1</v>
      </c>
      <c r="AC50" s="973" t="n">
        <v>1</v>
      </c>
      <c r="AD50" s="973" t="b">
        <v>0</v>
      </c>
      <c r="AE50" s="973" t="n">
        <v>1</v>
      </c>
      <c r="AF50" s="973" t="n">
        <v>0</v>
      </c>
      <c r="AG50" s="973" t="n">
        <v>0</v>
      </c>
      <c r="AH50" s="973" t="n">
        <v>1</v>
      </c>
      <c r="AI50" s="973" t="n">
        <v>1</v>
      </c>
      <c r="AJ50" s="973" t="b">
        <v>0</v>
      </c>
      <c r="AK50" s="973" t="n">
        <v>1</v>
      </c>
      <c r="AL50" s="973" t="n">
        <v>0</v>
      </c>
      <c r="AM50" s="973" t="n">
        <v>0</v>
      </c>
      <c r="AN50" s="973" t="n">
        <v>1</v>
      </c>
      <c r="AO50" s="973" t="n">
        <v>1</v>
      </c>
    </row>
    <row r="51">
      <c r="A51" s="973" t="inlineStr">
        <is>
          <t>Cybercriminal</t>
        </is>
      </c>
      <c r="B51" s="973" t="inlineStr">
        <is>
          <t>Sensitive-data compromise</t>
        </is>
      </c>
      <c r="C51" s="973" t="inlineStr">
        <is>
          <t>Insider or trusted access</t>
        </is>
      </c>
      <c r="D51" s="973" t="b">
        <v>1</v>
      </c>
      <c r="E51" s="973" t="n">
        <v>0.003139427516158819</v>
      </c>
      <c r="F51" s="973" t="n">
        <v>1</v>
      </c>
      <c r="G51" s="973" t="n">
        <v>0.29575</v>
      </c>
      <c r="H51" s="973" t="n">
        <v>1</v>
      </c>
      <c r="I51" s="973" t="n">
        <v>1</v>
      </c>
      <c r="J51" s="973" t="n">
        <v>1</v>
      </c>
      <c r="K51" s="973" t="n">
        <v>1</v>
      </c>
      <c r="L51" s="973" t="b">
        <v>0</v>
      </c>
      <c r="M51" s="973" t="n">
        <v>1</v>
      </c>
      <c r="N51" s="973" t="n">
        <v>0</v>
      </c>
      <c r="O51" s="973" t="n">
        <v>0</v>
      </c>
      <c r="P51" s="973" t="n">
        <v>1</v>
      </c>
      <c r="Q51" s="973" t="n">
        <v>1</v>
      </c>
      <c r="R51" s="973" t="b">
        <v>0</v>
      </c>
      <c r="S51" s="973" t="n">
        <v>1</v>
      </c>
      <c r="T51" s="973" t="n">
        <v>0</v>
      </c>
      <c r="U51" s="973" t="n">
        <v>0</v>
      </c>
      <c r="V51" s="973" t="n">
        <v>1</v>
      </c>
      <c r="W51" s="973" t="n">
        <v>1</v>
      </c>
      <c r="X51" s="973" t="b">
        <v>1</v>
      </c>
      <c r="Y51" s="973" t="n">
        <v>0.7</v>
      </c>
      <c r="Z51" s="973" t="n">
        <v>0.2477547340393066</v>
      </c>
      <c r="AA51" s="973" t="n">
        <v>0.2477547340393066</v>
      </c>
      <c r="AB51" s="973" t="n">
        <v>1</v>
      </c>
      <c r="AC51" s="973" t="n">
        <v>0.7</v>
      </c>
      <c r="AD51" s="973" t="b">
        <v>1</v>
      </c>
      <c r="AE51" s="973" t="n">
        <v>0.65</v>
      </c>
      <c r="AF51" s="973" t="n">
        <v>0.106734375</v>
      </c>
      <c r="AG51" s="973" t="n">
        <v>0.106734375</v>
      </c>
      <c r="AH51" s="973" t="n">
        <v>1</v>
      </c>
      <c r="AI51" s="973" t="n">
        <v>0.65</v>
      </c>
      <c r="AJ51" s="973" t="b">
        <v>1</v>
      </c>
      <c r="AK51" s="973" t="n">
        <v>0.65</v>
      </c>
      <c r="AL51" s="973" t="n">
        <v>0.20625</v>
      </c>
      <c r="AM51" s="973" t="n">
        <v>0.20625</v>
      </c>
      <c r="AN51" s="973" t="n">
        <v>1</v>
      </c>
      <c r="AO51" s="973" t="n">
        <v>0.65</v>
      </c>
    </row>
    <row r="52">
      <c r="A52" s="973" t="inlineStr">
        <is>
          <t>Cybercriminal</t>
        </is>
      </c>
      <c r="B52" s="973" t="inlineStr">
        <is>
          <t>Data or transaction-integrity compromise</t>
        </is>
      </c>
      <c r="C52" s="973" t="inlineStr">
        <is>
          <t>Identity and credential compromise</t>
        </is>
      </c>
      <c r="D52" s="973" t="b">
        <v>1</v>
      </c>
      <c r="E52" s="973" t="n">
        <v>0.02507262569832402</v>
      </c>
      <c r="F52" s="973" t="n">
        <v>1</v>
      </c>
      <c r="G52" s="973" t="n">
        <v>0.05898750000000001</v>
      </c>
      <c r="H52" s="973" t="n">
        <v>1</v>
      </c>
      <c r="I52" s="973" t="n">
        <v>1</v>
      </c>
      <c r="J52" s="973" t="n">
        <v>1</v>
      </c>
      <c r="K52" s="973" t="n">
        <v>1</v>
      </c>
      <c r="L52" s="973" t="b">
        <v>1</v>
      </c>
      <c r="M52" s="973" t="n">
        <v>0.3</v>
      </c>
      <c r="N52" s="973" t="n">
        <v>0.2403645833333333</v>
      </c>
      <c r="O52" s="973" t="n">
        <v>0.2403645833333333</v>
      </c>
      <c r="P52" s="973" t="n">
        <v>1</v>
      </c>
      <c r="Q52" s="973" t="n">
        <v>0.3</v>
      </c>
      <c r="R52" s="973" t="b">
        <v>0</v>
      </c>
      <c r="S52" s="973" t="n">
        <v>1</v>
      </c>
      <c r="T52" s="973" t="n">
        <v>0</v>
      </c>
      <c r="U52" s="973" t="n">
        <v>0</v>
      </c>
      <c r="V52" s="973" t="n">
        <v>1</v>
      </c>
      <c r="W52" s="973" t="n">
        <v>1</v>
      </c>
      <c r="X52" s="973" t="b">
        <v>1</v>
      </c>
      <c r="Y52" s="973" t="n">
        <v>0.55</v>
      </c>
      <c r="Z52" s="973" t="n">
        <v>0.2477547340393066</v>
      </c>
      <c r="AA52" s="973" t="n">
        <v>0.2477547340393066</v>
      </c>
      <c r="AB52" s="973" t="n">
        <v>1</v>
      </c>
      <c r="AC52" s="973" t="n">
        <v>0.55</v>
      </c>
      <c r="AD52" s="973" t="b">
        <v>1</v>
      </c>
      <c r="AE52" s="973" t="n">
        <v>0.55</v>
      </c>
      <c r="AF52" s="973" t="n">
        <v>0.1016517857142858</v>
      </c>
      <c r="AG52" s="973" t="n">
        <v>0.1016517857142858</v>
      </c>
      <c r="AH52" s="973" t="n">
        <v>1</v>
      </c>
      <c r="AI52" s="973" t="n">
        <v>0.55</v>
      </c>
      <c r="AJ52" s="973" t="b">
        <v>1</v>
      </c>
      <c r="AK52" s="973" t="n">
        <v>0.65</v>
      </c>
      <c r="AL52" s="973" t="n">
        <v>0.1269045829772949</v>
      </c>
      <c r="AM52" s="973" t="n">
        <v>0.1269045829772949</v>
      </c>
      <c r="AN52" s="973" t="n">
        <v>1</v>
      </c>
      <c r="AO52" s="973" t="n">
        <v>0.65</v>
      </c>
    </row>
    <row r="53">
      <c r="A53" s="973" t="inlineStr">
        <is>
          <t>Cybercriminal</t>
        </is>
      </c>
      <c r="B53" s="973" t="inlineStr">
        <is>
          <t>Data or transaction-integrity compromise</t>
        </is>
      </c>
      <c r="C53" s="973" t="inlineStr">
        <is>
          <t>User endpoint and social engineering</t>
        </is>
      </c>
      <c r="D53" s="973" t="b">
        <v>1</v>
      </c>
      <c r="E53" s="973" t="n">
        <v>0.01424581005586592</v>
      </c>
      <c r="F53" s="973" t="n">
        <v>1</v>
      </c>
      <c r="G53" s="973" t="n">
        <v>0.025515</v>
      </c>
      <c r="H53" s="973" t="n">
        <v>1</v>
      </c>
      <c r="I53" s="973" t="n">
        <v>1</v>
      </c>
      <c r="J53" s="973" t="n">
        <v>1</v>
      </c>
      <c r="K53" s="973" t="n">
        <v>1</v>
      </c>
      <c r="L53" s="973" t="b">
        <v>1</v>
      </c>
      <c r="M53" s="973" t="n">
        <v>0.35</v>
      </c>
      <c r="N53" s="973" t="n">
        <v>0.20625</v>
      </c>
      <c r="O53" s="973" t="n">
        <v>0.20625</v>
      </c>
      <c r="P53" s="973" t="n">
        <v>1</v>
      </c>
      <c r="Q53" s="973" t="n">
        <v>0.35</v>
      </c>
      <c r="R53" s="973" t="b">
        <v>1</v>
      </c>
      <c r="S53" s="973" t="n">
        <v>0.6</v>
      </c>
      <c r="T53" s="973" t="n">
        <v>0.2124374569163603</v>
      </c>
      <c r="U53" s="973" t="n">
        <v>0.2124374569163603</v>
      </c>
      <c r="V53" s="973" t="n">
        <v>1</v>
      </c>
      <c r="W53" s="973" t="n">
        <v>0.6</v>
      </c>
      <c r="X53" s="973" t="b">
        <v>1</v>
      </c>
      <c r="Y53" s="973" t="n">
        <v>0.45</v>
      </c>
      <c r="Z53" s="973" t="n">
        <v>0.2216183303833008</v>
      </c>
      <c r="AA53" s="973" t="n">
        <v>0.2216183303833008</v>
      </c>
      <c r="AB53" s="973" t="n">
        <v>1</v>
      </c>
      <c r="AC53" s="973" t="n">
        <v>0.45</v>
      </c>
      <c r="AD53" s="973" t="b">
        <v>1</v>
      </c>
      <c r="AE53" s="973" t="n">
        <v>0.45</v>
      </c>
      <c r="AF53" s="973" t="n">
        <v>0.1789397321428572</v>
      </c>
      <c r="AG53" s="973" t="n">
        <v>0.1789397321428572</v>
      </c>
      <c r="AH53" s="973" t="n">
        <v>1</v>
      </c>
      <c r="AI53" s="973" t="n">
        <v>0.45</v>
      </c>
      <c r="AJ53" s="973" t="b">
        <v>1</v>
      </c>
      <c r="AK53" s="973" t="n">
        <v>0.6</v>
      </c>
      <c r="AL53" s="973" t="n">
        <v>0.1226516246795654</v>
      </c>
      <c r="AM53" s="973" t="n">
        <v>0.1226516246795654</v>
      </c>
      <c r="AN53" s="973" t="n">
        <v>1</v>
      </c>
      <c r="AO53" s="973" t="n">
        <v>0.6</v>
      </c>
    </row>
    <row r="54">
      <c r="A54" s="973" t="inlineStr">
        <is>
          <t>Cybercriminal</t>
        </is>
      </c>
      <c r="B54" s="973" t="inlineStr">
        <is>
          <t>Data or transaction-integrity compromise</t>
        </is>
      </c>
      <c r="C54" s="973" t="inlineStr">
        <is>
          <t>Public-facing application exploitation</t>
        </is>
      </c>
      <c r="D54" s="973" t="b">
        <v>1</v>
      </c>
      <c r="E54" s="973" t="n">
        <v>0.01671508379888268</v>
      </c>
      <c r="F54" s="973" t="n">
        <v>1</v>
      </c>
      <c r="G54" s="973" t="n">
        <v>0.02025</v>
      </c>
      <c r="H54" s="973" t="n">
        <v>1</v>
      </c>
      <c r="I54" s="973" t="n">
        <v>1</v>
      </c>
      <c r="J54" s="973" t="n">
        <v>1</v>
      </c>
      <c r="K54" s="973" t="n">
        <v>1</v>
      </c>
      <c r="L54" s="973" t="b">
        <v>1</v>
      </c>
      <c r="M54" s="973" t="n">
        <v>0.25</v>
      </c>
      <c r="N54" s="973" t="n">
        <v>0.2496630477905274</v>
      </c>
      <c r="O54" s="973" t="n">
        <v>0.2496630477905274</v>
      </c>
      <c r="P54" s="973" t="n">
        <v>1</v>
      </c>
      <c r="Q54" s="973" t="n">
        <v>0.25</v>
      </c>
      <c r="R54" s="973" t="b">
        <v>1</v>
      </c>
      <c r="S54" s="973" t="n">
        <v>0.6</v>
      </c>
      <c r="T54" s="973" t="n">
        <v>0.1875</v>
      </c>
      <c r="U54" s="973" t="n">
        <v>0.1875</v>
      </c>
      <c r="V54" s="973" t="n">
        <v>1</v>
      </c>
      <c r="W54" s="973" t="n">
        <v>0.6</v>
      </c>
      <c r="X54" s="973" t="b">
        <v>1</v>
      </c>
      <c r="Y54" s="973" t="n">
        <v>0.5</v>
      </c>
      <c r="Z54" s="973" t="n">
        <v>0.2199757778461163</v>
      </c>
      <c r="AA54" s="973" t="n">
        <v>0.2199757778461163</v>
      </c>
      <c r="AB54" s="973" t="n">
        <v>1</v>
      </c>
      <c r="AC54" s="973" t="n">
        <v>0.5</v>
      </c>
      <c r="AD54" s="973" t="b">
        <v>1</v>
      </c>
      <c r="AE54" s="973" t="n">
        <v>0.45</v>
      </c>
      <c r="AF54" s="973" t="n">
        <v>0.1907346013939899</v>
      </c>
      <c r="AG54" s="973" t="n">
        <v>0.1907346013939899</v>
      </c>
      <c r="AH54" s="973" t="n">
        <v>1</v>
      </c>
      <c r="AI54" s="973" t="n">
        <v>0.45</v>
      </c>
      <c r="AJ54" s="973" t="b">
        <v>1</v>
      </c>
      <c r="AK54" s="973" t="n">
        <v>0.6</v>
      </c>
      <c r="AL54" s="973" t="n">
        <v>0.1374199407240924</v>
      </c>
      <c r="AM54" s="973" t="n">
        <v>0.1374199407240924</v>
      </c>
      <c r="AN54" s="973" t="n">
        <v>1</v>
      </c>
      <c r="AO54" s="973" t="n">
        <v>0.6</v>
      </c>
    </row>
    <row r="55">
      <c r="A55" s="973" t="inlineStr">
        <is>
          <t>Cybercriminal</t>
        </is>
      </c>
      <c r="B55" s="973" t="inlineStr">
        <is>
          <t>Data or transaction-integrity compromise</t>
        </is>
      </c>
      <c r="C55" s="973" t="inlineStr">
        <is>
          <t>Third-party or software supply chain</t>
        </is>
      </c>
      <c r="D55" s="973" t="b">
        <v>1</v>
      </c>
      <c r="E55" s="973" t="n">
        <v>0.007597765363128493</v>
      </c>
      <c r="F55" s="973" t="n">
        <v>1</v>
      </c>
      <c r="G55" s="973" t="n">
        <v>0.196625</v>
      </c>
      <c r="H55" s="973" t="n">
        <v>1</v>
      </c>
      <c r="I55" s="973" t="n">
        <v>1</v>
      </c>
      <c r="J55" s="973" t="n">
        <v>1</v>
      </c>
      <c r="K55" s="973" t="n">
        <v>1</v>
      </c>
      <c r="L55" s="973" t="b">
        <v>0</v>
      </c>
      <c r="M55" s="973" t="n">
        <v>1</v>
      </c>
      <c r="N55" s="973" t="n">
        <v>0</v>
      </c>
      <c r="O55" s="973" t="n">
        <v>0</v>
      </c>
      <c r="P55" s="973" t="n">
        <v>1</v>
      </c>
      <c r="Q55" s="973" t="n">
        <v>1</v>
      </c>
      <c r="R55" s="973" t="b">
        <v>0</v>
      </c>
      <c r="S55" s="973" t="n">
        <v>1</v>
      </c>
      <c r="T55" s="973" t="n">
        <v>0</v>
      </c>
      <c r="U55" s="973" t="n">
        <v>0</v>
      </c>
      <c r="V55" s="973" t="n">
        <v>1</v>
      </c>
      <c r="W55" s="973" t="n">
        <v>1</v>
      </c>
      <c r="X55" s="973" t="b">
        <v>1</v>
      </c>
      <c r="Y55" s="973" t="n">
        <v>0.55</v>
      </c>
      <c r="Z55" s="973" t="n">
        <v>0.22181427526474</v>
      </c>
      <c r="AA55" s="973" t="n">
        <v>0.22181427526474</v>
      </c>
      <c r="AB55" s="973" t="n">
        <v>1</v>
      </c>
      <c r="AC55" s="973" t="n">
        <v>0.55</v>
      </c>
      <c r="AD55" s="973" t="b">
        <v>1</v>
      </c>
      <c r="AE55" s="973" t="n">
        <v>0.55</v>
      </c>
      <c r="AF55" s="973" t="n">
        <v>0.10376953125</v>
      </c>
      <c r="AG55" s="973" t="n">
        <v>0.10376953125</v>
      </c>
      <c r="AH55" s="973" t="n">
        <v>1</v>
      </c>
      <c r="AI55" s="973" t="n">
        <v>0.55</v>
      </c>
      <c r="AJ55" s="973" t="b">
        <v>1</v>
      </c>
      <c r="AK55" s="973" t="n">
        <v>0.65</v>
      </c>
      <c r="AL55" s="973" t="n">
        <v>0.1970353629372337</v>
      </c>
      <c r="AM55" s="973" t="n">
        <v>0.1970353629372337</v>
      </c>
      <c r="AN55" s="973" t="n">
        <v>1</v>
      </c>
      <c r="AO55" s="973" t="n">
        <v>0.65</v>
      </c>
    </row>
    <row r="56">
      <c r="A56" s="973" t="inlineStr">
        <is>
          <t>Cybercriminal</t>
        </is>
      </c>
      <c r="B56" s="973" t="inlineStr">
        <is>
          <t>Data or transaction-integrity compromise</t>
        </is>
      </c>
      <c r="C56" s="973" t="inlineStr">
        <is>
          <t>Direct availability or DDoS</t>
        </is>
      </c>
      <c r="D56" s="973" t="b">
        <v>0</v>
      </c>
      <c r="E56" s="973" t="n">
        <v>0</v>
      </c>
      <c r="F56" s="973" t="n">
        <v>1</v>
      </c>
      <c r="G56" s="973" t="n">
        <v>0</v>
      </c>
      <c r="H56" s="973" t="n">
        <v>1</v>
      </c>
      <c r="I56" s="973" t="n">
        <v>1</v>
      </c>
      <c r="J56" s="973" t="n">
        <v>1</v>
      </c>
      <c r="K56" s="973" t="n">
        <v>1</v>
      </c>
      <c r="L56" s="973" t="b">
        <v>0</v>
      </c>
      <c r="M56" s="973" t="n">
        <v>1</v>
      </c>
      <c r="N56" s="973" t="n">
        <v>0</v>
      </c>
      <c r="O56" s="973" t="n">
        <v>0</v>
      </c>
      <c r="P56" s="973" t="n">
        <v>1</v>
      </c>
      <c r="Q56" s="973" t="n">
        <v>1</v>
      </c>
      <c r="R56" s="973" t="b">
        <v>0</v>
      </c>
      <c r="S56" s="973" t="n">
        <v>1</v>
      </c>
      <c r="T56" s="973" t="n">
        <v>0</v>
      </c>
      <c r="U56" s="973" t="n">
        <v>0</v>
      </c>
      <c r="V56" s="973" t="n">
        <v>1</v>
      </c>
      <c r="W56" s="973" t="n">
        <v>1</v>
      </c>
      <c r="X56" s="973" t="b">
        <v>0</v>
      </c>
      <c r="Y56" s="973" t="n">
        <v>1</v>
      </c>
      <c r="Z56" s="973" t="n">
        <v>0</v>
      </c>
      <c r="AA56" s="973" t="n">
        <v>0</v>
      </c>
      <c r="AB56" s="973" t="n">
        <v>1</v>
      </c>
      <c r="AC56" s="973" t="n">
        <v>1</v>
      </c>
      <c r="AD56" s="973" t="b">
        <v>0</v>
      </c>
      <c r="AE56" s="973" t="n">
        <v>1</v>
      </c>
      <c r="AF56" s="973" t="n">
        <v>0</v>
      </c>
      <c r="AG56" s="973" t="n">
        <v>0</v>
      </c>
      <c r="AH56" s="973" t="n">
        <v>1</v>
      </c>
      <c r="AI56" s="973" t="n">
        <v>1</v>
      </c>
      <c r="AJ56" s="973" t="b">
        <v>0</v>
      </c>
      <c r="AK56" s="973" t="n">
        <v>1</v>
      </c>
      <c r="AL56" s="973" t="n">
        <v>0</v>
      </c>
      <c r="AM56" s="973" t="n">
        <v>0</v>
      </c>
      <c r="AN56" s="973" t="n">
        <v>1</v>
      </c>
      <c r="AO56" s="973" t="n">
        <v>1</v>
      </c>
    </row>
    <row r="57">
      <c r="A57" s="973" t="inlineStr">
        <is>
          <t>Cybercriminal</t>
        </is>
      </c>
      <c r="B57" s="973" t="inlineStr">
        <is>
          <t>Data or transaction-integrity compromise</t>
        </is>
      </c>
      <c r="C57" s="973" t="inlineStr">
        <is>
          <t>Insider or trusted access</t>
        </is>
      </c>
      <c r="D57" s="973" t="b">
        <v>1</v>
      </c>
      <c r="E57" s="973" t="n">
        <v>0.004368715083798883</v>
      </c>
      <c r="F57" s="973" t="n">
        <v>1</v>
      </c>
      <c r="G57" s="973" t="n">
        <v>0.29575</v>
      </c>
      <c r="H57" s="973" t="n">
        <v>1</v>
      </c>
      <c r="I57" s="973" t="n">
        <v>1</v>
      </c>
      <c r="J57" s="973" t="n">
        <v>1</v>
      </c>
      <c r="K57" s="973" t="n">
        <v>1</v>
      </c>
      <c r="L57" s="973" t="b">
        <v>0</v>
      </c>
      <c r="M57" s="973" t="n">
        <v>1</v>
      </c>
      <c r="N57" s="973" t="n">
        <v>0</v>
      </c>
      <c r="O57" s="973" t="n">
        <v>0</v>
      </c>
      <c r="P57" s="973" t="n">
        <v>1</v>
      </c>
      <c r="Q57" s="973" t="n">
        <v>1</v>
      </c>
      <c r="R57" s="973" t="b">
        <v>0</v>
      </c>
      <c r="S57" s="973" t="n">
        <v>1</v>
      </c>
      <c r="T57" s="973" t="n">
        <v>0</v>
      </c>
      <c r="U57" s="973" t="n">
        <v>0</v>
      </c>
      <c r="V57" s="973" t="n">
        <v>1</v>
      </c>
      <c r="W57" s="973" t="n">
        <v>1</v>
      </c>
      <c r="X57" s="973" t="b">
        <v>1</v>
      </c>
      <c r="Y57" s="973" t="n">
        <v>0.7</v>
      </c>
      <c r="Z57" s="973" t="n">
        <v>0.2477547340393066</v>
      </c>
      <c r="AA57" s="973" t="n">
        <v>0.2477547340393066</v>
      </c>
      <c r="AB57" s="973" t="n">
        <v>1</v>
      </c>
      <c r="AC57" s="973" t="n">
        <v>0.7</v>
      </c>
      <c r="AD57" s="973" t="b">
        <v>1</v>
      </c>
      <c r="AE57" s="973" t="n">
        <v>0.65</v>
      </c>
      <c r="AF57" s="973" t="n">
        <v>0.106734375</v>
      </c>
      <c r="AG57" s="973" t="n">
        <v>0.106734375</v>
      </c>
      <c r="AH57" s="973" t="n">
        <v>1</v>
      </c>
      <c r="AI57" s="973" t="n">
        <v>0.65</v>
      </c>
      <c r="AJ57" s="973" t="b">
        <v>1</v>
      </c>
      <c r="AK57" s="973" t="n">
        <v>0.65</v>
      </c>
      <c r="AL57" s="973" t="n">
        <v>0.2206064987182617</v>
      </c>
      <c r="AM57" s="973" t="n">
        <v>0.2206064987182617</v>
      </c>
      <c r="AN57" s="973" t="n">
        <v>1</v>
      </c>
      <c r="AO57" s="973" t="n">
        <v>0.65</v>
      </c>
    </row>
    <row r="58">
      <c r="A58" s="973" t="inlineStr">
        <is>
          <t>Cybercriminal</t>
        </is>
      </c>
      <c r="B58" s="973" t="inlineStr">
        <is>
          <t>Cyber-enabled theft or fraud</t>
        </is>
      </c>
      <c r="C58" s="973" t="inlineStr">
        <is>
          <t>Identity and credential compromise</t>
        </is>
      </c>
      <c r="D58" s="973" t="b">
        <v>1</v>
      </c>
      <c r="E58" s="973" t="n">
        <v>0.1295489891135303</v>
      </c>
      <c r="F58" s="973" t="n">
        <v>1</v>
      </c>
      <c r="G58" s="973" t="n">
        <v>0.10725</v>
      </c>
      <c r="H58" s="973" t="n">
        <v>1</v>
      </c>
      <c r="I58" s="973" t="n">
        <v>1</v>
      </c>
      <c r="J58" s="973" t="n">
        <v>1</v>
      </c>
      <c r="K58" s="973" t="n">
        <v>1</v>
      </c>
      <c r="L58" s="973" t="b">
        <v>1</v>
      </c>
      <c r="M58" s="973" t="n">
        <v>0.3</v>
      </c>
      <c r="N58" s="973" t="n">
        <v>0.2403645833333333</v>
      </c>
      <c r="O58" s="973" t="n">
        <v>0.2403645833333333</v>
      </c>
      <c r="P58" s="973" t="n">
        <v>1</v>
      </c>
      <c r="Q58" s="973" t="n">
        <v>0.3</v>
      </c>
      <c r="R58" s="973" t="b">
        <v>0</v>
      </c>
      <c r="S58" s="973" t="n">
        <v>1</v>
      </c>
      <c r="T58" s="973" t="n">
        <v>0</v>
      </c>
      <c r="U58" s="973" t="n">
        <v>0</v>
      </c>
      <c r="V58" s="973" t="n">
        <v>1</v>
      </c>
      <c r="W58" s="973" t="n">
        <v>1</v>
      </c>
      <c r="X58" s="973" t="b">
        <v>1</v>
      </c>
      <c r="Y58" s="973" t="n">
        <v>0.55</v>
      </c>
      <c r="Z58" s="973" t="n">
        <v>0.2477547340393066</v>
      </c>
      <c r="AA58" s="973" t="n">
        <v>0.2477547340393066</v>
      </c>
      <c r="AB58" s="973" t="n">
        <v>1</v>
      </c>
      <c r="AC58" s="973" t="n">
        <v>0.55</v>
      </c>
      <c r="AD58" s="973" t="b">
        <v>0</v>
      </c>
      <c r="AE58" s="973" t="n">
        <v>1</v>
      </c>
      <c r="AF58" s="973" t="n">
        <v>0</v>
      </c>
      <c r="AG58" s="973" t="n">
        <v>0</v>
      </c>
      <c r="AH58" s="973" t="n">
        <v>1</v>
      </c>
      <c r="AI58" s="973" t="n">
        <v>1</v>
      </c>
      <c r="AJ58" s="973" t="b">
        <v>1</v>
      </c>
      <c r="AK58" s="973" t="n">
        <v>0.65</v>
      </c>
      <c r="AL58" s="973" t="n">
        <v>0.2544820668147161</v>
      </c>
      <c r="AM58" s="973" t="n">
        <v>0.2544820668147161</v>
      </c>
      <c r="AN58" s="973" t="n">
        <v>1</v>
      </c>
      <c r="AO58" s="973" t="n">
        <v>0.65</v>
      </c>
    </row>
    <row r="59">
      <c r="A59" s="973" t="inlineStr">
        <is>
          <t>Cybercriminal</t>
        </is>
      </c>
      <c r="B59" s="973" t="inlineStr">
        <is>
          <t>Cyber-enabled theft or fraud</t>
        </is>
      </c>
      <c r="C59" s="973" t="inlineStr">
        <is>
          <t>User endpoint and social engineering</t>
        </is>
      </c>
      <c r="D59" s="973" t="b">
        <v>1</v>
      </c>
      <c r="E59" s="973" t="n">
        <v>0.04626749611197511</v>
      </c>
      <c r="F59" s="973" t="n">
        <v>1</v>
      </c>
      <c r="G59" s="973" t="n">
        <v>0.126</v>
      </c>
      <c r="H59" s="973" t="n">
        <v>1</v>
      </c>
      <c r="I59" s="973" t="n">
        <v>1</v>
      </c>
      <c r="J59" s="973" t="n">
        <v>1</v>
      </c>
      <c r="K59" s="973" t="n">
        <v>1</v>
      </c>
      <c r="L59" s="973" t="b">
        <v>1</v>
      </c>
      <c r="M59" s="973" t="n">
        <v>0.35</v>
      </c>
      <c r="N59" s="973" t="n">
        <v>0.20625</v>
      </c>
      <c r="O59" s="973" t="n">
        <v>0.20625</v>
      </c>
      <c r="P59" s="973" t="n">
        <v>1</v>
      </c>
      <c r="Q59" s="973" t="n">
        <v>0.35</v>
      </c>
      <c r="R59" s="973" t="b">
        <v>1</v>
      </c>
      <c r="S59" s="973" t="n">
        <v>0.6</v>
      </c>
      <c r="T59" s="973" t="n">
        <v>0.2124374569163603</v>
      </c>
      <c r="U59" s="973" t="n">
        <v>0.2124374569163603</v>
      </c>
      <c r="V59" s="973" t="n">
        <v>1</v>
      </c>
      <c r="W59" s="973" t="n">
        <v>0.6</v>
      </c>
      <c r="X59" s="973" t="b">
        <v>0</v>
      </c>
      <c r="Y59" s="973" t="n">
        <v>1</v>
      </c>
      <c r="Z59" s="973" t="n">
        <v>0</v>
      </c>
      <c r="AA59" s="973" t="n">
        <v>0</v>
      </c>
      <c r="AB59" s="973" t="n">
        <v>1</v>
      </c>
      <c r="AC59" s="973" t="n">
        <v>1</v>
      </c>
      <c r="AD59" s="973" t="b">
        <v>0</v>
      </c>
      <c r="AE59" s="973" t="n">
        <v>1</v>
      </c>
      <c r="AF59" s="973" t="n">
        <v>0</v>
      </c>
      <c r="AG59" s="973" t="n">
        <v>0</v>
      </c>
      <c r="AH59" s="973" t="n">
        <v>1</v>
      </c>
      <c r="AI59" s="973" t="n">
        <v>1</v>
      </c>
      <c r="AJ59" s="973" t="b">
        <v>1</v>
      </c>
      <c r="AK59" s="973" t="n">
        <v>0.6</v>
      </c>
      <c r="AL59" s="973" t="n">
        <v>0.2481303977966309</v>
      </c>
      <c r="AM59" s="973" t="n">
        <v>0.2481303977966309</v>
      </c>
      <c r="AN59" s="973" t="n">
        <v>1</v>
      </c>
      <c r="AO59" s="973" t="n">
        <v>0.6</v>
      </c>
    </row>
    <row r="60">
      <c r="A60" s="973" t="inlineStr">
        <is>
          <t>Cybercriminal</t>
        </is>
      </c>
      <c r="B60" s="973" t="inlineStr">
        <is>
          <t>Cyber-enabled theft or fraud</t>
        </is>
      </c>
      <c r="C60" s="973" t="inlineStr">
        <is>
          <t>Public-facing application exploitation</t>
        </is>
      </c>
      <c r="D60" s="973" t="b">
        <v>1</v>
      </c>
      <c r="E60" s="973" t="n">
        <v>0.03257231726283048</v>
      </c>
      <c r="F60" s="973" t="n">
        <v>1</v>
      </c>
      <c r="G60" s="973" t="n">
        <v>0.02025</v>
      </c>
      <c r="H60" s="973" t="n">
        <v>1</v>
      </c>
      <c r="I60" s="973" t="n">
        <v>1</v>
      </c>
      <c r="J60" s="973" t="n">
        <v>1</v>
      </c>
      <c r="K60" s="973" t="n">
        <v>1</v>
      </c>
      <c r="L60" s="973" t="b">
        <v>1</v>
      </c>
      <c r="M60" s="973" t="n">
        <v>0.25</v>
      </c>
      <c r="N60" s="973" t="n">
        <v>0.2496630477905274</v>
      </c>
      <c r="O60" s="973" t="n">
        <v>0.2496630477905274</v>
      </c>
      <c r="P60" s="973" t="n">
        <v>1</v>
      </c>
      <c r="Q60" s="973" t="n">
        <v>0.25</v>
      </c>
      <c r="R60" s="973" t="b">
        <v>1</v>
      </c>
      <c r="S60" s="973" t="n">
        <v>0.6</v>
      </c>
      <c r="T60" s="973" t="n">
        <v>0.1875</v>
      </c>
      <c r="U60" s="973" t="n">
        <v>0.1875</v>
      </c>
      <c r="V60" s="973" t="n">
        <v>1</v>
      </c>
      <c r="W60" s="973" t="n">
        <v>0.6</v>
      </c>
      <c r="X60" s="973" t="b">
        <v>1</v>
      </c>
      <c r="Y60" s="973" t="n">
        <v>0.5</v>
      </c>
      <c r="Z60" s="973" t="n">
        <v>0.2199757778461163</v>
      </c>
      <c r="AA60" s="973" t="n">
        <v>0.2199757778461163</v>
      </c>
      <c r="AB60" s="973" t="n">
        <v>1</v>
      </c>
      <c r="AC60" s="973" t="n">
        <v>0.5</v>
      </c>
      <c r="AD60" s="973" t="b">
        <v>1</v>
      </c>
      <c r="AE60" s="973" t="n">
        <v>0.45</v>
      </c>
      <c r="AF60" s="973" t="n">
        <v>0.1907346013939899</v>
      </c>
      <c r="AG60" s="973" t="n">
        <v>0.1907346013939899</v>
      </c>
      <c r="AH60" s="973" t="n">
        <v>1</v>
      </c>
      <c r="AI60" s="973" t="n">
        <v>0.45</v>
      </c>
      <c r="AJ60" s="973" t="b">
        <v>1</v>
      </c>
      <c r="AK60" s="973" t="n">
        <v>0.6</v>
      </c>
      <c r="AL60" s="973" t="n">
        <v>0.2426256179809571</v>
      </c>
      <c r="AM60" s="973" t="n">
        <v>0.2426256179809571</v>
      </c>
      <c r="AN60" s="973" t="n">
        <v>1</v>
      </c>
      <c r="AO60" s="973" t="n">
        <v>0.6</v>
      </c>
    </row>
    <row r="61">
      <c r="A61" s="973" t="inlineStr">
        <is>
          <t>Cybercriminal</t>
        </is>
      </c>
      <c r="B61" s="973" t="inlineStr">
        <is>
          <t>Cyber-enabled theft or fraud</t>
        </is>
      </c>
      <c r="C61" s="973" t="inlineStr">
        <is>
          <t>Third-party or software supply chain</t>
        </is>
      </c>
      <c r="D61" s="973" t="b">
        <v>1</v>
      </c>
      <c r="E61" s="973" t="n">
        <v>0.01233799896319337</v>
      </c>
      <c r="F61" s="973" t="n">
        <v>1</v>
      </c>
      <c r="G61" s="973" t="n">
        <v>0.196625</v>
      </c>
      <c r="H61" s="973" t="n">
        <v>1</v>
      </c>
      <c r="I61" s="973" t="n">
        <v>1</v>
      </c>
      <c r="J61" s="973" t="n">
        <v>1</v>
      </c>
      <c r="K61" s="973" t="n">
        <v>1</v>
      </c>
      <c r="L61" s="973" t="b">
        <v>0</v>
      </c>
      <c r="M61" s="973" t="n">
        <v>1</v>
      </c>
      <c r="N61" s="973" t="n">
        <v>0</v>
      </c>
      <c r="O61" s="973" t="n">
        <v>0</v>
      </c>
      <c r="P61" s="973" t="n">
        <v>1</v>
      </c>
      <c r="Q61" s="973" t="n">
        <v>1</v>
      </c>
      <c r="R61" s="973" t="b">
        <v>0</v>
      </c>
      <c r="S61" s="973" t="n">
        <v>1</v>
      </c>
      <c r="T61" s="973" t="n">
        <v>0</v>
      </c>
      <c r="U61" s="973" t="n">
        <v>0</v>
      </c>
      <c r="V61" s="973" t="n">
        <v>1</v>
      </c>
      <c r="W61" s="973" t="n">
        <v>1</v>
      </c>
      <c r="X61" s="973" t="b">
        <v>1</v>
      </c>
      <c r="Y61" s="973" t="n">
        <v>0.55</v>
      </c>
      <c r="Z61" s="973" t="n">
        <v>0.22181427526474</v>
      </c>
      <c r="AA61" s="973" t="n">
        <v>0.22181427526474</v>
      </c>
      <c r="AB61" s="973" t="n">
        <v>1</v>
      </c>
      <c r="AC61" s="973" t="n">
        <v>0.55</v>
      </c>
      <c r="AD61" s="973" t="b">
        <v>1</v>
      </c>
      <c r="AE61" s="973" t="n">
        <v>0.55</v>
      </c>
      <c r="AF61" s="973" t="n">
        <v>0.10376953125</v>
      </c>
      <c r="AG61" s="973" t="n">
        <v>0.10376953125</v>
      </c>
      <c r="AH61" s="973" t="n">
        <v>1</v>
      </c>
      <c r="AI61" s="973" t="n">
        <v>0.55</v>
      </c>
      <c r="AJ61" s="973" t="b">
        <v>1</v>
      </c>
      <c r="AK61" s="973" t="n">
        <v>0.65</v>
      </c>
      <c r="AL61" s="973" t="n">
        <v>0.2456282251531427</v>
      </c>
      <c r="AM61" s="973" t="n">
        <v>0.2456282251531427</v>
      </c>
      <c r="AN61" s="973" t="n">
        <v>1</v>
      </c>
      <c r="AO61" s="973" t="n">
        <v>0.65</v>
      </c>
    </row>
    <row r="62">
      <c r="A62" s="973" t="inlineStr">
        <is>
          <t>Cybercriminal</t>
        </is>
      </c>
      <c r="B62" s="973" t="inlineStr">
        <is>
          <t>Cyber-enabled theft or fraud</t>
        </is>
      </c>
      <c r="C62" s="973" t="inlineStr">
        <is>
          <t>Direct availability or DDoS</t>
        </is>
      </c>
      <c r="D62" s="973" t="b">
        <v>0</v>
      </c>
      <c r="E62" s="973" t="n">
        <v>0</v>
      </c>
      <c r="F62" s="973" t="n">
        <v>1</v>
      </c>
      <c r="G62" s="973" t="n">
        <v>0</v>
      </c>
      <c r="H62" s="973" t="n">
        <v>1</v>
      </c>
      <c r="I62" s="973" t="n">
        <v>1</v>
      </c>
      <c r="J62" s="973" t="n">
        <v>1</v>
      </c>
      <c r="K62" s="973" t="n">
        <v>1</v>
      </c>
      <c r="L62" s="973" t="b">
        <v>0</v>
      </c>
      <c r="M62" s="973" t="n">
        <v>1</v>
      </c>
      <c r="N62" s="973" t="n">
        <v>0</v>
      </c>
      <c r="O62" s="973" t="n">
        <v>0</v>
      </c>
      <c r="P62" s="973" t="n">
        <v>1</v>
      </c>
      <c r="Q62" s="973" t="n">
        <v>1</v>
      </c>
      <c r="R62" s="973" t="b">
        <v>0</v>
      </c>
      <c r="S62" s="973" t="n">
        <v>1</v>
      </c>
      <c r="T62" s="973" t="n">
        <v>0</v>
      </c>
      <c r="U62" s="973" t="n">
        <v>0</v>
      </c>
      <c r="V62" s="973" t="n">
        <v>1</v>
      </c>
      <c r="W62" s="973" t="n">
        <v>1</v>
      </c>
      <c r="X62" s="973" t="b">
        <v>0</v>
      </c>
      <c r="Y62" s="973" t="n">
        <v>1</v>
      </c>
      <c r="Z62" s="973" t="n">
        <v>0</v>
      </c>
      <c r="AA62" s="973" t="n">
        <v>0</v>
      </c>
      <c r="AB62" s="973" t="n">
        <v>1</v>
      </c>
      <c r="AC62" s="973" t="n">
        <v>1</v>
      </c>
      <c r="AD62" s="973" t="b">
        <v>0</v>
      </c>
      <c r="AE62" s="973" t="n">
        <v>1</v>
      </c>
      <c r="AF62" s="973" t="n">
        <v>0</v>
      </c>
      <c r="AG62" s="973" t="n">
        <v>0</v>
      </c>
      <c r="AH62" s="973" t="n">
        <v>1</v>
      </c>
      <c r="AI62" s="973" t="n">
        <v>1</v>
      </c>
      <c r="AJ62" s="973" t="b">
        <v>0</v>
      </c>
      <c r="AK62" s="973" t="n">
        <v>1</v>
      </c>
      <c r="AL62" s="973" t="n">
        <v>0</v>
      </c>
      <c r="AM62" s="973" t="n">
        <v>0</v>
      </c>
      <c r="AN62" s="973" t="n">
        <v>1</v>
      </c>
      <c r="AO62" s="973" t="n">
        <v>1</v>
      </c>
    </row>
    <row r="63">
      <c r="A63" s="973" t="inlineStr">
        <is>
          <t>Cybercriminal</t>
        </is>
      </c>
      <c r="B63" s="973" t="inlineStr">
        <is>
          <t>Cyber-enabled theft or fraud</t>
        </is>
      </c>
      <c r="C63" s="973" t="inlineStr">
        <is>
          <t>Insider or trusted access</t>
        </is>
      </c>
      <c r="D63" s="973" t="b">
        <v>1</v>
      </c>
      <c r="E63" s="973" t="n">
        <v>0.01727319854847071</v>
      </c>
      <c r="F63" s="973" t="n">
        <v>1</v>
      </c>
      <c r="G63" s="973" t="n">
        <v>0.455</v>
      </c>
      <c r="H63" s="973" t="n">
        <v>1</v>
      </c>
      <c r="I63" s="973" t="n">
        <v>1</v>
      </c>
      <c r="J63" s="973" t="n">
        <v>1</v>
      </c>
      <c r="K63" s="973" t="n">
        <v>1</v>
      </c>
      <c r="L63" s="973" t="b">
        <v>0</v>
      </c>
      <c r="M63" s="973" t="n">
        <v>1</v>
      </c>
      <c r="N63" s="973" t="n">
        <v>0</v>
      </c>
      <c r="O63" s="973" t="n">
        <v>0</v>
      </c>
      <c r="P63" s="973" t="n">
        <v>1</v>
      </c>
      <c r="Q63" s="973" t="n">
        <v>1</v>
      </c>
      <c r="R63" s="973" t="b">
        <v>0</v>
      </c>
      <c r="S63" s="973" t="n">
        <v>1</v>
      </c>
      <c r="T63" s="973" t="n">
        <v>0</v>
      </c>
      <c r="U63" s="973" t="n">
        <v>0</v>
      </c>
      <c r="V63" s="973" t="n">
        <v>1</v>
      </c>
      <c r="W63" s="973" t="n">
        <v>1</v>
      </c>
      <c r="X63" s="973" t="b">
        <v>1</v>
      </c>
      <c r="Y63" s="973" t="n">
        <v>0.7</v>
      </c>
      <c r="Z63" s="973" t="n">
        <v>0.2477547340393066</v>
      </c>
      <c r="AA63" s="973" t="n">
        <v>0.2477547340393066</v>
      </c>
      <c r="AB63" s="973" t="n">
        <v>1</v>
      </c>
      <c r="AC63" s="973" t="n">
        <v>0.7</v>
      </c>
      <c r="AD63" s="973" t="b">
        <v>0</v>
      </c>
      <c r="AE63" s="973" t="n">
        <v>1</v>
      </c>
      <c r="AF63" s="973" t="n">
        <v>0</v>
      </c>
      <c r="AG63" s="973" t="n">
        <v>0</v>
      </c>
      <c r="AH63" s="973" t="n">
        <v>1</v>
      </c>
      <c r="AI63" s="973" t="n">
        <v>1</v>
      </c>
      <c r="AJ63" s="973" t="b">
        <v>1</v>
      </c>
      <c r="AK63" s="973" t="n">
        <v>0.65</v>
      </c>
      <c r="AL63" s="973" t="n">
        <v>0.2481303977966309</v>
      </c>
      <c r="AM63" s="973" t="n">
        <v>0.2481303977966309</v>
      </c>
      <c r="AN63" s="973" t="n">
        <v>1</v>
      </c>
      <c r="AO63" s="973" t="n">
        <v>0.65</v>
      </c>
    </row>
    <row r="64">
      <c r="A64" s="973" t="inlineStr">
        <is>
          <t>Malicious insider</t>
        </is>
      </c>
      <c r="B64" s="973" t="inlineStr">
        <is>
          <t>Critical business-service disruption</t>
        </is>
      </c>
      <c r="C64" s="973" t="inlineStr">
        <is>
          <t>Identity and credential compromise</t>
        </is>
      </c>
      <c r="D64" s="973" t="b">
        <v>1</v>
      </c>
      <c r="E64" s="973" t="n">
        <v>0.002304147465437788</v>
      </c>
      <c r="F64" s="973" t="n">
        <v>1</v>
      </c>
      <c r="G64" s="973" t="n">
        <v>0.05898750000000001</v>
      </c>
      <c r="H64" s="973" t="n">
        <v>1</v>
      </c>
      <c r="I64" s="973" t="n">
        <v>1</v>
      </c>
      <c r="J64" s="973" t="n">
        <v>1</v>
      </c>
      <c r="K64" s="973" t="n">
        <v>1</v>
      </c>
      <c r="L64" s="973" t="b">
        <v>1</v>
      </c>
      <c r="M64" s="973" t="n">
        <v>0.3</v>
      </c>
      <c r="N64" s="973" t="n">
        <v>0.2391796875</v>
      </c>
      <c r="O64" s="973" t="n">
        <v>0.2391796875</v>
      </c>
      <c r="P64" s="973" t="n">
        <v>1</v>
      </c>
      <c r="Q64" s="973" t="n">
        <v>0.3</v>
      </c>
      <c r="R64" s="973" t="b">
        <v>0</v>
      </c>
      <c r="S64" s="973" t="n">
        <v>1</v>
      </c>
      <c r="T64" s="973" t="n">
        <v>0</v>
      </c>
      <c r="U64" s="973" t="n">
        <v>0</v>
      </c>
      <c r="V64" s="973" t="n">
        <v>1</v>
      </c>
      <c r="W64" s="973" t="n">
        <v>1</v>
      </c>
      <c r="X64" s="973" t="b">
        <v>1</v>
      </c>
      <c r="Y64" s="973" t="n">
        <v>0.55</v>
      </c>
      <c r="Z64" s="973" t="n">
        <v>0.2477547340393066</v>
      </c>
      <c r="AA64" s="973" t="n">
        <v>0.2477547340393066</v>
      </c>
      <c r="AB64" s="973" t="n">
        <v>1</v>
      </c>
      <c r="AC64" s="973" t="n">
        <v>0.55</v>
      </c>
      <c r="AD64" s="973" t="b">
        <v>1</v>
      </c>
      <c r="AE64" s="973" t="n">
        <v>0.55</v>
      </c>
      <c r="AF64" s="973" t="n">
        <v>0</v>
      </c>
      <c r="AG64" s="973" t="n">
        <v>0</v>
      </c>
      <c r="AH64" s="973" t="n">
        <v>1</v>
      </c>
      <c r="AI64" s="973" t="n">
        <v>0.55</v>
      </c>
      <c r="AJ64" s="973" t="b">
        <v>1</v>
      </c>
      <c r="AK64" s="973" t="n">
        <v>0.65</v>
      </c>
      <c r="AL64" s="973" t="n">
        <v>0.1269045829772949</v>
      </c>
      <c r="AM64" s="973" t="n">
        <v>0.1269045829772949</v>
      </c>
      <c r="AN64" s="973" t="n">
        <v>1</v>
      </c>
      <c r="AO64" s="973" t="n">
        <v>0.65</v>
      </c>
    </row>
    <row r="65">
      <c r="A65" s="973" t="inlineStr">
        <is>
          <t>Malicious insider</t>
        </is>
      </c>
      <c r="B65" s="973" t="inlineStr">
        <is>
          <t>Critical business-service disruption</t>
        </is>
      </c>
      <c r="C65" s="973" t="inlineStr">
        <is>
          <t>User endpoint and social engineering</t>
        </is>
      </c>
      <c r="D65" s="973" t="b">
        <v>1</v>
      </c>
      <c r="E65" s="973" t="n">
        <v>0.002027649769585254</v>
      </c>
      <c r="F65" s="973" t="n">
        <v>1</v>
      </c>
      <c r="G65" s="973" t="n">
        <v>0.025515</v>
      </c>
      <c r="H65" s="973" t="n">
        <v>1</v>
      </c>
      <c r="I65" s="973" t="n">
        <v>1</v>
      </c>
      <c r="J65" s="973" t="n">
        <v>1</v>
      </c>
      <c r="K65" s="973" t="n">
        <v>1</v>
      </c>
      <c r="L65" s="973" t="b">
        <v>1</v>
      </c>
      <c r="M65" s="973" t="n">
        <v>0.35</v>
      </c>
      <c r="N65" s="973" t="n">
        <v>0.20625</v>
      </c>
      <c r="O65" s="973" t="n">
        <v>0.20625</v>
      </c>
      <c r="P65" s="973" t="n">
        <v>1</v>
      </c>
      <c r="Q65" s="973" t="n">
        <v>0.35</v>
      </c>
      <c r="R65" s="973" t="b">
        <v>1</v>
      </c>
      <c r="S65" s="973" t="n">
        <v>0.6</v>
      </c>
      <c r="T65" s="973" t="n">
        <v>0.1875</v>
      </c>
      <c r="U65" s="973" t="n">
        <v>0.1875</v>
      </c>
      <c r="V65" s="973" t="n">
        <v>1</v>
      </c>
      <c r="W65" s="973" t="n">
        <v>0.6</v>
      </c>
      <c r="X65" s="973" t="b">
        <v>1</v>
      </c>
      <c r="Y65" s="973" t="n">
        <v>0.45</v>
      </c>
      <c r="Z65" s="973" t="n">
        <v>0.2216183303833008</v>
      </c>
      <c r="AA65" s="973" t="n">
        <v>0.2216183303833008</v>
      </c>
      <c r="AB65" s="973" t="n">
        <v>1</v>
      </c>
      <c r="AC65" s="973" t="n">
        <v>0.45</v>
      </c>
      <c r="AD65" s="973" t="b">
        <v>1</v>
      </c>
      <c r="AE65" s="973" t="n">
        <v>0.45</v>
      </c>
      <c r="AF65" s="973" t="n">
        <v>0.1794642857142857</v>
      </c>
      <c r="AG65" s="973" t="n">
        <v>0.1794642857142857</v>
      </c>
      <c r="AH65" s="973" t="n">
        <v>1</v>
      </c>
      <c r="AI65" s="973" t="n">
        <v>0.45</v>
      </c>
      <c r="AJ65" s="973" t="b">
        <v>1</v>
      </c>
      <c r="AK65" s="973" t="n">
        <v>0.6</v>
      </c>
      <c r="AL65" s="973" t="n">
        <v>0.1226516246795654</v>
      </c>
      <c r="AM65" s="973" t="n">
        <v>0.1226516246795654</v>
      </c>
      <c r="AN65" s="973" t="n">
        <v>1</v>
      </c>
      <c r="AO65" s="973" t="n">
        <v>0.6</v>
      </c>
    </row>
    <row r="66">
      <c r="A66" s="973" t="inlineStr">
        <is>
          <t>Malicious insider</t>
        </is>
      </c>
      <c r="B66" s="973" t="inlineStr">
        <is>
          <t>Critical business-service disruption</t>
        </is>
      </c>
      <c r="C66" s="973" t="inlineStr">
        <is>
          <t>Public-facing application exploitation</t>
        </is>
      </c>
      <c r="D66" s="973" t="b">
        <v>0</v>
      </c>
      <c r="E66" s="973" t="n">
        <v>0</v>
      </c>
      <c r="F66" s="973" t="n">
        <v>1</v>
      </c>
      <c r="G66" s="973" t="n">
        <v>0</v>
      </c>
      <c r="H66" s="973" t="n">
        <v>1</v>
      </c>
      <c r="I66" s="973" t="n">
        <v>1</v>
      </c>
      <c r="J66" s="973" t="n">
        <v>1</v>
      </c>
      <c r="K66" s="973" t="n">
        <v>1</v>
      </c>
      <c r="L66" s="973" t="b">
        <v>1</v>
      </c>
      <c r="M66" s="973" t="n">
        <v>0.25</v>
      </c>
      <c r="N66" s="973" t="n">
        <v>0</v>
      </c>
      <c r="O66" s="973" t="n">
        <v>0</v>
      </c>
      <c r="P66" s="973" t="n">
        <v>1</v>
      </c>
      <c r="Q66" s="973" t="n">
        <v>0</v>
      </c>
      <c r="R66" s="973" t="b">
        <v>1</v>
      </c>
      <c r="S66" s="973" t="n">
        <v>0.6</v>
      </c>
      <c r="T66" s="973" t="n">
        <v>0.1875</v>
      </c>
      <c r="U66" s="973" t="n">
        <v>0.1875</v>
      </c>
      <c r="V66" s="973" t="n">
        <v>1</v>
      </c>
      <c r="W66" s="973" t="n">
        <v>0.6</v>
      </c>
      <c r="X66" s="973" t="b">
        <v>1</v>
      </c>
      <c r="Y66" s="973" t="n">
        <v>0.5</v>
      </c>
      <c r="Z66" s="973" t="n">
        <v>0.2199757778461163</v>
      </c>
      <c r="AA66" s="973" t="n">
        <v>0.2199757778461163</v>
      </c>
      <c r="AB66" s="973" t="n">
        <v>1</v>
      </c>
      <c r="AC66" s="973" t="n">
        <v>0.5</v>
      </c>
      <c r="AD66" s="973" t="b">
        <v>1</v>
      </c>
      <c r="AE66" s="973" t="n">
        <v>0.45</v>
      </c>
      <c r="AF66" s="973" t="n">
        <v>0.1907346013939899</v>
      </c>
      <c r="AG66" s="973" t="n">
        <v>0.1907346013939899</v>
      </c>
      <c r="AH66" s="973" t="n">
        <v>1</v>
      </c>
      <c r="AI66" s="973" t="n">
        <v>0.45</v>
      </c>
      <c r="AJ66" s="973" t="b">
        <v>1</v>
      </c>
      <c r="AK66" s="973" t="n">
        <v>0.6</v>
      </c>
      <c r="AL66" s="973" t="n">
        <v>0.1374199407240924</v>
      </c>
      <c r="AM66" s="973" t="n">
        <v>0.1374199407240924</v>
      </c>
      <c r="AN66" s="973" t="n">
        <v>1</v>
      </c>
      <c r="AO66" s="973" t="n">
        <v>0.6</v>
      </c>
    </row>
    <row r="67">
      <c r="A67" s="973" t="inlineStr">
        <is>
          <t>Malicious insider</t>
        </is>
      </c>
      <c r="B67" s="973" t="inlineStr">
        <is>
          <t>Critical business-service disruption</t>
        </is>
      </c>
      <c r="C67" s="973" t="inlineStr">
        <is>
          <t>Third-party or software supply chain</t>
        </is>
      </c>
      <c r="D67" s="973" t="b">
        <v>1</v>
      </c>
      <c r="E67" s="973" t="n">
        <v>0.002304147465437788</v>
      </c>
      <c r="F67" s="973" t="n">
        <v>1</v>
      </c>
      <c r="G67" s="973" t="n">
        <v>0.196625</v>
      </c>
      <c r="H67" s="973" t="n">
        <v>1</v>
      </c>
      <c r="I67" s="973" t="n">
        <v>1</v>
      </c>
      <c r="J67" s="973" t="n">
        <v>1</v>
      </c>
      <c r="K67" s="973" t="n">
        <v>1</v>
      </c>
      <c r="L67" s="973" t="b">
        <v>0</v>
      </c>
      <c r="M67" s="973" t="n">
        <v>1</v>
      </c>
      <c r="N67" s="973" t="n">
        <v>0</v>
      </c>
      <c r="O67" s="973" t="n">
        <v>0</v>
      </c>
      <c r="P67" s="973" t="n">
        <v>1</v>
      </c>
      <c r="Q67" s="973" t="n">
        <v>1</v>
      </c>
      <c r="R67" s="973" t="b">
        <v>0</v>
      </c>
      <c r="S67" s="973" t="n">
        <v>1</v>
      </c>
      <c r="T67" s="973" t="n">
        <v>0</v>
      </c>
      <c r="U67" s="973" t="n">
        <v>0</v>
      </c>
      <c r="V67" s="973" t="n">
        <v>1</v>
      </c>
      <c r="W67" s="973" t="n">
        <v>1</v>
      </c>
      <c r="X67" s="973" t="b">
        <v>1</v>
      </c>
      <c r="Y67" s="973" t="n">
        <v>0.55</v>
      </c>
      <c r="Z67" s="973" t="n">
        <v>0.22181427526474</v>
      </c>
      <c r="AA67" s="973" t="n">
        <v>0.22181427526474</v>
      </c>
      <c r="AB67" s="973" t="n">
        <v>1</v>
      </c>
      <c r="AC67" s="973" t="n">
        <v>0.55</v>
      </c>
      <c r="AD67" s="973" t="b">
        <v>1</v>
      </c>
      <c r="AE67" s="973" t="n">
        <v>0.55</v>
      </c>
      <c r="AF67" s="973" t="n">
        <v>0</v>
      </c>
      <c r="AG67" s="973" t="n">
        <v>0</v>
      </c>
      <c r="AH67" s="973" t="n">
        <v>1</v>
      </c>
      <c r="AI67" s="973" t="n">
        <v>0.55</v>
      </c>
      <c r="AJ67" s="973" t="b">
        <v>1</v>
      </c>
      <c r="AK67" s="973" t="n">
        <v>0.65</v>
      </c>
      <c r="AL67" s="973" t="n">
        <v>0.1970353629372337</v>
      </c>
      <c r="AM67" s="973" t="n">
        <v>0.1970353629372337</v>
      </c>
      <c r="AN67" s="973" t="n">
        <v>1</v>
      </c>
      <c r="AO67" s="973" t="n">
        <v>0.65</v>
      </c>
    </row>
    <row r="68">
      <c r="A68" s="973" t="inlineStr">
        <is>
          <t>Malicious insider</t>
        </is>
      </c>
      <c r="B68" s="973" t="inlineStr">
        <is>
          <t>Critical business-service disruption</t>
        </is>
      </c>
      <c r="C68" s="973" t="inlineStr">
        <is>
          <t>Direct availability or DDoS</t>
        </is>
      </c>
      <c r="D68" s="973" t="b">
        <v>0</v>
      </c>
      <c r="E68" s="973" t="n">
        <v>0</v>
      </c>
      <c r="F68" s="973" t="n">
        <v>1</v>
      </c>
      <c r="G68" s="973" t="n">
        <v>0</v>
      </c>
      <c r="H68" s="973" t="n">
        <v>1</v>
      </c>
      <c r="I68" s="973" t="n">
        <v>1</v>
      </c>
      <c r="J68" s="973" t="n">
        <v>1</v>
      </c>
      <c r="K68" s="973" t="n">
        <v>1</v>
      </c>
      <c r="L68" s="973" t="b">
        <v>1</v>
      </c>
      <c r="M68" s="973" t="n">
        <v>0.6</v>
      </c>
      <c r="N68" s="973" t="n">
        <v>0</v>
      </c>
      <c r="O68" s="973" t="n">
        <v>0</v>
      </c>
      <c r="P68" s="973" t="n">
        <v>1</v>
      </c>
      <c r="Q68" s="973" t="n">
        <v>0</v>
      </c>
      <c r="R68" s="973" t="b">
        <v>0</v>
      </c>
      <c r="S68" s="973" t="n">
        <v>1</v>
      </c>
      <c r="T68" s="973" t="n">
        <v>0</v>
      </c>
      <c r="U68" s="973" t="n">
        <v>0</v>
      </c>
      <c r="V68" s="973" t="n">
        <v>1</v>
      </c>
      <c r="W68" s="973" t="n">
        <v>1</v>
      </c>
      <c r="X68" s="973" t="b">
        <v>0</v>
      </c>
      <c r="Y68" s="973" t="n">
        <v>1</v>
      </c>
      <c r="Z68" s="973" t="n">
        <v>0</v>
      </c>
      <c r="AA68" s="973" t="n">
        <v>0</v>
      </c>
      <c r="AB68" s="973" t="n">
        <v>1</v>
      </c>
      <c r="AC68" s="973" t="n">
        <v>1</v>
      </c>
      <c r="AD68" s="973" t="b">
        <v>0</v>
      </c>
      <c r="AE68" s="973" t="n">
        <v>1</v>
      </c>
      <c r="AF68" s="973" t="n">
        <v>0</v>
      </c>
      <c r="AG68" s="973" t="n">
        <v>0</v>
      </c>
      <c r="AH68" s="973" t="n">
        <v>1</v>
      </c>
      <c r="AI68" s="973" t="n">
        <v>1</v>
      </c>
      <c r="AJ68" s="973" t="b">
        <v>1</v>
      </c>
      <c r="AK68" s="973" t="n">
        <v>0.6</v>
      </c>
      <c r="AL68" s="973" t="n">
        <v>0</v>
      </c>
      <c r="AM68" s="973" t="n">
        <v>0</v>
      </c>
      <c r="AN68" s="973" t="n">
        <v>1</v>
      </c>
      <c r="AO68" s="973" t="n">
        <v>0</v>
      </c>
    </row>
    <row r="69">
      <c r="A69" s="973" t="inlineStr">
        <is>
          <t>Malicious insider</t>
        </is>
      </c>
      <c r="B69" s="973" t="inlineStr">
        <is>
          <t>Critical business-service disruption</t>
        </is>
      </c>
      <c r="C69" s="973" t="inlineStr">
        <is>
          <t>Insider or trusted access</t>
        </is>
      </c>
      <c r="D69" s="973" t="b">
        <v>1</v>
      </c>
      <c r="E69" s="973" t="n">
        <v>0.01336405529953917</v>
      </c>
      <c r="F69" s="973" t="n">
        <v>1</v>
      </c>
      <c r="G69" s="973" t="n">
        <v>0.29575</v>
      </c>
      <c r="H69" s="973" t="n">
        <v>1</v>
      </c>
      <c r="I69" s="973" t="n">
        <v>1</v>
      </c>
      <c r="J69" s="973" t="n">
        <v>1</v>
      </c>
      <c r="K69" s="973" t="n">
        <v>1</v>
      </c>
      <c r="L69" s="973" t="b">
        <v>0</v>
      </c>
      <c r="M69" s="973" t="n">
        <v>1</v>
      </c>
      <c r="N69" s="973" t="n">
        <v>0</v>
      </c>
      <c r="O69" s="973" t="n">
        <v>0</v>
      </c>
      <c r="P69" s="973" t="n">
        <v>1</v>
      </c>
      <c r="Q69" s="973" t="n">
        <v>1</v>
      </c>
      <c r="R69" s="973" t="b">
        <v>0</v>
      </c>
      <c r="S69" s="973" t="n">
        <v>1</v>
      </c>
      <c r="T69" s="973" t="n">
        <v>0</v>
      </c>
      <c r="U69" s="973" t="n">
        <v>0</v>
      </c>
      <c r="V69" s="973" t="n">
        <v>1</v>
      </c>
      <c r="W69" s="973" t="n">
        <v>1</v>
      </c>
      <c r="X69" s="973" t="b">
        <v>1</v>
      </c>
      <c r="Y69" s="973" t="n">
        <v>0.7</v>
      </c>
      <c r="Z69" s="973" t="n">
        <v>0.2477547340393066</v>
      </c>
      <c r="AA69" s="973" t="n">
        <v>0.2477547340393066</v>
      </c>
      <c r="AB69" s="973" t="n">
        <v>1</v>
      </c>
      <c r="AC69" s="973" t="n">
        <v>0.7</v>
      </c>
      <c r="AD69" s="973" t="b">
        <v>1</v>
      </c>
      <c r="AE69" s="973" t="n">
        <v>0.65</v>
      </c>
      <c r="AF69" s="973" t="n">
        <v>0</v>
      </c>
      <c r="AG69" s="973" t="n">
        <v>0</v>
      </c>
      <c r="AH69" s="973" t="n">
        <v>1</v>
      </c>
      <c r="AI69" s="973" t="n">
        <v>0.65</v>
      </c>
      <c r="AJ69" s="973" t="b">
        <v>1</v>
      </c>
      <c r="AK69" s="973" t="n">
        <v>0.65</v>
      </c>
      <c r="AL69" s="973" t="n">
        <v>0.2206064987182617</v>
      </c>
      <c r="AM69" s="973" t="n">
        <v>0.2206064987182617</v>
      </c>
      <c r="AN69" s="973" t="n">
        <v>1</v>
      </c>
      <c r="AO69" s="973" t="n">
        <v>0.65</v>
      </c>
    </row>
    <row r="70">
      <c r="A70" s="973" t="inlineStr">
        <is>
          <t>Malicious insider</t>
        </is>
      </c>
      <c r="B70" s="973" t="inlineStr">
        <is>
          <t>Sensitive-data compromise</t>
        </is>
      </c>
      <c r="C70" s="973" t="inlineStr">
        <is>
          <t>Identity and credential compromise</t>
        </is>
      </c>
      <c r="D70" s="973" t="b">
        <v>1</v>
      </c>
      <c r="E70" s="973" t="n">
        <v>0.004513540621865597</v>
      </c>
      <c r="F70" s="973" t="n">
        <v>1</v>
      </c>
      <c r="G70" s="973" t="n">
        <v>0.05898750000000001</v>
      </c>
      <c r="H70" s="973" t="n">
        <v>1</v>
      </c>
      <c r="I70" s="973" t="n">
        <v>1</v>
      </c>
      <c r="J70" s="973" t="n">
        <v>1</v>
      </c>
      <c r="K70" s="973" t="n">
        <v>1</v>
      </c>
      <c r="L70" s="973" t="b">
        <v>1</v>
      </c>
      <c r="M70" s="973" t="n">
        <v>0.3</v>
      </c>
      <c r="N70" s="973" t="n">
        <v>0.2391796875</v>
      </c>
      <c r="O70" s="973" t="n">
        <v>0.2391796875</v>
      </c>
      <c r="P70" s="973" t="n">
        <v>1</v>
      </c>
      <c r="Q70" s="973" t="n">
        <v>0.3</v>
      </c>
      <c r="R70" s="973" t="b">
        <v>0</v>
      </c>
      <c r="S70" s="973" t="n">
        <v>1</v>
      </c>
      <c r="T70" s="973" t="n">
        <v>0</v>
      </c>
      <c r="U70" s="973" t="n">
        <v>0</v>
      </c>
      <c r="V70" s="973" t="n">
        <v>1</v>
      </c>
      <c r="W70" s="973" t="n">
        <v>1</v>
      </c>
      <c r="X70" s="973" t="b">
        <v>1</v>
      </c>
      <c r="Y70" s="973" t="n">
        <v>0.55</v>
      </c>
      <c r="Z70" s="973" t="n">
        <v>0.2477547340393066</v>
      </c>
      <c r="AA70" s="973" t="n">
        <v>0.2477547340393066</v>
      </c>
      <c r="AB70" s="973" t="n">
        <v>1</v>
      </c>
      <c r="AC70" s="973" t="n">
        <v>0.55</v>
      </c>
      <c r="AD70" s="973" t="b">
        <v>1</v>
      </c>
      <c r="AE70" s="973" t="n">
        <v>0.55</v>
      </c>
      <c r="AF70" s="973" t="n">
        <v>0.1016517857142858</v>
      </c>
      <c r="AG70" s="973" t="n">
        <v>0.1016517857142858</v>
      </c>
      <c r="AH70" s="973" t="n">
        <v>1</v>
      </c>
      <c r="AI70" s="973" t="n">
        <v>0.55</v>
      </c>
      <c r="AJ70" s="973" t="b">
        <v>1</v>
      </c>
      <c r="AK70" s="973" t="n">
        <v>0.65</v>
      </c>
      <c r="AL70" s="973" t="n">
        <v>0.20625</v>
      </c>
      <c r="AM70" s="973" t="n">
        <v>0.20625</v>
      </c>
      <c r="AN70" s="973" t="n">
        <v>1</v>
      </c>
      <c r="AO70" s="973" t="n">
        <v>0.65</v>
      </c>
    </row>
    <row r="71">
      <c r="A71" s="973" t="inlineStr">
        <is>
          <t>Malicious insider</t>
        </is>
      </c>
      <c r="B71" s="973" t="inlineStr">
        <is>
          <t>Sensitive-data compromise</t>
        </is>
      </c>
      <c r="C71" s="973" t="inlineStr">
        <is>
          <t>User endpoint and social engineering</t>
        </is>
      </c>
      <c r="D71" s="973" t="b">
        <v>1</v>
      </c>
      <c r="E71" s="973" t="n">
        <v>0.001985957873620863</v>
      </c>
      <c r="F71" s="973" t="n">
        <v>1</v>
      </c>
      <c r="G71" s="973" t="n">
        <v>0.025515</v>
      </c>
      <c r="H71" s="973" t="n">
        <v>1</v>
      </c>
      <c r="I71" s="973" t="n">
        <v>1</v>
      </c>
      <c r="J71" s="973" t="n">
        <v>1</v>
      </c>
      <c r="K71" s="973" t="n">
        <v>1</v>
      </c>
      <c r="L71" s="973" t="b">
        <v>1</v>
      </c>
      <c r="M71" s="973" t="n">
        <v>0.35</v>
      </c>
      <c r="N71" s="973" t="n">
        <v>0.20625</v>
      </c>
      <c r="O71" s="973" t="n">
        <v>0.20625</v>
      </c>
      <c r="P71" s="973" t="n">
        <v>1</v>
      </c>
      <c r="Q71" s="973" t="n">
        <v>0.35</v>
      </c>
      <c r="R71" s="973" t="b">
        <v>1</v>
      </c>
      <c r="S71" s="973" t="n">
        <v>0.6</v>
      </c>
      <c r="T71" s="973" t="n">
        <v>0.1875</v>
      </c>
      <c r="U71" s="973" t="n">
        <v>0.1875</v>
      </c>
      <c r="V71" s="973" t="n">
        <v>1</v>
      </c>
      <c r="W71" s="973" t="n">
        <v>0.6</v>
      </c>
      <c r="X71" s="973" t="b">
        <v>1</v>
      </c>
      <c r="Y71" s="973" t="n">
        <v>0.45</v>
      </c>
      <c r="Z71" s="973" t="n">
        <v>0.2216183303833008</v>
      </c>
      <c r="AA71" s="973" t="n">
        <v>0.2216183303833008</v>
      </c>
      <c r="AB71" s="973" t="n">
        <v>1</v>
      </c>
      <c r="AC71" s="973" t="n">
        <v>0.45</v>
      </c>
      <c r="AD71" s="973" t="b">
        <v>1</v>
      </c>
      <c r="AE71" s="973" t="n">
        <v>0.45</v>
      </c>
      <c r="AF71" s="973" t="n">
        <v>0.1789397321428572</v>
      </c>
      <c r="AG71" s="973" t="n">
        <v>0.1789397321428572</v>
      </c>
      <c r="AH71" s="973" t="n">
        <v>1</v>
      </c>
      <c r="AI71" s="973" t="n">
        <v>0.45</v>
      </c>
      <c r="AJ71" s="973" t="b">
        <v>1</v>
      </c>
      <c r="AK71" s="973" t="n">
        <v>0.6</v>
      </c>
      <c r="AL71" s="973" t="n">
        <v>0.20625</v>
      </c>
      <c r="AM71" s="973" t="n">
        <v>0.20625</v>
      </c>
      <c r="AN71" s="973" t="n">
        <v>1</v>
      </c>
      <c r="AO71" s="973" t="n">
        <v>0.6</v>
      </c>
    </row>
    <row r="72">
      <c r="A72" s="973" t="inlineStr">
        <is>
          <t>Malicious insider</t>
        </is>
      </c>
      <c r="B72" s="973" t="inlineStr">
        <is>
          <t>Sensitive-data compromise</t>
        </is>
      </c>
      <c r="C72" s="973" t="inlineStr">
        <is>
          <t>Public-facing application exploitation</t>
        </is>
      </c>
      <c r="D72" s="973" t="b">
        <v>0</v>
      </c>
      <c r="E72" s="973" t="n">
        <v>0</v>
      </c>
      <c r="F72" s="973" t="n">
        <v>1</v>
      </c>
      <c r="G72" s="973" t="n">
        <v>0</v>
      </c>
      <c r="H72" s="973" t="n">
        <v>1</v>
      </c>
      <c r="I72" s="973" t="n">
        <v>1</v>
      </c>
      <c r="J72" s="973" t="n">
        <v>1</v>
      </c>
      <c r="K72" s="973" t="n">
        <v>1</v>
      </c>
      <c r="L72" s="973" t="b">
        <v>1</v>
      </c>
      <c r="M72" s="973" t="n">
        <v>0.25</v>
      </c>
      <c r="N72" s="973" t="n">
        <v>0</v>
      </c>
      <c r="O72" s="973" t="n">
        <v>0</v>
      </c>
      <c r="P72" s="973" t="n">
        <v>1</v>
      </c>
      <c r="Q72" s="973" t="n">
        <v>0</v>
      </c>
      <c r="R72" s="973" t="b">
        <v>1</v>
      </c>
      <c r="S72" s="973" t="n">
        <v>0.6</v>
      </c>
      <c r="T72" s="973" t="n">
        <v>0.1875</v>
      </c>
      <c r="U72" s="973" t="n">
        <v>0.1875</v>
      </c>
      <c r="V72" s="973" t="n">
        <v>1</v>
      </c>
      <c r="W72" s="973" t="n">
        <v>0.6</v>
      </c>
      <c r="X72" s="973" t="b">
        <v>1</v>
      </c>
      <c r="Y72" s="973" t="n">
        <v>0.5</v>
      </c>
      <c r="Z72" s="973" t="n">
        <v>0.2199757778461163</v>
      </c>
      <c r="AA72" s="973" t="n">
        <v>0.2199757778461163</v>
      </c>
      <c r="AB72" s="973" t="n">
        <v>1</v>
      </c>
      <c r="AC72" s="973" t="n">
        <v>0.5</v>
      </c>
      <c r="AD72" s="973" t="b">
        <v>1</v>
      </c>
      <c r="AE72" s="973" t="n">
        <v>0.45</v>
      </c>
      <c r="AF72" s="973" t="n">
        <v>0.1907346013939899</v>
      </c>
      <c r="AG72" s="973" t="n">
        <v>0.1907346013939899</v>
      </c>
      <c r="AH72" s="973" t="n">
        <v>1</v>
      </c>
      <c r="AI72" s="973" t="n">
        <v>0.45</v>
      </c>
      <c r="AJ72" s="973" t="b">
        <v>1</v>
      </c>
      <c r="AK72" s="973" t="n">
        <v>0.6</v>
      </c>
      <c r="AL72" s="973" t="n">
        <v>0.20625</v>
      </c>
      <c r="AM72" s="973" t="n">
        <v>0.20625</v>
      </c>
      <c r="AN72" s="973" t="n">
        <v>1</v>
      </c>
      <c r="AO72" s="973" t="n">
        <v>0.6</v>
      </c>
    </row>
    <row r="73">
      <c r="A73" s="973" t="inlineStr">
        <is>
          <t>Malicious insider</t>
        </is>
      </c>
      <c r="B73" s="973" t="inlineStr">
        <is>
          <t>Sensitive-data compromise</t>
        </is>
      </c>
      <c r="C73" s="973" t="inlineStr">
        <is>
          <t>Third-party or software supply chain</t>
        </is>
      </c>
      <c r="D73" s="973" t="b">
        <v>1</v>
      </c>
      <c r="E73" s="973" t="n">
        <v>0.002557673019057172</v>
      </c>
      <c r="F73" s="973" t="n">
        <v>1</v>
      </c>
      <c r="G73" s="973" t="n">
        <v>0.196625</v>
      </c>
      <c r="H73" s="973" t="n">
        <v>1</v>
      </c>
      <c r="I73" s="973" t="n">
        <v>1</v>
      </c>
      <c r="J73" s="973" t="n">
        <v>1</v>
      </c>
      <c r="K73" s="973" t="n">
        <v>1</v>
      </c>
      <c r="L73" s="973" t="b">
        <v>0</v>
      </c>
      <c r="M73" s="973" t="n">
        <v>1</v>
      </c>
      <c r="N73" s="973" t="n">
        <v>0</v>
      </c>
      <c r="O73" s="973" t="n">
        <v>0</v>
      </c>
      <c r="P73" s="973" t="n">
        <v>1</v>
      </c>
      <c r="Q73" s="973" t="n">
        <v>1</v>
      </c>
      <c r="R73" s="973" t="b">
        <v>0</v>
      </c>
      <c r="S73" s="973" t="n">
        <v>1</v>
      </c>
      <c r="T73" s="973" t="n">
        <v>0</v>
      </c>
      <c r="U73" s="973" t="n">
        <v>0</v>
      </c>
      <c r="V73" s="973" t="n">
        <v>1</v>
      </c>
      <c r="W73" s="973" t="n">
        <v>1</v>
      </c>
      <c r="X73" s="973" t="b">
        <v>1</v>
      </c>
      <c r="Y73" s="973" t="n">
        <v>0.55</v>
      </c>
      <c r="Z73" s="973" t="n">
        <v>0.22181427526474</v>
      </c>
      <c r="AA73" s="973" t="n">
        <v>0.22181427526474</v>
      </c>
      <c r="AB73" s="973" t="n">
        <v>1</v>
      </c>
      <c r="AC73" s="973" t="n">
        <v>0.55</v>
      </c>
      <c r="AD73" s="973" t="b">
        <v>1</v>
      </c>
      <c r="AE73" s="973" t="n">
        <v>0.55</v>
      </c>
      <c r="AF73" s="973" t="n">
        <v>0.10376953125</v>
      </c>
      <c r="AG73" s="973" t="n">
        <v>0.10376953125</v>
      </c>
      <c r="AH73" s="973" t="n">
        <v>1</v>
      </c>
      <c r="AI73" s="973" t="n">
        <v>0.55</v>
      </c>
      <c r="AJ73" s="973" t="b">
        <v>1</v>
      </c>
      <c r="AK73" s="973" t="n">
        <v>0.65</v>
      </c>
      <c r="AL73" s="973" t="n">
        <v>0.20625</v>
      </c>
      <c r="AM73" s="973" t="n">
        <v>0.20625</v>
      </c>
      <c r="AN73" s="973" t="n">
        <v>1</v>
      </c>
      <c r="AO73" s="973" t="n">
        <v>0.65</v>
      </c>
    </row>
    <row r="74">
      <c r="A74" s="973" t="inlineStr">
        <is>
          <t>Malicious insider</t>
        </is>
      </c>
      <c r="B74" s="973" t="inlineStr">
        <is>
          <t>Sensitive-data compromise</t>
        </is>
      </c>
      <c r="C74" s="973" t="inlineStr">
        <is>
          <t>Direct availability or DDoS</t>
        </is>
      </c>
      <c r="D74" s="973" t="b">
        <v>0</v>
      </c>
      <c r="E74" s="973" t="n">
        <v>0</v>
      </c>
      <c r="F74" s="973" t="n">
        <v>1</v>
      </c>
      <c r="G74" s="973" t="n">
        <v>0</v>
      </c>
      <c r="H74" s="973" t="n">
        <v>1</v>
      </c>
      <c r="I74" s="973" t="n">
        <v>1</v>
      </c>
      <c r="J74" s="973" t="n">
        <v>1</v>
      </c>
      <c r="K74" s="973" t="n">
        <v>1</v>
      </c>
      <c r="L74" s="973" t="b">
        <v>0</v>
      </c>
      <c r="M74" s="973" t="n">
        <v>1</v>
      </c>
      <c r="N74" s="973" t="n">
        <v>0</v>
      </c>
      <c r="O74" s="973" t="n">
        <v>0</v>
      </c>
      <c r="P74" s="973" t="n">
        <v>1</v>
      </c>
      <c r="Q74" s="973" t="n">
        <v>1</v>
      </c>
      <c r="R74" s="973" t="b">
        <v>0</v>
      </c>
      <c r="S74" s="973" t="n">
        <v>1</v>
      </c>
      <c r="T74" s="973" t="n">
        <v>0</v>
      </c>
      <c r="U74" s="973" t="n">
        <v>0</v>
      </c>
      <c r="V74" s="973" t="n">
        <v>1</v>
      </c>
      <c r="W74" s="973" t="n">
        <v>1</v>
      </c>
      <c r="X74" s="973" t="b">
        <v>0</v>
      </c>
      <c r="Y74" s="973" t="n">
        <v>1</v>
      </c>
      <c r="Z74" s="973" t="n">
        <v>0</v>
      </c>
      <c r="AA74" s="973" t="n">
        <v>0</v>
      </c>
      <c r="AB74" s="973" t="n">
        <v>1</v>
      </c>
      <c r="AC74" s="973" t="n">
        <v>1</v>
      </c>
      <c r="AD74" s="973" t="b">
        <v>0</v>
      </c>
      <c r="AE74" s="973" t="n">
        <v>1</v>
      </c>
      <c r="AF74" s="973" t="n">
        <v>0</v>
      </c>
      <c r="AG74" s="973" t="n">
        <v>0</v>
      </c>
      <c r="AH74" s="973" t="n">
        <v>1</v>
      </c>
      <c r="AI74" s="973" t="n">
        <v>1</v>
      </c>
      <c r="AJ74" s="973" t="b">
        <v>0</v>
      </c>
      <c r="AK74" s="973" t="n">
        <v>1</v>
      </c>
      <c r="AL74" s="973" t="n">
        <v>0</v>
      </c>
      <c r="AM74" s="973" t="n">
        <v>0</v>
      </c>
      <c r="AN74" s="973" t="n">
        <v>1</v>
      </c>
      <c r="AO74" s="973" t="n">
        <v>1</v>
      </c>
    </row>
    <row r="75">
      <c r="A75" s="973" t="inlineStr">
        <is>
          <t>Malicious insider</t>
        </is>
      </c>
      <c r="B75" s="973" t="inlineStr">
        <is>
          <t>Sensitive-data compromise</t>
        </is>
      </c>
      <c r="C75" s="973" t="inlineStr">
        <is>
          <t>Insider or trusted access</t>
        </is>
      </c>
      <c r="D75" s="973" t="b">
        <v>1</v>
      </c>
      <c r="E75" s="973" t="n">
        <v>0.02094282848545637</v>
      </c>
      <c r="F75" s="973" t="n">
        <v>1</v>
      </c>
      <c r="G75" s="973" t="n">
        <v>0.29575</v>
      </c>
      <c r="H75" s="973" t="n">
        <v>1</v>
      </c>
      <c r="I75" s="973" t="n">
        <v>1</v>
      </c>
      <c r="J75" s="973" t="n">
        <v>1</v>
      </c>
      <c r="K75" s="973" t="n">
        <v>1</v>
      </c>
      <c r="L75" s="973" t="b">
        <v>0</v>
      </c>
      <c r="M75" s="973" t="n">
        <v>1</v>
      </c>
      <c r="N75" s="973" t="n">
        <v>0</v>
      </c>
      <c r="O75" s="973" t="n">
        <v>0</v>
      </c>
      <c r="P75" s="973" t="n">
        <v>1</v>
      </c>
      <c r="Q75" s="973" t="n">
        <v>1</v>
      </c>
      <c r="R75" s="973" t="b">
        <v>0</v>
      </c>
      <c r="S75" s="973" t="n">
        <v>1</v>
      </c>
      <c r="T75" s="973" t="n">
        <v>0</v>
      </c>
      <c r="U75" s="973" t="n">
        <v>0</v>
      </c>
      <c r="V75" s="973" t="n">
        <v>1</v>
      </c>
      <c r="W75" s="973" t="n">
        <v>1</v>
      </c>
      <c r="X75" s="973" t="b">
        <v>1</v>
      </c>
      <c r="Y75" s="973" t="n">
        <v>0.7</v>
      </c>
      <c r="Z75" s="973" t="n">
        <v>0.2477547340393066</v>
      </c>
      <c r="AA75" s="973" t="n">
        <v>0.2477547340393066</v>
      </c>
      <c r="AB75" s="973" t="n">
        <v>1</v>
      </c>
      <c r="AC75" s="973" t="n">
        <v>0.7</v>
      </c>
      <c r="AD75" s="973" t="b">
        <v>1</v>
      </c>
      <c r="AE75" s="973" t="n">
        <v>0.65</v>
      </c>
      <c r="AF75" s="973" t="n">
        <v>0.106734375</v>
      </c>
      <c r="AG75" s="973" t="n">
        <v>0.106734375</v>
      </c>
      <c r="AH75" s="973" t="n">
        <v>1</v>
      </c>
      <c r="AI75" s="973" t="n">
        <v>0.65</v>
      </c>
      <c r="AJ75" s="973" t="b">
        <v>1</v>
      </c>
      <c r="AK75" s="973" t="n">
        <v>0.65</v>
      </c>
      <c r="AL75" s="973" t="n">
        <v>0.20625</v>
      </c>
      <c r="AM75" s="973" t="n">
        <v>0.20625</v>
      </c>
      <c r="AN75" s="973" t="n">
        <v>1</v>
      </c>
      <c r="AO75" s="973" t="n">
        <v>0.65</v>
      </c>
    </row>
    <row r="76">
      <c r="A76" s="973" t="inlineStr">
        <is>
          <t>Malicious insider</t>
        </is>
      </c>
      <c r="B76" s="973" t="inlineStr">
        <is>
          <t>Data or transaction-integrity compromise</t>
        </is>
      </c>
      <c r="C76" s="973" t="inlineStr">
        <is>
          <t>Identity and credential compromise</t>
        </is>
      </c>
      <c r="D76" s="973" t="b">
        <v>1</v>
      </c>
      <c r="E76" s="973" t="n">
        <v>0.001218971631205674</v>
      </c>
      <c r="F76" s="973" t="n">
        <v>1</v>
      </c>
      <c r="G76" s="973" t="n">
        <v>0.05898750000000001</v>
      </c>
      <c r="H76" s="973" t="n">
        <v>1</v>
      </c>
      <c r="I76" s="973" t="n">
        <v>1</v>
      </c>
      <c r="J76" s="973" t="n">
        <v>1</v>
      </c>
      <c r="K76" s="973" t="n">
        <v>1</v>
      </c>
      <c r="L76" s="973" t="b">
        <v>1</v>
      </c>
      <c r="M76" s="973" t="n">
        <v>0.3</v>
      </c>
      <c r="N76" s="973" t="n">
        <v>0.2391796875</v>
      </c>
      <c r="O76" s="973" t="n">
        <v>0.2391796875</v>
      </c>
      <c r="P76" s="973" t="n">
        <v>1</v>
      </c>
      <c r="Q76" s="973" t="n">
        <v>0.3</v>
      </c>
      <c r="R76" s="973" t="b">
        <v>0</v>
      </c>
      <c r="S76" s="973" t="n">
        <v>1</v>
      </c>
      <c r="T76" s="973" t="n">
        <v>0</v>
      </c>
      <c r="U76" s="973" t="n">
        <v>0</v>
      </c>
      <c r="V76" s="973" t="n">
        <v>1</v>
      </c>
      <c r="W76" s="973" t="n">
        <v>1</v>
      </c>
      <c r="X76" s="973" t="b">
        <v>1</v>
      </c>
      <c r="Y76" s="973" t="n">
        <v>0.55</v>
      </c>
      <c r="Z76" s="973" t="n">
        <v>0.2477547340393066</v>
      </c>
      <c r="AA76" s="973" t="n">
        <v>0.2477547340393066</v>
      </c>
      <c r="AB76" s="973" t="n">
        <v>1</v>
      </c>
      <c r="AC76" s="973" t="n">
        <v>0.55</v>
      </c>
      <c r="AD76" s="973" t="b">
        <v>1</v>
      </c>
      <c r="AE76" s="973" t="n">
        <v>0.55</v>
      </c>
      <c r="AF76" s="973" t="n">
        <v>0.1016517857142858</v>
      </c>
      <c r="AG76" s="973" t="n">
        <v>0.1016517857142858</v>
      </c>
      <c r="AH76" s="973" t="n">
        <v>1</v>
      </c>
      <c r="AI76" s="973" t="n">
        <v>0.55</v>
      </c>
      <c r="AJ76" s="973" t="b">
        <v>1</v>
      </c>
      <c r="AK76" s="973" t="n">
        <v>0.65</v>
      </c>
      <c r="AL76" s="973" t="n">
        <v>0.1269045829772949</v>
      </c>
      <c r="AM76" s="973" t="n">
        <v>0.1269045829772949</v>
      </c>
      <c r="AN76" s="973" t="n">
        <v>1</v>
      </c>
      <c r="AO76" s="973" t="n">
        <v>0.65</v>
      </c>
    </row>
    <row r="77">
      <c r="A77" s="973" t="inlineStr">
        <is>
          <t>Malicious insider</t>
        </is>
      </c>
      <c r="B77" s="973" t="inlineStr">
        <is>
          <t>Data or transaction-integrity compromise</t>
        </is>
      </c>
      <c r="C77" s="973" t="inlineStr">
        <is>
          <t>User endpoint and social engineering</t>
        </is>
      </c>
      <c r="D77" s="973" t="b">
        <v>1</v>
      </c>
      <c r="E77" s="973" t="n">
        <v>0.0004986702127659574</v>
      </c>
      <c r="F77" s="973" t="n">
        <v>1</v>
      </c>
      <c r="G77" s="973" t="n">
        <v>0.025515</v>
      </c>
      <c r="H77" s="973" t="n">
        <v>1</v>
      </c>
      <c r="I77" s="973" t="n">
        <v>1</v>
      </c>
      <c r="J77" s="973" t="n">
        <v>1</v>
      </c>
      <c r="K77" s="973" t="n">
        <v>1</v>
      </c>
      <c r="L77" s="973" t="b">
        <v>1</v>
      </c>
      <c r="M77" s="973" t="n">
        <v>0.35</v>
      </c>
      <c r="N77" s="973" t="n">
        <v>0.20625</v>
      </c>
      <c r="O77" s="973" t="n">
        <v>0.20625</v>
      </c>
      <c r="P77" s="973" t="n">
        <v>1</v>
      </c>
      <c r="Q77" s="973" t="n">
        <v>0.35</v>
      </c>
      <c r="R77" s="973" t="b">
        <v>1</v>
      </c>
      <c r="S77" s="973" t="n">
        <v>0.6</v>
      </c>
      <c r="T77" s="973" t="n">
        <v>0.1875</v>
      </c>
      <c r="U77" s="973" t="n">
        <v>0.1875</v>
      </c>
      <c r="V77" s="973" t="n">
        <v>1</v>
      </c>
      <c r="W77" s="973" t="n">
        <v>0.6</v>
      </c>
      <c r="X77" s="973" t="b">
        <v>1</v>
      </c>
      <c r="Y77" s="973" t="n">
        <v>0.45</v>
      </c>
      <c r="Z77" s="973" t="n">
        <v>0.2216183303833008</v>
      </c>
      <c r="AA77" s="973" t="n">
        <v>0.2216183303833008</v>
      </c>
      <c r="AB77" s="973" t="n">
        <v>1</v>
      </c>
      <c r="AC77" s="973" t="n">
        <v>0.45</v>
      </c>
      <c r="AD77" s="973" t="b">
        <v>1</v>
      </c>
      <c r="AE77" s="973" t="n">
        <v>0.45</v>
      </c>
      <c r="AF77" s="973" t="n">
        <v>0.1789397321428572</v>
      </c>
      <c r="AG77" s="973" t="n">
        <v>0.1789397321428572</v>
      </c>
      <c r="AH77" s="973" t="n">
        <v>1</v>
      </c>
      <c r="AI77" s="973" t="n">
        <v>0.45</v>
      </c>
      <c r="AJ77" s="973" t="b">
        <v>1</v>
      </c>
      <c r="AK77" s="973" t="n">
        <v>0.6</v>
      </c>
      <c r="AL77" s="973" t="n">
        <v>0.1226516246795654</v>
      </c>
      <c r="AM77" s="973" t="n">
        <v>0.1226516246795654</v>
      </c>
      <c r="AN77" s="973" t="n">
        <v>1</v>
      </c>
      <c r="AO77" s="973" t="n">
        <v>0.6</v>
      </c>
    </row>
    <row r="78">
      <c r="A78" s="973" t="inlineStr">
        <is>
          <t>Malicious insider</t>
        </is>
      </c>
      <c r="B78" s="973" t="inlineStr">
        <is>
          <t>Data or transaction-integrity compromise</t>
        </is>
      </c>
      <c r="C78" s="973" t="inlineStr">
        <is>
          <t>Public-facing application exploitation</t>
        </is>
      </c>
      <c r="D78" s="973" t="b">
        <v>0</v>
      </c>
      <c r="E78" s="973" t="n">
        <v>0</v>
      </c>
      <c r="F78" s="973" t="n">
        <v>1</v>
      </c>
      <c r="G78" s="973" t="n">
        <v>0</v>
      </c>
      <c r="H78" s="973" t="n">
        <v>1</v>
      </c>
      <c r="I78" s="973" t="n">
        <v>1</v>
      </c>
      <c r="J78" s="973" t="n">
        <v>1</v>
      </c>
      <c r="K78" s="973" t="n">
        <v>1</v>
      </c>
      <c r="L78" s="973" t="b">
        <v>1</v>
      </c>
      <c r="M78" s="973" t="n">
        <v>0.25</v>
      </c>
      <c r="N78" s="973" t="n">
        <v>0</v>
      </c>
      <c r="O78" s="973" t="n">
        <v>0</v>
      </c>
      <c r="P78" s="973" t="n">
        <v>1</v>
      </c>
      <c r="Q78" s="973" t="n">
        <v>0</v>
      </c>
      <c r="R78" s="973" t="b">
        <v>1</v>
      </c>
      <c r="S78" s="973" t="n">
        <v>0.6</v>
      </c>
      <c r="T78" s="973" t="n">
        <v>0.1875</v>
      </c>
      <c r="U78" s="973" t="n">
        <v>0.1875</v>
      </c>
      <c r="V78" s="973" t="n">
        <v>1</v>
      </c>
      <c r="W78" s="973" t="n">
        <v>0.6</v>
      </c>
      <c r="X78" s="973" t="b">
        <v>1</v>
      </c>
      <c r="Y78" s="973" t="n">
        <v>0.5</v>
      </c>
      <c r="Z78" s="973" t="n">
        <v>0.2199757778461163</v>
      </c>
      <c r="AA78" s="973" t="n">
        <v>0.2199757778461163</v>
      </c>
      <c r="AB78" s="973" t="n">
        <v>1</v>
      </c>
      <c r="AC78" s="973" t="n">
        <v>0.5</v>
      </c>
      <c r="AD78" s="973" t="b">
        <v>1</v>
      </c>
      <c r="AE78" s="973" t="n">
        <v>0.45</v>
      </c>
      <c r="AF78" s="973" t="n">
        <v>0.1907346013939899</v>
      </c>
      <c r="AG78" s="973" t="n">
        <v>0.1907346013939899</v>
      </c>
      <c r="AH78" s="973" t="n">
        <v>1</v>
      </c>
      <c r="AI78" s="973" t="n">
        <v>0.45</v>
      </c>
      <c r="AJ78" s="973" t="b">
        <v>1</v>
      </c>
      <c r="AK78" s="973" t="n">
        <v>0.6</v>
      </c>
      <c r="AL78" s="973" t="n">
        <v>0.1374199407240924</v>
      </c>
      <c r="AM78" s="973" t="n">
        <v>0.1374199407240924</v>
      </c>
      <c r="AN78" s="973" t="n">
        <v>1</v>
      </c>
      <c r="AO78" s="973" t="n">
        <v>0.6</v>
      </c>
    </row>
    <row r="79">
      <c r="A79" s="973" t="inlineStr">
        <is>
          <t>Malicious insider</t>
        </is>
      </c>
      <c r="B79" s="973" t="inlineStr">
        <is>
          <t>Data or transaction-integrity compromise</t>
        </is>
      </c>
      <c r="C79" s="973" t="inlineStr">
        <is>
          <t>Third-party or software supply chain</t>
        </is>
      </c>
      <c r="D79" s="973" t="b">
        <v>1</v>
      </c>
      <c r="E79" s="973" t="n">
        <v>0.001108156028368795</v>
      </c>
      <c r="F79" s="973" t="n">
        <v>1</v>
      </c>
      <c r="G79" s="973" t="n">
        <v>0.196625</v>
      </c>
      <c r="H79" s="973" t="n">
        <v>1</v>
      </c>
      <c r="I79" s="973" t="n">
        <v>1</v>
      </c>
      <c r="J79" s="973" t="n">
        <v>1</v>
      </c>
      <c r="K79" s="973" t="n">
        <v>1</v>
      </c>
      <c r="L79" s="973" t="b">
        <v>0</v>
      </c>
      <c r="M79" s="973" t="n">
        <v>1</v>
      </c>
      <c r="N79" s="973" t="n">
        <v>0</v>
      </c>
      <c r="O79" s="973" t="n">
        <v>0</v>
      </c>
      <c r="P79" s="973" t="n">
        <v>1</v>
      </c>
      <c r="Q79" s="973" t="n">
        <v>1</v>
      </c>
      <c r="R79" s="973" t="b">
        <v>0</v>
      </c>
      <c r="S79" s="973" t="n">
        <v>1</v>
      </c>
      <c r="T79" s="973" t="n">
        <v>0</v>
      </c>
      <c r="U79" s="973" t="n">
        <v>0</v>
      </c>
      <c r="V79" s="973" t="n">
        <v>1</v>
      </c>
      <c r="W79" s="973" t="n">
        <v>1</v>
      </c>
      <c r="X79" s="973" t="b">
        <v>1</v>
      </c>
      <c r="Y79" s="973" t="n">
        <v>0.55</v>
      </c>
      <c r="Z79" s="973" t="n">
        <v>0.22181427526474</v>
      </c>
      <c r="AA79" s="973" t="n">
        <v>0.22181427526474</v>
      </c>
      <c r="AB79" s="973" t="n">
        <v>1</v>
      </c>
      <c r="AC79" s="973" t="n">
        <v>0.55</v>
      </c>
      <c r="AD79" s="973" t="b">
        <v>1</v>
      </c>
      <c r="AE79" s="973" t="n">
        <v>0.55</v>
      </c>
      <c r="AF79" s="973" t="n">
        <v>0.10376953125</v>
      </c>
      <c r="AG79" s="973" t="n">
        <v>0.10376953125</v>
      </c>
      <c r="AH79" s="973" t="n">
        <v>1</v>
      </c>
      <c r="AI79" s="973" t="n">
        <v>0.55</v>
      </c>
      <c r="AJ79" s="973" t="b">
        <v>1</v>
      </c>
      <c r="AK79" s="973" t="n">
        <v>0.65</v>
      </c>
      <c r="AL79" s="973" t="n">
        <v>0.1970353629372337</v>
      </c>
      <c r="AM79" s="973" t="n">
        <v>0.1970353629372337</v>
      </c>
      <c r="AN79" s="973" t="n">
        <v>1</v>
      </c>
      <c r="AO79" s="973" t="n">
        <v>0.65</v>
      </c>
    </row>
    <row r="80">
      <c r="A80" s="973" t="inlineStr">
        <is>
          <t>Malicious insider</t>
        </is>
      </c>
      <c r="B80" s="973" t="inlineStr">
        <is>
          <t>Data or transaction-integrity compromise</t>
        </is>
      </c>
      <c r="C80" s="973" t="inlineStr">
        <is>
          <t>Direct availability or DDoS</t>
        </is>
      </c>
      <c r="D80" s="973" t="b">
        <v>0</v>
      </c>
      <c r="E80" s="973" t="n">
        <v>0</v>
      </c>
      <c r="F80" s="973" t="n">
        <v>1</v>
      </c>
      <c r="G80" s="973" t="n">
        <v>0</v>
      </c>
      <c r="H80" s="973" t="n">
        <v>1</v>
      </c>
      <c r="I80" s="973" t="n">
        <v>1</v>
      </c>
      <c r="J80" s="973" t="n">
        <v>1</v>
      </c>
      <c r="K80" s="973" t="n">
        <v>1</v>
      </c>
      <c r="L80" s="973" t="b">
        <v>0</v>
      </c>
      <c r="M80" s="973" t="n">
        <v>1</v>
      </c>
      <c r="N80" s="973" t="n">
        <v>0</v>
      </c>
      <c r="O80" s="973" t="n">
        <v>0</v>
      </c>
      <c r="P80" s="973" t="n">
        <v>1</v>
      </c>
      <c r="Q80" s="973" t="n">
        <v>1</v>
      </c>
      <c r="R80" s="973" t="b">
        <v>0</v>
      </c>
      <c r="S80" s="973" t="n">
        <v>1</v>
      </c>
      <c r="T80" s="973" t="n">
        <v>0</v>
      </c>
      <c r="U80" s="973" t="n">
        <v>0</v>
      </c>
      <c r="V80" s="973" t="n">
        <v>1</v>
      </c>
      <c r="W80" s="973" t="n">
        <v>1</v>
      </c>
      <c r="X80" s="973" t="b">
        <v>0</v>
      </c>
      <c r="Y80" s="973" t="n">
        <v>1</v>
      </c>
      <c r="Z80" s="973" t="n">
        <v>0</v>
      </c>
      <c r="AA80" s="973" t="n">
        <v>0</v>
      </c>
      <c r="AB80" s="973" t="n">
        <v>1</v>
      </c>
      <c r="AC80" s="973" t="n">
        <v>1</v>
      </c>
      <c r="AD80" s="973" t="b">
        <v>0</v>
      </c>
      <c r="AE80" s="973" t="n">
        <v>1</v>
      </c>
      <c r="AF80" s="973" t="n">
        <v>0</v>
      </c>
      <c r="AG80" s="973" t="n">
        <v>0</v>
      </c>
      <c r="AH80" s="973" t="n">
        <v>1</v>
      </c>
      <c r="AI80" s="973" t="n">
        <v>1</v>
      </c>
      <c r="AJ80" s="973" t="b">
        <v>0</v>
      </c>
      <c r="AK80" s="973" t="n">
        <v>1</v>
      </c>
      <c r="AL80" s="973" t="n">
        <v>0</v>
      </c>
      <c r="AM80" s="973" t="n">
        <v>0</v>
      </c>
      <c r="AN80" s="973" t="n">
        <v>1</v>
      </c>
      <c r="AO80" s="973" t="n">
        <v>1</v>
      </c>
    </row>
    <row r="81">
      <c r="A81" s="973" t="inlineStr">
        <is>
          <t>Malicious insider</t>
        </is>
      </c>
      <c r="B81" s="973" t="inlineStr">
        <is>
          <t>Data or transaction-integrity compromise</t>
        </is>
      </c>
      <c r="C81" s="973" t="inlineStr">
        <is>
          <t>Insider or trusted access</t>
        </is>
      </c>
      <c r="D81" s="973" t="b">
        <v>1</v>
      </c>
      <c r="E81" s="973" t="n">
        <v>0.02217420212765958</v>
      </c>
      <c r="F81" s="973" t="n">
        <v>1</v>
      </c>
      <c r="G81" s="973" t="n">
        <v>0.29575</v>
      </c>
      <c r="H81" s="973" t="n">
        <v>1</v>
      </c>
      <c r="I81" s="973" t="n">
        <v>1</v>
      </c>
      <c r="J81" s="973" t="n">
        <v>1</v>
      </c>
      <c r="K81" s="973" t="n">
        <v>1</v>
      </c>
      <c r="L81" s="973" t="b">
        <v>0</v>
      </c>
      <c r="M81" s="973" t="n">
        <v>1</v>
      </c>
      <c r="N81" s="973" t="n">
        <v>0</v>
      </c>
      <c r="O81" s="973" t="n">
        <v>0</v>
      </c>
      <c r="P81" s="973" t="n">
        <v>1</v>
      </c>
      <c r="Q81" s="973" t="n">
        <v>1</v>
      </c>
      <c r="R81" s="973" t="b">
        <v>0</v>
      </c>
      <c r="S81" s="973" t="n">
        <v>1</v>
      </c>
      <c r="T81" s="973" t="n">
        <v>0</v>
      </c>
      <c r="U81" s="973" t="n">
        <v>0</v>
      </c>
      <c r="V81" s="973" t="n">
        <v>1</v>
      </c>
      <c r="W81" s="973" t="n">
        <v>1</v>
      </c>
      <c r="X81" s="973" t="b">
        <v>1</v>
      </c>
      <c r="Y81" s="973" t="n">
        <v>0.7</v>
      </c>
      <c r="Z81" s="973" t="n">
        <v>0.2477547340393066</v>
      </c>
      <c r="AA81" s="973" t="n">
        <v>0.2477547340393066</v>
      </c>
      <c r="AB81" s="973" t="n">
        <v>1</v>
      </c>
      <c r="AC81" s="973" t="n">
        <v>0.7</v>
      </c>
      <c r="AD81" s="973" t="b">
        <v>1</v>
      </c>
      <c r="AE81" s="973" t="n">
        <v>0.65</v>
      </c>
      <c r="AF81" s="973" t="n">
        <v>0.106734375</v>
      </c>
      <c r="AG81" s="973" t="n">
        <v>0.106734375</v>
      </c>
      <c r="AH81" s="973" t="n">
        <v>1</v>
      </c>
      <c r="AI81" s="973" t="n">
        <v>0.65</v>
      </c>
      <c r="AJ81" s="973" t="b">
        <v>1</v>
      </c>
      <c r="AK81" s="973" t="n">
        <v>0.65</v>
      </c>
      <c r="AL81" s="973" t="n">
        <v>0.2206064987182617</v>
      </c>
      <c r="AM81" s="973" t="n">
        <v>0.2206064987182617</v>
      </c>
      <c r="AN81" s="973" t="n">
        <v>1</v>
      </c>
      <c r="AO81" s="973" t="n">
        <v>0.65</v>
      </c>
    </row>
    <row r="82">
      <c r="A82" s="973" t="inlineStr">
        <is>
          <t>Malicious insider</t>
        </is>
      </c>
      <c r="B82" s="973" t="inlineStr">
        <is>
          <t>Cyber-enabled theft or fraud</t>
        </is>
      </c>
      <c r="C82" s="973" t="inlineStr">
        <is>
          <t>Identity and credential compromise</t>
        </is>
      </c>
      <c r="D82" s="973" t="b">
        <v>1</v>
      </c>
      <c r="E82" s="973" t="n">
        <v>0.001616777531411678</v>
      </c>
      <c r="F82" s="973" t="n">
        <v>1</v>
      </c>
      <c r="G82" s="973" t="n">
        <v>0.10725</v>
      </c>
      <c r="H82" s="973" t="n">
        <v>1</v>
      </c>
      <c r="I82" s="973" t="n">
        <v>1</v>
      </c>
      <c r="J82" s="973" t="n">
        <v>1</v>
      </c>
      <c r="K82" s="973" t="n">
        <v>1</v>
      </c>
      <c r="L82" s="973" t="b">
        <v>1</v>
      </c>
      <c r="M82" s="973" t="n">
        <v>0.3</v>
      </c>
      <c r="N82" s="973" t="n">
        <v>0.2391796875</v>
      </c>
      <c r="O82" s="973" t="n">
        <v>0.2391796875</v>
      </c>
      <c r="P82" s="973" t="n">
        <v>1</v>
      </c>
      <c r="Q82" s="973" t="n">
        <v>0.3</v>
      </c>
      <c r="R82" s="973" t="b">
        <v>0</v>
      </c>
      <c r="S82" s="973" t="n">
        <v>1</v>
      </c>
      <c r="T82" s="973" t="n">
        <v>0</v>
      </c>
      <c r="U82" s="973" t="n">
        <v>0</v>
      </c>
      <c r="V82" s="973" t="n">
        <v>1</v>
      </c>
      <c r="W82" s="973" t="n">
        <v>1</v>
      </c>
      <c r="X82" s="973" t="b">
        <v>1</v>
      </c>
      <c r="Y82" s="973" t="n">
        <v>0.55</v>
      </c>
      <c r="Z82" s="973" t="n">
        <v>0.2477547340393066</v>
      </c>
      <c r="AA82" s="973" t="n">
        <v>0.2477547340393066</v>
      </c>
      <c r="AB82" s="973" t="n">
        <v>1</v>
      </c>
      <c r="AC82" s="973" t="n">
        <v>0.55</v>
      </c>
      <c r="AD82" s="973" t="b">
        <v>0</v>
      </c>
      <c r="AE82" s="973" t="n">
        <v>1</v>
      </c>
      <c r="AF82" s="973" t="n">
        <v>0</v>
      </c>
      <c r="AG82" s="973" t="n">
        <v>0</v>
      </c>
      <c r="AH82" s="973" t="n">
        <v>1</v>
      </c>
      <c r="AI82" s="973" t="n">
        <v>1</v>
      </c>
      <c r="AJ82" s="973" t="b">
        <v>1</v>
      </c>
      <c r="AK82" s="973" t="n">
        <v>0.65</v>
      </c>
      <c r="AL82" s="973" t="n">
        <v>0.2544820668147161</v>
      </c>
      <c r="AM82" s="973" t="n">
        <v>0.2544820668147161</v>
      </c>
      <c r="AN82" s="973" t="n">
        <v>1</v>
      </c>
      <c r="AO82" s="973" t="n">
        <v>0.65</v>
      </c>
    </row>
    <row r="83">
      <c r="A83" s="973" t="inlineStr">
        <is>
          <t>Malicious insider</t>
        </is>
      </c>
      <c r="B83" s="973" t="inlineStr">
        <is>
          <t>Cyber-enabled theft or fraud</t>
        </is>
      </c>
      <c r="C83" s="973" t="inlineStr">
        <is>
          <t>User endpoint and social engineering</t>
        </is>
      </c>
      <c r="D83" s="973" t="b">
        <v>1</v>
      </c>
      <c r="E83" s="973" t="n">
        <v>0.0004157427937915743</v>
      </c>
      <c r="F83" s="973" t="n">
        <v>1</v>
      </c>
      <c r="G83" s="973" t="n">
        <v>0.126</v>
      </c>
      <c r="H83" s="973" t="n">
        <v>1</v>
      </c>
      <c r="I83" s="973" t="n">
        <v>1</v>
      </c>
      <c r="J83" s="973" t="n">
        <v>1</v>
      </c>
      <c r="K83" s="973" t="n">
        <v>1</v>
      </c>
      <c r="L83" s="973" t="b">
        <v>1</v>
      </c>
      <c r="M83" s="973" t="n">
        <v>0.35</v>
      </c>
      <c r="N83" s="973" t="n">
        <v>0.20625</v>
      </c>
      <c r="O83" s="973" t="n">
        <v>0.20625</v>
      </c>
      <c r="P83" s="973" t="n">
        <v>1</v>
      </c>
      <c r="Q83" s="973" t="n">
        <v>0.35</v>
      </c>
      <c r="R83" s="973" t="b">
        <v>1</v>
      </c>
      <c r="S83" s="973" t="n">
        <v>0.6</v>
      </c>
      <c r="T83" s="973" t="n">
        <v>0.1875</v>
      </c>
      <c r="U83" s="973" t="n">
        <v>0.1875</v>
      </c>
      <c r="V83" s="973" t="n">
        <v>1</v>
      </c>
      <c r="W83" s="973" t="n">
        <v>0.6</v>
      </c>
      <c r="X83" s="973" t="b">
        <v>0</v>
      </c>
      <c r="Y83" s="973" t="n">
        <v>1</v>
      </c>
      <c r="Z83" s="973" t="n">
        <v>0</v>
      </c>
      <c r="AA83" s="973" t="n">
        <v>0</v>
      </c>
      <c r="AB83" s="973" t="n">
        <v>1</v>
      </c>
      <c r="AC83" s="973" t="n">
        <v>1</v>
      </c>
      <c r="AD83" s="973" t="b">
        <v>0</v>
      </c>
      <c r="AE83" s="973" t="n">
        <v>1</v>
      </c>
      <c r="AF83" s="973" t="n">
        <v>0</v>
      </c>
      <c r="AG83" s="973" t="n">
        <v>0</v>
      </c>
      <c r="AH83" s="973" t="n">
        <v>1</v>
      </c>
      <c r="AI83" s="973" t="n">
        <v>1</v>
      </c>
      <c r="AJ83" s="973" t="b">
        <v>1</v>
      </c>
      <c r="AK83" s="973" t="n">
        <v>0.6</v>
      </c>
      <c r="AL83" s="973" t="n">
        <v>0.2481303977966309</v>
      </c>
      <c r="AM83" s="973" t="n">
        <v>0.2481303977966309</v>
      </c>
      <c r="AN83" s="973" t="n">
        <v>1</v>
      </c>
      <c r="AO83" s="973" t="n">
        <v>0.6</v>
      </c>
    </row>
    <row r="84">
      <c r="A84" s="973" t="inlineStr">
        <is>
          <t>Malicious insider</t>
        </is>
      </c>
      <c r="B84" s="973" t="inlineStr">
        <is>
          <t>Cyber-enabled theft or fraud</t>
        </is>
      </c>
      <c r="C84" s="973" t="inlineStr">
        <is>
          <t>Public-facing application exploitation</t>
        </is>
      </c>
      <c r="D84" s="973" t="b">
        <v>0</v>
      </c>
      <c r="E84" s="973" t="n">
        <v>0</v>
      </c>
      <c r="F84" s="973" t="n">
        <v>1</v>
      </c>
      <c r="G84" s="973" t="n">
        <v>0</v>
      </c>
      <c r="H84" s="973" t="n">
        <v>1</v>
      </c>
      <c r="I84" s="973" t="n">
        <v>1</v>
      </c>
      <c r="J84" s="973" t="n">
        <v>1</v>
      </c>
      <c r="K84" s="973" t="n">
        <v>1</v>
      </c>
      <c r="L84" s="973" t="b">
        <v>1</v>
      </c>
      <c r="M84" s="973" t="n">
        <v>0.25</v>
      </c>
      <c r="N84" s="973" t="n">
        <v>0</v>
      </c>
      <c r="O84" s="973" t="n">
        <v>0</v>
      </c>
      <c r="P84" s="973" t="n">
        <v>1</v>
      </c>
      <c r="Q84" s="973" t="n">
        <v>0</v>
      </c>
      <c r="R84" s="973" t="b">
        <v>1</v>
      </c>
      <c r="S84" s="973" t="n">
        <v>0.6</v>
      </c>
      <c r="T84" s="973" t="n">
        <v>0.1875</v>
      </c>
      <c r="U84" s="973" t="n">
        <v>0.1875</v>
      </c>
      <c r="V84" s="973" t="n">
        <v>1</v>
      </c>
      <c r="W84" s="973" t="n">
        <v>0.6</v>
      </c>
      <c r="X84" s="973" t="b">
        <v>1</v>
      </c>
      <c r="Y84" s="973" t="n">
        <v>0.5</v>
      </c>
      <c r="Z84" s="973" t="n">
        <v>0.2199757778461163</v>
      </c>
      <c r="AA84" s="973" t="n">
        <v>0.2199757778461163</v>
      </c>
      <c r="AB84" s="973" t="n">
        <v>1</v>
      </c>
      <c r="AC84" s="973" t="n">
        <v>0.5</v>
      </c>
      <c r="AD84" s="973" t="b">
        <v>1</v>
      </c>
      <c r="AE84" s="973" t="n">
        <v>0.45</v>
      </c>
      <c r="AF84" s="973" t="n">
        <v>0.1907346013939899</v>
      </c>
      <c r="AG84" s="973" t="n">
        <v>0.1907346013939899</v>
      </c>
      <c r="AH84" s="973" t="n">
        <v>1</v>
      </c>
      <c r="AI84" s="973" t="n">
        <v>0.45</v>
      </c>
      <c r="AJ84" s="973" t="b">
        <v>1</v>
      </c>
      <c r="AK84" s="973" t="n">
        <v>0.6</v>
      </c>
      <c r="AL84" s="973" t="n">
        <v>0.2426256179809571</v>
      </c>
      <c r="AM84" s="973" t="n">
        <v>0.2426256179809571</v>
      </c>
      <c r="AN84" s="973" t="n">
        <v>1</v>
      </c>
      <c r="AO84" s="973" t="n">
        <v>0.6</v>
      </c>
    </row>
    <row r="85">
      <c r="A85" s="973" t="inlineStr">
        <is>
          <t>Malicious insider</t>
        </is>
      </c>
      <c r="B85" s="973" t="inlineStr">
        <is>
          <t>Cyber-enabled theft or fraud</t>
        </is>
      </c>
      <c r="C85" s="973" t="inlineStr">
        <is>
          <t>Third-party or software supply chain</t>
        </is>
      </c>
      <c r="D85" s="973" t="b">
        <v>1</v>
      </c>
      <c r="E85" s="973" t="n">
        <v>0.0004619364375461938</v>
      </c>
      <c r="F85" s="973" t="n">
        <v>1</v>
      </c>
      <c r="G85" s="973" t="n">
        <v>0.196625</v>
      </c>
      <c r="H85" s="973" t="n">
        <v>1</v>
      </c>
      <c r="I85" s="973" t="n">
        <v>1</v>
      </c>
      <c r="J85" s="973" t="n">
        <v>1</v>
      </c>
      <c r="K85" s="973" t="n">
        <v>1</v>
      </c>
      <c r="L85" s="973" t="b">
        <v>0</v>
      </c>
      <c r="M85" s="973" t="n">
        <v>1</v>
      </c>
      <c r="N85" s="973" t="n">
        <v>0</v>
      </c>
      <c r="O85" s="973" t="n">
        <v>0</v>
      </c>
      <c r="P85" s="973" t="n">
        <v>1</v>
      </c>
      <c r="Q85" s="973" t="n">
        <v>1</v>
      </c>
      <c r="R85" s="973" t="b">
        <v>0</v>
      </c>
      <c r="S85" s="973" t="n">
        <v>1</v>
      </c>
      <c r="T85" s="973" t="n">
        <v>0</v>
      </c>
      <c r="U85" s="973" t="n">
        <v>0</v>
      </c>
      <c r="V85" s="973" t="n">
        <v>1</v>
      </c>
      <c r="W85" s="973" t="n">
        <v>1</v>
      </c>
      <c r="X85" s="973" t="b">
        <v>1</v>
      </c>
      <c r="Y85" s="973" t="n">
        <v>0.55</v>
      </c>
      <c r="Z85" s="973" t="n">
        <v>0.22181427526474</v>
      </c>
      <c r="AA85" s="973" t="n">
        <v>0.22181427526474</v>
      </c>
      <c r="AB85" s="973" t="n">
        <v>1</v>
      </c>
      <c r="AC85" s="973" t="n">
        <v>0.55</v>
      </c>
      <c r="AD85" s="973" t="b">
        <v>1</v>
      </c>
      <c r="AE85" s="973" t="n">
        <v>0.55</v>
      </c>
      <c r="AF85" s="973" t="n">
        <v>0.10376953125</v>
      </c>
      <c r="AG85" s="973" t="n">
        <v>0.10376953125</v>
      </c>
      <c r="AH85" s="973" t="n">
        <v>1</v>
      </c>
      <c r="AI85" s="973" t="n">
        <v>0.55</v>
      </c>
      <c r="AJ85" s="973" t="b">
        <v>1</v>
      </c>
      <c r="AK85" s="973" t="n">
        <v>0.65</v>
      </c>
      <c r="AL85" s="973" t="n">
        <v>0.2456282251531427</v>
      </c>
      <c r="AM85" s="973" t="n">
        <v>0.2456282251531427</v>
      </c>
      <c r="AN85" s="973" t="n">
        <v>1</v>
      </c>
      <c r="AO85" s="973" t="n">
        <v>0.65</v>
      </c>
    </row>
    <row r="86">
      <c r="A86" s="973" t="inlineStr">
        <is>
          <t>Malicious insider</t>
        </is>
      </c>
      <c r="B86" s="973" t="inlineStr">
        <is>
          <t>Cyber-enabled theft or fraud</t>
        </is>
      </c>
      <c r="C86" s="973" t="inlineStr">
        <is>
          <t>Direct availability or DDoS</t>
        </is>
      </c>
      <c r="D86" s="973" t="b">
        <v>0</v>
      </c>
      <c r="E86" s="973" t="n">
        <v>0</v>
      </c>
      <c r="F86" s="973" t="n">
        <v>1</v>
      </c>
      <c r="G86" s="973" t="n">
        <v>0</v>
      </c>
      <c r="H86" s="973" t="n">
        <v>1</v>
      </c>
      <c r="I86" s="973" t="n">
        <v>1</v>
      </c>
      <c r="J86" s="973" t="n">
        <v>1</v>
      </c>
      <c r="K86" s="973" t="n">
        <v>1</v>
      </c>
      <c r="L86" s="973" t="b">
        <v>0</v>
      </c>
      <c r="M86" s="973" t="n">
        <v>1</v>
      </c>
      <c r="N86" s="973" t="n">
        <v>0</v>
      </c>
      <c r="O86" s="973" t="n">
        <v>0</v>
      </c>
      <c r="P86" s="973" t="n">
        <v>1</v>
      </c>
      <c r="Q86" s="973" t="n">
        <v>1</v>
      </c>
      <c r="R86" s="973" t="b">
        <v>0</v>
      </c>
      <c r="S86" s="973" t="n">
        <v>1</v>
      </c>
      <c r="T86" s="973" t="n">
        <v>0</v>
      </c>
      <c r="U86" s="973" t="n">
        <v>0</v>
      </c>
      <c r="V86" s="973" t="n">
        <v>1</v>
      </c>
      <c r="W86" s="973" t="n">
        <v>1</v>
      </c>
      <c r="X86" s="973" t="b">
        <v>0</v>
      </c>
      <c r="Y86" s="973" t="n">
        <v>1</v>
      </c>
      <c r="Z86" s="973" t="n">
        <v>0</v>
      </c>
      <c r="AA86" s="973" t="n">
        <v>0</v>
      </c>
      <c r="AB86" s="973" t="n">
        <v>1</v>
      </c>
      <c r="AC86" s="973" t="n">
        <v>1</v>
      </c>
      <c r="AD86" s="973" t="b">
        <v>0</v>
      </c>
      <c r="AE86" s="973" t="n">
        <v>1</v>
      </c>
      <c r="AF86" s="973" t="n">
        <v>0</v>
      </c>
      <c r="AG86" s="973" t="n">
        <v>0</v>
      </c>
      <c r="AH86" s="973" t="n">
        <v>1</v>
      </c>
      <c r="AI86" s="973" t="n">
        <v>1</v>
      </c>
      <c r="AJ86" s="973" t="b">
        <v>0</v>
      </c>
      <c r="AK86" s="973" t="n">
        <v>1</v>
      </c>
      <c r="AL86" s="973" t="n">
        <v>0</v>
      </c>
      <c r="AM86" s="973" t="n">
        <v>0</v>
      </c>
      <c r="AN86" s="973" t="n">
        <v>1</v>
      </c>
      <c r="AO86" s="973" t="n">
        <v>1</v>
      </c>
    </row>
    <row r="87">
      <c r="A87" s="973" t="inlineStr">
        <is>
          <t>Malicious insider</t>
        </is>
      </c>
      <c r="B87" s="973" t="inlineStr">
        <is>
          <t>Cyber-enabled theft or fraud</t>
        </is>
      </c>
      <c r="C87" s="973" t="inlineStr">
        <is>
          <t>Insider or trusted access</t>
        </is>
      </c>
      <c r="D87" s="973" t="b">
        <v>1</v>
      </c>
      <c r="E87" s="973" t="n">
        <v>0.02250554323725056</v>
      </c>
      <c r="F87" s="973" t="n">
        <v>1</v>
      </c>
      <c r="G87" s="973" t="n">
        <v>0.455</v>
      </c>
      <c r="H87" s="973" t="n">
        <v>1</v>
      </c>
      <c r="I87" s="973" t="n">
        <v>1</v>
      </c>
      <c r="J87" s="973" t="n">
        <v>1</v>
      </c>
      <c r="K87" s="973" t="n">
        <v>1</v>
      </c>
      <c r="L87" s="973" t="b">
        <v>0</v>
      </c>
      <c r="M87" s="973" t="n">
        <v>1</v>
      </c>
      <c r="N87" s="973" t="n">
        <v>0</v>
      </c>
      <c r="O87" s="973" t="n">
        <v>0</v>
      </c>
      <c r="P87" s="973" t="n">
        <v>1</v>
      </c>
      <c r="Q87" s="973" t="n">
        <v>1</v>
      </c>
      <c r="R87" s="973" t="b">
        <v>0</v>
      </c>
      <c r="S87" s="973" t="n">
        <v>1</v>
      </c>
      <c r="T87" s="973" t="n">
        <v>0</v>
      </c>
      <c r="U87" s="973" t="n">
        <v>0</v>
      </c>
      <c r="V87" s="973" t="n">
        <v>1</v>
      </c>
      <c r="W87" s="973" t="n">
        <v>1</v>
      </c>
      <c r="X87" s="973" t="b">
        <v>1</v>
      </c>
      <c r="Y87" s="973" t="n">
        <v>0.7</v>
      </c>
      <c r="Z87" s="973" t="n">
        <v>0.2477547340393066</v>
      </c>
      <c r="AA87" s="973" t="n">
        <v>0.2477547340393066</v>
      </c>
      <c r="AB87" s="973" t="n">
        <v>1</v>
      </c>
      <c r="AC87" s="973" t="n">
        <v>0.7</v>
      </c>
      <c r="AD87" s="973" t="b">
        <v>0</v>
      </c>
      <c r="AE87" s="973" t="n">
        <v>1</v>
      </c>
      <c r="AF87" s="973" t="n">
        <v>0</v>
      </c>
      <c r="AG87" s="973" t="n">
        <v>0</v>
      </c>
      <c r="AH87" s="973" t="n">
        <v>1</v>
      </c>
      <c r="AI87" s="973" t="n">
        <v>1</v>
      </c>
      <c r="AJ87" s="973" t="b">
        <v>1</v>
      </c>
      <c r="AK87" s="973" t="n">
        <v>0.65</v>
      </c>
      <c r="AL87" s="973" t="n">
        <v>0.2481303977966309</v>
      </c>
      <c r="AM87" s="973" t="n">
        <v>0.2481303977966309</v>
      </c>
      <c r="AN87" s="973" t="n">
        <v>1</v>
      </c>
      <c r="AO87" s="973" t="n">
        <v>0.65</v>
      </c>
    </row>
    <row r="88">
      <c r="A88" s="973" t="inlineStr">
        <is>
          <t>Hacktivist</t>
        </is>
      </c>
      <c r="B88" s="973" t="inlineStr">
        <is>
          <t>Critical business-service disruption</t>
        </is>
      </c>
      <c r="C88" s="973" t="inlineStr">
        <is>
          <t>Identity and credential compromise</t>
        </is>
      </c>
      <c r="D88" s="973" t="b">
        <v>1</v>
      </c>
      <c r="E88" s="973" t="n">
        <v>0.005751533742331289</v>
      </c>
      <c r="F88" s="973" t="n">
        <v>1</v>
      </c>
      <c r="G88" s="973" t="n">
        <v>0.05898750000000001</v>
      </c>
      <c r="H88" s="973" t="n">
        <v>1</v>
      </c>
      <c r="I88" s="973" t="n">
        <v>1</v>
      </c>
      <c r="J88" s="973" t="n">
        <v>1</v>
      </c>
      <c r="K88" s="973" t="n">
        <v>1</v>
      </c>
      <c r="L88" s="973" t="b">
        <v>1</v>
      </c>
      <c r="M88" s="973" t="n">
        <v>0.3</v>
      </c>
      <c r="N88" s="973" t="n">
        <v>0.2403645833333333</v>
      </c>
      <c r="O88" s="973" t="n">
        <v>0.2403645833333333</v>
      </c>
      <c r="P88" s="973" t="n">
        <v>1</v>
      </c>
      <c r="Q88" s="973" t="n">
        <v>0.3</v>
      </c>
      <c r="R88" s="973" t="b">
        <v>0</v>
      </c>
      <c r="S88" s="973" t="n">
        <v>1</v>
      </c>
      <c r="T88" s="973" t="n">
        <v>0</v>
      </c>
      <c r="U88" s="973" t="n">
        <v>0</v>
      </c>
      <c r="V88" s="973" t="n">
        <v>1</v>
      </c>
      <c r="W88" s="973" t="n">
        <v>1</v>
      </c>
      <c r="X88" s="973" t="b">
        <v>1</v>
      </c>
      <c r="Y88" s="973" t="n">
        <v>0.55</v>
      </c>
      <c r="Z88" s="973" t="n">
        <v>0.2477547340393066</v>
      </c>
      <c r="AA88" s="973" t="n">
        <v>0.2477547340393066</v>
      </c>
      <c r="AB88" s="973" t="n">
        <v>1</v>
      </c>
      <c r="AC88" s="973" t="n">
        <v>0.55</v>
      </c>
      <c r="AD88" s="973" t="b">
        <v>1</v>
      </c>
      <c r="AE88" s="973" t="n">
        <v>0.55</v>
      </c>
      <c r="AF88" s="973" t="n">
        <v>0</v>
      </c>
      <c r="AG88" s="973" t="n">
        <v>0</v>
      </c>
      <c r="AH88" s="973" t="n">
        <v>1</v>
      </c>
      <c r="AI88" s="973" t="n">
        <v>0.55</v>
      </c>
      <c r="AJ88" s="973" t="b">
        <v>1</v>
      </c>
      <c r="AK88" s="973" t="n">
        <v>0.65</v>
      </c>
      <c r="AL88" s="973" t="n">
        <v>0.2206064987182617</v>
      </c>
      <c r="AM88" s="973" t="n">
        <v>0.2206064987182617</v>
      </c>
      <c r="AN88" s="973" t="n">
        <v>1</v>
      </c>
      <c r="AO88" s="973" t="n">
        <v>0.65</v>
      </c>
    </row>
    <row r="89">
      <c r="A89" s="973" t="inlineStr">
        <is>
          <t>Hacktivist</t>
        </is>
      </c>
      <c r="B89" s="973" t="inlineStr">
        <is>
          <t>Critical business-service disruption</t>
        </is>
      </c>
      <c r="C89" s="973" t="inlineStr">
        <is>
          <t>User endpoint and social engineering</t>
        </is>
      </c>
      <c r="D89" s="973" t="b">
        <v>1</v>
      </c>
      <c r="E89" s="973" t="n">
        <v>0.006748466257668713</v>
      </c>
      <c r="F89" s="973" t="n">
        <v>1</v>
      </c>
      <c r="G89" s="973" t="n">
        <v>0.025515</v>
      </c>
      <c r="H89" s="973" t="n">
        <v>1</v>
      </c>
      <c r="I89" s="973" t="n">
        <v>1</v>
      </c>
      <c r="J89" s="973" t="n">
        <v>1</v>
      </c>
      <c r="K89" s="973" t="n">
        <v>1</v>
      </c>
      <c r="L89" s="973" t="b">
        <v>1</v>
      </c>
      <c r="M89" s="973" t="n">
        <v>0.35</v>
      </c>
      <c r="N89" s="973" t="n">
        <v>0.20625</v>
      </c>
      <c r="O89" s="973" t="n">
        <v>0.20625</v>
      </c>
      <c r="P89" s="973" t="n">
        <v>1</v>
      </c>
      <c r="Q89" s="973" t="n">
        <v>0.35</v>
      </c>
      <c r="R89" s="973" t="b">
        <v>1</v>
      </c>
      <c r="S89" s="973" t="n">
        <v>0.6</v>
      </c>
      <c r="T89" s="973" t="n">
        <v>0.1875</v>
      </c>
      <c r="U89" s="973" t="n">
        <v>0.1875</v>
      </c>
      <c r="V89" s="973" t="n">
        <v>1</v>
      </c>
      <c r="W89" s="973" t="n">
        <v>0.6</v>
      </c>
      <c r="X89" s="973" t="b">
        <v>1</v>
      </c>
      <c r="Y89" s="973" t="n">
        <v>0.45</v>
      </c>
      <c r="Z89" s="973" t="n">
        <v>0.2216183303833008</v>
      </c>
      <c r="AA89" s="973" t="n">
        <v>0.2216183303833008</v>
      </c>
      <c r="AB89" s="973" t="n">
        <v>1</v>
      </c>
      <c r="AC89" s="973" t="n">
        <v>0.45</v>
      </c>
      <c r="AD89" s="973" t="b">
        <v>1</v>
      </c>
      <c r="AE89" s="973" t="n">
        <v>0.45</v>
      </c>
      <c r="AF89" s="973" t="n">
        <v>0.1794642857142857</v>
      </c>
      <c r="AG89" s="973" t="n">
        <v>0.1794642857142857</v>
      </c>
      <c r="AH89" s="973" t="n">
        <v>1</v>
      </c>
      <c r="AI89" s="973" t="n">
        <v>0.45</v>
      </c>
      <c r="AJ89" s="973" t="b">
        <v>1</v>
      </c>
      <c r="AK89" s="973" t="n">
        <v>0.6</v>
      </c>
      <c r="AL89" s="973" t="n">
        <v>0.2206064987182617</v>
      </c>
      <c r="AM89" s="973" t="n">
        <v>0.2206064987182617</v>
      </c>
      <c r="AN89" s="973" t="n">
        <v>1</v>
      </c>
      <c r="AO89" s="973" t="n">
        <v>0.6</v>
      </c>
    </row>
    <row r="90">
      <c r="A90" s="973" t="inlineStr">
        <is>
          <t>Hacktivist</t>
        </is>
      </c>
      <c r="B90" s="973" t="inlineStr">
        <is>
          <t>Critical business-service disruption</t>
        </is>
      </c>
      <c r="C90" s="973" t="inlineStr">
        <is>
          <t>Public-facing application exploitation</t>
        </is>
      </c>
      <c r="D90" s="973" t="b">
        <v>1</v>
      </c>
      <c r="E90" s="973" t="n">
        <v>0.01322852760736197</v>
      </c>
      <c r="F90" s="973" t="n">
        <v>1</v>
      </c>
      <c r="G90" s="973" t="n">
        <v>0.02025</v>
      </c>
      <c r="H90" s="973" t="n">
        <v>1</v>
      </c>
      <c r="I90" s="973" t="n">
        <v>1</v>
      </c>
      <c r="J90" s="973" t="n">
        <v>1</v>
      </c>
      <c r="K90" s="973" t="n">
        <v>1</v>
      </c>
      <c r="L90" s="973" t="b">
        <v>1</v>
      </c>
      <c r="M90" s="973" t="n">
        <v>0.25</v>
      </c>
      <c r="N90" s="973" t="n">
        <v>0.2496630477905274</v>
      </c>
      <c r="O90" s="973" t="n">
        <v>0.2496630477905274</v>
      </c>
      <c r="P90" s="973" t="n">
        <v>1</v>
      </c>
      <c r="Q90" s="973" t="n">
        <v>0.25</v>
      </c>
      <c r="R90" s="973" t="b">
        <v>1</v>
      </c>
      <c r="S90" s="973" t="n">
        <v>0.6</v>
      </c>
      <c r="T90" s="973" t="n">
        <v>0.1875</v>
      </c>
      <c r="U90" s="973" t="n">
        <v>0.1875</v>
      </c>
      <c r="V90" s="973" t="n">
        <v>1</v>
      </c>
      <c r="W90" s="973" t="n">
        <v>0.6</v>
      </c>
      <c r="X90" s="973" t="b">
        <v>1</v>
      </c>
      <c r="Y90" s="973" t="n">
        <v>0.5</v>
      </c>
      <c r="Z90" s="973" t="n">
        <v>0.2199757778461163</v>
      </c>
      <c r="AA90" s="973" t="n">
        <v>0.2199757778461163</v>
      </c>
      <c r="AB90" s="973" t="n">
        <v>1</v>
      </c>
      <c r="AC90" s="973" t="n">
        <v>0.5</v>
      </c>
      <c r="AD90" s="973" t="b">
        <v>1</v>
      </c>
      <c r="AE90" s="973" t="n">
        <v>0.45</v>
      </c>
      <c r="AF90" s="973" t="n">
        <v>0.1907346013939899</v>
      </c>
      <c r="AG90" s="973" t="n">
        <v>0.1907346013939899</v>
      </c>
      <c r="AH90" s="973" t="n">
        <v>1</v>
      </c>
      <c r="AI90" s="973" t="n">
        <v>0.45</v>
      </c>
      <c r="AJ90" s="973" t="b">
        <v>1</v>
      </c>
      <c r="AK90" s="973" t="n">
        <v>0.6</v>
      </c>
      <c r="AL90" s="973" t="n">
        <v>0.2206064987182617</v>
      </c>
      <c r="AM90" s="973" t="n">
        <v>0.2206064987182617</v>
      </c>
      <c r="AN90" s="973" t="n">
        <v>1</v>
      </c>
      <c r="AO90" s="973" t="n">
        <v>0.6</v>
      </c>
    </row>
    <row r="91">
      <c r="A91" s="973" t="inlineStr">
        <is>
          <t>Hacktivist</t>
        </is>
      </c>
      <c r="B91" s="973" t="inlineStr">
        <is>
          <t>Critical business-service disruption</t>
        </is>
      </c>
      <c r="C91" s="973" t="inlineStr">
        <is>
          <t>Third-party or software supply chain</t>
        </is>
      </c>
      <c r="D91" s="973" t="b">
        <v>1</v>
      </c>
      <c r="E91" s="973" t="n">
        <v>0.002875766871165644</v>
      </c>
      <c r="F91" s="973" t="n">
        <v>1</v>
      </c>
      <c r="G91" s="973" t="n">
        <v>0.196625</v>
      </c>
      <c r="H91" s="973" t="n">
        <v>1</v>
      </c>
      <c r="I91" s="973" t="n">
        <v>1</v>
      </c>
      <c r="J91" s="973" t="n">
        <v>1</v>
      </c>
      <c r="K91" s="973" t="n">
        <v>1</v>
      </c>
      <c r="L91" s="973" t="b">
        <v>0</v>
      </c>
      <c r="M91" s="973" t="n">
        <v>1</v>
      </c>
      <c r="N91" s="973" t="n">
        <v>0</v>
      </c>
      <c r="O91" s="973" t="n">
        <v>0</v>
      </c>
      <c r="P91" s="973" t="n">
        <v>1</v>
      </c>
      <c r="Q91" s="973" t="n">
        <v>1</v>
      </c>
      <c r="R91" s="973" t="b">
        <v>0</v>
      </c>
      <c r="S91" s="973" t="n">
        <v>1</v>
      </c>
      <c r="T91" s="973" t="n">
        <v>0</v>
      </c>
      <c r="U91" s="973" t="n">
        <v>0</v>
      </c>
      <c r="V91" s="973" t="n">
        <v>1</v>
      </c>
      <c r="W91" s="973" t="n">
        <v>1</v>
      </c>
      <c r="X91" s="973" t="b">
        <v>1</v>
      </c>
      <c r="Y91" s="973" t="n">
        <v>0.55</v>
      </c>
      <c r="Z91" s="973" t="n">
        <v>0.22181427526474</v>
      </c>
      <c r="AA91" s="973" t="n">
        <v>0.22181427526474</v>
      </c>
      <c r="AB91" s="973" t="n">
        <v>1</v>
      </c>
      <c r="AC91" s="973" t="n">
        <v>0.55</v>
      </c>
      <c r="AD91" s="973" t="b">
        <v>1</v>
      </c>
      <c r="AE91" s="973" t="n">
        <v>0.55</v>
      </c>
      <c r="AF91" s="973" t="n">
        <v>0</v>
      </c>
      <c r="AG91" s="973" t="n">
        <v>0</v>
      </c>
      <c r="AH91" s="973" t="n">
        <v>1</v>
      </c>
      <c r="AI91" s="973" t="n">
        <v>0.55</v>
      </c>
      <c r="AJ91" s="973" t="b">
        <v>1</v>
      </c>
      <c r="AK91" s="973" t="n">
        <v>0.65</v>
      </c>
      <c r="AL91" s="973" t="n">
        <v>0.2206064987182617</v>
      </c>
      <c r="AM91" s="973" t="n">
        <v>0.2206064987182617</v>
      </c>
      <c r="AN91" s="973" t="n">
        <v>1</v>
      </c>
      <c r="AO91" s="973" t="n">
        <v>0.65</v>
      </c>
    </row>
    <row r="92">
      <c r="A92" s="973" t="inlineStr">
        <is>
          <t>Hacktivist</t>
        </is>
      </c>
      <c r="B92" s="973" t="inlineStr">
        <is>
          <t>Critical business-service disruption</t>
        </is>
      </c>
      <c r="C92" s="973" t="inlineStr">
        <is>
          <t>Direct availability or DDoS</t>
        </is>
      </c>
      <c r="D92" s="973" t="b">
        <v>1</v>
      </c>
      <c r="E92" s="973" t="n">
        <v>0.04601226993865031</v>
      </c>
      <c r="F92" s="973" t="n">
        <v>1</v>
      </c>
      <c r="G92" s="973" t="n">
        <v>0.36</v>
      </c>
      <c r="H92" s="973" t="n">
        <v>1</v>
      </c>
      <c r="I92" s="973" t="n">
        <v>1</v>
      </c>
      <c r="J92" s="973" t="n">
        <v>1</v>
      </c>
      <c r="K92" s="973" t="n">
        <v>1</v>
      </c>
      <c r="L92" s="973" t="b">
        <v>1</v>
      </c>
      <c r="M92" s="973" t="n">
        <v>0.6</v>
      </c>
      <c r="N92" s="973" t="n">
        <v>0.2866992187499999</v>
      </c>
      <c r="O92" s="973" t="n">
        <v>0.2866992187499999</v>
      </c>
      <c r="P92" s="973" t="n">
        <v>1</v>
      </c>
      <c r="Q92" s="973" t="n">
        <v>0.6</v>
      </c>
      <c r="R92" s="973" t="b">
        <v>0</v>
      </c>
      <c r="S92" s="973" t="n">
        <v>1</v>
      </c>
      <c r="T92" s="973" t="n">
        <v>0</v>
      </c>
      <c r="U92" s="973" t="n">
        <v>0</v>
      </c>
      <c r="V92" s="973" t="n">
        <v>1</v>
      </c>
      <c r="W92" s="973" t="n">
        <v>1</v>
      </c>
      <c r="X92" s="973" t="b">
        <v>0</v>
      </c>
      <c r="Y92" s="973" t="n">
        <v>1</v>
      </c>
      <c r="Z92" s="973" t="n">
        <v>0</v>
      </c>
      <c r="AA92" s="973" t="n">
        <v>0</v>
      </c>
      <c r="AB92" s="973" t="n">
        <v>1</v>
      </c>
      <c r="AC92" s="973" t="n">
        <v>1</v>
      </c>
      <c r="AD92" s="973" t="b">
        <v>0</v>
      </c>
      <c r="AE92" s="973" t="n">
        <v>1</v>
      </c>
      <c r="AF92" s="973" t="n">
        <v>0</v>
      </c>
      <c r="AG92" s="973" t="n">
        <v>0</v>
      </c>
      <c r="AH92" s="973" t="n">
        <v>1</v>
      </c>
      <c r="AI92" s="973" t="n">
        <v>1</v>
      </c>
      <c r="AJ92" s="973" t="b">
        <v>1</v>
      </c>
      <c r="AK92" s="973" t="n">
        <v>0.6</v>
      </c>
      <c r="AL92" s="973" t="n">
        <v>0.225</v>
      </c>
      <c r="AM92" s="973" t="n">
        <v>0.225</v>
      </c>
      <c r="AN92" s="973" t="n">
        <v>1</v>
      </c>
      <c r="AO92" s="973" t="n">
        <v>0.6</v>
      </c>
    </row>
    <row r="93">
      <c r="A93" s="973" t="inlineStr">
        <is>
          <t>Hacktivist</t>
        </is>
      </c>
      <c r="B93" s="973" t="inlineStr">
        <is>
          <t>Critical business-service disruption</t>
        </is>
      </c>
      <c r="C93" s="973" t="inlineStr">
        <is>
          <t>Insider or trusted access</t>
        </is>
      </c>
      <c r="D93" s="973" t="b">
        <v>1</v>
      </c>
      <c r="E93" s="973" t="n">
        <v>0.000383435582822086</v>
      </c>
      <c r="F93" s="973" t="n">
        <v>1</v>
      </c>
      <c r="G93" s="973" t="n">
        <v>0.29575</v>
      </c>
      <c r="H93" s="973" t="n">
        <v>1</v>
      </c>
      <c r="I93" s="973" t="n">
        <v>1</v>
      </c>
      <c r="J93" s="973" t="n">
        <v>1</v>
      </c>
      <c r="K93" s="973" t="n">
        <v>1</v>
      </c>
      <c r="L93" s="973" t="b">
        <v>0</v>
      </c>
      <c r="M93" s="973" t="n">
        <v>1</v>
      </c>
      <c r="N93" s="973" t="n">
        <v>0</v>
      </c>
      <c r="O93" s="973" t="n">
        <v>0</v>
      </c>
      <c r="P93" s="973" t="n">
        <v>1</v>
      </c>
      <c r="Q93" s="973" t="n">
        <v>1</v>
      </c>
      <c r="R93" s="973" t="b">
        <v>0</v>
      </c>
      <c r="S93" s="973" t="n">
        <v>1</v>
      </c>
      <c r="T93" s="973" t="n">
        <v>0</v>
      </c>
      <c r="U93" s="973" t="n">
        <v>0</v>
      </c>
      <c r="V93" s="973" t="n">
        <v>1</v>
      </c>
      <c r="W93" s="973" t="n">
        <v>1</v>
      </c>
      <c r="X93" s="973" t="b">
        <v>1</v>
      </c>
      <c r="Y93" s="973" t="n">
        <v>0.7</v>
      </c>
      <c r="Z93" s="973" t="n">
        <v>0.2477547340393066</v>
      </c>
      <c r="AA93" s="973" t="n">
        <v>0.2477547340393066</v>
      </c>
      <c r="AB93" s="973" t="n">
        <v>1</v>
      </c>
      <c r="AC93" s="973" t="n">
        <v>0.7</v>
      </c>
      <c r="AD93" s="973" t="b">
        <v>1</v>
      </c>
      <c r="AE93" s="973" t="n">
        <v>0.65</v>
      </c>
      <c r="AF93" s="973" t="n">
        <v>0</v>
      </c>
      <c r="AG93" s="973" t="n">
        <v>0</v>
      </c>
      <c r="AH93" s="973" t="n">
        <v>1</v>
      </c>
      <c r="AI93" s="973" t="n">
        <v>0.65</v>
      </c>
      <c r="AJ93" s="973" t="b">
        <v>1</v>
      </c>
      <c r="AK93" s="973" t="n">
        <v>0.65</v>
      </c>
      <c r="AL93" s="973" t="n">
        <v>0.2206064987182617</v>
      </c>
      <c r="AM93" s="973" t="n">
        <v>0.2206064987182617</v>
      </c>
      <c r="AN93" s="973" t="n">
        <v>1</v>
      </c>
      <c r="AO93" s="973" t="n">
        <v>0.65</v>
      </c>
    </row>
    <row r="94">
      <c r="A94" s="973" t="inlineStr">
        <is>
          <t>Hacktivist</t>
        </is>
      </c>
      <c r="B94" s="973" t="inlineStr">
        <is>
          <t>Sensitive-data compromise</t>
        </is>
      </c>
      <c r="C94" s="973" t="inlineStr">
        <is>
          <t>Identity and credential compromise</t>
        </is>
      </c>
      <c r="D94" s="973" t="b">
        <v>1</v>
      </c>
      <c r="E94" s="973" t="n">
        <v>0.004880694143167028</v>
      </c>
      <c r="F94" s="973" t="n">
        <v>1</v>
      </c>
      <c r="G94" s="973" t="n">
        <v>0.05898750000000001</v>
      </c>
      <c r="H94" s="973" t="n">
        <v>1</v>
      </c>
      <c r="I94" s="973" t="n">
        <v>1</v>
      </c>
      <c r="J94" s="973" t="n">
        <v>1</v>
      </c>
      <c r="K94" s="973" t="n">
        <v>1</v>
      </c>
      <c r="L94" s="973" t="b">
        <v>1</v>
      </c>
      <c r="M94" s="973" t="n">
        <v>0.3</v>
      </c>
      <c r="N94" s="973" t="n">
        <v>0.2403645833333333</v>
      </c>
      <c r="O94" s="973" t="n">
        <v>0.2403645833333333</v>
      </c>
      <c r="P94" s="973" t="n">
        <v>1</v>
      </c>
      <c r="Q94" s="973" t="n">
        <v>0.3</v>
      </c>
      <c r="R94" s="973" t="b">
        <v>0</v>
      </c>
      <c r="S94" s="973" t="n">
        <v>1</v>
      </c>
      <c r="T94" s="973" t="n">
        <v>0</v>
      </c>
      <c r="U94" s="973" t="n">
        <v>0</v>
      </c>
      <c r="V94" s="973" t="n">
        <v>1</v>
      </c>
      <c r="W94" s="973" t="n">
        <v>1</v>
      </c>
      <c r="X94" s="973" t="b">
        <v>1</v>
      </c>
      <c r="Y94" s="973" t="n">
        <v>0.55</v>
      </c>
      <c r="Z94" s="973" t="n">
        <v>0.2477547340393066</v>
      </c>
      <c r="AA94" s="973" t="n">
        <v>0.2477547340393066</v>
      </c>
      <c r="AB94" s="973" t="n">
        <v>1</v>
      </c>
      <c r="AC94" s="973" t="n">
        <v>0.55</v>
      </c>
      <c r="AD94" s="973" t="b">
        <v>1</v>
      </c>
      <c r="AE94" s="973" t="n">
        <v>0.55</v>
      </c>
      <c r="AF94" s="973" t="n">
        <v>0</v>
      </c>
      <c r="AG94" s="973" t="n">
        <v>0</v>
      </c>
      <c r="AH94" s="973" t="n">
        <v>1</v>
      </c>
      <c r="AI94" s="973" t="n">
        <v>0.55</v>
      </c>
      <c r="AJ94" s="973" t="b">
        <v>1</v>
      </c>
      <c r="AK94" s="973" t="n">
        <v>0.65</v>
      </c>
      <c r="AL94" s="973" t="n">
        <v>0.20625</v>
      </c>
      <c r="AM94" s="973" t="n">
        <v>0.20625</v>
      </c>
      <c r="AN94" s="973" t="n">
        <v>1</v>
      </c>
      <c r="AO94" s="973" t="n">
        <v>0.65</v>
      </c>
    </row>
    <row r="95">
      <c r="A95" s="973" t="inlineStr">
        <is>
          <t>Hacktivist</t>
        </is>
      </c>
      <c r="B95" s="973" t="inlineStr">
        <is>
          <t>Sensitive-data compromise</t>
        </is>
      </c>
      <c r="C95" s="973" t="inlineStr">
        <is>
          <t>User endpoint and social engineering</t>
        </is>
      </c>
      <c r="D95" s="973" t="b">
        <v>1</v>
      </c>
      <c r="E95" s="973" t="n">
        <v>0.002863340563991323</v>
      </c>
      <c r="F95" s="973" t="n">
        <v>1</v>
      </c>
      <c r="G95" s="973" t="n">
        <v>0.025515</v>
      </c>
      <c r="H95" s="973" t="n">
        <v>1</v>
      </c>
      <c r="I95" s="973" t="n">
        <v>1</v>
      </c>
      <c r="J95" s="973" t="n">
        <v>1</v>
      </c>
      <c r="K95" s="973" t="n">
        <v>1</v>
      </c>
      <c r="L95" s="973" t="b">
        <v>1</v>
      </c>
      <c r="M95" s="973" t="n">
        <v>0.35</v>
      </c>
      <c r="N95" s="973" t="n">
        <v>0.20625</v>
      </c>
      <c r="O95" s="973" t="n">
        <v>0.20625</v>
      </c>
      <c r="P95" s="973" t="n">
        <v>1</v>
      </c>
      <c r="Q95" s="973" t="n">
        <v>0.35</v>
      </c>
      <c r="R95" s="973" t="b">
        <v>1</v>
      </c>
      <c r="S95" s="973" t="n">
        <v>0.6</v>
      </c>
      <c r="T95" s="973" t="n">
        <v>0.1875</v>
      </c>
      <c r="U95" s="973" t="n">
        <v>0.1875</v>
      </c>
      <c r="V95" s="973" t="n">
        <v>1</v>
      </c>
      <c r="W95" s="973" t="n">
        <v>0.6</v>
      </c>
      <c r="X95" s="973" t="b">
        <v>1</v>
      </c>
      <c r="Y95" s="973" t="n">
        <v>0.45</v>
      </c>
      <c r="Z95" s="973" t="n">
        <v>0.2216183303833008</v>
      </c>
      <c r="AA95" s="973" t="n">
        <v>0.2216183303833008</v>
      </c>
      <c r="AB95" s="973" t="n">
        <v>1</v>
      </c>
      <c r="AC95" s="973" t="n">
        <v>0.45</v>
      </c>
      <c r="AD95" s="973" t="b">
        <v>1</v>
      </c>
      <c r="AE95" s="973" t="n">
        <v>0.45</v>
      </c>
      <c r="AF95" s="973" t="n">
        <v>0.1794642857142857</v>
      </c>
      <c r="AG95" s="973" t="n">
        <v>0.1794642857142857</v>
      </c>
      <c r="AH95" s="973" t="n">
        <v>1</v>
      </c>
      <c r="AI95" s="973" t="n">
        <v>0.45</v>
      </c>
      <c r="AJ95" s="973" t="b">
        <v>1</v>
      </c>
      <c r="AK95" s="973" t="n">
        <v>0.6</v>
      </c>
      <c r="AL95" s="973" t="n">
        <v>0.20625</v>
      </c>
      <c r="AM95" s="973" t="n">
        <v>0.20625</v>
      </c>
      <c r="AN95" s="973" t="n">
        <v>1</v>
      </c>
      <c r="AO95" s="973" t="n">
        <v>0.6</v>
      </c>
    </row>
    <row r="96">
      <c r="A96" s="973" t="inlineStr">
        <is>
          <t>Hacktivist</t>
        </is>
      </c>
      <c r="B96" s="973" t="inlineStr">
        <is>
          <t>Sensitive-data compromise</t>
        </is>
      </c>
      <c r="C96" s="973" t="inlineStr">
        <is>
          <t>Public-facing application exploitation</t>
        </is>
      </c>
      <c r="D96" s="973" t="b">
        <v>1</v>
      </c>
      <c r="E96" s="973" t="n">
        <v>0.005612798264642082</v>
      </c>
      <c r="F96" s="973" t="n">
        <v>1</v>
      </c>
      <c r="G96" s="973" t="n">
        <v>0.02025</v>
      </c>
      <c r="H96" s="973" t="n">
        <v>1</v>
      </c>
      <c r="I96" s="973" t="n">
        <v>1</v>
      </c>
      <c r="J96" s="973" t="n">
        <v>1</v>
      </c>
      <c r="K96" s="973" t="n">
        <v>1</v>
      </c>
      <c r="L96" s="973" t="b">
        <v>1</v>
      </c>
      <c r="M96" s="973" t="n">
        <v>0.25</v>
      </c>
      <c r="N96" s="973" t="n">
        <v>0.2496630477905274</v>
      </c>
      <c r="O96" s="973" t="n">
        <v>0.2496630477905274</v>
      </c>
      <c r="P96" s="973" t="n">
        <v>1</v>
      </c>
      <c r="Q96" s="973" t="n">
        <v>0.25</v>
      </c>
      <c r="R96" s="973" t="b">
        <v>1</v>
      </c>
      <c r="S96" s="973" t="n">
        <v>0.6</v>
      </c>
      <c r="T96" s="973" t="n">
        <v>0.1875</v>
      </c>
      <c r="U96" s="973" t="n">
        <v>0.1875</v>
      </c>
      <c r="V96" s="973" t="n">
        <v>1</v>
      </c>
      <c r="W96" s="973" t="n">
        <v>0.6</v>
      </c>
      <c r="X96" s="973" t="b">
        <v>1</v>
      </c>
      <c r="Y96" s="973" t="n">
        <v>0.5</v>
      </c>
      <c r="Z96" s="973" t="n">
        <v>0.2199757778461163</v>
      </c>
      <c r="AA96" s="973" t="n">
        <v>0.2199757778461163</v>
      </c>
      <c r="AB96" s="973" t="n">
        <v>1</v>
      </c>
      <c r="AC96" s="973" t="n">
        <v>0.5</v>
      </c>
      <c r="AD96" s="973" t="b">
        <v>1</v>
      </c>
      <c r="AE96" s="973" t="n">
        <v>0.45</v>
      </c>
      <c r="AF96" s="973" t="n">
        <v>0.1907346013939899</v>
      </c>
      <c r="AG96" s="973" t="n">
        <v>0.1907346013939899</v>
      </c>
      <c r="AH96" s="973" t="n">
        <v>1</v>
      </c>
      <c r="AI96" s="973" t="n">
        <v>0.45</v>
      </c>
      <c r="AJ96" s="973" t="b">
        <v>1</v>
      </c>
      <c r="AK96" s="973" t="n">
        <v>0.6</v>
      </c>
      <c r="AL96" s="973" t="n">
        <v>0.20625</v>
      </c>
      <c r="AM96" s="973" t="n">
        <v>0.20625</v>
      </c>
      <c r="AN96" s="973" t="n">
        <v>1</v>
      </c>
      <c r="AO96" s="973" t="n">
        <v>0.6</v>
      </c>
    </row>
    <row r="97">
      <c r="A97" s="973" t="inlineStr">
        <is>
          <t>Hacktivist</t>
        </is>
      </c>
      <c r="B97" s="973" t="inlineStr">
        <is>
          <t>Sensitive-data compromise</t>
        </is>
      </c>
      <c r="C97" s="973" t="inlineStr">
        <is>
          <t>Third-party or software supply chain</t>
        </is>
      </c>
      <c r="D97" s="973" t="b">
        <v>1</v>
      </c>
      <c r="E97" s="973" t="n">
        <v>0.001382863340563991</v>
      </c>
      <c r="F97" s="973" t="n">
        <v>1</v>
      </c>
      <c r="G97" s="973" t="n">
        <v>0.196625</v>
      </c>
      <c r="H97" s="973" t="n">
        <v>1</v>
      </c>
      <c r="I97" s="973" t="n">
        <v>1</v>
      </c>
      <c r="J97" s="973" t="n">
        <v>1</v>
      </c>
      <c r="K97" s="973" t="n">
        <v>1</v>
      </c>
      <c r="L97" s="973" t="b">
        <v>0</v>
      </c>
      <c r="M97" s="973" t="n">
        <v>1</v>
      </c>
      <c r="N97" s="973" t="n">
        <v>0</v>
      </c>
      <c r="O97" s="973" t="n">
        <v>0</v>
      </c>
      <c r="P97" s="973" t="n">
        <v>1</v>
      </c>
      <c r="Q97" s="973" t="n">
        <v>1</v>
      </c>
      <c r="R97" s="973" t="b">
        <v>0</v>
      </c>
      <c r="S97" s="973" t="n">
        <v>1</v>
      </c>
      <c r="T97" s="973" t="n">
        <v>0</v>
      </c>
      <c r="U97" s="973" t="n">
        <v>0</v>
      </c>
      <c r="V97" s="973" t="n">
        <v>1</v>
      </c>
      <c r="W97" s="973" t="n">
        <v>1</v>
      </c>
      <c r="X97" s="973" t="b">
        <v>1</v>
      </c>
      <c r="Y97" s="973" t="n">
        <v>0.55</v>
      </c>
      <c r="Z97" s="973" t="n">
        <v>0.22181427526474</v>
      </c>
      <c r="AA97" s="973" t="n">
        <v>0.22181427526474</v>
      </c>
      <c r="AB97" s="973" t="n">
        <v>1</v>
      </c>
      <c r="AC97" s="973" t="n">
        <v>0.55</v>
      </c>
      <c r="AD97" s="973" t="b">
        <v>1</v>
      </c>
      <c r="AE97" s="973" t="n">
        <v>0.55</v>
      </c>
      <c r="AF97" s="973" t="n">
        <v>0</v>
      </c>
      <c r="AG97" s="973" t="n">
        <v>0</v>
      </c>
      <c r="AH97" s="973" t="n">
        <v>1</v>
      </c>
      <c r="AI97" s="973" t="n">
        <v>0.55</v>
      </c>
      <c r="AJ97" s="973" t="b">
        <v>1</v>
      </c>
      <c r="AK97" s="973" t="n">
        <v>0.65</v>
      </c>
      <c r="AL97" s="973" t="n">
        <v>0.20625</v>
      </c>
      <c r="AM97" s="973" t="n">
        <v>0.20625</v>
      </c>
      <c r="AN97" s="973" t="n">
        <v>1</v>
      </c>
      <c r="AO97" s="973" t="n">
        <v>0.65</v>
      </c>
    </row>
    <row r="98">
      <c r="A98" s="973" t="inlineStr">
        <is>
          <t>Hacktivist</t>
        </is>
      </c>
      <c r="B98" s="973" t="inlineStr">
        <is>
          <t>Sensitive-data compromise</t>
        </is>
      </c>
      <c r="C98" s="973" t="inlineStr">
        <is>
          <t>Direct availability or DDoS</t>
        </is>
      </c>
      <c r="D98" s="973" t="b">
        <v>0</v>
      </c>
      <c r="E98" s="973" t="n">
        <v>0</v>
      </c>
      <c r="F98" s="973" t="n">
        <v>1</v>
      </c>
      <c r="G98" s="973" t="n">
        <v>0</v>
      </c>
      <c r="H98" s="973" t="n">
        <v>1</v>
      </c>
      <c r="I98" s="973" t="n">
        <v>1</v>
      </c>
      <c r="J98" s="973" t="n">
        <v>1</v>
      </c>
      <c r="K98" s="973" t="n">
        <v>1</v>
      </c>
      <c r="L98" s="973" t="b">
        <v>0</v>
      </c>
      <c r="M98" s="973" t="n">
        <v>1</v>
      </c>
      <c r="N98" s="973" t="n">
        <v>0</v>
      </c>
      <c r="O98" s="973" t="n">
        <v>0</v>
      </c>
      <c r="P98" s="973" t="n">
        <v>1</v>
      </c>
      <c r="Q98" s="973" t="n">
        <v>1</v>
      </c>
      <c r="R98" s="973" t="b">
        <v>0</v>
      </c>
      <c r="S98" s="973" t="n">
        <v>1</v>
      </c>
      <c r="T98" s="973" t="n">
        <v>0</v>
      </c>
      <c r="U98" s="973" t="n">
        <v>0</v>
      </c>
      <c r="V98" s="973" t="n">
        <v>1</v>
      </c>
      <c r="W98" s="973" t="n">
        <v>1</v>
      </c>
      <c r="X98" s="973" t="b">
        <v>0</v>
      </c>
      <c r="Y98" s="973" t="n">
        <v>1</v>
      </c>
      <c r="Z98" s="973" t="n">
        <v>0</v>
      </c>
      <c r="AA98" s="973" t="n">
        <v>0</v>
      </c>
      <c r="AB98" s="973" t="n">
        <v>1</v>
      </c>
      <c r="AC98" s="973" t="n">
        <v>1</v>
      </c>
      <c r="AD98" s="973" t="b">
        <v>0</v>
      </c>
      <c r="AE98" s="973" t="n">
        <v>1</v>
      </c>
      <c r="AF98" s="973" t="n">
        <v>0</v>
      </c>
      <c r="AG98" s="973" t="n">
        <v>0</v>
      </c>
      <c r="AH98" s="973" t="n">
        <v>1</v>
      </c>
      <c r="AI98" s="973" t="n">
        <v>1</v>
      </c>
      <c r="AJ98" s="973" t="b">
        <v>0</v>
      </c>
      <c r="AK98" s="973" t="n">
        <v>1</v>
      </c>
      <c r="AL98" s="973" t="n">
        <v>0</v>
      </c>
      <c r="AM98" s="973" t="n">
        <v>0</v>
      </c>
      <c r="AN98" s="973" t="n">
        <v>1</v>
      </c>
      <c r="AO98" s="973" t="n">
        <v>1</v>
      </c>
    </row>
    <row r="99">
      <c r="A99" s="973" t="inlineStr">
        <is>
          <t>Hacktivist</t>
        </is>
      </c>
      <c r="B99" s="973" t="inlineStr">
        <is>
          <t>Sensitive-data compromise</t>
        </is>
      </c>
      <c r="C99" s="973" t="inlineStr">
        <is>
          <t>Insider or trusted access</t>
        </is>
      </c>
      <c r="D99" s="973" t="b">
        <v>1</v>
      </c>
      <c r="E99" s="973" t="n">
        <v>0.0002603036876355748</v>
      </c>
      <c r="F99" s="973" t="n">
        <v>1</v>
      </c>
      <c r="G99" s="973" t="n">
        <v>0.29575</v>
      </c>
      <c r="H99" s="973" t="n">
        <v>1</v>
      </c>
      <c r="I99" s="973" t="n">
        <v>1</v>
      </c>
      <c r="J99" s="973" t="n">
        <v>1</v>
      </c>
      <c r="K99" s="973" t="n">
        <v>1</v>
      </c>
      <c r="L99" s="973" t="b">
        <v>0</v>
      </c>
      <c r="M99" s="973" t="n">
        <v>1</v>
      </c>
      <c r="N99" s="973" t="n">
        <v>0</v>
      </c>
      <c r="O99" s="973" t="n">
        <v>0</v>
      </c>
      <c r="P99" s="973" t="n">
        <v>1</v>
      </c>
      <c r="Q99" s="973" t="n">
        <v>1</v>
      </c>
      <c r="R99" s="973" t="b">
        <v>0</v>
      </c>
      <c r="S99" s="973" t="n">
        <v>1</v>
      </c>
      <c r="T99" s="973" t="n">
        <v>0</v>
      </c>
      <c r="U99" s="973" t="n">
        <v>0</v>
      </c>
      <c r="V99" s="973" t="n">
        <v>1</v>
      </c>
      <c r="W99" s="973" t="n">
        <v>1</v>
      </c>
      <c r="X99" s="973" t="b">
        <v>1</v>
      </c>
      <c r="Y99" s="973" t="n">
        <v>0.7</v>
      </c>
      <c r="Z99" s="973" t="n">
        <v>0.2477547340393066</v>
      </c>
      <c r="AA99" s="973" t="n">
        <v>0.2477547340393066</v>
      </c>
      <c r="AB99" s="973" t="n">
        <v>1</v>
      </c>
      <c r="AC99" s="973" t="n">
        <v>0.7</v>
      </c>
      <c r="AD99" s="973" t="b">
        <v>1</v>
      </c>
      <c r="AE99" s="973" t="n">
        <v>0.65</v>
      </c>
      <c r="AF99" s="973" t="n">
        <v>0</v>
      </c>
      <c r="AG99" s="973" t="n">
        <v>0</v>
      </c>
      <c r="AH99" s="973" t="n">
        <v>1</v>
      </c>
      <c r="AI99" s="973" t="n">
        <v>0.65</v>
      </c>
      <c r="AJ99" s="973" t="b">
        <v>1</v>
      </c>
      <c r="AK99" s="973" t="n">
        <v>0.65</v>
      </c>
      <c r="AL99" s="973" t="n">
        <v>0.20625</v>
      </c>
      <c r="AM99" s="973" t="n">
        <v>0.20625</v>
      </c>
      <c r="AN99" s="973" t="n">
        <v>1</v>
      </c>
      <c r="AO99" s="973" t="n">
        <v>0.65</v>
      </c>
    </row>
    <row r="100">
      <c r="A100" s="973" t="inlineStr">
        <is>
          <t>Hacktivist</t>
        </is>
      </c>
      <c r="B100" s="973" t="inlineStr">
        <is>
          <t>Data or transaction-integrity compromise</t>
        </is>
      </c>
      <c r="C100" s="973" t="inlineStr">
        <is>
          <t>Identity and credential compromise</t>
        </is>
      </c>
      <c r="D100" s="973" t="b">
        <v>1</v>
      </c>
      <c r="E100" s="973" t="n">
        <v>0.002239185750636133</v>
      </c>
      <c r="F100" s="973" t="n">
        <v>1</v>
      </c>
      <c r="G100" s="973" t="n">
        <v>0.05898750000000001</v>
      </c>
      <c r="H100" s="973" t="n">
        <v>1</v>
      </c>
      <c r="I100" s="973" t="n">
        <v>1</v>
      </c>
      <c r="J100" s="973" t="n">
        <v>1</v>
      </c>
      <c r="K100" s="973" t="n">
        <v>1</v>
      </c>
      <c r="L100" s="973" t="b">
        <v>1</v>
      </c>
      <c r="M100" s="973" t="n">
        <v>0.3</v>
      </c>
      <c r="N100" s="973" t="n">
        <v>0.2403645833333333</v>
      </c>
      <c r="O100" s="973" t="n">
        <v>0.2403645833333333</v>
      </c>
      <c r="P100" s="973" t="n">
        <v>1</v>
      </c>
      <c r="Q100" s="973" t="n">
        <v>0.3</v>
      </c>
      <c r="R100" s="973" t="b">
        <v>0</v>
      </c>
      <c r="S100" s="973" t="n">
        <v>1</v>
      </c>
      <c r="T100" s="973" t="n">
        <v>0</v>
      </c>
      <c r="U100" s="973" t="n">
        <v>0</v>
      </c>
      <c r="V100" s="973" t="n">
        <v>1</v>
      </c>
      <c r="W100" s="973" t="n">
        <v>1</v>
      </c>
      <c r="X100" s="973" t="b">
        <v>1</v>
      </c>
      <c r="Y100" s="973" t="n">
        <v>0.55</v>
      </c>
      <c r="Z100" s="973" t="n">
        <v>0.2477547340393066</v>
      </c>
      <c r="AA100" s="973" t="n">
        <v>0.2477547340393066</v>
      </c>
      <c r="AB100" s="973" t="n">
        <v>1</v>
      </c>
      <c r="AC100" s="973" t="n">
        <v>0.55</v>
      </c>
      <c r="AD100" s="973" t="b">
        <v>1</v>
      </c>
      <c r="AE100" s="973" t="n">
        <v>0.55</v>
      </c>
      <c r="AF100" s="973" t="n">
        <v>0</v>
      </c>
      <c r="AG100" s="973" t="n">
        <v>0</v>
      </c>
      <c r="AH100" s="973" t="n">
        <v>1</v>
      </c>
      <c r="AI100" s="973" t="n">
        <v>0.55</v>
      </c>
      <c r="AJ100" s="973" t="b">
        <v>1</v>
      </c>
      <c r="AK100" s="973" t="n">
        <v>0.65</v>
      </c>
      <c r="AL100" s="973" t="n">
        <v>0.2206064987182617</v>
      </c>
      <c r="AM100" s="973" t="n">
        <v>0.2206064987182617</v>
      </c>
      <c r="AN100" s="973" t="n">
        <v>1</v>
      </c>
      <c r="AO100" s="973" t="n">
        <v>0.65</v>
      </c>
    </row>
    <row r="101">
      <c r="A101" s="973" t="inlineStr">
        <is>
          <t>Hacktivist</t>
        </is>
      </c>
      <c r="B101" s="973" t="inlineStr">
        <is>
          <t>Data or transaction-integrity compromise</t>
        </is>
      </c>
      <c r="C101" s="973" t="inlineStr">
        <is>
          <t>User endpoint and social engineering</t>
        </is>
      </c>
      <c r="D101" s="973" t="b">
        <v>1</v>
      </c>
      <c r="E101" s="973" t="n">
        <v>0.001221374045801527</v>
      </c>
      <c r="F101" s="973" t="n">
        <v>1</v>
      </c>
      <c r="G101" s="973" t="n">
        <v>0.025515</v>
      </c>
      <c r="H101" s="973" t="n">
        <v>1</v>
      </c>
      <c r="I101" s="973" t="n">
        <v>1</v>
      </c>
      <c r="J101" s="973" t="n">
        <v>1</v>
      </c>
      <c r="K101" s="973" t="n">
        <v>1</v>
      </c>
      <c r="L101" s="973" t="b">
        <v>1</v>
      </c>
      <c r="M101" s="973" t="n">
        <v>0.35</v>
      </c>
      <c r="N101" s="973" t="n">
        <v>0.20625</v>
      </c>
      <c r="O101" s="973" t="n">
        <v>0.20625</v>
      </c>
      <c r="P101" s="973" t="n">
        <v>1</v>
      </c>
      <c r="Q101" s="973" t="n">
        <v>0.35</v>
      </c>
      <c r="R101" s="973" t="b">
        <v>1</v>
      </c>
      <c r="S101" s="973" t="n">
        <v>0.6</v>
      </c>
      <c r="T101" s="973" t="n">
        <v>0.1875</v>
      </c>
      <c r="U101" s="973" t="n">
        <v>0.1875</v>
      </c>
      <c r="V101" s="973" t="n">
        <v>1</v>
      </c>
      <c r="W101" s="973" t="n">
        <v>0.6</v>
      </c>
      <c r="X101" s="973" t="b">
        <v>1</v>
      </c>
      <c r="Y101" s="973" t="n">
        <v>0.45</v>
      </c>
      <c r="Z101" s="973" t="n">
        <v>0.2216183303833008</v>
      </c>
      <c r="AA101" s="973" t="n">
        <v>0.2216183303833008</v>
      </c>
      <c r="AB101" s="973" t="n">
        <v>1</v>
      </c>
      <c r="AC101" s="973" t="n">
        <v>0.45</v>
      </c>
      <c r="AD101" s="973" t="b">
        <v>1</v>
      </c>
      <c r="AE101" s="973" t="n">
        <v>0.45</v>
      </c>
      <c r="AF101" s="973" t="n">
        <v>0.1794642857142857</v>
      </c>
      <c r="AG101" s="973" t="n">
        <v>0.1794642857142857</v>
      </c>
      <c r="AH101" s="973" t="n">
        <v>1</v>
      </c>
      <c r="AI101" s="973" t="n">
        <v>0.45</v>
      </c>
      <c r="AJ101" s="973" t="b">
        <v>1</v>
      </c>
      <c r="AK101" s="973" t="n">
        <v>0.6</v>
      </c>
      <c r="AL101" s="973" t="n">
        <v>0.2206064987182617</v>
      </c>
      <c r="AM101" s="973" t="n">
        <v>0.2206064987182617</v>
      </c>
      <c r="AN101" s="973" t="n">
        <v>1</v>
      </c>
      <c r="AO101" s="973" t="n">
        <v>0.6</v>
      </c>
    </row>
    <row r="102">
      <c r="A102" s="973" t="inlineStr">
        <is>
          <t>Hacktivist</t>
        </is>
      </c>
      <c r="B102" s="973" t="inlineStr">
        <is>
          <t>Data or transaction-integrity compromise</t>
        </is>
      </c>
      <c r="C102" s="973" t="inlineStr">
        <is>
          <t>Public-facing application exploitation</t>
        </is>
      </c>
      <c r="D102" s="973" t="b">
        <v>1</v>
      </c>
      <c r="E102" s="973" t="n">
        <v>0.003053435114503817</v>
      </c>
      <c r="F102" s="973" t="n">
        <v>1</v>
      </c>
      <c r="G102" s="973" t="n">
        <v>0.02025</v>
      </c>
      <c r="H102" s="973" t="n">
        <v>1</v>
      </c>
      <c r="I102" s="973" t="n">
        <v>1</v>
      </c>
      <c r="J102" s="973" t="n">
        <v>1</v>
      </c>
      <c r="K102" s="973" t="n">
        <v>1</v>
      </c>
      <c r="L102" s="973" t="b">
        <v>1</v>
      </c>
      <c r="M102" s="973" t="n">
        <v>0.25</v>
      </c>
      <c r="N102" s="973" t="n">
        <v>0.2496630477905274</v>
      </c>
      <c r="O102" s="973" t="n">
        <v>0.2496630477905274</v>
      </c>
      <c r="P102" s="973" t="n">
        <v>1</v>
      </c>
      <c r="Q102" s="973" t="n">
        <v>0.25</v>
      </c>
      <c r="R102" s="973" t="b">
        <v>1</v>
      </c>
      <c r="S102" s="973" t="n">
        <v>0.6</v>
      </c>
      <c r="T102" s="973" t="n">
        <v>0.1875</v>
      </c>
      <c r="U102" s="973" t="n">
        <v>0.1875</v>
      </c>
      <c r="V102" s="973" t="n">
        <v>1</v>
      </c>
      <c r="W102" s="973" t="n">
        <v>0.6</v>
      </c>
      <c r="X102" s="973" t="b">
        <v>1</v>
      </c>
      <c r="Y102" s="973" t="n">
        <v>0.5</v>
      </c>
      <c r="Z102" s="973" t="n">
        <v>0.2199757778461163</v>
      </c>
      <c r="AA102" s="973" t="n">
        <v>0.2199757778461163</v>
      </c>
      <c r="AB102" s="973" t="n">
        <v>1</v>
      </c>
      <c r="AC102" s="973" t="n">
        <v>0.5</v>
      </c>
      <c r="AD102" s="973" t="b">
        <v>1</v>
      </c>
      <c r="AE102" s="973" t="n">
        <v>0.45</v>
      </c>
      <c r="AF102" s="973" t="n">
        <v>0.1907346013939899</v>
      </c>
      <c r="AG102" s="973" t="n">
        <v>0.1907346013939899</v>
      </c>
      <c r="AH102" s="973" t="n">
        <v>1</v>
      </c>
      <c r="AI102" s="973" t="n">
        <v>0.45</v>
      </c>
      <c r="AJ102" s="973" t="b">
        <v>1</v>
      </c>
      <c r="AK102" s="973" t="n">
        <v>0.6</v>
      </c>
      <c r="AL102" s="973" t="n">
        <v>0.2206064987182617</v>
      </c>
      <c r="AM102" s="973" t="n">
        <v>0.2206064987182617</v>
      </c>
      <c r="AN102" s="973" t="n">
        <v>1</v>
      </c>
      <c r="AO102" s="973" t="n">
        <v>0.6</v>
      </c>
    </row>
    <row r="103">
      <c r="A103" s="973" t="inlineStr">
        <is>
          <t>Hacktivist</t>
        </is>
      </c>
      <c r="B103" s="973" t="inlineStr">
        <is>
          <t>Data or transaction-integrity compromise</t>
        </is>
      </c>
      <c r="C103" s="973" t="inlineStr">
        <is>
          <t>Third-party or software supply chain</t>
        </is>
      </c>
      <c r="D103" s="973" t="b">
        <v>1</v>
      </c>
      <c r="E103" s="973" t="n">
        <v>0.001017811704834606</v>
      </c>
      <c r="F103" s="973" t="n">
        <v>1</v>
      </c>
      <c r="G103" s="973" t="n">
        <v>0.196625</v>
      </c>
      <c r="H103" s="973" t="n">
        <v>1</v>
      </c>
      <c r="I103" s="973" t="n">
        <v>1</v>
      </c>
      <c r="J103" s="973" t="n">
        <v>1</v>
      </c>
      <c r="K103" s="973" t="n">
        <v>1</v>
      </c>
      <c r="L103" s="973" t="b">
        <v>0</v>
      </c>
      <c r="M103" s="973" t="n">
        <v>1</v>
      </c>
      <c r="N103" s="973" t="n">
        <v>0</v>
      </c>
      <c r="O103" s="973" t="n">
        <v>0</v>
      </c>
      <c r="P103" s="973" t="n">
        <v>1</v>
      </c>
      <c r="Q103" s="973" t="n">
        <v>1</v>
      </c>
      <c r="R103" s="973" t="b">
        <v>0</v>
      </c>
      <c r="S103" s="973" t="n">
        <v>1</v>
      </c>
      <c r="T103" s="973" t="n">
        <v>0</v>
      </c>
      <c r="U103" s="973" t="n">
        <v>0</v>
      </c>
      <c r="V103" s="973" t="n">
        <v>1</v>
      </c>
      <c r="W103" s="973" t="n">
        <v>1</v>
      </c>
      <c r="X103" s="973" t="b">
        <v>1</v>
      </c>
      <c r="Y103" s="973" t="n">
        <v>0.55</v>
      </c>
      <c r="Z103" s="973" t="n">
        <v>0.22181427526474</v>
      </c>
      <c r="AA103" s="973" t="n">
        <v>0.22181427526474</v>
      </c>
      <c r="AB103" s="973" t="n">
        <v>1</v>
      </c>
      <c r="AC103" s="973" t="n">
        <v>0.55</v>
      </c>
      <c r="AD103" s="973" t="b">
        <v>1</v>
      </c>
      <c r="AE103" s="973" t="n">
        <v>0.55</v>
      </c>
      <c r="AF103" s="973" t="n">
        <v>0</v>
      </c>
      <c r="AG103" s="973" t="n">
        <v>0</v>
      </c>
      <c r="AH103" s="973" t="n">
        <v>1</v>
      </c>
      <c r="AI103" s="973" t="n">
        <v>0.55</v>
      </c>
      <c r="AJ103" s="973" t="b">
        <v>1</v>
      </c>
      <c r="AK103" s="973" t="n">
        <v>0.65</v>
      </c>
      <c r="AL103" s="973" t="n">
        <v>0.2206064987182617</v>
      </c>
      <c r="AM103" s="973" t="n">
        <v>0.2206064987182617</v>
      </c>
      <c r="AN103" s="973" t="n">
        <v>1</v>
      </c>
      <c r="AO103" s="973" t="n">
        <v>0.65</v>
      </c>
    </row>
    <row r="104">
      <c r="A104" s="973" t="inlineStr">
        <is>
          <t>Hacktivist</t>
        </is>
      </c>
      <c r="B104" s="973" t="inlineStr">
        <is>
          <t>Data or transaction-integrity compromise</t>
        </is>
      </c>
      <c r="C104" s="973" t="inlineStr">
        <is>
          <t>Direct availability or DDoS</t>
        </is>
      </c>
      <c r="D104" s="973" t="b">
        <v>0</v>
      </c>
      <c r="E104" s="973" t="n">
        <v>0</v>
      </c>
      <c r="F104" s="973" t="n">
        <v>1</v>
      </c>
      <c r="G104" s="973" t="n">
        <v>0</v>
      </c>
      <c r="H104" s="973" t="n">
        <v>1</v>
      </c>
      <c r="I104" s="973" t="n">
        <v>1</v>
      </c>
      <c r="J104" s="973" t="n">
        <v>1</v>
      </c>
      <c r="K104" s="973" t="n">
        <v>1</v>
      </c>
      <c r="L104" s="973" t="b">
        <v>0</v>
      </c>
      <c r="M104" s="973" t="n">
        <v>1</v>
      </c>
      <c r="N104" s="973" t="n">
        <v>0</v>
      </c>
      <c r="O104" s="973" t="n">
        <v>0</v>
      </c>
      <c r="P104" s="973" t="n">
        <v>1</v>
      </c>
      <c r="Q104" s="973" t="n">
        <v>1</v>
      </c>
      <c r="R104" s="973" t="b">
        <v>0</v>
      </c>
      <c r="S104" s="973" t="n">
        <v>1</v>
      </c>
      <c r="T104" s="973" t="n">
        <v>0</v>
      </c>
      <c r="U104" s="973" t="n">
        <v>0</v>
      </c>
      <c r="V104" s="973" t="n">
        <v>1</v>
      </c>
      <c r="W104" s="973" t="n">
        <v>1</v>
      </c>
      <c r="X104" s="973" t="b">
        <v>0</v>
      </c>
      <c r="Y104" s="973" t="n">
        <v>1</v>
      </c>
      <c r="Z104" s="973" t="n">
        <v>0</v>
      </c>
      <c r="AA104" s="973" t="n">
        <v>0</v>
      </c>
      <c r="AB104" s="973" t="n">
        <v>1</v>
      </c>
      <c r="AC104" s="973" t="n">
        <v>1</v>
      </c>
      <c r="AD104" s="973" t="b">
        <v>0</v>
      </c>
      <c r="AE104" s="973" t="n">
        <v>1</v>
      </c>
      <c r="AF104" s="973" t="n">
        <v>0</v>
      </c>
      <c r="AG104" s="973" t="n">
        <v>0</v>
      </c>
      <c r="AH104" s="973" t="n">
        <v>1</v>
      </c>
      <c r="AI104" s="973" t="n">
        <v>1</v>
      </c>
      <c r="AJ104" s="973" t="b">
        <v>0</v>
      </c>
      <c r="AK104" s="973" t="n">
        <v>1</v>
      </c>
      <c r="AL104" s="973" t="n">
        <v>0</v>
      </c>
      <c r="AM104" s="973" t="n">
        <v>0</v>
      </c>
      <c r="AN104" s="973" t="n">
        <v>1</v>
      </c>
      <c r="AO104" s="973" t="n">
        <v>1</v>
      </c>
    </row>
    <row r="105">
      <c r="A105" s="973" t="inlineStr">
        <is>
          <t>Hacktivist</t>
        </is>
      </c>
      <c r="B105" s="973" t="inlineStr">
        <is>
          <t>Data or transaction-integrity compromise</t>
        </is>
      </c>
      <c r="C105" s="973" t="inlineStr">
        <is>
          <t>Insider or trusted access</t>
        </is>
      </c>
      <c r="D105" s="973" t="b">
        <v>1</v>
      </c>
      <c r="E105" s="973" t="n">
        <v>0.0004681933842239186</v>
      </c>
      <c r="F105" s="973" t="n">
        <v>1</v>
      </c>
      <c r="G105" s="973" t="n">
        <v>0.29575</v>
      </c>
      <c r="H105" s="973" t="n">
        <v>1</v>
      </c>
      <c r="I105" s="973" t="n">
        <v>1</v>
      </c>
      <c r="J105" s="973" t="n">
        <v>1</v>
      </c>
      <c r="K105" s="973" t="n">
        <v>1</v>
      </c>
      <c r="L105" s="973" t="b">
        <v>0</v>
      </c>
      <c r="M105" s="973" t="n">
        <v>1</v>
      </c>
      <c r="N105" s="973" t="n">
        <v>0</v>
      </c>
      <c r="O105" s="973" t="n">
        <v>0</v>
      </c>
      <c r="P105" s="973" t="n">
        <v>1</v>
      </c>
      <c r="Q105" s="973" t="n">
        <v>1</v>
      </c>
      <c r="R105" s="973" t="b">
        <v>0</v>
      </c>
      <c r="S105" s="973" t="n">
        <v>1</v>
      </c>
      <c r="T105" s="973" t="n">
        <v>0</v>
      </c>
      <c r="U105" s="973" t="n">
        <v>0</v>
      </c>
      <c r="V105" s="973" t="n">
        <v>1</v>
      </c>
      <c r="W105" s="973" t="n">
        <v>1</v>
      </c>
      <c r="X105" s="973" t="b">
        <v>1</v>
      </c>
      <c r="Y105" s="973" t="n">
        <v>0.7</v>
      </c>
      <c r="Z105" s="973" t="n">
        <v>0.2477547340393066</v>
      </c>
      <c r="AA105" s="973" t="n">
        <v>0.2477547340393066</v>
      </c>
      <c r="AB105" s="973" t="n">
        <v>1</v>
      </c>
      <c r="AC105" s="973" t="n">
        <v>0.7</v>
      </c>
      <c r="AD105" s="973" t="b">
        <v>1</v>
      </c>
      <c r="AE105" s="973" t="n">
        <v>0.65</v>
      </c>
      <c r="AF105" s="973" t="n">
        <v>0</v>
      </c>
      <c r="AG105" s="973" t="n">
        <v>0</v>
      </c>
      <c r="AH105" s="973" t="n">
        <v>1</v>
      </c>
      <c r="AI105" s="973" t="n">
        <v>0.65</v>
      </c>
      <c r="AJ105" s="973" t="b">
        <v>1</v>
      </c>
      <c r="AK105" s="973" t="n">
        <v>0.65</v>
      </c>
      <c r="AL105" s="973" t="n">
        <v>0.2206064987182617</v>
      </c>
      <c r="AM105" s="973" t="n">
        <v>0.2206064987182617</v>
      </c>
      <c r="AN105" s="973" t="n">
        <v>1</v>
      </c>
      <c r="AO105" s="973" t="n">
        <v>0.65</v>
      </c>
    </row>
    <row r="106">
      <c r="A106" s="973" t="inlineStr">
        <is>
          <t>Hacktivist</t>
        </is>
      </c>
      <c r="B106" s="973" t="inlineStr">
        <is>
          <t>Cyber-enabled theft or fraud</t>
        </is>
      </c>
      <c r="C106" s="973" t="inlineStr">
        <is>
          <t>Identity and credential compromise</t>
        </is>
      </c>
      <c r="D106" s="973" t="b">
        <v>1</v>
      </c>
      <c r="E106" s="973" t="n">
        <v>0.0009259259259259259</v>
      </c>
      <c r="F106" s="973" t="n">
        <v>1</v>
      </c>
      <c r="G106" s="973" t="n">
        <v>0.10725</v>
      </c>
      <c r="H106" s="973" t="n">
        <v>1</v>
      </c>
      <c r="I106" s="973" t="n">
        <v>1</v>
      </c>
      <c r="J106" s="973" t="n">
        <v>1</v>
      </c>
      <c r="K106" s="973" t="n">
        <v>1</v>
      </c>
      <c r="L106" s="973" t="b">
        <v>1</v>
      </c>
      <c r="M106" s="973" t="n">
        <v>0.3</v>
      </c>
      <c r="N106" s="973" t="n">
        <v>0.2403645833333333</v>
      </c>
      <c r="O106" s="973" t="n">
        <v>0.2403645833333333</v>
      </c>
      <c r="P106" s="973" t="n">
        <v>1</v>
      </c>
      <c r="Q106" s="973" t="n">
        <v>0.3</v>
      </c>
      <c r="R106" s="973" t="b">
        <v>0</v>
      </c>
      <c r="S106" s="973" t="n">
        <v>1</v>
      </c>
      <c r="T106" s="973" t="n">
        <v>0</v>
      </c>
      <c r="U106" s="973" t="n">
        <v>0</v>
      </c>
      <c r="V106" s="973" t="n">
        <v>1</v>
      </c>
      <c r="W106" s="973" t="n">
        <v>1</v>
      </c>
      <c r="X106" s="973" t="b">
        <v>1</v>
      </c>
      <c r="Y106" s="973" t="n">
        <v>0.55</v>
      </c>
      <c r="Z106" s="973" t="n">
        <v>0.2477547340393066</v>
      </c>
      <c r="AA106" s="973" t="n">
        <v>0.2477547340393066</v>
      </c>
      <c r="AB106" s="973" t="n">
        <v>1</v>
      </c>
      <c r="AC106" s="973" t="n">
        <v>0.55</v>
      </c>
      <c r="AD106" s="973" t="b">
        <v>0</v>
      </c>
      <c r="AE106" s="973" t="n">
        <v>1</v>
      </c>
      <c r="AF106" s="973" t="n">
        <v>0</v>
      </c>
      <c r="AG106" s="973" t="n">
        <v>0</v>
      </c>
      <c r="AH106" s="973" t="n">
        <v>1</v>
      </c>
      <c r="AI106" s="973" t="n">
        <v>1</v>
      </c>
      <c r="AJ106" s="973" t="b">
        <v>1</v>
      </c>
      <c r="AK106" s="973" t="n">
        <v>0.65</v>
      </c>
      <c r="AL106" s="973" t="n">
        <v>0.2206064987182617</v>
      </c>
      <c r="AM106" s="973" t="n">
        <v>0.2206064987182617</v>
      </c>
      <c r="AN106" s="973" t="n">
        <v>1</v>
      </c>
      <c r="AO106" s="973" t="n">
        <v>0.65</v>
      </c>
    </row>
    <row r="107">
      <c r="A107" s="973" t="inlineStr">
        <is>
          <t>Hacktivist</t>
        </is>
      </c>
      <c r="B107" s="973" t="inlineStr">
        <is>
          <t>Cyber-enabled theft or fraud</t>
        </is>
      </c>
      <c r="C107" s="973" t="inlineStr">
        <is>
          <t>User endpoint and social engineering</t>
        </is>
      </c>
      <c r="D107" s="973" t="b">
        <v>1</v>
      </c>
      <c r="E107" s="973" t="n">
        <v>0.0003174603174603175</v>
      </c>
      <c r="F107" s="973" t="n">
        <v>1</v>
      </c>
      <c r="G107" s="973" t="n">
        <v>0.126</v>
      </c>
      <c r="H107" s="973" t="n">
        <v>1</v>
      </c>
      <c r="I107" s="973" t="n">
        <v>1</v>
      </c>
      <c r="J107" s="973" t="n">
        <v>1</v>
      </c>
      <c r="K107" s="973" t="n">
        <v>1</v>
      </c>
      <c r="L107" s="973" t="b">
        <v>1</v>
      </c>
      <c r="M107" s="973" t="n">
        <v>0.35</v>
      </c>
      <c r="N107" s="973" t="n">
        <v>0.20625</v>
      </c>
      <c r="O107" s="973" t="n">
        <v>0.20625</v>
      </c>
      <c r="P107" s="973" t="n">
        <v>1</v>
      </c>
      <c r="Q107" s="973" t="n">
        <v>0.35</v>
      </c>
      <c r="R107" s="973" t="b">
        <v>1</v>
      </c>
      <c r="S107" s="973" t="n">
        <v>0.6</v>
      </c>
      <c r="T107" s="973" t="n">
        <v>0.1875</v>
      </c>
      <c r="U107" s="973" t="n">
        <v>0.1875</v>
      </c>
      <c r="V107" s="973" t="n">
        <v>1</v>
      </c>
      <c r="W107" s="973" t="n">
        <v>0.6</v>
      </c>
      <c r="X107" s="973" t="b">
        <v>0</v>
      </c>
      <c r="Y107" s="973" t="n">
        <v>1</v>
      </c>
      <c r="Z107" s="973" t="n">
        <v>0</v>
      </c>
      <c r="AA107" s="973" t="n">
        <v>0</v>
      </c>
      <c r="AB107" s="973" t="n">
        <v>1</v>
      </c>
      <c r="AC107" s="973" t="n">
        <v>1</v>
      </c>
      <c r="AD107" s="973" t="b">
        <v>0</v>
      </c>
      <c r="AE107" s="973" t="n">
        <v>1</v>
      </c>
      <c r="AF107" s="973" t="n">
        <v>0</v>
      </c>
      <c r="AG107" s="973" t="n">
        <v>0</v>
      </c>
      <c r="AH107" s="973" t="n">
        <v>1</v>
      </c>
      <c r="AI107" s="973" t="n">
        <v>1</v>
      </c>
      <c r="AJ107" s="973" t="b">
        <v>1</v>
      </c>
      <c r="AK107" s="973" t="n">
        <v>0.6</v>
      </c>
      <c r="AL107" s="973" t="n">
        <v>0.2206064987182617</v>
      </c>
      <c r="AM107" s="973" t="n">
        <v>0.2206064987182617</v>
      </c>
      <c r="AN107" s="973" t="n">
        <v>1</v>
      </c>
      <c r="AO107" s="973" t="n">
        <v>0.6</v>
      </c>
    </row>
    <row r="108">
      <c r="A108" s="973" t="inlineStr">
        <is>
          <t>Hacktivist</t>
        </is>
      </c>
      <c r="B108" s="973" t="inlineStr">
        <is>
          <t>Cyber-enabled theft or fraud</t>
        </is>
      </c>
      <c r="C108" s="973" t="inlineStr">
        <is>
          <t>Public-facing application exploitation</t>
        </is>
      </c>
      <c r="D108" s="973" t="b">
        <v>1</v>
      </c>
      <c r="E108" s="973" t="n">
        <v>0.0004761904761904762</v>
      </c>
      <c r="F108" s="973" t="n">
        <v>1</v>
      </c>
      <c r="G108" s="973" t="n">
        <v>0.02025</v>
      </c>
      <c r="H108" s="973" t="n">
        <v>1</v>
      </c>
      <c r="I108" s="973" t="n">
        <v>1</v>
      </c>
      <c r="J108" s="973" t="n">
        <v>1</v>
      </c>
      <c r="K108" s="973" t="n">
        <v>1</v>
      </c>
      <c r="L108" s="973" t="b">
        <v>1</v>
      </c>
      <c r="M108" s="973" t="n">
        <v>0.25</v>
      </c>
      <c r="N108" s="973" t="n">
        <v>0.2496630477905274</v>
      </c>
      <c r="O108" s="973" t="n">
        <v>0.2496630477905274</v>
      </c>
      <c r="P108" s="973" t="n">
        <v>1</v>
      </c>
      <c r="Q108" s="973" t="n">
        <v>0.25</v>
      </c>
      <c r="R108" s="973" t="b">
        <v>1</v>
      </c>
      <c r="S108" s="973" t="n">
        <v>0.6</v>
      </c>
      <c r="T108" s="973" t="n">
        <v>0.1875</v>
      </c>
      <c r="U108" s="973" t="n">
        <v>0.1875</v>
      </c>
      <c r="V108" s="973" t="n">
        <v>1</v>
      </c>
      <c r="W108" s="973" t="n">
        <v>0.6</v>
      </c>
      <c r="X108" s="973" t="b">
        <v>1</v>
      </c>
      <c r="Y108" s="973" t="n">
        <v>0.5</v>
      </c>
      <c r="Z108" s="973" t="n">
        <v>0.2199757778461163</v>
      </c>
      <c r="AA108" s="973" t="n">
        <v>0.2199757778461163</v>
      </c>
      <c r="AB108" s="973" t="n">
        <v>1</v>
      </c>
      <c r="AC108" s="973" t="n">
        <v>0.5</v>
      </c>
      <c r="AD108" s="973" t="b">
        <v>1</v>
      </c>
      <c r="AE108" s="973" t="n">
        <v>0.45</v>
      </c>
      <c r="AF108" s="973" t="n">
        <v>0.1907346013939899</v>
      </c>
      <c r="AG108" s="973" t="n">
        <v>0.1907346013939899</v>
      </c>
      <c r="AH108" s="973" t="n">
        <v>1</v>
      </c>
      <c r="AI108" s="973" t="n">
        <v>0.45</v>
      </c>
      <c r="AJ108" s="973" t="b">
        <v>1</v>
      </c>
      <c r="AK108" s="973" t="n">
        <v>0.6</v>
      </c>
      <c r="AL108" s="973" t="n">
        <v>0.2206064987182617</v>
      </c>
      <c r="AM108" s="973" t="n">
        <v>0.2206064987182617</v>
      </c>
      <c r="AN108" s="973" t="n">
        <v>1</v>
      </c>
      <c r="AO108" s="973" t="n">
        <v>0.6</v>
      </c>
    </row>
    <row r="109">
      <c r="A109" s="973" t="inlineStr">
        <is>
          <t>Hacktivist</t>
        </is>
      </c>
      <c r="B109" s="973" t="inlineStr">
        <is>
          <t>Cyber-enabled theft or fraud</t>
        </is>
      </c>
      <c r="C109" s="973" t="inlineStr">
        <is>
          <t>Third-party or software supply chain</t>
        </is>
      </c>
      <c r="D109" s="973" t="b">
        <v>1</v>
      </c>
      <c r="E109" s="973" t="n">
        <v>0.0001322751322751323</v>
      </c>
      <c r="F109" s="973" t="n">
        <v>1</v>
      </c>
      <c r="G109" s="973" t="n">
        <v>0.196625</v>
      </c>
      <c r="H109" s="973" t="n">
        <v>1</v>
      </c>
      <c r="I109" s="973" t="n">
        <v>1</v>
      </c>
      <c r="J109" s="973" t="n">
        <v>1</v>
      </c>
      <c r="K109" s="973" t="n">
        <v>1</v>
      </c>
      <c r="L109" s="973" t="b">
        <v>0</v>
      </c>
      <c r="M109" s="973" t="n">
        <v>1</v>
      </c>
      <c r="N109" s="973" t="n">
        <v>0</v>
      </c>
      <c r="O109" s="973" t="n">
        <v>0</v>
      </c>
      <c r="P109" s="973" t="n">
        <v>1</v>
      </c>
      <c r="Q109" s="973" t="n">
        <v>1</v>
      </c>
      <c r="R109" s="973" t="b">
        <v>0</v>
      </c>
      <c r="S109" s="973" t="n">
        <v>1</v>
      </c>
      <c r="T109" s="973" t="n">
        <v>0</v>
      </c>
      <c r="U109" s="973" t="n">
        <v>0</v>
      </c>
      <c r="V109" s="973" t="n">
        <v>1</v>
      </c>
      <c r="W109" s="973" t="n">
        <v>1</v>
      </c>
      <c r="X109" s="973" t="b">
        <v>1</v>
      </c>
      <c r="Y109" s="973" t="n">
        <v>0.55</v>
      </c>
      <c r="Z109" s="973" t="n">
        <v>0.22181427526474</v>
      </c>
      <c r="AA109" s="973" t="n">
        <v>0.22181427526474</v>
      </c>
      <c r="AB109" s="973" t="n">
        <v>1</v>
      </c>
      <c r="AC109" s="973" t="n">
        <v>0.55</v>
      </c>
      <c r="AD109" s="973" t="b">
        <v>1</v>
      </c>
      <c r="AE109" s="973" t="n">
        <v>0.55</v>
      </c>
      <c r="AF109" s="973" t="n">
        <v>0</v>
      </c>
      <c r="AG109" s="973" t="n">
        <v>0</v>
      </c>
      <c r="AH109" s="973" t="n">
        <v>1</v>
      </c>
      <c r="AI109" s="973" t="n">
        <v>0.55</v>
      </c>
      <c r="AJ109" s="973" t="b">
        <v>1</v>
      </c>
      <c r="AK109" s="973" t="n">
        <v>0.65</v>
      </c>
      <c r="AL109" s="973" t="n">
        <v>0.2206064987182617</v>
      </c>
      <c r="AM109" s="973" t="n">
        <v>0.2206064987182617</v>
      </c>
      <c r="AN109" s="973" t="n">
        <v>1</v>
      </c>
      <c r="AO109" s="973" t="n">
        <v>0.65</v>
      </c>
    </row>
    <row r="110">
      <c r="A110" s="973" t="inlineStr">
        <is>
          <t>Hacktivist</t>
        </is>
      </c>
      <c r="B110" s="973" t="inlineStr">
        <is>
          <t>Cyber-enabled theft or fraud</t>
        </is>
      </c>
      <c r="C110" s="973" t="inlineStr">
        <is>
          <t>Direct availability or DDoS</t>
        </is>
      </c>
      <c r="D110" s="973" t="b">
        <v>0</v>
      </c>
      <c r="E110" s="973" t="n">
        <v>0</v>
      </c>
      <c r="F110" s="973" t="n">
        <v>1</v>
      </c>
      <c r="G110" s="973" t="n">
        <v>0</v>
      </c>
      <c r="H110" s="973" t="n">
        <v>1</v>
      </c>
      <c r="I110" s="973" t="n">
        <v>1</v>
      </c>
      <c r="J110" s="973" t="n">
        <v>1</v>
      </c>
      <c r="K110" s="973" t="n">
        <v>1</v>
      </c>
      <c r="L110" s="973" t="b">
        <v>0</v>
      </c>
      <c r="M110" s="973" t="n">
        <v>1</v>
      </c>
      <c r="N110" s="973" t="n">
        <v>0</v>
      </c>
      <c r="O110" s="973" t="n">
        <v>0</v>
      </c>
      <c r="P110" s="973" t="n">
        <v>1</v>
      </c>
      <c r="Q110" s="973" t="n">
        <v>1</v>
      </c>
      <c r="R110" s="973" t="b">
        <v>0</v>
      </c>
      <c r="S110" s="973" t="n">
        <v>1</v>
      </c>
      <c r="T110" s="973" t="n">
        <v>0</v>
      </c>
      <c r="U110" s="973" t="n">
        <v>0</v>
      </c>
      <c r="V110" s="973" t="n">
        <v>1</v>
      </c>
      <c r="W110" s="973" t="n">
        <v>1</v>
      </c>
      <c r="X110" s="973" t="b">
        <v>0</v>
      </c>
      <c r="Y110" s="973" t="n">
        <v>1</v>
      </c>
      <c r="Z110" s="973" t="n">
        <v>0</v>
      </c>
      <c r="AA110" s="973" t="n">
        <v>0</v>
      </c>
      <c r="AB110" s="973" t="n">
        <v>1</v>
      </c>
      <c r="AC110" s="973" t="n">
        <v>1</v>
      </c>
      <c r="AD110" s="973" t="b">
        <v>0</v>
      </c>
      <c r="AE110" s="973" t="n">
        <v>1</v>
      </c>
      <c r="AF110" s="973" t="n">
        <v>0</v>
      </c>
      <c r="AG110" s="973" t="n">
        <v>0</v>
      </c>
      <c r="AH110" s="973" t="n">
        <v>1</v>
      </c>
      <c r="AI110" s="973" t="n">
        <v>1</v>
      </c>
      <c r="AJ110" s="973" t="b">
        <v>0</v>
      </c>
      <c r="AK110" s="973" t="n">
        <v>1</v>
      </c>
      <c r="AL110" s="973" t="n">
        <v>0</v>
      </c>
      <c r="AM110" s="973" t="n">
        <v>0</v>
      </c>
      <c r="AN110" s="973" t="n">
        <v>1</v>
      </c>
      <c r="AO110" s="973" t="n">
        <v>1</v>
      </c>
    </row>
    <row r="111">
      <c r="A111" s="973" t="inlineStr">
        <is>
          <t>Hacktivist</t>
        </is>
      </c>
      <c r="B111" s="973" t="inlineStr">
        <is>
          <t>Cyber-enabled theft or fraud</t>
        </is>
      </c>
      <c r="C111" s="973" t="inlineStr">
        <is>
          <t>Insider or trusted access</t>
        </is>
      </c>
      <c r="D111" s="973" t="b">
        <v>1</v>
      </c>
      <c r="E111" s="973" t="n">
        <v>0.0001481481481481482</v>
      </c>
      <c r="F111" s="973" t="n">
        <v>1</v>
      </c>
      <c r="G111" s="973" t="n">
        <v>0.455</v>
      </c>
      <c r="H111" s="973" t="n">
        <v>1</v>
      </c>
      <c r="I111" s="973" t="n">
        <v>1</v>
      </c>
      <c r="J111" s="973" t="n">
        <v>1</v>
      </c>
      <c r="K111" s="973" t="n">
        <v>1</v>
      </c>
      <c r="L111" s="973" t="b">
        <v>0</v>
      </c>
      <c r="M111" s="973" t="n">
        <v>1</v>
      </c>
      <c r="N111" s="973" t="n">
        <v>0</v>
      </c>
      <c r="O111" s="973" t="n">
        <v>0</v>
      </c>
      <c r="P111" s="973" t="n">
        <v>1</v>
      </c>
      <c r="Q111" s="973" t="n">
        <v>1</v>
      </c>
      <c r="R111" s="973" t="b">
        <v>0</v>
      </c>
      <c r="S111" s="973" t="n">
        <v>1</v>
      </c>
      <c r="T111" s="973" t="n">
        <v>0</v>
      </c>
      <c r="U111" s="973" t="n">
        <v>0</v>
      </c>
      <c r="V111" s="973" t="n">
        <v>1</v>
      </c>
      <c r="W111" s="973" t="n">
        <v>1</v>
      </c>
      <c r="X111" s="973" t="b">
        <v>1</v>
      </c>
      <c r="Y111" s="973" t="n">
        <v>0.7</v>
      </c>
      <c r="Z111" s="973" t="n">
        <v>0.2477547340393066</v>
      </c>
      <c r="AA111" s="973" t="n">
        <v>0.2477547340393066</v>
      </c>
      <c r="AB111" s="973" t="n">
        <v>1</v>
      </c>
      <c r="AC111" s="973" t="n">
        <v>0.7</v>
      </c>
      <c r="AD111" s="973" t="b">
        <v>0</v>
      </c>
      <c r="AE111" s="973" t="n">
        <v>1</v>
      </c>
      <c r="AF111" s="973" t="n">
        <v>0</v>
      </c>
      <c r="AG111" s="973" t="n">
        <v>0</v>
      </c>
      <c r="AH111" s="973" t="n">
        <v>1</v>
      </c>
      <c r="AI111" s="973" t="n">
        <v>1</v>
      </c>
      <c r="AJ111" s="973" t="b">
        <v>1</v>
      </c>
      <c r="AK111" s="973" t="n">
        <v>0.65</v>
      </c>
      <c r="AL111" s="973" t="n">
        <v>0.2206064987182617</v>
      </c>
      <c r="AM111" s="973" t="n">
        <v>0.2206064987182617</v>
      </c>
      <c r="AN111" s="973" t="n">
        <v>1</v>
      </c>
      <c r="AO111" s="973" t="n">
        <v>0.65</v>
      </c>
    </row>
    <row r="112">
      <c r="A112" s="973" t="n"/>
      <c r="B112" s="973" t="n"/>
      <c r="C112" s="973" t="n"/>
      <c r="D112" s="973" t="n"/>
      <c r="E112" s="973" t="n"/>
      <c r="F112" s="973" t="n"/>
      <c r="G112" s="973" t="n"/>
      <c r="H112" s="973" t="n"/>
      <c r="I112" s="973" t="n"/>
      <c r="J112" s="973" t="n"/>
      <c r="K112" s="973" t="n"/>
      <c r="L112" s="973" t="n"/>
      <c r="M112" s="973" t="n"/>
      <c r="N112" s="973" t="n"/>
      <c r="O112" s="973" t="n"/>
      <c r="P112" s="973" t="n"/>
      <c r="Q112" s="973" t="n"/>
      <c r="R112" s="973" t="n"/>
      <c r="S112" s="973" t="n"/>
      <c r="T112" s="973" t="n"/>
      <c r="U112" s="973" t="n"/>
      <c r="V112" s="973" t="n"/>
      <c r="W112" s="973" t="n"/>
      <c r="X112" s="973" t="n"/>
      <c r="Y112" s="973" t="n"/>
      <c r="Z112" s="973" t="n"/>
      <c r="AA112" s="973" t="n"/>
      <c r="AB112" s="973" t="n"/>
      <c r="AC112" s="973" t="n"/>
      <c r="AD112" s="973" t="n"/>
      <c r="AE112" s="973" t="n"/>
      <c r="AF112" s="973" t="n"/>
      <c r="AG112" s="973" t="n"/>
      <c r="AH112" s="973" t="n"/>
      <c r="AI112" s="973" t="n"/>
      <c r="AJ112" s="973" t="n"/>
      <c r="AK112" s="973" t="n"/>
      <c r="AL112" s="973" t="n"/>
      <c r="AM112" s="973" t="n"/>
      <c r="AN112" s="973" t="n"/>
      <c r="AO112" s="973" t="n"/>
    </row>
    <row r="113">
      <c r="A113" s="973" t="n"/>
      <c r="B113" s="973" t="n"/>
      <c r="C113" s="973" t="n"/>
      <c r="D113" s="973" t="n"/>
      <c r="E113" s="973" t="n"/>
      <c r="F113" s="973" t="n"/>
      <c r="G113" s="973" t="n"/>
      <c r="H113" s="973" t="n"/>
      <c r="I113" s="973" t="n"/>
      <c r="J113" s="973" t="n"/>
      <c r="K113" s="973" t="n"/>
      <c r="L113" s="973" t="n"/>
      <c r="M113" s="973" t="n"/>
      <c r="N113" s="973" t="n"/>
      <c r="O113" s="973" t="n"/>
      <c r="P113" s="973" t="n"/>
      <c r="Q113" s="973" t="n"/>
      <c r="R113" s="973" t="n"/>
      <c r="S113" s="973" t="n"/>
      <c r="T113" s="973" t="n"/>
      <c r="U113" s="973" t="n"/>
      <c r="V113" s="973" t="n"/>
      <c r="W113" s="973" t="n"/>
      <c r="X113" s="973" t="n"/>
      <c r="Y113" s="973" t="n"/>
      <c r="Z113" s="973" t="n"/>
      <c r="AA113" s="973" t="n"/>
      <c r="AB113" s="973" t="n"/>
      <c r="AC113" s="973" t="n"/>
      <c r="AD113" s="973" t="n"/>
      <c r="AE113" s="973" t="n"/>
      <c r="AF113" s="973" t="n"/>
      <c r="AG113" s="973" t="n"/>
      <c r="AH113" s="973" t="n"/>
      <c r="AI113" s="973" t="n"/>
      <c r="AJ113" s="973" t="n"/>
      <c r="AK113" s="973" t="n"/>
      <c r="AL113" s="973" t="n"/>
      <c r="AM113" s="973" t="n"/>
      <c r="AN113" s="973" t="n"/>
      <c r="AO113" s="973" t="n"/>
    </row>
    <row r="114">
      <c r="A114" s="973" t="n"/>
      <c r="B114" s="973" t="n"/>
      <c r="C114" s="973" t="n"/>
      <c r="D114" s="973" t="n"/>
      <c r="E114" s="973" t="n"/>
      <c r="F114" s="973" t="n"/>
      <c r="G114" s="973" t="n"/>
      <c r="H114" s="973" t="n"/>
      <c r="I114" s="973" t="n"/>
      <c r="J114" s="973" t="n"/>
      <c r="K114" s="973" t="n"/>
      <c r="L114" s="973" t="n"/>
      <c r="M114" s="973" t="n"/>
      <c r="N114" s="973" t="n"/>
      <c r="O114" s="973" t="n"/>
      <c r="P114" s="973" t="n"/>
      <c r="Q114" s="973" t="n"/>
      <c r="R114" s="973" t="n"/>
      <c r="S114" s="973" t="n"/>
      <c r="T114" s="973" t="n"/>
      <c r="U114" s="973" t="n"/>
      <c r="V114" s="973" t="n"/>
      <c r="W114" s="973" t="n"/>
      <c r="X114" s="973" t="n"/>
      <c r="Y114" s="973" t="n"/>
      <c r="Z114" s="973" t="n"/>
      <c r="AA114" s="973" t="n"/>
      <c r="AB114" s="973" t="n"/>
      <c r="AC114" s="973" t="n"/>
      <c r="AD114" s="973" t="n"/>
      <c r="AE114" s="973" t="n"/>
      <c r="AF114" s="973" t="n"/>
      <c r="AG114" s="973" t="n"/>
      <c r="AH114" s="973" t="n"/>
      <c r="AI114" s="973" t="n"/>
      <c r="AJ114" s="973" t="n"/>
      <c r="AK114" s="973" t="n"/>
      <c r="AL114" s="973" t="n"/>
      <c r="AM114" s="973" t="n"/>
      <c r="AN114" s="973" t="n"/>
      <c r="AO114" s="973" t="n"/>
    </row>
    <row r="115">
      <c r="A115" s="973" t="n"/>
      <c r="B115" s="973" t="n"/>
      <c r="C115" s="973" t="n"/>
      <c r="D115" s="973" t="n"/>
      <c r="E115" s="973" t="n"/>
      <c r="F115" s="973" t="n"/>
      <c r="G115" s="973" t="n"/>
      <c r="H115" s="973" t="n"/>
      <c r="I115" s="973" t="n"/>
      <c r="J115" s="973" t="n"/>
      <c r="K115" s="973" t="n"/>
      <c r="L115" s="973" t="n"/>
      <c r="M115" s="973" t="n"/>
      <c r="N115" s="973" t="n"/>
      <c r="O115" s="973" t="n"/>
      <c r="P115" s="973" t="n"/>
      <c r="Q115" s="973" t="n"/>
      <c r="R115" s="973" t="n"/>
      <c r="S115" s="973" t="n"/>
      <c r="T115" s="973" t="n"/>
      <c r="U115" s="973" t="n"/>
      <c r="V115" s="973" t="n"/>
      <c r="W115" s="973" t="n"/>
      <c r="X115" s="973" t="n"/>
      <c r="Y115" s="973" t="n"/>
      <c r="Z115" s="973" t="n"/>
      <c r="AA115" s="973" t="n"/>
      <c r="AB115" s="973" t="n"/>
      <c r="AC115" s="973" t="n"/>
      <c r="AD115" s="973" t="n"/>
      <c r="AE115" s="973" t="n"/>
      <c r="AF115" s="973" t="n"/>
      <c r="AG115" s="973" t="n"/>
      <c r="AH115" s="973" t="n"/>
      <c r="AI115" s="973" t="n"/>
      <c r="AJ115" s="973" t="n"/>
      <c r="AK115" s="973" t="n"/>
      <c r="AL115" s="973" t="n"/>
      <c r="AM115" s="973" t="n"/>
      <c r="AN115" s="973" t="n"/>
      <c r="AO115" s="973" t="n"/>
    </row>
    <row r="116">
      <c r="A116" s="973" t="n"/>
      <c r="B116" s="973" t="n"/>
      <c r="C116" s="973" t="n"/>
      <c r="D116" s="973" t="n"/>
      <c r="E116" s="973" t="n"/>
      <c r="F116" s="973" t="n"/>
      <c r="G116" s="973" t="n"/>
      <c r="H116" s="973" t="n"/>
      <c r="I116" s="973" t="n"/>
      <c r="J116" s="973" t="n"/>
      <c r="K116" s="973" t="n"/>
      <c r="L116" s="973" t="n"/>
      <c r="M116" s="973" t="n"/>
      <c r="N116" s="973" t="n"/>
      <c r="O116" s="973" t="n"/>
      <c r="P116" s="973" t="n"/>
      <c r="Q116" s="973" t="n"/>
      <c r="R116" s="973" t="n"/>
      <c r="S116" s="973" t="n"/>
      <c r="T116" s="973" t="n"/>
      <c r="U116" s="973" t="n"/>
      <c r="V116" s="973" t="n"/>
      <c r="W116" s="973" t="n"/>
      <c r="X116" s="973" t="n"/>
      <c r="Y116" s="973" t="n"/>
      <c r="Z116" s="973" t="n"/>
      <c r="AA116" s="973" t="n"/>
      <c r="AB116" s="973" t="n"/>
      <c r="AC116" s="973" t="n"/>
      <c r="AD116" s="973" t="n"/>
      <c r="AE116" s="973" t="n"/>
      <c r="AF116" s="973" t="n"/>
      <c r="AG116" s="973" t="n"/>
      <c r="AH116" s="973" t="n"/>
      <c r="AI116" s="973" t="n"/>
      <c r="AJ116" s="973" t="n"/>
      <c r="AK116" s="973" t="n"/>
      <c r="AL116" s="973" t="n"/>
      <c r="AM116" s="973" t="n"/>
      <c r="AN116" s="973" t="n"/>
      <c r="AO116" s="973" t="n"/>
    </row>
    <row r="117">
      <c r="A117" s="973" t="n"/>
      <c r="B117" s="973" t="n"/>
      <c r="C117" s="973" t="n"/>
      <c r="D117" s="973" t="n"/>
      <c r="E117" s="973" t="n"/>
      <c r="F117" s="973" t="n"/>
      <c r="G117" s="973" t="n"/>
      <c r="H117" s="973" t="n"/>
      <c r="I117" s="973" t="n"/>
      <c r="J117" s="973" t="n"/>
      <c r="K117" s="973" t="n"/>
      <c r="L117" s="973" t="n"/>
      <c r="M117" s="973" t="n"/>
      <c r="N117" s="973" t="n"/>
      <c r="O117" s="973" t="n"/>
      <c r="P117" s="973" t="n"/>
      <c r="Q117" s="973" t="n"/>
      <c r="R117" s="973" t="n"/>
      <c r="S117" s="973" t="n"/>
      <c r="T117" s="973" t="n"/>
      <c r="U117" s="973" t="n"/>
      <c r="V117" s="973" t="n"/>
      <c r="W117" s="973" t="n"/>
      <c r="X117" s="973" t="n"/>
      <c r="Y117" s="973" t="n"/>
      <c r="Z117" s="973" t="n"/>
      <c r="AA117" s="973" t="n"/>
      <c r="AB117" s="973" t="n"/>
      <c r="AC117" s="973" t="n"/>
      <c r="AD117" s="973" t="n"/>
      <c r="AE117" s="973" t="n"/>
      <c r="AF117" s="973" t="n"/>
      <c r="AG117" s="973" t="n"/>
      <c r="AH117" s="973" t="n"/>
      <c r="AI117" s="973" t="n"/>
      <c r="AJ117" s="973" t="n"/>
      <c r="AK117" s="973" t="n"/>
      <c r="AL117" s="973" t="n"/>
      <c r="AM117" s="973" t="n"/>
      <c r="AN117" s="973" t="n"/>
      <c r="AO117" s="973" t="n"/>
    </row>
    <row r="118">
      <c r="A118" s="973" t="n"/>
      <c r="B118" s="973" t="n"/>
      <c r="C118" s="973" t="n"/>
      <c r="D118" s="973" t="n"/>
      <c r="E118" s="973" t="n"/>
      <c r="F118" s="973" t="n"/>
      <c r="G118" s="973" t="n"/>
      <c r="H118" s="973" t="n"/>
      <c r="I118" s="973" t="n"/>
      <c r="J118" s="973" t="n"/>
      <c r="K118" s="973" t="n"/>
      <c r="L118" s="973" t="n"/>
      <c r="M118" s="973" t="n"/>
      <c r="N118" s="973" t="n"/>
      <c r="O118" s="973" t="n"/>
      <c r="P118" s="973" t="n"/>
      <c r="Q118" s="973" t="n"/>
      <c r="R118" s="973" t="n"/>
      <c r="S118" s="973" t="n"/>
      <c r="T118" s="973" t="n"/>
      <c r="U118" s="973" t="n"/>
      <c r="V118" s="973" t="n"/>
      <c r="W118" s="973" t="n"/>
      <c r="X118" s="973" t="n"/>
      <c r="Y118" s="973" t="n"/>
      <c r="Z118" s="973" t="n"/>
      <c r="AA118" s="973" t="n"/>
      <c r="AB118" s="973" t="n"/>
      <c r="AC118" s="973" t="n"/>
      <c r="AD118" s="973" t="n"/>
      <c r="AE118" s="973" t="n"/>
      <c r="AF118" s="973" t="n"/>
      <c r="AG118" s="973" t="n"/>
      <c r="AH118" s="973" t="n"/>
      <c r="AI118" s="973" t="n"/>
      <c r="AJ118" s="973" t="n"/>
      <c r="AK118" s="973" t="n"/>
      <c r="AL118" s="973" t="n"/>
      <c r="AM118" s="973" t="n"/>
      <c r="AN118" s="973" t="n"/>
      <c r="AO118" s="973" t="n"/>
    </row>
    <row r="119">
      <c r="A119" s="973" t="n"/>
      <c r="B119" s="973" t="n"/>
      <c r="C119" s="973" t="n"/>
      <c r="D119" s="973" t="n"/>
      <c r="E119" s="973" t="n"/>
      <c r="F119" s="973" t="n"/>
      <c r="G119" s="973" t="n"/>
      <c r="H119" s="973" t="n"/>
      <c r="I119" s="973" t="n"/>
      <c r="J119" s="973" t="n"/>
      <c r="K119" s="973" t="n"/>
      <c r="L119" s="973" t="n"/>
      <c r="M119" s="973" t="n"/>
      <c r="N119" s="973" t="n"/>
      <c r="O119" s="973" t="n"/>
      <c r="P119" s="973" t="n"/>
      <c r="Q119" s="973" t="n"/>
      <c r="R119" s="973" t="n"/>
      <c r="S119" s="973" t="n"/>
      <c r="T119" s="973" t="n"/>
      <c r="U119" s="973" t="n"/>
      <c r="V119" s="973" t="n"/>
      <c r="W119" s="973" t="n"/>
      <c r="X119" s="973" t="n"/>
      <c r="Y119" s="973" t="n"/>
      <c r="Z119" s="973" t="n"/>
      <c r="AA119" s="973" t="n"/>
      <c r="AB119" s="973" t="n"/>
      <c r="AC119" s="973" t="n"/>
      <c r="AD119" s="973" t="n"/>
      <c r="AE119" s="973" t="n"/>
      <c r="AF119" s="973" t="n"/>
      <c r="AG119" s="973" t="n"/>
      <c r="AH119" s="973" t="n"/>
      <c r="AI119" s="973" t="n"/>
      <c r="AJ119" s="973" t="n"/>
      <c r="AK119" s="973" t="n"/>
      <c r="AL119" s="973" t="n"/>
      <c r="AM119" s="973" t="n"/>
      <c r="AN119" s="973" t="n"/>
      <c r="AO119" s="973" t="n"/>
    </row>
    <row r="120">
      <c r="A120" s="973" t="n"/>
      <c r="B120" s="973" t="n"/>
      <c r="C120" s="973" t="n"/>
      <c r="D120" s="973" t="n"/>
      <c r="E120" s="973" t="n"/>
      <c r="F120" s="973" t="n"/>
      <c r="G120" s="973" t="n"/>
      <c r="H120" s="973" t="n"/>
      <c r="I120" s="973" t="n"/>
      <c r="J120" s="973" t="n"/>
      <c r="K120" s="973" t="n"/>
      <c r="L120" s="973" t="n"/>
      <c r="M120" s="973" t="n"/>
      <c r="N120" s="973" t="n"/>
      <c r="O120" s="973" t="n"/>
      <c r="P120" s="973" t="n"/>
      <c r="Q120" s="973" t="n"/>
      <c r="R120" s="973" t="n"/>
      <c r="S120" s="973" t="n"/>
      <c r="T120" s="973" t="n"/>
      <c r="U120" s="973" t="n"/>
      <c r="V120" s="973" t="n"/>
      <c r="W120" s="973" t="n"/>
      <c r="X120" s="973" t="n"/>
      <c r="Y120" s="973" t="n"/>
      <c r="Z120" s="973" t="n"/>
      <c r="AA120" s="973" t="n"/>
      <c r="AB120" s="973" t="n"/>
      <c r="AC120" s="973" t="n"/>
      <c r="AD120" s="973" t="n"/>
      <c r="AE120" s="973" t="n"/>
      <c r="AF120" s="973" t="n"/>
      <c r="AG120" s="973" t="n"/>
      <c r="AH120" s="973" t="n"/>
      <c r="AI120" s="973" t="n"/>
      <c r="AJ120" s="973" t="n"/>
      <c r="AK120" s="973" t="n"/>
      <c r="AL120" s="973" t="n"/>
      <c r="AM120" s="973" t="n"/>
      <c r="AN120" s="973" t="n"/>
      <c r="AO120" s="973" t="n"/>
    </row>
    <row r="121">
      <c r="A121" s="973" t="n"/>
      <c r="B121" s="973" t="n"/>
      <c r="C121" s="973" t="n"/>
      <c r="D121" s="973" t="n"/>
      <c r="E121" s="973" t="n"/>
      <c r="F121" s="973" t="n"/>
      <c r="G121" s="973" t="n"/>
      <c r="H121" s="973" t="n"/>
      <c r="I121" s="973" t="n"/>
      <c r="J121" s="973" t="n"/>
      <c r="K121" s="973" t="n"/>
      <c r="L121" s="973" t="n"/>
      <c r="M121" s="973" t="n"/>
      <c r="N121" s="973" t="n"/>
      <c r="O121" s="973" t="n"/>
      <c r="P121" s="973" t="n"/>
      <c r="Q121" s="973" t="n"/>
      <c r="R121" s="973" t="n"/>
      <c r="S121" s="973" t="n"/>
      <c r="T121" s="973" t="n"/>
      <c r="U121" s="973" t="n"/>
      <c r="V121" s="973" t="n"/>
      <c r="W121" s="973" t="n"/>
      <c r="X121" s="973" t="n"/>
      <c r="Y121" s="973" t="n"/>
      <c r="Z121" s="973" t="n"/>
      <c r="AA121" s="973" t="n"/>
      <c r="AB121" s="973" t="n"/>
      <c r="AC121" s="973" t="n"/>
      <c r="AD121" s="973" t="n"/>
      <c r="AE121" s="973" t="n"/>
      <c r="AF121" s="973" t="n"/>
      <c r="AG121" s="973" t="n"/>
      <c r="AH121" s="973" t="n"/>
      <c r="AI121" s="973" t="n"/>
      <c r="AJ121" s="973" t="n"/>
      <c r="AK121" s="973" t="n"/>
      <c r="AL121" s="973" t="n"/>
      <c r="AM121" s="973" t="n"/>
      <c r="AN121" s="973" t="n"/>
      <c r="AO121" s="973" t="n"/>
    </row>
    <row r="122">
      <c r="A122" s="973" t="n"/>
      <c r="B122" s="973" t="n"/>
      <c r="C122" s="973" t="n"/>
      <c r="D122" s="973" t="n"/>
      <c r="E122" s="973" t="n"/>
      <c r="F122" s="973" t="n"/>
      <c r="G122" s="973" t="n"/>
      <c r="H122" s="973" t="n"/>
      <c r="I122" s="973" t="n"/>
      <c r="J122" s="973" t="n"/>
      <c r="K122" s="973" t="n"/>
      <c r="L122" s="973" t="n"/>
      <c r="M122" s="973" t="n"/>
      <c r="N122" s="973" t="n"/>
      <c r="O122" s="973" t="n"/>
      <c r="P122" s="973" t="n"/>
      <c r="Q122" s="973" t="n"/>
      <c r="R122" s="973" t="n"/>
      <c r="S122" s="973" t="n"/>
      <c r="T122" s="973" t="n"/>
      <c r="U122" s="973" t="n"/>
      <c r="V122" s="973" t="n"/>
      <c r="W122" s="973" t="n"/>
      <c r="X122" s="973" t="n"/>
      <c r="Y122" s="973" t="n"/>
      <c r="Z122" s="973" t="n"/>
      <c r="AA122" s="973" t="n"/>
      <c r="AB122" s="973" t="n"/>
      <c r="AC122" s="973" t="n"/>
      <c r="AD122" s="973" t="n"/>
      <c r="AE122" s="973" t="n"/>
      <c r="AF122" s="973" t="n"/>
      <c r="AG122" s="973" t="n"/>
      <c r="AH122" s="973" t="n"/>
      <c r="AI122" s="973" t="n"/>
      <c r="AJ122" s="973" t="n"/>
      <c r="AK122" s="973" t="n"/>
      <c r="AL122" s="973" t="n"/>
      <c r="AM122" s="973" t="n"/>
      <c r="AN122" s="973" t="n"/>
      <c r="AO122" s="973" t="n"/>
    </row>
    <row r="123">
      <c r="A123" s="973" t="n"/>
      <c r="B123" s="973" t="n"/>
      <c r="C123" s="973" t="n"/>
      <c r="D123" s="973" t="n"/>
      <c r="E123" s="973" t="n"/>
      <c r="F123" s="973" t="n"/>
      <c r="G123" s="973" t="n"/>
      <c r="H123" s="973" t="n"/>
      <c r="I123" s="973" t="n"/>
      <c r="J123" s="973" t="n"/>
      <c r="K123" s="973" t="n"/>
      <c r="L123" s="973" t="n"/>
      <c r="M123" s="973" t="n"/>
      <c r="N123" s="973" t="n"/>
      <c r="O123" s="973" t="n"/>
      <c r="P123" s="973" t="n"/>
      <c r="Q123" s="973" t="n"/>
      <c r="R123" s="973" t="n"/>
      <c r="S123" s="973" t="n"/>
      <c r="T123" s="973" t="n"/>
      <c r="U123" s="973" t="n"/>
      <c r="V123" s="973" t="n"/>
      <c r="W123" s="973" t="n"/>
      <c r="X123" s="973" t="n"/>
      <c r="Y123" s="973" t="n"/>
      <c r="Z123" s="973" t="n"/>
      <c r="AA123" s="973" t="n"/>
      <c r="AB123" s="973" t="n"/>
      <c r="AC123" s="973" t="n"/>
      <c r="AD123" s="973" t="n"/>
      <c r="AE123" s="973" t="n"/>
      <c r="AF123" s="973" t="n"/>
      <c r="AG123" s="973" t="n"/>
      <c r="AH123" s="973" t="n"/>
      <c r="AI123" s="973" t="n"/>
      <c r="AJ123" s="973" t="n"/>
      <c r="AK123" s="973" t="n"/>
      <c r="AL123" s="973" t="n"/>
      <c r="AM123" s="973" t="n"/>
      <c r="AN123" s="973" t="n"/>
      <c r="AO123" s="973" t="n"/>
    </row>
    <row r="124">
      <c r="A124" s="973" t="n"/>
      <c r="B124" s="973" t="n"/>
      <c r="C124" s="973" t="n"/>
      <c r="D124" s="973" t="n"/>
      <c r="E124" s="973" t="n"/>
      <c r="F124" s="973" t="n"/>
      <c r="G124" s="973" t="n"/>
      <c r="H124" s="973" t="n"/>
      <c r="I124" s="973" t="n"/>
      <c r="J124" s="973" t="n"/>
      <c r="K124" s="973" t="n"/>
      <c r="L124" s="973" t="n"/>
      <c r="M124" s="973" t="n"/>
      <c r="N124" s="973" t="n"/>
      <c r="O124" s="973" t="n"/>
      <c r="P124" s="973" t="n"/>
      <c r="Q124" s="973" t="n"/>
      <c r="R124" s="973" t="n"/>
      <c r="S124" s="973" t="n"/>
      <c r="T124" s="973" t="n"/>
      <c r="U124" s="973" t="n"/>
      <c r="V124" s="973" t="n"/>
      <c r="W124" s="973" t="n"/>
      <c r="X124" s="973" t="n"/>
      <c r="Y124" s="973" t="n"/>
      <c r="Z124" s="973" t="n"/>
      <c r="AA124" s="973" t="n"/>
      <c r="AB124" s="973" t="n"/>
      <c r="AC124" s="973" t="n"/>
      <c r="AD124" s="973" t="n"/>
      <c r="AE124" s="973" t="n"/>
      <c r="AF124" s="973" t="n"/>
      <c r="AG124" s="973" t="n"/>
      <c r="AH124" s="973" t="n"/>
      <c r="AI124" s="973" t="n"/>
      <c r="AJ124" s="973" t="n"/>
      <c r="AK124" s="973" t="n"/>
      <c r="AL124" s="973" t="n"/>
      <c r="AM124" s="973" t="n"/>
      <c r="AN124" s="973" t="n"/>
      <c r="AO124" s="973" t="n"/>
    </row>
    <row r="125">
      <c r="A125" s="973" t="n"/>
      <c r="B125" s="973" t="n"/>
      <c r="C125" s="973" t="n"/>
      <c r="D125" s="973" t="n"/>
      <c r="E125" s="973" t="n"/>
      <c r="F125" s="973" t="n"/>
      <c r="G125" s="973" t="n"/>
      <c r="H125" s="973" t="n"/>
      <c r="I125" s="973" t="n"/>
      <c r="J125" s="973" t="n"/>
      <c r="K125" s="973" t="n"/>
      <c r="L125" s="973" t="n"/>
      <c r="M125" s="973" t="n"/>
      <c r="N125" s="973" t="n"/>
      <c r="O125" s="973" t="n"/>
      <c r="P125" s="973" t="n"/>
      <c r="Q125" s="973" t="n"/>
      <c r="R125" s="973" t="n"/>
      <c r="S125" s="973" t="n"/>
      <c r="T125" s="973" t="n"/>
      <c r="U125" s="973" t="n"/>
      <c r="V125" s="973" t="n"/>
      <c r="W125" s="973" t="n"/>
      <c r="X125" s="973" t="n"/>
      <c r="Y125" s="973" t="n"/>
      <c r="Z125" s="973" t="n"/>
      <c r="AA125" s="973" t="n"/>
      <c r="AB125" s="973" t="n"/>
      <c r="AC125" s="973" t="n"/>
      <c r="AD125" s="973" t="n"/>
      <c r="AE125" s="973" t="n"/>
      <c r="AF125" s="973" t="n"/>
      <c r="AG125" s="973" t="n"/>
      <c r="AH125" s="973" t="n"/>
      <c r="AI125" s="973" t="n"/>
      <c r="AJ125" s="973" t="n"/>
      <c r="AK125" s="973" t="n"/>
      <c r="AL125" s="973" t="n"/>
      <c r="AM125" s="973" t="n"/>
      <c r="AN125" s="973" t="n"/>
      <c r="AO125" s="973" t="n"/>
    </row>
    <row r="126">
      <c r="A126" s="973" t="n"/>
      <c r="B126" s="973" t="n"/>
      <c r="C126" s="973" t="n"/>
      <c r="D126" s="973" t="n"/>
      <c r="E126" s="973" t="n"/>
      <c r="F126" s="973" t="n"/>
      <c r="G126" s="973" t="n"/>
      <c r="H126" s="973" t="n"/>
      <c r="I126" s="973" t="n"/>
      <c r="J126" s="973" t="n"/>
      <c r="K126" s="973" t="n"/>
      <c r="L126" s="973" t="n"/>
      <c r="M126" s="973" t="n"/>
      <c r="N126" s="973" t="n"/>
      <c r="O126" s="973" t="n"/>
      <c r="P126" s="973" t="n"/>
      <c r="Q126" s="973" t="n"/>
      <c r="R126" s="973" t="n"/>
      <c r="S126" s="973" t="n"/>
      <c r="T126" s="973" t="n"/>
      <c r="U126" s="973" t="n"/>
      <c r="V126" s="973" t="n"/>
      <c r="W126" s="973" t="n"/>
      <c r="X126" s="973" t="n"/>
      <c r="Y126" s="973" t="n"/>
      <c r="Z126" s="973" t="n"/>
      <c r="AA126" s="973" t="n"/>
      <c r="AB126" s="973" t="n"/>
      <c r="AC126" s="973" t="n"/>
      <c r="AD126" s="973" t="n"/>
      <c r="AE126" s="973" t="n"/>
      <c r="AF126" s="973" t="n"/>
      <c r="AG126" s="973" t="n"/>
      <c r="AH126" s="973" t="n"/>
      <c r="AI126" s="973" t="n"/>
      <c r="AJ126" s="973" t="n"/>
      <c r="AK126" s="973" t="n"/>
      <c r="AL126" s="973" t="n"/>
      <c r="AM126" s="973" t="n"/>
      <c r="AN126" s="973" t="n"/>
      <c r="AO126" s="973" t="n"/>
    </row>
    <row r="127">
      <c r="A127" s="973" t="n"/>
      <c r="B127" s="973" t="n"/>
      <c r="C127" s="973" t="n"/>
      <c r="D127" s="973" t="n"/>
      <c r="E127" s="973" t="n"/>
      <c r="F127" s="973" t="n"/>
      <c r="G127" s="973" t="n"/>
      <c r="H127" s="973" t="n"/>
      <c r="I127" s="973" t="n"/>
      <c r="J127" s="973" t="n"/>
      <c r="K127" s="973" t="n"/>
      <c r="L127" s="973" t="n"/>
      <c r="M127" s="973" t="n"/>
      <c r="N127" s="973" t="n"/>
      <c r="O127" s="973" t="n"/>
      <c r="P127" s="973" t="n"/>
      <c r="Q127" s="973" t="n"/>
      <c r="R127" s="973" t="n"/>
      <c r="S127" s="973" t="n"/>
      <c r="T127" s="973" t="n"/>
      <c r="U127" s="973" t="n"/>
      <c r="V127" s="973" t="n"/>
      <c r="W127" s="973" t="n"/>
      <c r="X127" s="973" t="n"/>
      <c r="Y127" s="973" t="n"/>
      <c r="Z127" s="973" t="n"/>
      <c r="AA127" s="973" t="n"/>
      <c r="AB127" s="973" t="n"/>
      <c r="AC127" s="973" t="n"/>
      <c r="AD127" s="973" t="n"/>
      <c r="AE127" s="973" t="n"/>
      <c r="AF127" s="973" t="n"/>
      <c r="AG127" s="973" t="n"/>
      <c r="AH127" s="973" t="n"/>
      <c r="AI127" s="973" t="n"/>
      <c r="AJ127" s="973" t="n"/>
      <c r="AK127" s="973" t="n"/>
      <c r="AL127" s="973" t="n"/>
      <c r="AM127" s="973" t="n"/>
      <c r="AN127" s="973" t="n"/>
      <c r="AO127" s="973" t="n"/>
    </row>
    <row r="128">
      <c r="A128" s="973" t="n"/>
      <c r="B128" s="973" t="n"/>
      <c r="C128" s="973" t="n"/>
      <c r="D128" s="973" t="n"/>
      <c r="E128" s="973" t="n"/>
      <c r="F128" s="973" t="n"/>
      <c r="G128" s="973" t="n"/>
      <c r="H128" s="973" t="n"/>
      <c r="I128" s="973" t="n"/>
      <c r="J128" s="973" t="n"/>
      <c r="K128" s="973" t="n"/>
      <c r="L128" s="973" t="n"/>
      <c r="M128" s="973" t="n"/>
      <c r="N128" s="973" t="n"/>
      <c r="O128" s="973" t="n"/>
      <c r="P128" s="973" t="n"/>
      <c r="Q128" s="973" t="n"/>
      <c r="R128" s="973" t="n"/>
      <c r="S128" s="973" t="n"/>
      <c r="T128" s="973" t="n"/>
      <c r="U128" s="973" t="n"/>
      <c r="V128" s="973" t="n"/>
      <c r="W128" s="973" t="n"/>
      <c r="X128" s="973" t="n"/>
      <c r="Y128" s="973" t="n"/>
      <c r="Z128" s="973" t="n"/>
      <c r="AA128" s="973" t="n"/>
      <c r="AB128" s="973" t="n"/>
      <c r="AC128" s="973" t="n"/>
      <c r="AD128" s="973" t="n"/>
      <c r="AE128" s="973" t="n"/>
      <c r="AF128" s="973" t="n"/>
      <c r="AG128" s="973" t="n"/>
      <c r="AH128" s="973" t="n"/>
      <c r="AI128" s="973" t="n"/>
      <c r="AJ128" s="973" t="n"/>
      <c r="AK128" s="973" t="n"/>
      <c r="AL128" s="973" t="n"/>
      <c r="AM128" s="973" t="n"/>
      <c r="AN128" s="973" t="n"/>
      <c r="AO128" s="973" t="n"/>
    </row>
    <row r="129">
      <c r="A129" s="973" t="n"/>
      <c r="B129" s="973" t="n"/>
      <c r="C129" s="973" t="n"/>
      <c r="D129" s="973" t="n"/>
      <c r="E129" s="973" t="n"/>
      <c r="F129" s="973" t="n"/>
      <c r="G129" s="973" t="n"/>
      <c r="H129" s="973" t="n"/>
      <c r="I129" s="973" t="n"/>
      <c r="J129" s="973" t="n"/>
      <c r="K129" s="973" t="n"/>
      <c r="L129" s="973" t="n"/>
      <c r="M129" s="973" t="n"/>
      <c r="N129" s="973" t="n"/>
      <c r="O129" s="973" t="n"/>
      <c r="P129" s="973" t="n"/>
      <c r="Q129" s="973" t="n"/>
      <c r="R129" s="973" t="n"/>
      <c r="S129" s="973" t="n"/>
      <c r="T129" s="973" t="n"/>
      <c r="U129" s="973" t="n"/>
      <c r="V129" s="973" t="n"/>
      <c r="W129" s="973" t="n"/>
      <c r="X129" s="973" t="n"/>
      <c r="Y129" s="973" t="n"/>
      <c r="Z129" s="973" t="n"/>
      <c r="AA129" s="973" t="n"/>
      <c r="AB129" s="973" t="n"/>
      <c r="AC129" s="973" t="n"/>
      <c r="AD129" s="973" t="n"/>
      <c r="AE129" s="973" t="n"/>
      <c r="AF129" s="973" t="n"/>
      <c r="AG129" s="973" t="n"/>
      <c r="AH129" s="973" t="n"/>
      <c r="AI129" s="973" t="n"/>
      <c r="AJ129" s="973" t="n"/>
      <c r="AK129" s="973" t="n"/>
      <c r="AL129" s="973" t="n"/>
      <c r="AM129" s="973" t="n"/>
      <c r="AN129" s="973" t="n"/>
      <c r="AO129" s="973" t="n"/>
    </row>
    <row r="130">
      <c r="A130" s="973" t="n"/>
      <c r="B130" s="973" t="n"/>
      <c r="C130" s="973" t="n"/>
      <c r="D130" s="973" t="n"/>
      <c r="E130" s="973" t="n"/>
      <c r="F130" s="973" t="n"/>
      <c r="G130" s="973" t="n"/>
      <c r="H130" s="973" t="n"/>
      <c r="I130" s="973" t="n"/>
      <c r="J130" s="973" t="n"/>
      <c r="K130" s="973" t="n"/>
      <c r="L130" s="973" t="n"/>
      <c r="M130" s="973" t="n"/>
      <c r="N130" s="973" t="n"/>
      <c r="O130" s="973" t="n"/>
      <c r="P130" s="973" t="n"/>
      <c r="Q130" s="973" t="n"/>
      <c r="R130" s="973" t="n"/>
      <c r="S130" s="973" t="n"/>
      <c r="T130" s="973" t="n"/>
      <c r="U130" s="973" t="n"/>
      <c r="V130" s="973" t="n"/>
      <c r="W130" s="973" t="n"/>
      <c r="X130" s="973" t="n"/>
      <c r="Y130" s="973" t="n"/>
      <c r="Z130" s="973" t="n"/>
      <c r="AA130" s="973" t="n"/>
      <c r="AB130" s="973" t="n"/>
      <c r="AC130" s="973" t="n"/>
      <c r="AD130" s="973" t="n"/>
      <c r="AE130" s="973" t="n"/>
      <c r="AF130" s="973" t="n"/>
      <c r="AG130" s="973" t="n"/>
      <c r="AH130" s="973" t="n"/>
      <c r="AI130" s="973" t="n"/>
      <c r="AJ130" s="973" t="n"/>
      <c r="AK130" s="973" t="n"/>
      <c r="AL130" s="973" t="n"/>
      <c r="AM130" s="973" t="n"/>
      <c r="AN130" s="973" t="n"/>
      <c r="AO130" s="973" t="n"/>
    </row>
    <row r="131">
      <c r="A131" s="973" t="n"/>
      <c r="B131" s="973" t="n"/>
      <c r="C131" s="973" t="n"/>
      <c r="D131" s="973" t="n"/>
      <c r="E131" s="973" t="n"/>
      <c r="F131" s="973" t="n"/>
      <c r="G131" s="973" t="n"/>
      <c r="H131" s="973" t="n"/>
      <c r="I131" s="973" t="n"/>
      <c r="J131" s="973" t="n"/>
      <c r="K131" s="973" t="n"/>
      <c r="L131" s="973" t="n"/>
      <c r="M131" s="973" t="n"/>
      <c r="N131" s="973" t="n"/>
      <c r="O131" s="973" t="n"/>
      <c r="P131" s="973" t="n"/>
      <c r="Q131" s="973" t="n"/>
      <c r="R131" s="973" t="n"/>
      <c r="S131" s="973" t="n"/>
      <c r="T131" s="973" t="n"/>
      <c r="U131" s="973" t="n"/>
      <c r="V131" s="973" t="n"/>
      <c r="W131" s="973" t="n"/>
      <c r="X131" s="973" t="n"/>
      <c r="Y131" s="973" t="n"/>
      <c r="Z131" s="973" t="n"/>
      <c r="AA131" s="973" t="n"/>
      <c r="AB131" s="973" t="n"/>
      <c r="AC131" s="973" t="n"/>
      <c r="AD131" s="973" t="n"/>
      <c r="AE131" s="973" t="n"/>
      <c r="AF131" s="973" t="n"/>
      <c r="AG131" s="973" t="n"/>
      <c r="AH131" s="973" t="n"/>
      <c r="AI131" s="973" t="n"/>
      <c r="AJ131" s="973" t="n"/>
      <c r="AK131" s="973" t="n"/>
      <c r="AL131" s="973" t="n"/>
      <c r="AM131" s="973" t="n"/>
      <c r="AN131" s="973" t="n"/>
      <c r="AO131" s="973" t="n"/>
    </row>
    <row r="132">
      <c r="A132" s="973" t="n"/>
      <c r="B132" s="973" t="n"/>
      <c r="C132" s="973" t="n"/>
      <c r="D132" s="973" t="n"/>
      <c r="E132" s="973" t="n"/>
      <c r="F132" s="973" t="n"/>
      <c r="G132" s="973" t="n"/>
      <c r="H132" s="973" t="n"/>
      <c r="I132" s="973" t="n"/>
      <c r="J132" s="973" t="n"/>
      <c r="K132" s="973" t="n"/>
      <c r="L132" s="973" t="n"/>
      <c r="M132" s="973" t="n"/>
      <c r="N132" s="973" t="n"/>
      <c r="O132" s="973" t="n"/>
      <c r="P132" s="973" t="n"/>
      <c r="Q132" s="973" t="n"/>
      <c r="R132" s="973" t="n"/>
      <c r="S132" s="973" t="n"/>
      <c r="T132" s="973" t="n"/>
      <c r="U132" s="973" t="n"/>
      <c r="V132" s="973" t="n"/>
      <c r="W132" s="973" t="n"/>
      <c r="X132" s="973" t="n"/>
      <c r="Y132" s="973" t="n"/>
      <c r="Z132" s="973" t="n"/>
      <c r="AA132" s="973" t="n"/>
      <c r="AB132" s="973" t="n"/>
      <c r="AC132" s="973" t="n"/>
      <c r="AD132" s="973" t="n"/>
      <c r="AE132" s="973" t="n"/>
      <c r="AF132" s="973" t="n"/>
      <c r="AG132" s="973" t="n"/>
      <c r="AH132" s="973" t="n"/>
      <c r="AI132" s="973" t="n"/>
      <c r="AJ132" s="973" t="n"/>
      <c r="AK132" s="973" t="n"/>
      <c r="AL132" s="973" t="n"/>
      <c r="AM132" s="973" t="n"/>
      <c r="AN132" s="973" t="n"/>
      <c r="AO132" s="973" t="n"/>
    </row>
    <row r="133">
      <c r="A133" s="973" t="n"/>
      <c r="B133" s="973" t="n"/>
      <c r="C133" s="973" t="n"/>
      <c r="D133" s="973" t="n"/>
      <c r="E133" s="973" t="n"/>
      <c r="F133" s="973" t="n"/>
      <c r="G133" s="973" t="n"/>
      <c r="H133" s="973" t="n"/>
      <c r="I133" s="973" t="n"/>
      <c r="J133" s="973" t="n"/>
      <c r="K133" s="973" t="n"/>
      <c r="L133" s="973" t="n"/>
      <c r="M133" s="973" t="n"/>
      <c r="N133" s="973" t="n"/>
      <c r="O133" s="973" t="n"/>
      <c r="P133" s="973" t="n"/>
      <c r="Q133" s="973" t="n"/>
      <c r="R133" s="973" t="n"/>
      <c r="S133" s="973" t="n"/>
      <c r="T133" s="973" t="n"/>
      <c r="U133" s="973" t="n"/>
      <c r="V133" s="973" t="n"/>
      <c r="W133" s="973" t="n"/>
      <c r="X133" s="973" t="n"/>
      <c r="Y133" s="973" t="n"/>
      <c r="Z133" s="973" t="n"/>
      <c r="AA133" s="973" t="n"/>
      <c r="AB133" s="973" t="n"/>
      <c r="AC133" s="973" t="n"/>
      <c r="AD133" s="973" t="n"/>
      <c r="AE133" s="973" t="n"/>
      <c r="AF133" s="973" t="n"/>
      <c r="AG133" s="973" t="n"/>
      <c r="AH133" s="973" t="n"/>
      <c r="AI133" s="973" t="n"/>
      <c r="AJ133" s="973" t="n"/>
      <c r="AK133" s="973" t="n"/>
      <c r="AL133" s="973" t="n"/>
      <c r="AM133" s="973" t="n"/>
      <c r="AN133" s="973" t="n"/>
      <c r="AO133" s="973" t="n"/>
    </row>
    <row r="134">
      <c r="A134" s="973" t="n"/>
      <c r="B134" s="973" t="n"/>
      <c r="C134" s="973" t="n"/>
      <c r="D134" s="973" t="n"/>
      <c r="E134" s="973" t="n"/>
      <c r="F134" s="973" t="n"/>
      <c r="G134" s="973" t="n"/>
      <c r="H134" s="973" t="n"/>
      <c r="I134" s="973" t="n"/>
      <c r="J134" s="973" t="n"/>
      <c r="K134" s="973" t="n"/>
      <c r="L134" s="973" t="n"/>
      <c r="M134" s="973" t="n"/>
      <c r="N134" s="973" t="n"/>
      <c r="O134" s="973" t="n"/>
      <c r="P134" s="973" t="n"/>
      <c r="Q134" s="973" t="n"/>
      <c r="R134" s="973" t="n"/>
      <c r="S134" s="973" t="n"/>
      <c r="T134" s="973" t="n"/>
      <c r="U134" s="973" t="n"/>
      <c r="V134" s="973" t="n"/>
      <c r="W134" s="973" t="n"/>
      <c r="X134" s="973" t="n"/>
      <c r="Y134" s="973" t="n"/>
      <c r="Z134" s="973" t="n"/>
      <c r="AA134" s="973" t="n"/>
      <c r="AB134" s="973" t="n"/>
      <c r="AC134" s="973" t="n"/>
      <c r="AD134" s="973" t="n"/>
      <c r="AE134" s="973" t="n"/>
      <c r="AF134" s="973" t="n"/>
      <c r="AG134" s="973" t="n"/>
      <c r="AH134" s="973" t="n"/>
      <c r="AI134" s="973" t="n"/>
      <c r="AJ134" s="973" t="n"/>
      <c r="AK134" s="973" t="n"/>
      <c r="AL134" s="973" t="n"/>
      <c r="AM134" s="973" t="n"/>
      <c r="AN134" s="973" t="n"/>
      <c r="AO134" s="973" t="n"/>
    </row>
    <row r="135">
      <c r="A135" s="973" t="n"/>
      <c r="B135" s="973" t="n"/>
      <c r="C135" s="973" t="n"/>
      <c r="D135" s="973" t="n"/>
      <c r="E135" s="973" t="n"/>
      <c r="F135" s="973" t="n"/>
      <c r="G135" s="973" t="n"/>
      <c r="H135" s="973" t="n"/>
      <c r="I135" s="973" t="n"/>
      <c r="J135" s="973" t="n"/>
      <c r="K135" s="973" t="n"/>
      <c r="L135" s="973" t="n"/>
      <c r="M135" s="973" t="n"/>
      <c r="N135" s="973" t="n"/>
      <c r="O135" s="973" t="n"/>
      <c r="P135" s="973" t="n"/>
      <c r="Q135" s="973" t="n"/>
      <c r="R135" s="973" t="n"/>
      <c r="S135" s="973" t="n"/>
      <c r="T135" s="973" t="n"/>
      <c r="U135" s="973" t="n"/>
      <c r="V135" s="973" t="n"/>
      <c r="W135" s="973" t="n"/>
      <c r="X135" s="973" t="n"/>
      <c r="Y135" s="973" t="n"/>
      <c r="Z135" s="973" t="n"/>
      <c r="AA135" s="973" t="n"/>
      <c r="AB135" s="973" t="n"/>
      <c r="AC135" s="973" t="n"/>
      <c r="AD135" s="973" t="n"/>
      <c r="AE135" s="973" t="n"/>
      <c r="AF135" s="973" t="n"/>
      <c r="AG135" s="973" t="n"/>
      <c r="AH135" s="973" t="n"/>
      <c r="AI135" s="973" t="n"/>
      <c r="AJ135" s="973" t="n"/>
      <c r="AK135" s="973" t="n"/>
      <c r="AL135" s="973" t="n"/>
      <c r="AM135" s="973" t="n"/>
      <c r="AN135" s="973" t="n"/>
      <c r="AO135" s="973" t="n"/>
    </row>
    <row r="136">
      <c r="A136" s="973" t="n"/>
      <c r="B136" s="973" t="n"/>
      <c r="C136" s="973" t="n"/>
      <c r="D136" s="973" t="n"/>
      <c r="E136" s="973" t="n"/>
      <c r="F136" s="973" t="n"/>
      <c r="G136" s="973" t="n"/>
      <c r="H136" s="973" t="n"/>
      <c r="I136" s="973" t="n"/>
      <c r="J136" s="973" t="n"/>
      <c r="K136" s="973" t="n"/>
      <c r="L136" s="973" t="n"/>
      <c r="M136" s="973" t="n"/>
      <c r="N136" s="973" t="n"/>
      <c r="O136" s="973" t="n"/>
      <c r="P136" s="973" t="n"/>
      <c r="Q136" s="973" t="n"/>
      <c r="R136" s="973" t="n"/>
      <c r="S136" s="973" t="n"/>
      <c r="T136" s="973" t="n"/>
      <c r="U136" s="973" t="n"/>
      <c r="V136" s="973" t="n"/>
      <c r="W136" s="973" t="n"/>
      <c r="X136" s="973" t="n"/>
      <c r="Y136" s="973" t="n"/>
      <c r="Z136" s="973" t="n"/>
      <c r="AA136" s="973" t="n"/>
      <c r="AB136" s="973" t="n"/>
      <c r="AC136" s="973" t="n"/>
      <c r="AD136" s="973" t="n"/>
      <c r="AE136" s="973" t="n"/>
      <c r="AF136" s="973" t="n"/>
      <c r="AG136" s="973" t="n"/>
      <c r="AH136" s="973" t="n"/>
      <c r="AI136" s="973" t="n"/>
      <c r="AJ136" s="973" t="n"/>
      <c r="AK136" s="973" t="n"/>
      <c r="AL136" s="973" t="n"/>
      <c r="AM136" s="973" t="n"/>
      <c r="AN136" s="973" t="n"/>
      <c r="AO136" s="973" t="n"/>
    </row>
    <row r="137">
      <c r="A137" s="973" t="n"/>
      <c r="B137" s="973" t="n"/>
      <c r="C137" s="973" t="n"/>
      <c r="D137" s="973" t="n"/>
      <c r="E137" s="973" t="n"/>
      <c r="F137" s="973" t="n"/>
      <c r="G137" s="973" t="n"/>
      <c r="H137" s="973" t="n"/>
      <c r="I137" s="973" t="n"/>
      <c r="J137" s="973" t="n"/>
      <c r="K137" s="973" t="n"/>
      <c r="L137" s="973" t="n"/>
      <c r="M137" s="973" t="n"/>
      <c r="N137" s="973" t="n"/>
      <c r="O137" s="973" t="n"/>
      <c r="P137" s="973" t="n"/>
      <c r="Q137" s="973" t="n"/>
      <c r="R137" s="973" t="n"/>
      <c r="S137" s="973" t="n"/>
      <c r="T137" s="973" t="n"/>
      <c r="U137" s="973" t="n"/>
      <c r="V137" s="973" t="n"/>
      <c r="W137" s="973" t="n"/>
      <c r="X137" s="973" t="n"/>
      <c r="Y137" s="973" t="n"/>
      <c r="Z137" s="973" t="n"/>
      <c r="AA137" s="973" t="n"/>
      <c r="AB137" s="973" t="n"/>
      <c r="AC137" s="973" t="n"/>
      <c r="AD137" s="973" t="n"/>
      <c r="AE137" s="973" t="n"/>
      <c r="AF137" s="973" t="n"/>
      <c r="AG137" s="973" t="n"/>
      <c r="AH137" s="973" t="n"/>
      <c r="AI137" s="973" t="n"/>
      <c r="AJ137" s="973" t="n"/>
      <c r="AK137" s="973" t="n"/>
      <c r="AL137" s="973" t="n"/>
      <c r="AM137" s="973" t="n"/>
      <c r="AN137" s="973" t="n"/>
      <c r="AO137" s="973" t="n"/>
    </row>
    <row r="138">
      <c r="A138" s="973" t="n"/>
      <c r="B138" s="973" t="n"/>
      <c r="C138" s="973" t="n"/>
      <c r="D138" s="973" t="n"/>
      <c r="E138" s="973" t="n"/>
      <c r="F138" s="973" t="n"/>
      <c r="G138" s="973" t="n"/>
      <c r="H138" s="973" t="n"/>
      <c r="I138" s="973" t="n"/>
      <c r="J138" s="973" t="n"/>
      <c r="K138" s="973" t="n"/>
      <c r="L138" s="973" t="n"/>
      <c r="M138" s="973" t="n"/>
      <c r="N138" s="973" t="n"/>
      <c r="O138" s="973" t="n"/>
      <c r="P138" s="973" t="n"/>
      <c r="Q138" s="973" t="n"/>
      <c r="R138" s="973" t="n"/>
      <c r="S138" s="973" t="n"/>
      <c r="T138" s="973" t="n"/>
      <c r="U138" s="973" t="n"/>
      <c r="V138" s="973" t="n"/>
      <c r="W138" s="973" t="n"/>
      <c r="X138" s="973" t="n"/>
      <c r="Y138" s="973" t="n"/>
      <c r="Z138" s="973" t="n"/>
      <c r="AA138" s="973" t="n"/>
      <c r="AB138" s="973" t="n"/>
      <c r="AC138" s="973" t="n"/>
      <c r="AD138" s="973" t="n"/>
      <c r="AE138" s="973" t="n"/>
      <c r="AF138" s="973" t="n"/>
      <c r="AG138" s="973" t="n"/>
      <c r="AH138" s="973" t="n"/>
      <c r="AI138" s="973" t="n"/>
      <c r="AJ138" s="973" t="n"/>
      <c r="AK138" s="973" t="n"/>
      <c r="AL138" s="973" t="n"/>
      <c r="AM138" s="973" t="n"/>
      <c r="AN138" s="973" t="n"/>
      <c r="AO138" s="973" t="n"/>
    </row>
    <row r="139">
      <c r="A139" s="973" t="n"/>
      <c r="B139" s="973" t="n"/>
      <c r="C139" s="973" t="n"/>
      <c r="D139" s="973" t="n"/>
      <c r="E139" s="973" t="n"/>
      <c r="F139" s="973" t="n"/>
      <c r="G139" s="973" t="n"/>
      <c r="H139" s="973" t="n"/>
      <c r="I139" s="973" t="n"/>
      <c r="J139" s="973" t="n"/>
      <c r="K139" s="973" t="n"/>
      <c r="L139" s="973" t="n"/>
      <c r="M139" s="973" t="n"/>
      <c r="N139" s="973" t="n"/>
      <c r="O139" s="973" t="n"/>
      <c r="P139" s="973" t="n"/>
      <c r="Q139" s="973" t="n"/>
      <c r="R139" s="973" t="n"/>
      <c r="S139" s="973" t="n"/>
      <c r="T139" s="973" t="n"/>
      <c r="U139" s="973" t="n"/>
      <c r="V139" s="973" t="n"/>
      <c r="W139" s="973" t="n"/>
      <c r="X139" s="973" t="n"/>
      <c r="Y139" s="973" t="n"/>
      <c r="Z139" s="973" t="n"/>
      <c r="AA139" s="973" t="n"/>
      <c r="AB139" s="973" t="n"/>
      <c r="AC139" s="973" t="n"/>
      <c r="AD139" s="973" t="n"/>
      <c r="AE139" s="973" t="n"/>
      <c r="AF139" s="973" t="n"/>
      <c r="AG139" s="973" t="n"/>
      <c r="AH139" s="973" t="n"/>
      <c r="AI139" s="973" t="n"/>
      <c r="AJ139" s="973" t="n"/>
      <c r="AK139" s="973" t="n"/>
      <c r="AL139" s="973" t="n"/>
      <c r="AM139" s="973" t="n"/>
      <c r="AN139" s="973" t="n"/>
      <c r="AO139" s="973" t="n"/>
    </row>
    <row r="140">
      <c r="A140" s="973" t="n"/>
      <c r="B140" s="973" t="n"/>
      <c r="C140" s="973" t="n"/>
      <c r="D140" s="973" t="n"/>
      <c r="E140" s="973" t="n"/>
      <c r="F140" s="973" t="n"/>
      <c r="G140" s="973" t="n"/>
      <c r="H140" s="973" t="n"/>
      <c r="I140" s="973" t="n"/>
      <c r="J140" s="973" t="n"/>
      <c r="K140" s="973" t="n"/>
      <c r="L140" s="973" t="n"/>
      <c r="M140" s="973" t="n"/>
      <c r="N140" s="973" t="n"/>
      <c r="O140" s="973" t="n"/>
      <c r="P140" s="973" t="n"/>
      <c r="Q140" s="973" t="n"/>
      <c r="R140" s="973" t="n"/>
      <c r="S140" s="973" t="n"/>
      <c r="T140" s="973" t="n"/>
      <c r="U140" s="973" t="n"/>
      <c r="V140" s="973" t="n"/>
      <c r="W140" s="973" t="n"/>
      <c r="X140" s="973" t="n"/>
      <c r="Y140" s="973" t="n"/>
      <c r="Z140" s="973" t="n"/>
      <c r="AA140" s="973" t="n"/>
      <c r="AB140" s="973" t="n"/>
      <c r="AC140" s="973" t="n"/>
      <c r="AD140" s="973" t="n"/>
      <c r="AE140" s="973" t="n"/>
      <c r="AF140" s="973" t="n"/>
      <c r="AG140" s="973" t="n"/>
      <c r="AH140" s="973" t="n"/>
      <c r="AI140" s="973" t="n"/>
      <c r="AJ140" s="973" t="n"/>
      <c r="AK140" s="973" t="n"/>
      <c r="AL140" s="973" t="n"/>
      <c r="AM140" s="973" t="n"/>
      <c r="AN140" s="973" t="n"/>
      <c r="AO140" s="973" t="n"/>
    </row>
    <row r="141">
      <c r="A141" s="973" t="n"/>
      <c r="B141" s="973" t="n"/>
      <c r="C141" s="973" t="n"/>
      <c r="D141" s="973" t="n"/>
      <c r="E141" s="973" t="n"/>
      <c r="F141" s="973" t="n"/>
      <c r="G141" s="973" t="n"/>
      <c r="H141" s="973" t="n"/>
      <c r="I141" s="973" t="n"/>
      <c r="J141" s="973" t="n"/>
      <c r="K141" s="973" t="n"/>
      <c r="L141" s="973" t="n"/>
      <c r="M141" s="973" t="n"/>
      <c r="N141" s="973" t="n"/>
      <c r="O141" s="973" t="n"/>
      <c r="P141" s="973" t="n"/>
      <c r="Q141" s="973" t="n"/>
      <c r="R141" s="973" t="n"/>
      <c r="S141" s="973" t="n"/>
      <c r="T141" s="973" t="n"/>
      <c r="U141" s="973" t="n"/>
      <c r="V141" s="973" t="n"/>
      <c r="W141" s="973" t="n"/>
      <c r="X141" s="973" t="n"/>
      <c r="Y141" s="973" t="n"/>
      <c r="Z141" s="973" t="n"/>
      <c r="AA141" s="973" t="n"/>
      <c r="AB141" s="973" t="n"/>
      <c r="AC141" s="973" t="n"/>
      <c r="AD141" s="973" t="n"/>
      <c r="AE141" s="973" t="n"/>
      <c r="AF141" s="973" t="n"/>
      <c r="AG141" s="973" t="n"/>
      <c r="AH141" s="973" t="n"/>
      <c r="AI141" s="973" t="n"/>
      <c r="AJ141" s="973" t="n"/>
      <c r="AK141" s="973" t="n"/>
      <c r="AL141" s="973" t="n"/>
      <c r="AM141" s="973" t="n"/>
      <c r="AN141" s="973" t="n"/>
      <c r="AO141" s="973" t="n"/>
    </row>
    <row r="142">
      <c r="A142" s="973" t="n"/>
      <c r="B142" s="973" t="n"/>
      <c r="C142" s="973" t="n"/>
      <c r="D142" s="973" t="n"/>
      <c r="E142" s="973" t="n"/>
      <c r="F142" s="973" t="n"/>
      <c r="G142" s="973" t="n"/>
      <c r="H142" s="973" t="n"/>
      <c r="I142" s="973" t="n"/>
      <c r="J142" s="973" t="n"/>
      <c r="K142" s="973" t="n"/>
      <c r="L142" s="973" t="n"/>
      <c r="M142" s="973" t="n"/>
      <c r="N142" s="973" t="n"/>
      <c r="O142" s="973" t="n"/>
      <c r="P142" s="973" t="n"/>
      <c r="Q142" s="973" t="n"/>
      <c r="R142" s="973" t="n"/>
      <c r="S142" s="973" t="n"/>
      <c r="T142" s="973" t="n"/>
      <c r="U142" s="973" t="n"/>
      <c r="V142" s="973" t="n"/>
      <c r="W142" s="973" t="n"/>
      <c r="X142" s="973" t="n"/>
      <c r="Y142" s="973" t="n"/>
      <c r="Z142" s="973" t="n"/>
      <c r="AA142" s="973" t="n"/>
      <c r="AB142" s="973" t="n"/>
      <c r="AC142" s="973" t="n"/>
      <c r="AD142" s="973" t="n"/>
      <c r="AE142" s="973" t="n"/>
      <c r="AF142" s="973" t="n"/>
      <c r="AG142" s="973" t="n"/>
      <c r="AH142" s="973" t="n"/>
      <c r="AI142" s="973" t="n"/>
      <c r="AJ142" s="973" t="n"/>
      <c r="AK142" s="973" t="n"/>
      <c r="AL142" s="973" t="n"/>
      <c r="AM142" s="973" t="n"/>
      <c r="AN142" s="973" t="n"/>
      <c r="AO142" s="973" t="n"/>
    </row>
    <row r="143">
      <c r="A143" s="973" t="n"/>
      <c r="B143" s="973" t="n"/>
      <c r="C143" s="973" t="n"/>
      <c r="D143" s="973" t="n"/>
      <c r="E143" s="973" t="n"/>
      <c r="F143" s="973" t="n"/>
      <c r="G143" s="973" t="n"/>
      <c r="H143" s="973" t="n"/>
      <c r="I143" s="973" t="n"/>
      <c r="J143" s="973" t="n"/>
      <c r="K143" s="973" t="n"/>
      <c r="L143" s="973" t="n"/>
      <c r="M143" s="973" t="n"/>
      <c r="N143" s="973" t="n"/>
      <c r="O143" s="973" t="n"/>
      <c r="P143" s="973" t="n"/>
      <c r="Q143" s="973" t="n"/>
      <c r="R143" s="973" t="n"/>
      <c r="S143" s="973" t="n"/>
      <c r="T143" s="973" t="n"/>
      <c r="U143" s="973" t="n"/>
      <c r="V143" s="973" t="n"/>
      <c r="W143" s="973" t="n"/>
      <c r="X143" s="973" t="n"/>
      <c r="Y143" s="973" t="n"/>
      <c r="Z143" s="973" t="n"/>
      <c r="AA143" s="973" t="n"/>
      <c r="AB143" s="973" t="n"/>
      <c r="AC143" s="973" t="n"/>
      <c r="AD143" s="973" t="n"/>
      <c r="AE143" s="973" t="n"/>
      <c r="AF143" s="973" t="n"/>
      <c r="AG143" s="973" t="n"/>
      <c r="AH143" s="973" t="n"/>
      <c r="AI143" s="973" t="n"/>
      <c r="AJ143" s="973" t="n"/>
      <c r="AK143" s="973" t="n"/>
      <c r="AL143" s="973" t="n"/>
      <c r="AM143" s="973" t="n"/>
      <c r="AN143" s="973" t="n"/>
      <c r="AO143" s="973" t="n"/>
    </row>
    <row r="144">
      <c r="A144" s="973" t="n"/>
      <c r="B144" s="973" t="n"/>
      <c r="C144" s="973" t="n"/>
      <c r="D144" s="973" t="n"/>
      <c r="E144" s="973" t="n"/>
      <c r="F144" s="973" t="n"/>
      <c r="G144" s="973" t="n"/>
      <c r="H144" s="973" t="n"/>
      <c r="I144" s="973" t="n"/>
      <c r="J144" s="973" t="n"/>
      <c r="K144" s="973" t="n"/>
      <c r="L144" s="973" t="n"/>
      <c r="M144" s="973" t="n"/>
      <c r="N144" s="973" t="n"/>
      <c r="O144" s="973" t="n"/>
      <c r="P144" s="973" t="n"/>
      <c r="Q144" s="973" t="n"/>
      <c r="R144" s="973" t="n"/>
      <c r="S144" s="973" t="n"/>
      <c r="T144" s="973" t="n"/>
      <c r="U144" s="973" t="n"/>
      <c r="V144" s="973" t="n"/>
      <c r="W144" s="973" t="n"/>
      <c r="X144" s="973" t="n"/>
      <c r="Y144" s="973" t="n"/>
      <c r="Z144" s="973" t="n"/>
      <c r="AA144" s="973" t="n"/>
      <c r="AB144" s="973" t="n"/>
      <c r="AC144" s="973" t="n"/>
      <c r="AD144" s="973" t="n"/>
      <c r="AE144" s="973" t="n"/>
      <c r="AF144" s="973" t="n"/>
      <c r="AG144" s="973" t="n"/>
      <c r="AH144" s="973" t="n"/>
      <c r="AI144" s="973" t="n"/>
      <c r="AJ144" s="973" t="n"/>
      <c r="AK144" s="973" t="n"/>
      <c r="AL144" s="973" t="n"/>
      <c r="AM144" s="973" t="n"/>
      <c r="AN144" s="973" t="n"/>
      <c r="AO144" s="973" t="n"/>
    </row>
    <row r="145">
      <c r="A145" s="973" t="n"/>
      <c r="B145" s="973" t="n"/>
      <c r="C145" s="973" t="n"/>
      <c r="D145" s="973" t="n"/>
      <c r="E145" s="973" t="n"/>
      <c r="F145" s="973" t="n"/>
      <c r="G145" s="973" t="n"/>
      <c r="H145" s="973" t="n"/>
      <c r="I145" s="973" t="n"/>
      <c r="J145" s="973" t="n"/>
      <c r="K145" s="973" t="n"/>
      <c r="L145" s="973" t="n"/>
      <c r="M145" s="973" t="n"/>
      <c r="N145" s="973" t="n"/>
      <c r="O145" s="973" t="n"/>
      <c r="P145" s="973" t="n"/>
      <c r="Q145" s="973" t="n"/>
      <c r="R145" s="973" t="n"/>
      <c r="S145" s="973" t="n"/>
      <c r="T145" s="973" t="n"/>
      <c r="U145" s="973" t="n"/>
      <c r="V145" s="973" t="n"/>
      <c r="W145" s="973" t="n"/>
      <c r="X145" s="973" t="n"/>
      <c r="Y145" s="973" t="n"/>
      <c r="Z145" s="973" t="n"/>
      <c r="AA145" s="973" t="n"/>
      <c r="AB145" s="973" t="n"/>
      <c r="AC145" s="973" t="n"/>
      <c r="AD145" s="973" t="n"/>
      <c r="AE145" s="973" t="n"/>
      <c r="AF145" s="973" t="n"/>
      <c r="AG145" s="973" t="n"/>
      <c r="AH145" s="973" t="n"/>
      <c r="AI145" s="973" t="n"/>
      <c r="AJ145" s="973" t="n"/>
      <c r="AK145" s="973" t="n"/>
      <c r="AL145" s="973" t="n"/>
      <c r="AM145" s="973" t="n"/>
      <c r="AN145" s="973" t="n"/>
      <c r="AO145" s="973" t="n"/>
    </row>
    <row r="146">
      <c r="A146" s="973" t="n"/>
      <c r="B146" s="973" t="n"/>
      <c r="C146" s="973" t="n"/>
      <c r="D146" s="973" t="n"/>
      <c r="E146" s="973" t="n"/>
      <c r="F146" s="973" t="n"/>
      <c r="G146" s="973" t="n"/>
      <c r="H146" s="973" t="n"/>
      <c r="I146" s="973" t="n"/>
      <c r="J146" s="973" t="n"/>
      <c r="K146" s="973" t="n"/>
      <c r="L146" s="973" t="n"/>
      <c r="M146" s="973" t="n"/>
      <c r="N146" s="973" t="n"/>
      <c r="O146" s="973" t="n"/>
      <c r="P146" s="973" t="n"/>
      <c r="Q146" s="973" t="n"/>
      <c r="R146" s="973" t="n"/>
      <c r="S146" s="973" t="n"/>
      <c r="T146" s="973" t="n"/>
      <c r="U146" s="973" t="n"/>
      <c r="V146" s="973" t="n"/>
      <c r="W146" s="973" t="n"/>
      <c r="X146" s="973" t="n"/>
      <c r="Y146" s="973" t="n"/>
      <c r="Z146" s="973" t="n"/>
      <c r="AA146" s="973" t="n"/>
      <c r="AB146" s="973" t="n"/>
      <c r="AC146" s="973" t="n"/>
      <c r="AD146" s="973" t="n"/>
      <c r="AE146" s="973" t="n"/>
      <c r="AF146" s="973" t="n"/>
      <c r="AG146" s="973" t="n"/>
      <c r="AH146" s="973" t="n"/>
      <c r="AI146" s="973" t="n"/>
      <c r="AJ146" s="973" t="n"/>
      <c r="AK146" s="973" t="n"/>
      <c r="AL146" s="973" t="n"/>
      <c r="AM146" s="973" t="n"/>
      <c r="AN146" s="973" t="n"/>
      <c r="AO146" s="973" t="n"/>
    </row>
    <row r="147">
      <c r="A147" s="973" t="n"/>
      <c r="B147" s="973" t="n"/>
      <c r="C147" s="973" t="n"/>
      <c r="D147" s="973" t="n"/>
      <c r="E147" s="973" t="n"/>
      <c r="F147" s="973" t="n"/>
      <c r="G147" s="973" t="n"/>
      <c r="H147" s="973" t="n"/>
      <c r="I147" s="973" t="n"/>
      <c r="J147" s="973" t="n"/>
      <c r="K147" s="973" t="n"/>
      <c r="L147" s="973" t="n"/>
      <c r="M147" s="973" t="n"/>
      <c r="N147" s="973" t="n"/>
      <c r="O147" s="973" t="n"/>
      <c r="P147" s="973" t="n"/>
      <c r="Q147" s="973" t="n"/>
      <c r="R147" s="973" t="n"/>
      <c r="S147" s="973" t="n"/>
      <c r="T147" s="973" t="n"/>
      <c r="U147" s="973" t="n"/>
      <c r="V147" s="973" t="n"/>
      <c r="W147" s="973" t="n"/>
      <c r="X147" s="973" t="n"/>
      <c r="Y147" s="973" t="n"/>
      <c r="Z147" s="973" t="n"/>
      <c r="AA147" s="973" t="n"/>
      <c r="AB147" s="973" t="n"/>
      <c r="AC147" s="973" t="n"/>
      <c r="AD147" s="973" t="n"/>
      <c r="AE147" s="973" t="n"/>
      <c r="AF147" s="973" t="n"/>
      <c r="AG147" s="973" t="n"/>
      <c r="AH147" s="973" t="n"/>
      <c r="AI147" s="973" t="n"/>
      <c r="AJ147" s="973" t="n"/>
      <c r="AK147" s="973" t="n"/>
      <c r="AL147" s="973" t="n"/>
      <c r="AM147" s="973" t="n"/>
      <c r="AN147" s="973" t="n"/>
      <c r="AO147" s="973" t="n"/>
    </row>
    <row r="148">
      <c r="A148" s="973" t="n"/>
      <c r="B148" s="973" t="n"/>
      <c r="C148" s="973" t="n"/>
      <c r="D148" s="973" t="n"/>
      <c r="E148" s="973" t="n"/>
      <c r="F148" s="973" t="n"/>
      <c r="G148" s="973" t="n"/>
      <c r="H148" s="973" t="n"/>
      <c r="I148" s="973" t="n"/>
      <c r="J148" s="973" t="n"/>
      <c r="K148" s="973" t="n"/>
      <c r="L148" s="973" t="n"/>
      <c r="M148" s="973" t="n"/>
      <c r="N148" s="973" t="n"/>
      <c r="O148" s="973" t="n"/>
      <c r="P148" s="973" t="n"/>
      <c r="Q148" s="973" t="n"/>
      <c r="R148" s="973" t="n"/>
      <c r="S148" s="973" t="n"/>
      <c r="T148" s="973" t="n"/>
      <c r="U148" s="973" t="n"/>
      <c r="V148" s="973" t="n"/>
      <c r="W148" s="973" t="n"/>
      <c r="X148" s="973" t="n"/>
      <c r="Y148" s="973" t="n"/>
      <c r="Z148" s="973" t="n"/>
      <c r="AA148" s="973" t="n"/>
      <c r="AB148" s="973" t="n"/>
      <c r="AC148" s="973" t="n"/>
      <c r="AD148" s="973" t="n"/>
      <c r="AE148" s="973" t="n"/>
      <c r="AF148" s="973" t="n"/>
      <c r="AG148" s="973" t="n"/>
      <c r="AH148" s="973" t="n"/>
      <c r="AI148" s="973" t="n"/>
      <c r="AJ148" s="973" t="n"/>
      <c r="AK148" s="973" t="n"/>
      <c r="AL148" s="973" t="n"/>
      <c r="AM148" s="973" t="n"/>
      <c r="AN148" s="973" t="n"/>
      <c r="AO148" s="973" t="n"/>
    </row>
    <row r="149">
      <c r="A149" s="973" t="n"/>
      <c r="B149" s="973" t="n"/>
      <c r="C149" s="973" t="n"/>
      <c r="D149" s="973" t="n"/>
      <c r="E149" s="973" t="n"/>
      <c r="F149" s="973" t="n"/>
      <c r="G149" s="973" t="n"/>
      <c r="H149" s="973" t="n"/>
      <c r="I149" s="973" t="n"/>
      <c r="J149" s="973" t="n"/>
      <c r="K149" s="973" t="n"/>
      <c r="L149" s="973" t="n"/>
      <c r="M149" s="973" t="n"/>
      <c r="N149" s="973" t="n"/>
      <c r="O149" s="973" t="n"/>
      <c r="P149" s="973" t="n"/>
      <c r="Q149" s="973" t="n"/>
      <c r="R149" s="973" t="n"/>
      <c r="S149" s="973" t="n"/>
      <c r="T149" s="973" t="n"/>
      <c r="U149" s="973" t="n"/>
      <c r="V149" s="973" t="n"/>
      <c r="W149" s="973" t="n"/>
      <c r="X149" s="973" t="n"/>
      <c r="Y149" s="973" t="n"/>
      <c r="Z149" s="973" t="n"/>
      <c r="AA149" s="973" t="n"/>
      <c r="AB149" s="973" t="n"/>
      <c r="AC149" s="973" t="n"/>
      <c r="AD149" s="973" t="n"/>
      <c r="AE149" s="973" t="n"/>
      <c r="AF149" s="973" t="n"/>
      <c r="AG149" s="973" t="n"/>
      <c r="AH149" s="973" t="n"/>
      <c r="AI149" s="973" t="n"/>
      <c r="AJ149" s="973" t="n"/>
      <c r="AK149" s="973" t="n"/>
      <c r="AL149" s="973" t="n"/>
      <c r="AM149" s="973" t="n"/>
      <c r="AN149" s="973" t="n"/>
      <c r="AO149" s="973" t="n"/>
    </row>
    <row r="150">
      <c r="A150" s="973" t="n"/>
      <c r="B150" s="973" t="n"/>
      <c r="C150" s="973" t="n"/>
      <c r="D150" s="973" t="n"/>
      <c r="E150" s="973" t="n"/>
      <c r="F150" s="973" t="n"/>
      <c r="G150" s="973" t="n"/>
      <c r="H150" s="973" t="n"/>
      <c r="I150" s="973" t="n"/>
      <c r="J150" s="973" t="n"/>
      <c r="K150" s="973" t="n"/>
      <c r="L150" s="973" t="n"/>
      <c r="M150" s="973" t="n"/>
      <c r="N150" s="973" t="n"/>
      <c r="O150" s="973" t="n"/>
      <c r="P150" s="973" t="n"/>
      <c r="Q150" s="973" t="n"/>
      <c r="R150" s="973" t="n"/>
      <c r="S150" s="973" t="n"/>
      <c r="T150" s="973" t="n"/>
      <c r="U150" s="973" t="n"/>
      <c r="V150" s="973" t="n"/>
      <c r="W150" s="973" t="n"/>
      <c r="X150" s="973" t="n"/>
      <c r="Y150" s="973" t="n"/>
      <c r="Z150" s="973" t="n"/>
      <c r="AA150" s="973" t="n"/>
      <c r="AB150" s="973" t="n"/>
      <c r="AC150" s="973" t="n"/>
      <c r="AD150" s="973" t="n"/>
      <c r="AE150" s="973" t="n"/>
      <c r="AF150" s="973" t="n"/>
      <c r="AG150" s="973" t="n"/>
      <c r="AH150" s="973" t="n"/>
      <c r="AI150" s="973" t="n"/>
      <c r="AJ150" s="973" t="n"/>
      <c r="AK150" s="973" t="n"/>
      <c r="AL150" s="973" t="n"/>
      <c r="AM150" s="973" t="n"/>
      <c r="AN150" s="973" t="n"/>
      <c r="AO150" s="973" t="n"/>
    </row>
    <row r="151">
      <c r="A151" s="973" t="n"/>
      <c r="B151" s="973" t="n"/>
      <c r="C151" s="973" t="n"/>
      <c r="D151" s="973" t="n"/>
      <c r="E151" s="973" t="n"/>
      <c r="F151" s="973" t="n"/>
      <c r="G151" s="973" t="n"/>
      <c r="H151" s="973" t="n"/>
      <c r="I151" s="973" t="n"/>
      <c r="J151" s="973" t="n"/>
      <c r="K151" s="973" t="n"/>
      <c r="L151" s="973" t="n"/>
      <c r="M151" s="973" t="n"/>
      <c r="N151" s="973" t="n"/>
      <c r="O151" s="973" t="n"/>
      <c r="P151" s="973" t="n"/>
      <c r="Q151" s="973" t="n"/>
      <c r="R151" s="973" t="n"/>
      <c r="S151" s="973" t="n"/>
      <c r="T151" s="973" t="n"/>
      <c r="U151" s="973" t="n"/>
      <c r="V151" s="973" t="n"/>
      <c r="W151" s="973" t="n"/>
      <c r="X151" s="973" t="n"/>
      <c r="Y151" s="973" t="n"/>
      <c r="Z151" s="973" t="n"/>
      <c r="AA151" s="973" t="n"/>
      <c r="AB151" s="973" t="n"/>
      <c r="AC151" s="973" t="n"/>
      <c r="AD151" s="973" t="n"/>
      <c r="AE151" s="973" t="n"/>
      <c r="AF151" s="973" t="n"/>
      <c r="AG151" s="973" t="n"/>
      <c r="AH151" s="973" t="n"/>
      <c r="AI151" s="973" t="n"/>
      <c r="AJ151" s="973" t="n"/>
      <c r="AK151" s="973" t="n"/>
      <c r="AL151" s="973" t="n"/>
      <c r="AM151" s="973" t="n"/>
      <c r="AN151" s="973" t="n"/>
      <c r="AO151" s="973" t="n"/>
    </row>
    <row r="152">
      <c r="A152" s="973" t="n"/>
      <c r="B152" s="973" t="n"/>
      <c r="C152" s="973" t="n"/>
      <c r="D152" s="973" t="n"/>
      <c r="E152" s="973" t="n"/>
      <c r="F152" s="973" t="n"/>
      <c r="G152" s="973" t="n"/>
      <c r="H152" s="973" t="n"/>
      <c r="I152" s="973" t="n"/>
      <c r="J152" s="973" t="n"/>
      <c r="K152" s="973" t="n"/>
      <c r="L152" s="973" t="n"/>
      <c r="M152" s="973" t="n"/>
      <c r="N152" s="973" t="n"/>
      <c r="O152" s="973" t="n"/>
      <c r="P152" s="973" t="n"/>
      <c r="Q152" s="973" t="n"/>
      <c r="R152" s="973" t="n"/>
      <c r="S152" s="973" t="n"/>
      <c r="T152" s="973" t="n"/>
      <c r="U152" s="973" t="n"/>
      <c r="V152" s="973" t="n"/>
      <c r="W152" s="973" t="n"/>
      <c r="X152" s="973" t="n"/>
      <c r="Y152" s="973" t="n"/>
      <c r="Z152" s="973" t="n"/>
      <c r="AA152" s="973" t="n"/>
      <c r="AB152" s="973" t="n"/>
      <c r="AC152" s="973" t="n"/>
      <c r="AD152" s="973" t="n"/>
      <c r="AE152" s="973" t="n"/>
      <c r="AF152" s="973" t="n"/>
      <c r="AG152" s="973" t="n"/>
      <c r="AH152" s="973" t="n"/>
      <c r="AI152" s="973" t="n"/>
      <c r="AJ152" s="973" t="n"/>
      <c r="AK152" s="973" t="n"/>
      <c r="AL152" s="973" t="n"/>
      <c r="AM152" s="973" t="n"/>
      <c r="AN152" s="973" t="n"/>
      <c r="AO152" s="973" t="n"/>
    </row>
    <row r="153">
      <c r="A153" s="973" t="n"/>
      <c r="B153" s="973" t="n"/>
      <c r="C153" s="973" t="n"/>
      <c r="D153" s="973" t="n"/>
      <c r="E153" s="973" t="n"/>
      <c r="F153" s="973" t="n"/>
      <c r="G153" s="973" t="n"/>
      <c r="H153" s="973" t="n"/>
      <c r="I153" s="973" t="n"/>
      <c r="J153" s="973" t="n"/>
      <c r="K153" s="973" t="n"/>
      <c r="L153" s="973" t="n"/>
      <c r="M153" s="973" t="n"/>
      <c r="N153" s="973" t="n"/>
      <c r="O153" s="973" t="n"/>
      <c r="P153" s="973" t="n"/>
      <c r="Q153" s="973" t="n"/>
      <c r="R153" s="973" t="n"/>
      <c r="S153" s="973" t="n"/>
      <c r="T153" s="973" t="n"/>
      <c r="U153" s="973" t="n"/>
      <c r="V153" s="973" t="n"/>
      <c r="W153" s="973" t="n"/>
      <c r="X153" s="973" t="n"/>
      <c r="Y153" s="973" t="n"/>
      <c r="Z153" s="973" t="n"/>
      <c r="AA153" s="973" t="n"/>
      <c r="AB153" s="973" t="n"/>
      <c r="AC153" s="973" t="n"/>
      <c r="AD153" s="973" t="n"/>
      <c r="AE153" s="973" t="n"/>
      <c r="AF153" s="973" t="n"/>
      <c r="AG153" s="973" t="n"/>
      <c r="AH153" s="973" t="n"/>
      <c r="AI153" s="973" t="n"/>
      <c r="AJ153" s="973" t="n"/>
      <c r="AK153" s="973" t="n"/>
      <c r="AL153" s="973" t="n"/>
      <c r="AM153" s="973" t="n"/>
      <c r="AN153" s="973" t="n"/>
      <c r="AO153" s="973" t="n"/>
    </row>
    <row r="154">
      <c r="A154" s="973" t="n"/>
      <c r="B154" s="973" t="n"/>
      <c r="C154" s="973" t="n"/>
      <c r="D154" s="973" t="n"/>
      <c r="E154" s="973" t="n"/>
      <c r="F154" s="973" t="n"/>
      <c r="G154" s="973" t="n"/>
      <c r="H154" s="973" t="n"/>
      <c r="I154" s="973" t="n"/>
      <c r="J154" s="973" t="n"/>
      <c r="K154" s="973" t="n"/>
      <c r="L154" s="973" t="n"/>
      <c r="M154" s="973" t="n"/>
      <c r="N154" s="973" t="n"/>
      <c r="O154" s="973" t="n"/>
      <c r="P154" s="973" t="n"/>
      <c r="Q154" s="973" t="n"/>
      <c r="R154" s="973" t="n"/>
      <c r="S154" s="973" t="n"/>
      <c r="T154" s="973" t="n"/>
      <c r="U154" s="973" t="n"/>
      <c r="V154" s="973" t="n"/>
      <c r="W154" s="973" t="n"/>
      <c r="X154" s="973" t="n"/>
      <c r="Y154" s="973" t="n"/>
      <c r="Z154" s="973" t="n"/>
      <c r="AA154" s="973" t="n"/>
      <c r="AB154" s="973" t="n"/>
      <c r="AC154" s="973" t="n"/>
      <c r="AD154" s="973" t="n"/>
      <c r="AE154" s="973" t="n"/>
      <c r="AF154" s="973" t="n"/>
      <c r="AG154" s="973" t="n"/>
      <c r="AH154" s="973" t="n"/>
      <c r="AI154" s="973" t="n"/>
      <c r="AJ154" s="973" t="n"/>
      <c r="AK154" s="973" t="n"/>
      <c r="AL154" s="973" t="n"/>
      <c r="AM154" s="973" t="n"/>
      <c r="AN154" s="973" t="n"/>
      <c r="AO154" s="973" t="n"/>
    </row>
    <row r="155">
      <c r="A155" s="973" t="n"/>
      <c r="B155" s="973" t="n"/>
      <c r="C155" s="973" t="n"/>
      <c r="D155" s="973" t="n"/>
      <c r="E155" s="973" t="n"/>
      <c r="F155" s="973" t="n"/>
      <c r="G155" s="973" t="n"/>
      <c r="H155" s="973" t="n"/>
      <c r="I155" s="973" t="n"/>
      <c r="J155" s="973" t="n"/>
      <c r="K155" s="973" t="n"/>
      <c r="L155" s="973" t="n"/>
      <c r="M155" s="973" t="n"/>
      <c r="N155" s="973" t="n"/>
      <c r="O155" s="973" t="n"/>
      <c r="P155" s="973" t="n"/>
      <c r="Q155" s="973" t="n"/>
      <c r="R155" s="973" t="n"/>
      <c r="S155" s="973" t="n"/>
      <c r="T155" s="973" t="n"/>
      <c r="U155" s="973" t="n"/>
      <c r="V155" s="973" t="n"/>
      <c r="W155" s="973" t="n"/>
      <c r="X155" s="973" t="n"/>
      <c r="Y155" s="973" t="n"/>
      <c r="Z155" s="973" t="n"/>
      <c r="AA155" s="973" t="n"/>
      <c r="AB155" s="973" t="n"/>
      <c r="AC155" s="973" t="n"/>
      <c r="AD155" s="973" t="n"/>
      <c r="AE155" s="973" t="n"/>
      <c r="AF155" s="973" t="n"/>
      <c r="AG155" s="973" t="n"/>
      <c r="AH155" s="973" t="n"/>
      <c r="AI155" s="973" t="n"/>
      <c r="AJ155" s="973" t="n"/>
      <c r="AK155" s="973" t="n"/>
      <c r="AL155" s="973" t="n"/>
      <c r="AM155" s="973" t="n"/>
      <c r="AN155" s="973" t="n"/>
      <c r="AO155" s="973" t="n"/>
    </row>
    <row r="156">
      <c r="A156" s="973" t="n"/>
      <c r="B156" s="973" t="n"/>
      <c r="C156" s="973" t="n"/>
      <c r="D156" s="973" t="n"/>
      <c r="E156" s="973" t="n"/>
      <c r="F156" s="973" t="n"/>
      <c r="G156" s="973" t="n"/>
      <c r="H156" s="973" t="n"/>
      <c r="I156" s="973" t="n"/>
      <c r="J156" s="973" t="n"/>
      <c r="K156" s="973" t="n"/>
      <c r="L156" s="973" t="n"/>
      <c r="M156" s="973" t="n"/>
      <c r="N156" s="973" t="n"/>
      <c r="O156" s="973" t="n"/>
      <c r="P156" s="973" t="n"/>
      <c r="Q156" s="973" t="n"/>
      <c r="R156" s="973" t="n"/>
      <c r="S156" s="973" t="n"/>
      <c r="T156" s="973" t="n"/>
      <c r="U156" s="973" t="n"/>
      <c r="V156" s="973" t="n"/>
      <c r="W156" s="973" t="n"/>
      <c r="X156" s="973" t="n"/>
      <c r="Y156" s="973" t="n"/>
      <c r="Z156" s="973" t="n"/>
      <c r="AA156" s="973" t="n"/>
      <c r="AB156" s="973" t="n"/>
      <c r="AC156" s="973" t="n"/>
      <c r="AD156" s="973" t="n"/>
      <c r="AE156" s="973" t="n"/>
      <c r="AF156" s="973" t="n"/>
      <c r="AG156" s="973" t="n"/>
      <c r="AH156" s="973" t="n"/>
      <c r="AI156" s="973" t="n"/>
      <c r="AJ156" s="973" t="n"/>
      <c r="AK156" s="973" t="n"/>
      <c r="AL156" s="973" t="n"/>
      <c r="AM156" s="973" t="n"/>
      <c r="AN156" s="973" t="n"/>
      <c r="AO156" s="973" t="n"/>
    </row>
    <row r="157">
      <c r="A157" s="973" t="n"/>
      <c r="B157" s="973" t="n"/>
      <c r="C157" s="973" t="n"/>
      <c r="D157" s="973" t="n"/>
      <c r="E157" s="973" t="n"/>
      <c r="F157" s="973" t="n"/>
      <c r="G157" s="973" t="n"/>
      <c r="H157" s="973" t="n"/>
      <c r="I157" s="973" t="n"/>
      <c r="J157" s="973" t="n"/>
      <c r="K157" s="973" t="n"/>
      <c r="L157" s="973" t="n"/>
      <c r="M157" s="973" t="n"/>
      <c r="N157" s="973" t="n"/>
      <c r="O157" s="973" t="n"/>
      <c r="P157" s="973" t="n"/>
      <c r="Q157" s="973" t="n"/>
      <c r="R157" s="973" t="n"/>
      <c r="S157" s="973" t="n"/>
      <c r="T157" s="973" t="n"/>
      <c r="U157" s="973" t="n"/>
      <c r="V157" s="973" t="n"/>
      <c r="W157" s="973" t="n"/>
      <c r="X157" s="973" t="n"/>
      <c r="Y157" s="973" t="n"/>
      <c r="Z157" s="973" t="n"/>
      <c r="AA157" s="973" t="n"/>
      <c r="AB157" s="973" t="n"/>
      <c r="AC157" s="973" t="n"/>
      <c r="AD157" s="973" t="n"/>
      <c r="AE157" s="973" t="n"/>
      <c r="AF157" s="973" t="n"/>
      <c r="AG157" s="973" t="n"/>
      <c r="AH157" s="973" t="n"/>
      <c r="AI157" s="973" t="n"/>
      <c r="AJ157" s="973" t="n"/>
      <c r="AK157" s="973" t="n"/>
      <c r="AL157" s="973" t="n"/>
      <c r="AM157" s="973" t="n"/>
      <c r="AN157" s="973" t="n"/>
      <c r="AO157" s="973" t="n"/>
    </row>
    <row r="158">
      <c r="A158" s="973" t="n"/>
      <c r="B158" s="973" t="n"/>
      <c r="C158" s="973" t="n"/>
      <c r="D158" s="973" t="n"/>
      <c r="E158" s="973" t="n"/>
      <c r="F158" s="973" t="n"/>
      <c r="G158" s="973" t="n"/>
      <c r="H158" s="973" t="n"/>
      <c r="I158" s="973" t="n"/>
      <c r="J158" s="973" t="n"/>
      <c r="K158" s="973" t="n"/>
      <c r="L158" s="973" t="n"/>
      <c r="M158" s="973" t="n"/>
      <c r="N158" s="973" t="n"/>
      <c r="O158" s="973" t="n"/>
      <c r="P158" s="973" t="n"/>
      <c r="Q158" s="973" t="n"/>
      <c r="R158" s="973" t="n"/>
      <c r="S158" s="973" t="n"/>
      <c r="T158" s="973" t="n"/>
      <c r="U158" s="973" t="n"/>
      <c r="V158" s="973" t="n"/>
      <c r="W158" s="973" t="n"/>
      <c r="X158" s="973" t="n"/>
      <c r="Y158" s="973" t="n"/>
      <c r="Z158" s="973" t="n"/>
      <c r="AA158" s="973" t="n"/>
      <c r="AB158" s="973" t="n"/>
      <c r="AC158" s="973" t="n"/>
      <c r="AD158" s="973" t="n"/>
      <c r="AE158" s="973" t="n"/>
      <c r="AF158" s="973" t="n"/>
      <c r="AG158" s="973" t="n"/>
      <c r="AH158" s="973" t="n"/>
      <c r="AI158" s="973" t="n"/>
      <c r="AJ158" s="973" t="n"/>
      <c r="AK158" s="973" t="n"/>
      <c r="AL158" s="973" t="n"/>
      <c r="AM158" s="973" t="n"/>
      <c r="AN158" s="973" t="n"/>
      <c r="AO158" s="973" t="n"/>
    </row>
    <row r="159">
      <c r="A159" s="973" t="n"/>
      <c r="B159" s="973" t="n"/>
      <c r="C159" s="973" t="n"/>
      <c r="D159" s="973" t="n"/>
      <c r="E159" s="973" t="n"/>
      <c r="F159" s="973" t="n"/>
      <c r="G159" s="973" t="n"/>
      <c r="H159" s="973" t="n"/>
      <c r="I159" s="973" t="n"/>
      <c r="J159" s="973" t="n"/>
      <c r="K159" s="973" t="n"/>
      <c r="L159" s="973" t="n"/>
      <c r="M159" s="973" t="n"/>
      <c r="N159" s="973" t="n"/>
      <c r="O159" s="973" t="n"/>
      <c r="P159" s="973" t="n"/>
      <c r="Q159" s="973" t="n"/>
      <c r="R159" s="973" t="n"/>
      <c r="S159" s="973" t="n"/>
      <c r="T159" s="973" t="n"/>
      <c r="U159" s="973" t="n"/>
      <c r="V159" s="973" t="n"/>
      <c r="W159" s="973" t="n"/>
      <c r="X159" s="973" t="n"/>
      <c r="Y159" s="973" t="n"/>
      <c r="Z159" s="973" t="n"/>
      <c r="AA159" s="973" t="n"/>
      <c r="AB159" s="973" t="n"/>
      <c r="AC159" s="973" t="n"/>
      <c r="AD159" s="973" t="n"/>
      <c r="AE159" s="973" t="n"/>
      <c r="AF159" s="973" t="n"/>
      <c r="AG159" s="973" t="n"/>
      <c r="AH159" s="973" t="n"/>
      <c r="AI159" s="973" t="n"/>
      <c r="AJ159" s="973" t="n"/>
      <c r="AK159" s="973" t="n"/>
      <c r="AL159" s="973" t="n"/>
      <c r="AM159" s="973" t="n"/>
      <c r="AN159" s="973" t="n"/>
      <c r="AO159" s="973" t="n"/>
    </row>
    <row r="160">
      <c r="A160" s="973" t="n"/>
      <c r="B160" s="973" t="n"/>
      <c r="C160" s="973" t="n"/>
      <c r="D160" s="973" t="n"/>
      <c r="E160" s="973" t="n"/>
      <c r="F160" s="973" t="n"/>
      <c r="G160" s="973" t="n"/>
      <c r="H160" s="973" t="n"/>
      <c r="I160" s="973" t="n"/>
      <c r="J160" s="973" t="n"/>
      <c r="K160" s="973" t="n"/>
      <c r="L160" s="973" t="n"/>
      <c r="M160" s="973" t="n"/>
      <c r="N160" s="973" t="n"/>
      <c r="O160" s="973" t="n"/>
      <c r="P160" s="973" t="n"/>
      <c r="Q160" s="973" t="n"/>
      <c r="R160" s="973" t="n"/>
      <c r="S160" s="973" t="n"/>
      <c r="T160" s="973" t="n"/>
      <c r="U160" s="973" t="n"/>
      <c r="V160" s="973" t="n"/>
      <c r="W160" s="973" t="n"/>
      <c r="X160" s="973" t="n"/>
      <c r="Y160" s="973" t="n"/>
      <c r="Z160" s="973" t="n"/>
      <c r="AA160" s="973" t="n"/>
      <c r="AB160" s="973" t="n"/>
      <c r="AC160" s="973" t="n"/>
      <c r="AD160" s="973" t="n"/>
      <c r="AE160" s="973" t="n"/>
      <c r="AF160" s="973" t="n"/>
      <c r="AG160" s="973" t="n"/>
      <c r="AH160" s="973" t="n"/>
      <c r="AI160" s="973" t="n"/>
      <c r="AJ160" s="973" t="n"/>
      <c r="AK160" s="973" t="n"/>
      <c r="AL160" s="973" t="n"/>
      <c r="AM160" s="973" t="n"/>
      <c r="AN160" s="973" t="n"/>
      <c r="AO160" s="973" t="n"/>
    </row>
    <row r="161">
      <c r="A161" s="973" t="n"/>
      <c r="B161" s="973" t="n"/>
      <c r="C161" s="973" t="n"/>
      <c r="D161" s="973" t="n"/>
      <c r="E161" s="973" t="n"/>
      <c r="F161" s="973" t="n"/>
      <c r="G161" s="973" t="n"/>
      <c r="H161" s="973" t="n"/>
      <c r="I161" s="973" t="n"/>
      <c r="J161" s="973" t="n"/>
      <c r="K161" s="973" t="n"/>
      <c r="L161" s="973" t="n"/>
      <c r="M161" s="973" t="n"/>
      <c r="N161" s="973" t="n"/>
      <c r="O161" s="973" t="n"/>
      <c r="P161" s="973" t="n"/>
      <c r="Q161" s="973" t="n"/>
      <c r="R161" s="973" t="n"/>
      <c r="S161" s="973" t="n"/>
      <c r="T161" s="973" t="n"/>
      <c r="U161" s="973" t="n"/>
      <c r="V161" s="973" t="n"/>
      <c r="W161" s="973" t="n"/>
      <c r="X161" s="973" t="n"/>
      <c r="Y161" s="973" t="n"/>
      <c r="Z161" s="973" t="n"/>
      <c r="AA161" s="973" t="n"/>
      <c r="AB161" s="973" t="n"/>
      <c r="AC161" s="973" t="n"/>
      <c r="AD161" s="973" t="n"/>
      <c r="AE161" s="973" t="n"/>
      <c r="AF161" s="973" t="n"/>
      <c r="AG161" s="973" t="n"/>
      <c r="AH161" s="973" t="n"/>
      <c r="AI161" s="973" t="n"/>
      <c r="AJ161" s="973" t="n"/>
      <c r="AK161" s="973" t="n"/>
      <c r="AL161" s="973" t="n"/>
      <c r="AM161" s="973" t="n"/>
      <c r="AN161" s="973" t="n"/>
      <c r="AO161" s="973" t="n"/>
    </row>
    <row r="162">
      <c r="A162" s="973" t="n"/>
      <c r="B162" s="973" t="n"/>
      <c r="C162" s="973" t="n"/>
      <c r="D162" s="973" t="n"/>
      <c r="E162" s="973" t="n"/>
      <c r="F162" s="973" t="n"/>
      <c r="G162" s="973" t="n"/>
      <c r="H162" s="973" t="n"/>
      <c r="I162" s="973" t="n"/>
      <c r="J162" s="973" t="n"/>
      <c r="K162" s="973" t="n"/>
      <c r="L162" s="973" t="n"/>
      <c r="M162" s="973" t="n"/>
      <c r="N162" s="973" t="n"/>
      <c r="O162" s="973" t="n"/>
      <c r="P162" s="973" t="n"/>
      <c r="Q162" s="973" t="n"/>
      <c r="R162" s="973" t="n"/>
      <c r="S162" s="973" t="n"/>
      <c r="T162" s="973" t="n"/>
      <c r="U162" s="973" t="n"/>
      <c r="V162" s="973" t="n"/>
      <c r="W162" s="973" t="n"/>
      <c r="X162" s="973" t="n"/>
      <c r="Y162" s="973" t="n"/>
      <c r="Z162" s="973" t="n"/>
      <c r="AA162" s="973" t="n"/>
      <c r="AB162" s="973" t="n"/>
      <c r="AC162" s="973" t="n"/>
      <c r="AD162" s="973" t="n"/>
      <c r="AE162" s="973" t="n"/>
      <c r="AF162" s="973" t="n"/>
      <c r="AG162" s="973" t="n"/>
      <c r="AH162" s="973" t="n"/>
      <c r="AI162" s="973" t="n"/>
      <c r="AJ162" s="973" t="n"/>
      <c r="AK162" s="973" t="n"/>
      <c r="AL162" s="973" t="n"/>
      <c r="AM162" s="973" t="n"/>
      <c r="AN162" s="973" t="n"/>
      <c r="AO162" s="973" t="n"/>
    </row>
    <row r="163">
      <c r="A163" s="973" t="n"/>
      <c r="B163" s="973" t="n"/>
      <c r="C163" s="973" t="n"/>
      <c r="D163" s="973" t="n"/>
      <c r="E163" s="973" t="n"/>
      <c r="F163" s="973" t="n"/>
      <c r="G163" s="973" t="n"/>
      <c r="H163" s="973" t="n"/>
      <c r="I163" s="973" t="n"/>
      <c r="J163" s="973" t="n"/>
      <c r="K163" s="973" t="n"/>
      <c r="L163" s="973" t="n"/>
      <c r="M163" s="973" t="n"/>
      <c r="N163" s="973" t="n"/>
      <c r="O163" s="973" t="n"/>
      <c r="P163" s="973" t="n"/>
      <c r="Q163" s="973" t="n"/>
      <c r="R163" s="973" t="n"/>
      <c r="S163" s="973" t="n"/>
      <c r="T163" s="973" t="n"/>
      <c r="U163" s="973" t="n"/>
      <c r="V163" s="973" t="n"/>
      <c r="W163" s="973" t="n"/>
      <c r="X163" s="973" t="n"/>
      <c r="Y163" s="973" t="n"/>
      <c r="Z163" s="973" t="n"/>
      <c r="AA163" s="973" t="n"/>
      <c r="AB163" s="973" t="n"/>
      <c r="AC163" s="973" t="n"/>
      <c r="AD163" s="973" t="n"/>
      <c r="AE163" s="973" t="n"/>
      <c r="AF163" s="973" t="n"/>
      <c r="AG163" s="973" t="n"/>
      <c r="AH163" s="973" t="n"/>
      <c r="AI163" s="973" t="n"/>
      <c r="AJ163" s="973" t="n"/>
      <c r="AK163" s="973" t="n"/>
      <c r="AL163" s="973" t="n"/>
      <c r="AM163" s="973" t="n"/>
      <c r="AN163" s="973" t="n"/>
      <c r="AO163" s="973" t="n"/>
    </row>
    <row r="164">
      <c r="A164" s="973" t="n"/>
      <c r="B164" s="973" t="n"/>
      <c r="C164" s="973" t="n"/>
      <c r="D164" s="973" t="n"/>
      <c r="E164" s="973" t="n"/>
      <c r="F164" s="973" t="n"/>
      <c r="G164" s="973" t="n"/>
      <c r="H164" s="973" t="n"/>
      <c r="I164" s="973" t="n"/>
      <c r="J164" s="973" t="n"/>
      <c r="K164" s="973" t="n"/>
      <c r="L164" s="973" t="n"/>
      <c r="M164" s="973" t="n"/>
      <c r="N164" s="973" t="n"/>
      <c r="O164" s="973" t="n"/>
      <c r="P164" s="973" t="n"/>
      <c r="Q164" s="973" t="n"/>
      <c r="R164" s="973" t="n"/>
      <c r="S164" s="973" t="n"/>
      <c r="T164" s="973" t="n"/>
      <c r="U164" s="973" t="n"/>
      <c r="V164" s="973" t="n"/>
      <c r="W164" s="973" t="n"/>
      <c r="X164" s="973" t="n"/>
      <c r="Y164" s="973" t="n"/>
      <c r="Z164" s="973" t="n"/>
      <c r="AA164" s="973" t="n"/>
      <c r="AB164" s="973" t="n"/>
      <c r="AC164" s="973" t="n"/>
      <c r="AD164" s="973" t="n"/>
      <c r="AE164" s="973" t="n"/>
      <c r="AF164" s="973" t="n"/>
      <c r="AG164" s="973" t="n"/>
      <c r="AH164" s="973" t="n"/>
      <c r="AI164" s="973" t="n"/>
      <c r="AJ164" s="973" t="n"/>
      <c r="AK164" s="973" t="n"/>
      <c r="AL164" s="973" t="n"/>
      <c r="AM164" s="973" t="n"/>
      <c r="AN164" s="973" t="n"/>
      <c r="AO164" s="973" t="n"/>
    </row>
    <row r="165">
      <c r="A165" s="973" t="n"/>
      <c r="B165" s="973" t="n"/>
      <c r="C165" s="973" t="n"/>
      <c r="D165" s="973" t="n"/>
      <c r="E165" s="973" t="n"/>
      <c r="F165" s="973" t="n"/>
      <c r="G165" s="973" t="n"/>
      <c r="H165" s="973" t="n"/>
      <c r="I165" s="973" t="n"/>
      <c r="J165" s="973" t="n"/>
      <c r="K165" s="973" t="n"/>
      <c r="L165" s="973" t="n"/>
      <c r="M165" s="973" t="n"/>
      <c r="N165" s="973" t="n"/>
      <c r="O165" s="973" t="n"/>
      <c r="P165" s="973" t="n"/>
      <c r="Q165" s="973" t="n"/>
      <c r="R165" s="973" t="n"/>
      <c r="S165" s="973" t="n"/>
      <c r="T165" s="973" t="n"/>
      <c r="U165" s="973" t="n"/>
      <c r="V165" s="973" t="n"/>
      <c r="W165" s="973" t="n"/>
      <c r="X165" s="973" t="n"/>
      <c r="Y165" s="973" t="n"/>
      <c r="Z165" s="973" t="n"/>
      <c r="AA165" s="973" t="n"/>
      <c r="AB165" s="973" t="n"/>
      <c r="AC165" s="973" t="n"/>
      <c r="AD165" s="973" t="n"/>
      <c r="AE165" s="973" t="n"/>
      <c r="AF165" s="973" t="n"/>
      <c r="AG165" s="973" t="n"/>
      <c r="AH165" s="973" t="n"/>
      <c r="AI165" s="973" t="n"/>
      <c r="AJ165" s="973" t="n"/>
      <c r="AK165" s="973" t="n"/>
      <c r="AL165" s="973" t="n"/>
      <c r="AM165" s="973" t="n"/>
      <c r="AN165" s="973" t="n"/>
      <c r="AO165" s="973" t="n"/>
    </row>
    <row r="166">
      <c r="A166" s="973" t="n"/>
      <c r="B166" s="973" t="n"/>
      <c r="C166" s="973" t="n"/>
      <c r="D166" s="973" t="n"/>
      <c r="E166" s="973" t="n"/>
      <c r="F166" s="973" t="n"/>
      <c r="G166" s="973" t="n"/>
      <c r="H166" s="973" t="n"/>
      <c r="I166" s="973" t="n"/>
      <c r="J166" s="973" t="n"/>
      <c r="K166" s="973" t="n"/>
      <c r="L166" s="973" t="n"/>
      <c r="M166" s="973" t="n"/>
      <c r="N166" s="973" t="n"/>
      <c r="O166" s="973" t="n"/>
      <c r="P166" s="973" t="n"/>
      <c r="Q166" s="973" t="n"/>
      <c r="R166" s="973" t="n"/>
      <c r="S166" s="973" t="n"/>
      <c r="T166" s="973" t="n"/>
      <c r="U166" s="973" t="n"/>
      <c r="V166" s="973" t="n"/>
      <c r="W166" s="973" t="n"/>
      <c r="X166" s="973" t="n"/>
      <c r="Y166" s="973" t="n"/>
      <c r="Z166" s="973" t="n"/>
      <c r="AA166" s="973" t="n"/>
      <c r="AB166" s="973" t="n"/>
      <c r="AC166" s="973" t="n"/>
      <c r="AD166" s="973" t="n"/>
      <c r="AE166" s="973" t="n"/>
      <c r="AF166" s="973" t="n"/>
      <c r="AG166" s="973" t="n"/>
      <c r="AH166" s="973" t="n"/>
      <c r="AI166" s="973" t="n"/>
      <c r="AJ166" s="973" t="n"/>
      <c r="AK166" s="973" t="n"/>
      <c r="AL166" s="973" t="n"/>
      <c r="AM166" s="973" t="n"/>
      <c r="AN166" s="973" t="n"/>
      <c r="AO166" s="973" t="n"/>
    </row>
    <row r="167">
      <c r="A167" s="973" t="n"/>
      <c r="B167" s="973" t="n"/>
      <c r="C167" s="973" t="n"/>
      <c r="D167" s="973" t="n"/>
      <c r="E167" s="973" t="n"/>
      <c r="F167" s="973" t="n"/>
      <c r="G167" s="973" t="n"/>
      <c r="H167" s="973" t="n"/>
      <c r="I167" s="973" t="n"/>
      <c r="J167" s="973" t="n"/>
      <c r="K167" s="973" t="n"/>
      <c r="L167" s="973" t="n"/>
      <c r="M167" s="973" t="n"/>
      <c r="N167" s="973" t="n"/>
      <c r="O167" s="973" t="n"/>
      <c r="P167" s="973" t="n"/>
      <c r="Q167" s="973" t="n"/>
      <c r="R167" s="973" t="n"/>
      <c r="S167" s="973" t="n"/>
      <c r="T167" s="973" t="n"/>
      <c r="U167" s="973" t="n"/>
      <c r="V167" s="973" t="n"/>
      <c r="W167" s="973" t="n"/>
      <c r="X167" s="973" t="n"/>
      <c r="Y167" s="973" t="n"/>
      <c r="Z167" s="973" t="n"/>
      <c r="AA167" s="973" t="n"/>
      <c r="AB167" s="973" t="n"/>
      <c r="AC167" s="973" t="n"/>
      <c r="AD167" s="973" t="n"/>
      <c r="AE167" s="973" t="n"/>
      <c r="AF167" s="973" t="n"/>
      <c r="AG167" s="973" t="n"/>
      <c r="AH167" s="973" t="n"/>
      <c r="AI167" s="973" t="n"/>
      <c r="AJ167" s="973" t="n"/>
      <c r="AK167" s="973" t="n"/>
      <c r="AL167" s="973" t="n"/>
      <c r="AM167" s="973" t="n"/>
      <c r="AN167" s="973" t="n"/>
      <c r="AO167" s="973" t="n"/>
    </row>
    <row r="168">
      <c r="A168" s="973" t="n"/>
      <c r="B168" s="973" t="n"/>
      <c r="C168" s="973" t="n"/>
      <c r="D168" s="973" t="n"/>
      <c r="E168" s="973" t="n"/>
      <c r="F168" s="973" t="n"/>
      <c r="G168" s="973" t="n"/>
      <c r="H168" s="973" t="n"/>
      <c r="I168" s="973" t="n"/>
      <c r="J168" s="973" t="n"/>
      <c r="K168" s="973" t="n"/>
      <c r="L168" s="973" t="n"/>
      <c r="M168" s="973" t="n"/>
      <c r="N168" s="973" t="n"/>
      <c r="O168" s="973" t="n"/>
      <c r="P168" s="973" t="n"/>
      <c r="Q168" s="973" t="n"/>
      <c r="R168" s="973" t="n"/>
      <c r="S168" s="973" t="n"/>
      <c r="T168" s="973" t="n"/>
      <c r="U168" s="973" t="n"/>
      <c r="V168" s="973" t="n"/>
      <c r="W168" s="973" t="n"/>
      <c r="X168" s="973" t="n"/>
      <c r="Y168" s="973" t="n"/>
      <c r="Z168" s="973" t="n"/>
      <c r="AA168" s="973" t="n"/>
      <c r="AB168" s="973" t="n"/>
      <c r="AC168" s="973" t="n"/>
      <c r="AD168" s="973" t="n"/>
      <c r="AE168" s="973" t="n"/>
      <c r="AF168" s="973" t="n"/>
      <c r="AG168" s="973" t="n"/>
      <c r="AH168" s="973" t="n"/>
      <c r="AI168" s="973" t="n"/>
      <c r="AJ168" s="973" t="n"/>
      <c r="AK168" s="973" t="n"/>
      <c r="AL168" s="973" t="n"/>
      <c r="AM168" s="973" t="n"/>
      <c r="AN168" s="973" t="n"/>
      <c r="AO168" s="973" t="n"/>
    </row>
    <row r="169">
      <c r="A169" s="973" t="n"/>
      <c r="B169" s="973" t="n"/>
      <c r="C169" s="973" t="n"/>
      <c r="D169" s="973" t="n"/>
      <c r="E169" s="973" t="n"/>
      <c r="F169" s="973" t="n"/>
      <c r="G169" s="973" t="n"/>
      <c r="H169" s="973" t="n"/>
      <c r="I169" s="973" t="n"/>
      <c r="J169" s="973" t="n"/>
      <c r="K169" s="973" t="n"/>
      <c r="L169" s="973" t="n"/>
      <c r="M169" s="973" t="n"/>
      <c r="N169" s="973" t="n"/>
      <c r="O169" s="973" t="n"/>
      <c r="P169" s="973" t="n"/>
      <c r="Q169" s="973" t="n"/>
      <c r="R169" s="973" t="n"/>
      <c r="S169" s="973" t="n"/>
      <c r="T169" s="973" t="n"/>
      <c r="U169" s="973" t="n"/>
      <c r="V169" s="973" t="n"/>
      <c r="W169" s="973" t="n"/>
      <c r="X169" s="973" t="n"/>
      <c r="Y169" s="973" t="n"/>
      <c r="Z169" s="973" t="n"/>
      <c r="AA169" s="973" t="n"/>
      <c r="AB169" s="973" t="n"/>
      <c r="AC169" s="973" t="n"/>
      <c r="AD169" s="973" t="n"/>
      <c r="AE169" s="973" t="n"/>
      <c r="AF169" s="973" t="n"/>
      <c r="AG169" s="973" t="n"/>
      <c r="AH169" s="973" t="n"/>
      <c r="AI169" s="973" t="n"/>
      <c r="AJ169" s="973" t="n"/>
      <c r="AK169" s="973" t="n"/>
      <c r="AL169" s="973" t="n"/>
      <c r="AM169" s="973" t="n"/>
      <c r="AN169" s="973" t="n"/>
      <c r="AO169" s="973" t="n"/>
    </row>
    <row r="170">
      <c r="A170" s="973" t="n"/>
      <c r="B170" s="973" t="n"/>
      <c r="C170" s="973" t="n"/>
      <c r="D170" s="973" t="n"/>
      <c r="E170" s="973" t="n"/>
      <c r="F170" s="973" t="n"/>
      <c r="G170" s="973" t="n"/>
      <c r="H170" s="973" t="n"/>
      <c r="I170" s="973" t="n"/>
      <c r="J170" s="973" t="n"/>
      <c r="K170" s="973" t="n"/>
      <c r="L170" s="973" t="n"/>
      <c r="M170" s="973" t="n"/>
      <c r="N170" s="973" t="n"/>
      <c r="O170" s="973" t="n"/>
      <c r="P170" s="973" t="n"/>
      <c r="Q170" s="973" t="n"/>
      <c r="R170" s="973" t="n"/>
      <c r="S170" s="973" t="n"/>
      <c r="T170" s="973" t="n"/>
      <c r="U170" s="973" t="n"/>
      <c r="V170" s="973" t="n"/>
      <c r="W170" s="973" t="n"/>
      <c r="X170" s="973" t="n"/>
      <c r="Y170" s="973" t="n"/>
      <c r="Z170" s="973" t="n"/>
      <c r="AA170" s="973" t="n"/>
      <c r="AB170" s="973" t="n"/>
      <c r="AC170" s="973" t="n"/>
      <c r="AD170" s="973" t="n"/>
      <c r="AE170" s="973" t="n"/>
      <c r="AF170" s="973" t="n"/>
      <c r="AG170" s="973" t="n"/>
      <c r="AH170" s="973" t="n"/>
      <c r="AI170" s="973" t="n"/>
      <c r="AJ170" s="973" t="n"/>
      <c r="AK170" s="973" t="n"/>
      <c r="AL170" s="973" t="n"/>
      <c r="AM170" s="973" t="n"/>
      <c r="AN170" s="973" t="n"/>
      <c r="AO170" s="973" t="n"/>
    </row>
    <row r="171">
      <c r="A171" s="973" t="n"/>
      <c r="B171" s="973" t="n"/>
      <c r="C171" s="973" t="n"/>
      <c r="D171" s="973" t="n"/>
      <c r="E171" s="973" t="n"/>
      <c r="F171" s="973" t="n"/>
      <c r="G171" s="973" t="n"/>
      <c r="H171" s="973" t="n"/>
      <c r="I171" s="973" t="n"/>
      <c r="J171" s="973" t="n"/>
      <c r="K171" s="973" t="n"/>
      <c r="L171" s="973" t="n"/>
      <c r="M171" s="973" t="n"/>
      <c r="N171" s="973" t="n"/>
      <c r="O171" s="973" t="n"/>
      <c r="P171" s="973" t="n"/>
      <c r="Q171" s="973" t="n"/>
      <c r="R171" s="973" t="n"/>
      <c r="S171" s="973" t="n"/>
      <c r="T171" s="973" t="n"/>
      <c r="U171" s="973" t="n"/>
      <c r="V171" s="973" t="n"/>
      <c r="W171" s="973" t="n"/>
      <c r="X171" s="973" t="n"/>
      <c r="Y171" s="973" t="n"/>
      <c r="Z171" s="973" t="n"/>
      <c r="AA171" s="973" t="n"/>
      <c r="AB171" s="973" t="n"/>
      <c r="AC171" s="973" t="n"/>
      <c r="AD171" s="973" t="n"/>
      <c r="AE171" s="973" t="n"/>
      <c r="AF171" s="973" t="n"/>
      <c r="AG171" s="973" t="n"/>
      <c r="AH171" s="973" t="n"/>
      <c r="AI171" s="973" t="n"/>
      <c r="AJ171" s="973" t="n"/>
      <c r="AK171" s="973" t="n"/>
      <c r="AL171" s="973" t="n"/>
      <c r="AM171" s="973" t="n"/>
      <c r="AN171" s="973" t="n"/>
      <c r="AO171" s="973" t="n"/>
    </row>
    <row r="172">
      <c r="A172" s="973" t="n"/>
      <c r="B172" s="973" t="n"/>
      <c r="C172" s="973" t="n"/>
      <c r="D172" s="973" t="n"/>
      <c r="E172" s="973" t="n"/>
      <c r="F172" s="973" t="n"/>
      <c r="G172" s="973" t="n"/>
      <c r="H172" s="973" t="n"/>
      <c r="I172" s="973" t="n"/>
      <c r="J172" s="973" t="n"/>
      <c r="K172" s="973" t="n"/>
      <c r="L172" s="973" t="n"/>
      <c r="M172" s="973" t="n"/>
      <c r="N172" s="973" t="n"/>
      <c r="O172" s="973" t="n"/>
      <c r="P172" s="973" t="n"/>
      <c r="Q172" s="973" t="n"/>
      <c r="R172" s="973" t="n"/>
      <c r="S172" s="973" t="n"/>
      <c r="T172" s="973" t="n"/>
      <c r="U172" s="973" t="n"/>
      <c r="V172" s="973" t="n"/>
      <c r="W172" s="973" t="n"/>
      <c r="X172" s="973" t="n"/>
      <c r="Y172" s="973" t="n"/>
      <c r="Z172" s="973" t="n"/>
      <c r="AA172" s="973" t="n"/>
      <c r="AB172" s="973" t="n"/>
      <c r="AC172" s="973" t="n"/>
      <c r="AD172" s="973" t="n"/>
      <c r="AE172" s="973" t="n"/>
      <c r="AF172" s="973" t="n"/>
      <c r="AG172" s="973" t="n"/>
      <c r="AH172" s="973" t="n"/>
      <c r="AI172" s="973" t="n"/>
      <c r="AJ172" s="973" t="n"/>
      <c r="AK172" s="973" t="n"/>
      <c r="AL172" s="973" t="n"/>
      <c r="AM172" s="973" t="n"/>
      <c r="AN172" s="973" t="n"/>
      <c r="AO172" s="973" t="n"/>
    </row>
    <row r="173">
      <c r="A173" s="973" t="n"/>
      <c r="B173" s="973" t="n"/>
      <c r="C173" s="973" t="n"/>
      <c r="D173" s="973" t="n"/>
      <c r="E173" s="973" t="n"/>
      <c r="F173" s="973" t="n"/>
      <c r="G173" s="973" t="n"/>
      <c r="H173" s="973" t="n"/>
      <c r="I173" s="973" t="n"/>
      <c r="J173" s="973" t="n"/>
      <c r="K173" s="973" t="n"/>
      <c r="L173" s="973" t="n"/>
      <c r="M173" s="973" t="n"/>
      <c r="N173" s="973" t="n"/>
      <c r="O173" s="973" t="n"/>
      <c r="P173" s="973" t="n"/>
      <c r="Q173" s="973" t="n"/>
      <c r="R173" s="973" t="n"/>
      <c r="S173" s="973" t="n"/>
      <c r="T173" s="973" t="n"/>
      <c r="U173" s="973" t="n"/>
      <c r="V173" s="973" t="n"/>
      <c r="W173" s="973" t="n"/>
      <c r="X173" s="973" t="n"/>
      <c r="Y173" s="973" t="n"/>
      <c r="Z173" s="973" t="n"/>
      <c r="AA173" s="973" t="n"/>
      <c r="AB173" s="973" t="n"/>
      <c r="AC173" s="973" t="n"/>
      <c r="AD173" s="973" t="n"/>
      <c r="AE173" s="973" t="n"/>
      <c r="AF173" s="973" t="n"/>
      <c r="AG173" s="973" t="n"/>
      <c r="AH173" s="973" t="n"/>
      <c r="AI173" s="973" t="n"/>
      <c r="AJ173" s="973" t="n"/>
      <c r="AK173" s="973" t="n"/>
      <c r="AL173" s="973" t="n"/>
      <c r="AM173" s="973" t="n"/>
      <c r="AN173" s="973" t="n"/>
      <c r="AO173" s="973" t="n"/>
    </row>
    <row r="174">
      <c r="A174" s="973" t="n"/>
      <c r="B174" s="973" t="n"/>
      <c r="C174" s="973" t="n"/>
      <c r="D174" s="973" t="n"/>
      <c r="E174" s="973" t="n"/>
      <c r="F174" s="973" t="n"/>
      <c r="G174" s="973" t="n"/>
      <c r="H174" s="973" t="n"/>
      <c r="I174" s="973" t="n"/>
      <c r="J174" s="973" t="n"/>
      <c r="K174" s="973" t="n"/>
      <c r="L174" s="973" t="n"/>
      <c r="M174" s="973" t="n"/>
      <c r="N174" s="973" t="n"/>
      <c r="O174" s="973" t="n"/>
      <c r="P174" s="973" t="n"/>
      <c r="Q174" s="973" t="n"/>
      <c r="R174" s="973" t="n"/>
      <c r="S174" s="973" t="n"/>
      <c r="T174" s="973" t="n"/>
      <c r="U174" s="973" t="n"/>
      <c r="V174" s="973" t="n"/>
      <c r="W174" s="973" t="n"/>
      <c r="X174" s="973" t="n"/>
      <c r="Y174" s="973" t="n"/>
      <c r="Z174" s="973" t="n"/>
      <c r="AA174" s="973" t="n"/>
      <c r="AB174" s="973" t="n"/>
      <c r="AC174" s="973" t="n"/>
      <c r="AD174" s="973" t="n"/>
      <c r="AE174" s="973" t="n"/>
      <c r="AF174" s="973" t="n"/>
      <c r="AG174" s="973" t="n"/>
      <c r="AH174" s="973" t="n"/>
      <c r="AI174" s="973" t="n"/>
      <c r="AJ174" s="973" t="n"/>
      <c r="AK174" s="973" t="n"/>
      <c r="AL174" s="973" t="n"/>
      <c r="AM174" s="973" t="n"/>
      <c r="AN174" s="973" t="n"/>
      <c r="AO174" s="973" t="n"/>
    </row>
    <row r="175">
      <c r="A175" s="973" t="n"/>
      <c r="B175" s="973" t="n"/>
      <c r="C175" s="973" t="n"/>
      <c r="D175" s="973" t="n"/>
      <c r="E175" s="973" t="n"/>
      <c r="F175" s="973" t="n"/>
      <c r="G175" s="973" t="n"/>
      <c r="H175" s="973" t="n"/>
      <c r="I175" s="973" t="n"/>
      <c r="J175" s="973" t="n"/>
      <c r="K175" s="973" t="n"/>
      <c r="L175" s="973" t="n"/>
      <c r="M175" s="973" t="n"/>
      <c r="N175" s="973" t="n"/>
      <c r="O175" s="973" t="n"/>
      <c r="P175" s="973" t="n"/>
      <c r="Q175" s="973" t="n"/>
      <c r="R175" s="973" t="n"/>
      <c r="S175" s="973" t="n"/>
      <c r="T175" s="973" t="n"/>
      <c r="U175" s="973" t="n"/>
      <c r="V175" s="973" t="n"/>
      <c r="W175" s="973" t="n"/>
      <c r="X175" s="973" t="n"/>
      <c r="Y175" s="973" t="n"/>
      <c r="Z175" s="973" t="n"/>
      <c r="AA175" s="973" t="n"/>
      <c r="AB175" s="973" t="n"/>
      <c r="AC175" s="973" t="n"/>
      <c r="AD175" s="973" t="n"/>
      <c r="AE175" s="973" t="n"/>
      <c r="AF175" s="973" t="n"/>
      <c r="AG175" s="973" t="n"/>
      <c r="AH175" s="973" t="n"/>
      <c r="AI175" s="973" t="n"/>
      <c r="AJ175" s="973" t="n"/>
      <c r="AK175" s="973" t="n"/>
      <c r="AL175" s="973" t="n"/>
      <c r="AM175" s="973" t="n"/>
      <c r="AN175" s="973" t="n"/>
      <c r="AO175" s="973" t="n"/>
    </row>
    <row r="176">
      <c r="A176" s="973" t="n"/>
      <c r="B176" s="973" t="n"/>
      <c r="C176" s="973" t="n"/>
      <c r="D176" s="973" t="n"/>
      <c r="E176" s="973" t="n"/>
      <c r="F176" s="973" t="n"/>
      <c r="G176" s="973" t="n"/>
      <c r="H176" s="973" t="n"/>
      <c r="I176" s="973" t="n"/>
      <c r="J176" s="973" t="n"/>
      <c r="K176" s="973" t="n"/>
      <c r="L176" s="973" t="n"/>
      <c r="M176" s="973" t="n"/>
      <c r="N176" s="973" t="n"/>
      <c r="O176" s="973" t="n"/>
      <c r="P176" s="973" t="n"/>
      <c r="Q176" s="973" t="n"/>
      <c r="R176" s="973" t="n"/>
      <c r="S176" s="973" t="n"/>
      <c r="T176" s="973" t="n"/>
      <c r="U176" s="973" t="n"/>
      <c r="V176" s="973" t="n"/>
      <c r="W176" s="973" t="n"/>
      <c r="X176" s="973" t="n"/>
      <c r="Y176" s="973" t="n"/>
      <c r="Z176" s="973" t="n"/>
      <c r="AA176" s="973" t="n"/>
      <c r="AB176" s="973" t="n"/>
      <c r="AC176" s="973" t="n"/>
      <c r="AD176" s="973" t="n"/>
      <c r="AE176" s="973" t="n"/>
      <c r="AF176" s="973" t="n"/>
      <c r="AG176" s="973" t="n"/>
      <c r="AH176" s="973" t="n"/>
      <c r="AI176" s="973" t="n"/>
      <c r="AJ176" s="973" t="n"/>
      <c r="AK176" s="973" t="n"/>
      <c r="AL176" s="973" t="n"/>
      <c r="AM176" s="973" t="n"/>
      <c r="AN176" s="973" t="n"/>
      <c r="AO176" s="973" t="n"/>
    </row>
    <row r="177">
      <c r="A177" s="973" t="n"/>
      <c r="B177" s="973" t="n"/>
      <c r="C177" s="973" t="n"/>
      <c r="D177" s="973" t="n"/>
      <c r="E177" s="973" t="n"/>
      <c r="F177" s="973" t="n"/>
      <c r="G177" s="973" t="n"/>
      <c r="H177" s="973" t="n"/>
      <c r="I177" s="973" t="n"/>
      <c r="J177" s="973" t="n"/>
      <c r="K177" s="973" t="n"/>
      <c r="L177" s="973" t="n"/>
      <c r="M177" s="973" t="n"/>
      <c r="N177" s="973" t="n"/>
      <c r="O177" s="973" t="n"/>
      <c r="P177" s="973" t="n"/>
      <c r="Q177" s="973" t="n"/>
      <c r="R177" s="973" t="n"/>
      <c r="S177" s="973" t="n"/>
      <c r="T177" s="973" t="n"/>
      <c r="U177" s="973" t="n"/>
      <c r="V177" s="973" t="n"/>
      <c r="W177" s="973" t="n"/>
      <c r="X177" s="973" t="n"/>
      <c r="Y177" s="973" t="n"/>
      <c r="Z177" s="973" t="n"/>
      <c r="AA177" s="973" t="n"/>
      <c r="AB177" s="973" t="n"/>
      <c r="AC177" s="973" t="n"/>
      <c r="AD177" s="973" t="n"/>
      <c r="AE177" s="973" t="n"/>
      <c r="AF177" s="973" t="n"/>
      <c r="AG177" s="973" t="n"/>
      <c r="AH177" s="973" t="n"/>
      <c r="AI177" s="973" t="n"/>
      <c r="AJ177" s="973" t="n"/>
      <c r="AK177" s="973" t="n"/>
      <c r="AL177" s="973" t="n"/>
      <c r="AM177" s="973" t="n"/>
      <c r="AN177" s="973" t="n"/>
      <c r="AO177" s="973" t="n"/>
    </row>
    <row r="178">
      <c r="A178" s="973" t="n"/>
      <c r="B178" s="973" t="n"/>
      <c r="C178" s="973" t="n"/>
      <c r="D178" s="973" t="n"/>
      <c r="E178" s="973" t="n"/>
      <c r="F178" s="973" t="n"/>
      <c r="G178" s="973" t="n"/>
      <c r="H178" s="973" t="n"/>
      <c r="I178" s="973" t="n"/>
      <c r="J178" s="973" t="n"/>
      <c r="K178" s="973" t="n"/>
      <c r="L178" s="973" t="n"/>
      <c r="M178" s="973" t="n"/>
      <c r="N178" s="973" t="n"/>
      <c r="O178" s="973" t="n"/>
      <c r="P178" s="973" t="n"/>
      <c r="Q178" s="973" t="n"/>
      <c r="R178" s="973" t="n"/>
      <c r="S178" s="973" t="n"/>
      <c r="T178" s="973" t="n"/>
      <c r="U178" s="973" t="n"/>
      <c r="V178" s="973" t="n"/>
      <c r="W178" s="973" t="n"/>
      <c r="X178" s="973" t="n"/>
      <c r="Y178" s="973" t="n"/>
      <c r="Z178" s="973" t="n"/>
      <c r="AA178" s="973" t="n"/>
      <c r="AB178" s="973" t="n"/>
      <c r="AC178" s="973" t="n"/>
      <c r="AD178" s="973" t="n"/>
      <c r="AE178" s="973" t="n"/>
      <c r="AF178" s="973" t="n"/>
      <c r="AG178" s="973" t="n"/>
      <c r="AH178" s="973" t="n"/>
      <c r="AI178" s="973" t="n"/>
      <c r="AJ178" s="973" t="n"/>
      <c r="AK178" s="973" t="n"/>
      <c r="AL178" s="973" t="n"/>
      <c r="AM178" s="973" t="n"/>
      <c r="AN178" s="973" t="n"/>
      <c r="AO178" s="973" t="n"/>
    </row>
    <row r="179">
      <c r="A179" s="973" t="n"/>
      <c r="B179" s="973" t="n"/>
      <c r="C179" s="973" t="n"/>
      <c r="D179" s="973" t="n"/>
      <c r="E179" s="973" t="n"/>
      <c r="F179" s="973" t="n"/>
      <c r="G179" s="973" t="n"/>
      <c r="H179" s="973" t="n"/>
      <c r="I179" s="973" t="n"/>
      <c r="J179" s="973" t="n"/>
      <c r="K179" s="973" t="n"/>
      <c r="L179" s="973" t="n"/>
      <c r="M179" s="973" t="n"/>
      <c r="N179" s="973" t="n"/>
      <c r="O179" s="973" t="n"/>
      <c r="P179" s="973" t="n"/>
      <c r="Q179" s="973" t="n"/>
      <c r="R179" s="973" t="n"/>
      <c r="S179" s="973" t="n"/>
      <c r="T179" s="973" t="n"/>
      <c r="U179" s="973" t="n"/>
      <c r="V179" s="973" t="n"/>
      <c r="W179" s="973" t="n"/>
      <c r="X179" s="973" t="n"/>
      <c r="Y179" s="973" t="n"/>
      <c r="Z179" s="973" t="n"/>
      <c r="AA179" s="973" t="n"/>
      <c r="AB179" s="973" t="n"/>
      <c r="AC179" s="973" t="n"/>
      <c r="AD179" s="973" t="n"/>
      <c r="AE179" s="973" t="n"/>
      <c r="AF179" s="973" t="n"/>
      <c r="AG179" s="973" t="n"/>
      <c r="AH179" s="973" t="n"/>
      <c r="AI179" s="973" t="n"/>
      <c r="AJ179" s="973" t="n"/>
      <c r="AK179" s="973" t="n"/>
      <c r="AL179" s="973" t="n"/>
      <c r="AM179" s="973" t="n"/>
      <c r="AN179" s="973" t="n"/>
      <c r="AO179" s="973" t="n"/>
    </row>
    <row r="180">
      <c r="A180" s="973" t="n"/>
      <c r="B180" s="973" t="n"/>
      <c r="C180" s="973" t="n"/>
      <c r="D180" s="973" t="n"/>
      <c r="E180" s="973" t="n"/>
      <c r="F180" s="973" t="n"/>
      <c r="G180" s="973" t="n"/>
      <c r="H180" s="973" t="n"/>
      <c r="I180" s="973" t="n"/>
      <c r="J180" s="973" t="n"/>
      <c r="K180" s="973" t="n"/>
      <c r="L180" s="973" t="n"/>
      <c r="M180" s="973" t="n"/>
      <c r="N180" s="973" t="n"/>
      <c r="O180" s="973" t="n"/>
      <c r="P180" s="973" t="n"/>
      <c r="Q180" s="973" t="n"/>
      <c r="R180" s="973" t="n"/>
      <c r="S180" s="973" t="n"/>
      <c r="T180" s="973" t="n"/>
      <c r="U180" s="973" t="n"/>
      <c r="V180" s="973" t="n"/>
      <c r="W180" s="973" t="n"/>
      <c r="X180" s="973" t="n"/>
      <c r="Y180" s="973" t="n"/>
      <c r="Z180" s="973" t="n"/>
      <c r="AA180" s="973" t="n"/>
      <c r="AB180" s="973" t="n"/>
      <c r="AC180" s="973" t="n"/>
      <c r="AD180" s="973" t="n"/>
      <c r="AE180" s="973" t="n"/>
      <c r="AF180" s="973" t="n"/>
      <c r="AG180" s="973" t="n"/>
      <c r="AH180" s="973" t="n"/>
      <c r="AI180" s="973" t="n"/>
      <c r="AJ180" s="973" t="n"/>
      <c r="AK180" s="973" t="n"/>
      <c r="AL180" s="973" t="n"/>
      <c r="AM180" s="973" t="n"/>
      <c r="AN180" s="973" t="n"/>
      <c r="AO180" s="973" t="n"/>
    </row>
    <row r="181">
      <c r="A181" s="973" t="n"/>
      <c r="B181" s="973" t="n"/>
      <c r="C181" s="973" t="n"/>
      <c r="D181" s="973" t="n"/>
      <c r="E181" s="973" t="n"/>
      <c r="F181" s="973" t="n"/>
      <c r="G181" s="973" t="n"/>
      <c r="H181" s="973" t="n"/>
      <c r="I181" s="973" t="n"/>
      <c r="J181" s="973" t="n"/>
      <c r="K181" s="973" t="n"/>
      <c r="L181" s="973" t="n"/>
      <c r="M181" s="973" t="n"/>
      <c r="N181" s="973" t="n"/>
      <c r="O181" s="973" t="n"/>
      <c r="P181" s="973" t="n"/>
      <c r="Q181" s="973" t="n"/>
      <c r="R181" s="973" t="n"/>
      <c r="S181" s="973" t="n"/>
      <c r="T181" s="973" t="n"/>
      <c r="U181" s="973" t="n"/>
      <c r="V181" s="973" t="n"/>
      <c r="W181" s="973" t="n"/>
      <c r="X181" s="973" t="n"/>
      <c r="Y181" s="973" t="n"/>
      <c r="Z181" s="973" t="n"/>
      <c r="AA181" s="973" t="n"/>
      <c r="AB181" s="973" t="n"/>
      <c r="AC181" s="973" t="n"/>
      <c r="AD181" s="973" t="n"/>
      <c r="AE181" s="973" t="n"/>
      <c r="AF181" s="973" t="n"/>
      <c r="AG181" s="973" t="n"/>
      <c r="AH181" s="973" t="n"/>
      <c r="AI181" s="973" t="n"/>
      <c r="AJ181" s="973" t="n"/>
      <c r="AK181" s="973" t="n"/>
      <c r="AL181" s="973" t="n"/>
      <c r="AM181" s="973" t="n"/>
      <c r="AN181" s="973" t="n"/>
      <c r="AO181" s="973" t="n"/>
    </row>
    <row r="182">
      <c r="A182" s="973" t="n"/>
      <c r="B182" s="973" t="n"/>
      <c r="C182" s="973" t="n"/>
      <c r="D182" s="973" t="n"/>
      <c r="E182" s="973" t="n"/>
      <c r="F182" s="973" t="n"/>
      <c r="G182" s="973" t="n"/>
      <c r="H182" s="973" t="n"/>
      <c r="I182" s="973" t="n"/>
      <c r="J182" s="973" t="n"/>
      <c r="K182" s="973" t="n"/>
      <c r="L182" s="973" t="n"/>
      <c r="M182" s="973" t="n"/>
      <c r="N182" s="973" t="n"/>
      <c r="O182" s="973" t="n"/>
      <c r="P182" s="973" t="n"/>
      <c r="Q182" s="973" t="n"/>
      <c r="R182" s="973" t="n"/>
      <c r="S182" s="973" t="n"/>
      <c r="T182" s="973" t="n"/>
      <c r="U182" s="973" t="n"/>
      <c r="V182" s="973" t="n"/>
      <c r="W182" s="973" t="n"/>
      <c r="X182" s="973" t="n"/>
      <c r="Y182" s="973" t="n"/>
      <c r="Z182" s="973" t="n"/>
      <c r="AA182" s="973" t="n"/>
      <c r="AB182" s="973" t="n"/>
      <c r="AC182" s="973" t="n"/>
      <c r="AD182" s="973" t="n"/>
      <c r="AE182" s="973" t="n"/>
      <c r="AF182" s="973" t="n"/>
      <c r="AG182" s="973" t="n"/>
      <c r="AH182" s="973" t="n"/>
      <c r="AI182" s="973" t="n"/>
      <c r="AJ182" s="973" t="n"/>
      <c r="AK182" s="973" t="n"/>
      <c r="AL182" s="973" t="n"/>
      <c r="AM182" s="973" t="n"/>
      <c r="AN182" s="973" t="n"/>
      <c r="AO182" s="973" t="n"/>
    </row>
    <row r="183">
      <c r="A183" s="973" t="n"/>
      <c r="B183" s="973" t="n"/>
      <c r="C183" s="973" t="n"/>
      <c r="D183" s="973" t="n"/>
      <c r="E183" s="973" t="n"/>
      <c r="F183" s="973" t="n"/>
      <c r="G183" s="973" t="n"/>
      <c r="H183" s="973" t="n"/>
      <c r="I183" s="973" t="n"/>
      <c r="J183" s="973" t="n"/>
      <c r="K183" s="973" t="n"/>
      <c r="L183" s="973" t="n"/>
      <c r="M183" s="973" t="n"/>
      <c r="N183" s="973" t="n"/>
      <c r="O183" s="973" t="n"/>
      <c r="P183" s="973" t="n"/>
      <c r="Q183" s="973" t="n"/>
      <c r="R183" s="973" t="n"/>
      <c r="S183" s="973" t="n"/>
      <c r="T183" s="973" t="n"/>
      <c r="U183" s="973" t="n"/>
      <c r="V183" s="973" t="n"/>
      <c r="W183" s="973" t="n"/>
      <c r="X183" s="973" t="n"/>
      <c r="Y183" s="973" t="n"/>
      <c r="Z183" s="973" t="n"/>
      <c r="AA183" s="973" t="n"/>
      <c r="AB183" s="973" t="n"/>
      <c r="AC183" s="973" t="n"/>
      <c r="AD183" s="973" t="n"/>
      <c r="AE183" s="973" t="n"/>
      <c r="AF183" s="973" t="n"/>
      <c r="AG183" s="973" t="n"/>
      <c r="AH183" s="973" t="n"/>
      <c r="AI183" s="973" t="n"/>
      <c r="AJ183" s="973" t="n"/>
      <c r="AK183" s="973" t="n"/>
      <c r="AL183" s="973" t="n"/>
      <c r="AM183" s="973" t="n"/>
      <c r="AN183" s="973" t="n"/>
      <c r="AO183" s="973" t="n"/>
    </row>
    <row r="184">
      <c r="A184" s="973" t="n"/>
      <c r="B184" s="973" t="n"/>
      <c r="C184" s="973" t="n"/>
      <c r="D184" s="973" t="n"/>
      <c r="E184" s="973" t="n"/>
      <c r="F184" s="973" t="n"/>
      <c r="G184" s="973" t="n"/>
      <c r="H184" s="973" t="n"/>
      <c r="I184" s="973" t="n"/>
      <c r="J184" s="973" t="n"/>
      <c r="K184" s="973" t="n"/>
      <c r="L184" s="973" t="n"/>
      <c r="M184" s="973" t="n"/>
      <c r="N184" s="973" t="n"/>
      <c r="O184" s="973" t="n"/>
      <c r="P184" s="973" t="n"/>
      <c r="Q184" s="973" t="n"/>
      <c r="R184" s="973" t="n"/>
      <c r="S184" s="973" t="n"/>
      <c r="T184" s="973" t="n"/>
      <c r="U184" s="973" t="n"/>
      <c r="V184" s="973" t="n"/>
      <c r="W184" s="973" t="n"/>
      <c r="X184" s="973" t="n"/>
      <c r="Y184" s="973" t="n"/>
      <c r="Z184" s="973" t="n"/>
      <c r="AA184" s="973" t="n"/>
      <c r="AB184" s="973" t="n"/>
      <c r="AC184" s="973" t="n"/>
      <c r="AD184" s="973" t="n"/>
      <c r="AE184" s="973" t="n"/>
      <c r="AF184" s="973" t="n"/>
      <c r="AG184" s="973" t="n"/>
      <c r="AH184" s="973" t="n"/>
      <c r="AI184" s="973" t="n"/>
      <c r="AJ184" s="973" t="n"/>
      <c r="AK184" s="973" t="n"/>
      <c r="AL184" s="973" t="n"/>
      <c r="AM184" s="973" t="n"/>
      <c r="AN184" s="973" t="n"/>
      <c r="AO184" s="973" t="n"/>
    </row>
    <row r="185">
      <c r="A185" s="973" t="n"/>
      <c r="B185" s="973" t="n"/>
      <c r="C185" s="973" t="n"/>
      <c r="D185" s="973" t="n"/>
      <c r="E185" s="973" t="n"/>
      <c r="F185" s="973" t="n"/>
      <c r="G185" s="973" t="n"/>
      <c r="H185" s="973" t="n"/>
      <c r="I185" s="973" t="n"/>
      <c r="J185" s="973" t="n"/>
      <c r="K185" s="973" t="n"/>
      <c r="L185" s="973" t="n"/>
      <c r="M185" s="973" t="n"/>
      <c r="N185" s="973" t="n"/>
      <c r="O185" s="973" t="n"/>
      <c r="P185" s="973" t="n"/>
      <c r="Q185" s="973" t="n"/>
      <c r="R185" s="973" t="n"/>
      <c r="S185" s="973" t="n"/>
      <c r="T185" s="973" t="n"/>
      <c r="U185" s="973" t="n"/>
      <c r="V185" s="973" t="n"/>
      <c r="W185" s="973" t="n"/>
      <c r="X185" s="973" t="n"/>
      <c r="Y185" s="973" t="n"/>
      <c r="Z185" s="973" t="n"/>
      <c r="AA185" s="973" t="n"/>
      <c r="AB185" s="973" t="n"/>
      <c r="AC185" s="973" t="n"/>
      <c r="AD185" s="973" t="n"/>
      <c r="AE185" s="973" t="n"/>
      <c r="AF185" s="973" t="n"/>
      <c r="AG185" s="973" t="n"/>
      <c r="AH185" s="973" t="n"/>
      <c r="AI185" s="973" t="n"/>
      <c r="AJ185" s="973" t="n"/>
      <c r="AK185" s="973" t="n"/>
      <c r="AL185" s="973" t="n"/>
      <c r="AM185" s="973" t="n"/>
      <c r="AN185" s="973" t="n"/>
      <c r="AO185" s="973" t="n"/>
    </row>
    <row r="186">
      <c r="A186" s="973" t="n"/>
      <c r="B186" s="973" t="n"/>
      <c r="C186" s="973" t="n"/>
      <c r="D186" s="973" t="n"/>
      <c r="E186" s="973" t="n"/>
      <c r="F186" s="973" t="n"/>
      <c r="G186" s="973" t="n"/>
      <c r="H186" s="973" t="n"/>
      <c r="I186" s="973" t="n"/>
      <c r="J186" s="973" t="n"/>
      <c r="K186" s="973" t="n"/>
      <c r="L186" s="973" t="n"/>
      <c r="M186" s="973" t="n"/>
      <c r="N186" s="973" t="n"/>
      <c r="O186" s="973" t="n"/>
      <c r="P186" s="973" t="n"/>
      <c r="Q186" s="973" t="n"/>
      <c r="R186" s="973" t="n"/>
      <c r="S186" s="973" t="n"/>
      <c r="T186" s="973" t="n"/>
      <c r="U186" s="973" t="n"/>
      <c r="V186" s="973" t="n"/>
      <c r="W186" s="973" t="n"/>
      <c r="X186" s="973" t="n"/>
      <c r="Y186" s="973" t="n"/>
      <c r="Z186" s="973" t="n"/>
      <c r="AA186" s="973" t="n"/>
      <c r="AB186" s="973" t="n"/>
      <c r="AC186" s="973" t="n"/>
      <c r="AD186" s="973" t="n"/>
      <c r="AE186" s="973" t="n"/>
      <c r="AF186" s="973" t="n"/>
      <c r="AG186" s="973" t="n"/>
      <c r="AH186" s="973" t="n"/>
      <c r="AI186" s="973" t="n"/>
      <c r="AJ186" s="973" t="n"/>
      <c r="AK186" s="973" t="n"/>
      <c r="AL186" s="973" t="n"/>
      <c r="AM186" s="973" t="n"/>
      <c r="AN186" s="973" t="n"/>
      <c r="AO186" s="973" t="n"/>
    </row>
    <row r="187">
      <c r="A187" s="973" t="n"/>
      <c r="B187" s="973" t="n"/>
      <c r="C187" s="973" t="n"/>
      <c r="D187" s="973" t="n"/>
      <c r="E187" s="973" t="n"/>
      <c r="F187" s="973" t="n"/>
      <c r="G187" s="973" t="n"/>
      <c r="H187" s="973" t="n"/>
      <c r="I187" s="973" t="n"/>
      <c r="J187" s="973" t="n"/>
      <c r="K187" s="973" t="n"/>
      <c r="L187" s="973" t="n"/>
      <c r="M187" s="973" t="n"/>
      <c r="N187" s="973" t="n"/>
      <c r="O187" s="973" t="n"/>
      <c r="P187" s="973" t="n"/>
      <c r="Q187" s="973" t="n"/>
      <c r="R187" s="973" t="n"/>
      <c r="S187" s="973" t="n"/>
      <c r="T187" s="973" t="n"/>
      <c r="U187" s="973" t="n"/>
      <c r="V187" s="973" t="n"/>
      <c r="W187" s="973" t="n"/>
      <c r="X187" s="973" t="n"/>
      <c r="Y187" s="973" t="n"/>
      <c r="Z187" s="973" t="n"/>
      <c r="AA187" s="973" t="n"/>
      <c r="AB187" s="973" t="n"/>
      <c r="AC187" s="973" t="n"/>
      <c r="AD187" s="973" t="n"/>
      <c r="AE187" s="973" t="n"/>
      <c r="AF187" s="973" t="n"/>
      <c r="AG187" s="973" t="n"/>
      <c r="AH187" s="973" t="n"/>
      <c r="AI187" s="973" t="n"/>
      <c r="AJ187" s="973" t="n"/>
      <c r="AK187" s="973" t="n"/>
      <c r="AL187" s="973" t="n"/>
      <c r="AM187" s="973" t="n"/>
      <c r="AN187" s="973" t="n"/>
      <c r="AO187" s="973" t="n"/>
    </row>
    <row r="188">
      <c r="A188" s="973" t="n"/>
      <c r="B188" s="973" t="n"/>
      <c r="C188" s="973" t="n"/>
      <c r="D188" s="973" t="n"/>
      <c r="E188" s="973" t="n"/>
      <c r="F188" s="973" t="n"/>
      <c r="G188" s="973" t="n"/>
      <c r="H188" s="973" t="n"/>
      <c r="I188" s="973" t="n"/>
      <c r="J188" s="973" t="n"/>
      <c r="K188" s="973" t="n"/>
      <c r="L188" s="973" t="n"/>
      <c r="M188" s="973" t="n"/>
      <c r="N188" s="973" t="n"/>
      <c r="O188" s="973" t="n"/>
      <c r="P188" s="973" t="n"/>
      <c r="Q188" s="973" t="n"/>
      <c r="R188" s="973" t="n"/>
      <c r="S188" s="973" t="n"/>
      <c r="T188" s="973" t="n"/>
      <c r="U188" s="973" t="n"/>
      <c r="V188" s="973" t="n"/>
      <c r="W188" s="973" t="n"/>
      <c r="X188" s="973" t="n"/>
      <c r="Y188" s="973" t="n"/>
      <c r="Z188" s="973" t="n"/>
      <c r="AA188" s="973" t="n"/>
      <c r="AB188" s="973" t="n"/>
      <c r="AC188" s="973" t="n"/>
      <c r="AD188" s="973" t="n"/>
      <c r="AE188" s="973" t="n"/>
      <c r="AF188" s="973" t="n"/>
      <c r="AG188" s="973" t="n"/>
      <c r="AH188" s="973" t="n"/>
      <c r="AI188" s="973" t="n"/>
      <c r="AJ188" s="973" t="n"/>
      <c r="AK188" s="973" t="n"/>
      <c r="AL188" s="973" t="n"/>
      <c r="AM188" s="973" t="n"/>
      <c r="AN188" s="973" t="n"/>
      <c r="AO188" s="973" t="n"/>
    </row>
    <row r="189">
      <c r="A189" s="973" t="n"/>
      <c r="B189" s="973" t="n"/>
      <c r="C189" s="973" t="n"/>
      <c r="D189" s="973" t="n"/>
      <c r="E189" s="973" t="n"/>
      <c r="F189" s="973" t="n"/>
      <c r="G189" s="973" t="n"/>
      <c r="H189" s="973" t="n"/>
      <c r="I189" s="973" t="n"/>
      <c r="J189" s="973" t="n"/>
      <c r="K189" s="973" t="n"/>
      <c r="L189" s="973" t="n"/>
      <c r="M189" s="973" t="n"/>
      <c r="N189" s="973" t="n"/>
      <c r="O189" s="973" t="n"/>
      <c r="P189" s="973" t="n"/>
      <c r="Q189" s="973" t="n"/>
      <c r="R189" s="973" t="n"/>
      <c r="S189" s="973" t="n"/>
      <c r="T189" s="973" t="n"/>
      <c r="U189" s="973" t="n"/>
      <c r="V189" s="973" t="n"/>
      <c r="W189" s="973" t="n"/>
      <c r="X189" s="973" t="n"/>
      <c r="Y189" s="973" t="n"/>
      <c r="Z189" s="973" t="n"/>
      <c r="AA189" s="973" t="n"/>
      <c r="AB189" s="973" t="n"/>
      <c r="AC189" s="973" t="n"/>
      <c r="AD189" s="973" t="n"/>
      <c r="AE189" s="973" t="n"/>
      <c r="AF189" s="973" t="n"/>
      <c r="AG189" s="973" t="n"/>
      <c r="AH189" s="973" t="n"/>
      <c r="AI189" s="973" t="n"/>
      <c r="AJ189" s="973" t="n"/>
      <c r="AK189" s="973" t="n"/>
      <c r="AL189" s="973" t="n"/>
      <c r="AM189" s="973" t="n"/>
      <c r="AN189" s="973" t="n"/>
      <c r="AO189" s="973" t="n"/>
    </row>
    <row r="190">
      <c r="A190" s="973" t="n"/>
      <c r="B190" s="973" t="n"/>
      <c r="C190" s="973" t="n"/>
      <c r="D190" s="973" t="n"/>
      <c r="E190" s="973" t="n"/>
      <c r="F190" s="973" t="n"/>
      <c r="G190" s="973" t="n"/>
      <c r="H190" s="973" t="n"/>
      <c r="I190" s="973" t="n"/>
      <c r="J190" s="973" t="n"/>
      <c r="K190" s="973" t="n"/>
      <c r="L190" s="973" t="n"/>
      <c r="M190" s="973" t="n"/>
      <c r="N190" s="973" t="n"/>
      <c r="O190" s="973" t="n"/>
      <c r="P190" s="973" t="n"/>
      <c r="Q190" s="973" t="n"/>
      <c r="R190" s="973" t="n"/>
      <c r="S190" s="973" t="n"/>
      <c r="T190" s="973" t="n"/>
      <c r="U190" s="973" t="n"/>
      <c r="V190" s="973" t="n"/>
      <c r="W190" s="973" t="n"/>
      <c r="X190" s="973" t="n"/>
      <c r="Y190" s="973" t="n"/>
      <c r="Z190" s="973" t="n"/>
      <c r="AA190" s="973" t="n"/>
      <c r="AB190" s="973" t="n"/>
      <c r="AC190" s="973" t="n"/>
      <c r="AD190" s="973" t="n"/>
      <c r="AE190" s="973" t="n"/>
      <c r="AF190" s="973" t="n"/>
      <c r="AG190" s="973" t="n"/>
      <c r="AH190" s="973" t="n"/>
      <c r="AI190" s="973" t="n"/>
      <c r="AJ190" s="973" t="n"/>
      <c r="AK190" s="973" t="n"/>
      <c r="AL190" s="973" t="n"/>
      <c r="AM190" s="973" t="n"/>
      <c r="AN190" s="973" t="n"/>
      <c r="AO190" s="973" t="n"/>
    </row>
    <row r="191">
      <c r="A191" s="973" t="n"/>
      <c r="B191" s="973" t="n"/>
      <c r="C191" s="973" t="n"/>
      <c r="D191" s="973" t="n"/>
      <c r="E191" s="973" t="n"/>
      <c r="F191" s="973" t="n"/>
      <c r="G191" s="973" t="n"/>
      <c r="H191" s="973" t="n"/>
      <c r="I191" s="973" t="n"/>
      <c r="J191" s="973" t="n"/>
      <c r="K191" s="973" t="n"/>
      <c r="L191" s="973" t="n"/>
      <c r="M191" s="973" t="n"/>
      <c r="N191" s="973" t="n"/>
      <c r="O191" s="973" t="n"/>
      <c r="P191" s="973" t="n"/>
      <c r="Q191" s="973" t="n"/>
      <c r="R191" s="973" t="n"/>
      <c r="S191" s="973" t="n"/>
      <c r="T191" s="973" t="n"/>
      <c r="U191" s="973" t="n"/>
      <c r="V191" s="973" t="n"/>
      <c r="W191" s="973" t="n"/>
      <c r="X191" s="973" t="n"/>
      <c r="Y191" s="973" t="n"/>
      <c r="Z191" s="973" t="n"/>
      <c r="AA191" s="973" t="n"/>
      <c r="AB191" s="973" t="n"/>
      <c r="AC191" s="973" t="n"/>
      <c r="AD191" s="973" t="n"/>
      <c r="AE191" s="973" t="n"/>
      <c r="AF191" s="973" t="n"/>
      <c r="AG191" s="973" t="n"/>
      <c r="AH191" s="973" t="n"/>
      <c r="AI191" s="973" t="n"/>
      <c r="AJ191" s="973" t="n"/>
      <c r="AK191" s="973" t="n"/>
      <c r="AL191" s="973" t="n"/>
      <c r="AM191" s="973" t="n"/>
      <c r="AN191" s="973" t="n"/>
      <c r="AO191" s="973" t="n"/>
    </row>
    <row r="192">
      <c r="A192" s="973" t="n"/>
      <c r="B192" s="973" t="n"/>
      <c r="C192" s="973" t="n"/>
      <c r="D192" s="973" t="n"/>
      <c r="E192" s="973" t="n"/>
      <c r="F192" s="973" t="n"/>
      <c r="G192" s="973" t="n"/>
      <c r="H192" s="973" t="n"/>
      <c r="I192" s="973" t="n"/>
      <c r="J192" s="973" t="n"/>
      <c r="K192" s="973" t="n"/>
      <c r="L192" s="973" t="n"/>
      <c r="M192" s="973" t="n"/>
      <c r="N192" s="973" t="n"/>
      <c r="O192" s="973" t="n"/>
      <c r="P192" s="973" t="n"/>
      <c r="Q192" s="973" t="n"/>
      <c r="R192" s="973" t="n"/>
      <c r="S192" s="973" t="n"/>
      <c r="T192" s="973" t="n"/>
      <c r="U192" s="973" t="n"/>
      <c r="V192" s="973" t="n"/>
      <c r="W192" s="973" t="n"/>
      <c r="X192" s="973" t="n"/>
      <c r="Y192" s="973" t="n"/>
      <c r="Z192" s="973" t="n"/>
      <c r="AA192" s="973" t="n"/>
      <c r="AB192" s="973" t="n"/>
      <c r="AC192" s="973" t="n"/>
      <c r="AD192" s="973" t="n"/>
      <c r="AE192" s="973" t="n"/>
      <c r="AF192" s="973" t="n"/>
      <c r="AG192" s="973" t="n"/>
      <c r="AH192" s="973" t="n"/>
      <c r="AI192" s="973" t="n"/>
      <c r="AJ192" s="973" t="n"/>
      <c r="AK192" s="973" t="n"/>
      <c r="AL192" s="973" t="n"/>
      <c r="AM192" s="973" t="n"/>
      <c r="AN192" s="973" t="n"/>
      <c r="AO192" s="973" t="n"/>
    </row>
    <row r="193">
      <c r="A193" s="973" t="n"/>
      <c r="B193" s="973" t="n"/>
      <c r="C193" s="973" t="n"/>
      <c r="D193" s="973" t="n"/>
      <c r="E193" s="973" t="n"/>
      <c r="F193" s="973" t="n"/>
      <c r="G193" s="973" t="n"/>
      <c r="H193" s="973" t="n"/>
      <c r="I193" s="973" t="n"/>
      <c r="J193" s="973" t="n"/>
      <c r="K193" s="973" t="n"/>
      <c r="L193" s="973" t="n"/>
      <c r="M193" s="973" t="n"/>
      <c r="N193" s="973" t="n"/>
      <c r="O193" s="973" t="n"/>
      <c r="P193" s="973" t="n"/>
      <c r="Q193" s="973" t="n"/>
      <c r="R193" s="973" t="n"/>
      <c r="S193" s="973" t="n"/>
      <c r="T193" s="973" t="n"/>
      <c r="U193" s="973" t="n"/>
      <c r="V193" s="973" t="n"/>
      <c r="W193" s="973" t="n"/>
      <c r="X193" s="973" t="n"/>
      <c r="Y193" s="973" t="n"/>
      <c r="Z193" s="973" t="n"/>
      <c r="AA193" s="973" t="n"/>
      <c r="AB193" s="973" t="n"/>
      <c r="AC193" s="973" t="n"/>
      <c r="AD193" s="973" t="n"/>
      <c r="AE193" s="973" t="n"/>
      <c r="AF193" s="973" t="n"/>
      <c r="AG193" s="973" t="n"/>
      <c r="AH193" s="973" t="n"/>
      <c r="AI193" s="973" t="n"/>
      <c r="AJ193" s="973" t="n"/>
      <c r="AK193" s="973" t="n"/>
      <c r="AL193" s="973" t="n"/>
      <c r="AM193" s="973" t="n"/>
      <c r="AN193" s="973" t="n"/>
      <c r="AO193" s="973" t="n"/>
    </row>
    <row r="194">
      <c r="A194" s="973" t="n"/>
      <c r="B194" s="973" t="n"/>
      <c r="C194" s="973" t="n"/>
      <c r="D194" s="973" t="n"/>
      <c r="E194" s="973" t="n"/>
      <c r="F194" s="973" t="n"/>
      <c r="G194" s="973" t="n"/>
      <c r="H194" s="973" t="n"/>
      <c r="I194" s="973" t="n"/>
      <c r="J194" s="973" t="n"/>
      <c r="K194" s="973" t="n"/>
      <c r="L194" s="973" t="n"/>
      <c r="M194" s="973" t="n"/>
      <c r="N194" s="973" t="n"/>
      <c r="O194" s="973" t="n"/>
      <c r="P194" s="973" t="n"/>
      <c r="Q194" s="973" t="n"/>
      <c r="R194" s="973" t="n"/>
      <c r="S194" s="973" t="n"/>
      <c r="T194" s="973" t="n"/>
      <c r="U194" s="973" t="n"/>
      <c r="V194" s="973" t="n"/>
      <c r="W194" s="973" t="n"/>
      <c r="X194" s="973" t="n"/>
      <c r="Y194" s="973" t="n"/>
      <c r="Z194" s="973" t="n"/>
      <c r="AA194" s="973" t="n"/>
      <c r="AB194" s="973" t="n"/>
      <c r="AC194" s="973" t="n"/>
      <c r="AD194" s="973" t="n"/>
      <c r="AE194" s="973" t="n"/>
      <c r="AF194" s="973" t="n"/>
      <c r="AG194" s="973" t="n"/>
      <c r="AH194" s="973" t="n"/>
      <c r="AI194" s="973" t="n"/>
      <c r="AJ194" s="973" t="n"/>
      <c r="AK194" s="973" t="n"/>
      <c r="AL194" s="973" t="n"/>
      <c r="AM194" s="973" t="n"/>
      <c r="AN194" s="973" t="n"/>
      <c r="AO194" s="973" t="n"/>
    </row>
    <row r="195">
      <c r="A195" s="973" t="n"/>
      <c r="B195" s="973" t="n"/>
      <c r="C195" s="973" t="n"/>
      <c r="D195" s="973" t="n"/>
      <c r="E195" s="973" t="n"/>
      <c r="F195" s="973" t="n"/>
      <c r="G195" s="973" t="n"/>
      <c r="H195" s="973" t="n"/>
      <c r="I195" s="973" t="n"/>
      <c r="J195" s="973" t="n"/>
      <c r="K195" s="973" t="n"/>
      <c r="L195" s="973" t="n"/>
      <c r="M195" s="973" t="n"/>
      <c r="N195" s="973" t="n"/>
      <c r="O195" s="973" t="n"/>
      <c r="P195" s="973" t="n"/>
      <c r="Q195" s="973" t="n"/>
      <c r="R195" s="973" t="n"/>
      <c r="S195" s="973" t="n"/>
      <c r="T195" s="973" t="n"/>
      <c r="U195" s="973" t="n"/>
      <c r="V195" s="973" t="n"/>
      <c r="W195" s="973" t="n"/>
      <c r="X195" s="973" t="n"/>
      <c r="Y195" s="973" t="n"/>
      <c r="Z195" s="973" t="n"/>
      <c r="AA195" s="973" t="n"/>
      <c r="AB195" s="973" t="n"/>
      <c r="AC195" s="973" t="n"/>
      <c r="AD195" s="973" t="n"/>
      <c r="AE195" s="973" t="n"/>
      <c r="AF195" s="973" t="n"/>
      <c r="AG195" s="973" t="n"/>
      <c r="AH195" s="973" t="n"/>
      <c r="AI195" s="973" t="n"/>
      <c r="AJ195" s="973" t="n"/>
      <c r="AK195" s="973" t="n"/>
      <c r="AL195" s="973" t="n"/>
      <c r="AM195" s="973" t="n"/>
      <c r="AN195" s="973" t="n"/>
      <c r="AO195" s="973" t="n"/>
    </row>
    <row r="196">
      <c r="A196" s="973" t="n"/>
      <c r="B196" s="973" t="n"/>
      <c r="C196" s="973" t="n"/>
      <c r="D196" s="973" t="n"/>
      <c r="E196" s="973" t="n"/>
      <c r="F196" s="973" t="n"/>
      <c r="G196" s="973" t="n"/>
      <c r="H196" s="973" t="n"/>
      <c r="I196" s="973" t="n"/>
      <c r="J196" s="973" t="n"/>
      <c r="K196" s="973" t="n"/>
      <c r="L196" s="973" t="n"/>
      <c r="M196" s="973" t="n"/>
      <c r="N196" s="973" t="n"/>
      <c r="O196" s="973" t="n"/>
      <c r="P196" s="973" t="n"/>
      <c r="Q196" s="973" t="n"/>
      <c r="R196" s="973" t="n"/>
      <c r="S196" s="973" t="n"/>
      <c r="T196" s="973" t="n"/>
      <c r="U196" s="973" t="n"/>
      <c r="V196" s="973" t="n"/>
      <c r="W196" s="973" t="n"/>
      <c r="X196" s="973" t="n"/>
      <c r="Y196" s="973" t="n"/>
      <c r="Z196" s="973" t="n"/>
      <c r="AA196" s="973" t="n"/>
      <c r="AB196" s="973" t="n"/>
      <c r="AC196" s="973" t="n"/>
      <c r="AD196" s="973" t="n"/>
      <c r="AE196" s="973" t="n"/>
      <c r="AF196" s="973" t="n"/>
      <c r="AG196" s="973" t="n"/>
      <c r="AH196" s="973" t="n"/>
      <c r="AI196" s="973" t="n"/>
      <c r="AJ196" s="973" t="n"/>
      <c r="AK196" s="973" t="n"/>
      <c r="AL196" s="973" t="n"/>
      <c r="AM196" s="973" t="n"/>
      <c r="AN196" s="973" t="n"/>
      <c r="AO196" s="973" t="n"/>
    </row>
    <row r="197">
      <c r="A197" s="973" t="n"/>
      <c r="B197" s="973" t="n"/>
      <c r="C197" s="973" t="n"/>
      <c r="D197" s="973" t="n"/>
      <c r="E197" s="973" t="n"/>
      <c r="F197" s="973" t="n"/>
      <c r="G197" s="973" t="n"/>
      <c r="H197" s="973" t="n"/>
      <c r="I197" s="973" t="n"/>
      <c r="J197" s="973" t="n"/>
      <c r="K197" s="973" t="n"/>
      <c r="L197" s="973" t="n"/>
      <c r="M197" s="973" t="n"/>
      <c r="N197" s="973" t="n"/>
      <c r="O197" s="973" t="n"/>
      <c r="P197" s="973" t="n"/>
      <c r="Q197" s="973" t="n"/>
      <c r="R197" s="973" t="n"/>
      <c r="S197" s="973" t="n"/>
      <c r="T197" s="973" t="n"/>
      <c r="U197" s="973" t="n"/>
      <c r="V197" s="973" t="n"/>
      <c r="W197" s="973" t="n"/>
      <c r="X197" s="973" t="n"/>
      <c r="Y197" s="973" t="n"/>
      <c r="Z197" s="973" t="n"/>
      <c r="AA197" s="973" t="n"/>
      <c r="AB197" s="973" t="n"/>
      <c r="AC197" s="973" t="n"/>
      <c r="AD197" s="973" t="n"/>
      <c r="AE197" s="973" t="n"/>
      <c r="AF197" s="973" t="n"/>
      <c r="AG197" s="973" t="n"/>
      <c r="AH197" s="973" t="n"/>
      <c r="AI197" s="973" t="n"/>
      <c r="AJ197" s="973" t="n"/>
      <c r="AK197" s="973" t="n"/>
      <c r="AL197" s="973" t="n"/>
      <c r="AM197" s="973" t="n"/>
      <c r="AN197" s="973" t="n"/>
      <c r="AO197" s="973" t="n"/>
    </row>
    <row r="198">
      <c r="A198" s="973" t="n"/>
      <c r="B198" s="973" t="n"/>
      <c r="C198" s="973" t="n"/>
      <c r="D198" s="973" t="n"/>
      <c r="E198" s="973" t="n"/>
      <c r="F198" s="973" t="n"/>
      <c r="G198" s="973" t="n"/>
      <c r="H198" s="973" t="n"/>
      <c r="I198" s="973" t="n"/>
      <c r="J198" s="973" t="n"/>
      <c r="K198" s="973" t="n"/>
      <c r="L198" s="973" t="n"/>
      <c r="M198" s="973" t="n"/>
      <c r="N198" s="973" t="n"/>
      <c r="O198" s="973" t="n"/>
      <c r="P198" s="973" t="n"/>
      <c r="Q198" s="973" t="n"/>
      <c r="R198" s="973" t="n"/>
      <c r="S198" s="973" t="n"/>
      <c r="T198" s="973" t="n"/>
      <c r="U198" s="973" t="n"/>
      <c r="V198" s="973" t="n"/>
      <c r="W198" s="973" t="n"/>
      <c r="X198" s="973" t="n"/>
      <c r="Y198" s="973" t="n"/>
      <c r="Z198" s="973" t="n"/>
      <c r="AA198" s="973" t="n"/>
      <c r="AB198" s="973" t="n"/>
      <c r="AC198" s="973" t="n"/>
      <c r="AD198" s="973" t="n"/>
      <c r="AE198" s="973" t="n"/>
      <c r="AF198" s="973" t="n"/>
      <c r="AG198" s="973" t="n"/>
      <c r="AH198" s="973" t="n"/>
      <c r="AI198" s="973" t="n"/>
      <c r="AJ198" s="973" t="n"/>
      <c r="AK198" s="973" t="n"/>
      <c r="AL198" s="973" t="n"/>
      <c r="AM198" s="973" t="n"/>
      <c r="AN198" s="973" t="n"/>
      <c r="AO198" s="973" t="n"/>
    </row>
    <row r="199">
      <c r="A199" s="973" t="n"/>
      <c r="B199" s="973" t="n"/>
      <c r="C199" s="973" t="n"/>
      <c r="D199" s="973" t="n"/>
      <c r="E199" s="973" t="n"/>
      <c r="F199" s="973" t="n"/>
      <c r="G199" s="973" t="n"/>
      <c r="H199" s="973" t="n"/>
      <c r="I199" s="973" t="n"/>
      <c r="J199" s="973" t="n"/>
      <c r="K199" s="973" t="n"/>
      <c r="L199" s="973" t="n"/>
      <c r="M199" s="973" t="n"/>
      <c r="N199" s="973" t="n"/>
      <c r="O199" s="973" t="n"/>
      <c r="P199" s="973" t="n"/>
      <c r="Q199" s="973" t="n"/>
      <c r="R199" s="973" t="n"/>
      <c r="S199" s="973" t="n"/>
      <c r="T199" s="973" t="n"/>
      <c r="U199" s="973" t="n"/>
      <c r="V199" s="973" t="n"/>
      <c r="W199" s="973" t="n"/>
      <c r="X199" s="973" t="n"/>
      <c r="Y199" s="973" t="n"/>
      <c r="Z199" s="973" t="n"/>
      <c r="AA199" s="973" t="n"/>
      <c r="AB199" s="973" t="n"/>
      <c r="AC199" s="973" t="n"/>
      <c r="AD199" s="973" t="n"/>
      <c r="AE199" s="973" t="n"/>
      <c r="AF199" s="973" t="n"/>
      <c r="AG199" s="973" t="n"/>
      <c r="AH199" s="973" t="n"/>
      <c r="AI199" s="973" t="n"/>
      <c r="AJ199" s="973" t="n"/>
      <c r="AK199" s="973" t="n"/>
      <c r="AL199" s="973" t="n"/>
      <c r="AM199" s="973" t="n"/>
      <c r="AN199" s="973" t="n"/>
      <c r="AO199" s="973" t="n"/>
    </row>
    <row r="200">
      <c r="A200" s="973" t="n"/>
      <c r="B200" s="973" t="n"/>
      <c r="C200" s="973" t="n"/>
      <c r="D200" s="973" t="n"/>
      <c r="E200" s="973" t="n"/>
      <c r="F200" s="973" t="n"/>
      <c r="G200" s="973" t="n"/>
      <c r="H200" s="973" t="n"/>
      <c r="I200" s="973" t="n"/>
      <c r="J200" s="973" t="n"/>
      <c r="K200" s="973" t="n"/>
      <c r="L200" s="973" t="n"/>
      <c r="M200" s="973" t="n"/>
      <c r="N200" s="973" t="n"/>
      <c r="O200" s="973" t="n"/>
      <c r="P200" s="973" t="n"/>
      <c r="Q200" s="973" t="n"/>
      <c r="R200" s="973" t="n"/>
      <c r="S200" s="973" t="n"/>
      <c r="T200" s="973" t="n"/>
      <c r="U200" s="973" t="n"/>
      <c r="V200" s="973" t="n"/>
      <c r="W200" s="973" t="n"/>
      <c r="X200" s="973" t="n"/>
      <c r="Y200" s="973" t="n"/>
      <c r="Z200" s="973" t="n"/>
      <c r="AA200" s="973" t="n"/>
      <c r="AB200" s="973" t="n"/>
      <c r="AC200" s="973" t="n"/>
      <c r="AD200" s="973" t="n"/>
      <c r="AE200" s="973" t="n"/>
      <c r="AF200" s="973" t="n"/>
      <c r="AG200" s="973" t="n"/>
      <c r="AH200" s="973" t="n"/>
      <c r="AI200" s="973" t="n"/>
      <c r="AJ200" s="973" t="n"/>
      <c r="AK200" s="973" t="n"/>
      <c r="AL200" s="973" t="n"/>
      <c r="AM200" s="973" t="n"/>
      <c r="AN200" s="973" t="n"/>
      <c r="AO200" s="973" t="n"/>
    </row>
    <row r="201">
      <c r="A201" s="973" t="n"/>
      <c r="B201" s="973" t="n"/>
      <c r="C201" s="973" t="n"/>
      <c r="D201" s="973" t="n"/>
      <c r="E201" s="973" t="n"/>
      <c r="F201" s="973" t="n"/>
      <c r="G201" s="973" t="n"/>
      <c r="H201" s="973" t="n"/>
      <c r="I201" s="973" t="n"/>
      <c r="J201" s="973" t="n"/>
      <c r="K201" s="973" t="n"/>
      <c r="L201" s="973" t="n"/>
      <c r="M201" s="973" t="n"/>
      <c r="N201" s="973" t="n"/>
      <c r="O201" s="973" t="n"/>
      <c r="P201" s="973" t="n"/>
      <c r="Q201" s="973" t="n"/>
      <c r="R201" s="973" t="n"/>
      <c r="S201" s="973" t="n"/>
      <c r="T201" s="973" t="n"/>
      <c r="U201" s="973" t="n"/>
      <c r="V201" s="973" t="n"/>
      <c r="W201" s="973" t="n"/>
      <c r="X201" s="973" t="n"/>
      <c r="Y201" s="973" t="n"/>
      <c r="Z201" s="973" t="n"/>
      <c r="AA201" s="973" t="n"/>
      <c r="AB201" s="973" t="n"/>
      <c r="AC201" s="973" t="n"/>
      <c r="AD201" s="973" t="n"/>
      <c r="AE201" s="973" t="n"/>
      <c r="AF201" s="973" t="n"/>
      <c r="AG201" s="973" t="n"/>
      <c r="AH201" s="973" t="n"/>
      <c r="AI201" s="973" t="n"/>
      <c r="AJ201" s="973" t="n"/>
      <c r="AK201" s="973" t="n"/>
      <c r="AL201" s="973" t="n"/>
      <c r="AM201" s="973" t="n"/>
      <c r="AN201" s="973" t="n"/>
      <c r="AO201" s="973" t="n"/>
    </row>
    <row r="202">
      <c r="A202" s="973" t="n"/>
      <c r="B202" s="973" t="n"/>
      <c r="C202" s="973" t="n"/>
      <c r="D202" s="973" t="n"/>
      <c r="E202" s="973" t="n"/>
      <c r="F202" s="973" t="n"/>
      <c r="G202" s="973" t="n"/>
      <c r="H202" s="973" t="n"/>
      <c r="I202" s="973" t="n"/>
      <c r="J202" s="973" t="n"/>
      <c r="K202" s="973" t="n"/>
      <c r="L202" s="973" t="n"/>
      <c r="M202" s="973" t="n"/>
      <c r="N202" s="973" t="n"/>
      <c r="O202" s="973" t="n"/>
      <c r="P202" s="973" t="n"/>
      <c r="Q202" s="973" t="n"/>
      <c r="R202" s="973" t="n"/>
      <c r="S202" s="973" t="n"/>
      <c r="T202" s="973" t="n"/>
      <c r="U202" s="973" t="n"/>
      <c r="V202" s="973" t="n"/>
      <c r="W202" s="973" t="n"/>
      <c r="X202" s="973" t="n"/>
      <c r="Y202" s="973" t="n"/>
      <c r="Z202" s="973" t="n"/>
      <c r="AA202" s="973" t="n"/>
      <c r="AB202" s="973" t="n"/>
      <c r="AC202" s="973" t="n"/>
      <c r="AD202" s="973" t="n"/>
      <c r="AE202" s="973" t="n"/>
      <c r="AF202" s="973" t="n"/>
      <c r="AG202" s="973" t="n"/>
      <c r="AH202" s="973" t="n"/>
      <c r="AI202" s="973" t="n"/>
      <c r="AJ202" s="973" t="n"/>
      <c r="AK202" s="973" t="n"/>
      <c r="AL202" s="973" t="n"/>
      <c r="AM202" s="973" t="n"/>
      <c r="AN202" s="973" t="n"/>
      <c r="AO202" s="973" t="n"/>
    </row>
    <row r="203">
      <c r="A203" s="973" t="n"/>
      <c r="B203" s="973" t="n"/>
      <c r="C203" s="973" t="n"/>
      <c r="D203" s="973" t="n"/>
      <c r="E203" s="973" t="n"/>
      <c r="F203" s="973" t="n"/>
      <c r="G203" s="973" t="n"/>
      <c r="H203" s="973" t="n"/>
      <c r="I203" s="973" t="n"/>
      <c r="J203" s="973" t="n"/>
      <c r="K203" s="973" t="n"/>
      <c r="L203" s="973" t="n"/>
      <c r="M203" s="973" t="n"/>
      <c r="N203" s="973" t="n"/>
      <c r="O203" s="973" t="n"/>
      <c r="P203" s="973" t="n"/>
      <c r="Q203" s="973" t="n"/>
      <c r="R203" s="973" t="n"/>
      <c r="S203" s="973" t="n"/>
      <c r="T203" s="973" t="n"/>
      <c r="U203" s="973" t="n"/>
      <c r="V203" s="973" t="n"/>
      <c r="W203" s="973" t="n"/>
      <c r="X203" s="973" t="n"/>
      <c r="Y203" s="973" t="n"/>
      <c r="Z203" s="973" t="n"/>
      <c r="AA203" s="973" t="n"/>
      <c r="AB203" s="973" t="n"/>
      <c r="AC203" s="973" t="n"/>
      <c r="AD203" s="973" t="n"/>
      <c r="AE203" s="973" t="n"/>
      <c r="AF203" s="973" t="n"/>
      <c r="AG203" s="973" t="n"/>
      <c r="AH203" s="973" t="n"/>
      <c r="AI203" s="973" t="n"/>
      <c r="AJ203" s="973" t="n"/>
      <c r="AK203" s="973" t="n"/>
      <c r="AL203" s="973" t="n"/>
      <c r="AM203" s="973" t="n"/>
      <c r="AN203" s="973" t="n"/>
      <c r="AO203" s="973" t="n"/>
    </row>
    <row r="204">
      <c r="A204" s="973" t="n"/>
      <c r="B204" s="973" t="n"/>
      <c r="C204" s="973" t="n"/>
      <c r="D204" s="973" t="n"/>
      <c r="E204" s="973" t="n"/>
      <c r="F204" s="973" t="n"/>
      <c r="G204" s="973" t="n"/>
      <c r="H204" s="973" t="n"/>
      <c r="I204" s="973" t="n"/>
      <c r="J204" s="973" t="n"/>
      <c r="K204" s="973" t="n"/>
      <c r="L204" s="973" t="n"/>
      <c r="M204" s="973" t="n"/>
      <c r="N204" s="973" t="n"/>
      <c r="O204" s="973" t="n"/>
      <c r="P204" s="973" t="n"/>
      <c r="Q204" s="973" t="n"/>
      <c r="R204" s="973" t="n"/>
      <c r="S204" s="973" t="n"/>
      <c r="T204" s="973" t="n"/>
      <c r="U204" s="973" t="n"/>
      <c r="V204" s="973" t="n"/>
      <c r="W204" s="973" t="n"/>
      <c r="X204" s="973" t="n"/>
      <c r="Y204" s="973" t="n"/>
      <c r="Z204" s="973" t="n"/>
      <c r="AA204" s="973" t="n"/>
      <c r="AB204" s="973" t="n"/>
      <c r="AC204" s="973" t="n"/>
      <c r="AD204" s="973" t="n"/>
      <c r="AE204" s="973" t="n"/>
      <c r="AF204" s="973" t="n"/>
      <c r="AG204" s="973" t="n"/>
      <c r="AH204" s="973" t="n"/>
      <c r="AI204" s="973" t="n"/>
      <c r="AJ204" s="973" t="n"/>
      <c r="AK204" s="973" t="n"/>
      <c r="AL204" s="973" t="n"/>
      <c r="AM204" s="973" t="n"/>
      <c r="AN204" s="973" t="n"/>
      <c r="AO204" s="973" t="n"/>
    </row>
    <row r="205">
      <c r="A205" s="973" t="n"/>
      <c r="B205" s="973" t="n"/>
      <c r="C205" s="973" t="n"/>
      <c r="D205" s="973" t="n"/>
      <c r="E205" s="973" t="n"/>
      <c r="F205" s="973" t="n"/>
      <c r="G205" s="973" t="n"/>
      <c r="H205" s="973" t="n"/>
      <c r="I205" s="973" t="n"/>
      <c r="J205" s="973" t="n"/>
      <c r="K205" s="973" t="n"/>
      <c r="L205" s="973" t="n"/>
      <c r="M205" s="973" t="n"/>
      <c r="N205" s="973" t="n"/>
      <c r="O205" s="973" t="n"/>
      <c r="P205" s="973" t="n"/>
      <c r="Q205" s="973" t="n"/>
      <c r="R205" s="973" t="n"/>
      <c r="S205" s="973" t="n"/>
      <c r="T205" s="973" t="n"/>
      <c r="U205" s="973" t="n"/>
      <c r="V205" s="973" t="n"/>
      <c r="W205" s="973" t="n"/>
      <c r="X205" s="973" t="n"/>
      <c r="Y205" s="973" t="n"/>
      <c r="Z205" s="973" t="n"/>
      <c r="AA205" s="973" t="n"/>
      <c r="AB205" s="973" t="n"/>
      <c r="AC205" s="973" t="n"/>
      <c r="AD205" s="973" t="n"/>
      <c r="AE205" s="973" t="n"/>
      <c r="AF205" s="973" t="n"/>
      <c r="AG205" s="973" t="n"/>
      <c r="AH205" s="973" t="n"/>
      <c r="AI205" s="973" t="n"/>
      <c r="AJ205" s="973" t="n"/>
      <c r="AK205" s="973" t="n"/>
      <c r="AL205" s="973" t="n"/>
      <c r="AM205" s="973" t="n"/>
      <c r="AN205" s="973" t="n"/>
      <c r="AO205" s="973" t="n"/>
    </row>
    <row r="206">
      <c r="A206" s="973" t="n"/>
      <c r="B206" s="973" t="n"/>
      <c r="C206" s="973" t="n"/>
      <c r="D206" s="973" t="n"/>
      <c r="E206" s="973" t="n"/>
      <c r="F206" s="973" t="n"/>
      <c r="G206" s="973" t="n"/>
      <c r="H206" s="973" t="n"/>
      <c r="I206" s="973" t="n"/>
      <c r="J206" s="973" t="n"/>
      <c r="K206" s="973" t="n"/>
      <c r="L206" s="973" t="n"/>
      <c r="M206" s="973" t="n"/>
      <c r="N206" s="973" t="n"/>
      <c r="O206" s="973" t="n"/>
      <c r="P206" s="973" t="n"/>
      <c r="Q206" s="973" t="n"/>
      <c r="R206" s="973" t="n"/>
      <c r="S206" s="973" t="n"/>
      <c r="T206" s="973" t="n"/>
      <c r="U206" s="973" t="n"/>
      <c r="V206" s="973" t="n"/>
      <c r="W206" s="973" t="n"/>
      <c r="X206" s="973" t="n"/>
      <c r="Y206" s="973" t="n"/>
      <c r="Z206" s="973" t="n"/>
      <c r="AA206" s="973" t="n"/>
      <c r="AB206" s="973" t="n"/>
      <c r="AC206" s="973" t="n"/>
      <c r="AD206" s="973" t="n"/>
      <c r="AE206" s="973" t="n"/>
      <c r="AF206" s="973" t="n"/>
      <c r="AG206" s="973" t="n"/>
      <c r="AH206" s="973" t="n"/>
      <c r="AI206" s="973" t="n"/>
      <c r="AJ206" s="973" t="n"/>
      <c r="AK206" s="973" t="n"/>
      <c r="AL206" s="973" t="n"/>
      <c r="AM206" s="973" t="n"/>
      <c r="AN206" s="973" t="n"/>
      <c r="AO206" s="973" t="n"/>
    </row>
    <row r="207">
      <c r="A207" s="973" t="n"/>
      <c r="B207" s="973" t="n"/>
      <c r="C207" s="973" t="n"/>
      <c r="D207" s="973" t="n"/>
      <c r="E207" s="973" t="n"/>
      <c r="F207" s="973" t="n"/>
      <c r="G207" s="973" t="n"/>
      <c r="H207" s="973" t="n"/>
      <c r="I207" s="973" t="n"/>
      <c r="J207" s="973" t="n"/>
      <c r="K207" s="973" t="n"/>
      <c r="L207" s="973" t="n"/>
      <c r="M207" s="973" t="n"/>
      <c r="N207" s="973" t="n"/>
      <c r="O207" s="973" t="n"/>
      <c r="P207" s="973" t="n"/>
      <c r="Q207" s="973" t="n"/>
      <c r="R207" s="973" t="n"/>
      <c r="S207" s="973" t="n"/>
      <c r="T207" s="973" t="n"/>
      <c r="U207" s="973" t="n"/>
      <c r="V207" s="973" t="n"/>
      <c r="W207" s="973" t="n"/>
      <c r="X207" s="973" t="n"/>
      <c r="Y207" s="973" t="n"/>
      <c r="Z207" s="973" t="n"/>
      <c r="AA207" s="973" t="n"/>
      <c r="AB207" s="973" t="n"/>
      <c r="AC207" s="973" t="n"/>
      <c r="AD207" s="973" t="n"/>
      <c r="AE207" s="973" t="n"/>
      <c r="AF207" s="973" t="n"/>
      <c r="AG207" s="973" t="n"/>
      <c r="AH207" s="973" t="n"/>
      <c r="AI207" s="973" t="n"/>
      <c r="AJ207" s="973" t="n"/>
      <c r="AK207" s="973" t="n"/>
      <c r="AL207" s="973" t="n"/>
      <c r="AM207" s="973" t="n"/>
      <c r="AN207" s="973" t="n"/>
      <c r="AO207" s="973" t="n"/>
    </row>
    <row r="208">
      <c r="A208" s="973" t="n"/>
      <c r="B208" s="973" t="n"/>
      <c r="C208" s="973" t="n"/>
      <c r="D208" s="973" t="n"/>
      <c r="E208" s="973" t="n"/>
      <c r="F208" s="973" t="n"/>
      <c r="G208" s="973" t="n"/>
      <c r="H208" s="973" t="n"/>
      <c r="I208" s="973" t="n"/>
      <c r="J208" s="973" t="n"/>
      <c r="K208" s="973" t="n"/>
      <c r="L208" s="973" t="n"/>
      <c r="M208" s="973" t="n"/>
      <c r="N208" s="973" t="n"/>
      <c r="O208" s="973" t="n"/>
      <c r="P208" s="973" t="n"/>
      <c r="Q208" s="973" t="n"/>
      <c r="R208" s="973" t="n"/>
      <c r="S208" s="973" t="n"/>
      <c r="T208" s="973" t="n"/>
      <c r="U208" s="973" t="n"/>
      <c r="V208" s="973" t="n"/>
      <c r="W208" s="973" t="n"/>
      <c r="X208" s="973" t="n"/>
      <c r="Y208" s="973" t="n"/>
      <c r="Z208" s="973" t="n"/>
      <c r="AA208" s="973" t="n"/>
      <c r="AB208" s="973" t="n"/>
      <c r="AC208" s="973" t="n"/>
      <c r="AD208" s="973" t="n"/>
      <c r="AE208" s="973" t="n"/>
      <c r="AF208" s="973" t="n"/>
      <c r="AG208" s="973" t="n"/>
      <c r="AH208" s="973" t="n"/>
      <c r="AI208" s="973" t="n"/>
      <c r="AJ208" s="973" t="n"/>
      <c r="AK208" s="973" t="n"/>
      <c r="AL208" s="973" t="n"/>
      <c r="AM208" s="973" t="n"/>
      <c r="AN208" s="973" t="n"/>
      <c r="AO208" s="973" t="n"/>
    </row>
    <row r="209">
      <c r="A209" s="973" t="n"/>
      <c r="B209" s="973" t="n"/>
      <c r="C209" s="973" t="n"/>
      <c r="D209" s="973" t="n"/>
      <c r="E209" s="973" t="n"/>
      <c r="F209" s="973" t="n"/>
      <c r="G209" s="973" t="n"/>
      <c r="H209" s="973" t="n"/>
      <c r="I209" s="973" t="n"/>
      <c r="J209" s="973" t="n"/>
      <c r="K209" s="973" t="n"/>
      <c r="L209" s="973" t="n"/>
      <c r="M209" s="973" t="n"/>
      <c r="N209" s="973" t="n"/>
      <c r="O209" s="973" t="n"/>
      <c r="P209" s="973" t="n"/>
      <c r="Q209" s="973" t="n"/>
      <c r="R209" s="973" t="n"/>
      <c r="S209" s="973" t="n"/>
      <c r="T209" s="973" t="n"/>
      <c r="U209" s="973" t="n"/>
      <c r="V209" s="973" t="n"/>
      <c r="W209" s="973" t="n"/>
      <c r="X209" s="973" t="n"/>
      <c r="Y209" s="973" t="n"/>
      <c r="Z209" s="973" t="n"/>
      <c r="AA209" s="973" t="n"/>
      <c r="AB209" s="973" t="n"/>
      <c r="AC209" s="973" t="n"/>
      <c r="AD209" s="973" t="n"/>
      <c r="AE209" s="973" t="n"/>
      <c r="AF209" s="973" t="n"/>
      <c r="AG209" s="973" t="n"/>
      <c r="AH209" s="973" t="n"/>
      <c r="AI209" s="973" t="n"/>
      <c r="AJ209" s="973" t="n"/>
      <c r="AK209" s="973" t="n"/>
      <c r="AL209" s="973" t="n"/>
      <c r="AM209" s="973" t="n"/>
      <c r="AN209" s="973" t="n"/>
      <c r="AO209" s="973" t="n"/>
    </row>
    <row r="210">
      <c r="A210" s="973" t="n"/>
      <c r="B210" s="973" t="n"/>
      <c r="C210" s="973" t="n"/>
      <c r="D210" s="973" t="n"/>
      <c r="E210" s="973" t="n"/>
      <c r="F210" s="973" t="n"/>
      <c r="G210" s="973" t="n"/>
      <c r="H210" s="973" t="n"/>
      <c r="I210" s="973" t="n"/>
      <c r="J210" s="973" t="n"/>
      <c r="K210" s="973" t="n"/>
      <c r="L210" s="973" t="n"/>
      <c r="M210" s="973" t="n"/>
      <c r="N210" s="973" t="n"/>
      <c r="O210" s="973" t="n"/>
      <c r="P210" s="973" t="n"/>
      <c r="Q210" s="973" t="n"/>
      <c r="R210" s="973" t="n"/>
      <c r="S210" s="973" t="n"/>
      <c r="T210" s="973" t="n"/>
      <c r="U210" s="973" t="n"/>
      <c r="V210" s="973" t="n"/>
      <c r="W210" s="973" t="n"/>
      <c r="X210" s="973" t="n"/>
      <c r="Y210" s="973" t="n"/>
      <c r="Z210" s="973" t="n"/>
      <c r="AA210" s="973" t="n"/>
      <c r="AB210" s="973" t="n"/>
      <c r="AC210" s="973" t="n"/>
      <c r="AD210" s="973" t="n"/>
      <c r="AE210" s="973" t="n"/>
      <c r="AF210" s="973" t="n"/>
      <c r="AG210" s="973" t="n"/>
      <c r="AH210" s="973" t="n"/>
      <c r="AI210" s="973" t="n"/>
      <c r="AJ210" s="973" t="n"/>
      <c r="AK210" s="973" t="n"/>
      <c r="AL210" s="973" t="n"/>
      <c r="AM210" s="973" t="n"/>
      <c r="AN210" s="973" t="n"/>
      <c r="AO210" s="973" t="n"/>
    </row>
    <row r="211">
      <c r="A211" s="973" t="n"/>
      <c r="B211" s="973" t="n"/>
      <c r="C211" s="973" t="n"/>
      <c r="D211" s="973" t="n"/>
      <c r="E211" s="973" t="n"/>
      <c r="F211" s="973" t="n"/>
      <c r="G211" s="973" t="n"/>
      <c r="H211" s="973" t="n"/>
      <c r="I211" s="973" t="n"/>
      <c r="J211" s="973" t="n"/>
      <c r="K211" s="973" t="n"/>
      <c r="L211" s="973" t="n"/>
      <c r="M211" s="973" t="n"/>
      <c r="N211" s="973" t="n"/>
      <c r="O211" s="973" t="n"/>
      <c r="P211" s="973" t="n"/>
      <c r="Q211" s="973" t="n"/>
      <c r="R211" s="973" t="n"/>
      <c r="S211" s="973" t="n"/>
      <c r="T211" s="973" t="n"/>
      <c r="U211" s="973" t="n"/>
      <c r="V211" s="973" t="n"/>
      <c r="W211" s="973" t="n"/>
      <c r="X211" s="973" t="n"/>
      <c r="Y211" s="973" t="n"/>
      <c r="Z211" s="973" t="n"/>
      <c r="AA211" s="973" t="n"/>
      <c r="AB211" s="973" t="n"/>
      <c r="AC211" s="973" t="n"/>
      <c r="AD211" s="973" t="n"/>
      <c r="AE211" s="973" t="n"/>
      <c r="AF211" s="973" t="n"/>
      <c r="AG211" s="973" t="n"/>
      <c r="AH211" s="973" t="n"/>
      <c r="AI211" s="973" t="n"/>
      <c r="AJ211" s="973" t="n"/>
      <c r="AK211" s="973" t="n"/>
      <c r="AL211" s="973" t="n"/>
      <c r="AM211" s="973" t="n"/>
      <c r="AN211" s="973" t="n"/>
      <c r="AO211" s="973" t="n"/>
    </row>
    <row r="212">
      <c r="A212" s="973" t="n"/>
      <c r="B212" s="973" t="n"/>
      <c r="C212" s="973" t="n"/>
      <c r="D212" s="973" t="n"/>
      <c r="E212" s="973" t="n"/>
      <c r="F212" s="973" t="n"/>
      <c r="G212" s="973" t="n"/>
      <c r="H212" s="973" t="n"/>
      <c r="I212" s="973" t="n"/>
      <c r="J212" s="973" t="n"/>
      <c r="K212" s="973" t="n"/>
      <c r="L212" s="973" t="n"/>
      <c r="M212" s="973" t="n"/>
      <c r="N212" s="973" t="n"/>
      <c r="O212" s="973" t="n"/>
      <c r="P212" s="973" t="n"/>
      <c r="Q212" s="973" t="n"/>
      <c r="R212" s="973" t="n"/>
      <c r="S212" s="973" t="n"/>
      <c r="T212" s="973" t="n"/>
      <c r="U212" s="973" t="n"/>
      <c r="V212" s="973" t="n"/>
      <c r="W212" s="973" t="n"/>
      <c r="X212" s="973" t="n"/>
      <c r="Y212" s="973" t="n"/>
      <c r="Z212" s="973" t="n"/>
      <c r="AA212" s="973" t="n"/>
      <c r="AB212" s="973" t="n"/>
      <c r="AC212" s="973" t="n"/>
      <c r="AD212" s="973" t="n"/>
      <c r="AE212" s="973" t="n"/>
      <c r="AF212" s="973" t="n"/>
      <c r="AG212" s="973" t="n"/>
      <c r="AH212" s="973" t="n"/>
      <c r="AI212" s="973" t="n"/>
      <c r="AJ212" s="973" t="n"/>
      <c r="AK212" s="973" t="n"/>
      <c r="AL212" s="973" t="n"/>
      <c r="AM212" s="973" t="n"/>
      <c r="AN212" s="973" t="n"/>
      <c r="AO212" s="973" t="n"/>
    </row>
    <row r="213">
      <c r="A213" s="973" t="n"/>
      <c r="B213" s="973" t="n"/>
      <c r="C213" s="973" t="n"/>
      <c r="D213" s="973" t="n"/>
      <c r="E213" s="973" t="n"/>
      <c r="F213" s="973" t="n"/>
      <c r="G213" s="973" t="n"/>
      <c r="H213" s="973" t="n"/>
      <c r="I213" s="973" t="n"/>
      <c r="J213" s="973" t="n"/>
      <c r="K213" s="973" t="n"/>
      <c r="L213" s="973" t="n"/>
      <c r="M213" s="973" t="n"/>
      <c r="N213" s="973" t="n"/>
      <c r="O213" s="973" t="n"/>
      <c r="P213" s="973" t="n"/>
      <c r="Q213" s="973" t="n"/>
      <c r="R213" s="973" t="n"/>
      <c r="S213" s="973" t="n"/>
      <c r="T213" s="973" t="n"/>
      <c r="U213" s="973" t="n"/>
      <c r="V213" s="973" t="n"/>
      <c r="W213" s="973" t="n"/>
      <c r="X213" s="973" t="n"/>
      <c r="Y213" s="973" t="n"/>
      <c r="Z213" s="973" t="n"/>
      <c r="AA213" s="973" t="n"/>
      <c r="AB213" s="973" t="n"/>
      <c r="AC213" s="973" t="n"/>
      <c r="AD213" s="973" t="n"/>
      <c r="AE213" s="973" t="n"/>
      <c r="AF213" s="973" t="n"/>
      <c r="AG213" s="973" t="n"/>
      <c r="AH213" s="973" t="n"/>
      <c r="AI213" s="973" t="n"/>
      <c r="AJ213" s="973" t="n"/>
      <c r="AK213" s="973" t="n"/>
      <c r="AL213" s="973" t="n"/>
      <c r="AM213" s="973" t="n"/>
      <c r="AN213" s="973" t="n"/>
      <c r="AO213" s="973" t="n"/>
    </row>
    <row r="214">
      <c r="A214" s="973" t="n"/>
      <c r="B214" s="973" t="n"/>
      <c r="C214" s="973" t="n"/>
      <c r="D214" s="973" t="n"/>
      <c r="E214" s="973" t="n"/>
      <c r="F214" s="973" t="n"/>
      <c r="G214" s="973" t="n"/>
      <c r="H214" s="973" t="n"/>
      <c r="I214" s="973" t="n"/>
      <c r="J214" s="973" t="n"/>
      <c r="K214" s="973" t="n"/>
      <c r="L214" s="973" t="n"/>
      <c r="M214" s="973" t="n"/>
      <c r="N214" s="973" t="n"/>
      <c r="O214" s="973" t="n"/>
      <c r="P214" s="973" t="n"/>
      <c r="Q214" s="973" t="n"/>
      <c r="R214" s="973" t="n"/>
      <c r="S214" s="973" t="n"/>
      <c r="T214" s="973" t="n"/>
      <c r="U214" s="973" t="n"/>
      <c r="V214" s="973" t="n"/>
      <c r="W214" s="973" t="n"/>
      <c r="X214" s="973" t="n"/>
      <c r="Y214" s="973" t="n"/>
      <c r="Z214" s="973" t="n"/>
      <c r="AA214" s="973" t="n"/>
      <c r="AB214" s="973" t="n"/>
      <c r="AC214" s="973" t="n"/>
      <c r="AD214" s="973" t="n"/>
      <c r="AE214" s="973" t="n"/>
      <c r="AF214" s="973" t="n"/>
      <c r="AG214" s="973" t="n"/>
      <c r="AH214" s="973" t="n"/>
      <c r="AI214" s="973" t="n"/>
      <c r="AJ214" s="973" t="n"/>
      <c r="AK214" s="973" t="n"/>
      <c r="AL214" s="973" t="n"/>
      <c r="AM214" s="973" t="n"/>
      <c r="AN214" s="973" t="n"/>
      <c r="AO214" s="973" t="n"/>
    </row>
    <row r="215">
      <c r="A215" s="973" t="n"/>
      <c r="B215" s="973" t="n"/>
      <c r="C215" s="973" t="n"/>
      <c r="D215" s="973" t="n"/>
      <c r="E215" s="973" t="n"/>
      <c r="F215" s="973" t="n"/>
      <c r="G215" s="973" t="n"/>
      <c r="H215" s="973" t="n"/>
      <c r="I215" s="973" t="n"/>
      <c r="J215" s="973" t="n"/>
      <c r="K215" s="973" t="n"/>
      <c r="L215" s="973" t="n"/>
      <c r="M215" s="973" t="n"/>
      <c r="N215" s="973" t="n"/>
      <c r="O215" s="973" t="n"/>
      <c r="P215" s="973" t="n"/>
      <c r="Q215" s="973" t="n"/>
      <c r="R215" s="973" t="n"/>
      <c r="S215" s="973" t="n"/>
      <c r="T215" s="973" t="n"/>
      <c r="U215" s="973" t="n"/>
      <c r="V215" s="973" t="n"/>
      <c r="W215" s="973" t="n"/>
      <c r="X215" s="973" t="n"/>
      <c r="Y215" s="973" t="n"/>
      <c r="Z215" s="973" t="n"/>
      <c r="AA215" s="973" t="n"/>
      <c r="AB215" s="973" t="n"/>
      <c r="AC215" s="973" t="n"/>
      <c r="AD215" s="973" t="n"/>
      <c r="AE215" s="973" t="n"/>
      <c r="AF215" s="973" t="n"/>
      <c r="AG215" s="973" t="n"/>
      <c r="AH215" s="973" t="n"/>
      <c r="AI215" s="973" t="n"/>
      <c r="AJ215" s="973" t="n"/>
      <c r="AK215" s="973" t="n"/>
      <c r="AL215" s="973" t="n"/>
      <c r="AM215" s="973" t="n"/>
      <c r="AN215" s="973" t="n"/>
      <c r="AO215" s="973" t="n"/>
    </row>
    <row r="216">
      <c r="A216" s="973" t="n"/>
      <c r="B216" s="973" t="n"/>
      <c r="C216" s="973" t="n"/>
      <c r="D216" s="973" t="n"/>
      <c r="E216" s="973" t="n"/>
      <c r="F216" s="973" t="n"/>
      <c r="G216" s="973" t="n"/>
      <c r="H216" s="973" t="n"/>
      <c r="I216" s="973" t="n"/>
      <c r="J216" s="973" t="n"/>
      <c r="K216" s="973" t="n"/>
      <c r="L216" s="973" t="n"/>
      <c r="M216" s="973" t="n"/>
      <c r="N216" s="973" t="n"/>
      <c r="O216" s="973" t="n"/>
      <c r="P216" s="973" t="n"/>
      <c r="Q216" s="973" t="n"/>
      <c r="R216" s="973" t="n"/>
      <c r="S216" s="973" t="n"/>
      <c r="T216" s="973" t="n"/>
      <c r="U216" s="973" t="n"/>
      <c r="V216" s="973" t="n"/>
      <c r="W216" s="973" t="n"/>
      <c r="X216" s="973" t="n"/>
      <c r="Y216" s="973" t="n"/>
      <c r="Z216" s="973" t="n"/>
      <c r="AA216" s="973" t="n"/>
      <c r="AB216" s="973" t="n"/>
      <c r="AC216" s="973" t="n"/>
      <c r="AD216" s="973" t="n"/>
      <c r="AE216" s="973" t="n"/>
      <c r="AF216" s="973" t="n"/>
      <c r="AG216" s="973" t="n"/>
      <c r="AH216" s="973" t="n"/>
      <c r="AI216" s="973" t="n"/>
      <c r="AJ216" s="973" t="n"/>
      <c r="AK216" s="973" t="n"/>
      <c r="AL216" s="973" t="n"/>
      <c r="AM216" s="973" t="n"/>
      <c r="AN216" s="973" t="n"/>
      <c r="AO216" s="973" t="n"/>
    </row>
    <row r="217">
      <c r="A217" s="973" t="n"/>
      <c r="B217" s="973" t="n"/>
      <c r="C217" s="973" t="n"/>
      <c r="D217" s="973" t="n"/>
      <c r="E217" s="973" t="n"/>
      <c r="F217" s="973" t="n"/>
      <c r="G217" s="973" t="n"/>
      <c r="H217" s="973" t="n"/>
      <c r="I217" s="973" t="n"/>
      <c r="J217" s="973" t="n"/>
      <c r="K217" s="973" t="n"/>
      <c r="L217" s="973" t="n"/>
      <c r="M217" s="973" t="n"/>
      <c r="N217" s="973" t="n"/>
      <c r="O217" s="973" t="n"/>
      <c r="P217" s="973" t="n"/>
      <c r="Q217" s="973" t="n"/>
      <c r="R217" s="973" t="n"/>
      <c r="S217" s="973" t="n"/>
      <c r="T217" s="973" t="n"/>
      <c r="U217" s="973" t="n"/>
      <c r="V217" s="973" t="n"/>
      <c r="W217" s="973" t="n"/>
      <c r="X217" s="973" t="n"/>
      <c r="Y217" s="973" t="n"/>
      <c r="Z217" s="973" t="n"/>
      <c r="AA217" s="973" t="n"/>
      <c r="AB217" s="973" t="n"/>
      <c r="AC217" s="973" t="n"/>
      <c r="AD217" s="973" t="n"/>
      <c r="AE217" s="973" t="n"/>
      <c r="AF217" s="973" t="n"/>
      <c r="AG217" s="973" t="n"/>
      <c r="AH217" s="973" t="n"/>
      <c r="AI217" s="973" t="n"/>
      <c r="AJ217" s="973" t="n"/>
      <c r="AK217" s="973" t="n"/>
      <c r="AL217" s="973" t="n"/>
      <c r="AM217" s="973" t="n"/>
      <c r="AN217" s="973" t="n"/>
      <c r="AO217" s="973" t="n"/>
    </row>
    <row r="218">
      <c r="A218" s="973" t="n"/>
      <c r="B218" s="973" t="n"/>
      <c r="C218" s="973" t="n"/>
      <c r="D218" s="973" t="n"/>
      <c r="E218" s="973" t="n"/>
      <c r="F218" s="973" t="n"/>
      <c r="G218" s="973" t="n"/>
      <c r="H218" s="973" t="n"/>
      <c r="I218" s="973" t="n"/>
      <c r="J218" s="973" t="n"/>
      <c r="K218" s="973" t="n"/>
      <c r="L218" s="973" t="n"/>
      <c r="M218" s="973" t="n"/>
      <c r="N218" s="973" t="n"/>
      <c r="O218" s="973" t="n"/>
      <c r="P218" s="973" t="n"/>
      <c r="Q218" s="973" t="n"/>
      <c r="R218" s="973" t="n"/>
      <c r="S218" s="973" t="n"/>
      <c r="T218" s="973" t="n"/>
      <c r="U218" s="973" t="n"/>
      <c r="V218" s="973" t="n"/>
      <c r="W218" s="973" t="n"/>
      <c r="X218" s="973" t="n"/>
      <c r="Y218" s="973" t="n"/>
      <c r="Z218" s="973" t="n"/>
      <c r="AA218" s="973" t="n"/>
      <c r="AB218" s="973" t="n"/>
      <c r="AC218" s="973" t="n"/>
      <c r="AD218" s="973" t="n"/>
      <c r="AE218" s="973" t="n"/>
      <c r="AF218" s="973" t="n"/>
      <c r="AG218" s="973" t="n"/>
      <c r="AH218" s="973" t="n"/>
      <c r="AI218" s="973" t="n"/>
      <c r="AJ218" s="973" t="n"/>
      <c r="AK218" s="973" t="n"/>
      <c r="AL218" s="973" t="n"/>
      <c r="AM218" s="973" t="n"/>
      <c r="AN218" s="973" t="n"/>
      <c r="AO218" s="973" t="n"/>
    </row>
    <row r="219">
      <c r="A219" s="973" t="n"/>
      <c r="B219" s="973" t="n"/>
      <c r="C219" s="973" t="n"/>
      <c r="D219" s="973" t="n"/>
      <c r="E219" s="973" t="n"/>
      <c r="F219" s="973" t="n"/>
      <c r="G219" s="973" t="n"/>
      <c r="H219" s="973" t="n"/>
      <c r="I219" s="973" t="n"/>
      <c r="J219" s="973" t="n"/>
      <c r="K219" s="973" t="n"/>
      <c r="L219" s="973" t="n"/>
      <c r="M219" s="973" t="n"/>
      <c r="N219" s="973" t="n"/>
      <c r="O219" s="973" t="n"/>
      <c r="P219" s="973" t="n"/>
      <c r="Q219" s="973" t="n"/>
      <c r="R219" s="973" t="n"/>
      <c r="S219" s="973" t="n"/>
      <c r="T219" s="973" t="n"/>
      <c r="U219" s="973" t="n"/>
      <c r="V219" s="973" t="n"/>
      <c r="W219" s="973" t="n"/>
      <c r="X219" s="973" t="n"/>
      <c r="Y219" s="973" t="n"/>
      <c r="Z219" s="973" t="n"/>
      <c r="AA219" s="973" t="n"/>
      <c r="AB219" s="973" t="n"/>
      <c r="AC219" s="973" t="n"/>
      <c r="AD219" s="973" t="n"/>
      <c r="AE219" s="973" t="n"/>
      <c r="AF219" s="973" t="n"/>
      <c r="AG219" s="973" t="n"/>
      <c r="AH219" s="973" t="n"/>
      <c r="AI219" s="973" t="n"/>
      <c r="AJ219" s="973" t="n"/>
      <c r="AK219" s="973" t="n"/>
      <c r="AL219" s="973" t="n"/>
      <c r="AM219" s="973" t="n"/>
      <c r="AN219" s="973" t="n"/>
      <c r="AO219" s="973" t="n"/>
    </row>
    <row r="220">
      <c r="A220" s="973" t="n"/>
      <c r="B220" s="973" t="n"/>
      <c r="C220" s="973" t="n"/>
      <c r="D220" s="973" t="n"/>
      <c r="E220" s="973" t="n"/>
      <c r="F220" s="973" t="n"/>
      <c r="G220" s="973" t="n"/>
      <c r="H220" s="973" t="n"/>
      <c r="I220" s="973" t="n"/>
      <c r="J220" s="973" t="n"/>
      <c r="K220" s="973" t="n"/>
      <c r="L220" s="973" t="n"/>
      <c r="M220" s="973" t="n"/>
      <c r="N220" s="973" t="n"/>
      <c r="O220" s="973" t="n"/>
      <c r="P220" s="973" t="n"/>
      <c r="Q220" s="973" t="n"/>
      <c r="R220" s="973" t="n"/>
      <c r="S220" s="973" t="n"/>
      <c r="T220" s="973" t="n"/>
      <c r="U220" s="973" t="n"/>
      <c r="V220" s="973" t="n"/>
      <c r="W220" s="973" t="n"/>
      <c r="X220" s="973" t="n"/>
      <c r="Y220" s="973" t="n"/>
      <c r="Z220" s="973" t="n"/>
      <c r="AA220" s="973" t="n"/>
      <c r="AB220" s="973" t="n"/>
      <c r="AC220" s="973" t="n"/>
      <c r="AD220" s="973" t="n"/>
      <c r="AE220" s="973" t="n"/>
      <c r="AF220" s="973" t="n"/>
      <c r="AG220" s="973" t="n"/>
      <c r="AH220" s="973" t="n"/>
      <c r="AI220" s="973" t="n"/>
      <c r="AJ220" s="973" t="n"/>
      <c r="AK220" s="973" t="n"/>
      <c r="AL220" s="973" t="n"/>
      <c r="AM220" s="973" t="n"/>
      <c r="AN220" s="973" t="n"/>
      <c r="AO220" s="973" t="n"/>
    </row>
    <row r="221">
      <c r="A221" s="973" t="n"/>
      <c r="B221" s="973" t="n"/>
      <c r="C221" s="973" t="n"/>
      <c r="D221" s="973" t="n"/>
      <c r="E221" s="973" t="n"/>
      <c r="F221" s="973" t="n"/>
      <c r="G221" s="973" t="n"/>
      <c r="H221" s="973" t="n"/>
      <c r="I221" s="973" t="n"/>
      <c r="J221" s="973" t="n"/>
      <c r="K221" s="973" t="n"/>
      <c r="L221" s="973" t="n"/>
      <c r="M221" s="973" t="n"/>
      <c r="N221" s="973" t="n"/>
      <c r="O221" s="973" t="n"/>
      <c r="P221" s="973" t="n"/>
      <c r="Q221" s="973" t="n"/>
      <c r="R221" s="973" t="n"/>
      <c r="S221" s="973" t="n"/>
      <c r="T221" s="973" t="n"/>
      <c r="U221" s="973" t="n"/>
      <c r="V221" s="973" t="n"/>
      <c r="W221" s="973" t="n"/>
      <c r="X221" s="973" t="n"/>
      <c r="Y221" s="973" t="n"/>
      <c r="Z221" s="973" t="n"/>
      <c r="AA221" s="973" t="n"/>
      <c r="AB221" s="973" t="n"/>
      <c r="AC221" s="973" t="n"/>
      <c r="AD221" s="973" t="n"/>
      <c r="AE221" s="973" t="n"/>
      <c r="AF221" s="973" t="n"/>
      <c r="AG221" s="973" t="n"/>
      <c r="AH221" s="973" t="n"/>
      <c r="AI221" s="973" t="n"/>
      <c r="AJ221" s="973" t="n"/>
      <c r="AK221" s="973" t="n"/>
      <c r="AL221" s="973" t="n"/>
      <c r="AM221" s="973" t="n"/>
      <c r="AN221" s="973" t="n"/>
      <c r="AO221" s="973" t="n"/>
    </row>
    <row r="222">
      <c r="A222" s="973" t="n"/>
      <c r="B222" s="973" t="n"/>
      <c r="C222" s="973" t="n"/>
      <c r="D222" s="973" t="n"/>
      <c r="E222" s="973" t="n"/>
      <c r="F222" s="973" t="n"/>
      <c r="G222" s="973" t="n"/>
      <c r="H222" s="973" t="n"/>
      <c r="I222" s="973" t="n"/>
      <c r="J222" s="973" t="n"/>
      <c r="K222" s="973" t="n"/>
      <c r="L222" s="973" t="n"/>
      <c r="M222" s="973" t="n"/>
      <c r="N222" s="973" t="n"/>
      <c r="O222" s="973" t="n"/>
      <c r="P222" s="973" t="n"/>
      <c r="Q222" s="973" t="n"/>
      <c r="R222" s="973" t="n"/>
      <c r="S222" s="973" t="n"/>
      <c r="T222" s="973" t="n"/>
      <c r="U222" s="973" t="n"/>
      <c r="V222" s="973" t="n"/>
      <c r="W222" s="973" t="n"/>
      <c r="X222" s="973" t="n"/>
      <c r="Y222" s="973" t="n"/>
      <c r="Z222" s="973" t="n"/>
      <c r="AA222" s="973" t="n"/>
      <c r="AB222" s="973" t="n"/>
      <c r="AC222" s="973" t="n"/>
      <c r="AD222" s="973" t="n"/>
      <c r="AE222" s="973" t="n"/>
      <c r="AF222" s="973" t="n"/>
      <c r="AG222" s="973" t="n"/>
      <c r="AH222" s="973" t="n"/>
      <c r="AI222" s="973" t="n"/>
      <c r="AJ222" s="973" t="n"/>
      <c r="AK222" s="973" t="n"/>
      <c r="AL222" s="973" t="n"/>
      <c r="AM222" s="973" t="n"/>
      <c r="AN222" s="973" t="n"/>
      <c r="AO222" s="973" t="n"/>
    </row>
    <row r="223">
      <c r="A223" s="973" t="n"/>
      <c r="B223" s="973" t="n"/>
      <c r="C223" s="973" t="n"/>
      <c r="D223" s="973" t="n"/>
      <c r="E223" s="973" t="n"/>
      <c r="F223" s="973" t="n"/>
      <c r="G223" s="973" t="n"/>
      <c r="H223" s="973" t="n"/>
      <c r="I223" s="973" t="n"/>
      <c r="J223" s="973" t="n"/>
      <c r="K223" s="973" t="n"/>
      <c r="L223" s="973" t="n"/>
      <c r="M223" s="973" t="n"/>
      <c r="N223" s="973" t="n"/>
      <c r="O223" s="973" t="n"/>
      <c r="P223" s="973" t="n"/>
      <c r="Q223" s="973" t="n"/>
      <c r="R223" s="973" t="n"/>
      <c r="S223" s="973" t="n"/>
      <c r="T223" s="973" t="n"/>
      <c r="U223" s="973" t="n"/>
      <c r="V223" s="973" t="n"/>
      <c r="W223" s="973" t="n"/>
      <c r="X223" s="973" t="n"/>
      <c r="Y223" s="973" t="n"/>
      <c r="Z223" s="973" t="n"/>
      <c r="AA223" s="973" t="n"/>
      <c r="AB223" s="973" t="n"/>
      <c r="AC223" s="973" t="n"/>
      <c r="AD223" s="973" t="n"/>
      <c r="AE223" s="973" t="n"/>
      <c r="AF223" s="973" t="n"/>
      <c r="AG223" s="973" t="n"/>
      <c r="AH223" s="973" t="n"/>
      <c r="AI223" s="973" t="n"/>
      <c r="AJ223" s="973" t="n"/>
      <c r="AK223" s="973" t="n"/>
      <c r="AL223" s="973" t="n"/>
      <c r="AM223" s="973" t="n"/>
      <c r="AN223" s="973" t="n"/>
      <c r="AO223" s="973" t="n"/>
    </row>
    <row r="224">
      <c r="A224" s="973" t="n"/>
      <c r="B224" s="973" t="n"/>
      <c r="C224" s="973" t="n"/>
      <c r="D224" s="973" t="n"/>
      <c r="E224" s="973" t="n"/>
      <c r="F224" s="973" t="n"/>
      <c r="G224" s="973" t="n"/>
      <c r="H224" s="973" t="n"/>
      <c r="I224" s="973" t="n"/>
      <c r="J224" s="973" t="n"/>
      <c r="K224" s="973" t="n"/>
      <c r="L224" s="973" t="n"/>
      <c r="M224" s="973" t="n"/>
      <c r="N224" s="973" t="n"/>
      <c r="O224" s="973" t="n"/>
      <c r="P224" s="973" t="n"/>
      <c r="Q224" s="973" t="n"/>
      <c r="R224" s="973" t="n"/>
      <c r="S224" s="973" t="n"/>
      <c r="T224" s="973" t="n"/>
      <c r="U224" s="973" t="n"/>
      <c r="V224" s="973" t="n"/>
      <c r="W224" s="973" t="n"/>
      <c r="X224" s="973" t="n"/>
      <c r="Y224" s="973" t="n"/>
      <c r="Z224" s="973" t="n"/>
      <c r="AA224" s="973" t="n"/>
      <c r="AB224" s="973" t="n"/>
      <c r="AC224" s="973" t="n"/>
      <c r="AD224" s="973" t="n"/>
      <c r="AE224" s="973" t="n"/>
      <c r="AF224" s="973" t="n"/>
      <c r="AG224" s="973" t="n"/>
      <c r="AH224" s="973" t="n"/>
      <c r="AI224" s="973" t="n"/>
      <c r="AJ224" s="973" t="n"/>
      <c r="AK224" s="973" t="n"/>
      <c r="AL224" s="973" t="n"/>
      <c r="AM224" s="973" t="n"/>
      <c r="AN224" s="973" t="n"/>
      <c r="AO224" s="973" t="n"/>
    </row>
    <row r="225">
      <c r="A225" s="973" t="n"/>
      <c r="B225" s="973" t="n"/>
      <c r="C225" s="973" t="n"/>
      <c r="D225" s="973" t="n"/>
      <c r="E225" s="973" t="n"/>
      <c r="F225" s="973" t="n"/>
      <c r="G225" s="973" t="n"/>
      <c r="H225" s="973" t="n"/>
      <c r="I225" s="973" t="n"/>
      <c r="J225" s="973" t="n"/>
      <c r="K225" s="973" t="n"/>
      <c r="L225" s="973" t="n"/>
      <c r="M225" s="973" t="n"/>
      <c r="N225" s="973" t="n"/>
      <c r="O225" s="973" t="n"/>
      <c r="P225" s="973" t="n"/>
      <c r="Q225" s="973" t="n"/>
      <c r="R225" s="973" t="n"/>
      <c r="S225" s="973" t="n"/>
      <c r="T225" s="973" t="n"/>
      <c r="U225" s="973" t="n"/>
      <c r="V225" s="973" t="n"/>
      <c r="W225" s="973" t="n"/>
      <c r="X225" s="973" t="n"/>
      <c r="Y225" s="973" t="n"/>
      <c r="Z225" s="973" t="n"/>
      <c r="AA225" s="973" t="n"/>
      <c r="AB225" s="973" t="n"/>
      <c r="AC225" s="973" t="n"/>
      <c r="AD225" s="973" t="n"/>
      <c r="AE225" s="973" t="n"/>
      <c r="AF225" s="973" t="n"/>
      <c r="AG225" s="973" t="n"/>
      <c r="AH225" s="973" t="n"/>
      <c r="AI225" s="973" t="n"/>
      <c r="AJ225" s="973" t="n"/>
      <c r="AK225" s="973" t="n"/>
      <c r="AL225" s="973" t="n"/>
      <c r="AM225" s="973" t="n"/>
      <c r="AN225" s="973" t="n"/>
      <c r="AO225" s="973" t="n"/>
    </row>
    <row r="226">
      <c r="A226" s="973" t="n"/>
      <c r="B226" s="973" t="n"/>
      <c r="C226" s="973" t="n"/>
      <c r="D226" s="973" t="n"/>
      <c r="E226" s="973" t="n"/>
      <c r="F226" s="973" t="n"/>
      <c r="G226" s="973" t="n"/>
      <c r="H226" s="973" t="n"/>
      <c r="I226" s="973" t="n"/>
      <c r="J226" s="973" t="n"/>
      <c r="K226" s="973" t="n"/>
      <c r="L226" s="973" t="n"/>
      <c r="M226" s="973" t="n"/>
      <c r="N226" s="973" t="n"/>
      <c r="O226" s="973" t="n"/>
      <c r="P226" s="973" t="n"/>
      <c r="Q226" s="973" t="n"/>
      <c r="R226" s="973" t="n"/>
      <c r="S226" s="973" t="n"/>
      <c r="T226" s="973" t="n"/>
      <c r="U226" s="973" t="n"/>
      <c r="V226" s="973" t="n"/>
      <c r="W226" s="973" t="n"/>
      <c r="X226" s="973" t="n"/>
      <c r="Y226" s="973" t="n"/>
      <c r="Z226" s="973" t="n"/>
      <c r="AA226" s="973" t="n"/>
      <c r="AB226" s="973" t="n"/>
      <c r="AC226" s="973" t="n"/>
      <c r="AD226" s="973" t="n"/>
      <c r="AE226" s="973" t="n"/>
      <c r="AF226" s="973" t="n"/>
      <c r="AG226" s="973" t="n"/>
      <c r="AH226" s="973" t="n"/>
      <c r="AI226" s="973" t="n"/>
      <c r="AJ226" s="973" t="n"/>
      <c r="AK226" s="973" t="n"/>
      <c r="AL226" s="973" t="n"/>
      <c r="AM226" s="973" t="n"/>
      <c r="AN226" s="973" t="n"/>
      <c r="AO226" s="973" t="n"/>
    </row>
    <row r="227">
      <c r="A227" s="973" t="n"/>
      <c r="B227" s="973" t="n"/>
      <c r="C227" s="973" t="n"/>
      <c r="D227" s="973" t="n"/>
      <c r="E227" s="973" t="n"/>
      <c r="F227" s="973" t="n"/>
      <c r="G227" s="973" t="n"/>
      <c r="H227" s="973" t="n"/>
      <c r="I227" s="973" t="n"/>
      <c r="J227" s="973" t="n"/>
      <c r="K227" s="973" t="n"/>
      <c r="L227" s="973" t="n"/>
      <c r="M227" s="973" t="n"/>
      <c r="N227" s="973" t="n"/>
      <c r="O227" s="973" t="n"/>
      <c r="P227" s="973" t="n"/>
      <c r="Q227" s="973" t="n"/>
      <c r="R227" s="973" t="n"/>
      <c r="S227" s="973" t="n"/>
      <c r="T227" s="973" t="n"/>
      <c r="U227" s="973" t="n"/>
      <c r="V227" s="973" t="n"/>
      <c r="W227" s="973" t="n"/>
      <c r="X227" s="973" t="n"/>
      <c r="Y227" s="973" t="n"/>
      <c r="Z227" s="973" t="n"/>
      <c r="AA227" s="973" t="n"/>
      <c r="AB227" s="973" t="n"/>
      <c r="AC227" s="973" t="n"/>
      <c r="AD227" s="973" t="n"/>
      <c r="AE227" s="973" t="n"/>
      <c r="AF227" s="973" t="n"/>
      <c r="AG227" s="973" t="n"/>
      <c r="AH227" s="973" t="n"/>
      <c r="AI227" s="973" t="n"/>
      <c r="AJ227" s="973" t="n"/>
      <c r="AK227" s="973" t="n"/>
      <c r="AL227" s="973" t="n"/>
      <c r="AM227" s="973" t="n"/>
      <c r="AN227" s="973" t="n"/>
      <c r="AO227" s="973" t="n"/>
    </row>
    <row r="228">
      <c r="A228" s="973" t="n"/>
      <c r="B228" s="973" t="n"/>
      <c r="C228" s="973" t="n"/>
      <c r="D228" s="973" t="n"/>
      <c r="E228" s="973" t="n"/>
      <c r="F228" s="973" t="n"/>
      <c r="G228" s="973" t="n"/>
      <c r="H228" s="973" t="n"/>
      <c r="I228" s="973" t="n"/>
      <c r="J228" s="973" t="n"/>
      <c r="K228" s="973" t="n"/>
      <c r="L228" s="973" t="n"/>
      <c r="M228" s="973" t="n"/>
      <c r="N228" s="973" t="n"/>
      <c r="O228" s="973" t="n"/>
      <c r="P228" s="973" t="n"/>
      <c r="Q228" s="973" t="n"/>
      <c r="R228" s="973" t="n"/>
      <c r="S228" s="973" t="n"/>
      <c r="T228" s="973" t="n"/>
      <c r="U228" s="973" t="n"/>
      <c r="V228" s="973" t="n"/>
      <c r="W228" s="973" t="n"/>
      <c r="X228" s="973" t="n"/>
      <c r="Y228" s="973" t="n"/>
      <c r="Z228" s="973" t="n"/>
      <c r="AA228" s="973" t="n"/>
      <c r="AB228" s="973" t="n"/>
      <c r="AC228" s="973" t="n"/>
      <c r="AD228" s="973" t="n"/>
      <c r="AE228" s="973" t="n"/>
      <c r="AF228" s="973" t="n"/>
      <c r="AG228" s="973" t="n"/>
      <c r="AH228" s="973" t="n"/>
      <c r="AI228" s="973" t="n"/>
      <c r="AJ228" s="973" t="n"/>
      <c r="AK228" s="973" t="n"/>
      <c r="AL228" s="973" t="n"/>
      <c r="AM228" s="973" t="n"/>
      <c r="AN228" s="973" t="n"/>
      <c r="AO228" s="973" t="n"/>
    </row>
    <row r="229">
      <c r="A229" s="973" t="n"/>
      <c r="B229" s="973" t="n"/>
      <c r="C229" s="973" t="n"/>
      <c r="D229" s="973" t="n"/>
      <c r="E229" s="973" t="n"/>
      <c r="F229" s="973" t="n"/>
      <c r="G229" s="973" t="n"/>
      <c r="H229" s="973" t="n"/>
      <c r="I229" s="973" t="n"/>
      <c r="J229" s="973" t="n"/>
      <c r="K229" s="973" t="n"/>
      <c r="L229" s="973" t="n"/>
      <c r="M229" s="973" t="n"/>
      <c r="N229" s="973" t="n"/>
      <c r="O229" s="973" t="n"/>
      <c r="P229" s="973" t="n"/>
      <c r="Q229" s="973" t="n"/>
      <c r="R229" s="973" t="n"/>
      <c r="S229" s="973" t="n"/>
      <c r="T229" s="973" t="n"/>
      <c r="U229" s="973" t="n"/>
      <c r="V229" s="973" t="n"/>
      <c r="W229" s="973" t="n"/>
      <c r="X229" s="973" t="n"/>
      <c r="Y229" s="973" t="n"/>
      <c r="Z229" s="973" t="n"/>
      <c r="AA229" s="973" t="n"/>
      <c r="AB229" s="973" t="n"/>
      <c r="AC229" s="973" t="n"/>
      <c r="AD229" s="973" t="n"/>
      <c r="AE229" s="973" t="n"/>
      <c r="AF229" s="973" t="n"/>
      <c r="AG229" s="973" t="n"/>
      <c r="AH229" s="973" t="n"/>
      <c r="AI229" s="973" t="n"/>
      <c r="AJ229" s="973" t="n"/>
      <c r="AK229" s="973" t="n"/>
      <c r="AL229" s="973" t="n"/>
      <c r="AM229" s="973" t="n"/>
      <c r="AN229" s="973" t="n"/>
      <c r="AO229" s="973" t="n"/>
    </row>
    <row r="230">
      <c r="A230" s="973" t="n"/>
      <c r="B230" s="973" t="n"/>
      <c r="C230" s="973" t="n"/>
      <c r="D230" s="973" t="n"/>
      <c r="E230" s="973" t="n"/>
      <c r="F230" s="973" t="n"/>
      <c r="G230" s="973" t="n"/>
      <c r="H230" s="973" t="n"/>
      <c r="I230" s="973" t="n"/>
      <c r="J230" s="973" t="n"/>
      <c r="K230" s="973" t="n"/>
      <c r="L230" s="973" t="n"/>
      <c r="M230" s="973" t="n"/>
      <c r="N230" s="973" t="n"/>
      <c r="O230" s="973" t="n"/>
      <c r="P230" s="973" t="n"/>
      <c r="Q230" s="973" t="n"/>
      <c r="R230" s="973" t="n"/>
      <c r="S230" s="973" t="n"/>
      <c r="T230" s="973" t="n"/>
      <c r="U230" s="973" t="n"/>
      <c r="V230" s="973" t="n"/>
      <c r="W230" s="973" t="n"/>
      <c r="X230" s="973" t="n"/>
      <c r="Y230" s="973" t="n"/>
      <c r="Z230" s="973" t="n"/>
      <c r="AA230" s="973" t="n"/>
      <c r="AB230" s="973" t="n"/>
      <c r="AC230" s="973" t="n"/>
      <c r="AD230" s="973" t="n"/>
      <c r="AE230" s="973" t="n"/>
      <c r="AF230" s="973" t="n"/>
      <c r="AG230" s="973" t="n"/>
      <c r="AH230" s="973" t="n"/>
      <c r="AI230" s="973" t="n"/>
      <c r="AJ230" s="973" t="n"/>
      <c r="AK230" s="973" t="n"/>
      <c r="AL230" s="973" t="n"/>
      <c r="AM230" s="973" t="n"/>
      <c r="AN230" s="973" t="n"/>
      <c r="AO230" s="973" t="n"/>
    </row>
    <row r="231">
      <c r="A231" s="973" t="n"/>
      <c r="B231" s="973" t="n"/>
      <c r="C231" s="973" t="n"/>
      <c r="D231" s="973" t="n"/>
      <c r="E231" s="973" t="n"/>
      <c r="F231" s="973" t="n"/>
      <c r="G231" s="973" t="n"/>
      <c r="H231" s="973" t="n"/>
      <c r="I231" s="973" t="n"/>
      <c r="J231" s="973" t="n"/>
      <c r="K231" s="973" t="n"/>
      <c r="L231" s="973" t="n"/>
      <c r="M231" s="973" t="n"/>
      <c r="N231" s="973" t="n"/>
      <c r="O231" s="973" t="n"/>
      <c r="P231" s="973" t="n"/>
      <c r="Q231" s="973" t="n"/>
      <c r="R231" s="973" t="n"/>
      <c r="S231" s="973" t="n"/>
      <c r="T231" s="973" t="n"/>
      <c r="U231" s="973" t="n"/>
      <c r="V231" s="973" t="n"/>
      <c r="W231" s="973" t="n"/>
      <c r="X231" s="973" t="n"/>
      <c r="Y231" s="973" t="n"/>
      <c r="Z231" s="973" t="n"/>
      <c r="AA231" s="973" t="n"/>
      <c r="AB231" s="973" t="n"/>
      <c r="AC231" s="973" t="n"/>
      <c r="AD231" s="973" t="n"/>
      <c r="AE231" s="973" t="n"/>
      <c r="AF231" s="973" t="n"/>
      <c r="AG231" s="973" t="n"/>
      <c r="AH231" s="973" t="n"/>
      <c r="AI231" s="973" t="n"/>
      <c r="AJ231" s="973" t="n"/>
      <c r="AK231" s="973" t="n"/>
      <c r="AL231" s="973" t="n"/>
      <c r="AM231" s="973" t="n"/>
      <c r="AN231" s="973" t="n"/>
      <c r="AO231" s="973" t="n"/>
    </row>
    <row r="232">
      <c r="A232" s="973" t="n"/>
      <c r="B232" s="973" t="n"/>
      <c r="C232" s="973" t="n"/>
      <c r="D232" s="973" t="n"/>
      <c r="E232" s="973" t="n"/>
      <c r="F232" s="973" t="n"/>
      <c r="G232" s="973" t="n"/>
      <c r="H232" s="973" t="n"/>
      <c r="I232" s="973" t="n"/>
      <c r="J232" s="973" t="n"/>
      <c r="K232" s="973" t="n"/>
      <c r="L232" s="973" t="n"/>
      <c r="M232" s="973" t="n"/>
      <c r="N232" s="973" t="n"/>
      <c r="O232" s="973" t="n"/>
      <c r="P232" s="973" t="n"/>
      <c r="Q232" s="973" t="n"/>
      <c r="R232" s="973" t="n"/>
      <c r="S232" s="973" t="n"/>
      <c r="T232" s="973" t="n"/>
      <c r="U232" s="973" t="n"/>
      <c r="V232" s="973" t="n"/>
      <c r="W232" s="973" t="n"/>
      <c r="X232" s="973" t="n"/>
      <c r="Y232" s="973" t="n"/>
      <c r="Z232" s="973" t="n"/>
      <c r="AA232" s="973" t="n"/>
      <c r="AB232" s="973" t="n"/>
      <c r="AC232" s="973" t="n"/>
      <c r="AD232" s="973" t="n"/>
      <c r="AE232" s="973" t="n"/>
      <c r="AF232" s="973" t="n"/>
      <c r="AG232" s="973" t="n"/>
      <c r="AH232" s="973" t="n"/>
      <c r="AI232" s="973" t="n"/>
      <c r="AJ232" s="973" t="n"/>
      <c r="AK232" s="973" t="n"/>
      <c r="AL232" s="973" t="n"/>
      <c r="AM232" s="973" t="n"/>
      <c r="AN232" s="973" t="n"/>
      <c r="AO232" s="973" t="n"/>
    </row>
    <row r="233">
      <c r="A233" s="973" t="n"/>
      <c r="B233" s="973" t="n"/>
      <c r="C233" s="973" t="n"/>
      <c r="D233" s="973" t="n"/>
      <c r="E233" s="973" t="n"/>
      <c r="F233" s="973" t="n"/>
      <c r="G233" s="973" t="n"/>
      <c r="H233" s="973" t="n"/>
      <c r="I233" s="973" t="n"/>
      <c r="J233" s="973" t="n"/>
      <c r="K233" s="973" t="n"/>
      <c r="L233" s="973" t="n"/>
      <c r="M233" s="973" t="n"/>
      <c r="N233" s="973" t="n"/>
      <c r="O233" s="973" t="n"/>
      <c r="P233" s="973" t="n"/>
      <c r="Q233" s="973" t="n"/>
      <c r="R233" s="973" t="n"/>
      <c r="S233" s="973" t="n"/>
      <c r="T233" s="973" t="n"/>
      <c r="U233" s="973" t="n"/>
      <c r="V233" s="973" t="n"/>
      <c r="W233" s="973" t="n"/>
      <c r="X233" s="973" t="n"/>
      <c r="Y233" s="973" t="n"/>
      <c r="Z233" s="973" t="n"/>
      <c r="AA233" s="973" t="n"/>
      <c r="AB233" s="973" t="n"/>
      <c r="AC233" s="973" t="n"/>
      <c r="AD233" s="973" t="n"/>
      <c r="AE233" s="973" t="n"/>
      <c r="AF233" s="973" t="n"/>
      <c r="AG233" s="973" t="n"/>
      <c r="AH233" s="973" t="n"/>
      <c r="AI233" s="973" t="n"/>
      <c r="AJ233" s="973" t="n"/>
      <c r="AK233" s="973" t="n"/>
      <c r="AL233" s="973" t="n"/>
      <c r="AM233" s="973" t="n"/>
      <c r="AN233" s="973" t="n"/>
      <c r="AO233" s="973" t="n"/>
    </row>
    <row r="234">
      <c r="A234" s="973" t="n"/>
      <c r="B234" s="973" t="n"/>
      <c r="C234" s="973" t="n"/>
      <c r="D234" s="973" t="n"/>
      <c r="E234" s="973" t="n"/>
      <c r="F234" s="973" t="n"/>
      <c r="G234" s="973" t="n"/>
      <c r="H234" s="973" t="n"/>
      <c r="I234" s="973" t="n"/>
      <c r="J234" s="973" t="n"/>
      <c r="K234" s="973" t="n"/>
      <c r="L234" s="973" t="n"/>
      <c r="M234" s="973" t="n"/>
      <c r="N234" s="973" t="n"/>
      <c r="O234" s="973" t="n"/>
      <c r="P234" s="973" t="n"/>
      <c r="Q234" s="973" t="n"/>
      <c r="R234" s="973" t="n"/>
      <c r="S234" s="973" t="n"/>
      <c r="T234" s="973" t="n"/>
      <c r="U234" s="973" t="n"/>
      <c r="V234" s="973" t="n"/>
      <c r="W234" s="973" t="n"/>
      <c r="X234" s="973" t="n"/>
      <c r="Y234" s="973" t="n"/>
      <c r="Z234" s="973" t="n"/>
      <c r="AA234" s="973" t="n"/>
      <c r="AB234" s="973" t="n"/>
      <c r="AC234" s="973" t="n"/>
      <c r="AD234" s="973" t="n"/>
      <c r="AE234" s="973" t="n"/>
      <c r="AF234" s="973" t="n"/>
      <c r="AG234" s="973" t="n"/>
      <c r="AH234" s="973" t="n"/>
      <c r="AI234" s="973" t="n"/>
      <c r="AJ234" s="973" t="n"/>
      <c r="AK234" s="973" t="n"/>
      <c r="AL234" s="973" t="n"/>
      <c r="AM234" s="973" t="n"/>
      <c r="AN234" s="973" t="n"/>
      <c r="AO234" s="973" t="n"/>
    </row>
    <row r="235">
      <c r="A235" s="973" t="n"/>
      <c r="B235" s="973" t="n"/>
      <c r="C235" s="973" t="n"/>
      <c r="D235" s="973" t="n"/>
      <c r="E235" s="973" t="n"/>
      <c r="F235" s="973" t="n"/>
      <c r="G235" s="973" t="n"/>
      <c r="H235" s="973" t="n"/>
      <c r="I235" s="973" t="n"/>
      <c r="J235" s="973" t="n"/>
      <c r="K235" s="973" t="n"/>
      <c r="L235" s="973" t="n"/>
      <c r="M235" s="973" t="n"/>
      <c r="N235" s="973" t="n"/>
      <c r="O235" s="973" t="n"/>
      <c r="P235" s="973" t="n"/>
      <c r="Q235" s="973" t="n"/>
      <c r="R235" s="973" t="n"/>
      <c r="S235" s="973" t="n"/>
      <c r="T235" s="973" t="n"/>
      <c r="U235" s="973" t="n"/>
      <c r="V235" s="973" t="n"/>
      <c r="W235" s="973" t="n"/>
      <c r="X235" s="973" t="n"/>
      <c r="Y235" s="973" t="n"/>
      <c r="Z235" s="973" t="n"/>
      <c r="AA235" s="973" t="n"/>
      <c r="AB235" s="973" t="n"/>
      <c r="AC235" s="973" t="n"/>
      <c r="AD235" s="973" t="n"/>
      <c r="AE235" s="973" t="n"/>
      <c r="AF235" s="973" t="n"/>
      <c r="AG235" s="973" t="n"/>
      <c r="AH235" s="973" t="n"/>
      <c r="AI235" s="973" t="n"/>
      <c r="AJ235" s="973" t="n"/>
      <c r="AK235" s="973" t="n"/>
      <c r="AL235" s="973" t="n"/>
      <c r="AM235" s="973" t="n"/>
      <c r="AN235" s="973" t="n"/>
      <c r="AO235" s="973" t="n"/>
    </row>
    <row r="236">
      <c r="A236" s="973" t="n"/>
      <c r="B236" s="973" t="n"/>
      <c r="C236" s="973" t="n"/>
      <c r="D236" s="973" t="n"/>
      <c r="E236" s="973" t="n"/>
      <c r="F236" s="973" t="n"/>
      <c r="G236" s="973" t="n"/>
      <c r="H236" s="973" t="n"/>
      <c r="I236" s="973" t="n"/>
      <c r="J236" s="973" t="n"/>
      <c r="K236" s="973" t="n"/>
      <c r="L236" s="973" t="n"/>
      <c r="M236" s="973" t="n"/>
      <c r="N236" s="973" t="n"/>
      <c r="O236" s="973" t="n"/>
      <c r="P236" s="973" t="n"/>
      <c r="Q236" s="973" t="n"/>
      <c r="R236" s="973" t="n"/>
      <c r="S236" s="973" t="n"/>
      <c r="T236" s="973" t="n"/>
      <c r="U236" s="973" t="n"/>
      <c r="V236" s="973" t="n"/>
      <c r="W236" s="973" t="n"/>
      <c r="X236" s="973" t="n"/>
      <c r="Y236" s="973" t="n"/>
      <c r="Z236" s="973" t="n"/>
      <c r="AA236" s="973" t="n"/>
      <c r="AB236" s="973" t="n"/>
      <c r="AC236" s="973" t="n"/>
      <c r="AD236" s="973" t="n"/>
      <c r="AE236" s="973" t="n"/>
      <c r="AF236" s="973" t="n"/>
      <c r="AG236" s="973" t="n"/>
      <c r="AH236" s="973" t="n"/>
      <c r="AI236" s="973" t="n"/>
      <c r="AJ236" s="973" t="n"/>
      <c r="AK236" s="973" t="n"/>
      <c r="AL236" s="973" t="n"/>
      <c r="AM236" s="973" t="n"/>
      <c r="AN236" s="973" t="n"/>
      <c r="AO236" s="973" t="n"/>
    </row>
    <row r="237">
      <c r="A237" s="973" t="n"/>
      <c r="B237" s="973" t="n"/>
      <c r="C237" s="973" t="n"/>
      <c r="D237" s="973" t="n"/>
      <c r="E237" s="973" t="n"/>
      <c r="F237" s="973" t="n"/>
      <c r="G237" s="973" t="n"/>
      <c r="H237" s="973" t="n"/>
      <c r="I237" s="973" t="n"/>
      <c r="J237" s="973" t="n"/>
      <c r="K237" s="973" t="n"/>
      <c r="L237" s="973" t="n"/>
      <c r="M237" s="973" t="n"/>
      <c r="N237" s="973" t="n"/>
      <c r="O237" s="973" t="n"/>
      <c r="P237" s="973" t="n"/>
      <c r="Q237" s="973" t="n"/>
      <c r="R237" s="973" t="n"/>
      <c r="S237" s="973" t="n"/>
      <c r="T237" s="973" t="n"/>
      <c r="U237" s="973" t="n"/>
      <c r="V237" s="973" t="n"/>
      <c r="W237" s="973" t="n"/>
      <c r="X237" s="973" t="n"/>
      <c r="Y237" s="973" t="n"/>
      <c r="Z237" s="973" t="n"/>
      <c r="AA237" s="973" t="n"/>
      <c r="AB237" s="973" t="n"/>
      <c r="AC237" s="973" t="n"/>
      <c r="AD237" s="973" t="n"/>
      <c r="AE237" s="973" t="n"/>
      <c r="AF237" s="973" t="n"/>
      <c r="AG237" s="973" t="n"/>
      <c r="AH237" s="973" t="n"/>
      <c r="AI237" s="973" t="n"/>
      <c r="AJ237" s="973" t="n"/>
      <c r="AK237" s="973" t="n"/>
      <c r="AL237" s="973" t="n"/>
      <c r="AM237" s="973" t="n"/>
      <c r="AN237" s="973" t="n"/>
      <c r="AO237" s="973" t="n"/>
    </row>
    <row r="238">
      <c r="A238" s="973" t="n"/>
      <c r="B238" s="973" t="n"/>
      <c r="C238" s="973" t="n"/>
      <c r="D238" s="973" t="n"/>
      <c r="E238" s="973" t="n"/>
      <c r="F238" s="973" t="n"/>
      <c r="G238" s="973" t="n"/>
      <c r="H238" s="973" t="n"/>
      <c r="I238" s="973" t="n"/>
      <c r="J238" s="973" t="n"/>
      <c r="K238" s="973" t="n"/>
      <c r="L238" s="973" t="n"/>
      <c r="M238" s="973" t="n"/>
      <c r="N238" s="973" t="n"/>
      <c r="O238" s="973" t="n"/>
      <c r="P238" s="973" t="n"/>
      <c r="Q238" s="973" t="n"/>
      <c r="R238" s="973" t="n"/>
      <c r="S238" s="973" t="n"/>
      <c r="T238" s="973" t="n"/>
      <c r="U238" s="973" t="n"/>
      <c r="V238" s="973" t="n"/>
      <c r="W238" s="973" t="n"/>
      <c r="X238" s="973" t="n"/>
      <c r="Y238" s="973" t="n"/>
      <c r="Z238" s="973" t="n"/>
      <c r="AA238" s="973" t="n"/>
      <c r="AB238" s="973" t="n"/>
      <c r="AC238" s="973" t="n"/>
      <c r="AD238" s="973" t="n"/>
      <c r="AE238" s="973" t="n"/>
      <c r="AF238" s="973" t="n"/>
      <c r="AG238" s="973" t="n"/>
      <c r="AH238" s="973" t="n"/>
      <c r="AI238" s="973" t="n"/>
      <c r="AJ238" s="973" t="n"/>
      <c r="AK238" s="973" t="n"/>
      <c r="AL238" s="973" t="n"/>
      <c r="AM238" s="973" t="n"/>
      <c r="AN238" s="973" t="n"/>
      <c r="AO238" s="973" t="n"/>
    </row>
    <row r="239">
      <c r="A239" s="973" t="n"/>
      <c r="B239" s="973" t="n"/>
      <c r="C239" s="973" t="n"/>
      <c r="D239" s="973" t="n"/>
      <c r="E239" s="973" t="n"/>
      <c r="F239" s="973" t="n"/>
      <c r="G239" s="973" t="n"/>
      <c r="H239" s="973" t="n"/>
      <c r="I239" s="973" t="n"/>
      <c r="J239" s="973" t="n"/>
      <c r="K239" s="973" t="n"/>
      <c r="L239" s="973" t="n"/>
      <c r="M239" s="973" t="n"/>
      <c r="N239" s="973" t="n"/>
      <c r="O239" s="973" t="n"/>
      <c r="P239" s="973" t="n"/>
      <c r="Q239" s="973" t="n"/>
      <c r="R239" s="973" t="n"/>
      <c r="S239" s="973" t="n"/>
      <c r="T239" s="973" t="n"/>
      <c r="U239" s="973" t="n"/>
      <c r="V239" s="973" t="n"/>
      <c r="W239" s="973" t="n"/>
      <c r="X239" s="973" t="n"/>
      <c r="Y239" s="973" t="n"/>
      <c r="Z239" s="973" t="n"/>
      <c r="AA239" s="973" t="n"/>
      <c r="AB239" s="973" t="n"/>
      <c r="AC239" s="973" t="n"/>
      <c r="AD239" s="973" t="n"/>
      <c r="AE239" s="973" t="n"/>
      <c r="AF239" s="973" t="n"/>
      <c r="AG239" s="973" t="n"/>
      <c r="AH239" s="973" t="n"/>
      <c r="AI239" s="973" t="n"/>
      <c r="AJ239" s="973" t="n"/>
      <c r="AK239" s="973" t="n"/>
      <c r="AL239" s="973" t="n"/>
      <c r="AM239" s="973" t="n"/>
      <c r="AN239" s="973" t="n"/>
      <c r="AO239" s="973" t="n"/>
    </row>
    <row r="240">
      <c r="A240" s="973" t="n"/>
      <c r="B240" s="973" t="n"/>
      <c r="C240" s="973" t="n"/>
      <c r="D240" s="973" t="n"/>
      <c r="E240" s="973" t="n"/>
      <c r="F240" s="973" t="n"/>
      <c r="G240" s="973" t="n"/>
      <c r="H240" s="973" t="n"/>
      <c r="I240" s="973" t="n"/>
      <c r="J240" s="973" t="n"/>
      <c r="K240" s="973" t="n"/>
      <c r="L240" s="973" t="n"/>
      <c r="M240" s="973" t="n"/>
      <c r="N240" s="973" t="n"/>
      <c r="O240" s="973" t="n"/>
      <c r="P240" s="973" t="n"/>
      <c r="Q240" s="973" t="n"/>
      <c r="R240" s="973" t="n"/>
      <c r="S240" s="973" t="n"/>
      <c r="T240" s="973" t="n"/>
      <c r="U240" s="973" t="n"/>
      <c r="V240" s="973" t="n"/>
      <c r="W240" s="973" t="n"/>
      <c r="X240" s="973" t="n"/>
      <c r="Y240" s="973" t="n"/>
      <c r="Z240" s="973" t="n"/>
      <c r="AA240" s="973" t="n"/>
      <c r="AB240" s="973" t="n"/>
      <c r="AC240" s="973" t="n"/>
      <c r="AD240" s="973" t="n"/>
      <c r="AE240" s="973" t="n"/>
      <c r="AF240" s="973" t="n"/>
      <c r="AG240" s="973" t="n"/>
      <c r="AH240" s="973" t="n"/>
      <c r="AI240" s="973" t="n"/>
      <c r="AJ240" s="973" t="n"/>
      <c r="AK240" s="973" t="n"/>
      <c r="AL240" s="973" t="n"/>
      <c r="AM240" s="973" t="n"/>
      <c r="AN240" s="973" t="n"/>
      <c r="AO240" s="973" t="n"/>
    </row>
    <row r="241">
      <c r="A241" s="973" t="n"/>
      <c r="B241" s="973" t="n"/>
      <c r="C241" s="973" t="n"/>
      <c r="D241" s="973" t="n"/>
      <c r="E241" s="973" t="n"/>
      <c r="F241" s="973" t="n"/>
      <c r="G241" s="973" t="n"/>
      <c r="H241" s="973" t="n"/>
      <c r="I241" s="973" t="n"/>
      <c r="J241" s="973" t="n"/>
      <c r="K241" s="973" t="n"/>
      <c r="L241" s="973" t="n"/>
      <c r="M241" s="973" t="n"/>
      <c r="N241" s="973" t="n"/>
      <c r="O241" s="973" t="n"/>
      <c r="P241" s="973" t="n"/>
      <c r="Q241" s="973" t="n"/>
      <c r="R241" s="973" t="n"/>
      <c r="S241" s="973" t="n"/>
      <c r="T241" s="973" t="n"/>
      <c r="U241" s="973" t="n"/>
      <c r="V241" s="973" t="n"/>
      <c r="W241" s="973" t="n"/>
      <c r="X241" s="973" t="n"/>
      <c r="Y241" s="973" t="n"/>
      <c r="Z241" s="973" t="n"/>
      <c r="AA241" s="973" t="n"/>
      <c r="AB241" s="973" t="n"/>
      <c r="AC241" s="973" t="n"/>
      <c r="AD241" s="973" t="n"/>
      <c r="AE241" s="973" t="n"/>
      <c r="AF241" s="973" t="n"/>
      <c r="AG241" s="973" t="n"/>
      <c r="AH241" s="973" t="n"/>
      <c r="AI241" s="973" t="n"/>
      <c r="AJ241" s="973" t="n"/>
      <c r="AK241" s="973" t="n"/>
      <c r="AL241" s="973" t="n"/>
      <c r="AM241" s="973" t="n"/>
      <c r="AN241" s="973" t="n"/>
      <c r="AO241" s="973" t="n"/>
    </row>
    <row r="242">
      <c r="A242" s="973" t="n"/>
      <c r="B242" s="973" t="n"/>
      <c r="C242" s="973" t="n"/>
      <c r="D242" s="973" t="n"/>
      <c r="E242" s="973" t="n"/>
      <c r="F242" s="973" t="n"/>
      <c r="G242" s="973" t="n"/>
      <c r="H242" s="973" t="n"/>
      <c r="I242" s="973" t="n"/>
      <c r="J242" s="973" t="n"/>
      <c r="K242" s="973" t="n"/>
      <c r="L242" s="973" t="n"/>
      <c r="M242" s="973" t="n"/>
      <c r="N242" s="973" t="n"/>
      <c r="O242" s="973" t="n"/>
      <c r="P242" s="973" t="n"/>
      <c r="Q242" s="973" t="n"/>
      <c r="R242" s="973" t="n"/>
      <c r="S242" s="973" t="n"/>
      <c r="T242" s="973" t="n"/>
      <c r="U242" s="973" t="n"/>
      <c r="V242" s="973" t="n"/>
      <c r="W242" s="973" t="n"/>
      <c r="X242" s="973" t="n"/>
      <c r="Y242" s="973" t="n"/>
      <c r="Z242" s="973" t="n"/>
      <c r="AA242" s="973" t="n"/>
      <c r="AB242" s="973" t="n"/>
      <c r="AC242" s="973" t="n"/>
      <c r="AD242" s="973" t="n"/>
      <c r="AE242" s="973" t="n"/>
      <c r="AF242" s="973" t="n"/>
      <c r="AG242" s="973" t="n"/>
      <c r="AH242" s="973" t="n"/>
      <c r="AI242" s="973" t="n"/>
      <c r="AJ242" s="973" t="n"/>
      <c r="AK242" s="973" t="n"/>
      <c r="AL242" s="973" t="n"/>
      <c r="AM242" s="973" t="n"/>
      <c r="AN242" s="973" t="n"/>
      <c r="AO242" s="973" t="n"/>
    </row>
    <row r="243">
      <c r="A243" s="973" t="n"/>
      <c r="B243" s="973" t="n"/>
      <c r="C243" s="973" t="n"/>
      <c r="D243" s="973" t="n"/>
      <c r="E243" s="973" t="n"/>
      <c r="F243" s="973" t="n"/>
      <c r="G243" s="973" t="n"/>
      <c r="H243" s="973" t="n"/>
      <c r="I243" s="973" t="n"/>
      <c r="J243" s="973" t="n"/>
      <c r="K243" s="973" t="n"/>
      <c r="L243" s="973" t="n"/>
      <c r="M243" s="973" t="n"/>
      <c r="N243" s="973" t="n"/>
      <c r="O243" s="973" t="n"/>
      <c r="P243" s="973" t="n"/>
      <c r="Q243" s="973" t="n"/>
      <c r="R243" s="973" t="n"/>
      <c r="S243" s="973" t="n"/>
      <c r="T243" s="973" t="n"/>
      <c r="U243" s="973" t="n"/>
      <c r="V243" s="973" t="n"/>
      <c r="W243" s="973" t="n"/>
      <c r="X243" s="973" t="n"/>
      <c r="Y243" s="973" t="n"/>
      <c r="Z243" s="973" t="n"/>
      <c r="AA243" s="973" t="n"/>
      <c r="AB243" s="973" t="n"/>
      <c r="AC243" s="973" t="n"/>
      <c r="AD243" s="973" t="n"/>
      <c r="AE243" s="973" t="n"/>
      <c r="AF243" s="973" t="n"/>
      <c r="AG243" s="973" t="n"/>
      <c r="AH243" s="973" t="n"/>
      <c r="AI243" s="973" t="n"/>
      <c r="AJ243" s="973" t="n"/>
      <c r="AK243" s="973" t="n"/>
      <c r="AL243" s="973" t="n"/>
      <c r="AM243" s="973" t="n"/>
      <c r="AN243" s="973" t="n"/>
      <c r="AO243" s="973" t="n"/>
    </row>
    <row r="244">
      <c r="A244" s="973" t="n"/>
      <c r="B244" s="973" t="n"/>
      <c r="C244" s="973" t="n"/>
      <c r="D244" s="973" t="n"/>
      <c r="E244" s="973" t="n"/>
      <c r="F244" s="973" t="n"/>
      <c r="G244" s="973" t="n"/>
      <c r="H244" s="973" t="n"/>
      <c r="I244" s="973" t="n"/>
      <c r="J244" s="973" t="n"/>
      <c r="K244" s="973" t="n"/>
      <c r="L244" s="973" t="n"/>
      <c r="M244" s="973" t="n"/>
      <c r="N244" s="973" t="n"/>
      <c r="O244" s="973" t="n"/>
      <c r="P244" s="973" t="n"/>
      <c r="Q244" s="973" t="n"/>
      <c r="R244" s="973" t="n"/>
      <c r="S244" s="973" t="n"/>
      <c r="T244" s="973" t="n"/>
      <c r="U244" s="973" t="n"/>
      <c r="V244" s="973" t="n"/>
      <c r="W244" s="973" t="n"/>
      <c r="X244" s="973" t="n"/>
      <c r="Y244" s="973" t="n"/>
      <c r="Z244" s="973" t="n"/>
      <c r="AA244" s="973" t="n"/>
      <c r="AB244" s="973" t="n"/>
      <c r="AC244" s="973" t="n"/>
      <c r="AD244" s="973" t="n"/>
      <c r="AE244" s="973" t="n"/>
      <c r="AF244" s="973" t="n"/>
      <c r="AG244" s="973" t="n"/>
      <c r="AH244" s="973" t="n"/>
      <c r="AI244" s="973" t="n"/>
      <c r="AJ244" s="973" t="n"/>
      <c r="AK244" s="973" t="n"/>
      <c r="AL244" s="973" t="n"/>
      <c r="AM244" s="973" t="n"/>
      <c r="AN244" s="973" t="n"/>
      <c r="AO244" s="973" t="n"/>
    </row>
    <row r="245">
      <c r="A245" s="973" t="n"/>
      <c r="B245" s="973" t="n"/>
      <c r="C245" s="973" t="n"/>
      <c r="D245" s="973" t="n"/>
      <c r="E245" s="973" t="n"/>
      <c r="F245" s="973" t="n"/>
      <c r="G245" s="973" t="n"/>
      <c r="H245" s="973" t="n"/>
      <c r="I245" s="973" t="n"/>
      <c r="J245" s="973" t="n"/>
      <c r="K245" s="973" t="n"/>
      <c r="L245" s="973" t="n"/>
      <c r="M245" s="973" t="n"/>
      <c r="N245" s="973" t="n"/>
      <c r="O245" s="973" t="n"/>
      <c r="P245" s="973" t="n"/>
      <c r="Q245" s="973" t="n"/>
      <c r="R245" s="973" t="n"/>
      <c r="S245" s="973" t="n"/>
      <c r="T245" s="973" t="n"/>
      <c r="U245" s="973" t="n"/>
      <c r="V245" s="973" t="n"/>
      <c r="W245" s="973" t="n"/>
      <c r="X245" s="973" t="n"/>
      <c r="Y245" s="973" t="n"/>
      <c r="Z245" s="973" t="n"/>
      <c r="AA245" s="973" t="n"/>
      <c r="AB245" s="973" t="n"/>
      <c r="AC245" s="973" t="n"/>
      <c r="AD245" s="973" t="n"/>
      <c r="AE245" s="973" t="n"/>
      <c r="AF245" s="973" t="n"/>
      <c r="AG245" s="973" t="n"/>
      <c r="AH245" s="973" t="n"/>
      <c r="AI245" s="973" t="n"/>
      <c r="AJ245" s="973" t="n"/>
      <c r="AK245" s="973" t="n"/>
      <c r="AL245" s="973" t="n"/>
      <c r="AM245" s="973" t="n"/>
      <c r="AN245" s="973" t="n"/>
      <c r="AO245" s="973" t="n"/>
    </row>
    <row r="246">
      <c r="A246" s="973" t="n"/>
      <c r="B246" s="973" t="n"/>
      <c r="C246" s="973" t="n"/>
      <c r="D246" s="973" t="n"/>
      <c r="E246" s="973" t="n"/>
      <c r="F246" s="973" t="n"/>
      <c r="G246" s="973" t="n"/>
      <c r="H246" s="973" t="n"/>
      <c r="I246" s="973" t="n"/>
      <c r="J246" s="973" t="n"/>
      <c r="K246" s="973" t="n"/>
      <c r="L246" s="973" t="n"/>
      <c r="M246" s="973" t="n"/>
      <c r="N246" s="973" t="n"/>
      <c r="O246" s="973" t="n"/>
      <c r="P246" s="973" t="n"/>
      <c r="Q246" s="973" t="n"/>
      <c r="R246" s="973" t="n"/>
      <c r="S246" s="973" t="n"/>
      <c r="T246" s="973" t="n"/>
      <c r="U246" s="973" t="n"/>
      <c r="V246" s="973" t="n"/>
      <c r="W246" s="973" t="n"/>
      <c r="X246" s="973" t="n"/>
      <c r="Y246" s="973" t="n"/>
      <c r="Z246" s="973" t="n"/>
      <c r="AA246" s="973" t="n"/>
      <c r="AB246" s="973" t="n"/>
      <c r="AC246" s="973" t="n"/>
      <c r="AD246" s="973" t="n"/>
      <c r="AE246" s="973" t="n"/>
      <c r="AF246" s="973" t="n"/>
      <c r="AG246" s="973" t="n"/>
      <c r="AH246" s="973" t="n"/>
      <c r="AI246" s="973" t="n"/>
      <c r="AJ246" s="973" t="n"/>
      <c r="AK246" s="973" t="n"/>
      <c r="AL246" s="973" t="n"/>
      <c r="AM246" s="973" t="n"/>
      <c r="AN246" s="973" t="n"/>
      <c r="AO246" s="973" t="n"/>
    </row>
    <row r="247">
      <c r="A247" s="973" t="n"/>
      <c r="B247" s="973" t="n"/>
      <c r="C247" s="973" t="n"/>
      <c r="D247" s="973" t="n"/>
      <c r="E247" s="973" t="n"/>
      <c r="F247" s="973" t="n"/>
      <c r="G247" s="973" t="n"/>
      <c r="H247" s="973" t="n"/>
      <c r="I247" s="973" t="n"/>
      <c r="J247" s="973" t="n"/>
      <c r="K247" s="973" t="n"/>
      <c r="L247" s="973" t="n"/>
      <c r="M247" s="973" t="n"/>
      <c r="N247" s="973" t="n"/>
      <c r="O247" s="973" t="n"/>
      <c r="P247" s="973" t="n"/>
      <c r="Q247" s="973" t="n"/>
      <c r="R247" s="973" t="n"/>
      <c r="S247" s="973" t="n"/>
      <c r="T247" s="973" t="n"/>
      <c r="U247" s="973" t="n"/>
      <c r="V247" s="973" t="n"/>
      <c r="W247" s="973" t="n"/>
      <c r="X247" s="973" t="n"/>
      <c r="Y247" s="973" t="n"/>
      <c r="Z247" s="973" t="n"/>
      <c r="AA247" s="973" t="n"/>
      <c r="AB247" s="973" t="n"/>
      <c r="AC247" s="973" t="n"/>
      <c r="AD247" s="973" t="n"/>
      <c r="AE247" s="973" t="n"/>
      <c r="AF247" s="973" t="n"/>
      <c r="AG247" s="973" t="n"/>
      <c r="AH247" s="973" t="n"/>
      <c r="AI247" s="973" t="n"/>
      <c r="AJ247" s="973" t="n"/>
      <c r="AK247" s="973" t="n"/>
      <c r="AL247" s="973" t="n"/>
      <c r="AM247" s="973" t="n"/>
      <c r="AN247" s="973" t="n"/>
      <c r="AO247" s="973" t="n"/>
    </row>
    <row r="248">
      <c r="A248" s="973" t="n"/>
      <c r="B248" s="973" t="n"/>
      <c r="C248" s="973" t="n"/>
      <c r="D248" s="973" t="n"/>
      <c r="E248" s="973" t="n"/>
      <c r="F248" s="973" t="n"/>
      <c r="G248" s="973" t="n"/>
      <c r="H248" s="973" t="n"/>
      <c r="I248" s="973" t="n"/>
      <c r="J248" s="973" t="n"/>
      <c r="K248" s="973" t="n"/>
      <c r="L248" s="973" t="n"/>
      <c r="M248" s="973" t="n"/>
      <c r="N248" s="973" t="n"/>
      <c r="O248" s="973" t="n"/>
      <c r="P248" s="973" t="n"/>
      <c r="Q248" s="973" t="n"/>
      <c r="R248" s="973" t="n"/>
      <c r="S248" s="973" t="n"/>
      <c r="T248" s="973" t="n"/>
      <c r="U248" s="973" t="n"/>
      <c r="V248" s="973" t="n"/>
      <c r="W248" s="973" t="n"/>
      <c r="X248" s="973" t="n"/>
      <c r="Y248" s="973" t="n"/>
      <c r="Z248" s="973" t="n"/>
      <c r="AA248" s="973" t="n"/>
      <c r="AB248" s="973" t="n"/>
      <c r="AC248" s="973" t="n"/>
      <c r="AD248" s="973" t="n"/>
      <c r="AE248" s="973" t="n"/>
      <c r="AF248" s="973" t="n"/>
      <c r="AG248" s="973" t="n"/>
      <c r="AH248" s="973" t="n"/>
      <c r="AI248" s="973" t="n"/>
      <c r="AJ248" s="973" t="n"/>
      <c r="AK248" s="973" t="n"/>
      <c r="AL248" s="973" t="n"/>
      <c r="AM248" s="973" t="n"/>
      <c r="AN248" s="973" t="n"/>
      <c r="AO248" s="973" t="n"/>
    </row>
    <row r="249">
      <c r="A249" s="973" t="n"/>
      <c r="B249" s="973" t="n"/>
      <c r="C249" s="973" t="n"/>
      <c r="D249" s="973" t="n"/>
      <c r="E249" s="973" t="n"/>
      <c r="F249" s="973" t="n"/>
      <c r="G249" s="973" t="n"/>
      <c r="H249" s="973" t="n"/>
      <c r="I249" s="973" t="n"/>
      <c r="J249" s="973" t="n"/>
      <c r="K249" s="973" t="n"/>
      <c r="L249" s="973" t="n"/>
      <c r="M249" s="973" t="n"/>
      <c r="N249" s="973" t="n"/>
      <c r="O249" s="973" t="n"/>
      <c r="P249" s="973" t="n"/>
      <c r="Q249" s="973" t="n"/>
      <c r="R249" s="973" t="n"/>
      <c r="S249" s="973" t="n"/>
      <c r="T249" s="973" t="n"/>
      <c r="U249" s="973" t="n"/>
      <c r="V249" s="973" t="n"/>
      <c r="W249" s="973" t="n"/>
      <c r="X249" s="973" t="n"/>
      <c r="Y249" s="973" t="n"/>
      <c r="Z249" s="973" t="n"/>
      <c r="AA249" s="973" t="n"/>
      <c r="AB249" s="973" t="n"/>
      <c r="AC249" s="973" t="n"/>
      <c r="AD249" s="973" t="n"/>
      <c r="AE249" s="973" t="n"/>
      <c r="AF249" s="973" t="n"/>
      <c r="AG249" s="973" t="n"/>
      <c r="AH249" s="973" t="n"/>
      <c r="AI249" s="973" t="n"/>
      <c r="AJ249" s="973" t="n"/>
      <c r="AK249" s="973" t="n"/>
      <c r="AL249" s="973" t="n"/>
      <c r="AM249" s="973" t="n"/>
      <c r="AN249" s="973" t="n"/>
      <c r="AO249" s="973" t="n"/>
    </row>
    <row r="250">
      <c r="A250" s="973" t="n"/>
      <c r="B250" s="973" t="n"/>
      <c r="C250" s="973" t="n"/>
      <c r="D250" s="973" t="n"/>
      <c r="E250" s="973" t="n"/>
      <c r="F250" s="973" t="n"/>
      <c r="G250" s="973" t="n"/>
      <c r="H250" s="973" t="n"/>
      <c r="I250" s="973" t="n"/>
      <c r="J250" s="973" t="n"/>
      <c r="K250" s="973" t="n"/>
      <c r="L250" s="973" t="n"/>
      <c r="M250" s="973" t="n"/>
      <c r="N250" s="973" t="n"/>
      <c r="O250" s="973" t="n"/>
      <c r="P250" s="973" t="n"/>
      <c r="Q250" s="973" t="n"/>
      <c r="R250" s="973" t="n"/>
      <c r="S250" s="973" t="n"/>
      <c r="T250" s="973" t="n"/>
      <c r="U250" s="973" t="n"/>
      <c r="V250" s="973" t="n"/>
      <c r="W250" s="973" t="n"/>
      <c r="X250" s="973" t="n"/>
      <c r="Y250" s="973" t="n"/>
      <c r="Z250" s="973" t="n"/>
      <c r="AA250" s="973" t="n"/>
      <c r="AB250" s="973" t="n"/>
      <c r="AC250" s="973" t="n"/>
      <c r="AD250" s="973" t="n"/>
      <c r="AE250" s="973" t="n"/>
      <c r="AF250" s="973" t="n"/>
      <c r="AG250" s="973" t="n"/>
      <c r="AH250" s="973" t="n"/>
      <c r="AI250" s="973" t="n"/>
      <c r="AJ250" s="973" t="n"/>
      <c r="AK250" s="973" t="n"/>
      <c r="AL250" s="973" t="n"/>
      <c r="AM250" s="973" t="n"/>
      <c r="AN250" s="973" t="n"/>
      <c r="AO250" s="973" t="n"/>
    </row>
  </sheetData>
  <pageMargins left="0.7" right="0.7" top="0.75" bottom="0.75" header="0.3" footer="0.3"/>
</worksheet>
</file>

<file path=xl/worksheets/sheet65.xml><?xml version="1.0" encoding="utf-8"?>
<worksheet xmlns="http://schemas.openxmlformats.org/spreadsheetml/2006/main">
  <sheetPr>
    <tabColor rgb="007F7F7F"/>
    <outlinePr summaryBelow="1" summaryRight="1"/>
    <pageSetUpPr/>
  </sheetPr>
  <dimension ref="A1:P250"/>
  <sheetViews>
    <sheetView workbookViewId="0">
      <selection activeCell="A1" sqref="A1"/>
    </sheetView>
  </sheetViews>
  <sheetFormatPr baseColWidth="8" defaultRowHeight="15"/>
  <sheetData>
    <row r="1">
      <c r="A1" s="970" t="inlineStr">
        <is>
          <t>12 — Threat and Successful-Event Frequency</t>
        </is>
      </c>
      <c r="B1" s="970" t="n"/>
      <c r="C1" s="970" t="n"/>
      <c r="D1" s="970" t="n"/>
      <c r="E1" s="970" t="n"/>
      <c r="F1" s="970" t="n"/>
      <c r="G1" s="970" t="n"/>
      <c r="H1" s="970" t="n"/>
      <c r="I1" s="970" t="n"/>
      <c r="J1" s="970" t="n"/>
      <c r="K1" s="970" t="n"/>
      <c r="L1" s="970" t="n"/>
      <c r="M1" s="970" t="n"/>
      <c r="N1" s="970" t="n"/>
      <c r="O1" s="970" t="n"/>
      <c r="P1" s="970" t="n"/>
    </row>
    <row r="2">
      <c r="A2" s="966" t="inlineStr">
        <is>
          <t>Campaign-rate allocation and successful-event frequency by actor, scenario and route.</t>
        </is>
      </c>
      <c r="B2" s="966" t="n"/>
      <c r="C2" s="966" t="n"/>
      <c r="D2" s="966" t="n"/>
      <c r="E2" s="966" t="n"/>
      <c r="F2" s="966" t="n"/>
      <c r="G2" s="966" t="n"/>
      <c r="H2" s="966" t="n"/>
      <c r="I2" s="966" t="n"/>
      <c r="J2" s="966" t="n"/>
      <c r="K2" s="966" t="n"/>
      <c r="L2" s="966" t="n"/>
      <c r="M2" s="966" t="n"/>
      <c r="N2" s="966" t="n"/>
      <c r="O2" s="966" t="n"/>
      <c r="P2" s="966" t="n"/>
    </row>
    <row r="3">
      <c r="A3" s="973" t="n"/>
      <c r="B3" s="973" t="n"/>
      <c r="C3" s="973" t="n"/>
      <c r="D3" s="973" t="n"/>
      <c r="E3" s="973" t="n"/>
      <c r="F3" s="973" t="n"/>
      <c r="G3" s="973" t="n"/>
      <c r="H3" s="973" t="n"/>
      <c r="I3" s="973" t="n"/>
      <c r="J3" s="973" t="n"/>
      <c r="K3" s="973" t="n"/>
      <c r="L3" s="973" t="n"/>
      <c r="M3" s="973" t="n"/>
      <c r="N3" s="973" t="n"/>
      <c r="O3" s="973" t="n"/>
      <c r="P3" s="973" t="n"/>
    </row>
    <row r="4">
      <c r="A4" s="973" t="n"/>
      <c r="B4" s="973" t="n"/>
      <c r="C4" s="973" t="n"/>
      <c r="D4" s="973" t="n"/>
      <c r="E4" s="973" t="n"/>
      <c r="F4" s="973" t="n"/>
      <c r="G4" s="973" t="n"/>
      <c r="H4" s="973" t="n"/>
      <c r="I4" s="973" t="n"/>
      <c r="J4" s="973" t="n"/>
      <c r="K4" s="973" t="n"/>
      <c r="L4" s="973" t="n"/>
      <c r="M4" s="973" t="n"/>
      <c r="N4" s="973" t="n"/>
      <c r="O4" s="973" t="n"/>
      <c r="P4" s="973" t="n"/>
    </row>
    <row r="5">
      <c r="A5" s="973" t="inlineStr">
        <is>
          <t>ENGINE OUTPUT — do not edit. Run the Python engine after changing inputs or sector packs.</t>
        </is>
      </c>
      <c r="B5" s="973" t="n"/>
      <c r="C5" s="973" t="n"/>
      <c r="D5" s="973" t="n"/>
      <c r="E5" s="973" t="n"/>
      <c r="F5" s="973" t="n"/>
      <c r="G5" s="973" t="n"/>
      <c r="H5" s="973" t="n"/>
      <c r="I5" s="973" t="n"/>
      <c r="J5" s="973" t="n"/>
      <c r="K5" s="973" t="n"/>
      <c r="L5" s="973" t="n"/>
      <c r="M5" s="973" t="n"/>
      <c r="N5" s="973" t="n"/>
      <c r="O5" s="973" t="n"/>
      <c r="P5" s="973" t="n"/>
    </row>
    <row r="6">
      <c r="A6" s="973" t="n"/>
      <c r="B6" s="973" t="n"/>
      <c r="C6" s="973" t="n"/>
      <c r="D6" s="973" t="n"/>
      <c r="E6" s="973" t="n"/>
      <c r="F6" s="973" t="n"/>
      <c r="G6" s="973" t="n"/>
      <c r="H6" s="973" t="n"/>
      <c r="I6" s="973" t="n"/>
      <c r="J6" s="973" t="n"/>
      <c r="K6" s="973" t="n"/>
      <c r="L6" s="973" t="n"/>
      <c r="M6" s="973" t="n"/>
      <c r="N6" s="973" t="n"/>
      <c r="O6" s="973" t="n"/>
      <c r="P6" s="973" t="n"/>
    </row>
    <row r="7">
      <c r="A7" s="973" t="n"/>
      <c r="B7" s="973" t="n"/>
      <c r="C7" s="973" t="n"/>
      <c r="D7" s="973" t="n"/>
      <c r="E7" s="973" t="n"/>
      <c r="F7" s="973" t="n"/>
      <c r="G7" s="973" t="n"/>
      <c r="H7" s="973" t="n"/>
      <c r="I7" s="973" t="n"/>
      <c r="J7" s="973" t="n"/>
      <c r="K7" s="973" t="n"/>
      <c r="L7" s="973" t="n"/>
      <c r="M7" s="973" t="n"/>
      <c r="N7" s="973" t="n"/>
      <c r="O7" s="973" t="n"/>
      <c r="P7" s="973" t="n"/>
    </row>
    <row r="8">
      <c r="A8" s="973" t="n"/>
      <c r="B8" s="973" t="n"/>
      <c r="C8" s="973" t="n"/>
      <c r="D8" s="973" t="n"/>
      <c r="E8" s="973" t="n"/>
      <c r="F8" s="973" t="n"/>
      <c r="G8" s="973" t="n"/>
      <c r="H8" s="973" t="n"/>
      <c r="I8" s="973" t="n"/>
      <c r="J8" s="973" t="n"/>
      <c r="K8" s="973" t="n"/>
      <c r="L8" s="973" t="n"/>
      <c r="M8" s="973" t="n"/>
      <c r="N8" s="973" t="n"/>
      <c r="O8" s="973" t="n"/>
      <c r="P8" s="973" t="n"/>
    </row>
    <row r="9">
      <c r="A9" s="973" t="n"/>
      <c r="B9" s="973" t="n"/>
      <c r="C9" s="973" t="n"/>
      <c r="D9" s="973" t="n"/>
      <c r="E9" s="973" t="n"/>
      <c r="F9" s="973" t="n"/>
      <c r="G9" s="973" t="n"/>
      <c r="H9" s="973" t="n"/>
      <c r="I9" s="973" t="n"/>
      <c r="J9" s="973" t="n"/>
      <c r="K9" s="973" t="n"/>
      <c r="L9" s="973" t="n"/>
      <c r="M9" s="973" t="n"/>
      <c r="N9" s="973" t="n"/>
      <c r="O9" s="973" t="n"/>
      <c r="P9" s="973" t="n"/>
    </row>
    <row r="10">
      <c r="A10" s="973" t="n"/>
      <c r="B10" s="973" t="n"/>
      <c r="C10" s="973" t="n"/>
      <c r="D10" s="973" t="n"/>
      <c r="E10" s="973" t="n"/>
      <c r="F10" s="973" t="n"/>
      <c r="G10" s="973" t="n"/>
      <c r="H10" s="973" t="n"/>
      <c r="I10" s="973" t="n"/>
      <c r="J10" s="973" t="n"/>
      <c r="K10" s="973" t="n"/>
      <c r="L10" s="973" t="n"/>
      <c r="M10" s="973" t="n"/>
      <c r="N10" s="973" t="n"/>
      <c r="O10" s="973" t="n"/>
      <c r="P10" s="973" t="n"/>
    </row>
    <row r="11">
      <c r="A11" s="973" t="n"/>
      <c r="B11" s="973" t="n"/>
      <c r="C11" s="973" t="n"/>
      <c r="D11" s="973" t="n"/>
      <c r="E11" s="973" t="n"/>
      <c r="F11" s="973" t="n"/>
      <c r="G11" s="973" t="n"/>
      <c r="H11" s="973" t="n"/>
      <c r="I11" s="973" t="n"/>
      <c r="J11" s="973" t="n"/>
      <c r="K11" s="973" t="n"/>
      <c r="L11" s="973" t="n"/>
      <c r="M11" s="973" t="n"/>
      <c r="N11" s="973" t="n"/>
      <c r="O11" s="973" t="n"/>
      <c r="P11" s="973" t="n"/>
    </row>
    <row r="12">
      <c r="A12" s="973" t="n"/>
      <c r="B12" s="973" t="n"/>
      <c r="C12" s="973" t="n"/>
      <c r="D12" s="973" t="n"/>
      <c r="E12" s="973" t="n"/>
      <c r="F12" s="973" t="n"/>
      <c r="G12" s="973" t="n"/>
      <c r="H12" s="973" t="n"/>
      <c r="I12" s="973" t="n"/>
      <c r="J12" s="973" t="n"/>
      <c r="K12" s="973" t="n"/>
      <c r="L12" s="973" t="n"/>
      <c r="M12" s="973" t="n"/>
      <c r="N12" s="973" t="n"/>
      <c r="O12" s="973" t="n"/>
      <c r="P12" s="973" t="n"/>
    </row>
    <row r="13">
      <c r="A13" s="973" t="n"/>
      <c r="B13" s="973" t="n"/>
      <c r="C13" s="973" t="n"/>
      <c r="D13" s="973" t="n"/>
      <c r="E13" s="973" t="n"/>
      <c r="F13" s="973" t="n"/>
      <c r="G13" s="973" t="n"/>
      <c r="H13" s="973" t="n"/>
      <c r="I13" s="973" t="n"/>
      <c r="J13" s="973" t="n"/>
      <c r="K13" s="973" t="n"/>
      <c r="L13" s="973" t="n"/>
      <c r="M13" s="973" t="n"/>
      <c r="N13" s="973" t="n"/>
      <c r="O13" s="973" t="n"/>
      <c r="P13" s="973" t="n"/>
    </row>
    <row r="14">
      <c r="A14" s="973" t="n"/>
      <c r="B14" s="973" t="n"/>
      <c r="C14" s="973" t="n"/>
      <c r="D14" s="973" t="n"/>
      <c r="E14" s="973" t="n"/>
      <c r="F14" s="973" t="n"/>
      <c r="G14" s="973" t="n"/>
      <c r="H14" s="973" t="n"/>
      <c r="I14" s="973" t="n"/>
      <c r="J14" s="973" t="n"/>
      <c r="K14" s="973" t="n"/>
      <c r="L14" s="973" t="n"/>
      <c r="M14" s="973" t="n"/>
      <c r="N14" s="973" t="n"/>
      <c r="O14" s="973" t="n"/>
      <c r="P14" s="973" t="n"/>
    </row>
    <row r="15">
      <c r="A15" s="969" t="inlineStr">
        <is>
          <t>Threat actor</t>
        </is>
      </c>
      <c r="B15" s="969" t="inlineStr">
        <is>
          <t>Scenario</t>
        </is>
      </c>
      <c r="C15" s="969" t="inlineStr">
        <is>
          <t>Route</t>
        </is>
      </c>
      <c r="D15" s="969" t="inlineStr">
        <is>
          <t>Attempts / yr</t>
        </is>
      </c>
      <c r="E15" s="969" t="inlineStr">
        <is>
          <t>P(success)</t>
        </is>
      </c>
      <c r="F15" s="969" t="inlineStr">
        <is>
          <t>Events / yr</t>
        </is>
      </c>
      <c r="G15" s="969" t="inlineStr">
        <is>
          <t>P50 loss</t>
        </is>
      </c>
      <c r="H15" s="969" t="inlineStr">
        <is>
          <t>P99 loss</t>
        </is>
      </c>
      <c r="I15" s="969" t="inlineStr">
        <is>
          <t>Expected event loss</t>
        </is>
      </c>
      <c r="J15" s="969" t="inlineStr">
        <is>
          <t>AAL</t>
        </is>
      </c>
      <c r="K15" s="969" t="inlineStr">
        <is>
          <t>Exposure model</t>
        </is>
      </c>
      <c r="L15" s="969" t="n"/>
      <c r="M15" s="969" t="n"/>
      <c r="N15" s="969" t="n"/>
      <c r="O15" s="969" t="n"/>
      <c r="P15" s="969" t="n"/>
    </row>
    <row r="16">
      <c r="A16" s="973" t="inlineStr">
        <is>
          <t>Nation-state</t>
        </is>
      </c>
      <c r="B16" s="973" t="inlineStr">
        <is>
          <t>Critical business-service disruption</t>
        </is>
      </c>
      <c r="C16" s="973" t="inlineStr">
        <is>
          <t>Identity and credential compromise</t>
        </is>
      </c>
      <c r="D16" s="973" t="n">
        <v>0.006320224719101123</v>
      </c>
      <c r="E16" s="973" t="n">
        <v>0.05898750000000001</v>
      </c>
      <c r="F16" s="973" t="n">
        <v>0.0003728142556179776</v>
      </c>
      <c r="G16" s="973" t="n">
        <v>4420753.424657534</v>
      </c>
      <c r="H16" s="973" t="n">
        <v>90133013.69863012</v>
      </c>
      <c r="I16" s="973" t="n">
        <v>10186141.8209453</v>
      </c>
      <c r="J16" s="973" t="n">
        <v>3797.538880594872</v>
      </c>
      <c r="K16" s="973" t="inlineStr">
        <is>
          <t>No</t>
        </is>
      </c>
      <c r="L16" s="973" t="n"/>
      <c r="M16" s="973" t="n"/>
      <c r="N16" s="973" t="n"/>
      <c r="O16" s="973" t="n"/>
      <c r="P16" s="973" t="n"/>
    </row>
    <row r="17">
      <c r="A17" s="973" t="inlineStr">
        <is>
          <t>Nation-state</t>
        </is>
      </c>
      <c r="B17" s="973" t="inlineStr">
        <is>
          <t>Critical business-service disruption</t>
        </is>
      </c>
      <c r="C17" s="973" t="inlineStr">
        <is>
          <t>User endpoint and social engineering</t>
        </is>
      </c>
      <c r="D17" s="973" t="n">
        <v>0.005561797752808989</v>
      </c>
      <c r="E17" s="973" t="n">
        <v>0.025515</v>
      </c>
      <c r="F17" s="973" t="n">
        <v>0.0001419092696629213</v>
      </c>
      <c r="G17" s="973" t="n">
        <v>4420753.424657534</v>
      </c>
      <c r="H17" s="973" t="n">
        <v>90133013.69863012</v>
      </c>
      <c r="I17" s="973" t="n">
        <v>10186141.8209453</v>
      </c>
      <c r="J17" s="973" t="n">
        <v>1445.507946493287</v>
      </c>
      <c r="K17" s="973" t="inlineStr">
        <is>
          <t>No</t>
        </is>
      </c>
      <c r="L17" s="973" t="n"/>
      <c r="M17" s="973" t="n"/>
      <c r="N17" s="973" t="n"/>
      <c r="O17" s="973" t="n"/>
      <c r="P17" s="973" t="n"/>
    </row>
    <row r="18">
      <c r="A18" s="973" t="inlineStr">
        <is>
          <t>Nation-state</t>
        </is>
      </c>
      <c r="B18" s="973" t="inlineStr">
        <is>
          <t>Critical business-service disruption</t>
        </is>
      </c>
      <c r="C18" s="973" t="inlineStr">
        <is>
          <t>Public-facing application exploitation</t>
        </is>
      </c>
      <c r="D18" s="973" t="n">
        <v>0.009691011235955057</v>
      </c>
      <c r="E18" s="973" t="n">
        <v>0.02025</v>
      </c>
      <c r="F18" s="973" t="n">
        <v>0.0001962429775280899</v>
      </c>
      <c r="G18" s="973" t="n">
        <v>4420753.424657534</v>
      </c>
      <c r="H18" s="973" t="n">
        <v>90133013.69863012</v>
      </c>
      <c r="I18" s="973" t="n">
        <v>10186141.8209453</v>
      </c>
      <c r="J18" s="973" t="n">
        <v>1998.958800465705</v>
      </c>
      <c r="K18" s="973" t="inlineStr">
        <is>
          <t>No</t>
        </is>
      </c>
      <c r="L18" s="973" t="n"/>
      <c r="M18" s="973" t="n"/>
      <c r="N18" s="973" t="n"/>
      <c r="O18" s="973" t="n"/>
      <c r="P18" s="973" t="n"/>
    </row>
    <row r="19">
      <c r="A19" s="973" t="inlineStr">
        <is>
          <t>Nation-state</t>
        </is>
      </c>
      <c r="B19" s="973" t="inlineStr">
        <is>
          <t>Critical business-service disruption</t>
        </is>
      </c>
      <c r="C19" s="973" t="inlineStr">
        <is>
          <t>Third-party or software supply chain</t>
        </is>
      </c>
      <c r="D19" s="973" t="n">
        <v>0.006320224719101123</v>
      </c>
      <c r="E19" s="973" t="n">
        <v>0.196625</v>
      </c>
      <c r="F19" s="973" t="n">
        <v>0.001242714185393259</v>
      </c>
      <c r="G19" s="973" t="n">
        <v>4420753.424657534</v>
      </c>
      <c r="H19" s="973" t="n">
        <v>90133013.69863012</v>
      </c>
      <c r="I19" s="973" t="n">
        <v>10186141.8209453</v>
      </c>
      <c r="J19" s="973" t="n">
        <v>12658.46293531624</v>
      </c>
      <c r="K19" s="973" t="inlineStr">
        <is>
          <t>No</t>
        </is>
      </c>
      <c r="L19" s="973" t="n"/>
      <c r="M19" s="973" t="n"/>
      <c r="N19" s="973" t="n"/>
      <c r="O19" s="973" t="n"/>
      <c r="P19" s="973" t="n"/>
    </row>
    <row r="20">
      <c r="A20" s="973" t="inlineStr">
        <is>
          <t>Nation-state</t>
        </is>
      </c>
      <c r="B20" s="973" t="inlineStr">
        <is>
          <t>Critical business-service disruption</t>
        </is>
      </c>
      <c r="C20" s="973" t="inlineStr">
        <is>
          <t>Direct availability or DDoS</t>
        </is>
      </c>
      <c r="D20" s="973" t="n">
        <v>0.001685393258426967</v>
      </c>
      <c r="E20" s="973" t="n">
        <v>0.36</v>
      </c>
      <c r="F20" s="973" t="n">
        <v>0.0006067415730337079</v>
      </c>
      <c r="G20" s="973" t="n">
        <v>4420753.424657534</v>
      </c>
      <c r="H20" s="973" t="n">
        <v>90133013.69863012</v>
      </c>
      <c r="I20" s="973" t="n">
        <v>10186141.8209453</v>
      </c>
      <c r="J20" s="973" t="n">
        <v>6180.355711584788</v>
      </c>
      <c r="K20" s="973" t="inlineStr">
        <is>
          <t>No</t>
        </is>
      </c>
      <c r="L20" s="973" t="n"/>
      <c r="M20" s="973" t="n"/>
      <c r="N20" s="973" t="n"/>
      <c r="O20" s="973" t="n"/>
      <c r="P20" s="973" t="n"/>
    </row>
    <row r="21">
      <c r="A21" s="973" t="inlineStr">
        <is>
          <t>Nation-state</t>
        </is>
      </c>
      <c r="B21" s="973" t="inlineStr">
        <is>
          <t>Critical business-service disruption</t>
        </is>
      </c>
      <c r="C21" s="973" t="inlineStr">
        <is>
          <t>Insider or trusted access</t>
        </is>
      </c>
      <c r="D21" s="973" t="n">
        <v>0.0004213483146067416</v>
      </c>
      <c r="E21" s="973" t="n">
        <v>0.29575</v>
      </c>
      <c r="F21" s="973" t="n">
        <v>0.0001246137640449438</v>
      </c>
      <c r="G21" s="973" t="n">
        <v>4420753.424657534</v>
      </c>
      <c r="H21" s="973" t="n">
        <v>90133013.69863012</v>
      </c>
      <c r="I21" s="973" t="n">
        <v>10186141.8209453</v>
      </c>
      <c r="J21" s="973" t="n">
        <v>1269.333473403612</v>
      </c>
      <c r="K21" s="973" t="inlineStr">
        <is>
          <t>No</t>
        </is>
      </c>
      <c r="L21" s="973" t="n"/>
      <c r="M21" s="973" t="n"/>
      <c r="N21" s="973" t="n"/>
      <c r="O21" s="973" t="n"/>
      <c r="P21" s="973" t="n"/>
    </row>
    <row r="22">
      <c r="A22" s="973" t="inlineStr">
        <is>
          <t>Nation-state</t>
        </is>
      </c>
      <c r="B22" s="973" t="inlineStr">
        <is>
          <t>Sensitive-data compromise</t>
        </is>
      </c>
      <c r="C22" s="973" t="inlineStr">
        <is>
          <t>Identity and credential compromise</t>
        </is>
      </c>
      <c r="D22" s="973" t="n">
        <v>0.01485849056603773</v>
      </c>
      <c r="E22" s="973" t="n">
        <v>0.05898750000000001</v>
      </c>
      <c r="F22" s="973" t="n">
        <v>0.0008764652122641509</v>
      </c>
      <c r="G22" s="973" t="n">
        <v>5093972.602739726</v>
      </c>
      <c r="H22" s="973" t="n">
        <v>88368904.10958904</v>
      </c>
      <c r="I22" s="973" t="n">
        <v>10775408.82315819</v>
      </c>
      <c r="J22" s="973" t="n">
        <v>9444.270981422349</v>
      </c>
      <c r="K22" s="973" t="inlineStr">
        <is>
          <t>No</t>
        </is>
      </c>
      <c r="L22" s="973" t="n"/>
      <c r="M22" s="973" t="n"/>
      <c r="N22" s="973" t="n"/>
      <c r="O22" s="973" t="n"/>
      <c r="P22" s="973" t="n"/>
    </row>
    <row r="23">
      <c r="A23" s="973" t="inlineStr">
        <is>
          <t>Nation-state</t>
        </is>
      </c>
      <c r="B23" s="973" t="inlineStr">
        <is>
          <t>Sensitive-data compromise</t>
        </is>
      </c>
      <c r="C23" s="973" t="inlineStr">
        <is>
          <t>User endpoint and social engineering</t>
        </is>
      </c>
      <c r="D23" s="973" t="n">
        <v>0.006537735849056604</v>
      </c>
      <c r="E23" s="973" t="n">
        <v>0.025515</v>
      </c>
      <c r="F23" s="973" t="n">
        <v>0.0001668103301886793</v>
      </c>
      <c r="G23" s="973" t="n">
        <v>5093972.602739726</v>
      </c>
      <c r="H23" s="973" t="n">
        <v>88368904.10958904</v>
      </c>
      <c r="I23" s="973" t="n">
        <v>10775408.82315819</v>
      </c>
      <c r="J23" s="973" t="n">
        <v>1797.449503709026</v>
      </c>
      <c r="K23" s="973" t="inlineStr">
        <is>
          <t>No</t>
        </is>
      </c>
      <c r="L23" s="973" t="n"/>
      <c r="M23" s="973" t="n"/>
      <c r="N23" s="973" t="n"/>
      <c r="O23" s="973" t="n"/>
      <c r="P23" s="973" t="n"/>
    </row>
    <row r="24">
      <c r="A24" s="973" t="inlineStr">
        <is>
          <t>Nation-state</t>
        </is>
      </c>
      <c r="B24" s="973" t="inlineStr">
        <is>
          <t>Sensitive-data compromise</t>
        </is>
      </c>
      <c r="C24" s="973" t="inlineStr">
        <is>
          <t>Public-facing application exploitation</t>
        </is>
      </c>
      <c r="D24" s="973" t="n">
        <v>0.01139150943396226</v>
      </c>
      <c r="E24" s="973" t="n">
        <v>0.02025</v>
      </c>
      <c r="F24" s="973" t="n">
        <v>0.0002306780660377359</v>
      </c>
      <c r="G24" s="973" t="n">
        <v>5093972.602739726</v>
      </c>
      <c r="H24" s="973" t="n">
        <v>88368904.10958904</v>
      </c>
      <c r="I24" s="973" t="n">
        <v>10775408.82315819</v>
      </c>
      <c r="J24" s="973" t="n">
        <v>2485.650468092087</v>
      </c>
      <c r="K24" s="973" t="inlineStr">
        <is>
          <t>No</t>
        </is>
      </c>
      <c r="L24" s="973" t="n"/>
      <c r="M24" s="973" t="n"/>
      <c r="N24" s="973" t="n"/>
      <c r="O24" s="973" t="n"/>
      <c r="P24" s="973" t="n"/>
    </row>
    <row r="25">
      <c r="A25" s="973" t="inlineStr">
        <is>
          <t>Nation-state</t>
        </is>
      </c>
      <c r="B25" s="973" t="inlineStr">
        <is>
          <t>Sensitive-data compromise</t>
        </is>
      </c>
      <c r="C25" s="973" t="inlineStr">
        <is>
          <t>Third-party or software supply chain</t>
        </is>
      </c>
      <c r="D25" s="973" t="n">
        <v>0.008419811320754717</v>
      </c>
      <c r="E25" s="973" t="n">
        <v>0.196625</v>
      </c>
      <c r="F25" s="973" t="n">
        <v>0.001655545400943397</v>
      </c>
      <c r="G25" s="973" t="n">
        <v>5093972.602739726</v>
      </c>
      <c r="H25" s="973" t="n">
        <v>88368904.10958904</v>
      </c>
      <c r="I25" s="973" t="n">
        <v>10775408.82315819</v>
      </c>
      <c r="J25" s="973" t="n">
        <v>17839.17852046444</v>
      </c>
      <c r="K25" s="973" t="inlineStr">
        <is>
          <t>No</t>
        </is>
      </c>
      <c r="L25" s="973" t="n"/>
      <c r="M25" s="973" t="n"/>
      <c r="N25" s="973" t="n"/>
      <c r="O25" s="973" t="n"/>
      <c r="P25" s="973" t="n"/>
    </row>
    <row r="26">
      <c r="A26" s="973" t="inlineStr">
        <is>
          <t>Nation-state</t>
        </is>
      </c>
      <c r="B26" s="973" t="inlineStr">
        <is>
          <t>Sensitive-data compromise</t>
        </is>
      </c>
      <c r="C26" s="973" t="inlineStr">
        <is>
          <t>Direct availability or DDoS</t>
        </is>
      </c>
      <c r="D26" s="973" t="n">
        <v>0</v>
      </c>
      <c r="E26" s="973" t="n">
        <v>0</v>
      </c>
      <c r="F26" s="973" t="n">
        <v>0</v>
      </c>
      <c r="G26" s="973" t="n">
        <v>5093972.602739726</v>
      </c>
      <c r="H26" s="973" t="n">
        <v>88368904.10958904</v>
      </c>
      <c r="I26" s="973" t="n">
        <v>10775408.82315819</v>
      </c>
      <c r="J26" s="973" t="n">
        <v>0</v>
      </c>
      <c r="K26" s="973" t="inlineStr">
        <is>
          <t>No</t>
        </is>
      </c>
      <c r="L26" s="973" t="n"/>
      <c r="M26" s="973" t="n"/>
      <c r="N26" s="973" t="n"/>
      <c r="O26" s="973" t="n"/>
      <c r="P26" s="973" t="n"/>
    </row>
    <row r="27">
      <c r="A27" s="973" t="inlineStr">
        <is>
          <t>Nation-state</t>
        </is>
      </c>
      <c r="B27" s="973" t="inlineStr">
        <is>
          <t>Sensitive-data compromise</t>
        </is>
      </c>
      <c r="C27" s="973" t="inlineStr">
        <is>
          <t>Insider or trusted access</t>
        </is>
      </c>
      <c r="D27" s="973" t="n">
        <v>0.0007924528301886791</v>
      </c>
      <c r="E27" s="973" t="n">
        <v>0.29575</v>
      </c>
      <c r="F27" s="973" t="n">
        <v>0.0002343679245283018</v>
      </c>
      <c r="G27" s="973" t="n">
        <v>5093972.602739726</v>
      </c>
      <c r="H27" s="973" t="n">
        <v>88368904.10958904</v>
      </c>
      <c r="I27" s="973" t="n">
        <v>10775408.82315819</v>
      </c>
      <c r="J27" s="973" t="n">
        <v>2525.410201827537</v>
      </c>
      <c r="K27" s="973" t="inlineStr">
        <is>
          <t>No</t>
        </is>
      </c>
      <c r="L27" s="973" t="n"/>
      <c r="M27" s="973" t="n"/>
      <c r="N27" s="973" t="n"/>
      <c r="O27" s="973" t="n"/>
      <c r="P27" s="973" t="n"/>
    </row>
    <row r="28">
      <c r="A28" s="973" t="inlineStr">
        <is>
          <t>Nation-state</t>
        </is>
      </c>
      <c r="B28" s="973" t="inlineStr">
        <is>
          <t>Data or transaction-integrity compromise</t>
        </is>
      </c>
      <c r="C28" s="973" t="inlineStr">
        <is>
          <t>Identity and credential compromise</t>
        </is>
      </c>
      <c r="D28" s="973" t="n">
        <v>0.01047619047619047</v>
      </c>
      <c r="E28" s="973" t="n">
        <v>0.05898750000000001</v>
      </c>
      <c r="F28" s="973" t="n">
        <v>0.0006179642857142857</v>
      </c>
      <c r="G28" s="973" t="n">
        <v>4175890.410958904</v>
      </c>
      <c r="H28" s="973" t="n">
        <v>78266164.38356164</v>
      </c>
      <c r="I28" s="973" t="n">
        <v>9183694.454320414</v>
      </c>
      <c r="J28" s="973" t="n">
        <v>5675.195183682362</v>
      </c>
      <c r="K28" s="973" t="inlineStr">
        <is>
          <t>No</t>
        </is>
      </c>
      <c r="L28" s="973" t="n"/>
      <c r="M28" s="973" t="n"/>
      <c r="N28" s="973" t="n"/>
      <c r="O28" s="973" t="n"/>
      <c r="P28" s="973" t="n"/>
    </row>
    <row r="29">
      <c r="A29" s="973" t="inlineStr">
        <is>
          <t>Nation-state</t>
        </is>
      </c>
      <c r="B29" s="973" t="inlineStr">
        <is>
          <t>Data or transaction-integrity compromise</t>
        </is>
      </c>
      <c r="C29" s="973" t="inlineStr">
        <is>
          <t>User endpoint and social engineering</t>
        </is>
      </c>
      <c r="D29" s="973" t="n">
        <v>0.004285714285714285</v>
      </c>
      <c r="E29" s="973" t="n">
        <v>0.025515</v>
      </c>
      <c r="F29" s="973" t="n">
        <v>0.00010935</v>
      </c>
      <c r="G29" s="973" t="n">
        <v>4175890.410958904</v>
      </c>
      <c r="H29" s="973" t="n">
        <v>78266164.38356164</v>
      </c>
      <c r="I29" s="973" t="n">
        <v>9183694.454320414</v>
      </c>
      <c r="J29" s="973" t="n">
        <v>1004.236988579937</v>
      </c>
      <c r="K29" s="973" t="inlineStr">
        <is>
          <t>No</t>
        </is>
      </c>
      <c r="L29" s="973" t="n"/>
      <c r="M29" s="973" t="n"/>
      <c r="N29" s="973" t="n"/>
      <c r="O29" s="973" t="n"/>
      <c r="P29" s="973" t="n"/>
    </row>
    <row r="30">
      <c r="A30" s="973" t="inlineStr">
        <is>
          <t>Nation-state</t>
        </is>
      </c>
      <c r="B30" s="973" t="inlineStr">
        <is>
          <t>Data or transaction-integrity compromise</t>
        </is>
      </c>
      <c r="C30" s="973" t="inlineStr">
        <is>
          <t>Public-facing application exploitation</t>
        </is>
      </c>
      <c r="D30" s="973" t="n">
        <v>0.009523809523809523</v>
      </c>
      <c r="E30" s="973" t="n">
        <v>0.02025</v>
      </c>
      <c r="F30" s="973" t="n">
        <v>0.0001928571428571428</v>
      </c>
      <c r="G30" s="973" t="n">
        <v>4175890.410958904</v>
      </c>
      <c r="H30" s="973" t="n">
        <v>78266164.38356164</v>
      </c>
      <c r="I30" s="973" t="n">
        <v>9183694.454320414</v>
      </c>
      <c r="J30" s="973" t="n">
        <v>1771.141073333222</v>
      </c>
      <c r="K30" s="973" t="inlineStr">
        <is>
          <t>No</t>
        </is>
      </c>
      <c r="L30" s="973" t="n"/>
      <c r="M30" s="973" t="n"/>
      <c r="N30" s="973" t="n"/>
      <c r="O30" s="973" t="n"/>
      <c r="P30" s="973" t="n"/>
    </row>
    <row r="31">
      <c r="A31" s="973" t="inlineStr">
        <is>
          <t>Nation-state</t>
        </is>
      </c>
      <c r="B31" s="973" t="inlineStr">
        <is>
          <t>Data or transaction-integrity compromise</t>
        </is>
      </c>
      <c r="C31" s="973" t="inlineStr">
        <is>
          <t>Third-party or software supply chain</t>
        </is>
      </c>
      <c r="D31" s="973" t="n">
        <v>0.009523809523809523</v>
      </c>
      <c r="E31" s="973" t="n">
        <v>0.196625</v>
      </c>
      <c r="F31" s="973" t="n">
        <v>0.001872619047619048</v>
      </c>
      <c r="G31" s="973" t="n">
        <v>4175890.410958904</v>
      </c>
      <c r="H31" s="973" t="n">
        <v>78266164.38356164</v>
      </c>
      <c r="I31" s="973" t="n">
        <v>9183694.454320414</v>
      </c>
      <c r="J31" s="973" t="n">
        <v>17197.56116267382</v>
      </c>
      <c r="K31" s="973" t="inlineStr">
        <is>
          <t>No</t>
        </is>
      </c>
      <c r="L31" s="973" t="n"/>
      <c r="M31" s="973" t="n"/>
      <c r="N31" s="973" t="n"/>
      <c r="O31" s="973" t="n"/>
      <c r="P31" s="973" t="n"/>
    </row>
    <row r="32">
      <c r="A32" s="973" t="inlineStr">
        <is>
          <t>Nation-state</t>
        </is>
      </c>
      <c r="B32" s="973" t="inlineStr">
        <is>
          <t>Data or transaction-integrity compromise</t>
        </is>
      </c>
      <c r="C32" s="973" t="inlineStr">
        <is>
          <t>Direct availability or DDoS</t>
        </is>
      </c>
      <c r="D32" s="973" t="n">
        <v>0</v>
      </c>
      <c r="E32" s="973" t="n">
        <v>0</v>
      </c>
      <c r="F32" s="973" t="n">
        <v>0</v>
      </c>
      <c r="G32" s="973" t="n">
        <v>4175890.410958904</v>
      </c>
      <c r="H32" s="973" t="n">
        <v>78266164.38356164</v>
      </c>
      <c r="I32" s="973" t="n">
        <v>9183694.454320414</v>
      </c>
      <c r="J32" s="973" t="n">
        <v>0</v>
      </c>
      <c r="K32" s="973" t="inlineStr">
        <is>
          <t>No</t>
        </is>
      </c>
      <c r="L32" s="973" t="n"/>
      <c r="M32" s="973" t="n"/>
      <c r="N32" s="973" t="n"/>
      <c r="O32" s="973" t="n"/>
      <c r="P32" s="973" t="n"/>
    </row>
    <row r="33">
      <c r="A33" s="973" t="inlineStr">
        <is>
          <t>Nation-state</t>
        </is>
      </c>
      <c r="B33" s="973" t="inlineStr">
        <is>
          <t>Data or transaction-integrity compromise</t>
        </is>
      </c>
      <c r="C33" s="973" t="inlineStr">
        <is>
          <t>Insider or trusted access</t>
        </is>
      </c>
      <c r="D33" s="973" t="n">
        <v>0.002190476190476191</v>
      </c>
      <c r="E33" s="973" t="n">
        <v>0.29575</v>
      </c>
      <c r="F33" s="973" t="n">
        <v>0.0006478333333333333</v>
      </c>
      <c r="G33" s="973" t="n">
        <v>4175890.410958904</v>
      </c>
      <c r="H33" s="973" t="n">
        <v>78266164.38356164</v>
      </c>
      <c r="I33" s="973" t="n">
        <v>9183694.454320414</v>
      </c>
      <c r="J33" s="973" t="n">
        <v>5949.503390657241</v>
      </c>
      <c r="K33" s="973" t="inlineStr">
        <is>
          <t>No</t>
        </is>
      </c>
      <c r="L33" s="973" t="n"/>
      <c r="M33" s="973" t="n"/>
      <c r="N33" s="973" t="n"/>
      <c r="O33" s="973" t="n"/>
      <c r="P33" s="973" t="n"/>
    </row>
    <row r="34">
      <c r="A34" s="973" t="inlineStr">
        <is>
          <t>Nation-state</t>
        </is>
      </c>
      <c r="B34" s="973" t="inlineStr">
        <is>
          <t>Cyber-enabled theft or fraud</t>
        </is>
      </c>
      <c r="C34" s="973" t="inlineStr">
        <is>
          <t>Identity and credential compromise</t>
        </is>
      </c>
      <c r="D34" s="973" t="n">
        <v>0.005865921787709497</v>
      </c>
      <c r="E34" s="973" t="n">
        <v>0.10725</v>
      </c>
      <c r="F34" s="973" t="n">
        <v>0.0006291201117318437</v>
      </c>
      <c r="G34" s="973" t="n">
        <v>1835000</v>
      </c>
      <c r="H34" s="973" t="n">
        <v>29830000</v>
      </c>
      <c r="I34" s="973" t="n">
        <v>3754990.772199141</v>
      </c>
      <c r="J34" s="973" t="n">
        <v>2362.340214157965</v>
      </c>
      <c r="K34" s="973" t="inlineStr">
        <is>
          <t>No</t>
        </is>
      </c>
      <c r="L34" s="973" t="n"/>
      <c r="M34" s="973" t="n"/>
      <c r="N34" s="973" t="n"/>
      <c r="O34" s="973" t="n"/>
      <c r="P34" s="973" t="n"/>
    </row>
    <row r="35">
      <c r="A35" s="973" t="inlineStr">
        <is>
          <t>Nation-state</t>
        </is>
      </c>
      <c r="B35" s="973" t="inlineStr">
        <is>
          <t>Cyber-enabled theft or fraud</t>
        </is>
      </c>
      <c r="C35" s="973" t="inlineStr">
        <is>
          <t>User endpoint and social engineering</t>
        </is>
      </c>
      <c r="D35" s="973" t="n">
        <v>0.001508379888268157</v>
      </c>
      <c r="E35" s="973" t="n">
        <v>0.126</v>
      </c>
      <c r="F35" s="973" t="n">
        <v>0.0001900558659217877</v>
      </c>
      <c r="G35" s="973" t="n">
        <v>1835000</v>
      </c>
      <c r="H35" s="973" t="n">
        <v>29830000</v>
      </c>
      <c r="I35" s="973" t="n">
        <v>3754990.772199141</v>
      </c>
      <c r="J35" s="973" t="n">
        <v>713.6580227386301</v>
      </c>
      <c r="K35" s="973" t="inlineStr">
        <is>
          <t>No</t>
        </is>
      </c>
      <c r="L35" s="973" t="n"/>
      <c r="M35" s="973" t="n"/>
      <c r="N35" s="973" t="n"/>
      <c r="O35" s="973" t="n"/>
      <c r="P35" s="973" t="n"/>
    </row>
    <row r="36">
      <c r="A36" s="973" t="inlineStr">
        <is>
          <t>Nation-state</t>
        </is>
      </c>
      <c r="B36" s="973" t="inlineStr">
        <is>
          <t>Cyber-enabled theft or fraud</t>
        </is>
      </c>
      <c r="C36" s="973" t="inlineStr">
        <is>
          <t>Public-facing application exploitation</t>
        </is>
      </c>
      <c r="D36" s="973" t="n">
        <v>0.002011173184357542</v>
      </c>
      <c r="E36" s="973" t="n">
        <v>0.02025</v>
      </c>
      <c r="F36" s="973" t="n">
        <v>4.072625698324023e-05</v>
      </c>
      <c r="G36" s="973" t="n">
        <v>1835000</v>
      </c>
      <c r="H36" s="973" t="n">
        <v>29830000</v>
      </c>
      <c r="I36" s="973" t="n">
        <v>3754990.772199141</v>
      </c>
      <c r="J36" s="973" t="n">
        <v>152.9267191582779</v>
      </c>
      <c r="K36" s="973" t="inlineStr">
        <is>
          <t>No</t>
        </is>
      </c>
      <c r="L36" s="973" t="n"/>
      <c r="M36" s="973" t="n"/>
      <c r="N36" s="973" t="n"/>
      <c r="O36" s="973" t="n"/>
      <c r="P36" s="973" t="n"/>
    </row>
    <row r="37">
      <c r="A37" s="973" t="inlineStr">
        <is>
          <t>Nation-state</t>
        </is>
      </c>
      <c r="B37" s="973" t="inlineStr">
        <is>
          <t>Cyber-enabled theft or fraud</t>
        </is>
      </c>
      <c r="C37" s="973" t="inlineStr">
        <is>
          <t>Third-party or software supply chain</t>
        </is>
      </c>
      <c r="D37" s="973" t="n">
        <v>0.001675977653631285</v>
      </c>
      <c r="E37" s="973" t="n">
        <v>0.196625</v>
      </c>
      <c r="F37" s="973" t="n">
        <v>0.0003295391061452515</v>
      </c>
      <c r="G37" s="973" t="n">
        <v>1835000</v>
      </c>
      <c r="H37" s="973" t="n">
        <v>29830000</v>
      </c>
      <c r="I37" s="973" t="n">
        <v>3754990.772199141</v>
      </c>
      <c r="J37" s="973" t="n">
        <v>1237.416302654173</v>
      </c>
      <c r="K37" s="973" t="inlineStr">
        <is>
          <t>No</t>
        </is>
      </c>
      <c r="L37" s="973" t="n"/>
      <c r="M37" s="973" t="n"/>
      <c r="N37" s="973" t="n"/>
      <c r="O37" s="973" t="n"/>
      <c r="P37" s="973" t="n"/>
    </row>
    <row r="38">
      <c r="A38" s="973" t="inlineStr">
        <is>
          <t>Nation-state</t>
        </is>
      </c>
      <c r="B38" s="973" t="inlineStr">
        <is>
          <t>Cyber-enabled theft or fraud</t>
        </is>
      </c>
      <c r="C38" s="973" t="inlineStr">
        <is>
          <t>Direct availability or DDoS</t>
        </is>
      </c>
      <c r="D38" s="973" t="n">
        <v>0</v>
      </c>
      <c r="E38" s="973" t="n">
        <v>0</v>
      </c>
      <c r="F38" s="973" t="n">
        <v>0</v>
      </c>
      <c r="G38" s="973" t="n">
        <v>1835000</v>
      </c>
      <c r="H38" s="973" t="n">
        <v>29830000</v>
      </c>
      <c r="I38" s="973" t="n">
        <v>3754990.772199141</v>
      </c>
      <c r="J38" s="973" t="n">
        <v>0</v>
      </c>
      <c r="K38" s="973" t="inlineStr">
        <is>
          <t>No</t>
        </is>
      </c>
      <c r="L38" s="973" t="n"/>
      <c r="M38" s="973" t="n"/>
      <c r="N38" s="973" t="n"/>
      <c r="O38" s="973" t="n"/>
      <c r="P38" s="973" t="n"/>
    </row>
    <row r="39">
      <c r="A39" s="973" t="inlineStr">
        <is>
          <t>Nation-state</t>
        </is>
      </c>
      <c r="B39" s="973" t="inlineStr">
        <is>
          <t>Cyber-enabled theft or fraud</t>
        </is>
      </c>
      <c r="C39" s="973" t="inlineStr">
        <is>
          <t>Insider or trusted access</t>
        </is>
      </c>
      <c r="D39" s="973" t="n">
        <v>0.0009385474860335197</v>
      </c>
      <c r="E39" s="973" t="n">
        <v>0.455</v>
      </c>
      <c r="F39" s="973" t="n">
        <v>0.0004270391061452514</v>
      </c>
      <c r="G39" s="973" t="n">
        <v>1835000</v>
      </c>
      <c r="H39" s="973" t="n">
        <v>29830000</v>
      </c>
      <c r="I39" s="973" t="n">
        <v>3754990.772199141</v>
      </c>
      <c r="J39" s="973" t="n">
        <v>1603.527902943589</v>
      </c>
      <c r="K39" s="973" t="inlineStr">
        <is>
          <t>No</t>
        </is>
      </c>
      <c r="L39" s="973" t="n"/>
      <c r="M39" s="973" t="n"/>
      <c r="N39" s="973" t="n"/>
      <c r="O39" s="973" t="n"/>
      <c r="P39" s="973" t="n"/>
    </row>
    <row r="40">
      <c r="A40" s="973" t="inlineStr">
        <is>
          <t>Cybercriminal</t>
        </is>
      </c>
      <c r="B40" s="973" t="inlineStr">
        <is>
          <t>Critical business-service disruption</t>
        </is>
      </c>
      <c r="C40" s="973" t="inlineStr">
        <is>
          <t>Identity and credential compromise</t>
        </is>
      </c>
      <c r="D40" s="973" t="n">
        <v>0.04986420423682782</v>
      </c>
      <c r="E40" s="973" t="n">
        <v>0.05898750000000001</v>
      </c>
      <c r="F40" s="973" t="n">
        <v>0.002941364747419881</v>
      </c>
      <c r="G40" s="973" t="n">
        <v>5420753.424657534</v>
      </c>
      <c r="H40" s="973" t="n">
        <v>110133013.6986301</v>
      </c>
      <c r="I40" s="973" t="n">
        <v>12486741.05510725</v>
      </c>
      <c r="J40" s="973" t="n">
        <v>36728.05994965298</v>
      </c>
      <c r="K40" s="973" t="inlineStr">
        <is>
          <t>No</t>
        </is>
      </c>
      <c r="L40" s="973" t="n"/>
      <c r="M40" s="973" t="n"/>
      <c r="N40" s="973" t="n"/>
      <c r="O40" s="973" t="n"/>
      <c r="P40" s="973" t="n"/>
    </row>
    <row r="41">
      <c r="A41" s="973" t="inlineStr">
        <is>
          <t>Cybercriminal</t>
        </is>
      </c>
      <c r="B41" s="973" t="inlineStr">
        <is>
          <t>Critical business-service disruption</t>
        </is>
      </c>
      <c r="C41" s="973" t="inlineStr">
        <is>
          <t>User endpoint and social engineering</t>
        </is>
      </c>
      <c r="D41" s="973" t="n">
        <v>0.06094513851167845</v>
      </c>
      <c r="E41" s="973" t="n">
        <v>0.025515</v>
      </c>
      <c r="F41" s="973" t="n">
        <v>0.001555015209125476</v>
      </c>
      <c r="G41" s="973" t="n">
        <v>5420753.424657534</v>
      </c>
      <c r="H41" s="973" t="n">
        <v>110133013.6986301</v>
      </c>
      <c r="I41" s="973" t="n">
        <v>12486741.05510725</v>
      </c>
      <c r="J41" s="973" t="n">
        <v>19417.07225310326</v>
      </c>
      <c r="K41" s="973" t="inlineStr">
        <is>
          <t>No</t>
        </is>
      </c>
      <c r="L41" s="973" t="n"/>
      <c r="M41" s="973" t="n"/>
      <c r="N41" s="973" t="n"/>
      <c r="O41" s="973" t="n"/>
      <c r="P41" s="973" t="n"/>
    </row>
    <row r="42">
      <c r="A42" s="973" t="inlineStr">
        <is>
          <t>Cybercriminal</t>
        </is>
      </c>
      <c r="B42" s="973" t="inlineStr">
        <is>
          <t>Critical business-service disruption</t>
        </is>
      </c>
      <c r="C42" s="973" t="inlineStr">
        <is>
          <t>Public-facing application exploitation</t>
        </is>
      </c>
      <c r="D42" s="973" t="n">
        <v>0.05606952743074417</v>
      </c>
      <c r="E42" s="973" t="n">
        <v>0.02025</v>
      </c>
      <c r="F42" s="973" t="n">
        <v>0.001135407930472569</v>
      </c>
      <c r="G42" s="973" t="n">
        <v>5420753.424657534</v>
      </c>
      <c r="H42" s="973" t="n">
        <v>110133013.6986301</v>
      </c>
      <c r="I42" s="973" t="n">
        <v>12486741.05510725</v>
      </c>
      <c r="J42" s="973" t="n">
        <v>14177.54481972618</v>
      </c>
      <c r="K42" s="973" t="inlineStr">
        <is>
          <t>No</t>
        </is>
      </c>
      <c r="L42" s="973" t="n"/>
      <c r="M42" s="973" t="n"/>
      <c r="N42" s="973" t="n"/>
      <c r="O42" s="973" t="n"/>
      <c r="P42" s="973" t="n"/>
    </row>
    <row r="43">
      <c r="A43" s="973" t="inlineStr">
        <is>
          <t>Cybercriminal</t>
        </is>
      </c>
      <c r="B43" s="973" t="inlineStr">
        <is>
          <t>Critical business-service disruption</t>
        </is>
      </c>
      <c r="C43" s="973" t="inlineStr">
        <is>
          <t>Third-party or software supply chain</t>
        </is>
      </c>
      <c r="D43" s="973" t="n">
        <v>0.01662140141227594</v>
      </c>
      <c r="E43" s="973" t="n">
        <v>0.196625</v>
      </c>
      <c r="F43" s="973" t="n">
        <v>0.003268183052688757</v>
      </c>
      <c r="G43" s="973" t="n">
        <v>5420753.424657534</v>
      </c>
      <c r="H43" s="973" t="n">
        <v>110133013.6986301</v>
      </c>
      <c r="I43" s="973" t="n">
        <v>12486741.05510725</v>
      </c>
      <c r="J43" s="973" t="n">
        <v>40808.95549961443</v>
      </c>
      <c r="K43" s="973" t="inlineStr">
        <is>
          <t>No</t>
        </is>
      </c>
      <c r="L43" s="973" t="n"/>
      <c r="M43" s="973" t="n"/>
      <c r="N43" s="973" t="n"/>
      <c r="O43" s="973" t="n"/>
      <c r="P43" s="973" t="n"/>
    </row>
    <row r="44">
      <c r="A44" s="973" t="inlineStr">
        <is>
          <t>Cybercriminal</t>
        </is>
      </c>
      <c r="B44" s="973" t="inlineStr">
        <is>
          <t>Critical business-service disruption</t>
        </is>
      </c>
      <c r="C44" s="973" t="inlineStr">
        <is>
          <t>Direct availability or DDoS</t>
        </is>
      </c>
      <c r="D44" s="973" t="n">
        <v>0.017729494839761</v>
      </c>
      <c r="E44" s="973" t="n">
        <v>0.36</v>
      </c>
      <c r="F44" s="973" t="n">
        <v>0.006382618142313961</v>
      </c>
      <c r="G44" s="973" t="n">
        <v>5420753.424657534</v>
      </c>
      <c r="H44" s="973" t="n">
        <v>110133013.6986301</v>
      </c>
      <c r="I44" s="973" t="n">
        <v>12486741.05510725</v>
      </c>
      <c r="J44" s="973" t="n">
        <v>79698.09999670407</v>
      </c>
      <c r="K44" s="973" t="inlineStr">
        <is>
          <t>No</t>
        </is>
      </c>
      <c r="L44" s="973" t="n"/>
      <c r="M44" s="973" t="n"/>
      <c r="N44" s="973" t="n"/>
      <c r="O44" s="973" t="n"/>
      <c r="P44" s="973" t="n"/>
    </row>
    <row r="45">
      <c r="A45" s="973" t="inlineStr">
        <is>
          <t>Cybercriminal</t>
        </is>
      </c>
      <c r="B45" s="973" t="inlineStr">
        <is>
          <t>Critical business-service disruption</t>
        </is>
      </c>
      <c r="C45" s="973" t="inlineStr">
        <is>
          <t>Insider or trusted access</t>
        </is>
      </c>
      <c r="D45" s="973" t="n">
        <v>0.002770233568712657</v>
      </c>
      <c r="E45" s="973" t="n">
        <v>0.29575</v>
      </c>
      <c r="F45" s="973" t="n">
        <v>0.0008192965779467683</v>
      </c>
      <c r="G45" s="973" t="n">
        <v>5420753.424657534</v>
      </c>
      <c r="H45" s="973" t="n">
        <v>110133013.6986301</v>
      </c>
      <c r="I45" s="973" t="n">
        <v>12486741.05510725</v>
      </c>
      <c r="J45" s="973" t="n">
        <v>10230.34421615679</v>
      </c>
      <c r="K45" s="973" t="inlineStr">
        <is>
          <t>No</t>
        </is>
      </c>
      <c r="L45" s="973" t="n"/>
      <c r="M45" s="973" t="n"/>
      <c r="N45" s="973" t="n"/>
      <c r="O45" s="973" t="n"/>
      <c r="P45" s="973" t="n"/>
    </row>
    <row r="46">
      <c r="A46" s="973" t="inlineStr">
        <is>
          <t>Cybercriminal</t>
        </is>
      </c>
      <c r="B46" s="973" t="inlineStr">
        <is>
          <t>Sensitive-data compromise</t>
        </is>
      </c>
      <c r="C46" s="973" t="inlineStr">
        <is>
          <t>Identity and credential compromise</t>
        </is>
      </c>
      <c r="D46" s="973" t="n">
        <v>0.07063711911357341</v>
      </c>
      <c r="E46" s="973" t="n">
        <v>0.05898750000000001</v>
      </c>
      <c r="F46" s="973" t="n">
        <v>0.004166707063711913</v>
      </c>
      <c r="G46" s="973" t="n">
        <v>5593972.602739726</v>
      </c>
      <c r="H46" s="973" t="n">
        <v>98368904.10958904</v>
      </c>
      <c r="I46" s="973" t="n">
        <v>11938009.00867613</v>
      </c>
      <c r="J46" s="973" t="n">
        <v>49742.18646310728</v>
      </c>
      <c r="K46" s="973" t="inlineStr">
        <is>
          <t>No</t>
        </is>
      </c>
      <c r="L46" s="973" t="n"/>
      <c r="M46" s="973" t="n"/>
      <c r="N46" s="973" t="n"/>
      <c r="O46" s="973" t="n"/>
      <c r="P46" s="973" t="n"/>
    </row>
    <row r="47">
      <c r="A47" s="973" t="inlineStr">
        <is>
          <t>Cybercriminal</t>
        </is>
      </c>
      <c r="B47" s="973" t="inlineStr">
        <is>
          <t>Sensitive-data compromise</t>
        </is>
      </c>
      <c r="C47" s="973" t="inlineStr">
        <is>
          <t>User endpoint and social engineering</t>
        </is>
      </c>
      <c r="D47" s="973" t="n">
        <v>0.04316712834718375</v>
      </c>
      <c r="E47" s="973" t="n">
        <v>0.025515</v>
      </c>
      <c r="F47" s="973" t="n">
        <v>0.001101409279778393</v>
      </c>
      <c r="G47" s="973" t="n">
        <v>5593972.602739726</v>
      </c>
      <c r="H47" s="973" t="n">
        <v>98368904.10958904</v>
      </c>
      <c r="I47" s="973" t="n">
        <v>11938009.00867613</v>
      </c>
      <c r="J47" s="973" t="n">
        <v>13148.63390423395</v>
      </c>
      <c r="K47" s="973" t="inlineStr">
        <is>
          <t>No</t>
        </is>
      </c>
      <c r="L47" s="973" t="n"/>
      <c r="M47" s="973" t="n"/>
      <c r="N47" s="973" t="n"/>
      <c r="O47" s="973" t="n"/>
      <c r="P47" s="973" t="n"/>
    </row>
    <row r="48">
      <c r="A48" s="973" t="inlineStr">
        <is>
          <t>Cybercriminal</t>
        </is>
      </c>
      <c r="B48" s="973" t="inlineStr">
        <is>
          <t>Sensitive-data compromise</t>
        </is>
      </c>
      <c r="C48" s="973" t="inlineStr">
        <is>
          <t>Public-facing application exploitation</t>
        </is>
      </c>
      <c r="D48" s="973" t="n">
        <v>0.03971375807940906</v>
      </c>
      <c r="E48" s="973" t="n">
        <v>0.02025</v>
      </c>
      <c r="F48" s="973" t="n">
        <v>0.0008042036011080334</v>
      </c>
      <c r="G48" s="973" t="n">
        <v>5593972.602739726</v>
      </c>
      <c r="H48" s="973" t="n">
        <v>98368904.10958904</v>
      </c>
      <c r="I48" s="973" t="n">
        <v>11938009.00867613</v>
      </c>
      <c r="J48" s="973" t="n">
        <v>9600.589834837489</v>
      </c>
      <c r="K48" s="973" t="inlineStr">
        <is>
          <t>No</t>
        </is>
      </c>
      <c r="L48" s="973" t="n"/>
      <c r="M48" s="973" t="n"/>
      <c r="N48" s="973" t="n"/>
      <c r="O48" s="973" t="n"/>
      <c r="P48" s="973" t="n"/>
    </row>
    <row r="49">
      <c r="A49" s="973" t="inlineStr">
        <is>
          <t>Cybercriminal</t>
        </is>
      </c>
      <c r="B49" s="973" t="inlineStr">
        <is>
          <t>Sensitive-data compromise</t>
        </is>
      </c>
      <c r="C49" s="973" t="inlineStr">
        <is>
          <t>Third-party or software supply chain</t>
        </is>
      </c>
      <c r="D49" s="973" t="n">
        <v>0.01334256694367498</v>
      </c>
      <c r="E49" s="973" t="n">
        <v>0.196625</v>
      </c>
      <c r="F49" s="973" t="n">
        <v>0.002623482225300094</v>
      </c>
      <c r="G49" s="973" t="n">
        <v>5593972.602739726</v>
      </c>
      <c r="H49" s="973" t="n">
        <v>98368904.10958904</v>
      </c>
      <c r="I49" s="973" t="n">
        <v>11938009.00867613</v>
      </c>
      <c r="J49" s="973" t="n">
        <v>31319.15443973422</v>
      </c>
      <c r="K49" s="973" t="inlineStr">
        <is>
          <t>No</t>
        </is>
      </c>
      <c r="L49" s="973" t="n"/>
      <c r="M49" s="973" t="n"/>
      <c r="N49" s="973" t="n"/>
      <c r="O49" s="973" t="n"/>
      <c r="P49" s="973" t="n"/>
    </row>
    <row r="50">
      <c r="A50" s="973" t="inlineStr">
        <is>
          <t>Cybercriminal</t>
        </is>
      </c>
      <c r="B50" s="973" t="inlineStr">
        <is>
          <t>Sensitive-data compromise</t>
        </is>
      </c>
      <c r="C50" s="973" t="inlineStr">
        <is>
          <t>Direct availability or DDoS</t>
        </is>
      </c>
      <c r="D50" s="973" t="n">
        <v>0</v>
      </c>
      <c r="E50" s="973" t="n">
        <v>0</v>
      </c>
      <c r="F50" s="973" t="n">
        <v>0</v>
      </c>
      <c r="G50" s="973" t="n">
        <v>5593972.602739726</v>
      </c>
      <c r="H50" s="973" t="n">
        <v>98368904.10958904</v>
      </c>
      <c r="I50" s="973" t="n">
        <v>11938009.00867613</v>
      </c>
      <c r="J50" s="973" t="n">
        <v>0</v>
      </c>
      <c r="K50" s="973" t="inlineStr">
        <is>
          <t>No</t>
        </is>
      </c>
      <c r="L50" s="973" t="n"/>
      <c r="M50" s="973" t="n"/>
      <c r="N50" s="973" t="n"/>
      <c r="O50" s="973" t="n"/>
      <c r="P50" s="973" t="n"/>
    </row>
    <row r="51">
      <c r="A51" s="973" t="inlineStr">
        <is>
          <t>Cybercriminal</t>
        </is>
      </c>
      <c r="B51" s="973" t="inlineStr">
        <is>
          <t>Sensitive-data compromise</t>
        </is>
      </c>
      <c r="C51" s="973" t="inlineStr">
        <is>
          <t>Insider or trusted access</t>
        </is>
      </c>
      <c r="D51" s="973" t="n">
        <v>0.003139427516158819</v>
      </c>
      <c r="E51" s="973" t="n">
        <v>0.29575</v>
      </c>
      <c r="F51" s="973" t="n">
        <v>0.0009284856879039705</v>
      </c>
      <c r="G51" s="973" t="n">
        <v>5593972.602739726</v>
      </c>
      <c r="H51" s="973" t="n">
        <v>98368904.10958904</v>
      </c>
      <c r="I51" s="973" t="n">
        <v>11938009.00867613</v>
      </c>
      <c r="J51" s="973" t="n">
        <v>11084.27050662445</v>
      </c>
      <c r="K51" s="973" t="inlineStr">
        <is>
          <t>No</t>
        </is>
      </c>
      <c r="L51" s="973" t="n"/>
      <c r="M51" s="973" t="n"/>
      <c r="N51" s="973" t="n"/>
      <c r="O51" s="973" t="n"/>
      <c r="P51" s="973" t="n"/>
    </row>
    <row r="52">
      <c r="A52" s="973" t="inlineStr">
        <is>
          <t>Cybercriminal</t>
        </is>
      </c>
      <c r="B52" s="973" t="inlineStr">
        <is>
          <t>Data or transaction-integrity compromise</t>
        </is>
      </c>
      <c r="C52" s="973" t="inlineStr">
        <is>
          <t>Identity and credential compromise</t>
        </is>
      </c>
      <c r="D52" s="973" t="n">
        <v>0.02507262569832402</v>
      </c>
      <c r="E52" s="973" t="n">
        <v>0.05898750000000001</v>
      </c>
      <c r="F52" s="973" t="n">
        <v>0.001478971508379889</v>
      </c>
      <c r="G52" s="973" t="n">
        <v>4203287.671232876</v>
      </c>
      <c r="H52" s="973" t="n">
        <v>83060684.93150684</v>
      </c>
      <c r="I52" s="973" t="n">
        <v>9541651.690363882</v>
      </c>
      <c r="J52" s="973" t="n">
        <v>14111.83099293298</v>
      </c>
      <c r="K52" s="973" t="inlineStr">
        <is>
          <t>No</t>
        </is>
      </c>
      <c r="L52" s="973" t="n"/>
      <c r="M52" s="973" t="n"/>
      <c r="N52" s="973" t="n"/>
      <c r="O52" s="973" t="n"/>
      <c r="P52" s="973" t="n"/>
    </row>
    <row r="53">
      <c r="A53" s="973" t="inlineStr">
        <is>
          <t>Cybercriminal</t>
        </is>
      </c>
      <c r="B53" s="973" t="inlineStr">
        <is>
          <t>Data or transaction-integrity compromise</t>
        </is>
      </c>
      <c r="C53" s="973" t="inlineStr">
        <is>
          <t>User endpoint and social engineering</t>
        </is>
      </c>
      <c r="D53" s="973" t="n">
        <v>0.01424581005586592</v>
      </c>
      <c r="E53" s="973" t="n">
        <v>0.025515</v>
      </c>
      <c r="F53" s="973" t="n">
        <v>0.000363481843575419</v>
      </c>
      <c r="G53" s="973" t="n">
        <v>4203287.671232876</v>
      </c>
      <c r="H53" s="973" t="n">
        <v>83060684.93150684</v>
      </c>
      <c r="I53" s="973" t="n">
        <v>9541651.690363882</v>
      </c>
      <c r="J53" s="973" t="n">
        <v>3468.217147167977</v>
      </c>
      <c r="K53" s="973" t="inlineStr">
        <is>
          <t>No</t>
        </is>
      </c>
      <c r="L53" s="973" t="n"/>
      <c r="M53" s="973" t="n"/>
      <c r="N53" s="973" t="n"/>
      <c r="O53" s="973" t="n"/>
      <c r="P53" s="973" t="n"/>
    </row>
    <row r="54">
      <c r="A54" s="973" t="inlineStr">
        <is>
          <t>Cybercriminal</t>
        </is>
      </c>
      <c r="B54" s="973" t="inlineStr">
        <is>
          <t>Data or transaction-integrity compromise</t>
        </is>
      </c>
      <c r="C54" s="973" t="inlineStr">
        <is>
          <t>Public-facing application exploitation</t>
        </is>
      </c>
      <c r="D54" s="973" t="n">
        <v>0.01671508379888268</v>
      </c>
      <c r="E54" s="973" t="n">
        <v>0.02025</v>
      </c>
      <c r="F54" s="973" t="n">
        <v>0.0003384804469273743</v>
      </c>
      <c r="G54" s="973" t="n">
        <v>4203287.671232876</v>
      </c>
      <c r="H54" s="973" t="n">
        <v>83060684.93150684</v>
      </c>
      <c r="I54" s="973" t="n">
        <v>9541651.690363882</v>
      </c>
      <c r="J54" s="973" t="n">
        <v>3229.662528579703</v>
      </c>
      <c r="K54" s="973" t="inlineStr">
        <is>
          <t>No</t>
        </is>
      </c>
      <c r="L54" s="973" t="n"/>
      <c r="M54" s="973" t="n"/>
      <c r="N54" s="973" t="n"/>
      <c r="O54" s="973" t="n"/>
      <c r="P54" s="973" t="n"/>
    </row>
    <row r="55">
      <c r="A55" s="973" t="inlineStr">
        <is>
          <t>Cybercriminal</t>
        </is>
      </c>
      <c r="B55" s="973" t="inlineStr">
        <is>
          <t>Data or transaction-integrity compromise</t>
        </is>
      </c>
      <c r="C55" s="973" t="inlineStr">
        <is>
          <t>Third-party or software supply chain</t>
        </is>
      </c>
      <c r="D55" s="973" t="n">
        <v>0.007597765363128493</v>
      </c>
      <c r="E55" s="973" t="n">
        <v>0.196625</v>
      </c>
      <c r="F55" s="973" t="n">
        <v>0.00149391061452514</v>
      </c>
      <c r="G55" s="973" t="n">
        <v>4203287.671232876</v>
      </c>
      <c r="H55" s="973" t="n">
        <v>83060684.93150684</v>
      </c>
      <c r="I55" s="973" t="n">
        <v>9541651.690363882</v>
      </c>
      <c r="J55" s="973" t="n">
        <v>14254.37474033635</v>
      </c>
      <c r="K55" s="973" t="inlineStr">
        <is>
          <t>No</t>
        </is>
      </c>
      <c r="L55" s="973" t="n"/>
      <c r="M55" s="973" t="n"/>
      <c r="N55" s="973" t="n"/>
      <c r="O55" s="973" t="n"/>
      <c r="P55" s="973" t="n"/>
    </row>
    <row r="56">
      <c r="A56" s="973" t="inlineStr">
        <is>
          <t>Cybercriminal</t>
        </is>
      </c>
      <c r="B56" s="973" t="inlineStr">
        <is>
          <t>Data or transaction-integrity compromise</t>
        </is>
      </c>
      <c r="C56" s="973" t="inlineStr">
        <is>
          <t>Direct availability or DDoS</t>
        </is>
      </c>
      <c r="D56" s="973" t="n">
        <v>0</v>
      </c>
      <c r="E56" s="973" t="n">
        <v>0</v>
      </c>
      <c r="F56" s="973" t="n">
        <v>0</v>
      </c>
      <c r="G56" s="973" t="n">
        <v>4203287.671232876</v>
      </c>
      <c r="H56" s="973" t="n">
        <v>83060684.93150684</v>
      </c>
      <c r="I56" s="973" t="n">
        <v>9541651.690363882</v>
      </c>
      <c r="J56" s="973" t="n">
        <v>0</v>
      </c>
      <c r="K56" s="973" t="inlineStr">
        <is>
          <t>No</t>
        </is>
      </c>
      <c r="L56" s="973" t="n"/>
      <c r="M56" s="973" t="n"/>
      <c r="N56" s="973" t="n"/>
      <c r="O56" s="973" t="n"/>
      <c r="P56" s="973" t="n"/>
    </row>
    <row r="57">
      <c r="A57" s="973" t="inlineStr">
        <is>
          <t>Cybercriminal</t>
        </is>
      </c>
      <c r="B57" s="973" t="inlineStr">
        <is>
          <t>Data or transaction-integrity compromise</t>
        </is>
      </c>
      <c r="C57" s="973" t="inlineStr">
        <is>
          <t>Insider or trusted access</t>
        </is>
      </c>
      <c r="D57" s="973" t="n">
        <v>0.004368715083798883</v>
      </c>
      <c r="E57" s="973" t="n">
        <v>0.29575</v>
      </c>
      <c r="F57" s="973" t="n">
        <v>0.00129204748603352</v>
      </c>
      <c r="G57" s="973" t="n">
        <v>4203287.671232876</v>
      </c>
      <c r="H57" s="973" t="n">
        <v>83060684.93150684</v>
      </c>
      <c r="I57" s="973" t="n">
        <v>9541651.690363882</v>
      </c>
      <c r="J57" s="973" t="n">
        <v>12328.26707914214</v>
      </c>
      <c r="K57" s="973" t="inlineStr">
        <is>
          <t>No</t>
        </is>
      </c>
      <c r="L57" s="973" t="n"/>
      <c r="M57" s="973" t="n"/>
      <c r="N57" s="973" t="n"/>
      <c r="O57" s="973" t="n"/>
      <c r="P57" s="973" t="n"/>
    </row>
    <row r="58">
      <c r="A58" s="973" t="inlineStr">
        <is>
          <t>Cybercriminal</t>
        </is>
      </c>
      <c r="B58" s="973" t="inlineStr">
        <is>
          <t>Cyber-enabled theft or fraud</t>
        </is>
      </c>
      <c r="C58" s="973" t="inlineStr">
        <is>
          <t>Identity and credential compromise</t>
        </is>
      </c>
      <c r="D58" s="973" t="n">
        <v>0.1295489891135303</v>
      </c>
      <c r="E58" s="973" t="n">
        <v>0.10725</v>
      </c>
      <c r="F58" s="973" t="n">
        <v>0.01389412908242613</v>
      </c>
      <c r="G58" s="973" t="n">
        <v>1889794.520547945</v>
      </c>
      <c r="H58" s="973" t="n">
        <v>46268356.16438356</v>
      </c>
      <c r="I58" s="973" t="n">
        <v>4844236.526173487</v>
      </c>
      <c r="J58" s="973" t="n">
        <v>67306.44760045798</v>
      </c>
      <c r="K58" s="973" t="inlineStr">
        <is>
          <t>No</t>
        </is>
      </c>
      <c r="L58" s="973" t="n"/>
      <c r="M58" s="973" t="n"/>
      <c r="N58" s="973" t="n"/>
      <c r="O58" s="973" t="n"/>
      <c r="P58" s="973" t="n"/>
    </row>
    <row r="59">
      <c r="A59" s="973" t="inlineStr">
        <is>
          <t>Cybercriminal</t>
        </is>
      </c>
      <c r="B59" s="973" t="inlineStr">
        <is>
          <t>Cyber-enabled theft or fraud</t>
        </is>
      </c>
      <c r="C59" s="973" t="inlineStr">
        <is>
          <t>User endpoint and social engineering</t>
        </is>
      </c>
      <c r="D59" s="973" t="n">
        <v>0.04626749611197511</v>
      </c>
      <c r="E59" s="973" t="n">
        <v>0.126</v>
      </c>
      <c r="F59" s="973" t="n">
        <v>0.005829704510108865</v>
      </c>
      <c r="G59" s="973" t="n">
        <v>1889794.520547945</v>
      </c>
      <c r="H59" s="973" t="n">
        <v>46268356.16438356</v>
      </c>
      <c r="I59" s="973" t="n">
        <v>4844236.526173487</v>
      </c>
      <c r="J59" s="973" t="n">
        <v>28240.46752466768</v>
      </c>
      <c r="K59" s="973" t="inlineStr">
        <is>
          <t>No</t>
        </is>
      </c>
      <c r="L59" s="973" t="n"/>
      <c r="M59" s="973" t="n"/>
      <c r="N59" s="973" t="n"/>
      <c r="O59" s="973" t="n"/>
      <c r="P59" s="973" t="n"/>
    </row>
    <row r="60">
      <c r="A60" s="973" t="inlineStr">
        <is>
          <t>Cybercriminal</t>
        </is>
      </c>
      <c r="B60" s="973" t="inlineStr">
        <is>
          <t>Cyber-enabled theft or fraud</t>
        </is>
      </c>
      <c r="C60" s="973" t="inlineStr">
        <is>
          <t>Public-facing application exploitation</t>
        </is>
      </c>
      <c r="D60" s="973" t="n">
        <v>0.03257231726283048</v>
      </c>
      <c r="E60" s="973" t="n">
        <v>0.02025</v>
      </c>
      <c r="F60" s="973" t="n">
        <v>0.0006595894245723173</v>
      </c>
      <c r="G60" s="973" t="n">
        <v>1889794.520547945</v>
      </c>
      <c r="H60" s="973" t="n">
        <v>46268356.16438356</v>
      </c>
      <c r="I60" s="973" t="n">
        <v>4844236.526173487</v>
      </c>
      <c r="J60" s="973" t="n">
        <v>3195.207182790972</v>
      </c>
      <c r="K60" s="973" t="inlineStr">
        <is>
          <t>No</t>
        </is>
      </c>
      <c r="L60" s="973" t="n"/>
      <c r="M60" s="973" t="n"/>
      <c r="N60" s="973" t="n"/>
      <c r="O60" s="973" t="n"/>
      <c r="P60" s="973" t="n"/>
    </row>
    <row r="61">
      <c r="A61" s="973" t="inlineStr">
        <is>
          <t>Cybercriminal</t>
        </is>
      </c>
      <c r="B61" s="973" t="inlineStr">
        <is>
          <t>Cyber-enabled theft or fraud</t>
        </is>
      </c>
      <c r="C61" s="973" t="inlineStr">
        <is>
          <t>Third-party or software supply chain</t>
        </is>
      </c>
      <c r="D61" s="973" t="n">
        <v>0.01233799896319337</v>
      </c>
      <c r="E61" s="973" t="n">
        <v>0.196625</v>
      </c>
      <c r="F61" s="973" t="n">
        <v>0.002425959046137897</v>
      </c>
      <c r="G61" s="973" t="n">
        <v>1889794.520547945</v>
      </c>
      <c r="H61" s="973" t="n">
        <v>46268356.16438356</v>
      </c>
      <c r="I61" s="973" t="n">
        <v>4844236.526173487</v>
      </c>
      <c r="J61" s="973" t="n">
        <v>11751.91942230219</v>
      </c>
      <c r="K61" s="973" t="inlineStr">
        <is>
          <t>No</t>
        </is>
      </c>
      <c r="L61" s="973" t="n"/>
      <c r="M61" s="973" t="n"/>
      <c r="N61" s="973" t="n"/>
      <c r="O61" s="973" t="n"/>
      <c r="P61" s="973" t="n"/>
    </row>
    <row r="62">
      <c r="A62" s="973" t="inlineStr">
        <is>
          <t>Cybercriminal</t>
        </is>
      </c>
      <c r="B62" s="973" t="inlineStr">
        <is>
          <t>Cyber-enabled theft or fraud</t>
        </is>
      </c>
      <c r="C62" s="973" t="inlineStr">
        <is>
          <t>Direct availability or DDoS</t>
        </is>
      </c>
      <c r="D62" s="973" t="n">
        <v>0</v>
      </c>
      <c r="E62" s="973" t="n">
        <v>0</v>
      </c>
      <c r="F62" s="973" t="n">
        <v>0</v>
      </c>
      <c r="G62" s="973" t="n">
        <v>1889794.520547945</v>
      </c>
      <c r="H62" s="973" t="n">
        <v>46268356.16438356</v>
      </c>
      <c r="I62" s="973" t="n">
        <v>4844236.526173487</v>
      </c>
      <c r="J62" s="973" t="n">
        <v>0</v>
      </c>
      <c r="K62" s="973" t="inlineStr">
        <is>
          <t>No</t>
        </is>
      </c>
      <c r="L62" s="973" t="n"/>
      <c r="M62" s="973" t="n"/>
      <c r="N62" s="973" t="n"/>
      <c r="O62" s="973" t="n"/>
      <c r="P62" s="973" t="n"/>
    </row>
    <row r="63">
      <c r="A63" s="973" t="inlineStr">
        <is>
          <t>Cybercriminal</t>
        </is>
      </c>
      <c r="B63" s="973" t="inlineStr">
        <is>
          <t>Cyber-enabled theft or fraud</t>
        </is>
      </c>
      <c r="C63" s="973" t="inlineStr">
        <is>
          <t>Insider or trusted access</t>
        </is>
      </c>
      <c r="D63" s="973" t="n">
        <v>0.01727319854847071</v>
      </c>
      <c r="E63" s="973" t="n">
        <v>0.455</v>
      </c>
      <c r="F63" s="973" t="n">
        <v>0.007859305339554173</v>
      </c>
      <c r="G63" s="973" t="n">
        <v>1889794.520547945</v>
      </c>
      <c r="H63" s="973" t="n">
        <v>46268356.16438356</v>
      </c>
      <c r="I63" s="973" t="n">
        <v>4844236.526173487</v>
      </c>
      <c r="J63" s="973" t="n">
        <v>38072.33399621865</v>
      </c>
      <c r="K63" s="973" t="inlineStr">
        <is>
          <t>No</t>
        </is>
      </c>
      <c r="L63" s="973" t="n"/>
      <c r="M63" s="973" t="n"/>
      <c r="N63" s="973" t="n"/>
      <c r="O63" s="973" t="n"/>
      <c r="P63" s="973" t="n"/>
    </row>
    <row r="64">
      <c r="A64" s="973" t="inlineStr">
        <is>
          <t>Malicious insider</t>
        </is>
      </c>
      <c r="B64" s="973" t="inlineStr">
        <is>
          <t>Critical business-service disruption</t>
        </is>
      </c>
      <c r="C64" s="973" t="inlineStr">
        <is>
          <t>Identity and credential compromise</t>
        </is>
      </c>
      <c r="D64" s="973" t="n">
        <v>0.002304147465437788</v>
      </c>
      <c r="E64" s="973" t="n">
        <v>0.05898750000000001</v>
      </c>
      <c r="F64" s="973" t="n">
        <v>0.0001359158986175116</v>
      </c>
      <c r="G64" s="973" t="n">
        <v>4420753.424657534</v>
      </c>
      <c r="H64" s="973" t="n">
        <v>90133013.69863012</v>
      </c>
      <c r="I64" s="973" t="n">
        <v>10186141.8209453</v>
      </c>
      <c r="J64" s="973" t="n">
        <v>1384.458619039196</v>
      </c>
      <c r="K64" s="973" t="inlineStr">
        <is>
          <t>No</t>
        </is>
      </c>
      <c r="L64" s="973" t="n"/>
      <c r="M64" s="973" t="n"/>
      <c r="N64" s="973" t="n"/>
      <c r="O64" s="973" t="n"/>
      <c r="P64" s="973" t="n"/>
    </row>
    <row r="65">
      <c r="A65" s="973" t="inlineStr">
        <is>
          <t>Malicious insider</t>
        </is>
      </c>
      <c r="B65" s="973" t="inlineStr">
        <is>
          <t>Critical business-service disruption</t>
        </is>
      </c>
      <c r="C65" s="973" t="inlineStr">
        <is>
          <t>User endpoint and social engineering</t>
        </is>
      </c>
      <c r="D65" s="973" t="n">
        <v>0.002027649769585254</v>
      </c>
      <c r="E65" s="973" t="n">
        <v>0.025515</v>
      </c>
      <c r="F65" s="973" t="n">
        <v>5.173548387096775e-05</v>
      </c>
      <c r="G65" s="973" t="n">
        <v>4420753.424657534</v>
      </c>
      <c r="H65" s="973" t="n">
        <v>90133013.69863012</v>
      </c>
      <c r="I65" s="973" t="n">
        <v>10186141.8209453</v>
      </c>
      <c r="J65" s="973" t="n">
        <v>526.9849758849056</v>
      </c>
      <c r="K65" s="973" t="inlineStr">
        <is>
          <t>No</t>
        </is>
      </c>
      <c r="L65" s="973" t="n"/>
      <c r="M65" s="973" t="n"/>
      <c r="N65" s="973" t="n"/>
      <c r="O65" s="973" t="n"/>
      <c r="P65" s="973" t="n"/>
    </row>
    <row r="66">
      <c r="A66" s="973" t="inlineStr">
        <is>
          <t>Malicious insider</t>
        </is>
      </c>
      <c r="B66" s="973" t="inlineStr">
        <is>
          <t>Critical business-service disruption</t>
        </is>
      </c>
      <c r="C66" s="973" t="inlineStr">
        <is>
          <t>Public-facing application exploitation</t>
        </is>
      </c>
      <c r="D66" s="973" t="n">
        <v>0</v>
      </c>
      <c r="E66" s="973" t="n">
        <v>0</v>
      </c>
      <c r="F66" s="973" t="n">
        <v>0</v>
      </c>
      <c r="G66" s="973" t="n">
        <v>4420753.424657534</v>
      </c>
      <c r="H66" s="973" t="n">
        <v>90133013.69863012</v>
      </c>
      <c r="I66" s="973" t="n">
        <v>10186141.8209453</v>
      </c>
      <c r="J66" s="973" t="n">
        <v>0</v>
      </c>
      <c r="K66" s="973" t="inlineStr">
        <is>
          <t>No</t>
        </is>
      </c>
      <c r="L66" s="973" t="n"/>
      <c r="M66" s="973" t="n"/>
      <c r="N66" s="973" t="n"/>
      <c r="O66" s="973" t="n"/>
      <c r="P66" s="973" t="n"/>
    </row>
    <row r="67">
      <c r="A67" s="973" t="inlineStr">
        <is>
          <t>Malicious insider</t>
        </is>
      </c>
      <c r="B67" s="973" t="inlineStr">
        <is>
          <t>Critical business-service disruption</t>
        </is>
      </c>
      <c r="C67" s="973" t="inlineStr">
        <is>
          <t>Third-party or software supply chain</t>
        </is>
      </c>
      <c r="D67" s="973" t="n">
        <v>0.002304147465437788</v>
      </c>
      <c r="E67" s="973" t="n">
        <v>0.196625</v>
      </c>
      <c r="F67" s="973" t="n">
        <v>0.0004530529953917052</v>
      </c>
      <c r="G67" s="973" t="n">
        <v>4420753.424657534</v>
      </c>
      <c r="H67" s="973" t="n">
        <v>90133013.69863012</v>
      </c>
      <c r="I67" s="973" t="n">
        <v>10186141.8209453</v>
      </c>
      <c r="J67" s="973" t="n">
        <v>4614.862063463986</v>
      </c>
      <c r="K67" s="973" t="inlineStr">
        <is>
          <t>No</t>
        </is>
      </c>
      <c r="L67" s="973" t="n"/>
      <c r="M67" s="973" t="n"/>
      <c r="N67" s="973" t="n"/>
      <c r="O67" s="973" t="n"/>
      <c r="P67" s="973" t="n"/>
    </row>
    <row r="68">
      <c r="A68" s="973" t="inlineStr">
        <is>
          <t>Malicious insider</t>
        </is>
      </c>
      <c r="B68" s="973" t="inlineStr">
        <is>
          <t>Critical business-service disruption</t>
        </is>
      </c>
      <c r="C68" s="973" t="inlineStr">
        <is>
          <t>Direct availability or DDoS</t>
        </is>
      </c>
      <c r="D68" s="973" t="n">
        <v>0</v>
      </c>
      <c r="E68" s="973" t="n">
        <v>0</v>
      </c>
      <c r="F68" s="973" t="n">
        <v>0</v>
      </c>
      <c r="G68" s="973" t="n">
        <v>4420753.424657534</v>
      </c>
      <c r="H68" s="973" t="n">
        <v>90133013.69863012</v>
      </c>
      <c r="I68" s="973" t="n">
        <v>10186141.8209453</v>
      </c>
      <c r="J68" s="973" t="n">
        <v>0</v>
      </c>
      <c r="K68" s="973" t="inlineStr">
        <is>
          <t>No</t>
        </is>
      </c>
      <c r="L68" s="973" t="n"/>
      <c r="M68" s="973" t="n"/>
      <c r="N68" s="973" t="n"/>
      <c r="O68" s="973" t="n"/>
      <c r="P68" s="973" t="n"/>
    </row>
    <row r="69">
      <c r="A69" s="973" t="inlineStr">
        <is>
          <t>Malicious insider</t>
        </is>
      </c>
      <c r="B69" s="973" t="inlineStr">
        <is>
          <t>Critical business-service disruption</t>
        </is>
      </c>
      <c r="C69" s="973" t="inlineStr">
        <is>
          <t>Insider or trusted access</t>
        </is>
      </c>
      <c r="D69" s="973" t="n">
        <v>0.01336405529953917</v>
      </c>
      <c r="E69" s="973" t="n">
        <v>0.29575</v>
      </c>
      <c r="F69" s="973" t="n">
        <v>0.00395241935483871</v>
      </c>
      <c r="G69" s="973" t="n">
        <v>4420753.424657534</v>
      </c>
      <c r="H69" s="973" t="n">
        <v>90133013.69863012</v>
      </c>
      <c r="I69" s="973" t="n">
        <v>10186141.8209453</v>
      </c>
      <c r="J69" s="973" t="n">
        <v>40259.90408423622</v>
      </c>
      <c r="K69" s="973" t="inlineStr">
        <is>
          <t>No</t>
        </is>
      </c>
      <c r="L69" s="973" t="n"/>
      <c r="M69" s="973" t="n"/>
      <c r="N69" s="973" t="n"/>
      <c r="O69" s="973" t="n"/>
      <c r="P69" s="973" t="n"/>
    </row>
    <row r="70">
      <c r="A70" s="973" t="inlineStr">
        <is>
          <t>Malicious insider</t>
        </is>
      </c>
      <c r="B70" s="973" t="inlineStr">
        <is>
          <t>Sensitive-data compromise</t>
        </is>
      </c>
      <c r="C70" s="973" t="inlineStr">
        <is>
          <t>Identity and credential compromise</t>
        </is>
      </c>
      <c r="D70" s="973" t="n">
        <v>0.004513540621865597</v>
      </c>
      <c r="E70" s="973" t="n">
        <v>0.05898750000000001</v>
      </c>
      <c r="F70" s="973" t="n">
        <v>0.000266242477432297</v>
      </c>
      <c r="G70" s="973" t="n">
        <v>5093972.602739726</v>
      </c>
      <c r="H70" s="973" t="n">
        <v>88368904.10958904</v>
      </c>
      <c r="I70" s="973" t="n">
        <v>10775408.82315819</v>
      </c>
      <c r="J70" s="973" t="n">
        <v>2868.871540423469</v>
      </c>
      <c r="K70" s="973" t="inlineStr">
        <is>
          <t>No</t>
        </is>
      </c>
      <c r="L70" s="973" t="n"/>
      <c r="M70" s="973" t="n"/>
      <c r="N70" s="973" t="n"/>
      <c r="O70" s="973" t="n"/>
      <c r="P70" s="973" t="n"/>
    </row>
    <row r="71">
      <c r="A71" s="973" t="inlineStr">
        <is>
          <t>Malicious insider</t>
        </is>
      </c>
      <c r="B71" s="973" t="inlineStr">
        <is>
          <t>Sensitive-data compromise</t>
        </is>
      </c>
      <c r="C71" s="973" t="inlineStr">
        <is>
          <t>User endpoint and social engineering</t>
        </is>
      </c>
      <c r="D71" s="973" t="n">
        <v>0.001985957873620863</v>
      </c>
      <c r="E71" s="973" t="n">
        <v>0.025515</v>
      </c>
      <c r="F71" s="973" t="n">
        <v>5.067171514543631e-05</v>
      </c>
      <c r="G71" s="973" t="n">
        <v>5093972.602739726</v>
      </c>
      <c r="H71" s="973" t="n">
        <v>88368904.10958904</v>
      </c>
      <c r="I71" s="973" t="n">
        <v>10775408.82315819</v>
      </c>
      <c r="J71" s="973" t="n">
        <v>546.008446462693</v>
      </c>
      <c r="K71" s="973" t="inlineStr">
        <is>
          <t>No</t>
        </is>
      </c>
      <c r="L71" s="973" t="n"/>
      <c r="M71" s="973" t="n"/>
      <c r="N71" s="973" t="n"/>
      <c r="O71" s="973" t="n"/>
      <c r="P71" s="973" t="n"/>
    </row>
    <row r="72">
      <c r="A72" s="973" t="inlineStr">
        <is>
          <t>Malicious insider</t>
        </is>
      </c>
      <c r="B72" s="973" t="inlineStr">
        <is>
          <t>Sensitive-data compromise</t>
        </is>
      </c>
      <c r="C72" s="973" t="inlineStr">
        <is>
          <t>Public-facing application exploitation</t>
        </is>
      </c>
      <c r="D72" s="973" t="n">
        <v>0</v>
      </c>
      <c r="E72" s="973" t="n">
        <v>0</v>
      </c>
      <c r="F72" s="973" t="n">
        <v>0</v>
      </c>
      <c r="G72" s="973" t="n">
        <v>5093972.602739726</v>
      </c>
      <c r="H72" s="973" t="n">
        <v>88368904.10958904</v>
      </c>
      <c r="I72" s="973" t="n">
        <v>10775408.82315819</v>
      </c>
      <c r="J72" s="973" t="n">
        <v>0</v>
      </c>
      <c r="K72" s="973" t="inlineStr">
        <is>
          <t>No</t>
        </is>
      </c>
      <c r="L72" s="973" t="n"/>
      <c r="M72" s="973" t="n"/>
      <c r="N72" s="973" t="n"/>
      <c r="O72" s="973" t="n"/>
      <c r="P72" s="973" t="n"/>
    </row>
    <row r="73">
      <c r="A73" s="973" t="inlineStr">
        <is>
          <t>Malicious insider</t>
        </is>
      </c>
      <c r="B73" s="973" t="inlineStr">
        <is>
          <t>Sensitive-data compromise</t>
        </is>
      </c>
      <c r="C73" s="973" t="inlineStr">
        <is>
          <t>Third-party or software supply chain</t>
        </is>
      </c>
      <c r="D73" s="973" t="n">
        <v>0.002557673019057172</v>
      </c>
      <c r="E73" s="973" t="n">
        <v>0.196625</v>
      </c>
      <c r="F73" s="973" t="n">
        <v>0.0005029024573721166</v>
      </c>
      <c r="G73" s="973" t="n">
        <v>5093972.602739726</v>
      </c>
      <c r="H73" s="973" t="n">
        <v>88368904.10958904</v>
      </c>
      <c r="I73" s="973" t="n">
        <v>10775408.82315819</v>
      </c>
      <c r="J73" s="973" t="n">
        <v>5418.979576355441</v>
      </c>
      <c r="K73" s="973" t="inlineStr">
        <is>
          <t>No</t>
        </is>
      </c>
      <c r="L73" s="973" t="n"/>
      <c r="M73" s="973" t="n"/>
      <c r="N73" s="973" t="n"/>
      <c r="O73" s="973" t="n"/>
      <c r="P73" s="973" t="n"/>
    </row>
    <row r="74">
      <c r="A74" s="973" t="inlineStr">
        <is>
          <t>Malicious insider</t>
        </is>
      </c>
      <c r="B74" s="973" t="inlineStr">
        <is>
          <t>Sensitive-data compromise</t>
        </is>
      </c>
      <c r="C74" s="973" t="inlineStr">
        <is>
          <t>Direct availability or DDoS</t>
        </is>
      </c>
      <c r="D74" s="973" t="n">
        <v>0</v>
      </c>
      <c r="E74" s="973" t="n">
        <v>0</v>
      </c>
      <c r="F74" s="973" t="n">
        <v>0</v>
      </c>
      <c r="G74" s="973" t="n">
        <v>5093972.602739726</v>
      </c>
      <c r="H74" s="973" t="n">
        <v>88368904.10958904</v>
      </c>
      <c r="I74" s="973" t="n">
        <v>10775408.82315819</v>
      </c>
      <c r="J74" s="973" t="n">
        <v>0</v>
      </c>
      <c r="K74" s="973" t="inlineStr">
        <is>
          <t>No</t>
        </is>
      </c>
      <c r="L74" s="973" t="n"/>
      <c r="M74" s="973" t="n"/>
      <c r="N74" s="973" t="n"/>
      <c r="O74" s="973" t="n"/>
      <c r="P74" s="973" t="n"/>
    </row>
    <row r="75">
      <c r="A75" s="973" t="inlineStr">
        <is>
          <t>Malicious insider</t>
        </is>
      </c>
      <c r="B75" s="973" t="inlineStr">
        <is>
          <t>Sensitive-data compromise</t>
        </is>
      </c>
      <c r="C75" s="973" t="inlineStr">
        <is>
          <t>Insider or trusted access</t>
        </is>
      </c>
      <c r="D75" s="973" t="n">
        <v>0.02094282848545637</v>
      </c>
      <c r="E75" s="973" t="n">
        <v>0.29575</v>
      </c>
      <c r="F75" s="973" t="n">
        <v>0.00619384152457372</v>
      </c>
      <c r="G75" s="973" t="n">
        <v>5093972.602739726</v>
      </c>
      <c r="H75" s="973" t="n">
        <v>88368904.10958904</v>
      </c>
      <c r="I75" s="973" t="n">
        <v>10775408.82315819</v>
      </c>
      <c r="J75" s="973" t="n">
        <v>66741.17461313524</v>
      </c>
      <c r="K75" s="973" t="inlineStr">
        <is>
          <t>No</t>
        </is>
      </c>
      <c r="L75" s="973" t="n"/>
      <c r="M75" s="973" t="n"/>
      <c r="N75" s="973" t="n"/>
      <c r="O75" s="973" t="n"/>
      <c r="P75" s="973" t="n"/>
    </row>
    <row r="76">
      <c r="A76" s="973" t="inlineStr">
        <is>
          <t>Malicious insider</t>
        </is>
      </c>
      <c r="B76" s="973" t="inlineStr">
        <is>
          <t>Data or transaction-integrity compromise</t>
        </is>
      </c>
      <c r="C76" s="973" t="inlineStr">
        <is>
          <t>Identity and credential compromise</t>
        </is>
      </c>
      <c r="D76" s="973" t="n">
        <v>0.001218971631205674</v>
      </c>
      <c r="E76" s="973" t="n">
        <v>0.05898750000000001</v>
      </c>
      <c r="F76" s="973" t="n">
        <v>7.190408909574471e-05</v>
      </c>
      <c r="G76" s="973" t="n">
        <v>4203287.671232876</v>
      </c>
      <c r="H76" s="973" t="n">
        <v>83060684.93150684</v>
      </c>
      <c r="I76" s="973" t="n">
        <v>9541651.690363882</v>
      </c>
      <c r="J76" s="973" t="n">
        <v>686.0837732644876</v>
      </c>
      <c r="K76" s="973" t="inlineStr">
        <is>
          <t>No</t>
        </is>
      </c>
      <c r="L76" s="973" t="n"/>
      <c r="M76" s="973" t="n"/>
      <c r="N76" s="973" t="n"/>
      <c r="O76" s="973" t="n"/>
      <c r="P76" s="973" t="n"/>
    </row>
    <row r="77">
      <c r="A77" s="973" t="inlineStr">
        <is>
          <t>Malicious insider</t>
        </is>
      </c>
      <c r="B77" s="973" t="inlineStr">
        <is>
          <t>Data or transaction-integrity compromise</t>
        </is>
      </c>
      <c r="C77" s="973" t="inlineStr">
        <is>
          <t>User endpoint and social engineering</t>
        </is>
      </c>
      <c r="D77" s="973" t="n">
        <v>0.0004986702127659574</v>
      </c>
      <c r="E77" s="973" t="n">
        <v>0.025515</v>
      </c>
      <c r="F77" s="973" t="n">
        <v>1.27235704787234e-05</v>
      </c>
      <c r="G77" s="973" t="n">
        <v>4203287.671232876</v>
      </c>
      <c r="H77" s="973" t="n">
        <v>83060684.93150684</v>
      </c>
      <c r="I77" s="973" t="n">
        <v>9541651.690363882</v>
      </c>
      <c r="J77" s="973" t="n">
        <v>121.4038777657751</v>
      </c>
      <c r="K77" s="973" t="inlineStr">
        <is>
          <t>No</t>
        </is>
      </c>
      <c r="L77" s="973" t="n"/>
      <c r="M77" s="973" t="n"/>
      <c r="N77" s="973" t="n"/>
      <c r="O77" s="973" t="n"/>
      <c r="P77" s="973" t="n"/>
    </row>
    <row r="78">
      <c r="A78" s="973" t="inlineStr">
        <is>
          <t>Malicious insider</t>
        </is>
      </c>
      <c r="B78" s="973" t="inlineStr">
        <is>
          <t>Data or transaction-integrity compromise</t>
        </is>
      </c>
      <c r="C78" s="973" t="inlineStr">
        <is>
          <t>Public-facing application exploitation</t>
        </is>
      </c>
      <c r="D78" s="973" t="n">
        <v>0</v>
      </c>
      <c r="E78" s="973" t="n">
        <v>0</v>
      </c>
      <c r="F78" s="973" t="n">
        <v>0</v>
      </c>
      <c r="G78" s="973" t="n">
        <v>4203287.671232876</v>
      </c>
      <c r="H78" s="973" t="n">
        <v>83060684.93150684</v>
      </c>
      <c r="I78" s="973" t="n">
        <v>9541651.690363882</v>
      </c>
      <c r="J78" s="973" t="n">
        <v>0</v>
      </c>
      <c r="K78" s="973" t="inlineStr">
        <is>
          <t>No</t>
        </is>
      </c>
      <c r="L78" s="973" t="n"/>
      <c r="M78" s="973" t="n"/>
      <c r="N78" s="973" t="n"/>
      <c r="O78" s="973" t="n"/>
      <c r="P78" s="973" t="n"/>
    </row>
    <row r="79">
      <c r="A79" s="973" t="inlineStr">
        <is>
          <t>Malicious insider</t>
        </is>
      </c>
      <c r="B79" s="973" t="inlineStr">
        <is>
          <t>Data or transaction-integrity compromise</t>
        </is>
      </c>
      <c r="C79" s="973" t="inlineStr">
        <is>
          <t>Third-party or software supply chain</t>
        </is>
      </c>
      <c r="D79" s="973" t="n">
        <v>0.001108156028368795</v>
      </c>
      <c r="E79" s="973" t="n">
        <v>0.196625</v>
      </c>
      <c r="F79" s="973" t="n">
        <v>0.0002178911790780143</v>
      </c>
      <c r="G79" s="973" t="n">
        <v>4203287.671232876</v>
      </c>
      <c r="H79" s="973" t="n">
        <v>83060684.93150684</v>
      </c>
      <c r="I79" s="973" t="n">
        <v>9541651.690363882</v>
      </c>
      <c r="J79" s="973" t="n">
        <v>2079.041737165115</v>
      </c>
      <c r="K79" s="973" t="inlineStr">
        <is>
          <t>No</t>
        </is>
      </c>
      <c r="L79" s="973" t="n"/>
      <c r="M79" s="973" t="n"/>
      <c r="N79" s="973" t="n"/>
      <c r="O79" s="973" t="n"/>
      <c r="P79" s="973" t="n"/>
    </row>
    <row r="80">
      <c r="A80" s="973" t="inlineStr">
        <is>
          <t>Malicious insider</t>
        </is>
      </c>
      <c r="B80" s="973" t="inlineStr">
        <is>
          <t>Data or transaction-integrity compromise</t>
        </is>
      </c>
      <c r="C80" s="973" t="inlineStr">
        <is>
          <t>Direct availability or DDoS</t>
        </is>
      </c>
      <c r="D80" s="973" t="n">
        <v>0</v>
      </c>
      <c r="E80" s="973" t="n">
        <v>0</v>
      </c>
      <c r="F80" s="973" t="n">
        <v>0</v>
      </c>
      <c r="G80" s="973" t="n">
        <v>4203287.671232876</v>
      </c>
      <c r="H80" s="973" t="n">
        <v>83060684.93150684</v>
      </c>
      <c r="I80" s="973" t="n">
        <v>9541651.690363882</v>
      </c>
      <c r="J80" s="973" t="n">
        <v>0</v>
      </c>
      <c r="K80" s="973" t="inlineStr">
        <is>
          <t>No</t>
        </is>
      </c>
      <c r="L80" s="973" t="n"/>
      <c r="M80" s="973" t="n"/>
      <c r="N80" s="973" t="n"/>
      <c r="O80" s="973" t="n"/>
      <c r="P80" s="973" t="n"/>
    </row>
    <row r="81">
      <c r="A81" s="973" t="inlineStr">
        <is>
          <t>Malicious insider</t>
        </is>
      </c>
      <c r="B81" s="973" t="inlineStr">
        <is>
          <t>Data or transaction-integrity compromise</t>
        </is>
      </c>
      <c r="C81" s="973" t="inlineStr">
        <is>
          <t>Insider or trusted access</t>
        </is>
      </c>
      <c r="D81" s="973" t="n">
        <v>0.02217420212765958</v>
      </c>
      <c r="E81" s="973" t="n">
        <v>0.29575</v>
      </c>
      <c r="F81" s="973" t="n">
        <v>0.006558020279255319</v>
      </c>
      <c r="G81" s="973" t="n">
        <v>4203287.671232876</v>
      </c>
      <c r="H81" s="973" t="n">
        <v>83060684.93150684</v>
      </c>
      <c r="I81" s="973" t="n">
        <v>9541651.690363882</v>
      </c>
      <c r="J81" s="973" t="n">
        <v>62574.34528299713</v>
      </c>
      <c r="K81" s="973" t="inlineStr">
        <is>
          <t>No</t>
        </is>
      </c>
      <c r="L81" s="973" t="n"/>
      <c r="M81" s="973" t="n"/>
      <c r="N81" s="973" t="n"/>
      <c r="O81" s="973" t="n"/>
      <c r="P81" s="973" t="n"/>
    </row>
    <row r="82">
      <c r="A82" s="973" t="inlineStr">
        <is>
          <t>Malicious insider</t>
        </is>
      </c>
      <c r="B82" s="973" t="inlineStr">
        <is>
          <t>Cyber-enabled theft or fraud</t>
        </is>
      </c>
      <c r="C82" s="973" t="inlineStr">
        <is>
          <t>Identity and credential compromise</t>
        </is>
      </c>
      <c r="D82" s="973" t="n">
        <v>0.001616777531411678</v>
      </c>
      <c r="E82" s="973" t="n">
        <v>0.10725</v>
      </c>
      <c r="F82" s="973" t="n">
        <v>0.0001733993902439025</v>
      </c>
      <c r="G82" s="973" t="n">
        <v>1889794.520547945</v>
      </c>
      <c r="H82" s="973" t="n">
        <v>46268356.16438356</v>
      </c>
      <c r="I82" s="973" t="n">
        <v>4844236.526173487</v>
      </c>
      <c r="J82" s="973" t="n">
        <v>839.987659835723</v>
      </c>
      <c r="K82" s="973" t="inlineStr">
        <is>
          <t>No</t>
        </is>
      </c>
      <c r="L82" s="973" t="n"/>
      <c r="M82" s="973" t="n"/>
      <c r="N82" s="973" t="n"/>
      <c r="O82" s="973" t="n"/>
      <c r="P82" s="973" t="n"/>
    </row>
    <row r="83">
      <c r="A83" s="973" t="inlineStr">
        <is>
          <t>Malicious insider</t>
        </is>
      </c>
      <c r="B83" s="973" t="inlineStr">
        <is>
          <t>Cyber-enabled theft or fraud</t>
        </is>
      </c>
      <c r="C83" s="973" t="inlineStr">
        <is>
          <t>User endpoint and social engineering</t>
        </is>
      </c>
      <c r="D83" s="973" t="n">
        <v>0.0004157427937915743</v>
      </c>
      <c r="E83" s="973" t="n">
        <v>0.126</v>
      </c>
      <c r="F83" s="973" t="n">
        <v>5.238359201773836e-05</v>
      </c>
      <c r="G83" s="973" t="n">
        <v>1889794.520547945</v>
      </c>
      <c r="H83" s="973" t="n">
        <v>46268356.16438356</v>
      </c>
      <c r="I83" s="973" t="n">
        <v>4844236.526173487</v>
      </c>
      <c r="J83" s="973" t="n">
        <v>253.7585098244981</v>
      </c>
      <c r="K83" s="973" t="inlineStr">
        <is>
          <t>No</t>
        </is>
      </c>
      <c r="L83" s="973" t="n"/>
      <c r="M83" s="973" t="n"/>
      <c r="N83" s="973" t="n"/>
      <c r="O83" s="973" t="n"/>
      <c r="P83" s="973" t="n"/>
    </row>
    <row r="84">
      <c r="A84" s="973" t="inlineStr">
        <is>
          <t>Malicious insider</t>
        </is>
      </c>
      <c r="B84" s="973" t="inlineStr">
        <is>
          <t>Cyber-enabled theft or fraud</t>
        </is>
      </c>
      <c r="C84" s="973" t="inlineStr">
        <is>
          <t>Public-facing application exploitation</t>
        </is>
      </c>
      <c r="D84" s="973" t="n">
        <v>0</v>
      </c>
      <c r="E84" s="973" t="n">
        <v>0</v>
      </c>
      <c r="F84" s="973" t="n">
        <v>0</v>
      </c>
      <c r="G84" s="973" t="n">
        <v>1889794.520547945</v>
      </c>
      <c r="H84" s="973" t="n">
        <v>46268356.16438356</v>
      </c>
      <c r="I84" s="973" t="n">
        <v>4844236.526173487</v>
      </c>
      <c r="J84" s="973" t="n">
        <v>0</v>
      </c>
      <c r="K84" s="973" t="inlineStr">
        <is>
          <t>No</t>
        </is>
      </c>
      <c r="L84" s="973" t="n"/>
      <c r="M84" s="973" t="n"/>
      <c r="N84" s="973" t="n"/>
      <c r="O84" s="973" t="n"/>
      <c r="P84" s="973" t="n"/>
    </row>
    <row r="85">
      <c r="A85" s="973" t="inlineStr">
        <is>
          <t>Malicious insider</t>
        </is>
      </c>
      <c r="B85" s="973" t="inlineStr">
        <is>
          <t>Cyber-enabled theft or fraud</t>
        </is>
      </c>
      <c r="C85" s="973" t="inlineStr">
        <is>
          <t>Third-party or software supply chain</t>
        </is>
      </c>
      <c r="D85" s="973" t="n">
        <v>0.0004619364375461938</v>
      </c>
      <c r="E85" s="973" t="n">
        <v>0.196625</v>
      </c>
      <c r="F85" s="973" t="n">
        <v>9.082825203252037e-05</v>
      </c>
      <c r="G85" s="973" t="n">
        <v>1889794.520547945</v>
      </c>
      <c r="H85" s="973" t="n">
        <v>46268356.16438356</v>
      </c>
      <c r="I85" s="973" t="n">
        <v>4844236.526173487</v>
      </c>
      <c r="J85" s="973" t="n">
        <v>439.9935361044265</v>
      </c>
      <c r="K85" s="973" t="inlineStr">
        <is>
          <t>No</t>
        </is>
      </c>
      <c r="L85" s="973" t="n"/>
      <c r="M85" s="973" t="n"/>
      <c r="N85" s="973" t="n"/>
      <c r="O85" s="973" t="n"/>
      <c r="P85" s="973" t="n"/>
    </row>
    <row r="86">
      <c r="A86" s="973" t="inlineStr">
        <is>
          <t>Malicious insider</t>
        </is>
      </c>
      <c r="B86" s="973" t="inlineStr">
        <is>
          <t>Cyber-enabled theft or fraud</t>
        </is>
      </c>
      <c r="C86" s="973" t="inlineStr">
        <is>
          <t>Direct availability or DDoS</t>
        </is>
      </c>
      <c r="D86" s="973" t="n">
        <v>0</v>
      </c>
      <c r="E86" s="973" t="n">
        <v>0</v>
      </c>
      <c r="F86" s="973" t="n">
        <v>0</v>
      </c>
      <c r="G86" s="973" t="n">
        <v>1889794.520547945</v>
      </c>
      <c r="H86" s="973" t="n">
        <v>46268356.16438356</v>
      </c>
      <c r="I86" s="973" t="n">
        <v>4844236.526173487</v>
      </c>
      <c r="J86" s="973" t="n">
        <v>0</v>
      </c>
      <c r="K86" s="973" t="inlineStr">
        <is>
          <t>No</t>
        </is>
      </c>
      <c r="L86" s="973" t="n"/>
      <c r="M86" s="973" t="n"/>
      <c r="N86" s="973" t="n"/>
      <c r="O86" s="973" t="n"/>
      <c r="P86" s="973" t="n"/>
    </row>
    <row r="87">
      <c r="A87" s="973" t="inlineStr">
        <is>
          <t>Malicious insider</t>
        </is>
      </c>
      <c r="B87" s="973" t="inlineStr">
        <is>
          <t>Cyber-enabled theft or fraud</t>
        </is>
      </c>
      <c r="C87" s="973" t="inlineStr">
        <is>
          <t>Insider or trusted access</t>
        </is>
      </c>
      <c r="D87" s="973" t="n">
        <v>0.02250554323725056</v>
      </c>
      <c r="E87" s="973" t="n">
        <v>0.455</v>
      </c>
      <c r="F87" s="973" t="n">
        <v>0.010240022172949</v>
      </c>
      <c r="G87" s="973" t="n">
        <v>1889794.520547945</v>
      </c>
      <c r="H87" s="973" t="n">
        <v>46268356.16438356</v>
      </c>
      <c r="I87" s="973" t="n">
        <v>4844236.526173487</v>
      </c>
      <c r="J87" s="973" t="n">
        <v>49605.08943902596</v>
      </c>
      <c r="K87" s="973" t="inlineStr">
        <is>
          <t>No</t>
        </is>
      </c>
      <c r="L87" s="973" t="n"/>
      <c r="M87" s="973" t="n"/>
      <c r="N87" s="973" t="n"/>
      <c r="O87" s="973" t="n"/>
      <c r="P87" s="973" t="n"/>
    </row>
    <row r="88">
      <c r="A88" s="973" t="inlineStr">
        <is>
          <t>Hacktivist</t>
        </is>
      </c>
      <c r="B88" s="973" t="inlineStr">
        <is>
          <t>Critical business-service disruption</t>
        </is>
      </c>
      <c r="C88" s="973" t="inlineStr">
        <is>
          <t>Identity and credential compromise</t>
        </is>
      </c>
      <c r="D88" s="973" t="n">
        <v>0.005751533742331289</v>
      </c>
      <c r="E88" s="973" t="n">
        <v>0.05898750000000001</v>
      </c>
      <c r="F88" s="973" t="n">
        <v>0.000339268596625767</v>
      </c>
      <c r="G88" s="973" t="n">
        <v>4420753.424657534</v>
      </c>
      <c r="H88" s="973" t="n">
        <v>90133013.69863012</v>
      </c>
      <c r="I88" s="973" t="n">
        <v>10186141.8209453</v>
      </c>
      <c r="J88" s="973" t="n">
        <v>3455.838040623146</v>
      </c>
      <c r="K88" s="973" t="inlineStr">
        <is>
          <t>No</t>
        </is>
      </c>
      <c r="L88" s="973" t="n"/>
      <c r="M88" s="973" t="n"/>
      <c r="N88" s="973" t="n"/>
      <c r="O88" s="973" t="n"/>
      <c r="P88" s="973" t="n"/>
    </row>
    <row r="89">
      <c r="A89" s="973" t="inlineStr">
        <is>
          <t>Hacktivist</t>
        </is>
      </c>
      <c r="B89" s="973" t="inlineStr">
        <is>
          <t>Critical business-service disruption</t>
        </is>
      </c>
      <c r="C89" s="973" t="inlineStr">
        <is>
          <t>User endpoint and social engineering</t>
        </is>
      </c>
      <c r="D89" s="973" t="n">
        <v>0.006748466257668713</v>
      </c>
      <c r="E89" s="973" t="n">
        <v>0.025515</v>
      </c>
      <c r="F89" s="973" t="n">
        <v>0.0001721871165644172</v>
      </c>
      <c r="G89" s="973" t="n">
        <v>4420753.424657534</v>
      </c>
      <c r="H89" s="973" t="n">
        <v>90133013.69863012</v>
      </c>
      <c r="I89" s="973" t="n">
        <v>10186141.8209453</v>
      </c>
      <c r="J89" s="973" t="n">
        <v>1753.922389064793</v>
      </c>
      <c r="K89" s="973" t="inlineStr">
        <is>
          <t>No</t>
        </is>
      </c>
      <c r="L89" s="973" t="n"/>
      <c r="M89" s="973" t="n"/>
      <c r="N89" s="973" t="n"/>
      <c r="O89" s="973" t="n"/>
      <c r="P89" s="973" t="n"/>
    </row>
    <row r="90">
      <c r="A90" s="973" t="inlineStr">
        <is>
          <t>Hacktivist</t>
        </is>
      </c>
      <c r="B90" s="973" t="inlineStr">
        <is>
          <t>Critical business-service disruption</t>
        </is>
      </c>
      <c r="C90" s="973" t="inlineStr">
        <is>
          <t>Public-facing application exploitation</t>
        </is>
      </c>
      <c r="D90" s="973" t="n">
        <v>0.01322852760736197</v>
      </c>
      <c r="E90" s="973" t="n">
        <v>0.02025</v>
      </c>
      <c r="F90" s="973" t="n">
        <v>0.0002678776840490798</v>
      </c>
      <c r="G90" s="973" t="n">
        <v>4420753.424657534</v>
      </c>
      <c r="H90" s="973" t="n">
        <v>90133013.69863012</v>
      </c>
      <c r="I90" s="973" t="n">
        <v>10186141.8209453</v>
      </c>
      <c r="J90" s="973" t="n">
        <v>2728.640080390303</v>
      </c>
      <c r="K90" s="973" t="inlineStr">
        <is>
          <t>No</t>
        </is>
      </c>
      <c r="L90" s="973" t="n"/>
      <c r="M90" s="973" t="n"/>
      <c r="N90" s="973" t="n"/>
      <c r="O90" s="973" t="n"/>
      <c r="P90" s="973" t="n"/>
    </row>
    <row r="91">
      <c r="A91" s="973" t="inlineStr">
        <is>
          <t>Hacktivist</t>
        </is>
      </c>
      <c r="B91" s="973" t="inlineStr">
        <is>
          <t>Critical business-service disruption</t>
        </is>
      </c>
      <c r="C91" s="973" t="inlineStr">
        <is>
          <t>Third-party or software supply chain</t>
        </is>
      </c>
      <c r="D91" s="973" t="n">
        <v>0.002875766871165644</v>
      </c>
      <c r="E91" s="973" t="n">
        <v>0.196625</v>
      </c>
      <c r="F91" s="973" t="n">
        <v>0.0005654476610429449</v>
      </c>
      <c r="G91" s="973" t="n">
        <v>4420753.424657534</v>
      </c>
      <c r="H91" s="973" t="n">
        <v>90133013.69863012</v>
      </c>
      <c r="I91" s="973" t="n">
        <v>10186141.8209453</v>
      </c>
      <c r="J91" s="973" t="n">
        <v>5759.730067705243</v>
      </c>
      <c r="K91" s="973" t="inlineStr">
        <is>
          <t>No</t>
        </is>
      </c>
      <c r="L91" s="973" t="n"/>
      <c r="M91" s="973" t="n"/>
      <c r="N91" s="973" t="n"/>
      <c r="O91" s="973" t="n"/>
      <c r="P91" s="973" t="n"/>
    </row>
    <row r="92">
      <c r="A92" s="973" t="inlineStr">
        <is>
          <t>Hacktivist</t>
        </is>
      </c>
      <c r="B92" s="973" t="inlineStr">
        <is>
          <t>Critical business-service disruption</t>
        </is>
      </c>
      <c r="C92" s="973" t="inlineStr">
        <is>
          <t>Direct availability or DDoS</t>
        </is>
      </c>
      <c r="D92" s="973" t="n">
        <v>0.04601226993865031</v>
      </c>
      <c r="E92" s="973" t="n">
        <v>0.36</v>
      </c>
      <c r="F92" s="973" t="n">
        <v>0.01656441717791411</v>
      </c>
      <c r="G92" s="973" t="n">
        <v>4420753.424657534</v>
      </c>
      <c r="H92" s="973" t="n">
        <v>90133013.69863012</v>
      </c>
      <c r="I92" s="973" t="n">
        <v>10186141.8209453</v>
      </c>
      <c r="J92" s="973" t="n">
        <v>168727.5025555356</v>
      </c>
      <c r="K92" s="973" t="inlineStr">
        <is>
          <t>No</t>
        </is>
      </c>
      <c r="L92" s="973" t="n"/>
      <c r="M92" s="973" t="n"/>
      <c r="N92" s="973" t="n"/>
      <c r="O92" s="973" t="n"/>
      <c r="P92" s="973" t="n"/>
    </row>
    <row r="93">
      <c r="A93" s="973" t="inlineStr">
        <is>
          <t>Hacktivist</t>
        </is>
      </c>
      <c r="B93" s="973" t="inlineStr">
        <is>
          <t>Critical business-service disruption</t>
        </is>
      </c>
      <c r="C93" s="973" t="inlineStr">
        <is>
          <t>Insider or trusted access</t>
        </is>
      </c>
      <c r="D93" s="973" t="n">
        <v>0.000383435582822086</v>
      </c>
      <c r="E93" s="973" t="n">
        <v>0.29575</v>
      </c>
      <c r="F93" s="973" t="n">
        <v>0.0001134010736196319</v>
      </c>
      <c r="G93" s="973" t="n">
        <v>4420753.424657534</v>
      </c>
      <c r="H93" s="973" t="n">
        <v>90133013.69863012</v>
      </c>
      <c r="I93" s="973" t="n">
        <v>10186141.8209453</v>
      </c>
      <c r="J93" s="973" t="n">
        <v>1155.119418537029</v>
      </c>
      <c r="K93" s="973" t="inlineStr">
        <is>
          <t>No</t>
        </is>
      </c>
      <c r="L93" s="973" t="n"/>
      <c r="M93" s="973" t="n"/>
      <c r="N93" s="973" t="n"/>
      <c r="O93" s="973" t="n"/>
      <c r="P93" s="973" t="n"/>
    </row>
    <row r="94">
      <c r="A94" s="973" t="inlineStr">
        <is>
          <t>Hacktivist</t>
        </is>
      </c>
      <c r="B94" s="973" t="inlineStr">
        <is>
          <t>Sensitive-data compromise</t>
        </is>
      </c>
      <c r="C94" s="973" t="inlineStr">
        <is>
          <t>Identity and credential compromise</t>
        </is>
      </c>
      <c r="D94" s="973" t="n">
        <v>0.004880694143167028</v>
      </c>
      <c r="E94" s="973" t="n">
        <v>0.05898750000000001</v>
      </c>
      <c r="F94" s="973" t="n">
        <v>0.0002878999457700651</v>
      </c>
      <c r="G94" s="973" t="n">
        <v>4768972.602739726</v>
      </c>
      <c r="H94" s="973" t="n">
        <v>64368904.10958904</v>
      </c>
      <c r="I94" s="973" t="n">
        <v>8891717.158937963</v>
      </c>
      <c r="J94" s="973" t="n">
        <v>2559.924887860997</v>
      </c>
      <c r="K94" s="973" t="inlineStr">
        <is>
          <t>No</t>
        </is>
      </c>
      <c r="L94" s="973" t="n"/>
      <c r="M94" s="973" t="n"/>
      <c r="N94" s="973" t="n"/>
      <c r="O94" s="973" t="n"/>
      <c r="P94" s="973" t="n"/>
    </row>
    <row r="95">
      <c r="A95" s="973" t="inlineStr">
        <is>
          <t>Hacktivist</t>
        </is>
      </c>
      <c r="B95" s="973" t="inlineStr">
        <is>
          <t>Sensitive-data compromise</t>
        </is>
      </c>
      <c r="C95" s="973" t="inlineStr">
        <is>
          <t>User endpoint and social engineering</t>
        </is>
      </c>
      <c r="D95" s="973" t="n">
        <v>0.002863340563991323</v>
      </c>
      <c r="E95" s="973" t="n">
        <v>0.025515</v>
      </c>
      <c r="F95" s="973" t="n">
        <v>7.305813449023861e-05</v>
      </c>
      <c r="G95" s="973" t="n">
        <v>4768972.602739726</v>
      </c>
      <c r="H95" s="973" t="n">
        <v>64368904.10958904</v>
      </c>
      <c r="I95" s="973" t="n">
        <v>8891717.158937963</v>
      </c>
      <c r="J95" s="973" t="n">
        <v>649.612268046852</v>
      </c>
      <c r="K95" s="973" t="inlineStr">
        <is>
          <t>No</t>
        </is>
      </c>
      <c r="L95" s="973" t="n"/>
      <c r="M95" s="973" t="n"/>
      <c r="N95" s="973" t="n"/>
      <c r="O95" s="973" t="n"/>
      <c r="P95" s="973" t="n"/>
    </row>
    <row r="96">
      <c r="A96" s="973" t="inlineStr">
        <is>
          <t>Hacktivist</t>
        </is>
      </c>
      <c r="B96" s="973" t="inlineStr">
        <is>
          <t>Sensitive-data compromise</t>
        </is>
      </c>
      <c r="C96" s="973" t="inlineStr">
        <is>
          <t>Public-facing application exploitation</t>
        </is>
      </c>
      <c r="D96" s="973" t="n">
        <v>0.005612798264642082</v>
      </c>
      <c r="E96" s="973" t="n">
        <v>0.02025</v>
      </c>
      <c r="F96" s="973" t="n">
        <v>0.0001136591648590022</v>
      </c>
      <c r="G96" s="973" t="n">
        <v>4768972.602739726</v>
      </c>
      <c r="H96" s="973" t="n">
        <v>64368904.10958904</v>
      </c>
      <c r="I96" s="973" t="n">
        <v>8891717.158937963</v>
      </c>
      <c r="J96" s="973" t="n">
        <v>1010.625146447348</v>
      </c>
      <c r="K96" s="973" t="inlineStr">
        <is>
          <t>No</t>
        </is>
      </c>
      <c r="L96" s="973" t="n"/>
      <c r="M96" s="973" t="n"/>
      <c r="N96" s="973" t="n"/>
      <c r="O96" s="973" t="n"/>
      <c r="P96" s="973" t="n"/>
    </row>
    <row r="97">
      <c r="A97" s="973" t="inlineStr">
        <is>
          <t>Hacktivist</t>
        </is>
      </c>
      <c r="B97" s="973" t="inlineStr">
        <is>
          <t>Sensitive-data compromise</t>
        </is>
      </c>
      <c r="C97" s="973" t="inlineStr">
        <is>
          <t>Third-party or software supply chain</t>
        </is>
      </c>
      <c r="D97" s="973" t="n">
        <v>0.001382863340563991</v>
      </c>
      <c r="E97" s="973" t="n">
        <v>0.196625</v>
      </c>
      <c r="F97" s="973" t="n">
        <v>0.0002719055043383949</v>
      </c>
      <c r="G97" s="973" t="n">
        <v>4768972.602739726</v>
      </c>
      <c r="H97" s="973" t="n">
        <v>64368904.10958904</v>
      </c>
      <c r="I97" s="973" t="n">
        <v>8891717.158937963</v>
      </c>
      <c r="J97" s="973" t="n">
        <v>2417.706838535386</v>
      </c>
      <c r="K97" s="973" t="inlineStr">
        <is>
          <t>No</t>
        </is>
      </c>
      <c r="L97" s="973" t="n"/>
      <c r="M97" s="973" t="n"/>
      <c r="N97" s="973" t="n"/>
      <c r="O97" s="973" t="n"/>
      <c r="P97" s="973" t="n"/>
    </row>
    <row r="98">
      <c r="A98" s="973" t="inlineStr">
        <is>
          <t>Hacktivist</t>
        </is>
      </c>
      <c r="B98" s="973" t="inlineStr">
        <is>
          <t>Sensitive-data compromise</t>
        </is>
      </c>
      <c r="C98" s="973" t="inlineStr">
        <is>
          <t>Direct availability or DDoS</t>
        </is>
      </c>
      <c r="D98" s="973" t="n">
        <v>0</v>
      </c>
      <c r="E98" s="973" t="n">
        <v>0</v>
      </c>
      <c r="F98" s="973" t="n">
        <v>0</v>
      </c>
      <c r="G98" s="973" t="n">
        <v>4768972.602739726</v>
      </c>
      <c r="H98" s="973" t="n">
        <v>64368904.10958904</v>
      </c>
      <c r="I98" s="973" t="n">
        <v>8891717.158937963</v>
      </c>
      <c r="J98" s="973" t="n">
        <v>0</v>
      </c>
      <c r="K98" s="973" t="inlineStr">
        <is>
          <t>No</t>
        </is>
      </c>
      <c r="L98" s="973" t="n"/>
      <c r="M98" s="973" t="n"/>
      <c r="N98" s="973" t="n"/>
      <c r="O98" s="973" t="n"/>
      <c r="P98" s="973" t="n"/>
    </row>
    <row r="99">
      <c r="A99" s="973" t="inlineStr">
        <is>
          <t>Hacktivist</t>
        </is>
      </c>
      <c r="B99" s="973" t="inlineStr">
        <is>
          <t>Sensitive-data compromise</t>
        </is>
      </c>
      <c r="C99" s="973" t="inlineStr">
        <is>
          <t>Insider or trusted access</t>
        </is>
      </c>
      <c r="D99" s="973" t="n">
        <v>0.0002603036876355748</v>
      </c>
      <c r="E99" s="973" t="n">
        <v>0.29575</v>
      </c>
      <c r="F99" s="973" t="n">
        <v>7.698481561822124e-05</v>
      </c>
      <c r="G99" s="973" t="n">
        <v>4768972.602739726</v>
      </c>
      <c r="H99" s="973" t="n">
        <v>64368904.10958904</v>
      </c>
      <c r="I99" s="973" t="n">
        <v>8891717.158937963</v>
      </c>
      <c r="J99" s="973" t="n">
        <v>684.5272060102131</v>
      </c>
      <c r="K99" s="973" t="inlineStr">
        <is>
          <t>No</t>
        </is>
      </c>
      <c r="L99" s="973" t="n"/>
      <c r="M99" s="973" t="n"/>
      <c r="N99" s="973" t="n"/>
      <c r="O99" s="973" t="n"/>
      <c r="P99" s="973" t="n"/>
    </row>
    <row r="100">
      <c r="A100" s="973" t="inlineStr">
        <is>
          <t>Hacktivist</t>
        </is>
      </c>
      <c r="B100" s="973" t="inlineStr">
        <is>
          <t>Data or transaction-integrity compromise</t>
        </is>
      </c>
      <c r="C100" s="973" t="inlineStr">
        <is>
          <t>Identity and credential compromise</t>
        </is>
      </c>
      <c r="D100" s="973" t="n">
        <v>0.002239185750636133</v>
      </c>
      <c r="E100" s="973" t="n">
        <v>0.05898750000000001</v>
      </c>
      <c r="F100" s="973" t="n">
        <v>0.0001320839694656489</v>
      </c>
      <c r="G100" s="973" t="n">
        <v>4175890.410958904</v>
      </c>
      <c r="H100" s="973" t="n">
        <v>78266164.38356164</v>
      </c>
      <c r="I100" s="973" t="n">
        <v>9183694.454320414</v>
      </c>
      <c r="J100" s="973" t="n">
        <v>1213.018817886307</v>
      </c>
      <c r="K100" s="973" t="inlineStr">
        <is>
          <t>No</t>
        </is>
      </c>
      <c r="L100" s="973" t="n"/>
      <c r="M100" s="973" t="n"/>
      <c r="N100" s="973" t="n"/>
      <c r="O100" s="973" t="n"/>
      <c r="P100" s="973" t="n"/>
    </row>
    <row r="101">
      <c r="A101" s="973" t="inlineStr">
        <is>
          <t>Hacktivist</t>
        </is>
      </c>
      <c r="B101" s="973" t="inlineStr">
        <is>
          <t>Data or transaction-integrity compromise</t>
        </is>
      </c>
      <c r="C101" s="973" t="inlineStr">
        <is>
          <t>User endpoint and social engineering</t>
        </is>
      </c>
      <c r="D101" s="973" t="n">
        <v>0.001221374045801527</v>
      </c>
      <c r="E101" s="973" t="n">
        <v>0.025515</v>
      </c>
      <c r="F101" s="973" t="n">
        <v>3.116335877862596e-05</v>
      </c>
      <c r="G101" s="973" t="n">
        <v>4175890.410958904</v>
      </c>
      <c r="H101" s="973" t="n">
        <v>78266164.38356164</v>
      </c>
      <c r="I101" s="973" t="n">
        <v>9183694.454320414</v>
      </c>
      <c r="J101" s="973" t="n">
        <v>286.1947651932646</v>
      </c>
      <c r="K101" s="973" t="inlineStr">
        <is>
          <t>No</t>
        </is>
      </c>
      <c r="L101" s="973" t="n"/>
      <c r="M101" s="973" t="n"/>
      <c r="N101" s="973" t="n"/>
      <c r="O101" s="973" t="n"/>
      <c r="P101" s="973" t="n"/>
    </row>
    <row r="102">
      <c r="A102" s="973" t="inlineStr">
        <is>
          <t>Hacktivist</t>
        </is>
      </c>
      <c r="B102" s="973" t="inlineStr">
        <is>
          <t>Data or transaction-integrity compromise</t>
        </is>
      </c>
      <c r="C102" s="973" t="inlineStr">
        <is>
          <t>Public-facing application exploitation</t>
        </is>
      </c>
      <c r="D102" s="973" t="n">
        <v>0.003053435114503817</v>
      </c>
      <c r="E102" s="973" t="n">
        <v>0.02025</v>
      </c>
      <c r="F102" s="973" t="n">
        <v>6.183206106870229e-05</v>
      </c>
      <c r="G102" s="973" t="n">
        <v>4175890.410958904</v>
      </c>
      <c r="H102" s="973" t="n">
        <v>78266164.38356164</v>
      </c>
      <c r="I102" s="973" t="n">
        <v>9183694.454320414</v>
      </c>
      <c r="J102" s="973" t="n">
        <v>567.8467563358423</v>
      </c>
      <c r="K102" s="973" t="inlineStr">
        <is>
          <t>No</t>
        </is>
      </c>
      <c r="L102" s="973" t="n"/>
      <c r="M102" s="973" t="n"/>
      <c r="N102" s="973" t="n"/>
      <c r="O102" s="973" t="n"/>
      <c r="P102" s="973" t="n"/>
    </row>
    <row r="103">
      <c r="A103" s="973" t="inlineStr">
        <is>
          <t>Hacktivist</t>
        </is>
      </c>
      <c r="B103" s="973" t="inlineStr">
        <is>
          <t>Data or transaction-integrity compromise</t>
        </is>
      </c>
      <c r="C103" s="973" t="inlineStr">
        <is>
          <t>Third-party or software supply chain</t>
        </is>
      </c>
      <c r="D103" s="973" t="n">
        <v>0.001017811704834606</v>
      </c>
      <c r="E103" s="973" t="n">
        <v>0.196625</v>
      </c>
      <c r="F103" s="973" t="n">
        <v>0.0002001272264631044</v>
      </c>
      <c r="G103" s="973" t="n">
        <v>4175890.410958904</v>
      </c>
      <c r="H103" s="973" t="n">
        <v>78266164.38356164</v>
      </c>
      <c r="I103" s="973" t="n">
        <v>9183694.454320414</v>
      </c>
      <c r="J103" s="973" t="n">
        <v>1837.907299827738</v>
      </c>
      <c r="K103" s="973" t="inlineStr">
        <is>
          <t>No</t>
        </is>
      </c>
      <c r="L103" s="973" t="n"/>
      <c r="M103" s="973" t="n"/>
      <c r="N103" s="973" t="n"/>
      <c r="O103" s="973" t="n"/>
      <c r="P103" s="973" t="n"/>
    </row>
    <row r="104">
      <c r="A104" s="973" t="inlineStr">
        <is>
          <t>Hacktivist</t>
        </is>
      </c>
      <c r="B104" s="973" t="inlineStr">
        <is>
          <t>Data or transaction-integrity compromise</t>
        </is>
      </c>
      <c r="C104" s="973" t="inlineStr">
        <is>
          <t>Direct availability or DDoS</t>
        </is>
      </c>
      <c r="D104" s="973" t="n">
        <v>0</v>
      </c>
      <c r="E104" s="973" t="n">
        <v>0</v>
      </c>
      <c r="F104" s="973" t="n">
        <v>0</v>
      </c>
      <c r="G104" s="973" t="n">
        <v>4175890.410958904</v>
      </c>
      <c r="H104" s="973" t="n">
        <v>78266164.38356164</v>
      </c>
      <c r="I104" s="973" t="n">
        <v>9183694.454320414</v>
      </c>
      <c r="J104" s="973" t="n">
        <v>0</v>
      </c>
      <c r="K104" s="973" t="inlineStr">
        <is>
          <t>No</t>
        </is>
      </c>
      <c r="L104" s="973" t="n"/>
      <c r="M104" s="973" t="n"/>
      <c r="N104" s="973" t="n"/>
      <c r="O104" s="973" t="n"/>
      <c r="P104" s="973" t="n"/>
    </row>
    <row r="105">
      <c r="A105" s="973" t="inlineStr">
        <is>
          <t>Hacktivist</t>
        </is>
      </c>
      <c r="B105" s="973" t="inlineStr">
        <is>
          <t>Data or transaction-integrity compromise</t>
        </is>
      </c>
      <c r="C105" s="973" t="inlineStr">
        <is>
          <t>Insider or trusted access</t>
        </is>
      </c>
      <c r="D105" s="973" t="n">
        <v>0.0004681933842239186</v>
      </c>
      <c r="E105" s="973" t="n">
        <v>0.29575</v>
      </c>
      <c r="F105" s="973" t="n">
        <v>0.0001384681933842239</v>
      </c>
      <c r="G105" s="973" t="n">
        <v>4175890.410958904</v>
      </c>
      <c r="H105" s="973" t="n">
        <v>78266164.38356164</v>
      </c>
      <c r="I105" s="973" t="n">
        <v>9183694.454320414</v>
      </c>
      <c r="J105" s="973" t="n">
        <v>1271.649579682464</v>
      </c>
      <c r="K105" s="973" t="inlineStr">
        <is>
          <t>No</t>
        </is>
      </c>
      <c r="L105" s="973" t="n"/>
      <c r="M105" s="973" t="n"/>
      <c r="N105" s="973" t="n"/>
      <c r="O105" s="973" t="n"/>
      <c r="P105" s="973" t="n"/>
    </row>
    <row r="106">
      <c r="A106" s="973" t="inlineStr">
        <is>
          <t>Hacktivist</t>
        </is>
      </c>
      <c r="B106" s="973" t="inlineStr">
        <is>
          <t>Cyber-enabled theft or fraud</t>
        </is>
      </c>
      <c r="C106" s="973" t="inlineStr">
        <is>
          <t>Identity and credential compromise</t>
        </is>
      </c>
      <c r="D106" s="973" t="n">
        <v>0.0009259259259259259</v>
      </c>
      <c r="E106" s="973" t="n">
        <v>0.10725</v>
      </c>
      <c r="F106" s="973" t="n">
        <v>9.930555555555556e-05</v>
      </c>
      <c r="G106" s="973" t="n">
        <v>1835000</v>
      </c>
      <c r="H106" s="973" t="n">
        <v>29830000</v>
      </c>
      <c r="I106" s="973" t="n">
        <v>3754990.772199141</v>
      </c>
      <c r="J106" s="973" t="n">
        <v>372.8914447392203</v>
      </c>
      <c r="K106" s="973" t="inlineStr">
        <is>
          <t>No</t>
        </is>
      </c>
      <c r="L106" s="973" t="n"/>
      <c r="M106" s="973" t="n"/>
      <c r="N106" s="973" t="n"/>
      <c r="O106" s="973" t="n"/>
      <c r="P106" s="973" t="n"/>
    </row>
    <row r="107">
      <c r="A107" s="973" t="inlineStr">
        <is>
          <t>Hacktivist</t>
        </is>
      </c>
      <c r="B107" s="973" t="inlineStr">
        <is>
          <t>Cyber-enabled theft or fraud</t>
        </is>
      </c>
      <c r="C107" s="973" t="inlineStr">
        <is>
          <t>User endpoint and social engineering</t>
        </is>
      </c>
      <c r="D107" s="973" t="n">
        <v>0.0003174603174603175</v>
      </c>
      <c r="E107" s="973" t="n">
        <v>0.126</v>
      </c>
      <c r="F107" s="973" t="n">
        <v>4e-05</v>
      </c>
      <c r="G107" s="973" t="n">
        <v>1835000</v>
      </c>
      <c r="H107" s="973" t="n">
        <v>29830000</v>
      </c>
      <c r="I107" s="973" t="n">
        <v>3754990.772199141</v>
      </c>
      <c r="J107" s="973" t="n">
        <v>150.1996308879656</v>
      </c>
      <c r="K107" s="973" t="inlineStr">
        <is>
          <t>No</t>
        </is>
      </c>
      <c r="L107" s="973" t="n"/>
      <c r="M107" s="973" t="n"/>
      <c r="N107" s="973" t="n"/>
      <c r="O107" s="973" t="n"/>
      <c r="P107" s="973" t="n"/>
    </row>
    <row r="108">
      <c r="A108" s="973" t="inlineStr">
        <is>
          <t>Hacktivist</t>
        </is>
      </c>
      <c r="B108" s="973" t="inlineStr">
        <is>
          <t>Cyber-enabled theft or fraud</t>
        </is>
      </c>
      <c r="C108" s="973" t="inlineStr">
        <is>
          <t>Public-facing application exploitation</t>
        </is>
      </c>
      <c r="D108" s="973" t="n">
        <v>0.0004761904761904762</v>
      </c>
      <c r="E108" s="973" t="n">
        <v>0.02025</v>
      </c>
      <c r="F108" s="973" t="n">
        <v>9.642857142857142e-06</v>
      </c>
      <c r="G108" s="973" t="n">
        <v>1835000</v>
      </c>
      <c r="H108" s="973" t="n">
        <v>29830000</v>
      </c>
      <c r="I108" s="973" t="n">
        <v>3754990.772199141</v>
      </c>
      <c r="J108" s="973" t="n">
        <v>36.20883958906315</v>
      </c>
      <c r="K108" s="973" t="inlineStr">
        <is>
          <t>No</t>
        </is>
      </c>
      <c r="L108" s="973" t="n"/>
      <c r="M108" s="973" t="n"/>
      <c r="N108" s="973" t="n"/>
      <c r="O108" s="973" t="n"/>
      <c r="P108" s="973" t="n"/>
    </row>
    <row r="109">
      <c r="A109" s="973" t="inlineStr">
        <is>
          <t>Hacktivist</t>
        </is>
      </c>
      <c r="B109" s="973" t="inlineStr">
        <is>
          <t>Cyber-enabled theft or fraud</t>
        </is>
      </c>
      <c r="C109" s="973" t="inlineStr">
        <is>
          <t>Third-party or software supply chain</t>
        </is>
      </c>
      <c r="D109" s="973" t="n">
        <v>0.0001322751322751323</v>
      </c>
      <c r="E109" s="973" t="n">
        <v>0.196625</v>
      </c>
      <c r="F109" s="973" t="n">
        <v>2.60085978835979e-05</v>
      </c>
      <c r="G109" s="973" t="n">
        <v>1835000</v>
      </c>
      <c r="H109" s="973" t="n">
        <v>29830000</v>
      </c>
      <c r="I109" s="973" t="n">
        <v>3754990.772199141</v>
      </c>
      <c r="J109" s="973" t="n">
        <v>97.66204505074822</v>
      </c>
      <c r="K109" s="973" t="inlineStr">
        <is>
          <t>No</t>
        </is>
      </c>
      <c r="L109" s="973" t="n"/>
      <c r="M109" s="973" t="n"/>
      <c r="N109" s="973" t="n"/>
      <c r="O109" s="973" t="n"/>
      <c r="P109" s="973" t="n"/>
    </row>
    <row r="110">
      <c r="A110" s="973" t="inlineStr">
        <is>
          <t>Hacktivist</t>
        </is>
      </c>
      <c r="B110" s="973" t="inlineStr">
        <is>
          <t>Cyber-enabled theft or fraud</t>
        </is>
      </c>
      <c r="C110" s="973" t="inlineStr">
        <is>
          <t>Direct availability or DDoS</t>
        </is>
      </c>
      <c r="D110" s="973" t="n">
        <v>0</v>
      </c>
      <c r="E110" s="973" t="n">
        <v>0</v>
      </c>
      <c r="F110" s="973" t="n">
        <v>0</v>
      </c>
      <c r="G110" s="973" t="n">
        <v>1835000</v>
      </c>
      <c r="H110" s="973" t="n">
        <v>29830000</v>
      </c>
      <c r="I110" s="973" t="n">
        <v>3754990.772199141</v>
      </c>
      <c r="J110" s="973" t="n">
        <v>0</v>
      </c>
      <c r="K110" s="973" t="inlineStr">
        <is>
          <t>No</t>
        </is>
      </c>
      <c r="L110" s="973" t="n"/>
      <c r="M110" s="973" t="n"/>
      <c r="N110" s="973" t="n"/>
      <c r="O110" s="973" t="n"/>
      <c r="P110" s="973" t="n"/>
    </row>
    <row r="111">
      <c r="A111" s="973" t="inlineStr">
        <is>
          <t>Hacktivist</t>
        </is>
      </c>
      <c r="B111" s="973" t="inlineStr">
        <is>
          <t>Cyber-enabled theft or fraud</t>
        </is>
      </c>
      <c r="C111" s="973" t="inlineStr">
        <is>
          <t>Insider or trusted access</t>
        </is>
      </c>
      <c r="D111" s="973" t="n">
        <v>0.0001481481481481482</v>
      </c>
      <c r="E111" s="973" t="n">
        <v>0.455</v>
      </c>
      <c r="F111" s="973" t="n">
        <v>6.740740740740741e-05</v>
      </c>
      <c r="G111" s="973" t="n">
        <v>1835000</v>
      </c>
      <c r="H111" s="973" t="n">
        <v>29830000</v>
      </c>
      <c r="I111" s="973" t="n">
        <v>3754990.772199141</v>
      </c>
      <c r="J111" s="973" t="n">
        <v>253.1141927926828</v>
      </c>
      <c r="K111" s="973" t="inlineStr">
        <is>
          <t>No</t>
        </is>
      </c>
      <c r="L111" s="973" t="n"/>
      <c r="M111" s="973" t="n"/>
      <c r="N111" s="973" t="n"/>
      <c r="O111" s="973" t="n"/>
      <c r="P111" s="973" t="n"/>
    </row>
    <row r="112">
      <c r="A112" s="973" t="n"/>
      <c r="B112" s="973" t="n"/>
      <c r="C112" s="973" t="n"/>
      <c r="D112" s="973" t="n"/>
      <c r="E112" s="973" t="n"/>
      <c r="F112" s="973" t="n"/>
      <c r="G112" s="973" t="n"/>
      <c r="H112" s="973" t="n"/>
      <c r="I112" s="973" t="n"/>
      <c r="J112" s="973" t="n"/>
      <c r="K112" s="973" t="n"/>
      <c r="L112" s="973" t="n"/>
      <c r="M112" s="973" t="n"/>
      <c r="N112" s="973" t="n"/>
      <c r="O112" s="973" t="n"/>
      <c r="P112" s="973" t="n"/>
    </row>
    <row r="113">
      <c r="A113" s="973" t="n"/>
      <c r="B113" s="973" t="n"/>
      <c r="C113" s="973" t="n"/>
      <c r="D113" s="973" t="n"/>
      <c r="E113" s="973" t="n"/>
      <c r="F113" s="973" t="n"/>
      <c r="G113" s="973" t="n"/>
      <c r="H113" s="973" t="n"/>
      <c r="I113" s="973" t="n"/>
      <c r="J113" s="973" t="n"/>
      <c r="K113" s="973" t="n"/>
      <c r="L113" s="973" t="n"/>
      <c r="M113" s="973" t="n"/>
      <c r="N113" s="973" t="n"/>
      <c r="O113" s="973" t="n"/>
      <c r="P113" s="973" t="n"/>
    </row>
    <row r="114">
      <c r="A114" s="973" t="n"/>
      <c r="B114" s="973" t="n"/>
      <c r="C114" s="973" t="n"/>
      <c r="D114" s="973" t="n"/>
      <c r="E114" s="973" t="n"/>
      <c r="F114" s="973" t="n"/>
      <c r="G114" s="973" t="n"/>
      <c r="H114" s="973" t="n"/>
      <c r="I114" s="973" t="n"/>
      <c r="J114" s="973" t="n"/>
      <c r="K114" s="973" t="n"/>
      <c r="L114" s="973" t="n"/>
      <c r="M114" s="973" t="n"/>
      <c r="N114" s="973" t="n"/>
      <c r="O114" s="973" t="n"/>
      <c r="P114" s="973" t="n"/>
    </row>
    <row r="115">
      <c r="A115" s="973" t="n"/>
      <c r="B115" s="973" t="n"/>
      <c r="C115" s="973" t="n"/>
      <c r="D115" s="973" t="n"/>
      <c r="E115" s="973" t="n"/>
      <c r="F115" s="973" t="n"/>
      <c r="G115" s="973" t="n"/>
      <c r="H115" s="973" t="n"/>
      <c r="I115" s="973" t="n"/>
      <c r="J115" s="973" t="n"/>
      <c r="K115" s="973" t="n"/>
      <c r="L115" s="973" t="n"/>
      <c r="M115" s="973" t="n"/>
      <c r="N115" s="973" t="n"/>
      <c r="O115" s="973" t="n"/>
      <c r="P115" s="973" t="n"/>
    </row>
    <row r="116">
      <c r="A116" s="973" t="n"/>
      <c r="B116" s="973" t="n"/>
      <c r="C116" s="973" t="n"/>
      <c r="D116" s="973" t="n"/>
      <c r="E116" s="973" t="n"/>
      <c r="F116" s="973" t="n"/>
      <c r="G116" s="973" t="n"/>
      <c r="H116" s="973" t="n"/>
      <c r="I116" s="973" t="n"/>
      <c r="J116" s="973" t="n"/>
      <c r="K116" s="973" t="n"/>
      <c r="L116" s="973" t="n"/>
      <c r="M116" s="973" t="n"/>
      <c r="N116" s="973" t="n"/>
      <c r="O116" s="973" t="n"/>
      <c r="P116" s="973" t="n"/>
    </row>
    <row r="117">
      <c r="A117" s="973" t="n"/>
      <c r="B117" s="973" t="n"/>
      <c r="C117" s="973" t="n"/>
      <c r="D117" s="973" t="n"/>
      <c r="E117" s="973" t="n"/>
      <c r="F117" s="973" t="n"/>
      <c r="G117" s="973" t="n"/>
      <c r="H117" s="973" t="n"/>
      <c r="I117" s="973" t="n"/>
      <c r="J117" s="973" t="n"/>
      <c r="K117" s="973" t="n"/>
      <c r="L117" s="973" t="n"/>
      <c r="M117" s="973" t="n"/>
      <c r="N117" s="973" t="n"/>
      <c r="O117" s="973" t="n"/>
      <c r="P117" s="973" t="n"/>
    </row>
    <row r="118">
      <c r="A118" s="973" t="n"/>
      <c r="B118" s="973" t="n"/>
      <c r="C118" s="973" t="n"/>
      <c r="D118" s="973" t="n"/>
      <c r="E118" s="973" t="n"/>
      <c r="F118" s="973" t="n"/>
      <c r="G118" s="973" t="n"/>
      <c r="H118" s="973" t="n"/>
      <c r="I118" s="973" t="n"/>
      <c r="J118" s="973" t="n"/>
      <c r="K118" s="973" t="n"/>
      <c r="L118" s="973" t="n"/>
      <c r="M118" s="973" t="n"/>
      <c r="N118" s="973" t="n"/>
      <c r="O118" s="973" t="n"/>
      <c r="P118" s="973" t="n"/>
    </row>
    <row r="119">
      <c r="A119" s="973" t="n"/>
      <c r="B119" s="973" t="n"/>
      <c r="C119" s="973" t="n"/>
      <c r="D119" s="973" t="n"/>
      <c r="E119" s="973" t="n"/>
      <c r="F119" s="973" t="n"/>
      <c r="G119" s="973" t="n"/>
      <c r="H119" s="973" t="n"/>
      <c r="I119" s="973" t="n"/>
      <c r="J119" s="973" t="n"/>
      <c r="K119" s="973" t="n"/>
      <c r="L119" s="973" t="n"/>
      <c r="M119" s="973" t="n"/>
      <c r="N119" s="973" t="n"/>
      <c r="O119" s="973" t="n"/>
      <c r="P119" s="973" t="n"/>
    </row>
    <row r="120">
      <c r="A120" s="973" t="n"/>
      <c r="B120" s="973" t="n"/>
      <c r="C120" s="973" t="n"/>
      <c r="D120" s="973" t="n"/>
      <c r="E120" s="973" t="n"/>
      <c r="F120" s="973" t="n"/>
      <c r="G120" s="973" t="n"/>
      <c r="H120" s="973" t="n"/>
      <c r="I120" s="973" t="n"/>
      <c r="J120" s="973" t="n"/>
      <c r="K120" s="973" t="n"/>
      <c r="L120" s="973" t="n"/>
      <c r="M120" s="973" t="n"/>
      <c r="N120" s="973" t="n"/>
      <c r="O120" s="973" t="n"/>
      <c r="P120" s="973" t="n"/>
    </row>
    <row r="121">
      <c r="A121" s="973" t="n"/>
      <c r="B121" s="973" t="n"/>
      <c r="C121" s="973" t="n"/>
      <c r="D121" s="973" t="n"/>
      <c r="E121" s="973" t="n"/>
      <c r="F121" s="973" t="n"/>
      <c r="G121" s="973" t="n"/>
      <c r="H121" s="973" t="n"/>
      <c r="I121" s="973" t="n"/>
      <c r="J121" s="973" t="n"/>
      <c r="K121" s="973" t="n"/>
      <c r="L121" s="973" t="n"/>
      <c r="M121" s="973" t="n"/>
      <c r="N121" s="973" t="n"/>
      <c r="O121" s="973" t="n"/>
      <c r="P121" s="973" t="n"/>
    </row>
    <row r="122">
      <c r="A122" s="973" t="n"/>
      <c r="B122" s="973" t="n"/>
      <c r="C122" s="973" t="n"/>
      <c r="D122" s="973" t="n"/>
      <c r="E122" s="973" t="n"/>
      <c r="F122" s="973" t="n"/>
      <c r="G122" s="973" t="n"/>
      <c r="H122" s="973" t="n"/>
      <c r="I122" s="973" t="n"/>
      <c r="J122" s="973" t="n"/>
      <c r="K122" s="973" t="n"/>
      <c r="L122" s="973" t="n"/>
      <c r="M122" s="973" t="n"/>
      <c r="N122" s="973" t="n"/>
      <c r="O122" s="973" t="n"/>
      <c r="P122" s="973" t="n"/>
    </row>
    <row r="123">
      <c r="A123" s="973" t="n"/>
      <c r="B123" s="973" t="n"/>
      <c r="C123" s="973" t="n"/>
      <c r="D123" s="973" t="n"/>
      <c r="E123" s="973" t="n"/>
      <c r="F123" s="973" t="n"/>
      <c r="G123" s="973" t="n"/>
      <c r="H123" s="973" t="n"/>
      <c r="I123" s="973" t="n"/>
      <c r="J123" s="973" t="n"/>
      <c r="K123" s="973" t="n"/>
      <c r="L123" s="973" t="n"/>
      <c r="M123" s="973" t="n"/>
      <c r="N123" s="973" t="n"/>
      <c r="O123" s="973" t="n"/>
      <c r="P123" s="973" t="n"/>
    </row>
    <row r="124">
      <c r="A124" s="973" t="n"/>
      <c r="B124" s="973" t="n"/>
      <c r="C124" s="973" t="n"/>
      <c r="D124" s="973" t="n"/>
      <c r="E124" s="973" t="n"/>
      <c r="F124" s="973" t="n"/>
      <c r="G124" s="973" t="n"/>
      <c r="H124" s="973" t="n"/>
      <c r="I124" s="973" t="n"/>
      <c r="J124" s="973" t="n"/>
      <c r="K124" s="973" t="n"/>
      <c r="L124" s="973" t="n"/>
      <c r="M124" s="973" t="n"/>
      <c r="N124" s="973" t="n"/>
      <c r="O124" s="973" t="n"/>
      <c r="P124" s="973" t="n"/>
    </row>
    <row r="125">
      <c r="A125" s="973" t="n"/>
      <c r="B125" s="973" t="n"/>
      <c r="C125" s="973" t="n"/>
      <c r="D125" s="973" t="n"/>
      <c r="E125" s="973" t="n"/>
      <c r="F125" s="973" t="n"/>
      <c r="G125" s="973" t="n"/>
      <c r="H125" s="973" t="n"/>
      <c r="I125" s="973" t="n"/>
      <c r="J125" s="973" t="n"/>
      <c r="K125" s="973" t="n"/>
      <c r="L125" s="973" t="n"/>
      <c r="M125" s="973" t="n"/>
      <c r="N125" s="973" t="n"/>
      <c r="O125" s="973" t="n"/>
      <c r="P125" s="973" t="n"/>
    </row>
    <row r="126">
      <c r="A126" s="973" t="n"/>
      <c r="B126" s="973" t="n"/>
      <c r="C126" s="973" t="n"/>
      <c r="D126" s="973" t="n"/>
      <c r="E126" s="973" t="n"/>
      <c r="F126" s="973" t="n"/>
      <c r="G126" s="973" t="n"/>
      <c r="H126" s="973" t="n"/>
      <c r="I126" s="973" t="n"/>
      <c r="J126" s="973" t="n"/>
      <c r="K126" s="973" t="n"/>
      <c r="L126" s="973" t="n"/>
      <c r="M126" s="973" t="n"/>
      <c r="N126" s="973" t="n"/>
      <c r="O126" s="973" t="n"/>
      <c r="P126" s="973" t="n"/>
    </row>
    <row r="127">
      <c r="A127" s="973" t="n"/>
      <c r="B127" s="973" t="n"/>
      <c r="C127" s="973" t="n"/>
      <c r="D127" s="973" t="n"/>
      <c r="E127" s="973" t="n"/>
      <c r="F127" s="973" t="n"/>
      <c r="G127" s="973" t="n"/>
      <c r="H127" s="973" t="n"/>
      <c r="I127" s="973" t="n"/>
      <c r="J127" s="973" t="n"/>
      <c r="K127" s="973" t="n"/>
      <c r="L127" s="973" t="n"/>
      <c r="M127" s="973" t="n"/>
      <c r="N127" s="973" t="n"/>
      <c r="O127" s="973" t="n"/>
      <c r="P127" s="973" t="n"/>
    </row>
    <row r="128">
      <c r="A128" s="973" t="n"/>
      <c r="B128" s="973" t="n"/>
      <c r="C128" s="973" t="n"/>
      <c r="D128" s="973" t="n"/>
      <c r="E128" s="973" t="n"/>
      <c r="F128" s="973" t="n"/>
      <c r="G128" s="973" t="n"/>
      <c r="H128" s="973" t="n"/>
      <c r="I128" s="973" t="n"/>
      <c r="J128" s="973" t="n"/>
      <c r="K128" s="973" t="n"/>
      <c r="L128" s="973" t="n"/>
      <c r="M128" s="973" t="n"/>
      <c r="N128" s="973" t="n"/>
      <c r="O128" s="973" t="n"/>
      <c r="P128" s="973" t="n"/>
    </row>
    <row r="129">
      <c r="A129" s="973" t="n"/>
      <c r="B129" s="973" t="n"/>
      <c r="C129" s="973" t="n"/>
      <c r="D129" s="973" t="n"/>
      <c r="E129" s="973" t="n"/>
      <c r="F129" s="973" t="n"/>
      <c r="G129" s="973" t="n"/>
      <c r="H129" s="973" t="n"/>
      <c r="I129" s="973" t="n"/>
      <c r="J129" s="973" t="n"/>
      <c r="K129" s="973" t="n"/>
      <c r="L129" s="973" t="n"/>
      <c r="M129" s="973" t="n"/>
      <c r="N129" s="973" t="n"/>
      <c r="O129" s="973" t="n"/>
      <c r="P129" s="973" t="n"/>
    </row>
    <row r="130">
      <c r="A130" s="973" t="n"/>
      <c r="B130" s="973" t="n"/>
      <c r="C130" s="973" t="n"/>
      <c r="D130" s="973" t="n"/>
      <c r="E130" s="973" t="n"/>
      <c r="F130" s="973" t="n"/>
      <c r="G130" s="973" t="n"/>
      <c r="H130" s="973" t="n"/>
      <c r="I130" s="973" t="n"/>
      <c r="J130" s="973" t="n"/>
      <c r="K130" s="973" t="n"/>
      <c r="L130" s="973" t="n"/>
      <c r="M130" s="973" t="n"/>
      <c r="N130" s="973" t="n"/>
      <c r="O130" s="973" t="n"/>
      <c r="P130" s="973" t="n"/>
    </row>
    <row r="131">
      <c r="A131" s="973" t="n"/>
      <c r="B131" s="973" t="n"/>
      <c r="C131" s="973" t="n"/>
      <c r="D131" s="973" t="n"/>
      <c r="E131" s="973" t="n"/>
      <c r="F131" s="973" t="n"/>
      <c r="G131" s="973" t="n"/>
      <c r="H131" s="973" t="n"/>
      <c r="I131" s="973" t="n"/>
      <c r="J131" s="973" t="n"/>
      <c r="K131" s="973" t="n"/>
      <c r="L131" s="973" t="n"/>
      <c r="M131" s="973" t="n"/>
      <c r="N131" s="973" t="n"/>
      <c r="O131" s="973" t="n"/>
      <c r="P131" s="973" t="n"/>
    </row>
    <row r="132">
      <c r="A132" s="973" t="n"/>
      <c r="B132" s="973" t="n"/>
      <c r="C132" s="973" t="n"/>
      <c r="D132" s="973" t="n"/>
      <c r="E132" s="973" t="n"/>
      <c r="F132" s="973" t="n"/>
      <c r="G132" s="973" t="n"/>
      <c r="H132" s="973" t="n"/>
      <c r="I132" s="973" t="n"/>
      <c r="J132" s="973" t="n"/>
      <c r="K132" s="973" t="n"/>
      <c r="L132" s="973" t="n"/>
      <c r="M132" s="973" t="n"/>
      <c r="N132" s="973" t="n"/>
      <c r="O132" s="973" t="n"/>
      <c r="P132" s="973" t="n"/>
    </row>
    <row r="133">
      <c r="A133" s="973" t="n"/>
      <c r="B133" s="973" t="n"/>
      <c r="C133" s="973" t="n"/>
      <c r="D133" s="973" t="n"/>
      <c r="E133" s="973" t="n"/>
      <c r="F133" s="973" t="n"/>
      <c r="G133" s="973" t="n"/>
      <c r="H133" s="973" t="n"/>
      <c r="I133" s="973" t="n"/>
      <c r="J133" s="973" t="n"/>
      <c r="K133" s="973" t="n"/>
      <c r="L133" s="973" t="n"/>
      <c r="M133" s="973" t="n"/>
      <c r="N133" s="973" t="n"/>
      <c r="O133" s="973" t="n"/>
      <c r="P133" s="973" t="n"/>
    </row>
    <row r="134">
      <c r="A134" s="973" t="n"/>
      <c r="B134" s="973" t="n"/>
      <c r="C134" s="973" t="n"/>
      <c r="D134" s="973" t="n"/>
      <c r="E134" s="973" t="n"/>
      <c r="F134" s="973" t="n"/>
      <c r="G134" s="973" t="n"/>
      <c r="H134" s="973" t="n"/>
      <c r="I134" s="973" t="n"/>
      <c r="J134" s="973" t="n"/>
      <c r="K134" s="973" t="n"/>
      <c r="L134" s="973" t="n"/>
      <c r="M134" s="973" t="n"/>
      <c r="N134" s="973" t="n"/>
      <c r="O134" s="973" t="n"/>
      <c r="P134" s="973" t="n"/>
    </row>
    <row r="135">
      <c r="A135" s="973" t="n"/>
      <c r="B135" s="973" t="n"/>
      <c r="C135" s="973" t="n"/>
      <c r="D135" s="973" t="n"/>
      <c r="E135" s="973" t="n"/>
      <c r="F135" s="973" t="n"/>
      <c r="G135" s="973" t="n"/>
      <c r="H135" s="973" t="n"/>
      <c r="I135" s="973" t="n"/>
      <c r="J135" s="973" t="n"/>
      <c r="K135" s="973" t="n"/>
      <c r="L135" s="973" t="n"/>
      <c r="M135" s="973" t="n"/>
      <c r="N135" s="973" t="n"/>
      <c r="O135" s="973" t="n"/>
      <c r="P135" s="973" t="n"/>
    </row>
    <row r="136">
      <c r="A136" s="973" t="n"/>
      <c r="B136" s="973" t="n"/>
      <c r="C136" s="973" t="n"/>
      <c r="D136" s="973" t="n"/>
      <c r="E136" s="973" t="n"/>
      <c r="F136" s="973" t="n"/>
      <c r="G136" s="973" t="n"/>
      <c r="H136" s="973" t="n"/>
      <c r="I136" s="973" t="n"/>
      <c r="J136" s="973" t="n"/>
      <c r="K136" s="973" t="n"/>
      <c r="L136" s="973" t="n"/>
      <c r="M136" s="973" t="n"/>
      <c r="N136" s="973" t="n"/>
      <c r="O136" s="973" t="n"/>
      <c r="P136" s="973" t="n"/>
    </row>
    <row r="137">
      <c r="A137" s="973" t="n"/>
      <c r="B137" s="973" t="n"/>
      <c r="C137" s="973" t="n"/>
      <c r="D137" s="973" t="n"/>
      <c r="E137" s="973" t="n"/>
      <c r="F137" s="973" t="n"/>
      <c r="G137" s="973" t="n"/>
      <c r="H137" s="973" t="n"/>
      <c r="I137" s="973" t="n"/>
      <c r="J137" s="973" t="n"/>
      <c r="K137" s="973" t="n"/>
      <c r="L137" s="973" t="n"/>
      <c r="M137" s="973" t="n"/>
      <c r="N137" s="973" t="n"/>
      <c r="O137" s="973" t="n"/>
      <c r="P137" s="973" t="n"/>
    </row>
    <row r="138">
      <c r="A138" s="973" t="n"/>
      <c r="B138" s="973" t="n"/>
      <c r="C138" s="973" t="n"/>
      <c r="D138" s="973" t="n"/>
      <c r="E138" s="973" t="n"/>
      <c r="F138" s="973" t="n"/>
      <c r="G138" s="973" t="n"/>
      <c r="H138" s="973" t="n"/>
      <c r="I138" s="973" t="n"/>
      <c r="J138" s="973" t="n"/>
      <c r="K138" s="973" t="n"/>
      <c r="L138" s="973" t="n"/>
      <c r="M138" s="973" t="n"/>
      <c r="N138" s="973" t="n"/>
      <c r="O138" s="973" t="n"/>
      <c r="P138" s="973" t="n"/>
    </row>
    <row r="139">
      <c r="A139" s="973" t="n"/>
      <c r="B139" s="973" t="n"/>
      <c r="C139" s="973" t="n"/>
      <c r="D139" s="973" t="n"/>
      <c r="E139" s="973" t="n"/>
      <c r="F139" s="973" t="n"/>
      <c r="G139" s="973" t="n"/>
      <c r="H139" s="973" t="n"/>
      <c r="I139" s="973" t="n"/>
      <c r="J139" s="973" t="n"/>
      <c r="K139" s="973" t="n"/>
      <c r="L139" s="973" t="n"/>
      <c r="M139" s="973" t="n"/>
      <c r="N139" s="973" t="n"/>
      <c r="O139" s="973" t="n"/>
      <c r="P139" s="973" t="n"/>
    </row>
    <row r="140">
      <c r="A140" s="973" t="n"/>
      <c r="B140" s="973" t="n"/>
      <c r="C140" s="973" t="n"/>
      <c r="D140" s="973" t="n"/>
      <c r="E140" s="973" t="n"/>
      <c r="F140" s="973" t="n"/>
      <c r="G140" s="973" t="n"/>
      <c r="H140" s="973" t="n"/>
      <c r="I140" s="973" t="n"/>
      <c r="J140" s="973" t="n"/>
      <c r="K140" s="973" t="n"/>
      <c r="L140" s="973" t="n"/>
      <c r="M140" s="973" t="n"/>
      <c r="N140" s="973" t="n"/>
      <c r="O140" s="973" t="n"/>
      <c r="P140" s="973" t="n"/>
    </row>
    <row r="141">
      <c r="A141" s="973" t="n"/>
      <c r="B141" s="973" t="n"/>
      <c r="C141" s="973" t="n"/>
      <c r="D141" s="973" t="n"/>
      <c r="E141" s="973" t="n"/>
      <c r="F141" s="973" t="n"/>
      <c r="G141" s="973" t="n"/>
      <c r="H141" s="973" t="n"/>
      <c r="I141" s="973" t="n"/>
      <c r="J141" s="973" t="n"/>
      <c r="K141" s="973" t="n"/>
      <c r="L141" s="973" t="n"/>
      <c r="M141" s="973" t="n"/>
      <c r="N141" s="973" t="n"/>
      <c r="O141" s="973" t="n"/>
      <c r="P141" s="973" t="n"/>
    </row>
    <row r="142">
      <c r="A142" s="973" t="n"/>
      <c r="B142" s="973" t="n"/>
      <c r="C142" s="973" t="n"/>
      <c r="D142" s="973" t="n"/>
      <c r="E142" s="973" t="n"/>
      <c r="F142" s="973" t="n"/>
      <c r="G142" s="973" t="n"/>
      <c r="H142" s="973" t="n"/>
      <c r="I142" s="973" t="n"/>
      <c r="J142" s="973" t="n"/>
      <c r="K142" s="973" t="n"/>
      <c r="L142" s="973" t="n"/>
      <c r="M142" s="973" t="n"/>
      <c r="N142" s="973" t="n"/>
      <c r="O142" s="973" t="n"/>
      <c r="P142" s="973" t="n"/>
    </row>
    <row r="143">
      <c r="A143" s="973" t="n"/>
      <c r="B143" s="973" t="n"/>
      <c r="C143" s="973" t="n"/>
      <c r="D143" s="973" t="n"/>
      <c r="E143" s="973" t="n"/>
      <c r="F143" s="973" t="n"/>
      <c r="G143" s="973" t="n"/>
      <c r="H143" s="973" t="n"/>
      <c r="I143" s="973" t="n"/>
      <c r="J143" s="973" t="n"/>
      <c r="K143" s="973" t="n"/>
      <c r="L143" s="973" t="n"/>
      <c r="M143" s="973" t="n"/>
      <c r="N143" s="973" t="n"/>
      <c r="O143" s="973" t="n"/>
      <c r="P143" s="973" t="n"/>
    </row>
    <row r="144">
      <c r="A144" s="973" t="n"/>
      <c r="B144" s="973" t="n"/>
      <c r="C144" s="973" t="n"/>
      <c r="D144" s="973" t="n"/>
      <c r="E144" s="973" t="n"/>
      <c r="F144" s="973" t="n"/>
      <c r="G144" s="973" t="n"/>
      <c r="H144" s="973" t="n"/>
      <c r="I144" s="973" t="n"/>
      <c r="J144" s="973" t="n"/>
      <c r="K144" s="973" t="n"/>
      <c r="L144" s="973" t="n"/>
      <c r="M144" s="973" t="n"/>
      <c r="N144" s="973" t="n"/>
      <c r="O144" s="973" t="n"/>
      <c r="P144" s="973" t="n"/>
    </row>
    <row r="145">
      <c r="A145" s="973" t="n"/>
      <c r="B145" s="973" t="n"/>
      <c r="C145" s="973" t="n"/>
      <c r="D145" s="973" t="n"/>
      <c r="E145" s="973" t="n"/>
      <c r="F145" s="973" t="n"/>
      <c r="G145" s="973" t="n"/>
      <c r="H145" s="973" t="n"/>
      <c r="I145" s="973" t="n"/>
      <c r="J145" s="973" t="n"/>
      <c r="K145" s="973" t="n"/>
      <c r="L145" s="973" t="n"/>
      <c r="M145" s="973" t="n"/>
      <c r="N145" s="973" t="n"/>
      <c r="O145" s="973" t="n"/>
      <c r="P145" s="973" t="n"/>
    </row>
    <row r="146">
      <c r="A146" s="973" t="n"/>
      <c r="B146" s="973" t="n"/>
      <c r="C146" s="973" t="n"/>
      <c r="D146" s="973" t="n"/>
      <c r="E146" s="973" t="n"/>
      <c r="F146" s="973" t="n"/>
      <c r="G146" s="973" t="n"/>
      <c r="H146" s="973" t="n"/>
      <c r="I146" s="973" t="n"/>
      <c r="J146" s="973" t="n"/>
      <c r="K146" s="973" t="n"/>
      <c r="L146" s="973" t="n"/>
      <c r="M146" s="973" t="n"/>
      <c r="N146" s="973" t="n"/>
      <c r="O146" s="973" t="n"/>
      <c r="P146" s="973" t="n"/>
    </row>
    <row r="147">
      <c r="A147" s="973" t="n"/>
      <c r="B147" s="973" t="n"/>
      <c r="C147" s="973" t="n"/>
      <c r="D147" s="973" t="n"/>
      <c r="E147" s="973" t="n"/>
      <c r="F147" s="973" t="n"/>
      <c r="G147" s="973" t="n"/>
      <c r="H147" s="973" t="n"/>
      <c r="I147" s="973" t="n"/>
      <c r="J147" s="973" t="n"/>
      <c r="K147" s="973" t="n"/>
      <c r="L147" s="973" t="n"/>
      <c r="M147" s="973" t="n"/>
      <c r="N147" s="973" t="n"/>
      <c r="O147" s="973" t="n"/>
      <c r="P147" s="973" t="n"/>
    </row>
    <row r="148">
      <c r="A148" s="973" t="n"/>
      <c r="B148" s="973" t="n"/>
      <c r="C148" s="973" t="n"/>
      <c r="D148" s="973" t="n"/>
      <c r="E148" s="973" t="n"/>
      <c r="F148" s="973" t="n"/>
      <c r="G148" s="973" t="n"/>
      <c r="H148" s="973" t="n"/>
      <c r="I148" s="973" t="n"/>
      <c r="J148" s="973" t="n"/>
      <c r="K148" s="973" t="n"/>
      <c r="L148" s="973" t="n"/>
      <c r="M148" s="973" t="n"/>
      <c r="N148" s="973" t="n"/>
      <c r="O148" s="973" t="n"/>
      <c r="P148" s="973" t="n"/>
    </row>
    <row r="149">
      <c r="A149" s="973" t="n"/>
      <c r="B149" s="973" t="n"/>
      <c r="C149" s="973" t="n"/>
      <c r="D149" s="973" t="n"/>
      <c r="E149" s="973" t="n"/>
      <c r="F149" s="973" t="n"/>
      <c r="G149" s="973" t="n"/>
      <c r="H149" s="973" t="n"/>
      <c r="I149" s="973" t="n"/>
      <c r="J149" s="973" t="n"/>
      <c r="K149" s="973" t="n"/>
      <c r="L149" s="973" t="n"/>
      <c r="M149" s="973" t="n"/>
      <c r="N149" s="973" t="n"/>
      <c r="O149" s="973" t="n"/>
      <c r="P149" s="973" t="n"/>
    </row>
    <row r="150">
      <c r="A150" s="973" t="n"/>
      <c r="B150" s="973" t="n"/>
      <c r="C150" s="973" t="n"/>
      <c r="D150" s="973" t="n"/>
      <c r="E150" s="973" t="n"/>
      <c r="F150" s="973" t="n"/>
      <c r="G150" s="973" t="n"/>
      <c r="H150" s="973" t="n"/>
      <c r="I150" s="973" t="n"/>
      <c r="J150" s="973" t="n"/>
      <c r="K150" s="973" t="n"/>
      <c r="L150" s="973" t="n"/>
      <c r="M150" s="973" t="n"/>
      <c r="N150" s="973" t="n"/>
      <c r="O150" s="973" t="n"/>
      <c r="P150" s="973" t="n"/>
    </row>
    <row r="151">
      <c r="A151" s="973" t="n"/>
      <c r="B151" s="973" t="n"/>
      <c r="C151" s="973" t="n"/>
      <c r="D151" s="973" t="n"/>
      <c r="E151" s="973" t="n"/>
      <c r="F151" s="973" t="n"/>
      <c r="G151" s="973" t="n"/>
      <c r="H151" s="973" t="n"/>
      <c r="I151" s="973" t="n"/>
      <c r="J151" s="973" t="n"/>
      <c r="K151" s="973" t="n"/>
      <c r="L151" s="973" t="n"/>
      <c r="M151" s="973" t="n"/>
      <c r="N151" s="973" t="n"/>
      <c r="O151" s="973" t="n"/>
      <c r="P151" s="973" t="n"/>
    </row>
    <row r="152">
      <c r="A152" s="973" t="n"/>
      <c r="B152" s="973" t="n"/>
      <c r="C152" s="973" t="n"/>
      <c r="D152" s="973" t="n"/>
      <c r="E152" s="973" t="n"/>
      <c r="F152" s="973" t="n"/>
      <c r="G152" s="973" t="n"/>
      <c r="H152" s="973" t="n"/>
      <c r="I152" s="973" t="n"/>
      <c r="J152" s="973" t="n"/>
      <c r="K152" s="973" t="n"/>
      <c r="L152" s="973" t="n"/>
      <c r="M152" s="973" t="n"/>
      <c r="N152" s="973" t="n"/>
      <c r="O152" s="973" t="n"/>
      <c r="P152" s="973" t="n"/>
    </row>
    <row r="153">
      <c r="A153" s="973" t="n"/>
      <c r="B153" s="973" t="n"/>
      <c r="C153" s="973" t="n"/>
      <c r="D153" s="973" t="n"/>
      <c r="E153" s="973" t="n"/>
      <c r="F153" s="973" t="n"/>
      <c r="G153" s="973" t="n"/>
      <c r="H153" s="973" t="n"/>
      <c r="I153" s="973" t="n"/>
      <c r="J153" s="973" t="n"/>
      <c r="K153" s="973" t="n"/>
      <c r="L153" s="973" t="n"/>
      <c r="M153" s="973" t="n"/>
      <c r="N153" s="973" t="n"/>
      <c r="O153" s="973" t="n"/>
      <c r="P153" s="973" t="n"/>
    </row>
    <row r="154">
      <c r="A154" s="973" t="n"/>
      <c r="B154" s="973" t="n"/>
      <c r="C154" s="973" t="n"/>
      <c r="D154" s="973" t="n"/>
      <c r="E154" s="973" t="n"/>
      <c r="F154" s="973" t="n"/>
      <c r="G154" s="973" t="n"/>
      <c r="H154" s="973" t="n"/>
      <c r="I154" s="973" t="n"/>
      <c r="J154" s="973" t="n"/>
      <c r="K154" s="973" t="n"/>
      <c r="L154" s="973" t="n"/>
      <c r="M154" s="973" t="n"/>
      <c r="N154" s="973" t="n"/>
      <c r="O154" s="973" t="n"/>
      <c r="P154" s="973" t="n"/>
    </row>
    <row r="155">
      <c r="A155" s="973" t="n"/>
      <c r="B155" s="973" t="n"/>
      <c r="C155" s="973" t="n"/>
      <c r="D155" s="973" t="n"/>
      <c r="E155" s="973" t="n"/>
      <c r="F155" s="973" t="n"/>
      <c r="G155" s="973" t="n"/>
      <c r="H155" s="973" t="n"/>
      <c r="I155" s="973" t="n"/>
      <c r="J155" s="973" t="n"/>
      <c r="K155" s="973" t="n"/>
      <c r="L155" s="973" t="n"/>
      <c r="M155" s="973" t="n"/>
      <c r="N155" s="973" t="n"/>
      <c r="O155" s="973" t="n"/>
      <c r="P155" s="973" t="n"/>
    </row>
    <row r="156">
      <c r="A156" s="973" t="n"/>
      <c r="B156" s="973" t="n"/>
      <c r="C156" s="973" t="n"/>
      <c r="D156" s="973" t="n"/>
      <c r="E156" s="973" t="n"/>
      <c r="F156" s="973" t="n"/>
      <c r="G156" s="973" t="n"/>
      <c r="H156" s="973" t="n"/>
      <c r="I156" s="973" t="n"/>
      <c r="J156" s="973" t="n"/>
      <c r="K156" s="973" t="n"/>
      <c r="L156" s="973" t="n"/>
      <c r="M156" s="973" t="n"/>
      <c r="N156" s="973" t="n"/>
      <c r="O156" s="973" t="n"/>
      <c r="P156" s="973" t="n"/>
    </row>
    <row r="157">
      <c r="A157" s="973" t="n"/>
      <c r="B157" s="973" t="n"/>
      <c r="C157" s="973" t="n"/>
      <c r="D157" s="973" t="n"/>
      <c r="E157" s="973" t="n"/>
      <c r="F157" s="973" t="n"/>
      <c r="G157" s="973" t="n"/>
      <c r="H157" s="973" t="n"/>
      <c r="I157" s="973" t="n"/>
      <c r="J157" s="973" t="n"/>
      <c r="K157" s="973" t="n"/>
      <c r="L157" s="973" t="n"/>
      <c r="M157" s="973" t="n"/>
      <c r="N157" s="973" t="n"/>
      <c r="O157" s="973" t="n"/>
      <c r="P157" s="973" t="n"/>
    </row>
    <row r="158">
      <c r="A158" s="973" t="n"/>
      <c r="B158" s="973" t="n"/>
      <c r="C158" s="973" t="n"/>
      <c r="D158" s="973" t="n"/>
      <c r="E158" s="973" t="n"/>
      <c r="F158" s="973" t="n"/>
      <c r="G158" s="973" t="n"/>
      <c r="H158" s="973" t="n"/>
      <c r="I158" s="973" t="n"/>
      <c r="J158" s="973" t="n"/>
      <c r="K158" s="973" t="n"/>
      <c r="L158" s="973" t="n"/>
      <c r="M158" s="973" t="n"/>
      <c r="N158" s="973" t="n"/>
      <c r="O158" s="973" t="n"/>
      <c r="P158" s="973" t="n"/>
    </row>
    <row r="159">
      <c r="A159" s="973" t="n"/>
      <c r="B159" s="973" t="n"/>
      <c r="C159" s="973" t="n"/>
      <c r="D159" s="973" t="n"/>
      <c r="E159" s="973" t="n"/>
      <c r="F159" s="973" t="n"/>
      <c r="G159" s="973" t="n"/>
      <c r="H159" s="973" t="n"/>
      <c r="I159" s="973" t="n"/>
      <c r="J159" s="973" t="n"/>
      <c r="K159" s="973" t="n"/>
      <c r="L159" s="973" t="n"/>
      <c r="M159" s="973" t="n"/>
      <c r="N159" s="973" t="n"/>
      <c r="O159" s="973" t="n"/>
      <c r="P159" s="973" t="n"/>
    </row>
    <row r="160">
      <c r="A160" s="973" t="n"/>
      <c r="B160" s="973" t="n"/>
      <c r="C160" s="973" t="n"/>
      <c r="D160" s="973" t="n"/>
      <c r="E160" s="973" t="n"/>
      <c r="F160" s="973" t="n"/>
      <c r="G160" s="973" t="n"/>
      <c r="H160" s="973" t="n"/>
      <c r="I160" s="973" t="n"/>
      <c r="J160" s="973" t="n"/>
      <c r="K160" s="973" t="n"/>
      <c r="L160" s="973" t="n"/>
      <c r="M160" s="973" t="n"/>
      <c r="N160" s="973" t="n"/>
      <c r="O160" s="973" t="n"/>
      <c r="P160" s="973" t="n"/>
    </row>
    <row r="161">
      <c r="A161" s="973" t="n"/>
      <c r="B161" s="973" t="n"/>
      <c r="C161" s="973" t="n"/>
      <c r="D161" s="973" t="n"/>
      <c r="E161" s="973" t="n"/>
      <c r="F161" s="973" t="n"/>
      <c r="G161" s="973" t="n"/>
      <c r="H161" s="973" t="n"/>
      <c r="I161" s="973" t="n"/>
      <c r="J161" s="973" t="n"/>
      <c r="K161" s="973" t="n"/>
      <c r="L161" s="973" t="n"/>
      <c r="M161" s="973" t="n"/>
      <c r="N161" s="973" t="n"/>
      <c r="O161" s="973" t="n"/>
      <c r="P161" s="973" t="n"/>
    </row>
    <row r="162">
      <c r="A162" s="973" t="n"/>
      <c r="B162" s="973" t="n"/>
      <c r="C162" s="973" t="n"/>
      <c r="D162" s="973" t="n"/>
      <c r="E162" s="973" t="n"/>
      <c r="F162" s="973" t="n"/>
      <c r="G162" s="973" t="n"/>
      <c r="H162" s="973" t="n"/>
      <c r="I162" s="973" t="n"/>
      <c r="J162" s="973" t="n"/>
      <c r="K162" s="973" t="n"/>
      <c r="L162" s="973" t="n"/>
      <c r="M162" s="973" t="n"/>
      <c r="N162" s="973" t="n"/>
      <c r="O162" s="973" t="n"/>
      <c r="P162" s="973" t="n"/>
    </row>
    <row r="163">
      <c r="A163" s="973" t="n"/>
      <c r="B163" s="973" t="n"/>
      <c r="C163" s="973" t="n"/>
      <c r="D163" s="973" t="n"/>
      <c r="E163" s="973" t="n"/>
      <c r="F163" s="973" t="n"/>
      <c r="G163" s="973" t="n"/>
      <c r="H163" s="973" t="n"/>
      <c r="I163" s="973" t="n"/>
      <c r="J163" s="973" t="n"/>
      <c r="K163" s="973" t="n"/>
      <c r="L163" s="973" t="n"/>
      <c r="M163" s="973" t="n"/>
      <c r="N163" s="973" t="n"/>
      <c r="O163" s="973" t="n"/>
      <c r="P163" s="973" t="n"/>
    </row>
    <row r="164">
      <c r="A164" s="973" t="n"/>
      <c r="B164" s="973" t="n"/>
      <c r="C164" s="973" t="n"/>
      <c r="D164" s="973" t="n"/>
      <c r="E164" s="973" t="n"/>
      <c r="F164" s="973" t="n"/>
      <c r="G164" s="973" t="n"/>
      <c r="H164" s="973" t="n"/>
      <c r="I164" s="973" t="n"/>
      <c r="J164" s="973" t="n"/>
      <c r="K164" s="973" t="n"/>
      <c r="L164" s="973" t="n"/>
      <c r="M164" s="973" t="n"/>
      <c r="N164" s="973" t="n"/>
      <c r="O164" s="973" t="n"/>
      <c r="P164" s="973" t="n"/>
    </row>
    <row r="165">
      <c r="A165" s="973" t="n"/>
      <c r="B165" s="973" t="n"/>
      <c r="C165" s="973" t="n"/>
      <c r="D165" s="973" t="n"/>
      <c r="E165" s="973" t="n"/>
      <c r="F165" s="973" t="n"/>
      <c r="G165" s="973" t="n"/>
      <c r="H165" s="973" t="n"/>
      <c r="I165" s="973" t="n"/>
      <c r="J165" s="973" t="n"/>
      <c r="K165" s="973" t="n"/>
      <c r="L165" s="973" t="n"/>
      <c r="M165" s="973" t="n"/>
      <c r="N165" s="973" t="n"/>
      <c r="O165" s="973" t="n"/>
      <c r="P165" s="973" t="n"/>
    </row>
    <row r="166">
      <c r="A166" s="973" t="n"/>
      <c r="B166" s="973" t="n"/>
      <c r="C166" s="973" t="n"/>
      <c r="D166" s="973" t="n"/>
      <c r="E166" s="973" t="n"/>
      <c r="F166" s="973" t="n"/>
      <c r="G166" s="973" t="n"/>
      <c r="H166" s="973" t="n"/>
      <c r="I166" s="973" t="n"/>
      <c r="J166" s="973" t="n"/>
      <c r="K166" s="973" t="n"/>
      <c r="L166" s="973" t="n"/>
      <c r="M166" s="973" t="n"/>
      <c r="N166" s="973" t="n"/>
      <c r="O166" s="973" t="n"/>
      <c r="P166" s="973" t="n"/>
    </row>
    <row r="167">
      <c r="A167" s="973" t="n"/>
      <c r="B167" s="973" t="n"/>
      <c r="C167" s="973" t="n"/>
      <c r="D167" s="973" t="n"/>
      <c r="E167" s="973" t="n"/>
      <c r="F167" s="973" t="n"/>
      <c r="G167" s="973" t="n"/>
      <c r="H167" s="973" t="n"/>
      <c r="I167" s="973" t="n"/>
      <c r="J167" s="973" t="n"/>
      <c r="K167" s="973" t="n"/>
      <c r="L167" s="973" t="n"/>
      <c r="M167" s="973" t="n"/>
      <c r="N167" s="973" t="n"/>
      <c r="O167" s="973" t="n"/>
      <c r="P167" s="973" t="n"/>
    </row>
    <row r="168">
      <c r="A168" s="973" t="n"/>
      <c r="B168" s="973" t="n"/>
      <c r="C168" s="973" t="n"/>
      <c r="D168" s="973" t="n"/>
      <c r="E168" s="973" t="n"/>
      <c r="F168" s="973" t="n"/>
      <c r="G168" s="973" t="n"/>
      <c r="H168" s="973" t="n"/>
      <c r="I168" s="973" t="n"/>
      <c r="J168" s="973" t="n"/>
      <c r="K168" s="973" t="n"/>
      <c r="L168" s="973" t="n"/>
      <c r="M168" s="973" t="n"/>
      <c r="N168" s="973" t="n"/>
      <c r="O168" s="973" t="n"/>
      <c r="P168" s="973" t="n"/>
    </row>
    <row r="169">
      <c r="A169" s="973" t="n"/>
      <c r="B169" s="973" t="n"/>
      <c r="C169" s="973" t="n"/>
      <c r="D169" s="973" t="n"/>
      <c r="E169" s="973" t="n"/>
      <c r="F169" s="973" t="n"/>
      <c r="G169" s="973" t="n"/>
      <c r="H169" s="973" t="n"/>
      <c r="I169" s="973" t="n"/>
      <c r="J169" s="973" t="n"/>
      <c r="K169" s="973" t="n"/>
      <c r="L169" s="973" t="n"/>
      <c r="M169" s="973" t="n"/>
      <c r="N169" s="973" t="n"/>
      <c r="O169" s="973" t="n"/>
      <c r="P169" s="973" t="n"/>
    </row>
    <row r="170">
      <c r="A170" s="973" t="n"/>
      <c r="B170" s="973" t="n"/>
      <c r="C170" s="973" t="n"/>
      <c r="D170" s="973" t="n"/>
      <c r="E170" s="973" t="n"/>
      <c r="F170" s="973" t="n"/>
      <c r="G170" s="973" t="n"/>
      <c r="H170" s="973" t="n"/>
      <c r="I170" s="973" t="n"/>
      <c r="J170" s="973" t="n"/>
      <c r="K170" s="973" t="n"/>
      <c r="L170" s="973" t="n"/>
      <c r="M170" s="973" t="n"/>
      <c r="N170" s="973" t="n"/>
      <c r="O170" s="973" t="n"/>
      <c r="P170" s="973" t="n"/>
    </row>
    <row r="171">
      <c r="A171" s="973" t="n"/>
      <c r="B171" s="973" t="n"/>
      <c r="C171" s="973" t="n"/>
      <c r="D171" s="973" t="n"/>
      <c r="E171" s="973" t="n"/>
      <c r="F171" s="973" t="n"/>
      <c r="G171" s="973" t="n"/>
      <c r="H171" s="973" t="n"/>
      <c r="I171" s="973" t="n"/>
      <c r="J171" s="973" t="n"/>
      <c r="K171" s="973" t="n"/>
      <c r="L171" s="973" t="n"/>
      <c r="M171" s="973" t="n"/>
      <c r="N171" s="973" t="n"/>
      <c r="O171" s="973" t="n"/>
      <c r="P171" s="973" t="n"/>
    </row>
    <row r="172">
      <c r="A172" s="973" t="n"/>
      <c r="B172" s="973" t="n"/>
      <c r="C172" s="973" t="n"/>
      <c r="D172" s="973" t="n"/>
      <c r="E172" s="973" t="n"/>
      <c r="F172" s="973" t="n"/>
      <c r="G172" s="973" t="n"/>
      <c r="H172" s="973" t="n"/>
      <c r="I172" s="973" t="n"/>
      <c r="J172" s="973" t="n"/>
      <c r="K172" s="973" t="n"/>
      <c r="L172" s="973" t="n"/>
      <c r="M172" s="973" t="n"/>
      <c r="N172" s="973" t="n"/>
      <c r="O172" s="973" t="n"/>
      <c r="P172" s="973" t="n"/>
    </row>
    <row r="173">
      <c r="A173" s="973" t="n"/>
      <c r="B173" s="973" t="n"/>
      <c r="C173" s="973" t="n"/>
      <c r="D173" s="973" t="n"/>
      <c r="E173" s="973" t="n"/>
      <c r="F173" s="973" t="n"/>
      <c r="G173" s="973" t="n"/>
      <c r="H173" s="973" t="n"/>
      <c r="I173" s="973" t="n"/>
      <c r="J173" s="973" t="n"/>
      <c r="K173" s="973" t="n"/>
      <c r="L173" s="973" t="n"/>
      <c r="M173" s="973" t="n"/>
      <c r="N173" s="973" t="n"/>
      <c r="O173" s="973" t="n"/>
      <c r="P173" s="973" t="n"/>
    </row>
    <row r="174">
      <c r="A174" s="973" t="n"/>
      <c r="B174" s="973" t="n"/>
      <c r="C174" s="973" t="n"/>
      <c r="D174" s="973" t="n"/>
      <c r="E174" s="973" t="n"/>
      <c r="F174" s="973" t="n"/>
      <c r="G174" s="973" t="n"/>
      <c r="H174" s="973" t="n"/>
      <c r="I174" s="973" t="n"/>
      <c r="J174" s="973" t="n"/>
      <c r="K174" s="973" t="n"/>
      <c r="L174" s="973" t="n"/>
      <c r="M174" s="973" t="n"/>
      <c r="N174" s="973" t="n"/>
      <c r="O174" s="973" t="n"/>
      <c r="P174" s="973" t="n"/>
    </row>
    <row r="175">
      <c r="A175" s="973" t="n"/>
      <c r="B175" s="973" t="n"/>
      <c r="C175" s="973" t="n"/>
      <c r="D175" s="973" t="n"/>
      <c r="E175" s="973" t="n"/>
      <c r="F175" s="973" t="n"/>
      <c r="G175" s="973" t="n"/>
      <c r="H175" s="973" t="n"/>
      <c r="I175" s="973" t="n"/>
      <c r="J175" s="973" t="n"/>
      <c r="K175" s="973" t="n"/>
      <c r="L175" s="973" t="n"/>
      <c r="M175" s="973" t="n"/>
      <c r="N175" s="973" t="n"/>
      <c r="O175" s="973" t="n"/>
      <c r="P175" s="973" t="n"/>
    </row>
    <row r="176">
      <c r="A176" s="973" t="n"/>
      <c r="B176" s="973" t="n"/>
      <c r="C176" s="973" t="n"/>
      <c r="D176" s="973" t="n"/>
      <c r="E176" s="973" t="n"/>
      <c r="F176" s="973" t="n"/>
      <c r="G176" s="973" t="n"/>
      <c r="H176" s="973" t="n"/>
      <c r="I176" s="973" t="n"/>
      <c r="J176" s="973" t="n"/>
      <c r="K176" s="973" t="n"/>
      <c r="L176" s="973" t="n"/>
      <c r="M176" s="973" t="n"/>
      <c r="N176" s="973" t="n"/>
      <c r="O176" s="973" t="n"/>
      <c r="P176" s="973" t="n"/>
    </row>
    <row r="177">
      <c r="A177" s="973" t="n"/>
      <c r="B177" s="973" t="n"/>
      <c r="C177" s="973" t="n"/>
      <c r="D177" s="973" t="n"/>
      <c r="E177" s="973" t="n"/>
      <c r="F177" s="973" t="n"/>
      <c r="G177" s="973" t="n"/>
      <c r="H177" s="973" t="n"/>
      <c r="I177" s="973" t="n"/>
      <c r="J177" s="973" t="n"/>
      <c r="K177" s="973" t="n"/>
      <c r="L177" s="973" t="n"/>
      <c r="M177" s="973" t="n"/>
      <c r="N177" s="973" t="n"/>
      <c r="O177" s="973" t="n"/>
      <c r="P177" s="973" t="n"/>
    </row>
    <row r="178">
      <c r="A178" s="973" t="n"/>
      <c r="B178" s="973" t="n"/>
      <c r="C178" s="973" t="n"/>
      <c r="D178" s="973" t="n"/>
      <c r="E178" s="973" t="n"/>
      <c r="F178" s="973" t="n"/>
      <c r="G178" s="973" t="n"/>
      <c r="H178" s="973" t="n"/>
      <c r="I178" s="973" t="n"/>
      <c r="J178" s="973" t="n"/>
      <c r="K178" s="973" t="n"/>
      <c r="L178" s="973" t="n"/>
      <c r="M178" s="973" t="n"/>
      <c r="N178" s="973" t="n"/>
      <c r="O178" s="973" t="n"/>
      <c r="P178" s="973" t="n"/>
    </row>
    <row r="179">
      <c r="A179" s="973" t="n"/>
      <c r="B179" s="973" t="n"/>
      <c r="C179" s="973" t="n"/>
      <c r="D179" s="973" t="n"/>
      <c r="E179" s="973" t="n"/>
      <c r="F179" s="973" t="n"/>
      <c r="G179" s="973" t="n"/>
      <c r="H179" s="973" t="n"/>
      <c r="I179" s="973" t="n"/>
      <c r="J179" s="973" t="n"/>
      <c r="K179" s="973" t="n"/>
      <c r="L179" s="973" t="n"/>
      <c r="M179" s="973" t="n"/>
      <c r="N179" s="973" t="n"/>
      <c r="O179" s="973" t="n"/>
      <c r="P179" s="973" t="n"/>
    </row>
    <row r="180">
      <c r="A180" s="973" t="n"/>
      <c r="B180" s="973" t="n"/>
      <c r="C180" s="973" t="n"/>
      <c r="D180" s="973" t="n"/>
      <c r="E180" s="973" t="n"/>
      <c r="F180" s="973" t="n"/>
      <c r="G180" s="973" t="n"/>
      <c r="H180" s="973" t="n"/>
      <c r="I180" s="973" t="n"/>
      <c r="J180" s="973" t="n"/>
      <c r="K180" s="973" t="n"/>
      <c r="L180" s="973" t="n"/>
      <c r="M180" s="973" t="n"/>
      <c r="N180" s="973" t="n"/>
      <c r="O180" s="973" t="n"/>
      <c r="P180" s="973" t="n"/>
    </row>
    <row r="181">
      <c r="A181" s="973" t="n"/>
      <c r="B181" s="973" t="n"/>
      <c r="C181" s="973" t="n"/>
      <c r="D181" s="973" t="n"/>
      <c r="E181" s="973" t="n"/>
      <c r="F181" s="973" t="n"/>
      <c r="G181" s="973" t="n"/>
      <c r="H181" s="973" t="n"/>
      <c r="I181" s="973" t="n"/>
      <c r="J181" s="973" t="n"/>
      <c r="K181" s="973" t="n"/>
      <c r="L181" s="973" t="n"/>
      <c r="M181" s="973" t="n"/>
      <c r="N181" s="973" t="n"/>
      <c r="O181" s="973" t="n"/>
      <c r="P181" s="973" t="n"/>
    </row>
    <row r="182">
      <c r="A182" s="973" t="n"/>
      <c r="B182" s="973" t="n"/>
      <c r="C182" s="973" t="n"/>
      <c r="D182" s="973" t="n"/>
      <c r="E182" s="973" t="n"/>
      <c r="F182" s="973" t="n"/>
      <c r="G182" s="973" t="n"/>
      <c r="H182" s="973" t="n"/>
      <c r="I182" s="973" t="n"/>
      <c r="J182" s="973" t="n"/>
      <c r="K182" s="973" t="n"/>
      <c r="L182" s="973" t="n"/>
      <c r="M182" s="973" t="n"/>
      <c r="N182" s="973" t="n"/>
      <c r="O182" s="973" t="n"/>
      <c r="P182" s="973" t="n"/>
    </row>
    <row r="183">
      <c r="A183" s="973" t="n"/>
      <c r="B183" s="973" t="n"/>
      <c r="C183" s="973" t="n"/>
      <c r="D183" s="973" t="n"/>
      <c r="E183" s="973" t="n"/>
      <c r="F183" s="973" t="n"/>
      <c r="G183" s="973" t="n"/>
      <c r="H183" s="973" t="n"/>
      <c r="I183" s="973" t="n"/>
      <c r="J183" s="973" t="n"/>
      <c r="K183" s="973" t="n"/>
      <c r="L183" s="973" t="n"/>
      <c r="M183" s="973" t="n"/>
      <c r="N183" s="973" t="n"/>
      <c r="O183" s="973" t="n"/>
      <c r="P183" s="973" t="n"/>
    </row>
    <row r="184">
      <c r="A184" s="973" t="n"/>
      <c r="B184" s="973" t="n"/>
      <c r="C184" s="973" t="n"/>
      <c r="D184" s="973" t="n"/>
      <c r="E184" s="973" t="n"/>
      <c r="F184" s="973" t="n"/>
      <c r="G184" s="973" t="n"/>
      <c r="H184" s="973" t="n"/>
      <c r="I184" s="973" t="n"/>
      <c r="J184" s="973" t="n"/>
      <c r="K184" s="973" t="n"/>
      <c r="L184" s="973" t="n"/>
      <c r="M184" s="973" t="n"/>
      <c r="N184" s="973" t="n"/>
      <c r="O184" s="973" t="n"/>
      <c r="P184" s="973" t="n"/>
    </row>
    <row r="185">
      <c r="A185" s="973" t="n"/>
      <c r="B185" s="973" t="n"/>
      <c r="C185" s="973" t="n"/>
      <c r="D185" s="973" t="n"/>
      <c r="E185" s="973" t="n"/>
      <c r="F185" s="973" t="n"/>
      <c r="G185" s="973" t="n"/>
      <c r="H185" s="973" t="n"/>
      <c r="I185" s="973" t="n"/>
      <c r="J185" s="973" t="n"/>
      <c r="K185" s="973" t="n"/>
      <c r="L185" s="973" t="n"/>
      <c r="M185" s="973" t="n"/>
      <c r="N185" s="973" t="n"/>
      <c r="O185" s="973" t="n"/>
      <c r="P185" s="973" t="n"/>
    </row>
    <row r="186">
      <c r="A186" s="973" t="n"/>
      <c r="B186" s="973" t="n"/>
      <c r="C186" s="973" t="n"/>
      <c r="D186" s="973" t="n"/>
      <c r="E186" s="973" t="n"/>
      <c r="F186" s="973" t="n"/>
      <c r="G186" s="973" t="n"/>
      <c r="H186" s="973" t="n"/>
      <c r="I186" s="973" t="n"/>
      <c r="J186" s="973" t="n"/>
      <c r="K186" s="973" t="n"/>
      <c r="L186" s="973" t="n"/>
      <c r="M186" s="973" t="n"/>
      <c r="N186" s="973" t="n"/>
      <c r="O186" s="973" t="n"/>
      <c r="P186" s="973" t="n"/>
    </row>
    <row r="187">
      <c r="A187" s="973" t="n"/>
      <c r="B187" s="973" t="n"/>
      <c r="C187" s="973" t="n"/>
      <c r="D187" s="973" t="n"/>
      <c r="E187" s="973" t="n"/>
      <c r="F187" s="973" t="n"/>
      <c r="G187" s="973" t="n"/>
      <c r="H187" s="973" t="n"/>
      <c r="I187" s="973" t="n"/>
      <c r="J187" s="973" t="n"/>
      <c r="K187" s="973" t="n"/>
      <c r="L187" s="973" t="n"/>
      <c r="M187" s="973" t="n"/>
      <c r="N187" s="973" t="n"/>
      <c r="O187" s="973" t="n"/>
      <c r="P187" s="973" t="n"/>
    </row>
    <row r="188">
      <c r="A188" s="973" t="n"/>
      <c r="B188" s="973" t="n"/>
      <c r="C188" s="973" t="n"/>
      <c r="D188" s="973" t="n"/>
      <c r="E188" s="973" t="n"/>
      <c r="F188" s="973" t="n"/>
      <c r="G188" s="973" t="n"/>
      <c r="H188" s="973" t="n"/>
      <c r="I188" s="973" t="n"/>
      <c r="J188" s="973" t="n"/>
      <c r="K188" s="973" t="n"/>
      <c r="L188" s="973" t="n"/>
      <c r="M188" s="973" t="n"/>
      <c r="N188" s="973" t="n"/>
      <c r="O188" s="973" t="n"/>
      <c r="P188" s="973" t="n"/>
    </row>
    <row r="189">
      <c r="A189" s="973" t="n"/>
      <c r="B189" s="973" t="n"/>
      <c r="C189" s="973" t="n"/>
      <c r="D189" s="973" t="n"/>
      <c r="E189" s="973" t="n"/>
      <c r="F189" s="973" t="n"/>
      <c r="G189" s="973" t="n"/>
      <c r="H189" s="973" t="n"/>
      <c r="I189" s="973" t="n"/>
      <c r="J189" s="973" t="n"/>
      <c r="K189" s="973" t="n"/>
      <c r="L189" s="973" t="n"/>
      <c r="M189" s="973" t="n"/>
      <c r="N189" s="973" t="n"/>
      <c r="O189" s="973" t="n"/>
      <c r="P189" s="973" t="n"/>
    </row>
    <row r="190">
      <c r="A190" s="973" t="n"/>
      <c r="B190" s="973" t="n"/>
      <c r="C190" s="973" t="n"/>
      <c r="D190" s="973" t="n"/>
      <c r="E190" s="973" t="n"/>
      <c r="F190" s="973" t="n"/>
      <c r="G190" s="973" t="n"/>
      <c r="H190" s="973" t="n"/>
      <c r="I190" s="973" t="n"/>
      <c r="J190" s="973" t="n"/>
      <c r="K190" s="973" t="n"/>
      <c r="L190" s="973" t="n"/>
      <c r="M190" s="973" t="n"/>
      <c r="N190" s="973" t="n"/>
      <c r="O190" s="973" t="n"/>
      <c r="P190" s="973" t="n"/>
    </row>
    <row r="191">
      <c r="A191" s="973" t="n"/>
      <c r="B191" s="973" t="n"/>
      <c r="C191" s="973" t="n"/>
      <c r="D191" s="973" t="n"/>
      <c r="E191" s="973" t="n"/>
      <c r="F191" s="973" t="n"/>
      <c r="G191" s="973" t="n"/>
      <c r="H191" s="973" t="n"/>
      <c r="I191" s="973" t="n"/>
      <c r="J191" s="973" t="n"/>
      <c r="K191" s="973" t="n"/>
      <c r="L191" s="973" t="n"/>
      <c r="M191" s="973" t="n"/>
      <c r="N191" s="973" t="n"/>
      <c r="O191" s="973" t="n"/>
      <c r="P191" s="973" t="n"/>
    </row>
    <row r="192">
      <c r="A192" s="973" t="n"/>
      <c r="B192" s="973" t="n"/>
      <c r="C192" s="973" t="n"/>
      <c r="D192" s="973" t="n"/>
      <c r="E192" s="973" t="n"/>
      <c r="F192" s="973" t="n"/>
      <c r="G192" s="973" t="n"/>
      <c r="H192" s="973" t="n"/>
      <c r="I192" s="973" t="n"/>
      <c r="J192" s="973" t="n"/>
      <c r="K192" s="973" t="n"/>
      <c r="L192" s="973" t="n"/>
      <c r="M192" s="973" t="n"/>
      <c r="N192" s="973" t="n"/>
      <c r="O192" s="973" t="n"/>
      <c r="P192" s="973" t="n"/>
    </row>
    <row r="193">
      <c r="A193" s="973" t="n"/>
      <c r="B193" s="973" t="n"/>
      <c r="C193" s="973" t="n"/>
      <c r="D193" s="973" t="n"/>
      <c r="E193" s="973" t="n"/>
      <c r="F193" s="973" t="n"/>
      <c r="G193" s="973" t="n"/>
      <c r="H193" s="973" t="n"/>
      <c r="I193" s="973" t="n"/>
      <c r="J193" s="973" t="n"/>
      <c r="K193" s="973" t="n"/>
      <c r="L193" s="973" t="n"/>
      <c r="M193" s="973" t="n"/>
      <c r="N193" s="973" t="n"/>
      <c r="O193" s="973" t="n"/>
      <c r="P193" s="973" t="n"/>
    </row>
    <row r="194">
      <c r="A194" s="973" t="n"/>
      <c r="B194" s="973" t="n"/>
      <c r="C194" s="973" t="n"/>
      <c r="D194" s="973" t="n"/>
      <c r="E194" s="973" t="n"/>
      <c r="F194" s="973" t="n"/>
      <c r="G194" s="973" t="n"/>
      <c r="H194" s="973" t="n"/>
      <c r="I194" s="973" t="n"/>
      <c r="J194" s="973" t="n"/>
      <c r="K194" s="973" t="n"/>
      <c r="L194" s="973" t="n"/>
      <c r="M194" s="973" t="n"/>
      <c r="N194" s="973" t="n"/>
      <c r="O194" s="973" t="n"/>
      <c r="P194" s="973" t="n"/>
    </row>
    <row r="195">
      <c r="A195" s="973" t="n"/>
      <c r="B195" s="973" t="n"/>
      <c r="C195" s="973" t="n"/>
      <c r="D195" s="973" t="n"/>
      <c r="E195" s="973" t="n"/>
      <c r="F195" s="973" t="n"/>
      <c r="G195" s="973" t="n"/>
      <c r="H195" s="973" t="n"/>
      <c r="I195" s="973" t="n"/>
      <c r="J195" s="973" t="n"/>
      <c r="K195" s="973" t="n"/>
      <c r="L195" s="973" t="n"/>
      <c r="M195" s="973" t="n"/>
      <c r="N195" s="973" t="n"/>
      <c r="O195" s="973" t="n"/>
      <c r="P195" s="973" t="n"/>
    </row>
    <row r="196">
      <c r="A196" s="973" t="n"/>
      <c r="B196" s="973" t="n"/>
      <c r="C196" s="973" t="n"/>
      <c r="D196" s="973" t="n"/>
      <c r="E196" s="973" t="n"/>
      <c r="F196" s="973" t="n"/>
      <c r="G196" s="973" t="n"/>
      <c r="H196" s="973" t="n"/>
      <c r="I196" s="973" t="n"/>
      <c r="J196" s="973" t="n"/>
      <c r="K196" s="973" t="n"/>
      <c r="L196" s="973" t="n"/>
      <c r="M196" s="973" t="n"/>
      <c r="N196" s="973" t="n"/>
      <c r="O196" s="973" t="n"/>
      <c r="P196" s="973" t="n"/>
    </row>
    <row r="197">
      <c r="A197" s="973" t="n"/>
      <c r="B197" s="973" t="n"/>
      <c r="C197" s="973" t="n"/>
      <c r="D197" s="973" t="n"/>
      <c r="E197" s="973" t="n"/>
      <c r="F197" s="973" t="n"/>
      <c r="G197" s="973" t="n"/>
      <c r="H197" s="973" t="n"/>
      <c r="I197" s="973" t="n"/>
      <c r="J197" s="973" t="n"/>
      <c r="K197" s="973" t="n"/>
      <c r="L197" s="973" t="n"/>
      <c r="M197" s="973" t="n"/>
      <c r="N197" s="973" t="n"/>
      <c r="O197" s="973" t="n"/>
      <c r="P197" s="973" t="n"/>
    </row>
    <row r="198">
      <c r="A198" s="973" t="n"/>
      <c r="B198" s="973" t="n"/>
      <c r="C198" s="973" t="n"/>
      <c r="D198" s="973" t="n"/>
      <c r="E198" s="973" t="n"/>
      <c r="F198" s="973" t="n"/>
      <c r="G198" s="973" t="n"/>
      <c r="H198" s="973" t="n"/>
      <c r="I198" s="973" t="n"/>
      <c r="J198" s="973" t="n"/>
      <c r="K198" s="973" t="n"/>
      <c r="L198" s="973" t="n"/>
      <c r="M198" s="973" t="n"/>
      <c r="N198" s="973" t="n"/>
      <c r="O198" s="973" t="n"/>
      <c r="P198" s="973" t="n"/>
    </row>
    <row r="199">
      <c r="A199" s="973" t="n"/>
      <c r="B199" s="973" t="n"/>
      <c r="C199" s="973" t="n"/>
      <c r="D199" s="973" t="n"/>
      <c r="E199" s="973" t="n"/>
      <c r="F199" s="973" t="n"/>
      <c r="G199" s="973" t="n"/>
      <c r="H199" s="973" t="n"/>
      <c r="I199" s="973" t="n"/>
      <c r="J199" s="973" t="n"/>
      <c r="K199" s="973" t="n"/>
      <c r="L199" s="973" t="n"/>
      <c r="M199" s="973" t="n"/>
      <c r="N199" s="973" t="n"/>
      <c r="O199" s="973" t="n"/>
      <c r="P199" s="973" t="n"/>
    </row>
    <row r="200">
      <c r="A200" s="973" t="n"/>
      <c r="B200" s="973" t="n"/>
      <c r="C200" s="973" t="n"/>
      <c r="D200" s="973" t="n"/>
      <c r="E200" s="973" t="n"/>
      <c r="F200" s="973" t="n"/>
      <c r="G200" s="973" t="n"/>
      <c r="H200" s="973" t="n"/>
      <c r="I200" s="973" t="n"/>
      <c r="J200" s="973" t="n"/>
      <c r="K200" s="973" t="n"/>
      <c r="L200" s="973" t="n"/>
      <c r="M200" s="973" t="n"/>
      <c r="N200" s="973" t="n"/>
      <c r="O200" s="973" t="n"/>
      <c r="P200" s="973" t="n"/>
    </row>
    <row r="201">
      <c r="A201" s="973" t="n"/>
      <c r="B201" s="973" t="n"/>
      <c r="C201" s="973" t="n"/>
      <c r="D201" s="973" t="n"/>
      <c r="E201" s="973" t="n"/>
      <c r="F201" s="973" t="n"/>
      <c r="G201" s="973" t="n"/>
      <c r="H201" s="973" t="n"/>
      <c r="I201" s="973" t="n"/>
      <c r="J201" s="973" t="n"/>
      <c r="K201" s="973" t="n"/>
      <c r="L201" s="973" t="n"/>
      <c r="M201" s="973" t="n"/>
      <c r="N201" s="973" t="n"/>
      <c r="O201" s="973" t="n"/>
      <c r="P201" s="973" t="n"/>
    </row>
    <row r="202">
      <c r="A202" s="973" t="n"/>
      <c r="B202" s="973" t="n"/>
      <c r="C202" s="973" t="n"/>
      <c r="D202" s="973" t="n"/>
      <c r="E202" s="973" t="n"/>
      <c r="F202" s="973" t="n"/>
      <c r="G202" s="973" t="n"/>
      <c r="H202" s="973" t="n"/>
      <c r="I202" s="973" t="n"/>
      <c r="J202" s="973" t="n"/>
      <c r="K202" s="973" t="n"/>
      <c r="L202" s="973" t="n"/>
      <c r="M202" s="973" t="n"/>
      <c r="N202" s="973" t="n"/>
      <c r="O202" s="973" t="n"/>
      <c r="P202" s="973" t="n"/>
    </row>
    <row r="203">
      <c r="A203" s="973" t="n"/>
      <c r="B203" s="973" t="n"/>
      <c r="C203" s="973" t="n"/>
      <c r="D203" s="973" t="n"/>
      <c r="E203" s="973" t="n"/>
      <c r="F203" s="973" t="n"/>
      <c r="G203" s="973" t="n"/>
      <c r="H203" s="973" t="n"/>
      <c r="I203" s="973" t="n"/>
      <c r="J203" s="973" t="n"/>
      <c r="K203" s="973" t="n"/>
      <c r="L203" s="973" t="n"/>
      <c r="M203" s="973" t="n"/>
      <c r="N203" s="973" t="n"/>
      <c r="O203" s="973" t="n"/>
      <c r="P203" s="973" t="n"/>
    </row>
    <row r="204">
      <c r="A204" s="973" t="n"/>
      <c r="B204" s="973" t="n"/>
      <c r="C204" s="973" t="n"/>
      <c r="D204" s="973" t="n"/>
      <c r="E204" s="973" t="n"/>
      <c r="F204" s="973" t="n"/>
      <c r="G204" s="973" t="n"/>
      <c r="H204" s="973" t="n"/>
      <c r="I204" s="973" t="n"/>
      <c r="J204" s="973" t="n"/>
      <c r="K204" s="973" t="n"/>
      <c r="L204" s="973" t="n"/>
      <c r="M204" s="973" t="n"/>
      <c r="N204" s="973" t="n"/>
      <c r="O204" s="973" t="n"/>
      <c r="P204" s="973" t="n"/>
    </row>
    <row r="205">
      <c r="A205" s="973" t="n"/>
      <c r="B205" s="973" t="n"/>
      <c r="C205" s="973" t="n"/>
      <c r="D205" s="973" t="n"/>
      <c r="E205" s="973" t="n"/>
      <c r="F205" s="973" t="n"/>
      <c r="G205" s="973" t="n"/>
      <c r="H205" s="973" t="n"/>
      <c r="I205" s="973" t="n"/>
      <c r="J205" s="973" t="n"/>
      <c r="K205" s="973" t="n"/>
      <c r="L205" s="973" t="n"/>
      <c r="M205" s="973" t="n"/>
      <c r="N205" s="973" t="n"/>
      <c r="O205" s="973" t="n"/>
      <c r="P205" s="973" t="n"/>
    </row>
    <row r="206">
      <c r="A206" s="973" t="n"/>
      <c r="B206" s="973" t="n"/>
      <c r="C206" s="973" t="n"/>
      <c r="D206" s="973" t="n"/>
      <c r="E206" s="973" t="n"/>
      <c r="F206" s="973" t="n"/>
      <c r="G206" s="973" t="n"/>
      <c r="H206" s="973" t="n"/>
      <c r="I206" s="973" t="n"/>
      <c r="J206" s="973" t="n"/>
      <c r="K206" s="973" t="n"/>
      <c r="L206" s="973" t="n"/>
      <c r="M206" s="973" t="n"/>
      <c r="N206" s="973" t="n"/>
      <c r="O206" s="973" t="n"/>
      <c r="P206" s="973" t="n"/>
    </row>
    <row r="207">
      <c r="A207" s="973" t="n"/>
      <c r="B207" s="973" t="n"/>
      <c r="C207" s="973" t="n"/>
      <c r="D207" s="973" t="n"/>
      <c r="E207" s="973" t="n"/>
      <c r="F207" s="973" t="n"/>
      <c r="G207" s="973" t="n"/>
      <c r="H207" s="973" t="n"/>
      <c r="I207" s="973" t="n"/>
      <c r="J207" s="973" t="n"/>
      <c r="K207" s="973" t="n"/>
      <c r="L207" s="973" t="n"/>
      <c r="M207" s="973" t="n"/>
      <c r="N207" s="973" t="n"/>
      <c r="O207" s="973" t="n"/>
      <c r="P207" s="973" t="n"/>
    </row>
    <row r="208">
      <c r="A208" s="973" t="n"/>
      <c r="B208" s="973" t="n"/>
      <c r="C208" s="973" t="n"/>
      <c r="D208" s="973" t="n"/>
      <c r="E208" s="973" t="n"/>
      <c r="F208" s="973" t="n"/>
      <c r="G208" s="973" t="n"/>
      <c r="H208" s="973" t="n"/>
      <c r="I208" s="973" t="n"/>
      <c r="J208" s="973" t="n"/>
      <c r="K208" s="973" t="n"/>
      <c r="L208" s="973" t="n"/>
      <c r="M208" s="973" t="n"/>
      <c r="N208" s="973" t="n"/>
      <c r="O208" s="973" t="n"/>
      <c r="P208" s="973" t="n"/>
    </row>
    <row r="209">
      <c r="A209" s="973" t="n"/>
      <c r="B209" s="973" t="n"/>
      <c r="C209" s="973" t="n"/>
      <c r="D209" s="973" t="n"/>
      <c r="E209" s="973" t="n"/>
      <c r="F209" s="973" t="n"/>
      <c r="G209" s="973" t="n"/>
      <c r="H209" s="973" t="n"/>
      <c r="I209" s="973" t="n"/>
      <c r="J209" s="973" t="n"/>
      <c r="K209" s="973" t="n"/>
      <c r="L209" s="973" t="n"/>
      <c r="M209" s="973" t="n"/>
      <c r="N209" s="973" t="n"/>
      <c r="O209" s="973" t="n"/>
      <c r="P209" s="973" t="n"/>
    </row>
    <row r="210">
      <c r="A210" s="973" t="n"/>
      <c r="B210" s="973" t="n"/>
      <c r="C210" s="973" t="n"/>
      <c r="D210" s="973" t="n"/>
      <c r="E210" s="973" t="n"/>
      <c r="F210" s="973" t="n"/>
      <c r="G210" s="973" t="n"/>
      <c r="H210" s="973" t="n"/>
      <c r="I210" s="973" t="n"/>
      <c r="J210" s="973" t="n"/>
      <c r="K210" s="973" t="n"/>
      <c r="L210" s="973" t="n"/>
      <c r="M210" s="973" t="n"/>
      <c r="N210" s="973" t="n"/>
      <c r="O210" s="973" t="n"/>
      <c r="P210" s="973" t="n"/>
    </row>
    <row r="211">
      <c r="A211" s="973" t="n"/>
      <c r="B211" s="973" t="n"/>
      <c r="C211" s="973" t="n"/>
      <c r="D211" s="973" t="n"/>
      <c r="E211" s="973" t="n"/>
      <c r="F211" s="973" t="n"/>
      <c r="G211" s="973" t="n"/>
      <c r="H211" s="973" t="n"/>
      <c r="I211" s="973" t="n"/>
      <c r="J211" s="973" t="n"/>
      <c r="K211" s="973" t="n"/>
      <c r="L211" s="973" t="n"/>
      <c r="M211" s="973" t="n"/>
      <c r="N211" s="973" t="n"/>
      <c r="O211" s="973" t="n"/>
      <c r="P211" s="973" t="n"/>
    </row>
    <row r="212">
      <c r="A212" s="973" t="n"/>
      <c r="B212" s="973" t="n"/>
      <c r="C212" s="973" t="n"/>
      <c r="D212" s="973" t="n"/>
      <c r="E212" s="973" t="n"/>
      <c r="F212" s="973" t="n"/>
      <c r="G212" s="973" t="n"/>
      <c r="H212" s="973" t="n"/>
      <c r="I212" s="973" t="n"/>
      <c r="J212" s="973" t="n"/>
      <c r="K212" s="973" t="n"/>
      <c r="L212" s="973" t="n"/>
      <c r="M212" s="973" t="n"/>
      <c r="N212" s="973" t="n"/>
      <c r="O212" s="973" t="n"/>
      <c r="P212" s="973" t="n"/>
    </row>
    <row r="213">
      <c r="A213" s="973" t="n"/>
      <c r="B213" s="973" t="n"/>
      <c r="C213" s="973" t="n"/>
      <c r="D213" s="973" t="n"/>
      <c r="E213" s="973" t="n"/>
      <c r="F213" s="973" t="n"/>
      <c r="G213" s="973" t="n"/>
      <c r="H213" s="973" t="n"/>
      <c r="I213" s="973" t="n"/>
      <c r="J213" s="973" t="n"/>
      <c r="K213" s="973" t="n"/>
      <c r="L213" s="973" t="n"/>
      <c r="M213" s="973" t="n"/>
      <c r="N213" s="973" t="n"/>
      <c r="O213" s="973" t="n"/>
      <c r="P213" s="973" t="n"/>
    </row>
    <row r="214">
      <c r="A214" s="973" t="n"/>
      <c r="B214" s="973" t="n"/>
      <c r="C214" s="973" t="n"/>
      <c r="D214" s="973" t="n"/>
      <c r="E214" s="973" t="n"/>
      <c r="F214" s="973" t="n"/>
      <c r="G214" s="973" t="n"/>
      <c r="H214" s="973" t="n"/>
      <c r="I214" s="973" t="n"/>
      <c r="J214" s="973" t="n"/>
      <c r="K214" s="973" t="n"/>
      <c r="L214" s="973" t="n"/>
      <c r="M214" s="973" t="n"/>
      <c r="N214" s="973" t="n"/>
      <c r="O214" s="973" t="n"/>
      <c r="P214" s="973" t="n"/>
    </row>
    <row r="215">
      <c r="A215" s="973" t="n"/>
      <c r="B215" s="973" t="n"/>
      <c r="C215" s="973" t="n"/>
      <c r="D215" s="973" t="n"/>
      <c r="E215" s="973" t="n"/>
      <c r="F215" s="973" t="n"/>
      <c r="G215" s="973" t="n"/>
      <c r="H215" s="973" t="n"/>
      <c r="I215" s="973" t="n"/>
      <c r="J215" s="973" t="n"/>
      <c r="K215" s="973" t="n"/>
      <c r="L215" s="973" t="n"/>
      <c r="M215" s="973" t="n"/>
      <c r="N215" s="973" t="n"/>
      <c r="O215" s="973" t="n"/>
      <c r="P215" s="973" t="n"/>
    </row>
    <row r="216">
      <c r="A216" s="973" t="n"/>
      <c r="B216" s="973" t="n"/>
      <c r="C216" s="973" t="n"/>
      <c r="D216" s="973" t="n"/>
      <c r="E216" s="973" t="n"/>
      <c r="F216" s="973" t="n"/>
      <c r="G216" s="973" t="n"/>
      <c r="H216" s="973" t="n"/>
      <c r="I216" s="973" t="n"/>
      <c r="J216" s="973" t="n"/>
      <c r="K216" s="973" t="n"/>
      <c r="L216" s="973" t="n"/>
      <c r="M216" s="973" t="n"/>
      <c r="N216" s="973" t="n"/>
      <c r="O216" s="973" t="n"/>
      <c r="P216" s="973" t="n"/>
    </row>
    <row r="217">
      <c r="A217" s="973" t="n"/>
      <c r="B217" s="973" t="n"/>
      <c r="C217" s="973" t="n"/>
      <c r="D217" s="973" t="n"/>
      <c r="E217" s="973" t="n"/>
      <c r="F217" s="973" t="n"/>
      <c r="G217" s="973" t="n"/>
      <c r="H217" s="973" t="n"/>
      <c r="I217" s="973" t="n"/>
      <c r="J217" s="973" t="n"/>
      <c r="K217" s="973" t="n"/>
      <c r="L217" s="973" t="n"/>
      <c r="M217" s="973" t="n"/>
      <c r="N217" s="973" t="n"/>
      <c r="O217" s="973" t="n"/>
      <c r="P217" s="973" t="n"/>
    </row>
    <row r="218">
      <c r="A218" s="973" t="n"/>
      <c r="B218" s="973" t="n"/>
      <c r="C218" s="973" t="n"/>
      <c r="D218" s="973" t="n"/>
      <c r="E218" s="973" t="n"/>
      <c r="F218" s="973" t="n"/>
      <c r="G218" s="973" t="n"/>
      <c r="H218" s="973" t="n"/>
      <c r="I218" s="973" t="n"/>
      <c r="J218" s="973" t="n"/>
      <c r="K218" s="973" t="n"/>
      <c r="L218" s="973" t="n"/>
      <c r="M218" s="973" t="n"/>
      <c r="N218" s="973" t="n"/>
      <c r="O218" s="973" t="n"/>
      <c r="P218" s="973" t="n"/>
    </row>
    <row r="219">
      <c r="A219" s="973" t="n"/>
      <c r="B219" s="973" t="n"/>
      <c r="C219" s="973" t="n"/>
      <c r="D219" s="973" t="n"/>
      <c r="E219" s="973" t="n"/>
      <c r="F219" s="973" t="n"/>
      <c r="G219" s="973" t="n"/>
      <c r="H219" s="973" t="n"/>
      <c r="I219" s="973" t="n"/>
      <c r="J219" s="973" t="n"/>
      <c r="K219" s="973" t="n"/>
      <c r="L219" s="973" t="n"/>
      <c r="M219" s="973" t="n"/>
      <c r="N219" s="973" t="n"/>
      <c r="O219" s="973" t="n"/>
      <c r="P219" s="973" t="n"/>
    </row>
    <row r="220">
      <c r="A220" s="973" t="n"/>
      <c r="B220" s="973" t="n"/>
      <c r="C220" s="973" t="n"/>
      <c r="D220" s="973" t="n"/>
      <c r="E220" s="973" t="n"/>
      <c r="F220" s="973" t="n"/>
      <c r="G220" s="973" t="n"/>
      <c r="H220" s="973" t="n"/>
      <c r="I220" s="973" t="n"/>
      <c r="J220" s="973" t="n"/>
      <c r="K220" s="973" t="n"/>
      <c r="L220" s="973" t="n"/>
      <c r="M220" s="973" t="n"/>
      <c r="N220" s="973" t="n"/>
      <c r="O220" s="973" t="n"/>
      <c r="P220" s="973" t="n"/>
    </row>
    <row r="221">
      <c r="A221" s="973" t="n"/>
      <c r="B221" s="973" t="n"/>
      <c r="C221" s="973" t="n"/>
      <c r="D221" s="973" t="n"/>
      <c r="E221" s="973" t="n"/>
      <c r="F221" s="973" t="n"/>
      <c r="G221" s="973" t="n"/>
      <c r="H221" s="973" t="n"/>
      <c r="I221" s="973" t="n"/>
      <c r="J221" s="973" t="n"/>
      <c r="K221" s="973" t="n"/>
      <c r="L221" s="973" t="n"/>
      <c r="M221" s="973" t="n"/>
      <c r="N221" s="973" t="n"/>
      <c r="O221" s="973" t="n"/>
      <c r="P221" s="973" t="n"/>
    </row>
    <row r="222">
      <c r="A222" s="973" t="n"/>
      <c r="B222" s="973" t="n"/>
      <c r="C222" s="973" t="n"/>
      <c r="D222" s="973" t="n"/>
      <c r="E222" s="973" t="n"/>
      <c r="F222" s="973" t="n"/>
      <c r="G222" s="973" t="n"/>
      <c r="H222" s="973" t="n"/>
      <c r="I222" s="973" t="n"/>
      <c r="J222" s="973" t="n"/>
      <c r="K222" s="973" t="n"/>
      <c r="L222" s="973" t="n"/>
      <c r="M222" s="973" t="n"/>
      <c r="N222" s="973" t="n"/>
      <c r="O222" s="973" t="n"/>
      <c r="P222" s="973" t="n"/>
    </row>
    <row r="223">
      <c r="A223" s="973" t="n"/>
      <c r="B223" s="973" t="n"/>
      <c r="C223" s="973" t="n"/>
      <c r="D223" s="973" t="n"/>
      <c r="E223" s="973" t="n"/>
      <c r="F223" s="973" t="n"/>
      <c r="G223" s="973" t="n"/>
      <c r="H223" s="973" t="n"/>
      <c r="I223" s="973" t="n"/>
      <c r="J223" s="973" t="n"/>
      <c r="K223" s="973" t="n"/>
      <c r="L223" s="973" t="n"/>
      <c r="M223" s="973" t="n"/>
      <c r="N223" s="973" t="n"/>
      <c r="O223" s="973" t="n"/>
      <c r="P223" s="973" t="n"/>
    </row>
    <row r="224">
      <c r="A224" s="973" t="n"/>
      <c r="B224" s="973" t="n"/>
      <c r="C224" s="973" t="n"/>
      <c r="D224" s="973" t="n"/>
      <c r="E224" s="973" t="n"/>
      <c r="F224" s="973" t="n"/>
      <c r="G224" s="973" t="n"/>
      <c r="H224" s="973" t="n"/>
      <c r="I224" s="973" t="n"/>
      <c r="J224" s="973" t="n"/>
      <c r="K224" s="973" t="n"/>
      <c r="L224" s="973" t="n"/>
      <c r="M224" s="973" t="n"/>
      <c r="N224" s="973" t="n"/>
      <c r="O224" s="973" t="n"/>
      <c r="P224" s="973" t="n"/>
    </row>
    <row r="225">
      <c r="A225" s="973" t="n"/>
      <c r="B225" s="973" t="n"/>
      <c r="C225" s="973" t="n"/>
      <c r="D225" s="973" t="n"/>
      <c r="E225" s="973" t="n"/>
      <c r="F225" s="973" t="n"/>
      <c r="G225" s="973" t="n"/>
      <c r="H225" s="973" t="n"/>
      <c r="I225" s="973" t="n"/>
      <c r="J225" s="973" t="n"/>
      <c r="K225" s="973" t="n"/>
      <c r="L225" s="973" t="n"/>
      <c r="M225" s="973" t="n"/>
      <c r="N225" s="973" t="n"/>
      <c r="O225" s="973" t="n"/>
      <c r="P225" s="973" t="n"/>
    </row>
    <row r="226">
      <c r="A226" s="973" t="n"/>
      <c r="B226" s="973" t="n"/>
      <c r="C226" s="973" t="n"/>
      <c r="D226" s="973" t="n"/>
      <c r="E226" s="973" t="n"/>
      <c r="F226" s="973" t="n"/>
      <c r="G226" s="973" t="n"/>
      <c r="H226" s="973" t="n"/>
      <c r="I226" s="973" t="n"/>
      <c r="J226" s="973" t="n"/>
      <c r="K226" s="973" t="n"/>
      <c r="L226" s="973" t="n"/>
      <c r="M226" s="973" t="n"/>
      <c r="N226" s="973" t="n"/>
      <c r="O226" s="973" t="n"/>
      <c r="P226" s="973" t="n"/>
    </row>
    <row r="227">
      <c r="A227" s="973" t="n"/>
      <c r="B227" s="973" t="n"/>
      <c r="C227" s="973" t="n"/>
      <c r="D227" s="973" t="n"/>
      <c r="E227" s="973" t="n"/>
      <c r="F227" s="973" t="n"/>
      <c r="G227" s="973" t="n"/>
      <c r="H227" s="973" t="n"/>
      <c r="I227" s="973" t="n"/>
      <c r="J227" s="973" t="n"/>
      <c r="K227" s="973" t="n"/>
      <c r="L227" s="973" t="n"/>
      <c r="M227" s="973" t="n"/>
      <c r="N227" s="973" t="n"/>
      <c r="O227" s="973" t="n"/>
      <c r="P227" s="973" t="n"/>
    </row>
    <row r="228">
      <c r="A228" s="973" t="n"/>
      <c r="B228" s="973" t="n"/>
      <c r="C228" s="973" t="n"/>
      <c r="D228" s="973" t="n"/>
      <c r="E228" s="973" t="n"/>
      <c r="F228" s="973" t="n"/>
      <c r="G228" s="973" t="n"/>
      <c r="H228" s="973" t="n"/>
      <c r="I228" s="973" t="n"/>
      <c r="J228" s="973" t="n"/>
      <c r="K228" s="973" t="n"/>
      <c r="L228" s="973" t="n"/>
      <c r="M228" s="973" t="n"/>
      <c r="N228" s="973" t="n"/>
      <c r="O228" s="973" t="n"/>
      <c r="P228" s="973" t="n"/>
    </row>
    <row r="229">
      <c r="A229" s="973" t="n"/>
      <c r="B229" s="973" t="n"/>
      <c r="C229" s="973" t="n"/>
      <c r="D229" s="973" t="n"/>
      <c r="E229" s="973" t="n"/>
      <c r="F229" s="973" t="n"/>
      <c r="G229" s="973" t="n"/>
      <c r="H229" s="973" t="n"/>
      <c r="I229" s="973" t="n"/>
      <c r="J229" s="973" t="n"/>
      <c r="K229" s="973" t="n"/>
      <c r="L229" s="973" t="n"/>
      <c r="M229" s="973" t="n"/>
      <c r="N229" s="973" t="n"/>
      <c r="O229" s="973" t="n"/>
      <c r="P229" s="973" t="n"/>
    </row>
    <row r="230">
      <c r="A230" s="973" t="n"/>
      <c r="B230" s="973" t="n"/>
      <c r="C230" s="973" t="n"/>
      <c r="D230" s="973" t="n"/>
      <c r="E230" s="973" t="n"/>
      <c r="F230" s="973" t="n"/>
      <c r="G230" s="973" t="n"/>
      <c r="H230" s="973" t="n"/>
      <c r="I230" s="973" t="n"/>
      <c r="J230" s="973" t="n"/>
      <c r="K230" s="973" t="n"/>
      <c r="L230" s="973" t="n"/>
      <c r="M230" s="973" t="n"/>
      <c r="N230" s="973" t="n"/>
      <c r="O230" s="973" t="n"/>
      <c r="P230" s="973" t="n"/>
    </row>
    <row r="231">
      <c r="A231" s="973" t="n"/>
      <c r="B231" s="973" t="n"/>
      <c r="C231" s="973" t="n"/>
      <c r="D231" s="973" t="n"/>
      <c r="E231" s="973" t="n"/>
      <c r="F231" s="973" t="n"/>
      <c r="G231" s="973" t="n"/>
      <c r="H231" s="973" t="n"/>
      <c r="I231" s="973" t="n"/>
      <c r="J231" s="973" t="n"/>
      <c r="K231" s="973" t="n"/>
      <c r="L231" s="973" t="n"/>
      <c r="M231" s="973" t="n"/>
      <c r="N231" s="973" t="n"/>
      <c r="O231" s="973" t="n"/>
      <c r="P231" s="973" t="n"/>
    </row>
    <row r="232">
      <c r="A232" s="973" t="n"/>
      <c r="B232" s="973" t="n"/>
      <c r="C232" s="973" t="n"/>
      <c r="D232" s="973" t="n"/>
      <c r="E232" s="973" t="n"/>
      <c r="F232" s="973" t="n"/>
      <c r="G232" s="973" t="n"/>
      <c r="H232" s="973" t="n"/>
      <c r="I232" s="973" t="n"/>
      <c r="J232" s="973" t="n"/>
      <c r="K232" s="973" t="n"/>
      <c r="L232" s="973" t="n"/>
      <c r="M232" s="973" t="n"/>
      <c r="N232" s="973" t="n"/>
      <c r="O232" s="973" t="n"/>
      <c r="P232" s="973" t="n"/>
    </row>
    <row r="233">
      <c r="A233" s="973" t="n"/>
      <c r="B233" s="973" t="n"/>
      <c r="C233" s="973" t="n"/>
      <c r="D233" s="973" t="n"/>
      <c r="E233" s="973" t="n"/>
      <c r="F233" s="973" t="n"/>
      <c r="G233" s="973" t="n"/>
      <c r="H233" s="973" t="n"/>
      <c r="I233" s="973" t="n"/>
      <c r="J233" s="973" t="n"/>
      <c r="K233" s="973" t="n"/>
      <c r="L233" s="973" t="n"/>
      <c r="M233" s="973" t="n"/>
      <c r="N233" s="973" t="n"/>
      <c r="O233" s="973" t="n"/>
      <c r="P233" s="973" t="n"/>
    </row>
    <row r="234">
      <c r="A234" s="973" t="n"/>
      <c r="B234" s="973" t="n"/>
      <c r="C234" s="973" t="n"/>
      <c r="D234" s="973" t="n"/>
      <c r="E234" s="973" t="n"/>
      <c r="F234" s="973" t="n"/>
      <c r="G234" s="973" t="n"/>
      <c r="H234" s="973" t="n"/>
      <c r="I234" s="973" t="n"/>
      <c r="J234" s="973" t="n"/>
      <c r="K234" s="973" t="n"/>
      <c r="L234" s="973" t="n"/>
      <c r="M234" s="973" t="n"/>
      <c r="N234" s="973" t="n"/>
      <c r="O234" s="973" t="n"/>
      <c r="P234" s="973" t="n"/>
    </row>
    <row r="235">
      <c r="A235" s="973" t="n"/>
      <c r="B235" s="973" t="n"/>
      <c r="C235" s="973" t="n"/>
      <c r="D235" s="973" t="n"/>
      <c r="E235" s="973" t="n"/>
      <c r="F235" s="973" t="n"/>
      <c r="G235" s="973" t="n"/>
      <c r="H235" s="973" t="n"/>
      <c r="I235" s="973" t="n"/>
      <c r="J235" s="973" t="n"/>
      <c r="K235" s="973" t="n"/>
      <c r="L235" s="973" t="n"/>
      <c r="M235" s="973" t="n"/>
      <c r="N235" s="973" t="n"/>
      <c r="O235" s="973" t="n"/>
      <c r="P235" s="973" t="n"/>
    </row>
    <row r="236">
      <c r="A236" s="973" t="n"/>
      <c r="B236" s="973" t="n"/>
      <c r="C236" s="973" t="n"/>
      <c r="D236" s="973" t="n"/>
      <c r="E236" s="973" t="n"/>
      <c r="F236" s="973" t="n"/>
      <c r="G236" s="973" t="n"/>
      <c r="H236" s="973" t="n"/>
      <c r="I236" s="973" t="n"/>
      <c r="J236" s="973" t="n"/>
      <c r="K236" s="973" t="n"/>
      <c r="L236" s="973" t="n"/>
      <c r="M236" s="973" t="n"/>
      <c r="N236" s="973" t="n"/>
      <c r="O236" s="973" t="n"/>
      <c r="P236" s="973" t="n"/>
    </row>
    <row r="237">
      <c r="A237" s="973" t="n"/>
      <c r="B237" s="973" t="n"/>
      <c r="C237" s="973" t="n"/>
      <c r="D237" s="973" t="n"/>
      <c r="E237" s="973" t="n"/>
      <c r="F237" s="973" t="n"/>
      <c r="G237" s="973" t="n"/>
      <c r="H237" s="973" t="n"/>
      <c r="I237" s="973" t="n"/>
      <c r="J237" s="973" t="n"/>
      <c r="K237" s="973" t="n"/>
      <c r="L237" s="973" t="n"/>
      <c r="M237" s="973" t="n"/>
      <c r="N237" s="973" t="n"/>
      <c r="O237" s="973" t="n"/>
      <c r="P237" s="973" t="n"/>
    </row>
    <row r="238">
      <c r="A238" s="973" t="n"/>
      <c r="B238" s="973" t="n"/>
      <c r="C238" s="973" t="n"/>
      <c r="D238" s="973" t="n"/>
      <c r="E238" s="973" t="n"/>
      <c r="F238" s="973" t="n"/>
      <c r="G238" s="973" t="n"/>
      <c r="H238" s="973" t="n"/>
      <c r="I238" s="973" t="n"/>
      <c r="J238" s="973" t="n"/>
      <c r="K238" s="973" t="n"/>
      <c r="L238" s="973" t="n"/>
      <c r="M238" s="973" t="n"/>
      <c r="N238" s="973" t="n"/>
      <c r="O238" s="973" t="n"/>
      <c r="P238" s="973" t="n"/>
    </row>
    <row r="239">
      <c r="A239" s="973" t="n"/>
      <c r="B239" s="973" t="n"/>
      <c r="C239" s="973" t="n"/>
      <c r="D239" s="973" t="n"/>
      <c r="E239" s="973" t="n"/>
      <c r="F239" s="973" t="n"/>
      <c r="G239" s="973" t="n"/>
      <c r="H239" s="973" t="n"/>
      <c r="I239" s="973" t="n"/>
      <c r="J239" s="973" t="n"/>
      <c r="K239" s="973" t="n"/>
      <c r="L239" s="973" t="n"/>
      <c r="M239" s="973" t="n"/>
      <c r="N239" s="973" t="n"/>
      <c r="O239" s="973" t="n"/>
      <c r="P239" s="973" t="n"/>
    </row>
    <row r="240">
      <c r="A240" s="973" t="n"/>
      <c r="B240" s="973" t="n"/>
      <c r="C240" s="973" t="n"/>
      <c r="D240" s="973" t="n"/>
      <c r="E240" s="973" t="n"/>
      <c r="F240" s="973" t="n"/>
      <c r="G240" s="973" t="n"/>
      <c r="H240" s="973" t="n"/>
      <c r="I240" s="973" t="n"/>
      <c r="J240" s="973" t="n"/>
      <c r="K240" s="973" t="n"/>
      <c r="L240" s="973" t="n"/>
      <c r="M240" s="973" t="n"/>
      <c r="N240" s="973" t="n"/>
      <c r="O240" s="973" t="n"/>
      <c r="P240" s="973" t="n"/>
    </row>
    <row r="241">
      <c r="A241" s="973" t="n"/>
      <c r="B241" s="973" t="n"/>
      <c r="C241" s="973" t="n"/>
      <c r="D241" s="973" t="n"/>
      <c r="E241" s="973" t="n"/>
      <c r="F241" s="973" t="n"/>
      <c r="G241" s="973" t="n"/>
      <c r="H241" s="973" t="n"/>
      <c r="I241" s="973" t="n"/>
      <c r="J241" s="973" t="n"/>
      <c r="K241" s="973" t="n"/>
      <c r="L241" s="973" t="n"/>
      <c r="M241" s="973" t="n"/>
      <c r="N241" s="973" t="n"/>
      <c r="O241" s="973" t="n"/>
      <c r="P241" s="973" t="n"/>
    </row>
    <row r="242">
      <c r="A242" s="973" t="n"/>
      <c r="B242" s="973" t="n"/>
      <c r="C242" s="973" t="n"/>
      <c r="D242" s="973" t="n"/>
      <c r="E242" s="973" t="n"/>
      <c r="F242" s="973" t="n"/>
      <c r="G242" s="973" t="n"/>
      <c r="H242" s="973" t="n"/>
      <c r="I242" s="973" t="n"/>
      <c r="J242" s="973" t="n"/>
      <c r="K242" s="973" t="n"/>
      <c r="L242" s="973" t="n"/>
      <c r="M242" s="973" t="n"/>
      <c r="N242" s="973" t="n"/>
      <c r="O242" s="973" t="n"/>
      <c r="P242" s="973" t="n"/>
    </row>
    <row r="243">
      <c r="A243" s="973" t="n"/>
      <c r="B243" s="973" t="n"/>
      <c r="C243" s="973" t="n"/>
      <c r="D243" s="973" t="n"/>
      <c r="E243" s="973" t="n"/>
      <c r="F243" s="973" t="n"/>
      <c r="G243" s="973" t="n"/>
      <c r="H243" s="973" t="n"/>
      <c r="I243" s="973" t="n"/>
      <c r="J243" s="973" t="n"/>
      <c r="K243" s="973" t="n"/>
      <c r="L243" s="973" t="n"/>
      <c r="M243" s="973" t="n"/>
      <c r="N243" s="973" t="n"/>
      <c r="O243" s="973" t="n"/>
      <c r="P243" s="973" t="n"/>
    </row>
    <row r="244">
      <c r="A244" s="973" t="n"/>
      <c r="B244" s="973" t="n"/>
      <c r="C244" s="973" t="n"/>
      <c r="D244" s="973" t="n"/>
      <c r="E244" s="973" t="n"/>
      <c r="F244" s="973" t="n"/>
      <c r="G244" s="973" t="n"/>
      <c r="H244" s="973" t="n"/>
      <c r="I244" s="973" t="n"/>
      <c r="J244" s="973" t="n"/>
      <c r="K244" s="973" t="n"/>
      <c r="L244" s="973" t="n"/>
      <c r="M244" s="973" t="n"/>
      <c r="N244" s="973" t="n"/>
      <c r="O244" s="973" t="n"/>
      <c r="P244" s="973" t="n"/>
    </row>
    <row r="245">
      <c r="A245" s="973" t="n"/>
      <c r="B245" s="973" t="n"/>
      <c r="C245" s="973" t="n"/>
      <c r="D245" s="973" t="n"/>
      <c r="E245" s="973" t="n"/>
      <c r="F245" s="973" t="n"/>
      <c r="G245" s="973" t="n"/>
      <c r="H245" s="973" t="n"/>
      <c r="I245" s="973" t="n"/>
      <c r="J245" s="973" t="n"/>
      <c r="K245" s="973" t="n"/>
      <c r="L245" s="973" t="n"/>
      <c r="M245" s="973" t="n"/>
      <c r="N245" s="973" t="n"/>
      <c r="O245" s="973" t="n"/>
      <c r="P245" s="973" t="n"/>
    </row>
    <row r="246">
      <c r="A246" s="973" t="n"/>
      <c r="B246" s="973" t="n"/>
      <c r="C246" s="973" t="n"/>
      <c r="D246" s="973" t="n"/>
      <c r="E246" s="973" t="n"/>
      <c r="F246" s="973" t="n"/>
      <c r="G246" s="973" t="n"/>
      <c r="H246" s="973" t="n"/>
      <c r="I246" s="973" t="n"/>
      <c r="J246" s="973" t="n"/>
      <c r="K246" s="973" t="n"/>
      <c r="L246" s="973" t="n"/>
      <c r="M246" s="973" t="n"/>
      <c r="N246" s="973" t="n"/>
      <c r="O246" s="973" t="n"/>
      <c r="P246" s="973" t="n"/>
    </row>
    <row r="247">
      <c r="A247" s="973" t="n"/>
      <c r="B247" s="973" t="n"/>
      <c r="C247" s="973" t="n"/>
      <c r="D247" s="973" t="n"/>
      <c r="E247" s="973" t="n"/>
      <c r="F247" s="973" t="n"/>
      <c r="G247" s="973" t="n"/>
      <c r="H247" s="973" t="n"/>
      <c r="I247" s="973" t="n"/>
      <c r="J247" s="973" t="n"/>
      <c r="K247" s="973" t="n"/>
      <c r="L247" s="973" t="n"/>
      <c r="M247" s="973" t="n"/>
      <c r="N247" s="973" t="n"/>
      <c r="O247" s="973" t="n"/>
      <c r="P247" s="973" t="n"/>
    </row>
    <row r="248">
      <c r="A248" s="973" t="n"/>
      <c r="B248" s="973" t="n"/>
      <c r="C248" s="973" t="n"/>
      <c r="D248" s="973" t="n"/>
      <c r="E248" s="973" t="n"/>
      <c r="F248" s="973" t="n"/>
      <c r="G248" s="973" t="n"/>
      <c r="H248" s="973" t="n"/>
      <c r="I248" s="973" t="n"/>
      <c r="J248" s="973" t="n"/>
      <c r="K248" s="973" t="n"/>
      <c r="L248" s="973" t="n"/>
      <c r="M248" s="973" t="n"/>
      <c r="N248" s="973" t="n"/>
      <c r="O248" s="973" t="n"/>
      <c r="P248" s="973" t="n"/>
    </row>
    <row r="249">
      <c r="A249" s="973" t="n"/>
      <c r="B249" s="973" t="n"/>
      <c r="C249" s="973" t="n"/>
      <c r="D249" s="973" t="n"/>
      <c r="E249" s="973" t="n"/>
      <c r="F249" s="973" t="n"/>
      <c r="G249" s="973" t="n"/>
      <c r="H249" s="973" t="n"/>
      <c r="I249" s="973" t="n"/>
      <c r="J249" s="973" t="n"/>
      <c r="K249" s="973" t="n"/>
      <c r="L249" s="973" t="n"/>
      <c r="M249" s="973" t="n"/>
      <c r="N249" s="973" t="n"/>
      <c r="O249" s="973" t="n"/>
      <c r="P249" s="973" t="n"/>
    </row>
    <row r="250">
      <c r="A250" s="973" t="n"/>
      <c r="B250" s="973" t="n"/>
      <c r="C250" s="973" t="n"/>
      <c r="D250" s="973" t="n"/>
      <c r="E250" s="973" t="n"/>
      <c r="F250" s="973" t="n"/>
      <c r="G250" s="973" t="n"/>
      <c r="H250" s="973" t="n"/>
      <c r="I250" s="973" t="n"/>
      <c r="J250" s="973" t="n"/>
      <c r="K250" s="973" t="n"/>
      <c r="L250" s="973" t="n"/>
      <c r="M250" s="973" t="n"/>
      <c r="N250" s="973" t="n"/>
      <c r="O250" s="973" t="n"/>
      <c r="P250" s="973" t="n"/>
    </row>
  </sheetData>
  <pageMargins left="0.7" right="0.7" top="0.75" bottom="0.75" header="0.3" footer="0.3"/>
</worksheet>
</file>

<file path=xl/worksheets/sheet66.xml><?xml version="1.0" encoding="utf-8"?>
<worksheet xmlns="http://schemas.openxmlformats.org/spreadsheetml/2006/main">
  <sheetPr>
    <tabColor rgb="007F7F7F"/>
    <outlinePr summaryBelow="1" summaryRight="1"/>
    <pageSetUpPr/>
  </sheetPr>
  <dimension ref="A1:P463"/>
  <sheetViews>
    <sheetView workbookViewId="0">
      <selection activeCell="A1" sqref="A1"/>
    </sheetView>
  </sheetViews>
  <sheetFormatPr baseColWidth="8" defaultRowHeight="15"/>
  <sheetData>
    <row r="1">
      <c r="A1" s="970" t="inlineStr">
        <is>
          <t>13 — Consequence Calculation</t>
        </is>
      </c>
      <c r="B1" s="970" t="n"/>
      <c r="C1" s="970" t="n"/>
      <c r="D1" s="970" t="n"/>
      <c r="E1" s="970" t="n"/>
      <c r="F1" s="970" t="n"/>
      <c r="G1" s="970" t="n"/>
      <c r="H1" s="970" t="n"/>
      <c r="I1" s="970" t="n"/>
      <c r="J1" s="970" t="n"/>
      <c r="K1" s="970" t="n"/>
      <c r="L1" s="970" t="n"/>
      <c r="M1" s="970" t="n"/>
      <c r="N1" s="970" t="n"/>
      <c r="O1" s="970" t="n"/>
      <c r="P1" s="970" t="n"/>
    </row>
    <row r="2">
      <c r="A2" s="966" t="inlineStr">
        <is>
          <t>Bottom-up P50/P99 driver calculation and fitted loss distributions.</t>
        </is>
      </c>
      <c r="B2" s="966" t="n"/>
      <c r="C2" s="966" t="n"/>
      <c r="D2" s="966" t="n"/>
      <c r="E2" s="966" t="n"/>
      <c r="F2" s="966" t="n"/>
      <c r="G2" s="966" t="n"/>
      <c r="H2" s="966" t="n"/>
      <c r="I2" s="966" t="n"/>
      <c r="J2" s="966" t="n"/>
      <c r="K2" s="966" t="n"/>
      <c r="L2" s="966" t="n"/>
      <c r="M2" s="966" t="n"/>
      <c r="N2" s="966" t="n"/>
      <c r="O2" s="966" t="n"/>
      <c r="P2" s="966" t="n"/>
    </row>
    <row r="3">
      <c r="A3" s="973" t="n"/>
      <c r="B3" s="973" t="n"/>
      <c r="C3" s="973" t="n"/>
      <c r="D3" s="973" t="n"/>
      <c r="E3" s="973" t="n"/>
      <c r="F3" s="973" t="n"/>
      <c r="G3" s="973" t="n"/>
      <c r="H3" s="973" t="n"/>
      <c r="I3" s="973" t="n"/>
      <c r="J3" s="973" t="n"/>
      <c r="K3" s="973" t="n"/>
      <c r="L3" s="973" t="n"/>
      <c r="M3" s="973" t="n"/>
      <c r="N3" s="973" t="n"/>
      <c r="O3" s="973" t="n"/>
      <c r="P3" s="973" t="n"/>
    </row>
    <row r="4">
      <c r="A4" s="973" t="n"/>
      <c r="B4" s="973" t="n"/>
      <c r="C4" s="973" t="n"/>
      <c r="D4" s="973" t="n"/>
      <c r="E4" s="973" t="n"/>
      <c r="F4" s="973" t="n"/>
      <c r="G4" s="973" t="n"/>
      <c r="H4" s="973" t="n"/>
      <c r="I4" s="973" t="n"/>
      <c r="J4" s="973" t="n"/>
      <c r="K4" s="973" t="n"/>
      <c r="L4" s="973" t="n"/>
      <c r="M4" s="973" t="n"/>
      <c r="N4" s="973" t="n"/>
      <c r="O4" s="973" t="n"/>
      <c r="P4" s="973" t="n"/>
    </row>
    <row r="5">
      <c r="A5" s="973" t="inlineStr">
        <is>
          <t>ENGINE OUTPUT — do not edit. Run the Python engine after changing inputs or sector packs.</t>
        </is>
      </c>
      <c r="B5" s="973" t="n"/>
      <c r="C5" s="973" t="n"/>
      <c r="D5" s="973" t="n"/>
      <c r="E5" s="973" t="n"/>
      <c r="F5" s="973" t="n"/>
      <c r="G5" s="973" t="n"/>
      <c r="H5" s="973" t="n"/>
      <c r="I5" s="973" t="n"/>
      <c r="J5" s="973" t="n"/>
      <c r="K5" s="973" t="n"/>
      <c r="L5" s="973" t="n"/>
      <c r="M5" s="973" t="n"/>
      <c r="N5" s="973" t="n"/>
      <c r="O5" s="973" t="n"/>
      <c r="P5" s="973" t="n"/>
    </row>
    <row r="6">
      <c r="A6" s="973" t="n"/>
      <c r="B6" s="973" t="n"/>
      <c r="C6" s="973" t="n"/>
      <c r="D6" s="973" t="n"/>
      <c r="E6" s="973" t="n"/>
      <c r="F6" s="973" t="n"/>
      <c r="G6" s="973" t="n"/>
      <c r="H6" s="973" t="n"/>
      <c r="I6" s="973" t="n"/>
      <c r="J6" s="973" t="n"/>
      <c r="K6" s="973" t="n"/>
      <c r="L6" s="973" t="n"/>
      <c r="M6" s="973" t="n"/>
      <c r="N6" s="973" t="n"/>
      <c r="O6" s="973" t="n"/>
      <c r="P6" s="973" t="n"/>
    </row>
    <row r="7">
      <c r="A7" s="973" t="n"/>
      <c r="B7" s="973" t="n"/>
      <c r="C7" s="973" t="n"/>
      <c r="D7" s="973" t="n"/>
      <c r="E7" s="973" t="n"/>
      <c r="F7" s="973" t="n"/>
      <c r="G7" s="973" t="n"/>
      <c r="H7" s="973" t="n"/>
      <c r="I7" s="973" t="n"/>
      <c r="J7" s="973" t="n"/>
      <c r="K7" s="973" t="n"/>
      <c r="L7" s="973" t="n"/>
      <c r="M7" s="973" t="n"/>
      <c r="N7" s="973" t="n"/>
      <c r="O7" s="973" t="n"/>
      <c r="P7" s="973" t="n"/>
    </row>
    <row r="8">
      <c r="A8" s="973" t="n"/>
      <c r="B8" s="973" t="n"/>
      <c r="C8" s="973" t="n"/>
      <c r="D8" s="973" t="n"/>
      <c r="E8" s="973" t="n"/>
      <c r="F8" s="973" t="n"/>
      <c r="G8" s="973" t="n"/>
      <c r="H8" s="973" t="n"/>
      <c r="I8" s="973" t="n"/>
      <c r="J8" s="973" t="n"/>
      <c r="K8" s="973" t="n"/>
      <c r="L8" s="973" t="n"/>
      <c r="M8" s="973" t="n"/>
      <c r="N8" s="973" t="n"/>
      <c r="O8" s="973" t="n"/>
      <c r="P8" s="973" t="n"/>
    </row>
    <row r="9">
      <c r="A9" s="973" t="n"/>
      <c r="B9" s="973" t="n"/>
      <c r="C9" s="973" t="n"/>
      <c r="D9" s="973" t="n"/>
      <c r="E9" s="973" t="n"/>
      <c r="F9" s="973" t="n"/>
      <c r="G9" s="973" t="n"/>
      <c r="H9" s="973" t="n"/>
      <c r="I9" s="973" t="n"/>
      <c r="J9" s="973" t="n"/>
      <c r="K9" s="973" t="n"/>
      <c r="L9" s="973" t="n"/>
      <c r="M9" s="973" t="n"/>
      <c r="N9" s="973" t="n"/>
      <c r="O9" s="973" t="n"/>
      <c r="P9" s="973" t="n"/>
    </row>
    <row r="10">
      <c r="A10" s="973" t="n"/>
      <c r="B10" s="973" t="n"/>
      <c r="C10" s="973" t="n"/>
      <c r="D10" s="973" t="n"/>
      <c r="E10" s="973" t="n"/>
      <c r="F10" s="973" t="n"/>
      <c r="G10" s="973" t="n"/>
      <c r="H10" s="973" t="n"/>
      <c r="I10" s="973" t="n"/>
      <c r="J10" s="973" t="n"/>
      <c r="K10" s="973" t="n"/>
      <c r="L10" s="973" t="n"/>
      <c r="M10" s="973" t="n"/>
      <c r="N10" s="973" t="n"/>
      <c r="O10" s="973" t="n"/>
      <c r="P10" s="973" t="n"/>
    </row>
    <row r="11">
      <c r="A11" s="973" t="n"/>
      <c r="B11" s="973" t="n"/>
      <c r="C11" s="973" t="n"/>
      <c r="D11" s="973" t="n"/>
      <c r="E11" s="973" t="n"/>
      <c r="F11" s="973" t="n"/>
      <c r="G11" s="973" t="n"/>
      <c r="H11" s="973" t="n"/>
      <c r="I11" s="973" t="n"/>
      <c r="J11" s="973" t="n"/>
      <c r="K11" s="973" t="n"/>
      <c r="L11" s="973" t="n"/>
      <c r="M11" s="973" t="n"/>
      <c r="N11" s="973" t="n"/>
      <c r="O11" s="973" t="n"/>
      <c r="P11" s="973" t="n"/>
    </row>
    <row r="12">
      <c r="A12" s="973" t="n"/>
      <c r="B12" s="973" t="n"/>
      <c r="C12" s="973" t="n"/>
      <c r="D12" s="973" t="n"/>
      <c r="E12" s="973" t="n"/>
      <c r="F12" s="973" t="n"/>
      <c r="G12" s="973" t="n"/>
      <c r="H12" s="973" t="n"/>
      <c r="I12" s="973" t="n"/>
      <c r="J12" s="973" t="n"/>
      <c r="K12" s="973" t="n"/>
      <c r="L12" s="973" t="n"/>
      <c r="M12" s="973" t="n"/>
      <c r="N12" s="973" t="n"/>
      <c r="O12" s="973" t="n"/>
      <c r="P12" s="973" t="n"/>
    </row>
    <row r="13">
      <c r="A13" s="973" t="n"/>
      <c r="B13" s="973" t="n"/>
      <c r="C13" s="973" t="n"/>
      <c r="D13" s="973" t="n"/>
      <c r="E13" s="973" t="n"/>
      <c r="F13" s="973" t="n"/>
      <c r="G13" s="973" t="n"/>
      <c r="H13" s="973" t="n"/>
      <c r="I13" s="973" t="n"/>
      <c r="J13" s="973" t="n"/>
      <c r="K13" s="973" t="n"/>
      <c r="L13" s="973" t="n"/>
      <c r="M13" s="973" t="n"/>
      <c r="N13" s="973" t="n"/>
      <c r="O13" s="973" t="n"/>
      <c r="P13" s="973" t="n"/>
    </row>
    <row r="14">
      <c r="A14" s="973" t="n"/>
      <c r="B14" s="973" t="n"/>
      <c r="C14" s="973" t="n"/>
      <c r="D14" s="973" t="n"/>
      <c r="E14" s="973" t="n"/>
      <c r="F14" s="973" t="n"/>
      <c r="G14" s="973" t="n"/>
      <c r="H14" s="973" t="n"/>
      <c r="I14" s="973" t="n"/>
      <c r="J14" s="973" t="n"/>
      <c r="K14" s="973" t="n"/>
      <c r="L14" s="973" t="n"/>
      <c r="M14" s="973" t="n"/>
      <c r="N14" s="973" t="n"/>
      <c r="O14" s="973" t="n"/>
      <c r="P14" s="973" t="n"/>
    </row>
    <row r="15">
      <c r="A15" s="969" t="inlineStr">
        <is>
          <t>Threat actor</t>
        </is>
      </c>
      <c r="B15" s="969" t="inlineStr">
        <is>
          <t>Scenario ID</t>
        </is>
      </c>
      <c r="C15" s="969" t="inlineStr">
        <is>
          <t>Scenario</t>
        </is>
      </c>
      <c r="D15" s="969" t="inlineStr">
        <is>
          <t>Loss block</t>
        </is>
      </c>
      <c r="E15" s="969" t="inlineStr">
        <is>
          <t>Driver</t>
        </is>
      </c>
      <c r="F15" s="969" t="inlineStr">
        <is>
          <t>Quantile</t>
        </is>
      </c>
      <c r="G15" s="969" t="inlineStr">
        <is>
          <t>Amount</t>
        </is>
      </c>
      <c r="H15" s="969" t="inlineStr">
        <is>
          <t>Applicable</t>
        </is>
      </c>
      <c r="I15" s="969" t="inlineStr">
        <is>
          <t>Evidence grade</t>
        </is>
      </c>
      <c r="J15" s="969" t="inlineStr">
        <is>
          <t>Source ID</t>
        </is>
      </c>
      <c r="K15" s="969" t="n"/>
      <c r="L15" s="969" t="n"/>
      <c r="M15" s="969" t="n"/>
      <c r="N15" s="969" t="n"/>
      <c r="O15" s="969" t="n"/>
      <c r="P15" s="969" t="n"/>
    </row>
    <row r="16">
      <c r="A16" s="973" t="inlineStr">
        <is>
          <t>Nation-state</t>
        </is>
      </c>
      <c r="B16" s="973" t="inlineStr">
        <is>
          <t>SC_DISR</t>
        </is>
      </c>
      <c r="C16" s="973" t="inlineStr">
        <is>
          <t>Critical business-service disruption</t>
        </is>
      </c>
      <c r="D16" s="973" t="inlineStr">
        <is>
          <t>Duration</t>
        </is>
      </c>
      <c r="E16" s="973" t="inlineStr">
        <is>
          <t>IR_FORENSICS</t>
        </is>
      </c>
      <c r="F16" s="973" t="inlineStr">
        <is>
          <t>P50</t>
        </is>
      </c>
      <c r="G16" s="973" t="n">
        <v>20000</v>
      </c>
      <c r="H16" s="973" t="b">
        <v>1</v>
      </c>
      <c r="I16" s="973" t="inlineStr">
        <is>
          <t>D</t>
        </is>
      </c>
      <c r="J16" s="973" t="inlineStr">
        <is>
          <t>SRC-10</t>
        </is>
      </c>
      <c r="K16" s="973" t="n"/>
      <c r="L16" s="973" t="n"/>
      <c r="M16" s="973" t="n"/>
      <c r="N16" s="973" t="n"/>
      <c r="O16" s="973" t="n"/>
      <c r="P16" s="973" t="n"/>
    </row>
    <row r="17">
      <c r="A17" s="973" t="inlineStr">
        <is>
          <t>Nation-state</t>
        </is>
      </c>
      <c r="B17" s="973" t="inlineStr">
        <is>
          <t>SC_DISR</t>
        </is>
      </c>
      <c r="C17" s="973" t="inlineStr">
        <is>
          <t>Critical business-service disruption</t>
        </is>
      </c>
      <c r="D17" s="973" t="inlineStr">
        <is>
          <t>Duration</t>
        </is>
      </c>
      <c r="E17" s="973" t="inlineStr">
        <is>
          <t>EXTERNAL_RESPONSE</t>
        </is>
      </c>
      <c r="F17" s="973" t="inlineStr">
        <is>
          <t>P50</t>
        </is>
      </c>
      <c r="G17" s="973" t="n">
        <v>30000</v>
      </c>
      <c r="H17" s="973" t="b">
        <v>1</v>
      </c>
      <c r="I17" s="973" t="inlineStr">
        <is>
          <t>D</t>
        </is>
      </c>
      <c r="J17" s="973" t="inlineStr">
        <is>
          <t>SRC-10</t>
        </is>
      </c>
      <c r="K17" s="973" t="n"/>
      <c r="L17" s="973" t="n"/>
      <c r="M17" s="973" t="n"/>
      <c r="N17" s="973" t="n"/>
      <c r="O17" s="973" t="n"/>
      <c r="P17" s="973" t="n"/>
    </row>
    <row r="18">
      <c r="A18" s="973" t="inlineStr">
        <is>
          <t>Nation-state</t>
        </is>
      </c>
      <c r="B18" s="973" t="inlineStr">
        <is>
          <t>SC_DISR</t>
        </is>
      </c>
      <c r="C18" s="973" t="inlineStr">
        <is>
          <t>Critical business-service disruption</t>
        </is>
      </c>
      <c r="D18" s="973" t="inlineStr">
        <is>
          <t>Duration</t>
        </is>
      </c>
      <c r="E18" s="973" t="inlineStr">
        <is>
          <t>LEGAL_RESPONSE</t>
        </is>
      </c>
      <c r="F18" s="973" t="inlineStr">
        <is>
          <t>P50</t>
        </is>
      </c>
      <c r="G18" s="973" t="n">
        <v>25000</v>
      </c>
      <c r="H18" s="973" t="b">
        <v>1</v>
      </c>
      <c r="I18" s="973" t="inlineStr">
        <is>
          <t>D</t>
        </is>
      </c>
      <c r="J18" s="973" t="inlineStr">
        <is>
          <t>SRC-10</t>
        </is>
      </c>
      <c r="K18" s="973" t="n"/>
      <c r="L18" s="973" t="n"/>
      <c r="M18" s="973" t="n"/>
      <c r="N18" s="973" t="n"/>
      <c r="O18" s="973" t="n"/>
      <c r="P18" s="973" t="n"/>
    </row>
    <row r="19">
      <c r="A19" s="973" t="inlineStr">
        <is>
          <t>Nation-state</t>
        </is>
      </c>
      <c r="B19" s="973" t="inlineStr">
        <is>
          <t>SC_DISR</t>
        </is>
      </c>
      <c r="C19" s="973" t="inlineStr">
        <is>
          <t>Critical business-service disruption</t>
        </is>
      </c>
      <c r="D19" s="973" t="inlineStr">
        <is>
          <t>Duration</t>
        </is>
      </c>
      <c r="E19" s="973" t="inlineStr">
        <is>
          <t>RESTORATION</t>
        </is>
      </c>
      <c r="F19" s="973" t="inlineStr">
        <is>
          <t>P50</t>
        </is>
      </c>
      <c r="G19" s="973" t="n">
        <v>30000</v>
      </c>
      <c r="H19" s="973" t="b">
        <v>1</v>
      </c>
      <c r="I19" s="973" t="inlineStr">
        <is>
          <t>D</t>
        </is>
      </c>
      <c r="J19" s="973" t="inlineStr">
        <is>
          <t>SRC-10</t>
        </is>
      </c>
      <c r="K19" s="973" t="n"/>
      <c r="L19" s="973" t="n"/>
      <c r="M19" s="973" t="n"/>
      <c r="N19" s="973" t="n"/>
      <c r="O19" s="973" t="n"/>
      <c r="P19" s="973" t="n"/>
    </row>
    <row r="20">
      <c r="A20" s="973" t="inlineStr">
        <is>
          <t>Nation-state</t>
        </is>
      </c>
      <c r="B20" s="973" t="inlineStr">
        <is>
          <t>SC_DISR</t>
        </is>
      </c>
      <c r="C20" s="973" t="inlineStr">
        <is>
          <t>Critical business-service disruption</t>
        </is>
      </c>
      <c r="D20" s="973" t="inlineStr">
        <is>
          <t>Duration</t>
        </is>
      </c>
      <c r="E20" s="973" t="inlineStr">
        <is>
          <t>BUSINESS_INTERRUPTION</t>
        </is>
      </c>
      <c r="F20" s="973" t="inlineStr">
        <is>
          <t>P50</t>
        </is>
      </c>
      <c r="G20" s="973" t="n">
        <v>2465753.424657534</v>
      </c>
      <c r="H20" s="973" t="b">
        <v>1</v>
      </c>
      <c r="I20" s="973" t="inlineStr">
        <is>
          <t>D</t>
        </is>
      </c>
      <c r="J20" s="973" t="inlineStr">
        <is>
          <t>SRC-10</t>
        </is>
      </c>
      <c r="K20" s="973" t="n"/>
      <c r="L20" s="973" t="n"/>
      <c r="M20" s="973" t="n"/>
      <c r="N20" s="973" t="n"/>
      <c r="O20" s="973" t="n"/>
      <c r="P20" s="973" t="n"/>
    </row>
    <row r="21">
      <c r="A21" s="973" t="inlineStr">
        <is>
          <t>Nation-state</t>
        </is>
      </c>
      <c r="B21" s="973" t="inlineStr">
        <is>
          <t>SC_DISR</t>
        </is>
      </c>
      <c r="C21" s="973" t="inlineStr">
        <is>
          <t>Critical business-service disruption</t>
        </is>
      </c>
      <c r="D21" s="973" t="inlineStr">
        <is>
          <t>Duration</t>
        </is>
      </c>
      <c r="E21" s="973" t="inlineStr">
        <is>
          <t>ENDPOINT_RECOVERY</t>
        </is>
      </c>
      <c r="F21" s="973" t="inlineStr">
        <is>
          <t>P50</t>
        </is>
      </c>
      <c r="G21" s="973" t="n">
        <v>100000</v>
      </c>
      <c r="H21" s="973" t="b">
        <v>1</v>
      </c>
      <c r="I21" s="973" t="inlineStr">
        <is>
          <t>D</t>
        </is>
      </c>
      <c r="J21" s="973" t="inlineStr">
        <is>
          <t>SRC-10</t>
        </is>
      </c>
      <c r="K21" s="973" t="n"/>
      <c r="L21" s="973" t="n"/>
      <c r="M21" s="973" t="n"/>
      <c r="N21" s="973" t="n"/>
      <c r="O21" s="973" t="n"/>
      <c r="P21" s="973" t="n"/>
    </row>
    <row r="22">
      <c r="A22" s="973" t="inlineStr">
        <is>
          <t>Nation-state</t>
        </is>
      </c>
      <c r="B22" s="973" t="inlineStr">
        <is>
          <t>SC_DISR</t>
        </is>
      </c>
      <c r="C22" s="973" t="inlineStr">
        <is>
          <t>Critical business-service disruption</t>
        </is>
      </c>
      <c r="D22" s="973" t="inlineStr">
        <is>
          <t>Duration</t>
        </is>
      </c>
      <c r="E22" s="973" t="inlineStr">
        <is>
          <t>SERVER_RECOVERY</t>
        </is>
      </c>
      <c r="F22" s="973" t="inlineStr">
        <is>
          <t>P50</t>
        </is>
      </c>
      <c r="G22" s="973" t="n">
        <v>250000</v>
      </c>
      <c r="H22" s="973" t="b">
        <v>1</v>
      </c>
      <c r="I22" s="973" t="inlineStr">
        <is>
          <t>D</t>
        </is>
      </c>
      <c r="J22" s="973" t="inlineStr">
        <is>
          <t>SRC-10</t>
        </is>
      </c>
      <c r="K22" s="973" t="n"/>
      <c r="L22" s="973" t="n"/>
      <c r="M22" s="973" t="n"/>
      <c r="N22" s="973" t="n"/>
      <c r="O22" s="973" t="n"/>
      <c r="P22" s="973" t="n"/>
    </row>
    <row r="23">
      <c r="A23" s="973" t="inlineStr">
        <is>
          <t>Nation-state</t>
        </is>
      </c>
      <c r="B23" s="973" t="inlineStr">
        <is>
          <t>SC_DISR</t>
        </is>
      </c>
      <c r="C23" s="973" t="inlineStr">
        <is>
          <t>Critical business-service disruption</t>
        </is>
      </c>
      <c r="D23" s="973" t="inlineStr">
        <is>
          <t>Exposure</t>
        </is>
      </c>
      <c r="E23" s="973" t="inlineStr">
        <is>
          <t>NOTIFICATION</t>
        </is>
      </c>
      <c r="F23" s="973" t="inlineStr">
        <is>
          <t>P50</t>
        </is>
      </c>
      <c r="G23" s="973" t="n">
        <v>0</v>
      </c>
      <c r="H23" s="973" t="b">
        <v>0</v>
      </c>
      <c r="I23" s="973" t="inlineStr">
        <is>
          <t>D</t>
        </is>
      </c>
      <c r="J23" s="973" t="inlineStr">
        <is>
          <t>SRC-10</t>
        </is>
      </c>
      <c r="K23" s="973" t="n"/>
      <c r="L23" s="973" t="n"/>
      <c r="M23" s="973" t="n"/>
      <c r="N23" s="973" t="n"/>
      <c r="O23" s="973" t="n"/>
      <c r="P23" s="973" t="n"/>
    </row>
    <row r="24">
      <c r="A24" s="973" t="inlineStr">
        <is>
          <t>Nation-state</t>
        </is>
      </c>
      <c r="B24" s="973" t="inlineStr">
        <is>
          <t>SC_DISR</t>
        </is>
      </c>
      <c r="C24" s="973" t="inlineStr">
        <is>
          <t>Critical business-service disruption</t>
        </is>
      </c>
      <c r="D24" s="973" t="inlineStr">
        <is>
          <t>Exposure</t>
        </is>
      </c>
      <c r="E24" s="973" t="inlineStr">
        <is>
          <t>CREDIT_MONITORING</t>
        </is>
      </c>
      <c r="F24" s="973" t="inlineStr">
        <is>
          <t>P50</t>
        </is>
      </c>
      <c r="G24" s="973" t="n">
        <v>0</v>
      </c>
      <c r="H24" s="973" t="b">
        <v>0</v>
      </c>
      <c r="I24" s="973" t="inlineStr">
        <is>
          <t>D</t>
        </is>
      </c>
      <c r="J24" s="973" t="inlineStr">
        <is>
          <t>SRC-10</t>
        </is>
      </c>
      <c r="K24" s="973" t="n"/>
      <c r="L24" s="973" t="n"/>
      <c r="M24" s="973" t="n"/>
      <c r="N24" s="973" t="n"/>
      <c r="O24" s="973" t="n"/>
      <c r="P24" s="973" t="n"/>
    </row>
    <row r="25">
      <c r="A25" s="973" t="inlineStr">
        <is>
          <t>Nation-state</t>
        </is>
      </c>
      <c r="B25" s="973" t="inlineStr">
        <is>
          <t>SC_DISR</t>
        </is>
      </c>
      <c r="C25" s="973" t="inlineStr">
        <is>
          <t>Critical business-service disruption</t>
        </is>
      </c>
      <c r="D25" s="973" t="inlineStr">
        <is>
          <t>Exposure</t>
        </is>
      </c>
      <c r="E25" s="973" t="inlineStr">
        <is>
          <t>REGULATORY</t>
        </is>
      </c>
      <c r="F25" s="973" t="inlineStr">
        <is>
          <t>P50</t>
        </is>
      </c>
      <c r="G25" s="973" t="n">
        <v>0</v>
      </c>
      <c r="H25" s="973" t="b">
        <v>0</v>
      </c>
      <c r="I25" s="973" t="inlineStr">
        <is>
          <t>D</t>
        </is>
      </c>
      <c r="J25" s="973" t="inlineStr">
        <is>
          <t>SRC-10</t>
        </is>
      </c>
      <c r="K25" s="973" t="n"/>
      <c r="L25" s="973" t="n"/>
      <c r="M25" s="973" t="n"/>
      <c r="N25" s="973" t="n"/>
      <c r="O25" s="973" t="n"/>
      <c r="P25" s="973" t="n"/>
    </row>
    <row r="26">
      <c r="A26" s="973" t="inlineStr">
        <is>
          <t>Nation-state</t>
        </is>
      </c>
      <c r="B26" s="973" t="inlineStr">
        <is>
          <t>SC_DISR</t>
        </is>
      </c>
      <c r="C26" s="973" t="inlineStr">
        <is>
          <t>Critical business-service disruption</t>
        </is>
      </c>
      <c r="D26" s="973" t="inlineStr">
        <is>
          <t>Exposure</t>
        </is>
      </c>
      <c r="E26" s="973" t="inlineStr">
        <is>
          <t>CUSTOMER_ATTRITION</t>
        </is>
      </c>
      <c r="F26" s="973" t="inlineStr">
        <is>
          <t>P50</t>
        </is>
      </c>
      <c r="G26" s="973" t="n">
        <v>1000000</v>
      </c>
      <c r="H26" s="973" t="b">
        <v>1</v>
      </c>
      <c r="I26" s="973" t="inlineStr">
        <is>
          <t>D</t>
        </is>
      </c>
      <c r="J26" s="973" t="inlineStr">
        <is>
          <t>SRC-10</t>
        </is>
      </c>
      <c r="K26" s="973" t="n"/>
      <c r="L26" s="973" t="n"/>
      <c r="M26" s="973" t="n"/>
      <c r="N26" s="973" t="n"/>
      <c r="O26" s="973" t="n"/>
      <c r="P26" s="973" t="n"/>
    </row>
    <row r="27">
      <c r="A27" s="973" t="inlineStr">
        <is>
          <t>Nation-state</t>
        </is>
      </c>
      <c r="B27" s="973" t="inlineStr">
        <is>
          <t>SC_DISR</t>
        </is>
      </c>
      <c r="C27" s="973" t="inlineStr">
        <is>
          <t>Critical business-service disruption</t>
        </is>
      </c>
      <c r="D27" s="973" t="inlineStr">
        <is>
          <t>Direct</t>
        </is>
      </c>
      <c r="E27" s="973" t="inlineStr">
        <is>
          <t>FRAUD_NET_RECOVERY</t>
        </is>
      </c>
      <c r="F27" s="973" t="inlineStr">
        <is>
          <t>P50</t>
        </is>
      </c>
      <c r="G27" s="973" t="n">
        <v>0</v>
      </c>
      <c r="H27" s="973" t="b">
        <v>0</v>
      </c>
      <c r="I27" s="973" t="inlineStr">
        <is>
          <t>D</t>
        </is>
      </c>
      <c r="J27" s="973" t="inlineStr">
        <is>
          <t>SRC-10</t>
        </is>
      </c>
      <c r="K27" s="973" t="n"/>
      <c r="L27" s="973" t="n"/>
      <c r="M27" s="973" t="n"/>
      <c r="N27" s="973" t="n"/>
      <c r="O27" s="973" t="n"/>
      <c r="P27" s="973" t="n"/>
    </row>
    <row r="28">
      <c r="A28" s="973" t="inlineStr">
        <is>
          <t>Nation-state</t>
        </is>
      </c>
      <c r="B28" s="973" t="inlineStr">
        <is>
          <t>SC_DISR</t>
        </is>
      </c>
      <c r="C28" s="973" t="inlineStr">
        <is>
          <t>Critical business-service disruption</t>
        </is>
      </c>
      <c r="D28" s="973" t="inlineStr">
        <is>
          <t>Direct</t>
        </is>
      </c>
      <c r="E28" s="973" t="inlineStr">
        <is>
          <t>EXTORTION</t>
        </is>
      </c>
      <c r="F28" s="973" t="inlineStr">
        <is>
          <t>P50</t>
        </is>
      </c>
      <c r="G28" s="973" t="n">
        <v>0</v>
      </c>
      <c r="H28" s="973" t="b">
        <v>0</v>
      </c>
      <c r="I28" s="973" t="inlineStr">
        <is>
          <t>D</t>
        </is>
      </c>
      <c r="J28" s="973" t="inlineStr">
        <is>
          <t>SRC-10</t>
        </is>
      </c>
      <c r="K28" s="973" t="n"/>
      <c r="L28" s="973" t="n"/>
      <c r="M28" s="973" t="n"/>
      <c r="N28" s="973" t="n"/>
      <c r="O28" s="973" t="n"/>
      <c r="P28" s="973" t="n"/>
    </row>
    <row r="29">
      <c r="A29" s="973" t="inlineStr">
        <is>
          <t>Nation-state</t>
        </is>
      </c>
      <c r="B29" s="973" t="inlineStr">
        <is>
          <t>SC_DISR</t>
        </is>
      </c>
      <c r="C29" s="973" t="inlineStr">
        <is>
          <t>Critical business-service disruption</t>
        </is>
      </c>
      <c r="D29" s="973" t="inlineStr">
        <is>
          <t>Direct</t>
        </is>
      </c>
      <c r="E29" s="973" t="inlineStr">
        <is>
          <t>POST_EVENT_UPLIFT</t>
        </is>
      </c>
      <c r="F29" s="973" t="inlineStr">
        <is>
          <t>P50</t>
        </is>
      </c>
      <c r="G29" s="973" t="n">
        <v>500000</v>
      </c>
      <c r="H29" s="973" t="b">
        <v>1</v>
      </c>
      <c r="I29" s="973" t="inlineStr">
        <is>
          <t>D</t>
        </is>
      </c>
      <c r="J29" s="973" t="inlineStr">
        <is>
          <t>SRC-10</t>
        </is>
      </c>
      <c r="K29" s="973" t="n"/>
      <c r="L29" s="973" t="n"/>
      <c r="M29" s="973" t="n"/>
      <c r="N29" s="973" t="n"/>
      <c r="O29" s="973" t="n"/>
      <c r="P29" s="973" t="n"/>
    </row>
    <row r="30">
      <c r="A30" s="973" t="inlineStr">
        <is>
          <t>Nation-state</t>
        </is>
      </c>
      <c r="B30" s="973" t="inlineStr">
        <is>
          <t>SC_DISR</t>
        </is>
      </c>
      <c r="C30" s="973" t="inlineStr">
        <is>
          <t>Critical business-service disruption</t>
        </is>
      </c>
      <c r="D30" s="973" t="inlineStr">
        <is>
          <t>Duration</t>
        </is>
      </c>
      <c r="E30" s="973" t="inlineStr">
        <is>
          <t>IR_FORENSICS</t>
        </is>
      </c>
      <c r="F30" s="973" t="inlineStr">
        <is>
          <t>P99</t>
        </is>
      </c>
      <c r="G30" s="973" t="n">
        <v>240000</v>
      </c>
      <c r="H30" s="973" t="b">
        <v>1</v>
      </c>
      <c r="I30" s="973" t="inlineStr">
        <is>
          <t>D</t>
        </is>
      </c>
      <c r="J30" s="973" t="inlineStr">
        <is>
          <t>SRC-10</t>
        </is>
      </c>
      <c r="K30" s="973" t="n"/>
      <c r="L30" s="973" t="n"/>
      <c r="M30" s="973" t="n"/>
      <c r="N30" s="973" t="n"/>
      <c r="O30" s="973" t="n"/>
      <c r="P30" s="973" t="n"/>
    </row>
    <row r="31">
      <c r="A31" s="973" t="inlineStr">
        <is>
          <t>Nation-state</t>
        </is>
      </c>
      <c r="B31" s="973" t="inlineStr">
        <is>
          <t>SC_DISR</t>
        </is>
      </c>
      <c r="C31" s="973" t="inlineStr">
        <is>
          <t>Critical business-service disruption</t>
        </is>
      </c>
      <c r="D31" s="973" t="inlineStr">
        <is>
          <t>Duration</t>
        </is>
      </c>
      <c r="E31" s="973" t="inlineStr">
        <is>
          <t>EXTERNAL_RESPONSE</t>
        </is>
      </c>
      <c r="F31" s="973" t="inlineStr">
        <is>
          <t>P99</t>
        </is>
      </c>
      <c r="G31" s="973" t="n">
        <v>450000</v>
      </c>
      <c r="H31" s="973" t="b">
        <v>1</v>
      </c>
      <c r="I31" s="973" t="inlineStr">
        <is>
          <t>D</t>
        </is>
      </c>
      <c r="J31" s="973" t="inlineStr">
        <is>
          <t>SRC-10</t>
        </is>
      </c>
      <c r="K31" s="973" t="n"/>
      <c r="L31" s="973" t="n"/>
      <c r="M31" s="973" t="n"/>
      <c r="N31" s="973" t="n"/>
      <c r="O31" s="973" t="n"/>
      <c r="P31" s="973" t="n"/>
    </row>
    <row r="32">
      <c r="A32" s="973" t="inlineStr">
        <is>
          <t>Nation-state</t>
        </is>
      </c>
      <c r="B32" s="973" t="inlineStr">
        <is>
          <t>SC_DISR</t>
        </is>
      </c>
      <c r="C32" s="973" t="inlineStr">
        <is>
          <t>Critical business-service disruption</t>
        </is>
      </c>
      <c r="D32" s="973" t="inlineStr">
        <is>
          <t>Duration</t>
        </is>
      </c>
      <c r="E32" s="973" t="inlineStr">
        <is>
          <t>LEGAL_RESPONSE</t>
        </is>
      </c>
      <c r="F32" s="973" t="inlineStr">
        <is>
          <t>P99</t>
        </is>
      </c>
      <c r="G32" s="973" t="n">
        <v>450000</v>
      </c>
      <c r="H32" s="973" t="b">
        <v>1</v>
      </c>
      <c r="I32" s="973" t="inlineStr">
        <is>
          <t>D</t>
        </is>
      </c>
      <c r="J32" s="973" t="inlineStr">
        <is>
          <t>SRC-10</t>
        </is>
      </c>
      <c r="K32" s="973" t="n"/>
      <c r="L32" s="973" t="n"/>
      <c r="M32" s="973" t="n"/>
      <c r="N32" s="973" t="n"/>
      <c r="O32" s="973" t="n"/>
      <c r="P32" s="973" t="n"/>
    </row>
    <row r="33">
      <c r="A33" s="973" t="inlineStr">
        <is>
          <t>Nation-state</t>
        </is>
      </c>
      <c r="B33" s="973" t="inlineStr">
        <is>
          <t>SC_DISR</t>
        </is>
      </c>
      <c r="C33" s="973" t="inlineStr">
        <is>
          <t>Critical business-service disruption</t>
        </is>
      </c>
      <c r="D33" s="973" t="inlineStr">
        <is>
          <t>Duration</t>
        </is>
      </c>
      <c r="E33" s="973" t="inlineStr">
        <is>
          <t>RESTORATION</t>
        </is>
      </c>
      <c r="F33" s="973" t="inlineStr">
        <is>
          <t>P99</t>
        </is>
      </c>
      <c r="G33" s="973" t="n">
        <v>480000</v>
      </c>
      <c r="H33" s="973" t="b">
        <v>1</v>
      </c>
      <c r="I33" s="973" t="inlineStr">
        <is>
          <t>D</t>
        </is>
      </c>
      <c r="J33" s="973" t="inlineStr">
        <is>
          <t>SRC-10</t>
        </is>
      </c>
      <c r="K33" s="973" t="n"/>
      <c r="L33" s="973" t="n"/>
      <c r="M33" s="973" t="n"/>
      <c r="N33" s="973" t="n"/>
      <c r="O33" s="973" t="n"/>
      <c r="P33" s="973" t="n"/>
    </row>
    <row r="34">
      <c r="A34" s="973" t="inlineStr">
        <is>
          <t>Nation-state</t>
        </is>
      </c>
      <c r="B34" s="973" t="inlineStr">
        <is>
          <t>SC_DISR</t>
        </is>
      </c>
      <c r="C34" s="973" t="inlineStr">
        <is>
          <t>Critical business-service disruption</t>
        </is>
      </c>
      <c r="D34" s="973" t="inlineStr">
        <is>
          <t>Duration</t>
        </is>
      </c>
      <c r="E34" s="973" t="inlineStr">
        <is>
          <t>BUSINESS_INTERRUPTION</t>
        </is>
      </c>
      <c r="F34" s="973" t="inlineStr">
        <is>
          <t>P99</t>
        </is>
      </c>
      <c r="G34" s="973" t="n">
        <v>69863013.69863012</v>
      </c>
      <c r="H34" s="973" t="b">
        <v>1</v>
      </c>
      <c r="I34" s="973" t="inlineStr">
        <is>
          <t>D</t>
        </is>
      </c>
      <c r="J34" s="973" t="inlineStr">
        <is>
          <t>SRC-10</t>
        </is>
      </c>
      <c r="K34" s="973" t="n"/>
      <c r="L34" s="973" t="n"/>
      <c r="M34" s="973" t="n"/>
      <c r="N34" s="973" t="n"/>
      <c r="O34" s="973" t="n"/>
      <c r="P34" s="973" t="n"/>
    </row>
    <row r="35">
      <c r="A35" s="973" t="inlineStr">
        <is>
          <t>Nation-state</t>
        </is>
      </c>
      <c r="B35" s="973" t="inlineStr">
        <is>
          <t>SC_DISR</t>
        </is>
      </c>
      <c r="C35" s="973" t="inlineStr">
        <is>
          <t>Critical business-service disruption</t>
        </is>
      </c>
      <c r="D35" s="973" t="inlineStr">
        <is>
          <t>Duration</t>
        </is>
      </c>
      <c r="E35" s="973" t="inlineStr">
        <is>
          <t>ENDPOINT_RECOVERY</t>
        </is>
      </c>
      <c r="F35" s="973" t="inlineStr">
        <is>
          <t>P99</t>
        </is>
      </c>
      <c r="G35" s="973" t="n">
        <v>1250000</v>
      </c>
      <c r="H35" s="973" t="b">
        <v>1</v>
      </c>
      <c r="I35" s="973" t="inlineStr">
        <is>
          <t>D</t>
        </is>
      </c>
      <c r="J35" s="973" t="inlineStr">
        <is>
          <t>SRC-10</t>
        </is>
      </c>
      <c r="K35" s="973" t="n"/>
      <c r="L35" s="973" t="n"/>
      <c r="M35" s="973" t="n"/>
      <c r="N35" s="973" t="n"/>
      <c r="O35" s="973" t="n"/>
      <c r="P35" s="973" t="n"/>
    </row>
    <row r="36">
      <c r="A36" s="973" t="inlineStr">
        <is>
          <t>Nation-state</t>
        </is>
      </c>
      <c r="B36" s="973" t="inlineStr">
        <is>
          <t>SC_DISR</t>
        </is>
      </c>
      <c r="C36" s="973" t="inlineStr">
        <is>
          <t>Critical business-service disruption</t>
        </is>
      </c>
      <c r="D36" s="973" t="inlineStr">
        <is>
          <t>Duration</t>
        </is>
      </c>
      <c r="E36" s="973" t="inlineStr">
        <is>
          <t>SERVER_RECOVERY</t>
        </is>
      </c>
      <c r="F36" s="973" t="inlineStr">
        <is>
          <t>P99</t>
        </is>
      </c>
      <c r="G36" s="973" t="n">
        <v>2400000</v>
      </c>
      <c r="H36" s="973" t="b">
        <v>1</v>
      </c>
      <c r="I36" s="973" t="inlineStr">
        <is>
          <t>D</t>
        </is>
      </c>
      <c r="J36" s="973" t="inlineStr">
        <is>
          <t>SRC-10</t>
        </is>
      </c>
      <c r="K36" s="973" t="n"/>
      <c r="L36" s="973" t="n"/>
      <c r="M36" s="973" t="n"/>
      <c r="N36" s="973" t="n"/>
      <c r="O36" s="973" t="n"/>
      <c r="P36" s="973" t="n"/>
    </row>
    <row r="37">
      <c r="A37" s="973" t="inlineStr">
        <is>
          <t>Nation-state</t>
        </is>
      </c>
      <c r="B37" s="973" t="inlineStr">
        <is>
          <t>SC_DISR</t>
        </is>
      </c>
      <c r="C37" s="973" t="inlineStr">
        <is>
          <t>Critical business-service disruption</t>
        </is>
      </c>
      <c r="D37" s="973" t="inlineStr">
        <is>
          <t>Exposure</t>
        </is>
      </c>
      <c r="E37" s="973" t="inlineStr">
        <is>
          <t>NOTIFICATION</t>
        </is>
      </c>
      <c r="F37" s="973" t="inlineStr">
        <is>
          <t>P99</t>
        </is>
      </c>
      <c r="G37" s="973" t="n">
        <v>0</v>
      </c>
      <c r="H37" s="973" t="b">
        <v>0</v>
      </c>
      <c r="I37" s="973" t="inlineStr">
        <is>
          <t>D</t>
        </is>
      </c>
      <c r="J37" s="973" t="inlineStr">
        <is>
          <t>SRC-10</t>
        </is>
      </c>
      <c r="K37" s="973" t="n"/>
      <c r="L37" s="973" t="n"/>
      <c r="M37" s="973" t="n"/>
      <c r="N37" s="973" t="n"/>
      <c r="O37" s="973" t="n"/>
      <c r="P37" s="973" t="n"/>
    </row>
    <row r="38">
      <c r="A38" s="973" t="inlineStr">
        <is>
          <t>Nation-state</t>
        </is>
      </c>
      <c r="B38" s="973" t="inlineStr">
        <is>
          <t>SC_DISR</t>
        </is>
      </c>
      <c r="C38" s="973" t="inlineStr">
        <is>
          <t>Critical business-service disruption</t>
        </is>
      </c>
      <c r="D38" s="973" t="inlineStr">
        <is>
          <t>Exposure</t>
        </is>
      </c>
      <c r="E38" s="973" t="inlineStr">
        <is>
          <t>CREDIT_MONITORING</t>
        </is>
      </c>
      <c r="F38" s="973" t="inlineStr">
        <is>
          <t>P99</t>
        </is>
      </c>
      <c r="G38" s="973" t="n">
        <v>0</v>
      </c>
      <c r="H38" s="973" t="b">
        <v>0</v>
      </c>
      <c r="I38" s="973" t="inlineStr">
        <is>
          <t>D</t>
        </is>
      </c>
      <c r="J38" s="973" t="inlineStr">
        <is>
          <t>SRC-10</t>
        </is>
      </c>
      <c r="K38" s="973" t="n"/>
      <c r="L38" s="973" t="n"/>
      <c r="M38" s="973" t="n"/>
      <c r="N38" s="973" t="n"/>
      <c r="O38" s="973" t="n"/>
      <c r="P38" s="973" t="n"/>
    </row>
    <row r="39">
      <c r="A39" s="973" t="inlineStr">
        <is>
          <t>Nation-state</t>
        </is>
      </c>
      <c r="B39" s="973" t="inlineStr">
        <is>
          <t>SC_DISR</t>
        </is>
      </c>
      <c r="C39" s="973" t="inlineStr">
        <is>
          <t>Critical business-service disruption</t>
        </is>
      </c>
      <c r="D39" s="973" t="inlineStr">
        <is>
          <t>Exposure</t>
        </is>
      </c>
      <c r="E39" s="973" t="inlineStr">
        <is>
          <t>REGULATORY</t>
        </is>
      </c>
      <c r="F39" s="973" t="inlineStr">
        <is>
          <t>P99</t>
        </is>
      </c>
      <c r="G39" s="973" t="n">
        <v>0</v>
      </c>
      <c r="H39" s="973" t="b">
        <v>0</v>
      </c>
      <c r="I39" s="973" t="inlineStr">
        <is>
          <t>D</t>
        </is>
      </c>
      <c r="J39" s="973" t="inlineStr">
        <is>
          <t>SRC-10</t>
        </is>
      </c>
      <c r="K39" s="973" t="n"/>
      <c r="L39" s="973" t="n"/>
      <c r="M39" s="973" t="n"/>
      <c r="N39" s="973" t="n"/>
      <c r="O39" s="973" t="n"/>
      <c r="P39" s="973" t="n"/>
    </row>
    <row r="40">
      <c r="A40" s="973" t="inlineStr">
        <is>
          <t>Nation-state</t>
        </is>
      </c>
      <c r="B40" s="973" t="inlineStr">
        <is>
          <t>SC_DISR</t>
        </is>
      </c>
      <c r="C40" s="973" t="inlineStr">
        <is>
          <t>Critical business-service disruption</t>
        </is>
      </c>
      <c r="D40" s="973" t="inlineStr">
        <is>
          <t>Exposure</t>
        </is>
      </c>
      <c r="E40" s="973" t="inlineStr">
        <is>
          <t>CUSTOMER_ATTRITION</t>
        </is>
      </c>
      <c r="F40" s="973" t="inlineStr">
        <is>
          <t>P99</t>
        </is>
      </c>
      <c r="G40" s="973" t="n">
        <v>10000000</v>
      </c>
      <c r="H40" s="973" t="b">
        <v>1</v>
      </c>
      <c r="I40" s="973" t="inlineStr">
        <is>
          <t>D</t>
        </is>
      </c>
      <c r="J40" s="973" t="inlineStr">
        <is>
          <t>SRC-10</t>
        </is>
      </c>
      <c r="K40" s="973" t="n"/>
      <c r="L40" s="973" t="n"/>
      <c r="M40" s="973" t="n"/>
      <c r="N40" s="973" t="n"/>
      <c r="O40" s="973" t="n"/>
      <c r="P40" s="973" t="n"/>
    </row>
    <row r="41">
      <c r="A41" s="973" t="inlineStr">
        <is>
          <t>Nation-state</t>
        </is>
      </c>
      <c r="B41" s="973" t="inlineStr">
        <is>
          <t>SC_DISR</t>
        </is>
      </c>
      <c r="C41" s="973" t="inlineStr">
        <is>
          <t>Critical business-service disruption</t>
        </is>
      </c>
      <c r="D41" s="973" t="inlineStr">
        <is>
          <t>Direct</t>
        </is>
      </c>
      <c r="E41" s="973" t="inlineStr">
        <is>
          <t>FRAUD_NET_RECOVERY</t>
        </is>
      </c>
      <c r="F41" s="973" t="inlineStr">
        <is>
          <t>P99</t>
        </is>
      </c>
      <c r="G41" s="973" t="n">
        <v>0</v>
      </c>
      <c r="H41" s="973" t="b">
        <v>0</v>
      </c>
      <c r="I41" s="973" t="inlineStr">
        <is>
          <t>D</t>
        </is>
      </c>
      <c r="J41" s="973" t="inlineStr">
        <is>
          <t>SRC-10</t>
        </is>
      </c>
      <c r="K41" s="973" t="n"/>
      <c r="L41" s="973" t="n"/>
      <c r="M41" s="973" t="n"/>
      <c r="N41" s="973" t="n"/>
      <c r="O41" s="973" t="n"/>
      <c r="P41" s="973" t="n"/>
    </row>
    <row r="42">
      <c r="A42" s="973" t="inlineStr">
        <is>
          <t>Nation-state</t>
        </is>
      </c>
      <c r="B42" s="973" t="inlineStr">
        <is>
          <t>SC_DISR</t>
        </is>
      </c>
      <c r="C42" s="973" t="inlineStr">
        <is>
          <t>Critical business-service disruption</t>
        </is>
      </c>
      <c r="D42" s="973" t="inlineStr">
        <is>
          <t>Direct</t>
        </is>
      </c>
      <c r="E42" s="973" t="inlineStr">
        <is>
          <t>EXTORTION</t>
        </is>
      </c>
      <c r="F42" s="973" t="inlineStr">
        <is>
          <t>P99</t>
        </is>
      </c>
      <c r="G42" s="973" t="n">
        <v>0</v>
      </c>
      <c r="H42" s="973" t="b">
        <v>0</v>
      </c>
      <c r="I42" s="973" t="inlineStr">
        <is>
          <t>D</t>
        </is>
      </c>
      <c r="J42" s="973" t="inlineStr">
        <is>
          <t>SRC-10</t>
        </is>
      </c>
      <c r="K42" s="973" t="n"/>
      <c r="L42" s="973" t="n"/>
      <c r="M42" s="973" t="n"/>
      <c r="N42" s="973" t="n"/>
      <c r="O42" s="973" t="n"/>
      <c r="P42" s="973" t="n"/>
    </row>
    <row r="43">
      <c r="A43" s="973" t="inlineStr">
        <is>
          <t>Nation-state</t>
        </is>
      </c>
      <c r="B43" s="973" t="inlineStr">
        <is>
          <t>SC_DISR</t>
        </is>
      </c>
      <c r="C43" s="973" t="inlineStr">
        <is>
          <t>Critical business-service disruption</t>
        </is>
      </c>
      <c r="D43" s="973" t="inlineStr">
        <is>
          <t>Direct</t>
        </is>
      </c>
      <c r="E43" s="973" t="inlineStr">
        <is>
          <t>POST_EVENT_UPLIFT</t>
        </is>
      </c>
      <c r="F43" s="973" t="inlineStr">
        <is>
          <t>P99</t>
        </is>
      </c>
      <c r="G43" s="973" t="n">
        <v>5000000</v>
      </c>
      <c r="H43" s="973" t="b">
        <v>1</v>
      </c>
      <c r="I43" s="973" t="inlineStr">
        <is>
          <t>D</t>
        </is>
      </c>
      <c r="J43" s="973" t="inlineStr">
        <is>
          <t>SRC-10</t>
        </is>
      </c>
      <c r="K43" s="973" t="n"/>
      <c r="L43" s="973" t="n"/>
      <c r="M43" s="973" t="n"/>
      <c r="N43" s="973" t="n"/>
      <c r="O43" s="973" t="n"/>
      <c r="P43" s="973" t="n"/>
    </row>
    <row r="44">
      <c r="A44" s="973" t="inlineStr">
        <is>
          <t>Nation-state</t>
        </is>
      </c>
      <c r="B44" s="973" t="inlineStr">
        <is>
          <t>SC_DATA</t>
        </is>
      </c>
      <c r="C44" s="973" t="inlineStr">
        <is>
          <t>Sensitive-data compromise</t>
        </is>
      </c>
      <c r="D44" s="973" t="inlineStr">
        <is>
          <t>Duration</t>
        </is>
      </c>
      <c r="E44" s="973" t="inlineStr">
        <is>
          <t>IR_FORENSICS</t>
        </is>
      </c>
      <c r="F44" s="973" t="inlineStr">
        <is>
          <t>P50</t>
        </is>
      </c>
      <c r="G44" s="973" t="n">
        <v>40000</v>
      </c>
      <c r="H44" s="973" t="b">
        <v>1</v>
      </c>
      <c r="I44" s="973" t="inlineStr">
        <is>
          <t>D</t>
        </is>
      </c>
      <c r="J44" s="973" t="inlineStr">
        <is>
          <t>SRC-10</t>
        </is>
      </c>
      <c r="K44" s="973" t="n"/>
      <c r="L44" s="973" t="n"/>
      <c r="M44" s="973" t="n"/>
      <c r="N44" s="973" t="n"/>
      <c r="O44" s="973" t="n"/>
      <c r="P44" s="973" t="n"/>
    </row>
    <row r="45">
      <c r="A45" s="973" t="inlineStr">
        <is>
          <t>Nation-state</t>
        </is>
      </c>
      <c r="B45" s="973" t="inlineStr">
        <is>
          <t>SC_DATA</t>
        </is>
      </c>
      <c r="C45" s="973" t="inlineStr">
        <is>
          <t>Sensitive-data compromise</t>
        </is>
      </c>
      <c r="D45" s="973" t="inlineStr">
        <is>
          <t>Duration</t>
        </is>
      </c>
      <c r="E45" s="973" t="inlineStr">
        <is>
          <t>EXTERNAL_RESPONSE</t>
        </is>
      </c>
      <c r="F45" s="973" t="inlineStr">
        <is>
          <t>P50</t>
        </is>
      </c>
      <c r="G45" s="973" t="n">
        <v>90000</v>
      </c>
      <c r="H45" s="973" t="b">
        <v>1</v>
      </c>
      <c r="I45" s="973" t="inlineStr">
        <is>
          <t>D</t>
        </is>
      </c>
      <c r="J45" s="973" t="inlineStr">
        <is>
          <t>SRC-10</t>
        </is>
      </c>
      <c r="K45" s="973" t="n"/>
      <c r="L45" s="973" t="n"/>
      <c r="M45" s="973" t="n"/>
      <c r="N45" s="973" t="n"/>
      <c r="O45" s="973" t="n"/>
      <c r="P45" s="973" t="n"/>
    </row>
    <row r="46">
      <c r="A46" s="973" t="inlineStr">
        <is>
          <t>Nation-state</t>
        </is>
      </c>
      <c r="B46" s="973" t="inlineStr">
        <is>
          <t>SC_DATA</t>
        </is>
      </c>
      <c r="C46" s="973" t="inlineStr">
        <is>
          <t>Sensitive-data compromise</t>
        </is>
      </c>
      <c r="D46" s="973" t="inlineStr">
        <is>
          <t>Duration</t>
        </is>
      </c>
      <c r="E46" s="973" t="inlineStr">
        <is>
          <t>LEGAL_RESPONSE</t>
        </is>
      </c>
      <c r="F46" s="973" t="inlineStr">
        <is>
          <t>P50</t>
        </is>
      </c>
      <c r="G46" s="973" t="n">
        <v>150000</v>
      </c>
      <c r="H46" s="973" t="b">
        <v>1</v>
      </c>
      <c r="I46" s="973" t="inlineStr">
        <is>
          <t>D</t>
        </is>
      </c>
      <c r="J46" s="973" t="inlineStr">
        <is>
          <t>SRC-10</t>
        </is>
      </c>
      <c r="K46" s="973" t="n"/>
      <c r="L46" s="973" t="n"/>
      <c r="M46" s="973" t="n"/>
      <c r="N46" s="973" t="n"/>
      <c r="O46" s="973" t="n"/>
      <c r="P46" s="973" t="n"/>
    </row>
    <row r="47">
      <c r="A47" s="973" t="inlineStr">
        <is>
          <t>Nation-state</t>
        </is>
      </c>
      <c r="B47" s="973" t="inlineStr">
        <is>
          <t>SC_DATA</t>
        </is>
      </c>
      <c r="C47" s="973" t="inlineStr">
        <is>
          <t>Sensitive-data compromise</t>
        </is>
      </c>
      <c r="D47" s="973" t="inlineStr">
        <is>
          <t>Duration</t>
        </is>
      </c>
      <c r="E47" s="973" t="inlineStr">
        <is>
          <t>RESTORATION</t>
        </is>
      </c>
      <c r="F47" s="973" t="inlineStr">
        <is>
          <t>P50</t>
        </is>
      </c>
      <c r="G47" s="973" t="n">
        <v>40000</v>
      </c>
      <c r="H47" s="973" t="b">
        <v>1</v>
      </c>
      <c r="I47" s="973" t="inlineStr">
        <is>
          <t>D</t>
        </is>
      </c>
      <c r="J47" s="973" t="inlineStr">
        <is>
          <t>SRC-10</t>
        </is>
      </c>
      <c r="K47" s="973" t="n"/>
      <c r="L47" s="973" t="n"/>
      <c r="M47" s="973" t="n"/>
      <c r="N47" s="973" t="n"/>
      <c r="O47" s="973" t="n"/>
      <c r="P47" s="973" t="n"/>
    </row>
    <row r="48">
      <c r="A48" s="973" t="inlineStr">
        <is>
          <t>Nation-state</t>
        </is>
      </c>
      <c r="B48" s="973" t="inlineStr">
        <is>
          <t>SC_DATA</t>
        </is>
      </c>
      <c r="C48" s="973" t="inlineStr">
        <is>
          <t>Sensitive-data compromise</t>
        </is>
      </c>
      <c r="D48" s="973" t="inlineStr">
        <is>
          <t>Duration</t>
        </is>
      </c>
      <c r="E48" s="973" t="inlineStr">
        <is>
          <t>BUSINESS_INTERRUPTION</t>
        </is>
      </c>
      <c r="F48" s="973" t="inlineStr">
        <is>
          <t>P50</t>
        </is>
      </c>
      <c r="G48" s="973" t="n">
        <v>273972.602739726</v>
      </c>
      <c r="H48" s="973" t="b">
        <v>1</v>
      </c>
      <c r="I48" s="973" t="inlineStr">
        <is>
          <t>D</t>
        </is>
      </c>
      <c r="J48" s="973" t="inlineStr">
        <is>
          <t>SRC-10</t>
        </is>
      </c>
      <c r="K48" s="973" t="n"/>
      <c r="L48" s="973" t="n"/>
      <c r="M48" s="973" t="n"/>
      <c r="N48" s="973" t="n"/>
      <c r="O48" s="973" t="n"/>
      <c r="P48" s="973" t="n"/>
    </row>
    <row r="49">
      <c r="A49" s="973" t="inlineStr">
        <is>
          <t>Nation-state</t>
        </is>
      </c>
      <c r="B49" s="973" t="inlineStr">
        <is>
          <t>SC_DATA</t>
        </is>
      </c>
      <c r="C49" s="973" t="inlineStr">
        <is>
          <t>Sensitive-data compromise</t>
        </is>
      </c>
      <c r="D49" s="973" t="inlineStr">
        <is>
          <t>Duration</t>
        </is>
      </c>
      <c r="E49" s="973" t="inlineStr">
        <is>
          <t>ENDPOINT_RECOVERY</t>
        </is>
      </c>
      <c r="F49" s="973" t="inlineStr">
        <is>
          <t>P50</t>
        </is>
      </c>
      <c r="G49" s="973" t="n">
        <v>50000</v>
      </c>
      <c r="H49" s="973" t="b">
        <v>1</v>
      </c>
      <c r="I49" s="973" t="inlineStr">
        <is>
          <t>D</t>
        </is>
      </c>
      <c r="J49" s="973" t="inlineStr">
        <is>
          <t>SRC-10</t>
        </is>
      </c>
      <c r="K49" s="973" t="n"/>
      <c r="L49" s="973" t="n"/>
      <c r="M49" s="973" t="n"/>
      <c r="N49" s="973" t="n"/>
      <c r="O49" s="973" t="n"/>
      <c r="P49" s="973" t="n"/>
    </row>
    <row r="50">
      <c r="A50" s="973" t="inlineStr">
        <is>
          <t>Nation-state</t>
        </is>
      </c>
      <c r="B50" s="973" t="inlineStr">
        <is>
          <t>SC_DATA</t>
        </is>
      </c>
      <c r="C50" s="973" t="inlineStr">
        <is>
          <t>Sensitive-data compromise</t>
        </is>
      </c>
      <c r="D50" s="973" t="inlineStr">
        <is>
          <t>Duration</t>
        </is>
      </c>
      <c r="E50" s="973" t="inlineStr">
        <is>
          <t>SERVER_RECOVERY</t>
        </is>
      </c>
      <c r="F50" s="973" t="inlineStr">
        <is>
          <t>P50</t>
        </is>
      </c>
      <c r="G50" s="973" t="n">
        <v>125000</v>
      </c>
      <c r="H50" s="973" t="b">
        <v>1</v>
      </c>
      <c r="I50" s="973" t="inlineStr">
        <is>
          <t>D</t>
        </is>
      </c>
      <c r="J50" s="973" t="inlineStr">
        <is>
          <t>SRC-10</t>
        </is>
      </c>
      <c r="K50" s="973" t="n"/>
      <c r="L50" s="973" t="n"/>
      <c r="M50" s="973" t="n"/>
      <c r="N50" s="973" t="n"/>
      <c r="O50" s="973" t="n"/>
      <c r="P50" s="973" t="n"/>
    </row>
    <row r="51">
      <c r="A51" s="973" t="inlineStr">
        <is>
          <t>Nation-state</t>
        </is>
      </c>
      <c r="B51" s="973" t="inlineStr">
        <is>
          <t>SC_DATA</t>
        </is>
      </c>
      <c r="C51" s="973" t="inlineStr">
        <is>
          <t>Sensitive-data compromise</t>
        </is>
      </c>
      <c r="D51" s="973" t="inlineStr">
        <is>
          <t>Exposure</t>
        </is>
      </c>
      <c r="E51" s="973" t="inlineStr">
        <is>
          <t>NOTIFICATION</t>
        </is>
      </c>
      <c r="F51" s="973" t="inlineStr">
        <is>
          <t>P50</t>
        </is>
      </c>
      <c r="G51" s="973" t="n">
        <v>125000</v>
      </c>
      <c r="H51" s="973" t="b">
        <v>1</v>
      </c>
      <c r="I51" s="973" t="inlineStr">
        <is>
          <t>D</t>
        </is>
      </c>
      <c r="J51" s="973" t="inlineStr">
        <is>
          <t>SRC-10</t>
        </is>
      </c>
      <c r="K51" s="973" t="n"/>
      <c r="L51" s="973" t="n"/>
      <c r="M51" s="973" t="n"/>
      <c r="N51" s="973" t="n"/>
      <c r="O51" s="973" t="n"/>
      <c r="P51" s="973" t="n"/>
    </row>
    <row r="52">
      <c r="A52" s="973" t="inlineStr">
        <is>
          <t>Nation-state</t>
        </is>
      </c>
      <c r="B52" s="973" t="inlineStr">
        <is>
          <t>SC_DATA</t>
        </is>
      </c>
      <c r="C52" s="973" t="inlineStr">
        <is>
          <t>Sensitive-data compromise</t>
        </is>
      </c>
      <c r="D52" s="973" t="inlineStr">
        <is>
          <t>Exposure</t>
        </is>
      </c>
      <c r="E52" s="973" t="inlineStr">
        <is>
          <t>CREDIT_MONITORING</t>
        </is>
      </c>
      <c r="F52" s="973" t="inlineStr">
        <is>
          <t>P50</t>
        </is>
      </c>
      <c r="G52" s="973" t="n">
        <v>200000</v>
      </c>
      <c r="H52" s="973" t="b">
        <v>1</v>
      </c>
      <c r="I52" s="973" t="inlineStr">
        <is>
          <t>D</t>
        </is>
      </c>
      <c r="J52" s="973" t="inlineStr">
        <is>
          <t>SRC-10</t>
        </is>
      </c>
      <c r="K52" s="973" t="n"/>
      <c r="L52" s="973" t="n"/>
      <c r="M52" s="973" t="n"/>
      <c r="N52" s="973" t="n"/>
      <c r="O52" s="973" t="n"/>
      <c r="P52" s="973" t="n"/>
    </row>
    <row r="53">
      <c r="A53" s="973" t="inlineStr">
        <is>
          <t>Nation-state</t>
        </is>
      </c>
      <c r="B53" s="973" t="inlineStr">
        <is>
          <t>SC_DATA</t>
        </is>
      </c>
      <c r="C53" s="973" t="inlineStr">
        <is>
          <t>Sensitive-data compromise</t>
        </is>
      </c>
      <c r="D53" s="973" t="inlineStr">
        <is>
          <t>Exposure</t>
        </is>
      </c>
      <c r="E53" s="973" t="inlineStr">
        <is>
          <t>REGULATORY</t>
        </is>
      </c>
      <c r="F53" s="973" t="inlineStr">
        <is>
          <t>P50</t>
        </is>
      </c>
      <c r="G53" s="973" t="n">
        <v>1000000</v>
      </c>
      <c r="H53" s="973" t="b">
        <v>1</v>
      </c>
      <c r="I53" s="973" t="inlineStr">
        <is>
          <t>D</t>
        </is>
      </c>
      <c r="J53" s="973" t="inlineStr">
        <is>
          <t>SRC-10</t>
        </is>
      </c>
      <c r="K53" s="973" t="n"/>
      <c r="L53" s="973" t="n"/>
      <c r="M53" s="973" t="n"/>
      <c r="N53" s="973" t="n"/>
      <c r="O53" s="973" t="n"/>
      <c r="P53" s="973" t="n"/>
    </row>
    <row r="54">
      <c r="A54" s="973" t="inlineStr">
        <is>
          <t>Nation-state</t>
        </is>
      </c>
      <c r="B54" s="973" t="inlineStr">
        <is>
          <t>SC_DATA</t>
        </is>
      </c>
      <c r="C54" s="973" t="inlineStr">
        <is>
          <t>Sensitive-data compromise</t>
        </is>
      </c>
      <c r="D54" s="973" t="inlineStr">
        <is>
          <t>Exposure</t>
        </is>
      </c>
      <c r="E54" s="973" t="inlineStr">
        <is>
          <t>CUSTOMER_ATTRITION</t>
        </is>
      </c>
      <c r="F54" s="973" t="inlineStr">
        <is>
          <t>P50</t>
        </is>
      </c>
      <c r="G54" s="973" t="n">
        <v>2000000</v>
      </c>
      <c r="H54" s="973" t="b">
        <v>1</v>
      </c>
      <c r="I54" s="973" t="inlineStr">
        <is>
          <t>D</t>
        </is>
      </c>
      <c r="J54" s="973" t="inlineStr">
        <is>
          <t>SRC-10</t>
        </is>
      </c>
      <c r="K54" s="973" t="n"/>
      <c r="L54" s="973" t="n"/>
      <c r="M54" s="973" t="n"/>
      <c r="N54" s="973" t="n"/>
      <c r="O54" s="973" t="n"/>
      <c r="P54" s="973" t="n"/>
    </row>
    <row r="55">
      <c r="A55" s="973" t="inlineStr">
        <is>
          <t>Nation-state</t>
        </is>
      </c>
      <c r="B55" s="973" t="inlineStr">
        <is>
          <t>SC_DATA</t>
        </is>
      </c>
      <c r="C55" s="973" t="inlineStr">
        <is>
          <t>Sensitive-data compromise</t>
        </is>
      </c>
      <c r="D55" s="973" t="inlineStr">
        <is>
          <t>Direct</t>
        </is>
      </c>
      <c r="E55" s="973" t="inlineStr">
        <is>
          <t>FRAUD_NET_RECOVERY</t>
        </is>
      </c>
      <c r="F55" s="973" t="inlineStr">
        <is>
          <t>P50</t>
        </is>
      </c>
      <c r="G55" s="973" t="n">
        <v>0</v>
      </c>
      <c r="H55" s="973" t="b">
        <v>0</v>
      </c>
      <c r="I55" s="973" t="inlineStr">
        <is>
          <t>D</t>
        </is>
      </c>
      <c r="J55" s="973" t="inlineStr">
        <is>
          <t>SRC-10</t>
        </is>
      </c>
      <c r="K55" s="973" t="n"/>
      <c r="L55" s="973" t="n"/>
      <c r="M55" s="973" t="n"/>
      <c r="N55" s="973" t="n"/>
      <c r="O55" s="973" t="n"/>
      <c r="P55" s="973" t="n"/>
    </row>
    <row r="56">
      <c r="A56" s="973" t="inlineStr">
        <is>
          <t>Nation-state</t>
        </is>
      </c>
      <c r="B56" s="973" t="inlineStr">
        <is>
          <t>SC_DATA</t>
        </is>
      </c>
      <c r="C56" s="973" t="inlineStr">
        <is>
          <t>Sensitive-data compromise</t>
        </is>
      </c>
      <c r="D56" s="973" t="inlineStr">
        <is>
          <t>Direct</t>
        </is>
      </c>
      <c r="E56" s="973" t="inlineStr">
        <is>
          <t>EXTORTION</t>
        </is>
      </c>
      <c r="F56" s="973" t="inlineStr">
        <is>
          <t>P50</t>
        </is>
      </c>
      <c r="G56" s="973" t="n">
        <v>0</v>
      </c>
      <c r="H56" s="973" t="b">
        <v>0</v>
      </c>
      <c r="I56" s="973" t="inlineStr">
        <is>
          <t>D</t>
        </is>
      </c>
      <c r="J56" s="973" t="inlineStr">
        <is>
          <t>SRC-10</t>
        </is>
      </c>
      <c r="K56" s="973" t="n"/>
      <c r="L56" s="973" t="n"/>
      <c r="M56" s="973" t="n"/>
      <c r="N56" s="973" t="n"/>
      <c r="O56" s="973" t="n"/>
      <c r="P56" s="973" t="n"/>
    </row>
    <row r="57">
      <c r="A57" s="973" t="inlineStr">
        <is>
          <t>Nation-state</t>
        </is>
      </c>
      <c r="B57" s="973" t="inlineStr">
        <is>
          <t>SC_DATA</t>
        </is>
      </c>
      <c r="C57" s="973" t="inlineStr">
        <is>
          <t>Sensitive-data compromise</t>
        </is>
      </c>
      <c r="D57" s="973" t="inlineStr">
        <is>
          <t>Direct</t>
        </is>
      </c>
      <c r="E57" s="973" t="inlineStr">
        <is>
          <t>POST_EVENT_UPLIFT</t>
        </is>
      </c>
      <c r="F57" s="973" t="inlineStr">
        <is>
          <t>P50</t>
        </is>
      </c>
      <c r="G57" s="973" t="n">
        <v>1000000</v>
      </c>
      <c r="H57" s="973" t="b">
        <v>1</v>
      </c>
      <c r="I57" s="973" t="inlineStr">
        <is>
          <t>D</t>
        </is>
      </c>
      <c r="J57" s="973" t="inlineStr">
        <is>
          <t>SRC-10</t>
        </is>
      </c>
      <c r="K57" s="973" t="n"/>
      <c r="L57" s="973" t="n"/>
      <c r="M57" s="973" t="n"/>
      <c r="N57" s="973" t="n"/>
      <c r="O57" s="973" t="n"/>
      <c r="P57" s="973" t="n"/>
    </row>
    <row r="58">
      <c r="A58" s="973" t="inlineStr">
        <is>
          <t>Nation-state</t>
        </is>
      </c>
      <c r="B58" s="973" t="inlineStr">
        <is>
          <t>SC_DATA</t>
        </is>
      </c>
      <c r="C58" s="973" t="inlineStr">
        <is>
          <t>Sensitive-data compromise</t>
        </is>
      </c>
      <c r="D58" s="973" t="inlineStr">
        <is>
          <t>Duration</t>
        </is>
      </c>
      <c r="E58" s="973" t="inlineStr">
        <is>
          <t>IR_FORENSICS</t>
        </is>
      </c>
      <c r="F58" s="973" t="inlineStr">
        <is>
          <t>P99</t>
        </is>
      </c>
      <c r="G58" s="973" t="n">
        <v>480000</v>
      </c>
      <c r="H58" s="973" t="b">
        <v>1</v>
      </c>
      <c r="I58" s="973" t="inlineStr">
        <is>
          <t>D</t>
        </is>
      </c>
      <c r="J58" s="973" t="inlineStr">
        <is>
          <t>SRC-10</t>
        </is>
      </c>
      <c r="K58" s="973" t="n"/>
      <c r="L58" s="973" t="n"/>
      <c r="M58" s="973" t="n"/>
      <c r="N58" s="973" t="n"/>
      <c r="O58" s="973" t="n"/>
      <c r="P58" s="973" t="n"/>
    </row>
    <row r="59">
      <c r="A59" s="973" t="inlineStr">
        <is>
          <t>Nation-state</t>
        </is>
      </c>
      <c r="B59" s="973" t="inlineStr">
        <is>
          <t>SC_DATA</t>
        </is>
      </c>
      <c r="C59" s="973" t="inlineStr">
        <is>
          <t>Sensitive-data compromise</t>
        </is>
      </c>
      <c r="D59" s="973" t="inlineStr">
        <is>
          <t>Duration</t>
        </is>
      </c>
      <c r="E59" s="973" t="inlineStr">
        <is>
          <t>EXTERNAL_RESPONSE</t>
        </is>
      </c>
      <c r="F59" s="973" t="inlineStr">
        <is>
          <t>P99</t>
        </is>
      </c>
      <c r="G59" s="973" t="n">
        <v>900000</v>
      </c>
      <c r="H59" s="973" t="b">
        <v>1</v>
      </c>
      <c r="I59" s="973" t="inlineStr">
        <is>
          <t>D</t>
        </is>
      </c>
      <c r="J59" s="973" t="inlineStr">
        <is>
          <t>SRC-10</t>
        </is>
      </c>
      <c r="K59" s="973" t="n"/>
      <c r="L59" s="973" t="n"/>
      <c r="M59" s="973" t="n"/>
      <c r="N59" s="973" t="n"/>
      <c r="O59" s="973" t="n"/>
      <c r="P59" s="973" t="n"/>
    </row>
    <row r="60">
      <c r="A60" s="973" t="inlineStr">
        <is>
          <t>Nation-state</t>
        </is>
      </c>
      <c r="B60" s="973" t="inlineStr">
        <is>
          <t>SC_DATA</t>
        </is>
      </c>
      <c r="C60" s="973" t="inlineStr">
        <is>
          <t>Sensitive-data compromise</t>
        </is>
      </c>
      <c r="D60" s="973" t="inlineStr">
        <is>
          <t>Duration</t>
        </is>
      </c>
      <c r="E60" s="973" t="inlineStr">
        <is>
          <t>LEGAL_RESPONSE</t>
        </is>
      </c>
      <c r="F60" s="973" t="inlineStr">
        <is>
          <t>P99</t>
        </is>
      </c>
      <c r="G60" s="973" t="n">
        <v>1800000</v>
      </c>
      <c r="H60" s="973" t="b">
        <v>1</v>
      </c>
      <c r="I60" s="973" t="inlineStr">
        <is>
          <t>D</t>
        </is>
      </c>
      <c r="J60" s="973" t="inlineStr">
        <is>
          <t>SRC-10</t>
        </is>
      </c>
      <c r="K60" s="973" t="n"/>
      <c r="L60" s="973" t="n"/>
      <c r="M60" s="973" t="n"/>
      <c r="N60" s="973" t="n"/>
      <c r="O60" s="973" t="n"/>
      <c r="P60" s="973" t="n"/>
    </row>
    <row r="61">
      <c r="A61" s="973" t="inlineStr">
        <is>
          <t>Nation-state</t>
        </is>
      </c>
      <c r="B61" s="973" t="inlineStr">
        <is>
          <t>SC_DATA</t>
        </is>
      </c>
      <c r="C61" s="973" t="inlineStr">
        <is>
          <t>Sensitive-data compromise</t>
        </is>
      </c>
      <c r="D61" s="973" t="inlineStr">
        <is>
          <t>Duration</t>
        </is>
      </c>
      <c r="E61" s="973" t="inlineStr">
        <is>
          <t>RESTORATION</t>
        </is>
      </c>
      <c r="F61" s="973" t="inlineStr">
        <is>
          <t>P99</t>
        </is>
      </c>
      <c r="G61" s="973" t="n">
        <v>480000</v>
      </c>
      <c r="H61" s="973" t="b">
        <v>1</v>
      </c>
      <c r="I61" s="973" t="inlineStr">
        <is>
          <t>D</t>
        </is>
      </c>
      <c r="J61" s="973" t="inlineStr">
        <is>
          <t>SRC-10</t>
        </is>
      </c>
      <c r="K61" s="973" t="n"/>
      <c r="L61" s="973" t="n"/>
      <c r="M61" s="973" t="n"/>
      <c r="N61" s="973" t="n"/>
      <c r="O61" s="973" t="n"/>
      <c r="P61" s="973" t="n"/>
    </row>
    <row r="62">
      <c r="A62" s="973" t="inlineStr">
        <is>
          <t>Nation-state</t>
        </is>
      </c>
      <c r="B62" s="973" t="inlineStr">
        <is>
          <t>SC_DATA</t>
        </is>
      </c>
      <c r="C62" s="973" t="inlineStr">
        <is>
          <t>Sensitive-data compromise</t>
        </is>
      </c>
      <c r="D62" s="973" t="inlineStr">
        <is>
          <t>Duration</t>
        </is>
      </c>
      <c r="E62" s="973" t="inlineStr">
        <is>
          <t>BUSINESS_INTERRUPTION</t>
        </is>
      </c>
      <c r="F62" s="973" t="inlineStr">
        <is>
          <t>P99</t>
        </is>
      </c>
      <c r="G62" s="973" t="n">
        <v>10958904.10958904</v>
      </c>
      <c r="H62" s="973" t="b">
        <v>1</v>
      </c>
      <c r="I62" s="973" t="inlineStr">
        <is>
          <t>D</t>
        </is>
      </c>
      <c r="J62" s="973" t="inlineStr">
        <is>
          <t>SRC-10</t>
        </is>
      </c>
      <c r="K62" s="973" t="n"/>
      <c r="L62" s="973" t="n"/>
      <c r="M62" s="973" t="n"/>
      <c r="N62" s="973" t="n"/>
      <c r="O62" s="973" t="n"/>
      <c r="P62" s="973" t="n"/>
    </row>
    <row r="63">
      <c r="A63" s="973" t="inlineStr">
        <is>
          <t>Nation-state</t>
        </is>
      </c>
      <c r="B63" s="973" t="inlineStr">
        <is>
          <t>SC_DATA</t>
        </is>
      </c>
      <c r="C63" s="973" t="inlineStr">
        <is>
          <t>Sensitive-data compromise</t>
        </is>
      </c>
      <c r="D63" s="973" t="inlineStr">
        <is>
          <t>Duration</t>
        </is>
      </c>
      <c r="E63" s="973" t="inlineStr">
        <is>
          <t>ENDPOINT_RECOVERY</t>
        </is>
      </c>
      <c r="F63" s="973" t="inlineStr">
        <is>
          <t>P99</t>
        </is>
      </c>
      <c r="G63" s="973" t="n">
        <v>750000</v>
      </c>
      <c r="H63" s="973" t="b">
        <v>1</v>
      </c>
      <c r="I63" s="973" t="inlineStr">
        <is>
          <t>D</t>
        </is>
      </c>
      <c r="J63" s="973" t="inlineStr">
        <is>
          <t>SRC-10</t>
        </is>
      </c>
      <c r="K63" s="973" t="n"/>
      <c r="L63" s="973" t="n"/>
      <c r="M63" s="973" t="n"/>
      <c r="N63" s="973" t="n"/>
      <c r="O63" s="973" t="n"/>
      <c r="P63" s="973" t="n"/>
    </row>
    <row r="64">
      <c r="A64" s="973" t="inlineStr">
        <is>
          <t>Nation-state</t>
        </is>
      </c>
      <c r="B64" s="973" t="inlineStr">
        <is>
          <t>SC_DATA</t>
        </is>
      </c>
      <c r="C64" s="973" t="inlineStr">
        <is>
          <t>Sensitive-data compromise</t>
        </is>
      </c>
      <c r="D64" s="973" t="inlineStr">
        <is>
          <t>Duration</t>
        </is>
      </c>
      <c r="E64" s="973" t="inlineStr">
        <is>
          <t>SERVER_RECOVERY</t>
        </is>
      </c>
      <c r="F64" s="973" t="inlineStr">
        <is>
          <t>P99</t>
        </is>
      </c>
      <c r="G64" s="973" t="n">
        <v>1000000</v>
      </c>
      <c r="H64" s="973" t="b">
        <v>1</v>
      </c>
      <c r="I64" s="973" t="inlineStr">
        <is>
          <t>D</t>
        </is>
      </c>
      <c r="J64" s="973" t="inlineStr">
        <is>
          <t>SRC-10</t>
        </is>
      </c>
      <c r="K64" s="973" t="n"/>
      <c r="L64" s="973" t="n"/>
      <c r="M64" s="973" t="n"/>
      <c r="N64" s="973" t="n"/>
      <c r="O64" s="973" t="n"/>
      <c r="P64" s="973" t="n"/>
    </row>
    <row r="65">
      <c r="A65" s="973" t="inlineStr">
        <is>
          <t>Nation-state</t>
        </is>
      </c>
      <c r="B65" s="973" t="inlineStr">
        <is>
          <t>SC_DATA</t>
        </is>
      </c>
      <c r="C65" s="973" t="inlineStr">
        <is>
          <t>Sensitive-data compromise</t>
        </is>
      </c>
      <c r="D65" s="973" t="inlineStr">
        <is>
          <t>Exposure</t>
        </is>
      </c>
      <c r="E65" s="973" t="inlineStr">
        <is>
          <t>NOTIFICATION</t>
        </is>
      </c>
      <c r="F65" s="973" t="inlineStr">
        <is>
          <t>P99</t>
        </is>
      </c>
      <c r="G65" s="973" t="n">
        <v>4000000</v>
      </c>
      <c r="H65" s="973" t="b">
        <v>1</v>
      </c>
      <c r="I65" s="973" t="inlineStr">
        <is>
          <t>D</t>
        </is>
      </c>
      <c r="J65" s="973" t="inlineStr">
        <is>
          <t>SRC-10</t>
        </is>
      </c>
      <c r="K65" s="973" t="n"/>
      <c r="L65" s="973" t="n"/>
      <c r="M65" s="973" t="n"/>
      <c r="N65" s="973" t="n"/>
      <c r="O65" s="973" t="n"/>
      <c r="P65" s="973" t="n"/>
    </row>
    <row r="66">
      <c r="A66" s="973" t="inlineStr">
        <is>
          <t>Nation-state</t>
        </is>
      </c>
      <c r="B66" s="973" t="inlineStr">
        <is>
          <t>SC_DATA</t>
        </is>
      </c>
      <c r="C66" s="973" t="inlineStr">
        <is>
          <t>Sensitive-data compromise</t>
        </is>
      </c>
      <c r="D66" s="973" t="inlineStr">
        <is>
          <t>Exposure</t>
        </is>
      </c>
      <c r="E66" s="973" t="inlineStr">
        <is>
          <t>CREDIT_MONITORING</t>
        </is>
      </c>
      <c r="F66" s="973" t="inlineStr">
        <is>
          <t>P99</t>
        </is>
      </c>
      <c r="G66" s="973" t="n">
        <v>20000000</v>
      </c>
      <c r="H66" s="973" t="b">
        <v>1</v>
      </c>
      <c r="I66" s="973" t="inlineStr">
        <is>
          <t>D</t>
        </is>
      </c>
      <c r="J66" s="973" t="inlineStr">
        <is>
          <t>SRC-10</t>
        </is>
      </c>
      <c r="K66" s="973" t="n"/>
      <c r="L66" s="973" t="n"/>
      <c r="M66" s="973" t="n"/>
      <c r="N66" s="973" t="n"/>
      <c r="O66" s="973" t="n"/>
      <c r="P66" s="973" t="n"/>
    </row>
    <row r="67">
      <c r="A67" s="973" t="inlineStr">
        <is>
          <t>Nation-state</t>
        </is>
      </c>
      <c r="B67" s="973" t="inlineStr">
        <is>
          <t>SC_DATA</t>
        </is>
      </c>
      <c r="C67" s="973" t="inlineStr">
        <is>
          <t>Sensitive-data compromise</t>
        </is>
      </c>
      <c r="D67" s="973" t="inlineStr">
        <is>
          <t>Exposure</t>
        </is>
      </c>
      <c r="E67" s="973" t="inlineStr">
        <is>
          <t>REGULATORY</t>
        </is>
      </c>
      <c r="F67" s="973" t="inlineStr">
        <is>
          <t>P99</t>
        </is>
      </c>
      <c r="G67" s="973" t="n">
        <v>10000000</v>
      </c>
      <c r="H67" s="973" t="b">
        <v>1</v>
      </c>
      <c r="I67" s="973" t="inlineStr">
        <is>
          <t>D</t>
        </is>
      </c>
      <c r="J67" s="973" t="inlineStr">
        <is>
          <t>SRC-10</t>
        </is>
      </c>
      <c r="K67" s="973" t="n"/>
      <c r="L67" s="973" t="n"/>
      <c r="M67" s="973" t="n"/>
      <c r="N67" s="973" t="n"/>
      <c r="O67" s="973" t="n"/>
      <c r="P67" s="973" t="n"/>
    </row>
    <row r="68">
      <c r="A68" s="973" t="inlineStr">
        <is>
          <t>Nation-state</t>
        </is>
      </c>
      <c r="B68" s="973" t="inlineStr">
        <is>
          <t>SC_DATA</t>
        </is>
      </c>
      <c r="C68" s="973" t="inlineStr">
        <is>
          <t>Sensitive-data compromise</t>
        </is>
      </c>
      <c r="D68" s="973" t="inlineStr">
        <is>
          <t>Exposure</t>
        </is>
      </c>
      <c r="E68" s="973" t="inlineStr">
        <is>
          <t>CUSTOMER_ATTRITION</t>
        </is>
      </c>
      <c r="F68" s="973" t="inlineStr">
        <is>
          <t>P99</t>
        </is>
      </c>
      <c r="G68" s="973" t="n">
        <v>30000000</v>
      </c>
      <c r="H68" s="973" t="b">
        <v>1</v>
      </c>
      <c r="I68" s="973" t="inlineStr">
        <is>
          <t>D</t>
        </is>
      </c>
      <c r="J68" s="973" t="inlineStr">
        <is>
          <t>SRC-10</t>
        </is>
      </c>
      <c r="K68" s="973" t="n"/>
      <c r="L68" s="973" t="n"/>
      <c r="M68" s="973" t="n"/>
      <c r="N68" s="973" t="n"/>
      <c r="O68" s="973" t="n"/>
      <c r="P68" s="973" t="n"/>
    </row>
    <row r="69">
      <c r="A69" s="973" t="inlineStr">
        <is>
          <t>Nation-state</t>
        </is>
      </c>
      <c r="B69" s="973" t="inlineStr">
        <is>
          <t>SC_DATA</t>
        </is>
      </c>
      <c r="C69" s="973" t="inlineStr">
        <is>
          <t>Sensitive-data compromise</t>
        </is>
      </c>
      <c r="D69" s="973" t="inlineStr">
        <is>
          <t>Direct</t>
        </is>
      </c>
      <c r="E69" s="973" t="inlineStr">
        <is>
          <t>FRAUD_NET_RECOVERY</t>
        </is>
      </c>
      <c r="F69" s="973" t="inlineStr">
        <is>
          <t>P99</t>
        </is>
      </c>
      <c r="G69" s="973" t="n">
        <v>0</v>
      </c>
      <c r="H69" s="973" t="b">
        <v>0</v>
      </c>
      <c r="I69" s="973" t="inlineStr">
        <is>
          <t>D</t>
        </is>
      </c>
      <c r="J69" s="973" t="inlineStr">
        <is>
          <t>SRC-10</t>
        </is>
      </c>
      <c r="K69" s="973" t="n"/>
      <c r="L69" s="973" t="n"/>
      <c r="M69" s="973" t="n"/>
      <c r="N69" s="973" t="n"/>
      <c r="O69" s="973" t="n"/>
      <c r="P69" s="973" t="n"/>
    </row>
    <row r="70">
      <c r="A70" s="973" t="inlineStr">
        <is>
          <t>Nation-state</t>
        </is>
      </c>
      <c r="B70" s="973" t="inlineStr">
        <is>
          <t>SC_DATA</t>
        </is>
      </c>
      <c r="C70" s="973" t="inlineStr">
        <is>
          <t>Sensitive-data compromise</t>
        </is>
      </c>
      <c r="D70" s="973" t="inlineStr">
        <is>
          <t>Direct</t>
        </is>
      </c>
      <c r="E70" s="973" t="inlineStr">
        <is>
          <t>EXTORTION</t>
        </is>
      </c>
      <c r="F70" s="973" t="inlineStr">
        <is>
          <t>P99</t>
        </is>
      </c>
      <c r="G70" s="973" t="n">
        <v>0</v>
      </c>
      <c r="H70" s="973" t="b">
        <v>0</v>
      </c>
      <c r="I70" s="973" t="inlineStr">
        <is>
          <t>D</t>
        </is>
      </c>
      <c r="J70" s="973" t="inlineStr">
        <is>
          <t>SRC-10</t>
        </is>
      </c>
      <c r="K70" s="973" t="n"/>
      <c r="L70" s="973" t="n"/>
      <c r="M70" s="973" t="n"/>
      <c r="N70" s="973" t="n"/>
      <c r="O70" s="973" t="n"/>
      <c r="P70" s="973" t="n"/>
    </row>
    <row r="71">
      <c r="A71" s="973" t="inlineStr">
        <is>
          <t>Nation-state</t>
        </is>
      </c>
      <c r="B71" s="973" t="inlineStr">
        <is>
          <t>SC_DATA</t>
        </is>
      </c>
      <c r="C71" s="973" t="inlineStr">
        <is>
          <t>Sensitive-data compromise</t>
        </is>
      </c>
      <c r="D71" s="973" t="inlineStr">
        <is>
          <t>Direct</t>
        </is>
      </c>
      <c r="E71" s="973" t="inlineStr">
        <is>
          <t>POST_EVENT_UPLIFT</t>
        </is>
      </c>
      <c r="F71" s="973" t="inlineStr">
        <is>
          <t>P99</t>
        </is>
      </c>
      <c r="G71" s="973" t="n">
        <v>8000000</v>
      </c>
      <c r="H71" s="973" t="b">
        <v>1</v>
      </c>
      <c r="I71" s="973" t="inlineStr">
        <is>
          <t>D</t>
        </is>
      </c>
      <c r="J71" s="973" t="inlineStr">
        <is>
          <t>SRC-10</t>
        </is>
      </c>
      <c r="K71" s="973" t="n"/>
      <c r="L71" s="973" t="n"/>
      <c r="M71" s="973" t="n"/>
      <c r="N71" s="973" t="n"/>
      <c r="O71" s="973" t="n"/>
      <c r="P71" s="973" t="n"/>
    </row>
    <row r="72">
      <c r="A72" s="973" t="inlineStr">
        <is>
          <t>Nation-state</t>
        </is>
      </c>
      <c r="B72" s="973" t="inlineStr">
        <is>
          <t>SC_INT</t>
        </is>
      </c>
      <c r="C72" s="973" t="inlineStr">
        <is>
          <t>Data or transaction-integrity compromise</t>
        </is>
      </c>
      <c r="D72" s="973" t="inlineStr">
        <is>
          <t>Duration</t>
        </is>
      </c>
      <c r="E72" s="973" t="inlineStr">
        <is>
          <t>IR_FORENSICS</t>
        </is>
      </c>
      <c r="F72" s="973" t="inlineStr">
        <is>
          <t>P50</t>
        </is>
      </c>
      <c r="G72" s="973" t="n">
        <v>30000</v>
      </c>
      <c r="H72" s="973" t="b">
        <v>1</v>
      </c>
      <c r="I72" s="973" t="inlineStr">
        <is>
          <t>D</t>
        </is>
      </c>
      <c r="J72" s="973" t="inlineStr">
        <is>
          <t>SRC-10</t>
        </is>
      </c>
      <c r="K72" s="973" t="n"/>
      <c r="L72" s="973" t="n"/>
      <c r="M72" s="973" t="n"/>
      <c r="N72" s="973" t="n"/>
      <c r="O72" s="973" t="n"/>
      <c r="P72" s="973" t="n"/>
    </row>
    <row r="73">
      <c r="A73" s="973" t="inlineStr">
        <is>
          <t>Nation-state</t>
        </is>
      </c>
      <c r="B73" s="973" t="inlineStr">
        <is>
          <t>SC_INT</t>
        </is>
      </c>
      <c r="C73" s="973" t="inlineStr">
        <is>
          <t>Data or transaction-integrity compromise</t>
        </is>
      </c>
      <c r="D73" s="973" t="inlineStr">
        <is>
          <t>Duration</t>
        </is>
      </c>
      <c r="E73" s="973" t="inlineStr">
        <is>
          <t>EXTERNAL_RESPONSE</t>
        </is>
      </c>
      <c r="F73" s="973" t="inlineStr">
        <is>
          <t>P50</t>
        </is>
      </c>
      <c r="G73" s="973" t="n">
        <v>60000</v>
      </c>
      <c r="H73" s="973" t="b">
        <v>1</v>
      </c>
      <c r="I73" s="973" t="inlineStr">
        <is>
          <t>D</t>
        </is>
      </c>
      <c r="J73" s="973" t="inlineStr">
        <is>
          <t>SRC-10</t>
        </is>
      </c>
      <c r="K73" s="973" t="n"/>
      <c r="L73" s="973" t="n"/>
      <c r="M73" s="973" t="n"/>
      <c r="N73" s="973" t="n"/>
      <c r="O73" s="973" t="n"/>
      <c r="P73" s="973" t="n"/>
    </row>
    <row r="74">
      <c r="A74" s="973" t="inlineStr">
        <is>
          <t>Nation-state</t>
        </is>
      </c>
      <c r="B74" s="973" t="inlineStr">
        <is>
          <t>SC_INT</t>
        </is>
      </c>
      <c r="C74" s="973" t="inlineStr">
        <is>
          <t>Data or transaction-integrity compromise</t>
        </is>
      </c>
      <c r="D74" s="973" t="inlineStr">
        <is>
          <t>Duration</t>
        </is>
      </c>
      <c r="E74" s="973" t="inlineStr">
        <is>
          <t>LEGAL_RESPONSE</t>
        </is>
      </c>
      <c r="F74" s="973" t="inlineStr">
        <is>
          <t>P50</t>
        </is>
      </c>
      <c r="G74" s="973" t="n">
        <v>100000</v>
      </c>
      <c r="H74" s="973" t="b">
        <v>1</v>
      </c>
      <c r="I74" s="973" t="inlineStr">
        <is>
          <t>D</t>
        </is>
      </c>
      <c r="J74" s="973" t="inlineStr">
        <is>
          <t>SRC-10</t>
        </is>
      </c>
      <c r="K74" s="973" t="n"/>
      <c r="L74" s="973" t="n"/>
      <c r="M74" s="973" t="n"/>
      <c r="N74" s="973" t="n"/>
      <c r="O74" s="973" t="n"/>
      <c r="P74" s="973" t="n"/>
    </row>
    <row r="75">
      <c r="A75" s="973" t="inlineStr">
        <is>
          <t>Nation-state</t>
        </is>
      </c>
      <c r="B75" s="973" t="inlineStr">
        <is>
          <t>SC_INT</t>
        </is>
      </c>
      <c r="C75" s="973" t="inlineStr">
        <is>
          <t>Data or transaction-integrity compromise</t>
        </is>
      </c>
      <c r="D75" s="973" t="inlineStr">
        <is>
          <t>Duration</t>
        </is>
      </c>
      <c r="E75" s="973" t="inlineStr">
        <is>
          <t>RESTORATION</t>
        </is>
      </c>
      <c r="F75" s="973" t="inlineStr">
        <is>
          <t>P50</t>
        </is>
      </c>
      <c r="G75" s="973" t="n">
        <v>40000</v>
      </c>
      <c r="H75" s="973" t="b">
        <v>1</v>
      </c>
      <c r="I75" s="973" t="inlineStr">
        <is>
          <t>D</t>
        </is>
      </c>
      <c r="J75" s="973" t="inlineStr">
        <is>
          <t>SRC-10</t>
        </is>
      </c>
      <c r="K75" s="973" t="n"/>
      <c r="L75" s="973" t="n"/>
      <c r="M75" s="973" t="n"/>
      <c r="N75" s="973" t="n"/>
      <c r="O75" s="973" t="n"/>
      <c r="P75" s="973" t="n"/>
    </row>
    <row r="76">
      <c r="A76" s="973" t="inlineStr">
        <is>
          <t>Nation-state</t>
        </is>
      </c>
      <c r="B76" s="973" t="inlineStr">
        <is>
          <t>SC_INT</t>
        </is>
      </c>
      <c r="C76" s="973" t="inlineStr">
        <is>
          <t>Data or transaction-integrity compromise</t>
        </is>
      </c>
      <c r="D76" s="973" t="inlineStr">
        <is>
          <t>Duration</t>
        </is>
      </c>
      <c r="E76" s="973" t="inlineStr">
        <is>
          <t>BUSINESS_INTERRUPTION</t>
        </is>
      </c>
      <c r="F76" s="973" t="inlineStr">
        <is>
          <t>P50</t>
        </is>
      </c>
      <c r="G76" s="973" t="n">
        <v>1095890.410958904</v>
      </c>
      <c r="H76" s="973" t="b">
        <v>1</v>
      </c>
      <c r="I76" s="973" t="inlineStr">
        <is>
          <t>D</t>
        </is>
      </c>
      <c r="J76" s="973" t="inlineStr">
        <is>
          <t>SRC-10</t>
        </is>
      </c>
      <c r="K76" s="973" t="n"/>
      <c r="L76" s="973" t="n"/>
      <c r="M76" s="973" t="n"/>
      <c r="N76" s="973" t="n"/>
      <c r="O76" s="973" t="n"/>
      <c r="P76" s="973" t="n"/>
    </row>
    <row r="77">
      <c r="A77" s="973" t="inlineStr">
        <is>
          <t>Nation-state</t>
        </is>
      </c>
      <c r="B77" s="973" t="inlineStr">
        <is>
          <t>SC_INT</t>
        </is>
      </c>
      <c r="C77" s="973" t="inlineStr">
        <is>
          <t>Data or transaction-integrity compromise</t>
        </is>
      </c>
      <c r="D77" s="973" t="inlineStr">
        <is>
          <t>Duration</t>
        </is>
      </c>
      <c r="E77" s="973" t="inlineStr">
        <is>
          <t>ENDPOINT_RECOVERY</t>
        </is>
      </c>
      <c r="F77" s="973" t="inlineStr">
        <is>
          <t>P50</t>
        </is>
      </c>
      <c r="G77" s="973" t="n">
        <v>100000</v>
      </c>
      <c r="H77" s="973" t="b">
        <v>1</v>
      </c>
      <c r="I77" s="973" t="inlineStr">
        <is>
          <t>D</t>
        </is>
      </c>
      <c r="J77" s="973" t="inlineStr">
        <is>
          <t>SRC-10</t>
        </is>
      </c>
      <c r="K77" s="973" t="n"/>
      <c r="L77" s="973" t="n"/>
      <c r="M77" s="973" t="n"/>
      <c r="N77" s="973" t="n"/>
      <c r="O77" s="973" t="n"/>
      <c r="P77" s="973" t="n"/>
    </row>
    <row r="78">
      <c r="A78" s="973" t="inlineStr">
        <is>
          <t>Nation-state</t>
        </is>
      </c>
      <c r="B78" s="973" t="inlineStr">
        <is>
          <t>SC_INT</t>
        </is>
      </c>
      <c r="C78" s="973" t="inlineStr">
        <is>
          <t>Data or transaction-integrity compromise</t>
        </is>
      </c>
      <c r="D78" s="973" t="inlineStr">
        <is>
          <t>Duration</t>
        </is>
      </c>
      <c r="E78" s="973" t="inlineStr">
        <is>
          <t>SERVER_RECOVERY</t>
        </is>
      </c>
      <c r="F78" s="973" t="inlineStr">
        <is>
          <t>P50</t>
        </is>
      </c>
      <c r="G78" s="973" t="n">
        <v>250000</v>
      </c>
      <c r="H78" s="973" t="b">
        <v>1</v>
      </c>
      <c r="I78" s="973" t="inlineStr">
        <is>
          <t>D</t>
        </is>
      </c>
      <c r="J78" s="973" t="inlineStr">
        <is>
          <t>SRC-10</t>
        </is>
      </c>
      <c r="K78" s="973" t="n"/>
      <c r="L78" s="973" t="n"/>
      <c r="M78" s="973" t="n"/>
      <c r="N78" s="973" t="n"/>
      <c r="O78" s="973" t="n"/>
      <c r="P78" s="973" t="n"/>
    </row>
    <row r="79">
      <c r="A79" s="973" t="inlineStr">
        <is>
          <t>Nation-state</t>
        </is>
      </c>
      <c r="B79" s="973" t="inlineStr">
        <is>
          <t>SC_INT</t>
        </is>
      </c>
      <c r="C79" s="973" t="inlineStr">
        <is>
          <t>Data or transaction-integrity compromise</t>
        </is>
      </c>
      <c r="D79" s="973" t="inlineStr">
        <is>
          <t>Exposure</t>
        </is>
      </c>
      <c r="E79" s="973" t="inlineStr">
        <is>
          <t>NOTIFICATION</t>
        </is>
      </c>
      <c r="F79" s="973" t="inlineStr">
        <is>
          <t>P50</t>
        </is>
      </c>
      <c r="G79" s="973" t="n">
        <v>0</v>
      </c>
      <c r="H79" s="973" t="b">
        <v>0</v>
      </c>
      <c r="I79" s="973" t="inlineStr">
        <is>
          <t>D</t>
        </is>
      </c>
      <c r="J79" s="973" t="inlineStr">
        <is>
          <t>SRC-10</t>
        </is>
      </c>
      <c r="K79" s="973" t="n"/>
      <c r="L79" s="973" t="n"/>
      <c r="M79" s="973" t="n"/>
      <c r="N79" s="973" t="n"/>
      <c r="O79" s="973" t="n"/>
      <c r="P79" s="973" t="n"/>
    </row>
    <row r="80">
      <c r="A80" s="973" t="inlineStr">
        <is>
          <t>Nation-state</t>
        </is>
      </c>
      <c r="B80" s="973" t="inlineStr">
        <is>
          <t>SC_INT</t>
        </is>
      </c>
      <c r="C80" s="973" t="inlineStr">
        <is>
          <t>Data or transaction-integrity compromise</t>
        </is>
      </c>
      <c r="D80" s="973" t="inlineStr">
        <is>
          <t>Exposure</t>
        </is>
      </c>
      <c r="E80" s="973" t="inlineStr">
        <is>
          <t>CREDIT_MONITORING</t>
        </is>
      </c>
      <c r="F80" s="973" t="inlineStr">
        <is>
          <t>P50</t>
        </is>
      </c>
      <c r="G80" s="973" t="n">
        <v>0</v>
      </c>
      <c r="H80" s="973" t="b">
        <v>0</v>
      </c>
      <c r="I80" s="973" t="inlineStr">
        <is>
          <t>D</t>
        </is>
      </c>
      <c r="J80" s="973" t="inlineStr">
        <is>
          <t>SRC-10</t>
        </is>
      </c>
      <c r="K80" s="973" t="n"/>
      <c r="L80" s="973" t="n"/>
      <c r="M80" s="973" t="n"/>
      <c r="N80" s="973" t="n"/>
      <c r="O80" s="973" t="n"/>
      <c r="P80" s="973" t="n"/>
    </row>
    <row r="81">
      <c r="A81" s="973" t="inlineStr">
        <is>
          <t>Nation-state</t>
        </is>
      </c>
      <c r="B81" s="973" t="inlineStr">
        <is>
          <t>SC_INT</t>
        </is>
      </c>
      <c r="C81" s="973" t="inlineStr">
        <is>
          <t>Data or transaction-integrity compromise</t>
        </is>
      </c>
      <c r="D81" s="973" t="inlineStr">
        <is>
          <t>Exposure</t>
        </is>
      </c>
      <c r="E81" s="973" t="inlineStr">
        <is>
          <t>REGULATORY</t>
        </is>
      </c>
      <c r="F81" s="973" t="inlineStr">
        <is>
          <t>P50</t>
        </is>
      </c>
      <c r="G81" s="973" t="n">
        <v>500000</v>
      </c>
      <c r="H81" s="973" t="b">
        <v>1</v>
      </c>
      <c r="I81" s="973" t="inlineStr">
        <is>
          <t>D</t>
        </is>
      </c>
      <c r="J81" s="973" t="inlineStr">
        <is>
          <t>SRC-10</t>
        </is>
      </c>
      <c r="K81" s="973" t="n"/>
      <c r="L81" s="973" t="n"/>
      <c r="M81" s="973" t="n"/>
      <c r="N81" s="973" t="n"/>
      <c r="O81" s="973" t="n"/>
      <c r="P81" s="973" t="n"/>
    </row>
    <row r="82">
      <c r="A82" s="973" t="inlineStr">
        <is>
          <t>Nation-state</t>
        </is>
      </c>
      <c r="B82" s="973" t="inlineStr">
        <is>
          <t>SC_INT</t>
        </is>
      </c>
      <c r="C82" s="973" t="inlineStr">
        <is>
          <t>Data or transaction-integrity compromise</t>
        </is>
      </c>
      <c r="D82" s="973" t="inlineStr">
        <is>
          <t>Exposure</t>
        </is>
      </c>
      <c r="E82" s="973" t="inlineStr">
        <is>
          <t>CUSTOMER_ATTRITION</t>
        </is>
      </c>
      <c r="F82" s="973" t="inlineStr">
        <is>
          <t>P50</t>
        </is>
      </c>
      <c r="G82" s="973" t="n">
        <v>1000000</v>
      </c>
      <c r="H82" s="973" t="b">
        <v>1</v>
      </c>
      <c r="I82" s="973" t="inlineStr">
        <is>
          <t>D</t>
        </is>
      </c>
      <c r="J82" s="973" t="inlineStr">
        <is>
          <t>SRC-10</t>
        </is>
      </c>
      <c r="K82" s="973" t="n"/>
      <c r="L82" s="973" t="n"/>
      <c r="M82" s="973" t="n"/>
      <c r="N82" s="973" t="n"/>
      <c r="O82" s="973" t="n"/>
      <c r="P82" s="973" t="n"/>
    </row>
    <row r="83">
      <c r="A83" s="973" t="inlineStr">
        <is>
          <t>Nation-state</t>
        </is>
      </c>
      <c r="B83" s="973" t="inlineStr">
        <is>
          <t>SC_INT</t>
        </is>
      </c>
      <c r="C83" s="973" t="inlineStr">
        <is>
          <t>Data or transaction-integrity compromise</t>
        </is>
      </c>
      <c r="D83" s="973" t="inlineStr">
        <is>
          <t>Direct</t>
        </is>
      </c>
      <c r="E83" s="973" t="inlineStr">
        <is>
          <t>FRAUD_NET_RECOVERY</t>
        </is>
      </c>
      <c r="F83" s="973" t="inlineStr">
        <is>
          <t>P50</t>
        </is>
      </c>
      <c r="G83" s="973" t="n">
        <v>0</v>
      </c>
      <c r="H83" s="973" t="b">
        <v>0</v>
      </c>
      <c r="I83" s="973" t="inlineStr">
        <is>
          <t>D</t>
        </is>
      </c>
      <c r="J83" s="973" t="inlineStr">
        <is>
          <t>SRC-10</t>
        </is>
      </c>
      <c r="K83" s="973" t="n"/>
      <c r="L83" s="973" t="n"/>
      <c r="M83" s="973" t="n"/>
      <c r="N83" s="973" t="n"/>
      <c r="O83" s="973" t="n"/>
      <c r="P83" s="973" t="n"/>
    </row>
    <row r="84">
      <c r="A84" s="973" t="inlineStr">
        <is>
          <t>Nation-state</t>
        </is>
      </c>
      <c r="B84" s="973" t="inlineStr">
        <is>
          <t>SC_INT</t>
        </is>
      </c>
      <c r="C84" s="973" t="inlineStr">
        <is>
          <t>Data or transaction-integrity compromise</t>
        </is>
      </c>
      <c r="D84" s="973" t="inlineStr">
        <is>
          <t>Direct</t>
        </is>
      </c>
      <c r="E84" s="973" t="inlineStr">
        <is>
          <t>EXTORTION</t>
        </is>
      </c>
      <c r="F84" s="973" t="inlineStr">
        <is>
          <t>P50</t>
        </is>
      </c>
      <c r="G84" s="973" t="n">
        <v>0</v>
      </c>
      <c r="H84" s="973" t="b">
        <v>0</v>
      </c>
      <c r="I84" s="973" t="inlineStr">
        <is>
          <t>D</t>
        </is>
      </c>
      <c r="J84" s="973" t="inlineStr">
        <is>
          <t>SRC-10</t>
        </is>
      </c>
      <c r="K84" s="973" t="n"/>
      <c r="L84" s="973" t="n"/>
      <c r="M84" s="973" t="n"/>
      <c r="N84" s="973" t="n"/>
      <c r="O84" s="973" t="n"/>
      <c r="P84" s="973" t="n"/>
    </row>
    <row r="85">
      <c r="A85" s="973" t="inlineStr">
        <is>
          <t>Nation-state</t>
        </is>
      </c>
      <c r="B85" s="973" t="inlineStr">
        <is>
          <t>SC_INT</t>
        </is>
      </c>
      <c r="C85" s="973" t="inlineStr">
        <is>
          <t>Data or transaction-integrity compromise</t>
        </is>
      </c>
      <c r="D85" s="973" t="inlineStr">
        <is>
          <t>Direct</t>
        </is>
      </c>
      <c r="E85" s="973" t="inlineStr">
        <is>
          <t>POST_EVENT_UPLIFT</t>
        </is>
      </c>
      <c r="F85" s="973" t="inlineStr">
        <is>
          <t>P50</t>
        </is>
      </c>
      <c r="G85" s="973" t="n">
        <v>1000000</v>
      </c>
      <c r="H85" s="973" t="b">
        <v>1</v>
      </c>
      <c r="I85" s="973" t="inlineStr">
        <is>
          <t>D</t>
        </is>
      </c>
      <c r="J85" s="973" t="inlineStr">
        <is>
          <t>SRC-10</t>
        </is>
      </c>
      <c r="K85" s="973" t="n"/>
      <c r="L85" s="973" t="n"/>
      <c r="M85" s="973" t="n"/>
      <c r="N85" s="973" t="n"/>
      <c r="O85" s="973" t="n"/>
      <c r="P85" s="973" t="n"/>
    </row>
    <row r="86">
      <c r="A86" s="973" t="inlineStr">
        <is>
          <t>Nation-state</t>
        </is>
      </c>
      <c r="B86" s="973" t="inlineStr">
        <is>
          <t>SC_INT</t>
        </is>
      </c>
      <c r="C86" s="973" t="inlineStr">
        <is>
          <t>Data or transaction-integrity compromise</t>
        </is>
      </c>
      <c r="D86" s="973" t="inlineStr">
        <is>
          <t>Duration</t>
        </is>
      </c>
      <c r="E86" s="973" t="inlineStr">
        <is>
          <t>IR_FORENSICS</t>
        </is>
      </c>
      <c r="F86" s="973" t="inlineStr">
        <is>
          <t>P99</t>
        </is>
      </c>
      <c r="G86" s="973" t="n">
        <v>360000</v>
      </c>
      <c r="H86" s="973" t="b">
        <v>1</v>
      </c>
      <c r="I86" s="973" t="inlineStr">
        <is>
          <t>D</t>
        </is>
      </c>
      <c r="J86" s="973" t="inlineStr">
        <is>
          <t>SRC-10</t>
        </is>
      </c>
      <c r="K86" s="973" t="n"/>
      <c r="L86" s="973" t="n"/>
      <c r="M86" s="973" t="n"/>
      <c r="N86" s="973" t="n"/>
      <c r="O86" s="973" t="n"/>
      <c r="P86" s="973" t="n"/>
    </row>
    <row r="87">
      <c r="A87" s="973" t="inlineStr">
        <is>
          <t>Nation-state</t>
        </is>
      </c>
      <c r="B87" s="973" t="inlineStr">
        <is>
          <t>SC_INT</t>
        </is>
      </c>
      <c r="C87" s="973" t="inlineStr">
        <is>
          <t>Data or transaction-integrity compromise</t>
        </is>
      </c>
      <c r="D87" s="973" t="inlineStr">
        <is>
          <t>Duration</t>
        </is>
      </c>
      <c r="E87" s="973" t="inlineStr">
        <is>
          <t>EXTERNAL_RESPONSE</t>
        </is>
      </c>
      <c r="F87" s="973" t="inlineStr">
        <is>
          <t>P99</t>
        </is>
      </c>
      <c r="G87" s="973" t="n">
        <v>750000</v>
      </c>
      <c r="H87" s="973" t="b">
        <v>1</v>
      </c>
      <c r="I87" s="973" t="inlineStr">
        <is>
          <t>D</t>
        </is>
      </c>
      <c r="J87" s="973" t="inlineStr">
        <is>
          <t>SRC-10</t>
        </is>
      </c>
      <c r="K87" s="973" t="n"/>
      <c r="L87" s="973" t="n"/>
      <c r="M87" s="973" t="n"/>
      <c r="N87" s="973" t="n"/>
      <c r="O87" s="973" t="n"/>
      <c r="P87" s="973" t="n"/>
    </row>
    <row r="88">
      <c r="A88" s="973" t="inlineStr">
        <is>
          <t>Nation-state</t>
        </is>
      </c>
      <c r="B88" s="973" t="inlineStr">
        <is>
          <t>SC_INT</t>
        </is>
      </c>
      <c r="C88" s="973" t="inlineStr">
        <is>
          <t>Data or transaction-integrity compromise</t>
        </is>
      </c>
      <c r="D88" s="973" t="inlineStr">
        <is>
          <t>Duration</t>
        </is>
      </c>
      <c r="E88" s="973" t="inlineStr">
        <is>
          <t>LEGAL_RESPONSE</t>
        </is>
      </c>
      <c r="F88" s="973" t="inlineStr">
        <is>
          <t>P99</t>
        </is>
      </c>
      <c r="G88" s="973" t="n">
        <v>1200000</v>
      </c>
      <c r="H88" s="973" t="b">
        <v>1</v>
      </c>
      <c r="I88" s="973" t="inlineStr">
        <is>
          <t>D</t>
        </is>
      </c>
      <c r="J88" s="973" t="inlineStr">
        <is>
          <t>SRC-10</t>
        </is>
      </c>
      <c r="K88" s="973" t="n"/>
      <c r="L88" s="973" t="n"/>
      <c r="M88" s="973" t="n"/>
      <c r="N88" s="973" t="n"/>
      <c r="O88" s="973" t="n"/>
      <c r="P88" s="973" t="n"/>
    </row>
    <row r="89">
      <c r="A89" s="973" t="inlineStr">
        <is>
          <t>Nation-state</t>
        </is>
      </c>
      <c r="B89" s="973" t="inlineStr">
        <is>
          <t>SC_INT</t>
        </is>
      </c>
      <c r="C89" s="973" t="inlineStr">
        <is>
          <t>Data or transaction-integrity compromise</t>
        </is>
      </c>
      <c r="D89" s="973" t="inlineStr">
        <is>
          <t>Duration</t>
        </is>
      </c>
      <c r="E89" s="973" t="inlineStr">
        <is>
          <t>RESTORATION</t>
        </is>
      </c>
      <c r="F89" s="973" t="inlineStr">
        <is>
          <t>P99</t>
        </is>
      </c>
      <c r="G89" s="973" t="n">
        <v>600000</v>
      </c>
      <c r="H89" s="973" t="b">
        <v>1</v>
      </c>
      <c r="I89" s="973" t="inlineStr">
        <is>
          <t>D</t>
        </is>
      </c>
      <c r="J89" s="973" t="inlineStr">
        <is>
          <t>SRC-10</t>
        </is>
      </c>
      <c r="K89" s="973" t="n"/>
      <c r="L89" s="973" t="n"/>
      <c r="M89" s="973" t="n"/>
      <c r="N89" s="973" t="n"/>
      <c r="O89" s="973" t="n"/>
      <c r="P89" s="973" t="n"/>
    </row>
    <row r="90">
      <c r="A90" s="973" t="inlineStr">
        <is>
          <t>Nation-state</t>
        </is>
      </c>
      <c r="B90" s="973" t="inlineStr">
        <is>
          <t>SC_INT</t>
        </is>
      </c>
      <c r="C90" s="973" t="inlineStr">
        <is>
          <t>Data or transaction-integrity compromise</t>
        </is>
      </c>
      <c r="D90" s="973" t="inlineStr">
        <is>
          <t>Duration</t>
        </is>
      </c>
      <c r="E90" s="973" t="inlineStr">
        <is>
          <t>BUSINESS_INTERRUPTION</t>
        </is>
      </c>
      <c r="F90" s="973" t="inlineStr">
        <is>
          <t>P99</t>
        </is>
      </c>
      <c r="G90" s="973" t="n">
        <v>38356164.38356164</v>
      </c>
      <c r="H90" s="973" t="b">
        <v>1</v>
      </c>
      <c r="I90" s="973" t="inlineStr">
        <is>
          <t>D</t>
        </is>
      </c>
      <c r="J90" s="973" t="inlineStr">
        <is>
          <t>SRC-10</t>
        </is>
      </c>
      <c r="K90" s="973" t="n"/>
      <c r="L90" s="973" t="n"/>
      <c r="M90" s="973" t="n"/>
      <c r="N90" s="973" t="n"/>
      <c r="O90" s="973" t="n"/>
      <c r="P90" s="973" t="n"/>
    </row>
    <row r="91">
      <c r="A91" s="973" t="inlineStr">
        <is>
          <t>Nation-state</t>
        </is>
      </c>
      <c r="B91" s="973" t="inlineStr">
        <is>
          <t>SC_INT</t>
        </is>
      </c>
      <c r="C91" s="973" t="inlineStr">
        <is>
          <t>Data or transaction-integrity compromise</t>
        </is>
      </c>
      <c r="D91" s="973" t="inlineStr">
        <is>
          <t>Duration</t>
        </is>
      </c>
      <c r="E91" s="973" t="inlineStr">
        <is>
          <t>ENDPOINT_RECOVERY</t>
        </is>
      </c>
      <c r="F91" s="973" t="inlineStr">
        <is>
          <t>P99</t>
        </is>
      </c>
      <c r="G91" s="973" t="n">
        <v>1000000</v>
      </c>
      <c r="H91" s="973" t="b">
        <v>1</v>
      </c>
      <c r="I91" s="973" t="inlineStr">
        <is>
          <t>D</t>
        </is>
      </c>
      <c r="J91" s="973" t="inlineStr">
        <is>
          <t>SRC-10</t>
        </is>
      </c>
      <c r="K91" s="973" t="n"/>
      <c r="L91" s="973" t="n"/>
      <c r="M91" s="973" t="n"/>
      <c r="N91" s="973" t="n"/>
      <c r="O91" s="973" t="n"/>
      <c r="P91" s="973" t="n"/>
    </row>
    <row r="92">
      <c r="A92" s="973" t="inlineStr">
        <is>
          <t>Nation-state</t>
        </is>
      </c>
      <c r="B92" s="973" t="inlineStr">
        <is>
          <t>SC_INT</t>
        </is>
      </c>
      <c r="C92" s="973" t="inlineStr">
        <is>
          <t>Data or transaction-integrity compromise</t>
        </is>
      </c>
      <c r="D92" s="973" t="inlineStr">
        <is>
          <t>Duration</t>
        </is>
      </c>
      <c r="E92" s="973" t="inlineStr">
        <is>
          <t>SERVER_RECOVERY</t>
        </is>
      </c>
      <c r="F92" s="973" t="inlineStr">
        <is>
          <t>P99</t>
        </is>
      </c>
      <c r="G92" s="973" t="n">
        <v>2000000</v>
      </c>
      <c r="H92" s="973" t="b">
        <v>1</v>
      </c>
      <c r="I92" s="973" t="inlineStr">
        <is>
          <t>D</t>
        </is>
      </c>
      <c r="J92" s="973" t="inlineStr">
        <is>
          <t>SRC-10</t>
        </is>
      </c>
      <c r="K92" s="973" t="n"/>
      <c r="L92" s="973" t="n"/>
      <c r="M92" s="973" t="n"/>
      <c r="N92" s="973" t="n"/>
      <c r="O92" s="973" t="n"/>
      <c r="P92" s="973" t="n"/>
    </row>
    <row r="93">
      <c r="A93" s="973" t="inlineStr">
        <is>
          <t>Nation-state</t>
        </is>
      </c>
      <c r="B93" s="973" t="inlineStr">
        <is>
          <t>SC_INT</t>
        </is>
      </c>
      <c r="C93" s="973" t="inlineStr">
        <is>
          <t>Data or transaction-integrity compromise</t>
        </is>
      </c>
      <c r="D93" s="973" t="inlineStr">
        <is>
          <t>Exposure</t>
        </is>
      </c>
      <c r="E93" s="973" t="inlineStr">
        <is>
          <t>NOTIFICATION</t>
        </is>
      </c>
      <c r="F93" s="973" t="inlineStr">
        <is>
          <t>P99</t>
        </is>
      </c>
      <c r="G93" s="973" t="n">
        <v>0</v>
      </c>
      <c r="H93" s="973" t="b">
        <v>0</v>
      </c>
      <c r="I93" s="973" t="inlineStr">
        <is>
          <t>D</t>
        </is>
      </c>
      <c r="J93" s="973" t="inlineStr">
        <is>
          <t>SRC-10</t>
        </is>
      </c>
      <c r="K93" s="973" t="n"/>
      <c r="L93" s="973" t="n"/>
      <c r="M93" s="973" t="n"/>
      <c r="N93" s="973" t="n"/>
      <c r="O93" s="973" t="n"/>
      <c r="P93" s="973" t="n"/>
    </row>
    <row r="94">
      <c r="A94" s="973" t="inlineStr">
        <is>
          <t>Nation-state</t>
        </is>
      </c>
      <c r="B94" s="973" t="inlineStr">
        <is>
          <t>SC_INT</t>
        </is>
      </c>
      <c r="C94" s="973" t="inlineStr">
        <is>
          <t>Data or transaction-integrity compromise</t>
        </is>
      </c>
      <c r="D94" s="973" t="inlineStr">
        <is>
          <t>Exposure</t>
        </is>
      </c>
      <c r="E94" s="973" t="inlineStr">
        <is>
          <t>CREDIT_MONITORING</t>
        </is>
      </c>
      <c r="F94" s="973" t="inlineStr">
        <is>
          <t>P99</t>
        </is>
      </c>
      <c r="G94" s="973" t="n">
        <v>0</v>
      </c>
      <c r="H94" s="973" t="b">
        <v>0</v>
      </c>
      <c r="I94" s="973" t="inlineStr">
        <is>
          <t>D</t>
        </is>
      </c>
      <c r="J94" s="973" t="inlineStr">
        <is>
          <t>SRC-10</t>
        </is>
      </c>
      <c r="K94" s="973" t="n"/>
      <c r="L94" s="973" t="n"/>
      <c r="M94" s="973" t="n"/>
      <c r="N94" s="973" t="n"/>
      <c r="O94" s="973" t="n"/>
      <c r="P94" s="973" t="n"/>
    </row>
    <row r="95">
      <c r="A95" s="973" t="inlineStr">
        <is>
          <t>Nation-state</t>
        </is>
      </c>
      <c r="B95" s="973" t="inlineStr">
        <is>
          <t>SC_INT</t>
        </is>
      </c>
      <c r="C95" s="973" t="inlineStr">
        <is>
          <t>Data or transaction-integrity compromise</t>
        </is>
      </c>
      <c r="D95" s="973" t="inlineStr">
        <is>
          <t>Exposure</t>
        </is>
      </c>
      <c r="E95" s="973" t="inlineStr">
        <is>
          <t>REGULATORY</t>
        </is>
      </c>
      <c r="F95" s="973" t="inlineStr">
        <is>
          <t>P99</t>
        </is>
      </c>
      <c r="G95" s="973" t="n">
        <v>6000000</v>
      </c>
      <c r="H95" s="973" t="b">
        <v>1</v>
      </c>
      <c r="I95" s="973" t="inlineStr">
        <is>
          <t>D</t>
        </is>
      </c>
      <c r="J95" s="973" t="inlineStr">
        <is>
          <t>SRC-10</t>
        </is>
      </c>
      <c r="K95" s="973" t="n"/>
      <c r="L95" s="973" t="n"/>
      <c r="M95" s="973" t="n"/>
      <c r="N95" s="973" t="n"/>
      <c r="O95" s="973" t="n"/>
      <c r="P95" s="973" t="n"/>
    </row>
    <row r="96">
      <c r="A96" s="973" t="inlineStr">
        <is>
          <t>Nation-state</t>
        </is>
      </c>
      <c r="B96" s="973" t="inlineStr">
        <is>
          <t>SC_INT</t>
        </is>
      </c>
      <c r="C96" s="973" t="inlineStr">
        <is>
          <t>Data or transaction-integrity compromise</t>
        </is>
      </c>
      <c r="D96" s="973" t="inlineStr">
        <is>
          <t>Exposure</t>
        </is>
      </c>
      <c r="E96" s="973" t="inlineStr">
        <is>
          <t>CUSTOMER_ATTRITION</t>
        </is>
      </c>
      <c r="F96" s="973" t="inlineStr">
        <is>
          <t>P99</t>
        </is>
      </c>
      <c r="G96" s="973" t="n">
        <v>20000000</v>
      </c>
      <c r="H96" s="973" t="b">
        <v>1</v>
      </c>
      <c r="I96" s="973" t="inlineStr">
        <is>
          <t>D</t>
        </is>
      </c>
      <c r="J96" s="973" t="inlineStr">
        <is>
          <t>SRC-10</t>
        </is>
      </c>
      <c r="K96" s="973" t="n"/>
      <c r="L96" s="973" t="n"/>
      <c r="M96" s="973" t="n"/>
      <c r="N96" s="973" t="n"/>
      <c r="O96" s="973" t="n"/>
      <c r="P96" s="973" t="n"/>
    </row>
    <row r="97">
      <c r="A97" s="973" t="inlineStr">
        <is>
          <t>Nation-state</t>
        </is>
      </c>
      <c r="B97" s="973" t="inlineStr">
        <is>
          <t>SC_INT</t>
        </is>
      </c>
      <c r="C97" s="973" t="inlineStr">
        <is>
          <t>Data or transaction-integrity compromise</t>
        </is>
      </c>
      <c r="D97" s="973" t="inlineStr">
        <is>
          <t>Direct</t>
        </is>
      </c>
      <c r="E97" s="973" t="inlineStr">
        <is>
          <t>FRAUD_NET_RECOVERY</t>
        </is>
      </c>
      <c r="F97" s="973" t="inlineStr">
        <is>
          <t>P99</t>
        </is>
      </c>
      <c r="G97" s="973" t="n">
        <v>0</v>
      </c>
      <c r="H97" s="973" t="b">
        <v>0</v>
      </c>
      <c r="I97" s="973" t="inlineStr">
        <is>
          <t>D</t>
        </is>
      </c>
      <c r="J97" s="973" t="inlineStr">
        <is>
          <t>SRC-10</t>
        </is>
      </c>
      <c r="K97" s="973" t="n"/>
      <c r="L97" s="973" t="n"/>
      <c r="M97" s="973" t="n"/>
      <c r="N97" s="973" t="n"/>
      <c r="O97" s="973" t="n"/>
      <c r="P97" s="973" t="n"/>
    </row>
    <row r="98">
      <c r="A98" s="973" t="inlineStr">
        <is>
          <t>Nation-state</t>
        </is>
      </c>
      <c r="B98" s="973" t="inlineStr">
        <is>
          <t>SC_INT</t>
        </is>
      </c>
      <c r="C98" s="973" t="inlineStr">
        <is>
          <t>Data or transaction-integrity compromise</t>
        </is>
      </c>
      <c r="D98" s="973" t="inlineStr">
        <is>
          <t>Direct</t>
        </is>
      </c>
      <c r="E98" s="973" t="inlineStr">
        <is>
          <t>EXTORTION</t>
        </is>
      </c>
      <c r="F98" s="973" t="inlineStr">
        <is>
          <t>P99</t>
        </is>
      </c>
      <c r="G98" s="973" t="n">
        <v>0</v>
      </c>
      <c r="H98" s="973" t="b">
        <v>0</v>
      </c>
      <c r="I98" s="973" t="inlineStr">
        <is>
          <t>D</t>
        </is>
      </c>
      <c r="J98" s="973" t="inlineStr">
        <is>
          <t>SRC-10</t>
        </is>
      </c>
      <c r="K98" s="973" t="n"/>
      <c r="L98" s="973" t="n"/>
      <c r="M98" s="973" t="n"/>
      <c r="N98" s="973" t="n"/>
      <c r="O98" s="973" t="n"/>
      <c r="P98" s="973" t="n"/>
    </row>
    <row r="99">
      <c r="A99" s="973" t="inlineStr">
        <is>
          <t>Nation-state</t>
        </is>
      </c>
      <c r="B99" s="973" t="inlineStr">
        <is>
          <t>SC_INT</t>
        </is>
      </c>
      <c r="C99" s="973" t="inlineStr">
        <is>
          <t>Data or transaction-integrity compromise</t>
        </is>
      </c>
      <c r="D99" s="973" t="inlineStr">
        <is>
          <t>Direct</t>
        </is>
      </c>
      <c r="E99" s="973" t="inlineStr">
        <is>
          <t>POST_EVENT_UPLIFT</t>
        </is>
      </c>
      <c r="F99" s="973" t="inlineStr">
        <is>
          <t>P99</t>
        </is>
      </c>
      <c r="G99" s="973" t="n">
        <v>8000000</v>
      </c>
      <c r="H99" s="973" t="b">
        <v>1</v>
      </c>
      <c r="I99" s="973" t="inlineStr">
        <is>
          <t>D</t>
        </is>
      </c>
      <c r="J99" s="973" t="inlineStr">
        <is>
          <t>SRC-10</t>
        </is>
      </c>
      <c r="K99" s="973" t="n"/>
      <c r="L99" s="973" t="n"/>
      <c r="M99" s="973" t="n"/>
      <c r="N99" s="973" t="n"/>
      <c r="O99" s="973" t="n"/>
      <c r="P99" s="973" t="n"/>
    </row>
    <row r="100">
      <c r="A100" s="973" t="inlineStr">
        <is>
          <t>Nation-state</t>
        </is>
      </c>
      <c r="B100" s="973" t="inlineStr">
        <is>
          <t>SC_FRAUD</t>
        </is>
      </c>
      <c r="C100" s="973" t="inlineStr">
        <is>
          <t>Cyber-enabled theft or fraud</t>
        </is>
      </c>
      <c r="D100" s="973" t="inlineStr">
        <is>
          <t>Duration</t>
        </is>
      </c>
      <c r="E100" s="973" t="inlineStr">
        <is>
          <t>IR_FORENSICS</t>
        </is>
      </c>
      <c r="F100" s="973" t="inlineStr">
        <is>
          <t>P50</t>
        </is>
      </c>
      <c r="G100" s="973" t="n">
        <v>20000</v>
      </c>
      <c r="H100" s="973" t="b">
        <v>1</v>
      </c>
      <c r="I100" s="973" t="inlineStr">
        <is>
          <t>D</t>
        </is>
      </c>
      <c r="J100" s="973" t="inlineStr">
        <is>
          <t>SRC-10</t>
        </is>
      </c>
      <c r="K100" s="973" t="n"/>
      <c r="L100" s="973" t="n"/>
      <c r="M100" s="973" t="n"/>
      <c r="N100" s="973" t="n"/>
      <c r="O100" s="973" t="n"/>
      <c r="P100" s="973" t="n"/>
    </row>
    <row r="101">
      <c r="A101" s="973" t="inlineStr">
        <is>
          <t>Nation-state</t>
        </is>
      </c>
      <c r="B101" s="973" t="inlineStr">
        <is>
          <t>SC_FRAUD</t>
        </is>
      </c>
      <c r="C101" s="973" t="inlineStr">
        <is>
          <t>Cyber-enabled theft or fraud</t>
        </is>
      </c>
      <c r="D101" s="973" t="inlineStr">
        <is>
          <t>Duration</t>
        </is>
      </c>
      <c r="E101" s="973" t="inlineStr">
        <is>
          <t>EXTERNAL_RESPONSE</t>
        </is>
      </c>
      <c r="F101" s="973" t="inlineStr">
        <is>
          <t>P50</t>
        </is>
      </c>
      <c r="G101" s="973" t="n">
        <v>30000</v>
      </c>
      <c r="H101" s="973" t="b">
        <v>1</v>
      </c>
      <c r="I101" s="973" t="inlineStr">
        <is>
          <t>D</t>
        </is>
      </c>
      <c r="J101" s="973" t="inlineStr">
        <is>
          <t>SRC-10</t>
        </is>
      </c>
      <c r="K101" s="973" t="n"/>
      <c r="L101" s="973" t="n"/>
      <c r="M101" s="973" t="n"/>
      <c r="N101" s="973" t="n"/>
      <c r="O101" s="973" t="n"/>
      <c r="P101" s="973" t="n"/>
    </row>
    <row r="102">
      <c r="A102" s="973" t="inlineStr">
        <is>
          <t>Nation-state</t>
        </is>
      </c>
      <c r="B102" s="973" t="inlineStr">
        <is>
          <t>SC_FRAUD</t>
        </is>
      </c>
      <c r="C102" s="973" t="inlineStr">
        <is>
          <t>Cyber-enabled theft or fraud</t>
        </is>
      </c>
      <c r="D102" s="973" t="inlineStr">
        <is>
          <t>Duration</t>
        </is>
      </c>
      <c r="E102" s="973" t="inlineStr">
        <is>
          <t>LEGAL_RESPONSE</t>
        </is>
      </c>
      <c r="F102" s="973" t="inlineStr">
        <is>
          <t>P50</t>
        </is>
      </c>
      <c r="G102" s="973" t="n">
        <v>75000</v>
      </c>
      <c r="H102" s="973" t="b">
        <v>1</v>
      </c>
      <c r="I102" s="973" t="inlineStr">
        <is>
          <t>D</t>
        </is>
      </c>
      <c r="J102" s="973" t="inlineStr">
        <is>
          <t>SRC-10</t>
        </is>
      </c>
      <c r="K102" s="973" t="n"/>
      <c r="L102" s="973" t="n"/>
      <c r="M102" s="973" t="n"/>
      <c r="N102" s="973" t="n"/>
      <c r="O102" s="973" t="n"/>
      <c r="P102" s="973" t="n"/>
    </row>
    <row r="103">
      <c r="A103" s="973" t="inlineStr">
        <is>
          <t>Nation-state</t>
        </is>
      </c>
      <c r="B103" s="973" t="inlineStr">
        <is>
          <t>SC_FRAUD</t>
        </is>
      </c>
      <c r="C103" s="973" t="inlineStr">
        <is>
          <t>Cyber-enabled theft or fraud</t>
        </is>
      </c>
      <c r="D103" s="973" t="inlineStr">
        <is>
          <t>Duration</t>
        </is>
      </c>
      <c r="E103" s="973" t="inlineStr">
        <is>
          <t>RESTORATION</t>
        </is>
      </c>
      <c r="F103" s="973" t="inlineStr">
        <is>
          <t>P50</t>
        </is>
      </c>
      <c r="G103" s="973" t="n">
        <v>10000</v>
      </c>
      <c r="H103" s="973" t="b">
        <v>1</v>
      </c>
      <c r="I103" s="973" t="inlineStr">
        <is>
          <t>D</t>
        </is>
      </c>
      <c r="J103" s="973" t="inlineStr">
        <is>
          <t>SRC-10</t>
        </is>
      </c>
      <c r="K103" s="973" t="n"/>
      <c r="L103" s="973" t="n"/>
      <c r="M103" s="973" t="n"/>
      <c r="N103" s="973" t="n"/>
      <c r="O103" s="973" t="n"/>
      <c r="P103" s="973" t="n"/>
    </row>
    <row r="104">
      <c r="A104" s="973" t="inlineStr">
        <is>
          <t>Nation-state</t>
        </is>
      </c>
      <c r="B104" s="973" t="inlineStr">
        <is>
          <t>SC_FRAUD</t>
        </is>
      </c>
      <c r="C104" s="973" t="inlineStr">
        <is>
          <t>Cyber-enabled theft or fraud</t>
        </is>
      </c>
      <c r="D104" s="973" t="inlineStr">
        <is>
          <t>Duration</t>
        </is>
      </c>
      <c r="E104" s="973" t="inlineStr">
        <is>
          <t>BUSINESS_INTERRUPTION</t>
        </is>
      </c>
      <c r="F104" s="973" t="inlineStr">
        <is>
          <t>P50</t>
        </is>
      </c>
      <c r="G104" s="973" t="n">
        <v>0</v>
      </c>
      <c r="H104" s="973" t="b">
        <v>0</v>
      </c>
      <c r="I104" s="973" t="inlineStr">
        <is>
          <t>D</t>
        </is>
      </c>
      <c r="J104" s="973" t="inlineStr">
        <is>
          <t>SRC-10</t>
        </is>
      </c>
      <c r="K104" s="973" t="n"/>
      <c r="L104" s="973" t="n"/>
      <c r="M104" s="973" t="n"/>
      <c r="N104" s="973" t="n"/>
      <c r="O104" s="973" t="n"/>
      <c r="P104" s="973" t="n"/>
    </row>
    <row r="105">
      <c r="A105" s="973" t="inlineStr">
        <is>
          <t>Nation-state</t>
        </is>
      </c>
      <c r="B105" s="973" t="inlineStr">
        <is>
          <t>SC_FRAUD</t>
        </is>
      </c>
      <c r="C105" s="973" t="inlineStr">
        <is>
          <t>Cyber-enabled theft or fraud</t>
        </is>
      </c>
      <c r="D105" s="973" t="inlineStr">
        <is>
          <t>Duration</t>
        </is>
      </c>
      <c r="E105" s="973" t="inlineStr">
        <is>
          <t>ENDPOINT_RECOVERY</t>
        </is>
      </c>
      <c r="F105" s="973" t="inlineStr">
        <is>
          <t>P50</t>
        </is>
      </c>
      <c r="G105" s="973" t="n">
        <v>0</v>
      </c>
      <c r="H105" s="973" t="b">
        <v>0</v>
      </c>
      <c r="I105" s="973" t="inlineStr">
        <is>
          <t>D</t>
        </is>
      </c>
      <c r="J105" s="973" t="inlineStr">
        <is>
          <t>SRC-10</t>
        </is>
      </c>
      <c r="K105" s="973" t="n"/>
      <c r="L105" s="973" t="n"/>
      <c r="M105" s="973" t="n"/>
      <c r="N105" s="973" t="n"/>
      <c r="O105" s="973" t="n"/>
      <c r="P105" s="973" t="n"/>
    </row>
    <row r="106">
      <c r="A106" s="973" t="inlineStr">
        <is>
          <t>Nation-state</t>
        </is>
      </c>
      <c r="B106" s="973" t="inlineStr">
        <is>
          <t>SC_FRAUD</t>
        </is>
      </c>
      <c r="C106" s="973" t="inlineStr">
        <is>
          <t>Cyber-enabled theft or fraud</t>
        </is>
      </c>
      <c r="D106" s="973" t="inlineStr">
        <is>
          <t>Duration</t>
        </is>
      </c>
      <c r="E106" s="973" t="inlineStr">
        <is>
          <t>SERVER_RECOVERY</t>
        </is>
      </c>
      <c r="F106" s="973" t="inlineStr">
        <is>
          <t>P50</t>
        </is>
      </c>
      <c r="G106" s="973" t="n">
        <v>0</v>
      </c>
      <c r="H106" s="973" t="b">
        <v>0</v>
      </c>
      <c r="I106" s="973" t="inlineStr">
        <is>
          <t>D</t>
        </is>
      </c>
      <c r="J106" s="973" t="inlineStr">
        <is>
          <t>SRC-10</t>
        </is>
      </c>
      <c r="K106" s="973" t="n"/>
      <c r="L106" s="973" t="n"/>
      <c r="M106" s="973" t="n"/>
      <c r="N106" s="973" t="n"/>
      <c r="O106" s="973" t="n"/>
      <c r="P106" s="973" t="n"/>
    </row>
    <row r="107">
      <c r="A107" s="973" t="inlineStr">
        <is>
          <t>Nation-state</t>
        </is>
      </c>
      <c r="B107" s="973" t="inlineStr">
        <is>
          <t>SC_FRAUD</t>
        </is>
      </c>
      <c r="C107" s="973" t="inlineStr">
        <is>
          <t>Cyber-enabled theft or fraud</t>
        </is>
      </c>
      <c r="D107" s="973" t="inlineStr">
        <is>
          <t>Exposure</t>
        </is>
      </c>
      <c r="E107" s="973" t="inlineStr">
        <is>
          <t>NOTIFICATION</t>
        </is>
      </c>
      <c r="F107" s="973" t="inlineStr">
        <is>
          <t>P50</t>
        </is>
      </c>
      <c r="G107" s="973" t="n">
        <v>0</v>
      </c>
      <c r="H107" s="973" t="b">
        <v>0</v>
      </c>
      <c r="I107" s="973" t="inlineStr">
        <is>
          <t>D</t>
        </is>
      </c>
      <c r="J107" s="973" t="inlineStr">
        <is>
          <t>SRC-10</t>
        </is>
      </c>
      <c r="K107" s="973" t="n"/>
      <c r="L107" s="973" t="n"/>
      <c r="M107" s="973" t="n"/>
      <c r="N107" s="973" t="n"/>
      <c r="O107" s="973" t="n"/>
      <c r="P107" s="973" t="n"/>
    </row>
    <row r="108">
      <c r="A108" s="973" t="inlineStr">
        <is>
          <t>Nation-state</t>
        </is>
      </c>
      <c r="B108" s="973" t="inlineStr">
        <is>
          <t>SC_FRAUD</t>
        </is>
      </c>
      <c r="C108" s="973" t="inlineStr">
        <is>
          <t>Cyber-enabled theft or fraud</t>
        </is>
      </c>
      <c r="D108" s="973" t="inlineStr">
        <is>
          <t>Exposure</t>
        </is>
      </c>
      <c r="E108" s="973" t="inlineStr">
        <is>
          <t>CREDIT_MONITORING</t>
        </is>
      </c>
      <c r="F108" s="973" t="inlineStr">
        <is>
          <t>P50</t>
        </is>
      </c>
      <c r="G108" s="973" t="n">
        <v>0</v>
      </c>
      <c r="H108" s="973" t="b">
        <v>0</v>
      </c>
      <c r="I108" s="973" t="inlineStr">
        <is>
          <t>D</t>
        </is>
      </c>
      <c r="J108" s="973" t="inlineStr">
        <is>
          <t>SRC-10</t>
        </is>
      </c>
      <c r="K108" s="973" t="n"/>
      <c r="L108" s="973" t="n"/>
      <c r="M108" s="973" t="n"/>
      <c r="N108" s="973" t="n"/>
      <c r="O108" s="973" t="n"/>
      <c r="P108" s="973" t="n"/>
    </row>
    <row r="109">
      <c r="A109" s="973" t="inlineStr">
        <is>
          <t>Nation-state</t>
        </is>
      </c>
      <c r="B109" s="973" t="inlineStr">
        <is>
          <t>SC_FRAUD</t>
        </is>
      </c>
      <c r="C109" s="973" t="inlineStr">
        <is>
          <t>Cyber-enabled theft or fraud</t>
        </is>
      </c>
      <c r="D109" s="973" t="inlineStr">
        <is>
          <t>Exposure</t>
        </is>
      </c>
      <c r="E109" s="973" t="inlineStr">
        <is>
          <t>REGULATORY</t>
        </is>
      </c>
      <c r="F109" s="973" t="inlineStr">
        <is>
          <t>P50</t>
        </is>
      </c>
      <c r="G109" s="973" t="n">
        <v>200000</v>
      </c>
      <c r="H109" s="973" t="b">
        <v>1</v>
      </c>
      <c r="I109" s="973" t="inlineStr">
        <is>
          <t>D</t>
        </is>
      </c>
      <c r="J109" s="973" t="inlineStr">
        <is>
          <t>SRC-10</t>
        </is>
      </c>
      <c r="K109" s="973" t="n"/>
      <c r="L109" s="973" t="n"/>
      <c r="M109" s="973" t="n"/>
      <c r="N109" s="973" t="n"/>
      <c r="O109" s="973" t="n"/>
      <c r="P109" s="973" t="n"/>
    </row>
    <row r="110">
      <c r="A110" s="973" t="inlineStr">
        <is>
          <t>Nation-state</t>
        </is>
      </c>
      <c r="B110" s="973" t="inlineStr">
        <is>
          <t>SC_FRAUD</t>
        </is>
      </c>
      <c r="C110" s="973" t="inlineStr">
        <is>
          <t>Cyber-enabled theft or fraud</t>
        </is>
      </c>
      <c r="D110" s="973" t="inlineStr">
        <is>
          <t>Exposure</t>
        </is>
      </c>
      <c r="E110" s="973" t="inlineStr">
        <is>
          <t>CUSTOMER_ATTRITION</t>
        </is>
      </c>
      <c r="F110" s="973" t="inlineStr">
        <is>
          <t>P50</t>
        </is>
      </c>
      <c r="G110" s="973" t="n">
        <v>1000000</v>
      </c>
      <c r="H110" s="973" t="b">
        <v>1</v>
      </c>
      <c r="I110" s="973" t="inlineStr">
        <is>
          <t>D</t>
        </is>
      </c>
      <c r="J110" s="973" t="inlineStr">
        <is>
          <t>SRC-10</t>
        </is>
      </c>
      <c r="K110" s="973" t="n"/>
      <c r="L110" s="973" t="n"/>
      <c r="M110" s="973" t="n"/>
      <c r="N110" s="973" t="n"/>
      <c r="O110" s="973" t="n"/>
      <c r="P110" s="973" t="n"/>
    </row>
    <row r="111">
      <c r="A111" s="973" t="inlineStr">
        <is>
          <t>Nation-state</t>
        </is>
      </c>
      <c r="B111" s="973" t="inlineStr">
        <is>
          <t>SC_FRAUD</t>
        </is>
      </c>
      <c r="C111" s="973" t="inlineStr">
        <is>
          <t>Cyber-enabled theft or fraud</t>
        </is>
      </c>
      <c r="D111" s="973" t="inlineStr">
        <is>
          <t>Direct</t>
        </is>
      </c>
      <c r="E111" s="973" t="inlineStr">
        <is>
          <t>FRAUD_NET_RECOVERY</t>
        </is>
      </c>
      <c r="F111" s="973" t="inlineStr">
        <is>
          <t>P50</t>
        </is>
      </c>
      <c r="G111" s="973" t="n">
        <v>0</v>
      </c>
      <c r="H111" s="973" t="b">
        <v>0</v>
      </c>
      <c r="I111" s="973" t="inlineStr">
        <is>
          <t>D</t>
        </is>
      </c>
      <c r="J111" s="973" t="inlineStr">
        <is>
          <t>SRC-10</t>
        </is>
      </c>
      <c r="K111" s="973" t="n"/>
      <c r="L111" s="973" t="n"/>
      <c r="M111" s="973" t="n"/>
      <c r="N111" s="973" t="n"/>
      <c r="O111" s="973" t="n"/>
      <c r="P111" s="973" t="n"/>
    </row>
    <row r="112">
      <c r="A112" s="973" t="inlineStr">
        <is>
          <t>Nation-state</t>
        </is>
      </c>
      <c r="B112" s="973" t="inlineStr">
        <is>
          <t>SC_FRAUD</t>
        </is>
      </c>
      <c r="C112" s="973" t="inlineStr">
        <is>
          <t>Cyber-enabled theft or fraud</t>
        </is>
      </c>
      <c r="D112" s="973" t="inlineStr">
        <is>
          <t>Direct</t>
        </is>
      </c>
      <c r="E112" s="973" t="inlineStr">
        <is>
          <t>EXTORTION</t>
        </is>
      </c>
      <c r="F112" s="973" t="inlineStr">
        <is>
          <t>P50</t>
        </is>
      </c>
      <c r="G112" s="973" t="n">
        <v>0</v>
      </c>
      <c r="H112" s="973" t="b">
        <v>0</v>
      </c>
      <c r="I112" s="973" t="inlineStr">
        <is>
          <t>D</t>
        </is>
      </c>
      <c r="J112" s="973" t="inlineStr">
        <is>
          <t>SRC-10</t>
        </is>
      </c>
      <c r="K112" s="973" t="n"/>
      <c r="L112" s="973" t="n"/>
      <c r="M112" s="973" t="n"/>
      <c r="N112" s="973" t="n"/>
      <c r="O112" s="973" t="n"/>
      <c r="P112" s="973" t="n"/>
    </row>
    <row r="113">
      <c r="A113" s="973" t="inlineStr">
        <is>
          <t>Nation-state</t>
        </is>
      </c>
      <c r="B113" s="973" t="inlineStr">
        <is>
          <t>SC_FRAUD</t>
        </is>
      </c>
      <c r="C113" s="973" t="inlineStr">
        <is>
          <t>Cyber-enabled theft or fraud</t>
        </is>
      </c>
      <c r="D113" s="973" t="inlineStr">
        <is>
          <t>Direct</t>
        </is>
      </c>
      <c r="E113" s="973" t="inlineStr">
        <is>
          <t>POST_EVENT_UPLIFT</t>
        </is>
      </c>
      <c r="F113" s="973" t="inlineStr">
        <is>
          <t>P50</t>
        </is>
      </c>
      <c r="G113" s="973" t="n">
        <v>500000</v>
      </c>
      <c r="H113" s="973" t="b">
        <v>1</v>
      </c>
      <c r="I113" s="973" t="inlineStr">
        <is>
          <t>D</t>
        </is>
      </c>
      <c r="J113" s="973" t="inlineStr">
        <is>
          <t>SRC-10</t>
        </is>
      </c>
      <c r="K113" s="973" t="n"/>
      <c r="L113" s="973" t="n"/>
      <c r="M113" s="973" t="n"/>
      <c r="N113" s="973" t="n"/>
      <c r="O113" s="973" t="n"/>
      <c r="P113" s="973" t="n"/>
    </row>
    <row r="114">
      <c r="A114" s="973" t="inlineStr">
        <is>
          <t>Nation-state</t>
        </is>
      </c>
      <c r="B114" s="973" t="inlineStr">
        <is>
          <t>SC_FRAUD</t>
        </is>
      </c>
      <c r="C114" s="973" t="inlineStr">
        <is>
          <t>Cyber-enabled theft or fraud</t>
        </is>
      </c>
      <c r="D114" s="973" t="inlineStr">
        <is>
          <t>Duration</t>
        </is>
      </c>
      <c r="E114" s="973" t="inlineStr">
        <is>
          <t>IR_FORENSICS</t>
        </is>
      </c>
      <c r="F114" s="973" t="inlineStr">
        <is>
          <t>P99</t>
        </is>
      </c>
      <c r="G114" s="973" t="n">
        <v>240000</v>
      </c>
      <c r="H114" s="973" t="b">
        <v>1</v>
      </c>
      <c r="I114" s="973" t="inlineStr">
        <is>
          <t>D</t>
        </is>
      </c>
      <c r="J114" s="973" t="inlineStr">
        <is>
          <t>SRC-10</t>
        </is>
      </c>
      <c r="K114" s="973" t="n"/>
      <c r="L114" s="973" t="n"/>
      <c r="M114" s="973" t="n"/>
      <c r="N114" s="973" t="n"/>
      <c r="O114" s="973" t="n"/>
      <c r="P114" s="973" t="n"/>
    </row>
    <row r="115">
      <c r="A115" s="973" t="inlineStr">
        <is>
          <t>Nation-state</t>
        </is>
      </c>
      <c r="B115" s="973" t="inlineStr">
        <is>
          <t>SC_FRAUD</t>
        </is>
      </c>
      <c r="C115" s="973" t="inlineStr">
        <is>
          <t>Cyber-enabled theft or fraud</t>
        </is>
      </c>
      <c r="D115" s="973" t="inlineStr">
        <is>
          <t>Duration</t>
        </is>
      </c>
      <c r="E115" s="973" t="inlineStr">
        <is>
          <t>EXTERNAL_RESPONSE</t>
        </is>
      </c>
      <c r="F115" s="973" t="inlineStr">
        <is>
          <t>P99</t>
        </is>
      </c>
      <c r="G115" s="973" t="n">
        <v>450000</v>
      </c>
      <c r="H115" s="973" t="b">
        <v>1</v>
      </c>
      <c r="I115" s="973" t="inlineStr">
        <is>
          <t>D</t>
        </is>
      </c>
      <c r="J115" s="973" t="inlineStr">
        <is>
          <t>SRC-10</t>
        </is>
      </c>
      <c r="K115" s="973" t="n"/>
      <c r="L115" s="973" t="n"/>
      <c r="M115" s="973" t="n"/>
      <c r="N115" s="973" t="n"/>
      <c r="O115" s="973" t="n"/>
      <c r="P115" s="973" t="n"/>
    </row>
    <row r="116">
      <c r="A116" s="973" t="inlineStr">
        <is>
          <t>Nation-state</t>
        </is>
      </c>
      <c r="B116" s="973" t="inlineStr">
        <is>
          <t>SC_FRAUD</t>
        </is>
      </c>
      <c r="C116" s="973" t="inlineStr">
        <is>
          <t>Cyber-enabled theft or fraud</t>
        </is>
      </c>
      <c r="D116" s="973" t="inlineStr">
        <is>
          <t>Duration</t>
        </is>
      </c>
      <c r="E116" s="973" t="inlineStr">
        <is>
          <t>LEGAL_RESPONSE</t>
        </is>
      </c>
      <c r="F116" s="973" t="inlineStr">
        <is>
          <t>P99</t>
        </is>
      </c>
      <c r="G116" s="973" t="n">
        <v>900000</v>
      </c>
      <c r="H116" s="973" t="b">
        <v>1</v>
      </c>
      <c r="I116" s="973" t="inlineStr">
        <is>
          <t>D</t>
        </is>
      </c>
      <c r="J116" s="973" t="inlineStr">
        <is>
          <t>SRC-10</t>
        </is>
      </c>
      <c r="K116" s="973" t="n"/>
      <c r="L116" s="973" t="n"/>
      <c r="M116" s="973" t="n"/>
      <c r="N116" s="973" t="n"/>
      <c r="O116" s="973" t="n"/>
      <c r="P116" s="973" t="n"/>
    </row>
    <row r="117">
      <c r="A117" s="973" t="inlineStr">
        <is>
          <t>Nation-state</t>
        </is>
      </c>
      <c r="B117" s="973" t="inlineStr">
        <is>
          <t>SC_FRAUD</t>
        </is>
      </c>
      <c r="C117" s="973" t="inlineStr">
        <is>
          <t>Cyber-enabled theft or fraud</t>
        </is>
      </c>
      <c r="D117" s="973" t="inlineStr">
        <is>
          <t>Duration</t>
        </is>
      </c>
      <c r="E117" s="973" t="inlineStr">
        <is>
          <t>RESTORATION</t>
        </is>
      </c>
      <c r="F117" s="973" t="inlineStr">
        <is>
          <t>P99</t>
        </is>
      </c>
      <c r="G117" s="973" t="n">
        <v>240000</v>
      </c>
      <c r="H117" s="973" t="b">
        <v>1</v>
      </c>
      <c r="I117" s="973" t="inlineStr">
        <is>
          <t>D</t>
        </is>
      </c>
      <c r="J117" s="973" t="inlineStr">
        <is>
          <t>SRC-10</t>
        </is>
      </c>
      <c r="K117" s="973" t="n"/>
      <c r="L117" s="973" t="n"/>
      <c r="M117" s="973" t="n"/>
      <c r="N117" s="973" t="n"/>
      <c r="O117" s="973" t="n"/>
      <c r="P117" s="973" t="n"/>
    </row>
    <row r="118">
      <c r="A118" s="973" t="inlineStr">
        <is>
          <t>Nation-state</t>
        </is>
      </c>
      <c r="B118" s="973" t="inlineStr">
        <is>
          <t>SC_FRAUD</t>
        </is>
      </c>
      <c r="C118" s="973" t="inlineStr">
        <is>
          <t>Cyber-enabled theft or fraud</t>
        </is>
      </c>
      <c r="D118" s="973" t="inlineStr">
        <is>
          <t>Duration</t>
        </is>
      </c>
      <c r="E118" s="973" t="inlineStr">
        <is>
          <t>BUSINESS_INTERRUPTION</t>
        </is>
      </c>
      <c r="F118" s="973" t="inlineStr">
        <is>
          <t>P99</t>
        </is>
      </c>
      <c r="G118" s="973" t="n">
        <v>0</v>
      </c>
      <c r="H118" s="973" t="b">
        <v>0</v>
      </c>
      <c r="I118" s="973" t="inlineStr">
        <is>
          <t>D</t>
        </is>
      </c>
      <c r="J118" s="973" t="inlineStr">
        <is>
          <t>SRC-10</t>
        </is>
      </c>
      <c r="K118" s="973" t="n"/>
      <c r="L118" s="973" t="n"/>
      <c r="M118" s="973" t="n"/>
      <c r="N118" s="973" t="n"/>
      <c r="O118" s="973" t="n"/>
      <c r="P118" s="973" t="n"/>
    </row>
    <row r="119">
      <c r="A119" s="973" t="inlineStr">
        <is>
          <t>Nation-state</t>
        </is>
      </c>
      <c r="B119" s="973" t="inlineStr">
        <is>
          <t>SC_FRAUD</t>
        </is>
      </c>
      <c r="C119" s="973" t="inlineStr">
        <is>
          <t>Cyber-enabled theft or fraud</t>
        </is>
      </c>
      <c r="D119" s="973" t="inlineStr">
        <is>
          <t>Duration</t>
        </is>
      </c>
      <c r="E119" s="973" t="inlineStr">
        <is>
          <t>ENDPOINT_RECOVERY</t>
        </is>
      </c>
      <c r="F119" s="973" t="inlineStr">
        <is>
          <t>P99</t>
        </is>
      </c>
      <c r="G119" s="973" t="n">
        <v>0</v>
      </c>
      <c r="H119" s="973" t="b">
        <v>0</v>
      </c>
      <c r="I119" s="973" t="inlineStr">
        <is>
          <t>D</t>
        </is>
      </c>
      <c r="J119" s="973" t="inlineStr">
        <is>
          <t>SRC-10</t>
        </is>
      </c>
      <c r="K119" s="973" t="n"/>
      <c r="L119" s="973" t="n"/>
      <c r="M119" s="973" t="n"/>
      <c r="N119" s="973" t="n"/>
      <c r="O119" s="973" t="n"/>
      <c r="P119" s="973" t="n"/>
    </row>
    <row r="120">
      <c r="A120" s="973" t="inlineStr">
        <is>
          <t>Nation-state</t>
        </is>
      </c>
      <c r="B120" s="973" t="inlineStr">
        <is>
          <t>SC_FRAUD</t>
        </is>
      </c>
      <c r="C120" s="973" t="inlineStr">
        <is>
          <t>Cyber-enabled theft or fraud</t>
        </is>
      </c>
      <c r="D120" s="973" t="inlineStr">
        <is>
          <t>Duration</t>
        </is>
      </c>
      <c r="E120" s="973" t="inlineStr">
        <is>
          <t>SERVER_RECOVERY</t>
        </is>
      </c>
      <c r="F120" s="973" t="inlineStr">
        <is>
          <t>P99</t>
        </is>
      </c>
      <c r="G120" s="973" t="n">
        <v>0</v>
      </c>
      <c r="H120" s="973" t="b">
        <v>0</v>
      </c>
      <c r="I120" s="973" t="inlineStr">
        <is>
          <t>D</t>
        </is>
      </c>
      <c r="J120" s="973" t="inlineStr">
        <is>
          <t>SRC-10</t>
        </is>
      </c>
      <c r="K120" s="973" t="n"/>
      <c r="L120" s="973" t="n"/>
      <c r="M120" s="973" t="n"/>
      <c r="N120" s="973" t="n"/>
      <c r="O120" s="973" t="n"/>
      <c r="P120" s="973" t="n"/>
    </row>
    <row r="121">
      <c r="A121" s="973" t="inlineStr">
        <is>
          <t>Nation-state</t>
        </is>
      </c>
      <c r="B121" s="973" t="inlineStr">
        <is>
          <t>SC_FRAUD</t>
        </is>
      </c>
      <c r="C121" s="973" t="inlineStr">
        <is>
          <t>Cyber-enabled theft or fraud</t>
        </is>
      </c>
      <c r="D121" s="973" t="inlineStr">
        <is>
          <t>Exposure</t>
        </is>
      </c>
      <c r="E121" s="973" t="inlineStr">
        <is>
          <t>NOTIFICATION</t>
        </is>
      </c>
      <c r="F121" s="973" t="inlineStr">
        <is>
          <t>P99</t>
        </is>
      </c>
      <c r="G121" s="973" t="n">
        <v>0</v>
      </c>
      <c r="H121" s="973" t="b">
        <v>0</v>
      </c>
      <c r="I121" s="973" t="inlineStr">
        <is>
          <t>D</t>
        </is>
      </c>
      <c r="J121" s="973" t="inlineStr">
        <is>
          <t>SRC-10</t>
        </is>
      </c>
      <c r="K121" s="973" t="n"/>
      <c r="L121" s="973" t="n"/>
      <c r="M121" s="973" t="n"/>
      <c r="N121" s="973" t="n"/>
      <c r="O121" s="973" t="n"/>
      <c r="P121" s="973" t="n"/>
    </row>
    <row r="122">
      <c r="A122" s="973" t="inlineStr">
        <is>
          <t>Nation-state</t>
        </is>
      </c>
      <c r="B122" s="973" t="inlineStr">
        <is>
          <t>SC_FRAUD</t>
        </is>
      </c>
      <c r="C122" s="973" t="inlineStr">
        <is>
          <t>Cyber-enabled theft or fraud</t>
        </is>
      </c>
      <c r="D122" s="973" t="inlineStr">
        <is>
          <t>Exposure</t>
        </is>
      </c>
      <c r="E122" s="973" t="inlineStr">
        <is>
          <t>CREDIT_MONITORING</t>
        </is>
      </c>
      <c r="F122" s="973" t="inlineStr">
        <is>
          <t>P99</t>
        </is>
      </c>
      <c r="G122" s="973" t="n">
        <v>0</v>
      </c>
      <c r="H122" s="973" t="b">
        <v>0</v>
      </c>
      <c r="I122" s="973" t="inlineStr">
        <is>
          <t>D</t>
        </is>
      </c>
      <c r="J122" s="973" t="inlineStr">
        <is>
          <t>SRC-10</t>
        </is>
      </c>
      <c r="K122" s="973" t="n"/>
      <c r="L122" s="973" t="n"/>
      <c r="M122" s="973" t="n"/>
      <c r="N122" s="973" t="n"/>
      <c r="O122" s="973" t="n"/>
      <c r="P122" s="973" t="n"/>
    </row>
    <row r="123">
      <c r="A123" s="973" t="inlineStr">
        <is>
          <t>Nation-state</t>
        </is>
      </c>
      <c r="B123" s="973" t="inlineStr">
        <is>
          <t>SC_FRAUD</t>
        </is>
      </c>
      <c r="C123" s="973" t="inlineStr">
        <is>
          <t>Cyber-enabled theft or fraud</t>
        </is>
      </c>
      <c r="D123" s="973" t="inlineStr">
        <is>
          <t>Exposure</t>
        </is>
      </c>
      <c r="E123" s="973" t="inlineStr">
        <is>
          <t>REGULATORY</t>
        </is>
      </c>
      <c r="F123" s="973" t="inlineStr">
        <is>
          <t>P99</t>
        </is>
      </c>
      <c r="G123" s="973" t="n">
        <v>3000000</v>
      </c>
      <c r="H123" s="973" t="b">
        <v>1</v>
      </c>
      <c r="I123" s="973" t="inlineStr">
        <is>
          <t>D</t>
        </is>
      </c>
      <c r="J123" s="973" t="inlineStr">
        <is>
          <t>SRC-10</t>
        </is>
      </c>
      <c r="K123" s="973" t="n"/>
      <c r="L123" s="973" t="n"/>
      <c r="M123" s="973" t="n"/>
      <c r="N123" s="973" t="n"/>
      <c r="O123" s="973" t="n"/>
      <c r="P123" s="973" t="n"/>
    </row>
    <row r="124">
      <c r="A124" s="973" t="inlineStr">
        <is>
          <t>Nation-state</t>
        </is>
      </c>
      <c r="B124" s="973" t="inlineStr">
        <is>
          <t>SC_FRAUD</t>
        </is>
      </c>
      <c r="C124" s="973" t="inlineStr">
        <is>
          <t>Cyber-enabled theft or fraud</t>
        </is>
      </c>
      <c r="D124" s="973" t="inlineStr">
        <is>
          <t>Exposure</t>
        </is>
      </c>
      <c r="E124" s="973" t="inlineStr">
        <is>
          <t>CUSTOMER_ATTRITION</t>
        </is>
      </c>
      <c r="F124" s="973" t="inlineStr">
        <is>
          <t>P99</t>
        </is>
      </c>
      <c r="G124" s="973" t="n">
        <v>20000000</v>
      </c>
      <c r="H124" s="973" t="b">
        <v>1</v>
      </c>
      <c r="I124" s="973" t="inlineStr">
        <is>
          <t>D</t>
        </is>
      </c>
      <c r="J124" s="973" t="inlineStr">
        <is>
          <t>SRC-10</t>
        </is>
      </c>
      <c r="K124" s="973" t="n"/>
      <c r="L124" s="973" t="n"/>
      <c r="M124" s="973" t="n"/>
      <c r="N124" s="973" t="n"/>
      <c r="O124" s="973" t="n"/>
      <c r="P124" s="973" t="n"/>
    </row>
    <row r="125">
      <c r="A125" s="973" t="inlineStr">
        <is>
          <t>Nation-state</t>
        </is>
      </c>
      <c r="B125" s="973" t="inlineStr">
        <is>
          <t>SC_FRAUD</t>
        </is>
      </c>
      <c r="C125" s="973" t="inlineStr">
        <is>
          <t>Cyber-enabled theft or fraud</t>
        </is>
      </c>
      <c r="D125" s="973" t="inlineStr">
        <is>
          <t>Direct</t>
        </is>
      </c>
      <c r="E125" s="973" t="inlineStr">
        <is>
          <t>FRAUD_NET_RECOVERY</t>
        </is>
      </c>
      <c r="F125" s="973" t="inlineStr">
        <is>
          <t>P99</t>
        </is>
      </c>
      <c r="G125" s="973" t="n">
        <v>0</v>
      </c>
      <c r="H125" s="973" t="b">
        <v>0</v>
      </c>
      <c r="I125" s="973" t="inlineStr">
        <is>
          <t>D</t>
        </is>
      </c>
      <c r="J125" s="973" t="inlineStr">
        <is>
          <t>SRC-10</t>
        </is>
      </c>
      <c r="K125" s="973" t="n"/>
      <c r="L125" s="973" t="n"/>
      <c r="M125" s="973" t="n"/>
      <c r="N125" s="973" t="n"/>
      <c r="O125" s="973" t="n"/>
      <c r="P125" s="973" t="n"/>
    </row>
    <row r="126">
      <c r="A126" s="973" t="inlineStr">
        <is>
          <t>Nation-state</t>
        </is>
      </c>
      <c r="B126" s="973" t="inlineStr">
        <is>
          <t>SC_FRAUD</t>
        </is>
      </c>
      <c r="C126" s="973" t="inlineStr">
        <is>
          <t>Cyber-enabled theft or fraud</t>
        </is>
      </c>
      <c r="D126" s="973" t="inlineStr">
        <is>
          <t>Direct</t>
        </is>
      </c>
      <c r="E126" s="973" t="inlineStr">
        <is>
          <t>EXTORTION</t>
        </is>
      </c>
      <c r="F126" s="973" t="inlineStr">
        <is>
          <t>P99</t>
        </is>
      </c>
      <c r="G126" s="973" t="n">
        <v>0</v>
      </c>
      <c r="H126" s="973" t="b">
        <v>0</v>
      </c>
      <c r="I126" s="973" t="inlineStr">
        <is>
          <t>D</t>
        </is>
      </c>
      <c r="J126" s="973" t="inlineStr">
        <is>
          <t>SRC-10</t>
        </is>
      </c>
      <c r="K126" s="973" t="n"/>
      <c r="L126" s="973" t="n"/>
      <c r="M126" s="973" t="n"/>
      <c r="N126" s="973" t="n"/>
      <c r="O126" s="973" t="n"/>
      <c r="P126" s="973" t="n"/>
    </row>
    <row r="127">
      <c r="A127" s="973" t="inlineStr">
        <is>
          <t>Nation-state</t>
        </is>
      </c>
      <c r="B127" s="973" t="inlineStr">
        <is>
          <t>SC_FRAUD</t>
        </is>
      </c>
      <c r="C127" s="973" t="inlineStr">
        <is>
          <t>Cyber-enabled theft or fraud</t>
        </is>
      </c>
      <c r="D127" s="973" t="inlineStr">
        <is>
          <t>Direct</t>
        </is>
      </c>
      <c r="E127" s="973" t="inlineStr">
        <is>
          <t>POST_EVENT_UPLIFT</t>
        </is>
      </c>
      <c r="F127" s="973" t="inlineStr">
        <is>
          <t>P99</t>
        </is>
      </c>
      <c r="G127" s="973" t="n">
        <v>5000000</v>
      </c>
      <c r="H127" s="973" t="b">
        <v>1</v>
      </c>
      <c r="I127" s="973" t="inlineStr">
        <is>
          <t>D</t>
        </is>
      </c>
      <c r="J127" s="973" t="inlineStr">
        <is>
          <t>SRC-10</t>
        </is>
      </c>
      <c r="K127" s="973" t="n"/>
      <c r="L127" s="973" t="n"/>
      <c r="M127" s="973" t="n"/>
      <c r="N127" s="973" t="n"/>
      <c r="O127" s="973" t="n"/>
      <c r="P127" s="973" t="n"/>
    </row>
    <row r="128">
      <c r="A128" s="973" t="inlineStr">
        <is>
          <t>Cybercriminal</t>
        </is>
      </c>
      <c r="B128" s="973" t="inlineStr">
        <is>
          <t>SC_DISR</t>
        </is>
      </c>
      <c r="C128" s="973" t="inlineStr">
        <is>
          <t>Critical business-service disruption</t>
        </is>
      </c>
      <c r="D128" s="973" t="inlineStr">
        <is>
          <t>Duration</t>
        </is>
      </c>
      <c r="E128" s="973" t="inlineStr">
        <is>
          <t>IR_FORENSICS</t>
        </is>
      </c>
      <c r="F128" s="973" t="inlineStr">
        <is>
          <t>P50</t>
        </is>
      </c>
      <c r="G128" s="973" t="n">
        <v>20000</v>
      </c>
      <c r="H128" s="973" t="b">
        <v>1</v>
      </c>
      <c r="I128" s="973" t="inlineStr">
        <is>
          <t>D</t>
        </is>
      </c>
      <c r="J128" s="973" t="inlineStr">
        <is>
          <t>SRC-10</t>
        </is>
      </c>
      <c r="K128" s="973" t="n"/>
      <c r="L128" s="973" t="n"/>
      <c r="M128" s="973" t="n"/>
      <c r="N128" s="973" t="n"/>
      <c r="O128" s="973" t="n"/>
      <c r="P128" s="973" t="n"/>
    </row>
    <row r="129">
      <c r="A129" s="973" t="inlineStr">
        <is>
          <t>Cybercriminal</t>
        </is>
      </c>
      <c r="B129" s="973" t="inlineStr">
        <is>
          <t>SC_DISR</t>
        </is>
      </c>
      <c r="C129" s="973" t="inlineStr">
        <is>
          <t>Critical business-service disruption</t>
        </is>
      </c>
      <c r="D129" s="973" t="inlineStr">
        <is>
          <t>Duration</t>
        </is>
      </c>
      <c r="E129" s="973" t="inlineStr">
        <is>
          <t>EXTERNAL_RESPONSE</t>
        </is>
      </c>
      <c r="F129" s="973" t="inlineStr">
        <is>
          <t>P50</t>
        </is>
      </c>
      <c r="G129" s="973" t="n">
        <v>30000</v>
      </c>
      <c r="H129" s="973" t="b">
        <v>1</v>
      </c>
      <c r="I129" s="973" t="inlineStr">
        <is>
          <t>D</t>
        </is>
      </c>
      <c r="J129" s="973" t="inlineStr">
        <is>
          <t>SRC-10</t>
        </is>
      </c>
      <c r="K129" s="973" t="n"/>
      <c r="L129" s="973" t="n"/>
      <c r="M129" s="973" t="n"/>
      <c r="N129" s="973" t="n"/>
      <c r="O129" s="973" t="n"/>
      <c r="P129" s="973" t="n"/>
    </row>
    <row r="130">
      <c r="A130" s="973" t="inlineStr">
        <is>
          <t>Cybercriminal</t>
        </is>
      </c>
      <c r="B130" s="973" t="inlineStr">
        <is>
          <t>SC_DISR</t>
        </is>
      </c>
      <c r="C130" s="973" t="inlineStr">
        <is>
          <t>Critical business-service disruption</t>
        </is>
      </c>
      <c r="D130" s="973" t="inlineStr">
        <is>
          <t>Duration</t>
        </is>
      </c>
      <c r="E130" s="973" t="inlineStr">
        <is>
          <t>LEGAL_RESPONSE</t>
        </is>
      </c>
      <c r="F130" s="973" t="inlineStr">
        <is>
          <t>P50</t>
        </is>
      </c>
      <c r="G130" s="973" t="n">
        <v>25000</v>
      </c>
      <c r="H130" s="973" t="b">
        <v>1</v>
      </c>
      <c r="I130" s="973" t="inlineStr">
        <is>
          <t>D</t>
        </is>
      </c>
      <c r="J130" s="973" t="inlineStr">
        <is>
          <t>SRC-10</t>
        </is>
      </c>
      <c r="K130" s="973" t="n"/>
      <c r="L130" s="973" t="n"/>
      <c r="M130" s="973" t="n"/>
      <c r="N130" s="973" t="n"/>
      <c r="O130" s="973" t="n"/>
      <c r="P130" s="973" t="n"/>
    </row>
    <row r="131">
      <c r="A131" s="973" t="inlineStr">
        <is>
          <t>Cybercriminal</t>
        </is>
      </c>
      <c r="B131" s="973" t="inlineStr">
        <is>
          <t>SC_DISR</t>
        </is>
      </c>
      <c r="C131" s="973" t="inlineStr">
        <is>
          <t>Critical business-service disruption</t>
        </is>
      </c>
      <c r="D131" s="973" t="inlineStr">
        <is>
          <t>Duration</t>
        </is>
      </c>
      <c r="E131" s="973" t="inlineStr">
        <is>
          <t>RESTORATION</t>
        </is>
      </c>
      <c r="F131" s="973" t="inlineStr">
        <is>
          <t>P50</t>
        </is>
      </c>
      <c r="G131" s="973" t="n">
        <v>30000</v>
      </c>
      <c r="H131" s="973" t="b">
        <v>1</v>
      </c>
      <c r="I131" s="973" t="inlineStr">
        <is>
          <t>D</t>
        </is>
      </c>
      <c r="J131" s="973" t="inlineStr">
        <is>
          <t>SRC-10</t>
        </is>
      </c>
      <c r="K131" s="973" t="n"/>
      <c r="L131" s="973" t="n"/>
      <c r="M131" s="973" t="n"/>
      <c r="N131" s="973" t="n"/>
      <c r="O131" s="973" t="n"/>
      <c r="P131" s="973" t="n"/>
    </row>
    <row r="132">
      <c r="A132" s="973" t="inlineStr">
        <is>
          <t>Cybercriminal</t>
        </is>
      </c>
      <c r="B132" s="973" t="inlineStr">
        <is>
          <t>SC_DISR</t>
        </is>
      </c>
      <c r="C132" s="973" t="inlineStr">
        <is>
          <t>Critical business-service disruption</t>
        </is>
      </c>
      <c r="D132" s="973" t="inlineStr">
        <is>
          <t>Duration</t>
        </is>
      </c>
      <c r="E132" s="973" t="inlineStr">
        <is>
          <t>BUSINESS_INTERRUPTION</t>
        </is>
      </c>
      <c r="F132" s="973" t="inlineStr">
        <is>
          <t>P50</t>
        </is>
      </c>
      <c r="G132" s="973" t="n">
        <v>2465753.424657534</v>
      </c>
      <c r="H132" s="973" t="b">
        <v>1</v>
      </c>
      <c r="I132" s="973" t="inlineStr">
        <is>
          <t>D</t>
        </is>
      </c>
      <c r="J132" s="973" t="inlineStr">
        <is>
          <t>SRC-10</t>
        </is>
      </c>
      <c r="K132" s="973" t="n"/>
      <c r="L132" s="973" t="n"/>
      <c r="M132" s="973" t="n"/>
      <c r="N132" s="973" t="n"/>
      <c r="O132" s="973" t="n"/>
      <c r="P132" s="973" t="n"/>
    </row>
    <row r="133">
      <c r="A133" s="973" t="inlineStr">
        <is>
          <t>Cybercriminal</t>
        </is>
      </c>
      <c r="B133" s="973" t="inlineStr">
        <is>
          <t>SC_DISR</t>
        </is>
      </c>
      <c r="C133" s="973" t="inlineStr">
        <is>
          <t>Critical business-service disruption</t>
        </is>
      </c>
      <c r="D133" s="973" t="inlineStr">
        <is>
          <t>Duration</t>
        </is>
      </c>
      <c r="E133" s="973" t="inlineStr">
        <is>
          <t>ENDPOINT_RECOVERY</t>
        </is>
      </c>
      <c r="F133" s="973" t="inlineStr">
        <is>
          <t>P50</t>
        </is>
      </c>
      <c r="G133" s="973" t="n">
        <v>100000</v>
      </c>
      <c r="H133" s="973" t="b">
        <v>1</v>
      </c>
      <c r="I133" s="973" t="inlineStr">
        <is>
          <t>D</t>
        </is>
      </c>
      <c r="J133" s="973" t="inlineStr">
        <is>
          <t>SRC-10</t>
        </is>
      </c>
      <c r="K133" s="973" t="n"/>
      <c r="L133" s="973" t="n"/>
      <c r="M133" s="973" t="n"/>
      <c r="N133" s="973" t="n"/>
      <c r="O133" s="973" t="n"/>
      <c r="P133" s="973" t="n"/>
    </row>
    <row r="134">
      <c r="A134" s="973" t="inlineStr">
        <is>
          <t>Cybercriminal</t>
        </is>
      </c>
      <c r="B134" s="973" t="inlineStr">
        <is>
          <t>SC_DISR</t>
        </is>
      </c>
      <c r="C134" s="973" t="inlineStr">
        <is>
          <t>Critical business-service disruption</t>
        </is>
      </c>
      <c r="D134" s="973" t="inlineStr">
        <is>
          <t>Duration</t>
        </is>
      </c>
      <c r="E134" s="973" t="inlineStr">
        <is>
          <t>SERVER_RECOVERY</t>
        </is>
      </c>
      <c r="F134" s="973" t="inlineStr">
        <is>
          <t>P50</t>
        </is>
      </c>
      <c r="G134" s="973" t="n">
        <v>250000</v>
      </c>
      <c r="H134" s="973" t="b">
        <v>1</v>
      </c>
      <c r="I134" s="973" t="inlineStr">
        <is>
          <t>D</t>
        </is>
      </c>
      <c r="J134" s="973" t="inlineStr">
        <is>
          <t>SRC-10</t>
        </is>
      </c>
      <c r="K134" s="973" t="n"/>
      <c r="L134" s="973" t="n"/>
      <c r="M134" s="973" t="n"/>
      <c r="N134" s="973" t="n"/>
      <c r="O134" s="973" t="n"/>
      <c r="P134" s="973" t="n"/>
    </row>
    <row r="135">
      <c r="A135" s="973" t="inlineStr">
        <is>
          <t>Cybercriminal</t>
        </is>
      </c>
      <c r="B135" s="973" t="inlineStr">
        <is>
          <t>SC_DISR</t>
        </is>
      </c>
      <c r="C135" s="973" t="inlineStr">
        <is>
          <t>Critical business-service disruption</t>
        </is>
      </c>
      <c r="D135" s="973" t="inlineStr">
        <is>
          <t>Exposure</t>
        </is>
      </c>
      <c r="E135" s="973" t="inlineStr">
        <is>
          <t>NOTIFICATION</t>
        </is>
      </c>
      <c r="F135" s="973" t="inlineStr">
        <is>
          <t>P50</t>
        </is>
      </c>
      <c r="G135" s="973" t="n">
        <v>0</v>
      </c>
      <c r="H135" s="973" t="b">
        <v>0</v>
      </c>
      <c r="I135" s="973" t="inlineStr">
        <is>
          <t>D</t>
        </is>
      </c>
      <c r="J135" s="973" t="inlineStr">
        <is>
          <t>SRC-10</t>
        </is>
      </c>
      <c r="K135" s="973" t="n"/>
      <c r="L135" s="973" t="n"/>
      <c r="M135" s="973" t="n"/>
      <c r="N135" s="973" t="n"/>
      <c r="O135" s="973" t="n"/>
      <c r="P135" s="973" t="n"/>
    </row>
    <row r="136">
      <c r="A136" s="973" t="inlineStr">
        <is>
          <t>Cybercriminal</t>
        </is>
      </c>
      <c r="B136" s="973" t="inlineStr">
        <is>
          <t>SC_DISR</t>
        </is>
      </c>
      <c r="C136" s="973" t="inlineStr">
        <is>
          <t>Critical business-service disruption</t>
        </is>
      </c>
      <c r="D136" s="973" t="inlineStr">
        <is>
          <t>Exposure</t>
        </is>
      </c>
      <c r="E136" s="973" t="inlineStr">
        <is>
          <t>CREDIT_MONITORING</t>
        </is>
      </c>
      <c r="F136" s="973" t="inlineStr">
        <is>
          <t>P50</t>
        </is>
      </c>
      <c r="G136" s="973" t="n">
        <v>0</v>
      </c>
      <c r="H136" s="973" t="b">
        <v>0</v>
      </c>
      <c r="I136" s="973" t="inlineStr">
        <is>
          <t>D</t>
        </is>
      </c>
      <c r="J136" s="973" t="inlineStr">
        <is>
          <t>SRC-10</t>
        </is>
      </c>
      <c r="K136" s="973" t="n"/>
      <c r="L136" s="973" t="n"/>
      <c r="M136" s="973" t="n"/>
      <c r="N136" s="973" t="n"/>
      <c r="O136" s="973" t="n"/>
      <c r="P136" s="973" t="n"/>
    </row>
    <row r="137">
      <c r="A137" s="973" t="inlineStr">
        <is>
          <t>Cybercriminal</t>
        </is>
      </c>
      <c r="B137" s="973" t="inlineStr">
        <is>
          <t>SC_DISR</t>
        </is>
      </c>
      <c r="C137" s="973" t="inlineStr">
        <is>
          <t>Critical business-service disruption</t>
        </is>
      </c>
      <c r="D137" s="973" t="inlineStr">
        <is>
          <t>Exposure</t>
        </is>
      </c>
      <c r="E137" s="973" t="inlineStr">
        <is>
          <t>REGULATORY</t>
        </is>
      </c>
      <c r="F137" s="973" t="inlineStr">
        <is>
          <t>P50</t>
        </is>
      </c>
      <c r="G137" s="973" t="n">
        <v>0</v>
      </c>
      <c r="H137" s="973" t="b">
        <v>0</v>
      </c>
      <c r="I137" s="973" t="inlineStr">
        <is>
          <t>D</t>
        </is>
      </c>
      <c r="J137" s="973" t="inlineStr">
        <is>
          <t>SRC-10</t>
        </is>
      </c>
      <c r="K137" s="973" t="n"/>
      <c r="L137" s="973" t="n"/>
      <c r="M137" s="973" t="n"/>
      <c r="N137" s="973" t="n"/>
      <c r="O137" s="973" t="n"/>
      <c r="P137" s="973" t="n"/>
    </row>
    <row r="138">
      <c r="A138" s="973" t="inlineStr">
        <is>
          <t>Cybercriminal</t>
        </is>
      </c>
      <c r="B138" s="973" t="inlineStr">
        <is>
          <t>SC_DISR</t>
        </is>
      </c>
      <c r="C138" s="973" t="inlineStr">
        <is>
          <t>Critical business-service disruption</t>
        </is>
      </c>
      <c r="D138" s="973" t="inlineStr">
        <is>
          <t>Exposure</t>
        </is>
      </c>
      <c r="E138" s="973" t="inlineStr">
        <is>
          <t>CUSTOMER_ATTRITION</t>
        </is>
      </c>
      <c r="F138" s="973" t="inlineStr">
        <is>
          <t>P50</t>
        </is>
      </c>
      <c r="G138" s="973" t="n">
        <v>1000000</v>
      </c>
      <c r="H138" s="973" t="b">
        <v>1</v>
      </c>
      <c r="I138" s="973" t="inlineStr">
        <is>
          <t>D</t>
        </is>
      </c>
      <c r="J138" s="973" t="inlineStr">
        <is>
          <t>SRC-10</t>
        </is>
      </c>
      <c r="K138" s="973" t="n"/>
      <c r="L138" s="973" t="n"/>
      <c r="M138" s="973" t="n"/>
      <c r="N138" s="973" t="n"/>
      <c r="O138" s="973" t="n"/>
      <c r="P138" s="973" t="n"/>
    </row>
    <row r="139">
      <c r="A139" s="973" t="inlineStr">
        <is>
          <t>Cybercriminal</t>
        </is>
      </c>
      <c r="B139" s="973" t="inlineStr">
        <is>
          <t>SC_DISR</t>
        </is>
      </c>
      <c r="C139" s="973" t="inlineStr">
        <is>
          <t>Critical business-service disruption</t>
        </is>
      </c>
      <c r="D139" s="973" t="inlineStr">
        <is>
          <t>Direct</t>
        </is>
      </c>
      <c r="E139" s="973" t="inlineStr">
        <is>
          <t>FRAUD_NET_RECOVERY</t>
        </is>
      </c>
      <c r="F139" s="973" t="inlineStr">
        <is>
          <t>P50</t>
        </is>
      </c>
      <c r="G139" s="973" t="n">
        <v>0</v>
      </c>
      <c r="H139" s="973" t="b">
        <v>0</v>
      </c>
      <c r="I139" s="973" t="inlineStr">
        <is>
          <t>D</t>
        </is>
      </c>
      <c r="J139" s="973" t="inlineStr">
        <is>
          <t>SRC-10</t>
        </is>
      </c>
      <c r="K139" s="973" t="n"/>
      <c r="L139" s="973" t="n"/>
      <c r="M139" s="973" t="n"/>
      <c r="N139" s="973" t="n"/>
      <c r="O139" s="973" t="n"/>
      <c r="P139" s="973" t="n"/>
    </row>
    <row r="140">
      <c r="A140" s="973" t="inlineStr">
        <is>
          <t>Cybercriminal</t>
        </is>
      </c>
      <c r="B140" s="973" t="inlineStr">
        <is>
          <t>SC_DISR</t>
        </is>
      </c>
      <c r="C140" s="973" t="inlineStr">
        <is>
          <t>Critical business-service disruption</t>
        </is>
      </c>
      <c r="D140" s="973" t="inlineStr">
        <is>
          <t>Direct</t>
        </is>
      </c>
      <c r="E140" s="973" t="inlineStr">
        <is>
          <t>EXTORTION</t>
        </is>
      </c>
      <c r="F140" s="973" t="inlineStr">
        <is>
          <t>P50</t>
        </is>
      </c>
      <c r="G140" s="973" t="n">
        <v>1000000</v>
      </c>
      <c r="H140" s="973" t="b">
        <v>1</v>
      </c>
      <c r="I140" s="973" t="inlineStr">
        <is>
          <t>D</t>
        </is>
      </c>
      <c r="J140" s="973" t="inlineStr">
        <is>
          <t>SRC-10</t>
        </is>
      </c>
      <c r="K140" s="973" t="n"/>
      <c r="L140" s="973" t="n"/>
      <c r="M140" s="973" t="n"/>
      <c r="N140" s="973" t="n"/>
      <c r="O140" s="973" t="n"/>
      <c r="P140" s="973" t="n"/>
    </row>
    <row r="141">
      <c r="A141" s="973" t="inlineStr">
        <is>
          <t>Cybercriminal</t>
        </is>
      </c>
      <c r="B141" s="973" t="inlineStr">
        <is>
          <t>SC_DISR</t>
        </is>
      </c>
      <c r="C141" s="973" t="inlineStr">
        <is>
          <t>Critical business-service disruption</t>
        </is>
      </c>
      <c r="D141" s="973" t="inlineStr">
        <is>
          <t>Direct</t>
        </is>
      </c>
      <c r="E141" s="973" t="inlineStr">
        <is>
          <t>POST_EVENT_UPLIFT</t>
        </is>
      </c>
      <c r="F141" s="973" t="inlineStr">
        <is>
          <t>P50</t>
        </is>
      </c>
      <c r="G141" s="973" t="n">
        <v>500000</v>
      </c>
      <c r="H141" s="973" t="b">
        <v>1</v>
      </c>
      <c r="I141" s="973" t="inlineStr">
        <is>
          <t>D</t>
        </is>
      </c>
      <c r="J141" s="973" t="inlineStr">
        <is>
          <t>SRC-10</t>
        </is>
      </c>
      <c r="K141" s="973" t="n"/>
      <c r="L141" s="973" t="n"/>
      <c r="M141" s="973" t="n"/>
      <c r="N141" s="973" t="n"/>
      <c r="O141" s="973" t="n"/>
      <c r="P141" s="973" t="n"/>
    </row>
    <row r="142">
      <c r="A142" s="973" t="inlineStr">
        <is>
          <t>Cybercriminal</t>
        </is>
      </c>
      <c r="B142" s="973" t="inlineStr">
        <is>
          <t>SC_DISR</t>
        </is>
      </c>
      <c r="C142" s="973" t="inlineStr">
        <is>
          <t>Critical business-service disruption</t>
        </is>
      </c>
      <c r="D142" s="973" t="inlineStr">
        <is>
          <t>Duration</t>
        </is>
      </c>
      <c r="E142" s="973" t="inlineStr">
        <is>
          <t>IR_FORENSICS</t>
        </is>
      </c>
      <c r="F142" s="973" t="inlineStr">
        <is>
          <t>P99</t>
        </is>
      </c>
      <c r="G142" s="973" t="n">
        <v>240000</v>
      </c>
      <c r="H142" s="973" t="b">
        <v>1</v>
      </c>
      <c r="I142" s="973" t="inlineStr">
        <is>
          <t>D</t>
        </is>
      </c>
      <c r="J142" s="973" t="inlineStr">
        <is>
          <t>SRC-10</t>
        </is>
      </c>
      <c r="K142" s="973" t="n"/>
      <c r="L142" s="973" t="n"/>
      <c r="M142" s="973" t="n"/>
      <c r="N142" s="973" t="n"/>
      <c r="O142" s="973" t="n"/>
      <c r="P142" s="973" t="n"/>
    </row>
    <row r="143">
      <c r="A143" s="973" t="inlineStr">
        <is>
          <t>Cybercriminal</t>
        </is>
      </c>
      <c r="B143" s="973" t="inlineStr">
        <is>
          <t>SC_DISR</t>
        </is>
      </c>
      <c r="C143" s="973" t="inlineStr">
        <is>
          <t>Critical business-service disruption</t>
        </is>
      </c>
      <c r="D143" s="973" t="inlineStr">
        <is>
          <t>Duration</t>
        </is>
      </c>
      <c r="E143" s="973" t="inlineStr">
        <is>
          <t>EXTERNAL_RESPONSE</t>
        </is>
      </c>
      <c r="F143" s="973" t="inlineStr">
        <is>
          <t>P99</t>
        </is>
      </c>
      <c r="G143" s="973" t="n">
        <v>450000</v>
      </c>
      <c r="H143" s="973" t="b">
        <v>1</v>
      </c>
      <c r="I143" s="973" t="inlineStr">
        <is>
          <t>D</t>
        </is>
      </c>
      <c r="J143" s="973" t="inlineStr">
        <is>
          <t>SRC-10</t>
        </is>
      </c>
      <c r="K143" s="973" t="n"/>
      <c r="L143" s="973" t="n"/>
      <c r="M143" s="973" t="n"/>
      <c r="N143" s="973" t="n"/>
      <c r="O143" s="973" t="n"/>
      <c r="P143" s="973" t="n"/>
    </row>
    <row r="144">
      <c r="A144" s="973" t="inlineStr">
        <is>
          <t>Cybercriminal</t>
        </is>
      </c>
      <c r="B144" s="973" t="inlineStr">
        <is>
          <t>SC_DISR</t>
        </is>
      </c>
      <c r="C144" s="973" t="inlineStr">
        <is>
          <t>Critical business-service disruption</t>
        </is>
      </c>
      <c r="D144" s="973" t="inlineStr">
        <is>
          <t>Duration</t>
        </is>
      </c>
      <c r="E144" s="973" t="inlineStr">
        <is>
          <t>LEGAL_RESPONSE</t>
        </is>
      </c>
      <c r="F144" s="973" t="inlineStr">
        <is>
          <t>P99</t>
        </is>
      </c>
      <c r="G144" s="973" t="n">
        <v>450000</v>
      </c>
      <c r="H144" s="973" t="b">
        <v>1</v>
      </c>
      <c r="I144" s="973" t="inlineStr">
        <is>
          <t>D</t>
        </is>
      </c>
      <c r="J144" s="973" t="inlineStr">
        <is>
          <t>SRC-10</t>
        </is>
      </c>
      <c r="K144" s="973" t="n"/>
      <c r="L144" s="973" t="n"/>
      <c r="M144" s="973" t="n"/>
      <c r="N144" s="973" t="n"/>
      <c r="O144" s="973" t="n"/>
      <c r="P144" s="973" t="n"/>
    </row>
    <row r="145">
      <c r="A145" s="973" t="inlineStr">
        <is>
          <t>Cybercriminal</t>
        </is>
      </c>
      <c r="B145" s="973" t="inlineStr">
        <is>
          <t>SC_DISR</t>
        </is>
      </c>
      <c r="C145" s="973" t="inlineStr">
        <is>
          <t>Critical business-service disruption</t>
        </is>
      </c>
      <c r="D145" s="973" t="inlineStr">
        <is>
          <t>Duration</t>
        </is>
      </c>
      <c r="E145" s="973" t="inlineStr">
        <is>
          <t>RESTORATION</t>
        </is>
      </c>
      <c r="F145" s="973" t="inlineStr">
        <is>
          <t>P99</t>
        </is>
      </c>
      <c r="G145" s="973" t="n">
        <v>480000</v>
      </c>
      <c r="H145" s="973" t="b">
        <v>1</v>
      </c>
      <c r="I145" s="973" t="inlineStr">
        <is>
          <t>D</t>
        </is>
      </c>
      <c r="J145" s="973" t="inlineStr">
        <is>
          <t>SRC-10</t>
        </is>
      </c>
      <c r="K145" s="973" t="n"/>
      <c r="L145" s="973" t="n"/>
      <c r="M145" s="973" t="n"/>
      <c r="N145" s="973" t="n"/>
      <c r="O145" s="973" t="n"/>
      <c r="P145" s="973" t="n"/>
    </row>
    <row r="146">
      <c r="A146" s="973" t="inlineStr">
        <is>
          <t>Cybercriminal</t>
        </is>
      </c>
      <c r="B146" s="973" t="inlineStr">
        <is>
          <t>SC_DISR</t>
        </is>
      </c>
      <c r="C146" s="973" t="inlineStr">
        <is>
          <t>Critical business-service disruption</t>
        </is>
      </c>
      <c r="D146" s="973" t="inlineStr">
        <is>
          <t>Duration</t>
        </is>
      </c>
      <c r="E146" s="973" t="inlineStr">
        <is>
          <t>BUSINESS_INTERRUPTION</t>
        </is>
      </c>
      <c r="F146" s="973" t="inlineStr">
        <is>
          <t>P99</t>
        </is>
      </c>
      <c r="G146" s="973" t="n">
        <v>69863013.69863012</v>
      </c>
      <c r="H146" s="973" t="b">
        <v>1</v>
      </c>
      <c r="I146" s="973" t="inlineStr">
        <is>
          <t>D</t>
        </is>
      </c>
      <c r="J146" s="973" t="inlineStr">
        <is>
          <t>SRC-10</t>
        </is>
      </c>
      <c r="K146" s="973" t="n"/>
      <c r="L146" s="973" t="n"/>
      <c r="M146" s="973" t="n"/>
      <c r="N146" s="973" t="n"/>
      <c r="O146" s="973" t="n"/>
      <c r="P146" s="973" t="n"/>
    </row>
    <row r="147">
      <c r="A147" s="973" t="inlineStr">
        <is>
          <t>Cybercriminal</t>
        </is>
      </c>
      <c r="B147" s="973" t="inlineStr">
        <is>
          <t>SC_DISR</t>
        </is>
      </c>
      <c r="C147" s="973" t="inlineStr">
        <is>
          <t>Critical business-service disruption</t>
        </is>
      </c>
      <c r="D147" s="973" t="inlineStr">
        <is>
          <t>Duration</t>
        </is>
      </c>
      <c r="E147" s="973" t="inlineStr">
        <is>
          <t>ENDPOINT_RECOVERY</t>
        </is>
      </c>
      <c r="F147" s="973" t="inlineStr">
        <is>
          <t>P99</t>
        </is>
      </c>
      <c r="G147" s="973" t="n">
        <v>1250000</v>
      </c>
      <c r="H147" s="973" t="b">
        <v>1</v>
      </c>
      <c r="I147" s="973" t="inlineStr">
        <is>
          <t>D</t>
        </is>
      </c>
      <c r="J147" s="973" t="inlineStr">
        <is>
          <t>SRC-10</t>
        </is>
      </c>
      <c r="K147" s="973" t="n"/>
      <c r="L147" s="973" t="n"/>
      <c r="M147" s="973" t="n"/>
      <c r="N147" s="973" t="n"/>
      <c r="O147" s="973" t="n"/>
      <c r="P147" s="973" t="n"/>
    </row>
    <row r="148">
      <c r="A148" s="973" t="inlineStr">
        <is>
          <t>Cybercriminal</t>
        </is>
      </c>
      <c r="B148" s="973" t="inlineStr">
        <is>
          <t>SC_DISR</t>
        </is>
      </c>
      <c r="C148" s="973" t="inlineStr">
        <is>
          <t>Critical business-service disruption</t>
        </is>
      </c>
      <c r="D148" s="973" t="inlineStr">
        <is>
          <t>Duration</t>
        </is>
      </c>
      <c r="E148" s="973" t="inlineStr">
        <is>
          <t>SERVER_RECOVERY</t>
        </is>
      </c>
      <c r="F148" s="973" t="inlineStr">
        <is>
          <t>P99</t>
        </is>
      </c>
      <c r="G148" s="973" t="n">
        <v>2400000</v>
      </c>
      <c r="H148" s="973" t="b">
        <v>1</v>
      </c>
      <c r="I148" s="973" t="inlineStr">
        <is>
          <t>D</t>
        </is>
      </c>
      <c r="J148" s="973" t="inlineStr">
        <is>
          <t>SRC-10</t>
        </is>
      </c>
      <c r="K148" s="973" t="n"/>
      <c r="L148" s="973" t="n"/>
      <c r="M148" s="973" t="n"/>
      <c r="N148" s="973" t="n"/>
      <c r="O148" s="973" t="n"/>
      <c r="P148" s="973" t="n"/>
    </row>
    <row r="149">
      <c r="A149" s="973" t="inlineStr">
        <is>
          <t>Cybercriminal</t>
        </is>
      </c>
      <c r="B149" s="973" t="inlineStr">
        <is>
          <t>SC_DISR</t>
        </is>
      </c>
      <c r="C149" s="973" t="inlineStr">
        <is>
          <t>Critical business-service disruption</t>
        </is>
      </c>
      <c r="D149" s="973" t="inlineStr">
        <is>
          <t>Exposure</t>
        </is>
      </c>
      <c r="E149" s="973" t="inlineStr">
        <is>
          <t>NOTIFICATION</t>
        </is>
      </c>
      <c r="F149" s="973" t="inlineStr">
        <is>
          <t>P99</t>
        </is>
      </c>
      <c r="G149" s="973" t="n">
        <v>0</v>
      </c>
      <c r="H149" s="973" t="b">
        <v>0</v>
      </c>
      <c r="I149" s="973" t="inlineStr">
        <is>
          <t>D</t>
        </is>
      </c>
      <c r="J149" s="973" t="inlineStr">
        <is>
          <t>SRC-10</t>
        </is>
      </c>
      <c r="K149" s="973" t="n"/>
      <c r="L149" s="973" t="n"/>
      <c r="M149" s="973" t="n"/>
      <c r="N149" s="973" t="n"/>
      <c r="O149" s="973" t="n"/>
      <c r="P149" s="973" t="n"/>
    </row>
    <row r="150">
      <c r="A150" s="973" t="inlineStr">
        <is>
          <t>Cybercriminal</t>
        </is>
      </c>
      <c r="B150" s="973" t="inlineStr">
        <is>
          <t>SC_DISR</t>
        </is>
      </c>
      <c r="C150" s="973" t="inlineStr">
        <is>
          <t>Critical business-service disruption</t>
        </is>
      </c>
      <c r="D150" s="973" t="inlineStr">
        <is>
          <t>Exposure</t>
        </is>
      </c>
      <c r="E150" s="973" t="inlineStr">
        <is>
          <t>CREDIT_MONITORING</t>
        </is>
      </c>
      <c r="F150" s="973" t="inlineStr">
        <is>
          <t>P99</t>
        </is>
      </c>
      <c r="G150" s="973" t="n">
        <v>0</v>
      </c>
      <c r="H150" s="973" t="b">
        <v>0</v>
      </c>
      <c r="I150" s="973" t="inlineStr">
        <is>
          <t>D</t>
        </is>
      </c>
      <c r="J150" s="973" t="inlineStr">
        <is>
          <t>SRC-10</t>
        </is>
      </c>
      <c r="K150" s="973" t="n"/>
      <c r="L150" s="973" t="n"/>
      <c r="M150" s="973" t="n"/>
      <c r="N150" s="973" t="n"/>
      <c r="O150" s="973" t="n"/>
      <c r="P150" s="973" t="n"/>
    </row>
    <row r="151">
      <c r="A151" s="973" t="inlineStr">
        <is>
          <t>Cybercriminal</t>
        </is>
      </c>
      <c r="B151" s="973" t="inlineStr">
        <is>
          <t>SC_DISR</t>
        </is>
      </c>
      <c r="C151" s="973" t="inlineStr">
        <is>
          <t>Critical business-service disruption</t>
        </is>
      </c>
      <c r="D151" s="973" t="inlineStr">
        <is>
          <t>Exposure</t>
        </is>
      </c>
      <c r="E151" s="973" t="inlineStr">
        <is>
          <t>REGULATORY</t>
        </is>
      </c>
      <c r="F151" s="973" t="inlineStr">
        <is>
          <t>P99</t>
        </is>
      </c>
      <c r="G151" s="973" t="n">
        <v>0</v>
      </c>
      <c r="H151" s="973" t="b">
        <v>0</v>
      </c>
      <c r="I151" s="973" t="inlineStr">
        <is>
          <t>D</t>
        </is>
      </c>
      <c r="J151" s="973" t="inlineStr">
        <is>
          <t>SRC-10</t>
        </is>
      </c>
      <c r="K151" s="973" t="n"/>
      <c r="L151" s="973" t="n"/>
      <c r="M151" s="973" t="n"/>
      <c r="N151" s="973" t="n"/>
      <c r="O151" s="973" t="n"/>
      <c r="P151" s="973" t="n"/>
    </row>
    <row r="152">
      <c r="A152" s="973" t="inlineStr">
        <is>
          <t>Cybercriminal</t>
        </is>
      </c>
      <c r="B152" s="973" t="inlineStr">
        <is>
          <t>SC_DISR</t>
        </is>
      </c>
      <c r="C152" s="973" t="inlineStr">
        <is>
          <t>Critical business-service disruption</t>
        </is>
      </c>
      <c r="D152" s="973" t="inlineStr">
        <is>
          <t>Exposure</t>
        </is>
      </c>
      <c r="E152" s="973" t="inlineStr">
        <is>
          <t>CUSTOMER_ATTRITION</t>
        </is>
      </c>
      <c r="F152" s="973" t="inlineStr">
        <is>
          <t>P99</t>
        </is>
      </c>
      <c r="G152" s="973" t="n">
        <v>10000000</v>
      </c>
      <c r="H152" s="973" t="b">
        <v>1</v>
      </c>
      <c r="I152" s="973" t="inlineStr">
        <is>
          <t>D</t>
        </is>
      </c>
      <c r="J152" s="973" t="inlineStr">
        <is>
          <t>SRC-10</t>
        </is>
      </c>
      <c r="K152" s="973" t="n"/>
      <c r="L152" s="973" t="n"/>
      <c r="M152" s="973" t="n"/>
      <c r="N152" s="973" t="n"/>
      <c r="O152" s="973" t="n"/>
      <c r="P152" s="973" t="n"/>
    </row>
    <row r="153">
      <c r="A153" s="973" t="inlineStr">
        <is>
          <t>Cybercriminal</t>
        </is>
      </c>
      <c r="B153" s="973" t="inlineStr">
        <is>
          <t>SC_DISR</t>
        </is>
      </c>
      <c r="C153" s="973" t="inlineStr">
        <is>
          <t>Critical business-service disruption</t>
        </is>
      </c>
      <c r="D153" s="973" t="inlineStr">
        <is>
          <t>Direct</t>
        </is>
      </c>
      <c r="E153" s="973" t="inlineStr">
        <is>
          <t>FRAUD_NET_RECOVERY</t>
        </is>
      </c>
      <c r="F153" s="973" t="inlineStr">
        <is>
          <t>P99</t>
        </is>
      </c>
      <c r="G153" s="973" t="n">
        <v>0</v>
      </c>
      <c r="H153" s="973" t="b">
        <v>0</v>
      </c>
      <c r="I153" s="973" t="inlineStr">
        <is>
          <t>D</t>
        </is>
      </c>
      <c r="J153" s="973" t="inlineStr">
        <is>
          <t>SRC-10</t>
        </is>
      </c>
      <c r="K153" s="973" t="n"/>
      <c r="L153" s="973" t="n"/>
      <c r="M153" s="973" t="n"/>
      <c r="N153" s="973" t="n"/>
      <c r="O153" s="973" t="n"/>
      <c r="P153" s="973" t="n"/>
    </row>
    <row r="154">
      <c r="A154" s="973" t="inlineStr">
        <is>
          <t>Cybercriminal</t>
        </is>
      </c>
      <c r="B154" s="973" t="inlineStr">
        <is>
          <t>SC_DISR</t>
        </is>
      </c>
      <c r="C154" s="973" t="inlineStr">
        <is>
          <t>Critical business-service disruption</t>
        </is>
      </c>
      <c r="D154" s="973" t="inlineStr">
        <is>
          <t>Direct</t>
        </is>
      </c>
      <c r="E154" s="973" t="inlineStr">
        <is>
          <t>EXTORTION</t>
        </is>
      </c>
      <c r="F154" s="973" t="inlineStr">
        <is>
          <t>P99</t>
        </is>
      </c>
      <c r="G154" s="973" t="n">
        <v>20000000</v>
      </c>
      <c r="H154" s="973" t="b">
        <v>1</v>
      </c>
      <c r="I154" s="973" t="inlineStr">
        <is>
          <t>D</t>
        </is>
      </c>
      <c r="J154" s="973" t="inlineStr">
        <is>
          <t>SRC-10</t>
        </is>
      </c>
      <c r="K154" s="973" t="n"/>
      <c r="L154" s="973" t="n"/>
      <c r="M154" s="973" t="n"/>
      <c r="N154" s="973" t="n"/>
      <c r="O154" s="973" t="n"/>
      <c r="P154" s="973" t="n"/>
    </row>
    <row r="155">
      <c r="A155" s="973" t="inlineStr">
        <is>
          <t>Cybercriminal</t>
        </is>
      </c>
      <c r="B155" s="973" t="inlineStr">
        <is>
          <t>SC_DISR</t>
        </is>
      </c>
      <c r="C155" s="973" t="inlineStr">
        <is>
          <t>Critical business-service disruption</t>
        </is>
      </c>
      <c r="D155" s="973" t="inlineStr">
        <is>
          <t>Direct</t>
        </is>
      </c>
      <c r="E155" s="973" t="inlineStr">
        <is>
          <t>POST_EVENT_UPLIFT</t>
        </is>
      </c>
      <c r="F155" s="973" t="inlineStr">
        <is>
          <t>P99</t>
        </is>
      </c>
      <c r="G155" s="973" t="n">
        <v>5000000</v>
      </c>
      <c r="H155" s="973" t="b">
        <v>1</v>
      </c>
      <c r="I155" s="973" t="inlineStr">
        <is>
          <t>D</t>
        </is>
      </c>
      <c r="J155" s="973" t="inlineStr">
        <is>
          <t>SRC-10</t>
        </is>
      </c>
      <c r="K155" s="973" t="n"/>
      <c r="L155" s="973" t="n"/>
      <c r="M155" s="973" t="n"/>
      <c r="N155" s="973" t="n"/>
      <c r="O155" s="973" t="n"/>
      <c r="P155" s="973" t="n"/>
    </row>
    <row r="156">
      <c r="A156" s="973" t="inlineStr">
        <is>
          <t>Cybercriminal</t>
        </is>
      </c>
      <c r="B156" s="973" t="inlineStr">
        <is>
          <t>SC_DATA</t>
        </is>
      </c>
      <c r="C156" s="973" t="inlineStr">
        <is>
          <t>Sensitive-data compromise</t>
        </is>
      </c>
      <c r="D156" s="973" t="inlineStr">
        <is>
          <t>Duration</t>
        </is>
      </c>
      <c r="E156" s="973" t="inlineStr">
        <is>
          <t>IR_FORENSICS</t>
        </is>
      </c>
      <c r="F156" s="973" t="inlineStr">
        <is>
          <t>P50</t>
        </is>
      </c>
      <c r="G156" s="973" t="n">
        <v>40000</v>
      </c>
      <c r="H156" s="973" t="b">
        <v>1</v>
      </c>
      <c r="I156" s="973" t="inlineStr">
        <is>
          <t>D</t>
        </is>
      </c>
      <c r="J156" s="973" t="inlineStr">
        <is>
          <t>SRC-10</t>
        </is>
      </c>
      <c r="K156" s="973" t="n"/>
      <c r="L156" s="973" t="n"/>
      <c r="M156" s="973" t="n"/>
      <c r="N156" s="973" t="n"/>
      <c r="O156" s="973" t="n"/>
      <c r="P156" s="973" t="n"/>
    </row>
    <row r="157">
      <c r="A157" s="973" t="inlineStr">
        <is>
          <t>Cybercriminal</t>
        </is>
      </c>
      <c r="B157" s="973" t="inlineStr">
        <is>
          <t>SC_DATA</t>
        </is>
      </c>
      <c r="C157" s="973" t="inlineStr">
        <is>
          <t>Sensitive-data compromise</t>
        </is>
      </c>
      <c r="D157" s="973" t="inlineStr">
        <is>
          <t>Duration</t>
        </is>
      </c>
      <c r="E157" s="973" t="inlineStr">
        <is>
          <t>EXTERNAL_RESPONSE</t>
        </is>
      </c>
      <c r="F157" s="973" t="inlineStr">
        <is>
          <t>P50</t>
        </is>
      </c>
      <c r="G157" s="973" t="n">
        <v>90000</v>
      </c>
      <c r="H157" s="973" t="b">
        <v>1</v>
      </c>
      <c r="I157" s="973" t="inlineStr">
        <is>
          <t>D</t>
        </is>
      </c>
      <c r="J157" s="973" t="inlineStr">
        <is>
          <t>SRC-10</t>
        </is>
      </c>
      <c r="K157" s="973" t="n"/>
      <c r="L157" s="973" t="n"/>
      <c r="M157" s="973" t="n"/>
      <c r="N157" s="973" t="n"/>
      <c r="O157" s="973" t="n"/>
      <c r="P157" s="973" t="n"/>
    </row>
    <row r="158">
      <c r="A158" s="973" t="inlineStr">
        <is>
          <t>Cybercriminal</t>
        </is>
      </c>
      <c r="B158" s="973" t="inlineStr">
        <is>
          <t>SC_DATA</t>
        </is>
      </c>
      <c r="C158" s="973" t="inlineStr">
        <is>
          <t>Sensitive-data compromise</t>
        </is>
      </c>
      <c r="D158" s="973" t="inlineStr">
        <is>
          <t>Duration</t>
        </is>
      </c>
      <c r="E158" s="973" t="inlineStr">
        <is>
          <t>LEGAL_RESPONSE</t>
        </is>
      </c>
      <c r="F158" s="973" t="inlineStr">
        <is>
          <t>P50</t>
        </is>
      </c>
      <c r="G158" s="973" t="n">
        <v>150000</v>
      </c>
      <c r="H158" s="973" t="b">
        <v>1</v>
      </c>
      <c r="I158" s="973" t="inlineStr">
        <is>
          <t>D</t>
        </is>
      </c>
      <c r="J158" s="973" t="inlineStr">
        <is>
          <t>SRC-10</t>
        </is>
      </c>
      <c r="K158" s="973" t="n"/>
      <c r="L158" s="973" t="n"/>
      <c r="M158" s="973" t="n"/>
      <c r="N158" s="973" t="n"/>
      <c r="O158" s="973" t="n"/>
      <c r="P158" s="973" t="n"/>
    </row>
    <row r="159">
      <c r="A159" s="973" t="inlineStr">
        <is>
          <t>Cybercriminal</t>
        </is>
      </c>
      <c r="B159" s="973" t="inlineStr">
        <is>
          <t>SC_DATA</t>
        </is>
      </c>
      <c r="C159" s="973" t="inlineStr">
        <is>
          <t>Sensitive-data compromise</t>
        </is>
      </c>
      <c r="D159" s="973" t="inlineStr">
        <is>
          <t>Duration</t>
        </is>
      </c>
      <c r="E159" s="973" t="inlineStr">
        <is>
          <t>RESTORATION</t>
        </is>
      </c>
      <c r="F159" s="973" t="inlineStr">
        <is>
          <t>P50</t>
        </is>
      </c>
      <c r="G159" s="973" t="n">
        <v>40000</v>
      </c>
      <c r="H159" s="973" t="b">
        <v>1</v>
      </c>
      <c r="I159" s="973" t="inlineStr">
        <is>
          <t>D</t>
        </is>
      </c>
      <c r="J159" s="973" t="inlineStr">
        <is>
          <t>SRC-10</t>
        </is>
      </c>
      <c r="K159" s="973" t="n"/>
      <c r="L159" s="973" t="n"/>
      <c r="M159" s="973" t="n"/>
      <c r="N159" s="973" t="n"/>
      <c r="O159" s="973" t="n"/>
      <c r="P159" s="973" t="n"/>
    </row>
    <row r="160">
      <c r="A160" s="973" t="inlineStr">
        <is>
          <t>Cybercriminal</t>
        </is>
      </c>
      <c r="B160" s="973" t="inlineStr">
        <is>
          <t>SC_DATA</t>
        </is>
      </c>
      <c r="C160" s="973" t="inlineStr">
        <is>
          <t>Sensitive-data compromise</t>
        </is>
      </c>
      <c r="D160" s="973" t="inlineStr">
        <is>
          <t>Duration</t>
        </is>
      </c>
      <c r="E160" s="973" t="inlineStr">
        <is>
          <t>BUSINESS_INTERRUPTION</t>
        </is>
      </c>
      <c r="F160" s="973" t="inlineStr">
        <is>
          <t>P50</t>
        </is>
      </c>
      <c r="G160" s="973" t="n">
        <v>273972.602739726</v>
      </c>
      <c r="H160" s="973" t="b">
        <v>1</v>
      </c>
      <c r="I160" s="973" t="inlineStr">
        <is>
          <t>D</t>
        </is>
      </c>
      <c r="J160" s="973" t="inlineStr">
        <is>
          <t>SRC-10</t>
        </is>
      </c>
      <c r="K160" s="973" t="n"/>
      <c r="L160" s="973" t="n"/>
      <c r="M160" s="973" t="n"/>
      <c r="N160" s="973" t="n"/>
      <c r="O160" s="973" t="n"/>
      <c r="P160" s="973" t="n"/>
    </row>
    <row r="161">
      <c r="A161" s="973" t="inlineStr">
        <is>
          <t>Cybercriminal</t>
        </is>
      </c>
      <c r="B161" s="973" t="inlineStr">
        <is>
          <t>SC_DATA</t>
        </is>
      </c>
      <c r="C161" s="973" t="inlineStr">
        <is>
          <t>Sensitive-data compromise</t>
        </is>
      </c>
      <c r="D161" s="973" t="inlineStr">
        <is>
          <t>Duration</t>
        </is>
      </c>
      <c r="E161" s="973" t="inlineStr">
        <is>
          <t>ENDPOINT_RECOVERY</t>
        </is>
      </c>
      <c r="F161" s="973" t="inlineStr">
        <is>
          <t>P50</t>
        </is>
      </c>
      <c r="G161" s="973" t="n">
        <v>50000</v>
      </c>
      <c r="H161" s="973" t="b">
        <v>1</v>
      </c>
      <c r="I161" s="973" t="inlineStr">
        <is>
          <t>D</t>
        </is>
      </c>
      <c r="J161" s="973" t="inlineStr">
        <is>
          <t>SRC-10</t>
        </is>
      </c>
      <c r="K161" s="973" t="n"/>
      <c r="L161" s="973" t="n"/>
      <c r="M161" s="973" t="n"/>
      <c r="N161" s="973" t="n"/>
      <c r="O161" s="973" t="n"/>
      <c r="P161" s="973" t="n"/>
    </row>
    <row r="162">
      <c r="A162" s="973" t="inlineStr">
        <is>
          <t>Cybercriminal</t>
        </is>
      </c>
      <c r="B162" s="973" t="inlineStr">
        <is>
          <t>SC_DATA</t>
        </is>
      </c>
      <c r="C162" s="973" t="inlineStr">
        <is>
          <t>Sensitive-data compromise</t>
        </is>
      </c>
      <c r="D162" s="973" t="inlineStr">
        <is>
          <t>Duration</t>
        </is>
      </c>
      <c r="E162" s="973" t="inlineStr">
        <is>
          <t>SERVER_RECOVERY</t>
        </is>
      </c>
      <c r="F162" s="973" t="inlineStr">
        <is>
          <t>P50</t>
        </is>
      </c>
      <c r="G162" s="973" t="n">
        <v>125000</v>
      </c>
      <c r="H162" s="973" t="b">
        <v>1</v>
      </c>
      <c r="I162" s="973" t="inlineStr">
        <is>
          <t>D</t>
        </is>
      </c>
      <c r="J162" s="973" t="inlineStr">
        <is>
          <t>SRC-10</t>
        </is>
      </c>
      <c r="K162" s="973" t="n"/>
      <c r="L162" s="973" t="n"/>
      <c r="M162" s="973" t="n"/>
      <c r="N162" s="973" t="n"/>
      <c r="O162" s="973" t="n"/>
      <c r="P162" s="973" t="n"/>
    </row>
    <row r="163">
      <c r="A163" s="973" t="inlineStr">
        <is>
          <t>Cybercriminal</t>
        </is>
      </c>
      <c r="B163" s="973" t="inlineStr">
        <is>
          <t>SC_DATA</t>
        </is>
      </c>
      <c r="C163" s="973" t="inlineStr">
        <is>
          <t>Sensitive-data compromise</t>
        </is>
      </c>
      <c r="D163" s="973" t="inlineStr">
        <is>
          <t>Exposure</t>
        </is>
      </c>
      <c r="E163" s="973" t="inlineStr">
        <is>
          <t>NOTIFICATION</t>
        </is>
      </c>
      <c r="F163" s="973" t="inlineStr">
        <is>
          <t>P50</t>
        </is>
      </c>
      <c r="G163" s="973" t="n">
        <v>125000</v>
      </c>
      <c r="H163" s="973" t="b">
        <v>1</v>
      </c>
      <c r="I163" s="973" t="inlineStr">
        <is>
          <t>D</t>
        </is>
      </c>
      <c r="J163" s="973" t="inlineStr">
        <is>
          <t>SRC-10</t>
        </is>
      </c>
      <c r="K163" s="973" t="n"/>
      <c r="L163" s="973" t="n"/>
      <c r="M163" s="973" t="n"/>
      <c r="N163" s="973" t="n"/>
      <c r="O163" s="973" t="n"/>
      <c r="P163" s="973" t="n"/>
    </row>
    <row r="164">
      <c r="A164" s="973" t="inlineStr">
        <is>
          <t>Cybercriminal</t>
        </is>
      </c>
      <c r="B164" s="973" t="inlineStr">
        <is>
          <t>SC_DATA</t>
        </is>
      </c>
      <c r="C164" s="973" t="inlineStr">
        <is>
          <t>Sensitive-data compromise</t>
        </is>
      </c>
      <c r="D164" s="973" t="inlineStr">
        <is>
          <t>Exposure</t>
        </is>
      </c>
      <c r="E164" s="973" t="inlineStr">
        <is>
          <t>CREDIT_MONITORING</t>
        </is>
      </c>
      <c r="F164" s="973" t="inlineStr">
        <is>
          <t>P50</t>
        </is>
      </c>
      <c r="G164" s="973" t="n">
        <v>200000</v>
      </c>
      <c r="H164" s="973" t="b">
        <v>1</v>
      </c>
      <c r="I164" s="973" t="inlineStr">
        <is>
          <t>D</t>
        </is>
      </c>
      <c r="J164" s="973" t="inlineStr">
        <is>
          <t>SRC-10</t>
        </is>
      </c>
      <c r="K164" s="973" t="n"/>
      <c r="L164" s="973" t="n"/>
      <c r="M164" s="973" t="n"/>
      <c r="N164" s="973" t="n"/>
      <c r="O164" s="973" t="n"/>
      <c r="P164" s="973" t="n"/>
    </row>
    <row r="165">
      <c r="A165" s="973" t="inlineStr">
        <is>
          <t>Cybercriminal</t>
        </is>
      </c>
      <c r="B165" s="973" t="inlineStr">
        <is>
          <t>SC_DATA</t>
        </is>
      </c>
      <c r="C165" s="973" t="inlineStr">
        <is>
          <t>Sensitive-data compromise</t>
        </is>
      </c>
      <c r="D165" s="973" t="inlineStr">
        <is>
          <t>Exposure</t>
        </is>
      </c>
      <c r="E165" s="973" t="inlineStr">
        <is>
          <t>REGULATORY</t>
        </is>
      </c>
      <c r="F165" s="973" t="inlineStr">
        <is>
          <t>P50</t>
        </is>
      </c>
      <c r="G165" s="973" t="n">
        <v>1000000</v>
      </c>
      <c r="H165" s="973" t="b">
        <v>1</v>
      </c>
      <c r="I165" s="973" t="inlineStr">
        <is>
          <t>D</t>
        </is>
      </c>
      <c r="J165" s="973" t="inlineStr">
        <is>
          <t>SRC-10</t>
        </is>
      </c>
      <c r="K165" s="973" t="n"/>
      <c r="L165" s="973" t="n"/>
      <c r="M165" s="973" t="n"/>
      <c r="N165" s="973" t="n"/>
      <c r="O165" s="973" t="n"/>
      <c r="P165" s="973" t="n"/>
    </row>
    <row r="166">
      <c r="A166" s="973" t="inlineStr">
        <is>
          <t>Cybercriminal</t>
        </is>
      </c>
      <c r="B166" s="973" t="inlineStr">
        <is>
          <t>SC_DATA</t>
        </is>
      </c>
      <c r="C166" s="973" t="inlineStr">
        <is>
          <t>Sensitive-data compromise</t>
        </is>
      </c>
      <c r="D166" s="973" t="inlineStr">
        <is>
          <t>Exposure</t>
        </is>
      </c>
      <c r="E166" s="973" t="inlineStr">
        <is>
          <t>CUSTOMER_ATTRITION</t>
        </is>
      </c>
      <c r="F166" s="973" t="inlineStr">
        <is>
          <t>P50</t>
        </is>
      </c>
      <c r="G166" s="973" t="n">
        <v>2000000</v>
      </c>
      <c r="H166" s="973" t="b">
        <v>1</v>
      </c>
      <c r="I166" s="973" t="inlineStr">
        <is>
          <t>D</t>
        </is>
      </c>
      <c r="J166" s="973" t="inlineStr">
        <is>
          <t>SRC-10</t>
        </is>
      </c>
      <c r="K166" s="973" t="n"/>
      <c r="L166" s="973" t="n"/>
      <c r="M166" s="973" t="n"/>
      <c r="N166" s="973" t="n"/>
      <c r="O166" s="973" t="n"/>
      <c r="P166" s="973" t="n"/>
    </row>
    <row r="167">
      <c r="A167" s="973" t="inlineStr">
        <is>
          <t>Cybercriminal</t>
        </is>
      </c>
      <c r="B167" s="973" t="inlineStr">
        <is>
          <t>SC_DATA</t>
        </is>
      </c>
      <c r="C167" s="973" t="inlineStr">
        <is>
          <t>Sensitive-data compromise</t>
        </is>
      </c>
      <c r="D167" s="973" t="inlineStr">
        <is>
          <t>Direct</t>
        </is>
      </c>
      <c r="E167" s="973" t="inlineStr">
        <is>
          <t>FRAUD_NET_RECOVERY</t>
        </is>
      </c>
      <c r="F167" s="973" t="inlineStr">
        <is>
          <t>P50</t>
        </is>
      </c>
      <c r="G167" s="973" t="n">
        <v>0</v>
      </c>
      <c r="H167" s="973" t="b">
        <v>0</v>
      </c>
      <c r="I167" s="973" t="inlineStr">
        <is>
          <t>D</t>
        </is>
      </c>
      <c r="J167" s="973" t="inlineStr">
        <is>
          <t>SRC-10</t>
        </is>
      </c>
      <c r="K167" s="973" t="n"/>
      <c r="L167" s="973" t="n"/>
      <c r="M167" s="973" t="n"/>
      <c r="N167" s="973" t="n"/>
      <c r="O167" s="973" t="n"/>
      <c r="P167" s="973" t="n"/>
    </row>
    <row r="168">
      <c r="A168" s="973" t="inlineStr">
        <is>
          <t>Cybercriminal</t>
        </is>
      </c>
      <c r="B168" s="973" t="inlineStr">
        <is>
          <t>SC_DATA</t>
        </is>
      </c>
      <c r="C168" s="973" t="inlineStr">
        <is>
          <t>Sensitive-data compromise</t>
        </is>
      </c>
      <c r="D168" s="973" t="inlineStr">
        <is>
          <t>Direct</t>
        </is>
      </c>
      <c r="E168" s="973" t="inlineStr">
        <is>
          <t>EXTORTION</t>
        </is>
      </c>
      <c r="F168" s="973" t="inlineStr">
        <is>
          <t>P50</t>
        </is>
      </c>
      <c r="G168" s="973" t="n">
        <v>500000</v>
      </c>
      <c r="H168" s="973" t="b">
        <v>1</v>
      </c>
      <c r="I168" s="973" t="inlineStr">
        <is>
          <t>D</t>
        </is>
      </c>
      <c r="J168" s="973" t="inlineStr">
        <is>
          <t>SRC-10</t>
        </is>
      </c>
      <c r="K168" s="973" t="n"/>
      <c r="L168" s="973" t="n"/>
      <c r="M168" s="973" t="n"/>
      <c r="N168" s="973" t="n"/>
      <c r="O168" s="973" t="n"/>
      <c r="P168" s="973" t="n"/>
    </row>
    <row r="169">
      <c r="A169" s="973" t="inlineStr">
        <is>
          <t>Cybercriminal</t>
        </is>
      </c>
      <c r="B169" s="973" t="inlineStr">
        <is>
          <t>SC_DATA</t>
        </is>
      </c>
      <c r="C169" s="973" t="inlineStr">
        <is>
          <t>Sensitive-data compromise</t>
        </is>
      </c>
      <c r="D169" s="973" t="inlineStr">
        <is>
          <t>Direct</t>
        </is>
      </c>
      <c r="E169" s="973" t="inlineStr">
        <is>
          <t>POST_EVENT_UPLIFT</t>
        </is>
      </c>
      <c r="F169" s="973" t="inlineStr">
        <is>
          <t>P50</t>
        </is>
      </c>
      <c r="G169" s="973" t="n">
        <v>1000000</v>
      </c>
      <c r="H169" s="973" t="b">
        <v>1</v>
      </c>
      <c r="I169" s="973" t="inlineStr">
        <is>
          <t>D</t>
        </is>
      </c>
      <c r="J169" s="973" t="inlineStr">
        <is>
          <t>SRC-10</t>
        </is>
      </c>
      <c r="K169" s="973" t="n"/>
      <c r="L169" s="973" t="n"/>
      <c r="M169" s="973" t="n"/>
      <c r="N169" s="973" t="n"/>
      <c r="O169" s="973" t="n"/>
      <c r="P169" s="973" t="n"/>
    </row>
    <row r="170">
      <c r="A170" s="973" t="inlineStr">
        <is>
          <t>Cybercriminal</t>
        </is>
      </c>
      <c r="B170" s="973" t="inlineStr">
        <is>
          <t>SC_DATA</t>
        </is>
      </c>
      <c r="C170" s="973" t="inlineStr">
        <is>
          <t>Sensitive-data compromise</t>
        </is>
      </c>
      <c r="D170" s="973" t="inlineStr">
        <is>
          <t>Duration</t>
        </is>
      </c>
      <c r="E170" s="973" t="inlineStr">
        <is>
          <t>IR_FORENSICS</t>
        </is>
      </c>
      <c r="F170" s="973" t="inlineStr">
        <is>
          <t>P99</t>
        </is>
      </c>
      <c r="G170" s="973" t="n">
        <v>480000</v>
      </c>
      <c r="H170" s="973" t="b">
        <v>1</v>
      </c>
      <c r="I170" s="973" t="inlineStr">
        <is>
          <t>D</t>
        </is>
      </c>
      <c r="J170" s="973" t="inlineStr">
        <is>
          <t>SRC-10</t>
        </is>
      </c>
      <c r="K170" s="973" t="n"/>
      <c r="L170" s="973" t="n"/>
      <c r="M170" s="973" t="n"/>
      <c r="N170" s="973" t="n"/>
      <c r="O170" s="973" t="n"/>
      <c r="P170" s="973" t="n"/>
    </row>
    <row r="171">
      <c r="A171" s="973" t="inlineStr">
        <is>
          <t>Cybercriminal</t>
        </is>
      </c>
      <c r="B171" s="973" t="inlineStr">
        <is>
          <t>SC_DATA</t>
        </is>
      </c>
      <c r="C171" s="973" t="inlineStr">
        <is>
          <t>Sensitive-data compromise</t>
        </is>
      </c>
      <c r="D171" s="973" t="inlineStr">
        <is>
          <t>Duration</t>
        </is>
      </c>
      <c r="E171" s="973" t="inlineStr">
        <is>
          <t>EXTERNAL_RESPONSE</t>
        </is>
      </c>
      <c r="F171" s="973" t="inlineStr">
        <is>
          <t>P99</t>
        </is>
      </c>
      <c r="G171" s="973" t="n">
        <v>900000</v>
      </c>
      <c r="H171" s="973" t="b">
        <v>1</v>
      </c>
      <c r="I171" s="973" t="inlineStr">
        <is>
          <t>D</t>
        </is>
      </c>
      <c r="J171" s="973" t="inlineStr">
        <is>
          <t>SRC-10</t>
        </is>
      </c>
      <c r="K171" s="973" t="n"/>
      <c r="L171" s="973" t="n"/>
      <c r="M171" s="973" t="n"/>
      <c r="N171" s="973" t="n"/>
      <c r="O171" s="973" t="n"/>
      <c r="P171" s="973" t="n"/>
    </row>
    <row r="172">
      <c r="A172" s="973" t="inlineStr">
        <is>
          <t>Cybercriminal</t>
        </is>
      </c>
      <c r="B172" s="973" t="inlineStr">
        <is>
          <t>SC_DATA</t>
        </is>
      </c>
      <c r="C172" s="973" t="inlineStr">
        <is>
          <t>Sensitive-data compromise</t>
        </is>
      </c>
      <c r="D172" s="973" t="inlineStr">
        <is>
          <t>Duration</t>
        </is>
      </c>
      <c r="E172" s="973" t="inlineStr">
        <is>
          <t>LEGAL_RESPONSE</t>
        </is>
      </c>
      <c r="F172" s="973" t="inlineStr">
        <is>
          <t>P99</t>
        </is>
      </c>
      <c r="G172" s="973" t="n">
        <v>1800000</v>
      </c>
      <c r="H172" s="973" t="b">
        <v>1</v>
      </c>
      <c r="I172" s="973" t="inlineStr">
        <is>
          <t>D</t>
        </is>
      </c>
      <c r="J172" s="973" t="inlineStr">
        <is>
          <t>SRC-10</t>
        </is>
      </c>
      <c r="K172" s="973" t="n"/>
      <c r="L172" s="973" t="n"/>
      <c r="M172" s="973" t="n"/>
      <c r="N172" s="973" t="n"/>
      <c r="O172" s="973" t="n"/>
      <c r="P172" s="973" t="n"/>
    </row>
    <row r="173">
      <c r="A173" s="973" t="inlineStr">
        <is>
          <t>Cybercriminal</t>
        </is>
      </c>
      <c r="B173" s="973" t="inlineStr">
        <is>
          <t>SC_DATA</t>
        </is>
      </c>
      <c r="C173" s="973" t="inlineStr">
        <is>
          <t>Sensitive-data compromise</t>
        </is>
      </c>
      <c r="D173" s="973" t="inlineStr">
        <is>
          <t>Duration</t>
        </is>
      </c>
      <c r="E173" s="973" t="inlineStr">
        <is>
          <t>RESTORATION</t>
        </is>
      </c>
      <c r="F173" s="973" t="inlineStr">
        <is>
          <t>P99</t>
        </is>
      </c>
      <c r="G173" s="973" t="n">
        <v>480000</v>
      </c>
      <c r="H173" s="973" t="b">
        <v>1</v>
      </c>
      <c r="I173" s="973" t="inlineStr">
        <is>
          <t>D</t>
        </is>
      </c>
      <c r="J173" s="973" t="inlineStr">
        <is>
          <t>SRC-10</t>
        </is>
      </c>
      <c r="K173" s="973" t="n"/>
      <c r="L173" s="973" t="n"/>
      <c r="M173" s="973" t="n"/>
      <c r="N173" s="973" t="n"/>
      <c r="O173" s="973" t="n"/>
      <c r="P173" s="973" t="n"/>
    </row>
    <row r="174">
      <c r="A174" s="973" t="inlineStr">
        <is>
          <t>Cybercriminal</t>
        </is>
      </c>
      <c r="B174" s="973" t="inlineStr">
        <is>
          <t>SC_DATA</t>
        </is>
      </c>
      <c r="C174" s="973" t="inlineStr">
        <is>
          <t>Sensitive-data compromise</t>
        </is>
      </c>
      <c r="D174" s="973" t="inlineStr">
        <is>
          <t>Duration</t>
        </is>
      </c>
      <c r="E174" s="973" t="inlineStr">
        <is>
          <t>BUSINESS_INTERRUPTION</t>
        </is>
      </c>
      <c r="F174" s="973" t="inlineStr">
        <is>
          <t>P99</t>
        </is>
      </c>
      <c r="G174" s="973" t="n">
        <v>10958904.10958904</v>
      </c>
      <c r="H174" s="973" t="b">
        <v>1</v>
      </c>
      <c r="I174" s="973" t="inlineStr">
        <is>
          <t>D</t>
        </is>
      </c>
      <c r="J174" s="973" t="inlineStr">
        <is>
          <t>SRC-10</t>
        </is>
      </c>
      <c r="K174" s="973" t="n"/>
      <c r="L174" s="973" t="n"/>
      <c r="M174" s="973" t="n"/>
      <c r="N174" s="973" t="n"/>
      <c r="O174" s="973" t="n"/>
      <c r="P174" s="973" t="n"/>
    </row>
    <row r="175">
      <c r="A175" s="973" t="inlineStr">
        <is>
          <t>Cybercriminal</t>
        </is>
      </c>
      <c r="B175" s="973" t="inlineStr">
        <is>
          <t>SC_DATA</t>
        </is>
      </c>
      <c r="C175" s="973" t="inlineStr">
        <is>
          <t>Sensitive-data compromise</t>
        </is>
      </c>
      <c r="D175" s="973" t="inlineStr">
        <is>
          <t>Duration</t>
        </is>
      </c>
      <c r="E175" s="973" t="inlineStr">
        <is>
          <t>ENDPOINT_RECOVERY</t>
        </is>
      </c>
      <c r="F175" s="973" t="inlineStr">
        <is>
          <t>P99</t>
        </is>
      </c>
      <c r="G175" s="973" t="n">
        <v>750000</v>
      </c>
      <c r="H175" s="973" t="b">
        <v>1</v>
      </c>
      <c r="I175" s="973" t="inlineStr">
        <is>
          <t>D</t>
        </is>
      </c>
      <c r="J175" s="973" t="inlineStr">
        <is>
          <t>SRC-10</t>
        </is>
      </c>
      <c r="K175" s="973" t="n"/>
      <c r="L175" s="973" t="n"/>
      <c r="M175" s="973" t="n"/>
      <c r="N175" s="973" t="n"/>
      <c r="O175" s="973" t="n"/>
      <c r="P175" s="973" t="n"/>
    </row>
    <row r="176">
      <c r="A176" s="973" t="inlineStr">
        <is>
          <t>Cybercriminal</t>
        </is>
      </c>
      <c r="B176" s="973" t="inlineStr">
        <is>
          <t>SC_DATA</t>
        </is>
      </c>
      <c r="C176" s="973" t="inlineStr">
        <is>
          <t>Sensitive-data compromise</t>
        </is>
      </c>
      <c r="D176" s="973" t="inlineStr">
        <is>
          <t>Duration</t>
        </is>
      </c>
      <c r="E176" s="973" t="inlineStr">
        <is>
          <t>SERVER_RECOVERY</t>
        </is>
      </c>
      <c r="F176" s="973" t="inlineStr">
        <is>
          <t>P99</t>
        </is>
      </c>
      <c r="G176" s="973" t="n">
        <v>1000000</v>
      </c>
      <c r="H176" s="973" t="b">
        <v>1</v>
      </c>
      <c r="I176" s="973" t="inlineStr">
        <is>
          <t>D</t>
        </is>
      </c>
      <c r="J176" s="973" t="inlineStr">
        <is>
          <t>SRC-10</t>
        </is>
      </c>
      <c r="K176" s="973" t="n"/>
      <c r="L176" s="973" t="n"/>
      <c r="M176" s="973" t="n"/>
      <c r="N176" s="973" t="n"/>
      <c r="O176" s="973" t="n"/>
      <c r="P176" s="973" t="n"/>
    </row>
    <row r="177">
      <c r="A177" s="973" t="inlineStr">
        <is>
          <t>Cybercriminal</t>
        </is>
      </c>
      <c r="B177" s="973" t="inlineStr">
        <is>
          <t>SC_DATA</t>
        </is>
      </c>
      <c r="C177" s="973" t="inlineStr">
        <is>
          <t>Sensitive-data compromise</t>
        </is>
      </c>
      <c r="D177" s="973" t="inlineStr">
        <is>
          <t>Exposure</t>
        </is>
      </c>
      <c r="E177" s="973" t="inlineStr">
        <is>
          <t>NOTIFICATION</t>
        </is>
      </c>
      <c r="F177" s="973" t="inlineStr">
        <is>
          <t>P99</t>
        </is>
      </c>
      <c r="G177" s="973" t="n">
        <v>4000000</v>
      </c>
      <c r="H177" s="973" t="b">
        <v>1</v>
      </c>
      <c r="I177" s="973" t="inlineStr">
        <is>
          <t>D</t>
        </is>
      </c>
      <c r="J177" s="973" t="inlineStr">
        <is>
          <t>SRC-10</t>
        </is>
      </c>
      <c r="K177" s="973" t="n"/>
      <c r="L177" s="973" t="n"/>
      <c r="M177" s="973" t="n"/>
      <c r="N177" s="973" t="n"/>
      <c r="O177" s="973" t="n"/>
      <c r="P177" s="973" t="n"/>
    </row>
    <row r="178">
      <c r="A178" s="973" t="inlineStr">
        <is>
          <t>Cybercriminal</t>
        </is>
      </c>
      <c r="B178" s="973" t="inlineStr">
        <is>
          <t>SC_DATA</t>
        </is>
      </c>
      <c r="C178" s="973" t="inlineStr">
        <is>
          <t>Sensitive-data compromise</t>
        </is>
      </c>
      <c r="D178" s="973" t="inlineStr">
        <is>
          <t>Exposure</t>
        </is>
      </c>
      <c r="E178" s="973" t="inlineStr">
        <is>
          <t>CREDIT_MONITORING</t>
        </is>
      </c>
      <c r="F178" s="973" t="inlineStr">
        <is>
          <t>P99</t>
        </is>
      </c>
      <c r="G178" s="973" t="n">
        <v>20000000</v>
      </c>
      <c r="H178" s="973" t="b">
        <v>1</v>
      </c>
      <c r="I178" s="973" t="inlineStr">
        <is>
          <t>D</t>
        </is>
      </c>
      <c r="J178" s="973" t="inlineStr">
        <is>
          <t>SRC-10</t>
        </is>
      </c>
      <c r="K178" s="973" t="n"/>
      <c r="L178" s="973" t="n"/>
      <c r="M178" s="973" t="n"/>
      <c r="N178" s="973" t="n"/>
      <c r="O178" s="973" t="n"/>
      <c r="P178" s="973" t="n"/>
    </row>
    <row r="179">
      <c r="A179" s="973" t="inlineStr">
        <is>
          <t>Cybercriminal</t>
        </is>
      </c>
      <c r="B179" s="973" t="inlineStr">
        <is>
          <t>SC_DATA</t>
        </is>
      </c>
      <c r="C179" s="973" t="inlineStr">
        <is>
          <t>Sensitive-data compromise</t>
        </is>
      </c>
      <c r="D179" s="973" t="inlineStr">
        <is>
          <t>Exposure</t>
        </is>
      </c>
      <c r="E179" s="973" t="inlineStr">
        <is>
          <t>REGULATORY</t>
        </is>
      </c>
      <c r="F179" s="973" t="inlineStr">
        <is>
          <t>P99</t>
        </is>
      </c>
      <c r="G179" s="973" t="n">
        <v>10000000</v>
      </c>
      <c r="H179" s="973" t="b">
        <v>1</v>
      </c>
      <c r="I179" s="973" t="inlineStr">
        <is>
          <t>D</t>
        </is>
      </c>
      <c r="J179" s="973" t="inlineStr">
        <is>
          <t>SRC-10</t>
        </is>
      </c>
      <c r="K179" s="973" t="n"/>
      <c r="L179" s="973" t="n"/>
      <c r="M179" s="973" t="n"/>
      <c r="N179" s="973" t="n"/>
      <c r="O179" s="973" t="n"/>
      <c r="P179" s="973" t="n"/>
    </row>
    <row r="180">
      <c r="A180" s="973" t="inlineStr">
        <is>
          <t>Cybercriminal</t>
        </is>
      </c>
      <c r="B180" s="973" t="inlineStr">
        <is>
          <t>SC_DATA</t>
        </is>
      </c>
      <c r="C180" s="973" t="inlineStr">
        <is>
          <t>Sensitive-data compromise</t>
        </is>
      </c>
      <c r="D180" s="973" t="inlineStr">
        <is>
          <t>Exposure</t>
        </is>
      </c>
      <c r="E180" s="973" t="inlineStr">
        <is>
          <t>CUSTOMER_ATTRITION</t>
        </is>
      </c>
      <c r="F180" s="973" t="inlineStr">
        <is>
          <t>P99</t>
        </is>
      </c>
      <c r="G180" s="973" t="n">
        <v>30000000</v>
      </c>
      <c r="H180" s="973" t="b">
        <v>1</v>
      </c>
      <c r="I180" s="973" t="inlineStr">
        <is>
          <t>D</t>
        </is>
      </c>
      <c r="J180" s="973" t="inlineStr">
        <is>
          <t>SRC-10</t>
        </is>
      </c>
      <c r="K180" s="973" t="n"/>
      <c r="L180" s="973" t="n"/>
      <c r="M180" s="973" t="n"/>
      <c r="N180" s="973" t="n"/>
      <c r="O180" s="973" t="n"/>
      <c r="P180" s="973" t="n"/>
    </row>
    <row r="181">
      <c r="A181" s="973" t="inlineStr">
        <is>
          <t>Cybercriminal</t>
        </is>
      </c>
      <c r="B181" s="973" t="inlineStr">
        <is>
          <t>SC_DATA</t>
        </is>
      </c>
      <c r="C181" s="973" t="inlineStr">
        <is>
          <t>Sensitive-data compromise</t>
        </is>
      </c>
      <c r="D181" s="973" t="inlineStr">
        <is>
          <t>Direct</t>
        </is>
      </c>
      <c r="E181" s="973" t="inlineStr">
        <is>
          <t>FRAUD_NET_RECOVERY</t>
        </is>
      </c>
      <c r="F181" s="973" t="inlineStr">
        <is>
          <t>P99</t>
        </is>
      </c>
      <c r="G181" s="973" t="n">
        <v>0</v>
      </c>
      <c r="H181" s="973" t="b">
        <v>0</v>
      </c>
      <c r="I181" s="973" t="inlineStr">
        <is>
          <t>D</t>
        </is>
      </c>
      <c r="J181" s="973" t="inlineStr">
        <is>
          <t>SRC-10</t>
        </is>
      </c>
      <c r="K181" s="973" t="n"/>
      <c r="L181" s="973" t="n"/>
      <c r="M181" s="973" t="n"/>
      <c r="N181" s="973" t="n"/>
      <c r="O181" s="973" t="n"/>
      <c r="P181" s="973" t="n"/>
    </row>
    <row r="182">
      <c r="A182" s="973" t="inlineStr">
        <is>
          <t>Cybercriminal</t>
        </is>
      </c>
      <c r="B182" s="973" t="inlineStr">
        <is>
          <t>SC_DATA</t>
        </is>
      </c>
      <c r="C182" s="973" t="inlineStr">
        <is>
          <t>Sensitive-data compromise</t>
        </is>
      </c>
      <c r="D182" s="973" t="inlineStr">
        <is>
          <t>Direct</t>
        </is>
      </c>
      <c r="E182" s="973" t="inlineStr">
        <is>
          <t>EXTORTION</t>
        </is>
      </c>
      <c r="F182" s="973" t="inlineStr">
        <is>
          <t>P99</t>
        </is>
      </c>
      <c r="G182" s="973" t="n">
        <v>10000000</v>
      </c>
      <c r="H182" s="973" t="b">
        <v>1</v>
      </c>
      <c r="I182" s="973" t="inlineStr">
        <is>
          <t>D</t>
        </is>
      </c>
      <c r="J182" s="973" t="inlineStr">
        <is>
          <t>SRC-10</t>
        </is>
      </c>
      <c r="K182" s="973" t="n"/>
      <c r="L182" s="973" t="n"/>
      <c r="M182" s="973" t="n"/>
      <c r="N182" s="973" t="n"/>
      <c r="O182" s="973" t="n"/>
      <c r="P182" s="973" t="n"/>
    </row>
    <row r="183">
      <c r="A183" s="973" t="inlineStr">
        <is>
          <t>Cybercriminal</t>
        </is>
      </c>
      <c r="B183" s="973" t="inlineStr">
        <is>
          <t>SC_DATA</t>
        </is>
      </c>
      <c r="C183" s="973" t="inlineStr">
        <is>
          <t>Sensitive-data compromise</t>
        </is>
      </c>
      <c r="D183" s="973" t="inlineStr">
        <is>
          <t>Direct</t>
        </is>
      </c>
      <c r="E183" s="973" t="inlineStr">
        <is>
          <t>POST_EVENT_UPLIFT</t>
        </is>
      </c>
      <c r="F183" s="973" t="inlineStr">
        <is>
          <t>P99</t>
        </is>
      </c>
      <c r="G183" s="973" t="n">
        <v>8000000</v>
      </c>
      <c r="H183" s="973" t="b">
        <v>1</v>
      </c>
      <c r="I183" s="973" t="inlineStr">
        <is>
          <t>D</t>
        </is>
      </c>
      <c r="J183" s="973" t="inlineStr">
        <is>
          <t>SRC-10</t>
        </is>
      </c>
      <c r="K183" s="973" t="n"/>
      <c r="L183" s="973" t="n"/>
      <c r="M183" s="973" t="n"/>
      <c r="N183" s="973" t="n"/>
      <c r="O183" s="973" t="n"/>
      <c r="P183" s="973" t="n"/>
    </row>
    <row r="184">
      <c r="A184" s="973" t="inlineStr">
        <is>
          <t>Cybercriminal</t>
        </is>
      </c>
      <c r="B184" s="973" t="inlineStr">
        <is>
          <t>SC_INT</t>
        </is>
      </c>
      <c r="C184" s="973" t="inlineStr">
        <is>
          <t>Data or transaction-integrity compromise</t>
        </is>
      </c>
      <c r="D184" s="973" t="inlineStr">
        <is>
          <t>Duration</t>
        </is>
      </c>
      <c r="E184" s="973" t="inlineStr">
        <is>
          <t>IR_FORENSICS</t>
        </is>
      </c>
      <c r="F184" s="973" t="inlineStr">
        <is>
          <t>P50</t>
        </is>
      </c>
      <c r="G184" s="973" t="n">
        <v>30000</v>
      </c>
      <c r="H184" s="973" t="b">
        <v>1</v>
      </c>
      <c r="I184" s="973" t="inlineStr">
        <is>
          <t>D</t>
        </is>
      </c>
      <c r="J184" s="973" t="inlineStr">
        <is>
          <t>SRC-10</t>
        </is>
      </c>
      <c r="K184" s="973" t="n"/>
      <c r="L184" s="973" t="n"/>
      <c r="M184" s="973" t="n"/>
      <c r="N184" s="973" t="n"/>
      <c r="O184" s="973" t="n"/>
      <c r="P184" s="973" t="n"/>
    </row>
    <row r="185">
      <c r="A185" s="973" t="inlineStr">
        <is>
          <t>Cybercriminal</t>
        </is>
      </c>
      <c r="B185" s="973" t="inlineStr">
        <is>
          <t>SC_INT</t>
        </is>
      </c>
      <c r="C185" s="973" t="inlineStr">
        <is>
          <t>Data or transaction-integrity compromise</t>
        </is>
      </c>
      <c r="D185" s="973" t="inlineStr">
        <is>
          <t>Duration</t>
        </is>
      </c>
      <c r="E185" s="973" t="inlineStr">
        <is>
          <t>EXTERNAL_RESPONSE</t>
        </is>
      </c>
      <c r="F185" s="973" t="inlineStr">
        <is>
          <t>P50</t>
        </is>
      </c>
      <c r="G185" s="973" t="n">
        <v>60000</v>
      </c>
      <c r="H185" s="973" t="b">
        <v>1</v>
      </c>
      <c r="I185" s="973" t="inlineStr">
        <is>
          <t>D</t>
        </is>
      </c>
      <c r="J185" s="973" t="inlineStr">
        <is>
          <t>SRC-10</t>
        </is>
      </c>
      <c r="K185" s="973" t="n"/>
      <c r="L185" s="973" t="n"/>
      <c r="M185" s="973" t="n"/>
      <c r="N185" s="973" t="n"/>
      <c r="O185" s="973" t="n"/>
      <c r="P185" s="973" t="n"/>
    </row>
    <row r="186">
      <c r="A186" s="973" t="inlineStr">
        <is>
          <t>Cybercriminal</t>
        </is>
      </c>
      <c r="B186" s="973" t="inlineStr">
        <is>
          <t>SC_INT</t>
        </is>
      </c>
      <c r="C186" s="973" t="inlineStr">
        <is>
          <t>Data or transaction-integrity compromise</t>
        </is>
      </c>
      <c r="D186" s="973" t="inlineStr">
        <is>
          <t>Duration</t>
        </is>
      </c>
      <c r="E186" s="973" t="inlineStr">
        <is>
          <t>LEGAL_RESPONSE</t>
        </is>
      </c>
      <c r="F186" s="973" t="inlineStr">
        <is>
          <t>P50</t>
        </is>
      </c>
      <c r="G186" s="973" t="n">
        <v>100000</v>
      </c>
      <c r="H186" s="973" t="b">
        <v>1</v>
      </c>
      <c r="I186" s="973" t="inlineStr">
        <is>
          <t>D</t>
        </is>
      </c>
      <c r="J186" s="973" t="inlineStr">
        <is>
          <t>SRC-10</t>
        </is>
      </c>
      <c r="K186" s="973" t="n"/>
      <c r="L186" s="973" t="n"/>
      <c r="M186" s="973" t="n"/>
      <c r="N186" s="973" t="n"/>
      <c r="O186" s="973" t="n"/>
      <c r="P186" s="973" t="n"/>
    </row>
    <row r="187">
      <c r="A187" s="973" t="inlineStr">
        <is>
          <t>Cybercriminal</t>
        </is>
      </c>
      <c r="B187" s="973" t="inlineStr">
        <is>
          <t>SC_INT</t>
        </is>
      </c>
      <c r="C187" s="973" t="inlineStr">
        <is>
          <t>Data or transaction-integrity compromise</t>
        </is>
      </c>
      <c r="D187" s="973" t="inlineStr">
        <is>
          <t>Duration</t>
        </is>
      </c>
      <c r="E187" s="973" t="inlineStr">
        <is>
          <t>RESTORATION</t>
        </is>
      </c>
      <c r="F187" s="973" t="inlineStr">
        <is>
          <t>P50</t>
        </is>
      </c>
      <c r="G187" s="973" t="n">
        <v>40000</v>
      </c>
      <c r="H187" s="973" t="b">
        <v>1</v>
      </c>
      <c r="I187" s="973" t="inlineStr">
        <is>
          <t>D</t>
        </is>
      </c>
      <c r="J187" s="973" t="inlineStr">
        <is>
          <t>SRC-10</t>
        </is>
      </c>
      <c r="K187" s="973" t="n"/>
      <c r="L187" s="973" t="n"/>
      <c r="M187" s="973" t="n"/>
      <c r="N187" s="973" t="n"/>
      <c r="O187" s="973" t="n"/>
      <c r="P187" s="973" t="n"/>
    </row>
    <row r="188">
      <c r="A188" s="973" t="inlineStr">
        <is>
          <t>Cybercriminal</t>
        </is>
      </c>
      <c r="B188" s="973" t="inlineStr">
        <is>
          <t>SC_INT</t>
        </is>
      </c>
      <c r="C188" s="973" t="inlineStr">
        <is>
          <t>Data or transaction-integrity compromise</t>
        </is>
      </c>
      <c r="D188" s="973" t="inlineStr">
        <is>
          <t>Duration</t>
        </is>
      </c>
      <c r="E188" s="973" t="inlineStr">
        <is>
          <t>BUSINESS_INTERRUPTION</t>
        </is>
      </c>
      <c r="F188" s="973" t="inlineStr">
        <is>
          <t>P50</t>
        </is>
      </c>
      <c r="G188" s="973" t="n">
        <v>1095890.410958904</v>
      </c>
      <c r="H188" s="973" t="b">
        <v>1</v>
      </c>
      <c r="I188" s="973" t="inlineStr">
        <is>
          <t>D</t>
        </is>
      </c>
      <c r="J188" s="973" t="inlineStr">
        <is>
          <t>SRC-10</t>
        </is>
      </c>
      <c r="K188" s="973" t="n"/>
      <c r="L188" s="973" t="n"/>
      <c r="M188" s="973" t="n"/>
      <c r="N188" s="973" t="n"/>
      <c r="O188" s="973" t="n"/>
      <c r="P188" s="973" t="n"/>
    </row>
    <row r="189">
      <c r="A189" s="973" t="inlineStr">
        <is>
          <t>Cybercriminal</t>
        </is>
      </c>
      <c r="B189" s="973" t="inlineStr">
        <is>
          <t>SC_INT</t>
        </is>
      </c>
      <c r="C189" s="973" t="inlineStr">
        <is>
          <t>Data or transaction-integrity compromise</t>
        </is>
      </c>
      <c r="D189" s="973" t="inlineStr">
        <is>
          <t>Duration</t>
        </is>
      </c>
      <c r="E189" s="973" t="inlineStr">
        <is>
          <t>ENDPOINT_RECOVERY</t>
        </is>
      </c>
      <c r="F189" s="973" t="inlineStr">
        <is>
          <t>P50</t>
        </is>
      </c>
      <c r="G189" s="973" t="n">
        <v>100000</v>
      </c>
      <c r="H189" s="973" t="b">
        <v>1</v>
      </c>
      <c r="I189" s="973" t="inlineStr">
        <is>
          <t>D</t>
        </is>
      </c>
      <c r="J189" s="973" t="inlineStr">
        <is>
          <t>SRC-10</t>
        </is>
      </c>
      <c r="K189" s="973" t="n"/>
      <c r="L189" s="973" t="n"/>
      <c r="M189" s="973" t="n"/>
      <c r="N189" s="973" t="n"/>
      <c r="O189" s="973" t="n"/>
      <c r="P189" s="973" t="n"/>
    </row>
    <row r="190">
      <c r="A190" s="973" t="inlineStr">
        <is>
          <t>Cybercriminal</t>
        </is>
      </c>
      <c r="B190" s="973" t="inlineStr">
        <is>
          <t>SC_INT</t>
        </is>
      </c>
      <c r="C190" s="973" t="inlineStr">
        <is>
          <t>Data or transaction-integrity compromise</t>
        </is>
      </c>
      <c r="D190" s="973" t="inlineStr">
        <is>
          <t>Duration</t>
        </is>
      </c>
      <c r="E190" s="973" t="inlineStr">
        <is>
          <t>SERVER_RECOVERY</t>
        </is>
      </c>
      <c r="F190" s="973" t="inlineStr">
        <is>
          <t>P50</t>
        </is>
      </c>
      <c r="G190" s="973" t="n">
        <v>250000</v>
      </c>
      <c r="H190" s="973" t="b">
        <v>1</v>
      </c>
      <c r="I190" s="973" t="inlineStr">
        <is>
          <t>D</t>
        </is>
      </c>
      <c r="J190" s="973" t="inlineStr">
        <is>
          <t>SRC-10</t>
        </is>
      </c>
      <c r="K190" s="973" t="n"/>
      <c r="L190" s="973" t="n"/>
      <c r="M190" s="973" t="n"/>
      <c r="N190" s="973" t="n"/>
      <c r="O190" s="973" t="n"/>
      <c r="P190" s="973" t="n"/>
    </row>
    <row r="191">
      <c r="A191" s="973" t="inlineStr">
        <is>
          <t>Cybercriminal</t>
        </is>
      </c>
      <c r="B191" s="973" t="inlineStr">
        <is>
          <t>SC_INT</t>
        </is>
      </c>
      <c r="C191" s="973" t="inlineStr">
        <is>
          <t>Data or transaction-integrity compromise</t>
        </is>
      </c>
      <c r="D191" s="973" t="inlineStr">
        <is>
          <t>Exposure</t>
        </is>
      </c>
      <c r="E191" s="973" t="inlineStr">
        <is>
          <t>NOTIFICATION</t>
        </is>
      </c>
      <c r="F191" s="973" t="inlineStr">
        <is>
          <t>P50</t>
        </is>
      </c>
      <c r="G191" s="973" t="n">
        <v>0</v>
      </c>
      <c r="H191" s="973" t="b">
        <v>0</v>
      </c>
      <c r="I191" s="973" t="inlineStr">
        <is>
          <t>D</t>
        </is>
      </c>
      <c r="J191" s="973" t="inlineStr">
        <is>
          <t>SRC-10</t>
        </is>
      </c>
      <c r="K191" s="973" t="n"/>
      <c r="L191" s="973" t="n"/>
      <c r="M191" s="973" t="n"/>
      <c r="N191" s="973" t="n"/>
      <c r="O191" s="973" t="n"/>
      <c r="P191" s="973" t="n"/>
    </row>
    <row r="192">
      <c r="A192" s="973" t="inlineStr">
        <is>
          <t>Cybercriminal</t>
        </is>
      </c>
      <c r="B192" s="973" t="inlineStr">
        <is>
          <t>SC_INT</t>
        </is>
      </c>
      <c r="C192" s="973" t="inlineStr">
        <is>
          <t>Data or transaction-integrity compromise</t>
        </is>
      </c>
      <c r="D192" s="973" t="inlineStr">
        <is>
          <t>Exposure</t>
        </is>
      </c>
      <c r="E192" s="973" t="inlineStr">
        <is>
          <t>CREDIT_MONITORING</t>
        </is>
      </c>
      <c r="F192" s="973" t="inlineStr">
        <is>
          <t>P50</t>
        </is>
      </c>
      <c r="G192" s="973" t="n">
        <v>0</v>
      </c>
      <c r="H192" s="973" t="b">
        <v>0</v>
      </c>
      <c r="I192" s="973" t="inlineStr">
        <is>
          <t>D</t>
        </is>
      </c>
      <c r="J192" s="973" t="inlineStr">
        <is>
          <t>SRC-10</t>
        </is>
      </c>
      <c r="K192" s="973" t="n"/>
      <c r="L192" s="973" t="n"/>
      <c r="M192" s="973" t="n"/>
      <c r="N192" s="973" t="n"/>
      <c r="O192" s="973" t="n"/>
      <c r="P192" s="973" t="n"/>
    </row>
    <row r="193">
      <c r="A193" s="973" t="inlineStr">
        <is>
          <t>Cybercriminal</t>
        </is>
      </c>
      <c r="B193" s="973" t="inlineStr">
        <is>
          <t>SC_INT</t>
        </is>
      </c>
      <c r="C193" s="973" t="inlineStr">
        <is>
          <t>Data or transaction-integrity compromise</t>
        </is>
      </c>
      <c r="D193" s="973" t="inlineStr">
        <is>
          <t>Exposure</t>
        </is>
      </c>
      <c r="E193" s="973" t="inlineStr">
        <is>
          <t>REGULATORY</t>
        </is>
      </c>
      <c r="F193" s="973" t="inlineStr">
        <is>
          <t>P50</t>
        </is>
      </c>
      <c r="G193" s="973" t="n">
        <v>500000</v>
      </c>
      <c r="H193" s="973" t="b">
        <v>1</v>
      </c>
      <c r="I193" s="973" t="inlineStr">
        <is>
          <t>D</t>
        </is>
      </c>
      <c r="J193" s="973" t="inlineStr">
        <is>
          <t>SRC-10</t>
        </is>
      </c>
      <c r="K193" s="973" t="n"/>
      <c r="L193" s="973" t="n"/>
      <c r="M193" s="973" t="n"/>
      <c r="N193" s="973" t="n"/>
      <c r="O193" s="973" t="n"/>
      <c r="P193" s="973" t="n"/>
    </row>
    <row r="194">
      <c r="A194" s="973" t="inlineStr">
        <is>
          <t>Cybercriminal</t>
        </is>
      </c>
      <c r="B194" s="973" t="inlineStr">
        <is>
          <t>SC_INT</t>
        </is>
      </c>
      <c r="C194" s="973" t="inlineStr">
        <is>
          <t>Data or transaction-integrity compromise</t>
        </is>
      </c>
      <c r="D194" s="973" t="inlineStr">
        <is>
          <t>Exposure</t>
        </is>
      </c>
      <c r="E194" s="973" t="inlineStr">
        <is>
          <t>CUSTOMER_ATTRITION</t>
        </is>
      </c>
      <c r="F194" s="973" t="inlineStr">
        <is>
          <t>P50</t>
        </is>
      </c>
      <c r="G194" s="973" t="n">
        <v>1000000</v>
      </c>
      <c r="H194" s="973" t="b">
        <v>1</v>
      </c>
      <c r="I194" s="973" t="inlineStr">
        <is>
          <t>D</t>
        </is>
      </c>
      <c r="J194" s="973" t="inlineStr">
        <is>
          <t>SRC-10</t>
        </is>
      </c>
      <c r="K194" s="973" t="n"/>
      <c r="L194" s="973" t="n"/>
      <c r="M194" s="973" t="n"/>
      <c r="N194" s="973" t="n"/>
      <c r="O194" s="973" t="n"/>
      <c r="P194" s="973" t="n"/>
    </row>
    <row r="195">
      <c r="A195" s="973" t="inlineStr">
        <is>
          <t>Cybercriminal</t>
        </is>
      </c>
      <c r="B195" s="973" t="inlineStr">
        <is>
          <t>SC_INT</t>
        </is>
      </c>
      <c r="C195" s="973" t="inlineStr">
        <is>
          <t>Data or transaction-integrity compromise</t>
        </is>
      </c>
      <c r="D195" s="973" t="inlineStr">
        <is>
          <t>Direct</t>
        </is>
      </c>
      <c r="E195" s="973" t="inlineStr">
        <is>
          <t>FRAUD_NET_RECOVERY</t>
        </is>
      </c>
      <c r="F195" s="973" t="inlineStr">
        <is>
          <t>P50</t>
        </is>
      </c>
      <c r="G195" s="973" t="n">
        <v>27397.2602739726</v>
      </c>
      <c r="H195" s="973" t="b">
        <v>1</v>
      </c>
      <c r="I195" s="973" t="inlineStr">
        <is>
          <t>D</t>
        </is>
      </c>
      <c r="J195" s="973" t="inlineStr">
        <is>
          <t>SRC-10</t>
        </is>
      </c>
      <c r="K195" s="973" t="n"/>
      <c r="L195" s="973" t="n"/>
      <c r="M195" s="973" t="n"/>
      <c r="N195" s="973" t="n"/>
      <c r="O195" s="973" t="n"/>
      <c r="P195" s="973" t="n"/>
    </row>
    <row r="196">
      <c r="A196" s="973" t="inlineStr">
        <is>
          <t>Cybercriminal</t>
        </is>
      </c>
      <c r="B196" s="973" t="inlineStr">
        <is>
          <t>SC_INT</t>
        </is>
      </c>
      <c r="C196" s="973" t="inlineStr">
        <is>
          <t>Data or transaction-integrity compromise</t>
        </is>
      </c>
      <c r="D196" s="973" t="inlineStr">
        <is>
          <t>Direct</t>
        </is>
      </c>
      <c r="E196" s="973" t="inlineStr">
        <is>
          <t>EXTORTION</t>
        </is>
      </c>
      <c r="F196" s="973" t="inlineStr">
        <is>
          <t>P50</t>
        </is>
      </c>
      <c r="G196" s="973" t="n">
        <v>0</v>
      </c>
      <c r="H196" s="973" t="b">
        <v>0</v>
      </c>
      <c r="I196" s="973" t="inlineStr">
        <is>
          <t>D</t>
        </is>
      </c>
      <c r="J196" s="973" t="inlineStr">
        <is>
          <t>SRC-10</t>
        </is>
      </c>
      <c r="K196" s="973" t="n"/>
      <c r="L196" s="973" t="n"/>
      <c r="M196" s="973" t="n"/>
      <c r="N196" s="973" t="n"/>
      <c r="O196" s="973" t="n"/>
      <c r="P196" s="973" t="n"/>
    </row>
    <row r="197">
      <c r="A197" s="973" t="inlineStr">
        <is>
          <t>Cybercriminal</t>
        </is>
      </c>
      <c r="B197" s="973" t="inlineStr">
        <is>
          <t>SC_INT</t>
        </is>
      </c>
      <c r="C197" s="973" t="inlineStr">
        <is>
          <t>Data or transaction-integrity compromise</t>
        </is>
      </c>
      <c r="D197" s="973" t="inlineStr">
        <is>
          <t>Direct</t>
        </is>
      </c>
      <c r="E197" s="973" t="inlineStr">
        <is>
          <t>POST_EVENT_UPLIFT</t>
        </is>
      </c>
      <c r="F197" s="973" t="inlineStr">
        <is>
          <t>P50</t>
        </is>
      </c>
      <c r="G197" s="973" t="n">
        <v>1000000</v>
      </c>
      <c r="H197" s="973" t="b">
        <v>1</v>
      </c>
      <c r="I197" s="973" t="inlineStr">
        <is>
          <t>D</t>
        </is>
      </c>
      <c r="J197" s="973" t="inlineStr">
        <is>
          <t>SRC-10</t>
        </is>
      </c>
      <c r="K197" s="973" t="n"/>
      <c r="L197" s="973" t="n"/>
      <c r="M197" s="973" t="n"/>
      <c r="N197" s="973" t="n"/>
      <c r="O197" s="973" t="n"/>
      <c r="P197" s="973" t="n"/>
    </row>
    <row r="198">
      <c r="A198" s="973" t="inlineStr">
        <is>
          <t>Cybercriminal</t>
        </is>
      </c>
      <c r="B198" s="973" t="inlineStr">
        <is>
          <t>SC_INT</t>
        </is>
      </c>
      <c r="C198" s="973" t="inlineStr">
        <is>
          <t>Data or transaction-integrity compromise</t>
        </is>
      </c>
      <c r="D198" s="973" t="inlineStr">
        <is>
          <t>Duration</t>
        </is>
      </c>
      <c r="E198" s="973" t="inlineStr">
        <is>
          <t>IR_FORENSICS</t>
        </is>
      </c>
      <c r="F198" s="973" t="inlineStr">
        <is>
          <t>P99</t>
        </is>
      </c>
      <c r="G198" s="973" t="n">
        <v>360000</v>
      </c>
      <c r="H198" s="973" t="b">
        <v>1</v>
      </c>
      <c r="I198" s="973" t="inlineStr">
        <is>
          <t>D</t>
        </is>
      </c>
      <c r="J198" s="973" t="inlineStr">
        <is>
          <t>SRC-10</t>
        </is>
      </c>
      <c r="K198" s="973" t="n"/>
      <c r="L198" s="973" t="n"/>
      <c r="M198" s="973" t="n"/>
      <c r="N198" s="973" t="n"/>
      <c r="O198" s="973" t="n"/>
      <c r="P198" s="973" t="n"/>
    </row>
    <row r="199">
      <c r="A199" s="973" t="inlineStr">
        <is>
          <t>Cybercriminal</t>
        </is>
      </c>
      <c r="B199" s="973" t="inlineStr">
        <is>
          <t>SC_INT</t>
        </is>
      </c>
      <c r="C199" s="973" t="inlineStr">
        <is>
          <t>Data or transaction-integrity compromise</t>
        </is>
      </c>
      <c r="D199" s="973" t="inlineStr">
        <is>
          <t>Duration</t>
        </is>
      </c>
      <c r="E199" s="973" t="inlineStr">
        <is>
          <t>EXTERNAL_RESPONSE</t>
        </is>
      </c>
      <c r="F199" s="973" t="inlineStr">
        <is>
          <t>P99</t>
        </is>
      </c>
      <c r="G199" s="973" t="n">
        <v>750000</v>
      </c>
      <c r="H199" s="973" t="b">
        <v>1</v>
      </c>
      <c r="I199" s="973" t="inlineStr">
        <is>
          <t>D</t>
        </is>
      </c>
      <c r="J199" s="973" t="inlineStr">
        <is>
          <t>SRC-10</t>
        </is>
      </c>
      <c r="K199" s="973" t="n"/>
      <c r="L199" s="973" t="n"/>
      <c r="M199" s="973" t="n"/>
      <c r="N199" s="973" t="n"/>
      <c r="O199" s="973" t="n"/>
      <c r="P199" s="973" t="n"/>
    </row>
    <row r="200">
      <c r="A200" s="973" t="inlineStr">
        <is>
          <t>Cybercriminal</t>
        </is>
      </c>
      <c r="B200" s="973" t="inlineStr">
        <is>
          <t>SC_INT</t>
        </is>
      </c>
      <c r="C200" s="973" t="inlineStr">
        <is>
          <t>Data or transaction-integrity compromise</t>
        </is>
      </c>
      <c r="D200" s="973" t="inlineStr">
        <is>
          <t>Duration</t>
        </is>
      </c>
      <c r="E200" s="973" t="inlineStr">
        <is>
          <t>LEGAL_RESPONSE</t>
        </is>
      </c>
      <c r="F200" s="973" t="inlineStr">
        <is>
          <t>P99</t>
        </is>
      </c>
      <c r="G200" s="973" t="n">
        <v>1200000</v>
      </c>
      <c r="H200" s="973" t="b">
        <v>1</v>
      </c>
      <c r="I200" s="973" t="inlineStr">
        <is>
          <t>D</t>
        </is>
      </c>
      <c r="J200" s="973" t="inlineStr">
        <is>
          <t>SRC-10</t>
        </is>
      </c>
      <c r="K200" s="973" t="n"/>
      <c r="L200" s="973" t="n"/>
      <c r="M200" s="973" t="n"/>
      <c r="N200" s="973" t="n"/>
      <c r="O200" s="973" t="n"/>
      <c r="P200" s="973" t="n"/>
    </row>
    <row r="201">
      <c r="A201" s="973" t="inlineStr">
        <is>
          <t>Cybercriminal</t>
        </is>
      </c>
      <c r="B201" s="973" t="inlineStr">
        <is>
          <t>SC_INT</t>
        </is>
      </c>
      <c r="C201" s="973" t="inlineStr">
        <is>
          <t>Data or transaction-integrity compromise</t>
        </is>
      </c>
      <c r="D201" s="973" t="inlineStr">
        <is>
          <t>Duration</t>
        </is>
      </c>
      <c r="E201" s="973" t="inlineStr">
        <is>
          <t>RESTORATION</t>
        </is>
      </c>
      <c r="F201" s="973" t="inlineStr">
        <is>
          <t>P99</t>
        </is>
      </c>
      <c r="G201" s="973" t="n">
        <v>600000</v>
      </c>
      <c r="H201" s="973" t="b">
        <v>1</v>
      </c>
      <c r="I201" s="973" t="inlineStr">
        <is>
          <t>D</t>
        </is>
      </c>
      <c r="J201" s="973" t="inlineStr">
        <is>
          <t>SRC-10</t>
        </is>
      </c>
      <c r="K201" s="973" t="n"/>
      <c r="L201" s="973" t="n"/>
      <c r="M201" s="973" t="n"/>
      <c r="N201" s="973" t="n"/>
      <c r="O201" s="973" t="n"/>
      <c r="P201" s="973" t="n"/>
    </row>
    <row r="202">
      <c r="A202" s="973" t="inlineStr">
        <is>
          <t>Cybercriminal</t>
        </is>
      </c>
      <c r="B202" s="973" t="inlineStr">
        <is>
          <t>SC_INT</t>
        </is>
      </c>
      <c r="C202" s="973" t="inlineStr">
        <is>
          <t>Data or transaction-integrity compromise</t>
        </is>
      </c>
      <c r="D202" s="973" t="inlineStr">
        <is>
          <t>Duration</t>
        </is>
      </c>
      <c r="E202" s="973" t="inlineStr">
        <is>
          <t>BUSINESS_INTERRUPTION</t>
        </is>
      </c>
      <c r="F202" s="973" t="inlineStr">
        <is>
          <t>P99</t>
        </is>
      </c>
      <c r="G202" s="973" t="n">
        <v>38356164.38356164</v>
      </c>
      <c r="H202" s="973" t="b">
        <v>1</v>
      </c>
      <c r="I202" s="973" t="inlineStr">
        <is>
          <t>D</t>
        </is>
      </c>
      <c r="J202" s="973" t="inlineStr">
        <is>
          <t>SRC-10</t>
        </is>
      </c>
      <c r="K202" s="973" t="n"/>
      <c r="L202" s="973" t="n"/>
      <c r="M202" s="973" t="n"/>
      <c r="N202" s="973" t="n"/>
      <c r="O202" s="973" t="n"/>
      <c r="P202" s="973" t="n"/>
    </row>
    <row r="203">
      <c r="A203" s="973" t="inlineStr">
        <is>
          <t>Cybercriminal</t>
        </is>
      </c>
      <c r="B203" s="973" t="inlineStr">
        <is>
          <t>SC_INT</t>
        </is>
      </c>
      <c r="C203" s="973" t="inlineStr">
        <is>
          <t>Data or transaction-integrity compromise</t>
        </is>
      </c>
      <c r="D203" s="973" t="inlineStr">
        <is>
          <t>Duration</t>
        </is>
      </c>
      <c r="E203" s="973" t="inlineStr">
        <is>
          <t>ENDPOINT_RECOVERY</t>
        </is>
      </c>
      <c r="F203" s="973" t="inlineStr">
        <is>
          <t>P99</t>
        </is>
      </c>
      <c r="G203" s="973" t="n">
        <v>1000000</v>
      </c>
      <c r="H203" s="973" t="b">
        <v>1</v>
      </c>
      <c r="I203" s="973" t="inlineStr">
        <is>
          <t>D</t>
        </is>
      </c>
      <c r="J203" s="973" t="inlineStr">
        <is>
          <t>SRC-10</t>
        </is>
      </c>
      <c r="K203" s="973" t="n"/>
      <c r="L203" s="973" t="n"/>
      <c r="M203" s="973" t="n"/>
      <c r="N203" s="973" t="n"/>
      <c r="O203" s="973" t="n"/>
      <c r="P203" s="973" t="n"/>
    </row>
    <row r="204">
      <c r="A204" s="973" t="inlineStr">
        <is>
          <t>Cybercriminal</t>
        </is>
      </c>
      <c r="B204" s="973" t="inlineStr">
        <is>
          <t>SC_INT</t>
        </is>
      </c>
      <c r="C204" s="973" t="inlineStr">
        <is>
          <t>Data or transaction-integrity compromise</t>
        </is>
      </c>
      <c r="D204" s="973" t="inlineStr">
        <is>
          <t>Duration</t>
        </is>
      </c>
      <c r="E204" s="973" t="inlineStr">
        <is>
          <t>SERVER_RECOVERY</t>
        </is>
      </c>
      <c r="F204" s="973" t="inlineStr">
        <is>
          <t>P99</t>
        </is>
      </c>
      <c r="G204" s="973" t="n">
        <v>2000000</v>
      </c>
      <c r="H204" s="973" t="b">
        <v>1</v>
      </c>
      <c r="I204" s="973" t="inlineStr">
        <is>
          <t>D</t>
        </is>
      </c>
      <c r="J204" s="973" t="inlineStr">
        <is>
          <t>SRC-10</t>
        </is>
      </c>
      <c r="K204" s="973" t="n"/>
      <c r="L204" s="973" t="n"/>
      <c r="M204" s="973" t="n"/>
      <c r="N204" s="973" t="n"/>
      <c r="O204" s="973" t="n"/>
      <c r="P204" s="973" t="n"/>
    </row>
    <row r="205">
      <c r="A205" s="973" t="inlineStr">
        <is>
          <t>Cybercriminal</t>
        </is>
      </c>
      <c r="B205" s="973" t="inlineStr">
        <is>
          <t>SC_INT</t>
        </is>
      </c>
      <c r="C205" s="973" t="inlineStr">
        <is>
          <t>Data or transaction-integrity compromise</t>
        </is>
      </c>
      <c r="D205" s="973" t="inlineStr">
        <is>
          <t>Exposure</t>
        </is>
      </c>
      <c r="E205" s="973" t="inlineStr">
        <is>
          <t>NOTIFICATION</t>
        </is>
      </c>
      <c r="F205" s="973" t="inlineStr">
        <is>
          <t>P99</t>
        </is>
      </c>
      <c r="G205" s="973" t="n">
        <v>0</v>
      </c>
      <c r="H205" s="973" t="b">
        <v>0</v>
      </c>
      <c r="I205" s="973" t="inlineStr">
        <is>
          <t>D</t>
        </is>
      </c>
      <c r="J205" s="973" t="inlineStr">
        <is>
          <t>SRC-10</t>
        </is>
      </c>
      <c r="K205" s="973" t="n"/>
      <c r="L205" s="973" t="n"/>
      <c r="M205" s="973" t="n"/>
      <c r="N205" s="973" t="n"/>
      <c r="O205" s="973" t="n"/>
      <c r="P205" s="973" t="n"/>
    </row>
    <row r="206">
      <c r="A206" s="973" t="inlineStr">
        <is>
          <t>Cybercriminal</t>
        </is>
      </c>
      <c r="B206" s="973" t="inlineStr">
        <is>
          <t>SC_INT</t>
        </is>
      </c>
      <c r="C206" s="973" t="inlineStr">
        <is>
          <t>Data or transaction-integrity compromise</t>
        </is>
      </c>
      <c r="D206" s="973" t="inlineStr">
        <is>
          <t>Exposure</t>
        </is>
      </c>
      <c r="E206" s="973" t="inlineStr">
        <is>
          <t>CREDIT_MONITORING</t>
        </is>
      </c>
      <c r="F206" s="973" t="inlineStr">
        <is>
          <t>P99</t>
        </is>
      </c>
      <c r="G206" s="973" t="n">
        <v>0</v>
      </c>
      <c r="H206" s="973" t="b">
        <v>0</v>
      </c>
      <c r="I206" s="973" t="inlineStr">
        <is>
          <t>D</t>
        </is>
      </c>
      <c r="J206" s="973" t="inlineStr">
        <is>
          <t>SRC-10</t>
        </is>
      </c>
      <c r="K206" s="973" t="n"/>
      <c r="L206" s="973" t="n"/>
      <c r="M206" s="973" t="n"/>
      <c r="N206" s="973" t="n"/>
      <c r="O206" s="973" t="n"/>
      <c r="P206" s="973" t="n"/>
    </row>
    <row r="207">
      <c r="A207" s="973" t="inlineStr">
        <is>
          <t>Cybercriminal</t>
        </is>
      </c>
      <c r="B207" s="973" t="inlineStr">
        <is>
          <t>SC_INT</t>
        </is>
      </c>
      <c r="C207" s="973" t="inlineStr">
        <is>
          <t>Data or transaction-integrity compromise</t>
        </is>
      </c>
      <c r="D207" s="973" t="inlineStr">
        <is>
          <t>Exposure</t>
        </is>
      </c>
      <c r="E207" s="973" t="inlineStr">
        <is>
          <t>REGULATORY</t>
        </is>
      </c>
      <c r="F207" s="973" t="inlineStr">
        <is>
          <t>P99</t>
        </is>
      </c>
      <c r="G207" s="973" t="n">
        <v>6000000</v>
      </c>
      <c r="H207" s="973" t="b">
        <v>1</v>
      </c>
      <c r="I207" s="973" t="inlineStr">
        <is>
          <t>D</t>
        </is>
      </c>
      <c r="J207" s="973" t="inlineStr">
        <is>
          <t>SRC-10</t>
        </is>
      </c>
      <c r="K207" s="973" t="n"/>
      <c r="L207" s="973" t="n"/>
      <c r="M207" s="973" t="n"/>
      <c r="N207" s="973" t="n"/>
      <c r="O207" s="973" t="n"/>
      <c r="P207" s="973" t="n"/>
    </row>
    <row r="208">
      <c r="A208" s="973" t="inlineStr">
        <is>
          <t>Cybercriminal</t>
        </is>
      </c>
      <c r="B208" s="973" t="inlineStr">
        <is>
          <t>SC_INT</t>
        </is>
      </c>
      <c r="C208" s="973" t="inlineStr">
        <is>
          <t>Data or transaction-integrity compromise</t>
        </is>
      </c>
      <c r="D208" s="973" t="inlineStr">
        <is>
          <t>Exposure</t>
        </is>
      </c>
      <c r="E208" s="973" t="inlineStr">
        <is>
          <t>CUSTOMER_ATTRITION</t>
        </is>
      </c>
      <c r="F208" s="973" t="inlineStr">
        <is>
          <t>P99</t>
        </is>
      </c>
      <c r="G208" s="973" t="n">
        <v>20000000</v>
      </c>
      <c r="H208" s="973" t="b">
        <v>1</v>
      </c>
      <c r="I208" s="973" t="inlineStr">
        <is>
          <t>D</t>
        </is>
      </c>
      <c r="J208" s="973" t="inlineStr">
        <is>
          <t>SRC-10</t>
        </is>
      </c>
      <c r="K208" s="973" t="n"/>
      <c r="L208" s="973" t="n"/>
      <c r="M208" s="973" t="n"/>
      <c r="N208" s="973" t="n"/>
      <c r="O208" s="973" t="n"/>
      <c r="P208" s="973" t="n"/>
    </row>
    <row r="209">
      <c r="A209" s="973" t="inlineStr">
        <is>
          <t>Cybercriminal</t>
        </is>
      </c>
      <c r="B209" s="973" t="inlineStr">
        <is>
          <t>SC_INT</t>
        </is>
      </c>
      <c r="C209" s="973" t="inlineStr">
        <is>
          <t>Data or transaction-integrity compromise</t>
        </is>
      </c>
      <c r="D209" s="973" t="inlineStr">
        <is>
          <t>Direct</t>
        </is>
      </c>
      <c r="E209" s="973" t="inlineStr">
        <is>
          <t>FRAUD_NET_RECOVERY</t>
        </is>
      </c>
      <c r="F209" s="973" t="inlineStr">
        <is>
          <t>P99</t>
        </is>
      </c>
      <c r="G209" s="973" t="n">
        <v>4794520.547945206</v>
      </c>
      <c r="H209" s="973" t="b">
        <v>1</v>
      </c>
      <c r="I209" s="973" t="inlineStr">
        <is>
          <t>D</t>
        </is>
      </c>
      <c r="J209" s="973" t="inlineStr">
        <is>
          <t>SRC-10</t>
        </is>
      </c>
      <c r="K209" s="973" t="n"/>
      <c r="L209" s="973" t="n"/>
      <c r="M209" s="973" t="n"/>
      <c r="N209" s="973" t="n"/>
      <c r="O209" s="973" t="n"/>
      <c r="P209" s="973" t="n"/>
    </row>
    <row r="210">
      <c r="A210" s="973" t="inlineStr">
        <is>
          <t>Cybercriminal</t>
        </is>
      </c>
      <c r="B210" s="973" t="inlineStr">
        <is>
          <t>SC_INT</t>
        </is>
      </c>
      <c r="C210" s="973" t="inlineStr">
        <is>
          <t>Data or transaction-integrity compromise</t>
        </is>
      </c>
      <c r="D210" s="973" t="inlineStr">
        <is>
          <t>Direct</t>
        </is>
      </c>
      <c r="E210" s="973" t="inlineStr">
        <is>
          <t>EXTORTION</t>
        </is>
      </c>
      <c r="F210" s="973" t="inlineStr">
        <is>
          <t>P99</t>
        </is>
      </c>
      <c r="G210" s="973" t="n">
        <v>0</v>
      </c>
      <c r="H210" s="973" t="b">
        <v>0</v>
      </c>
      <c r="I210" s="973" t="inlineStr">
        <is>
          <t>D</t>
        </is>
      </c>
      <c r="J210" s="973" t="inlineStr">
        <is>
          <t>SRC-10</t>
        </is>
      </c>
      <c r="K210" s="973" t="n"/>
      <c r="L210" s="973" t="n"/>
      <c r="M210" s="973" t="n"/>
      <c r="N210" s="973" t="n"/>
      <c r="O210" s="973" t="n"/>
      <c r="P210" s="973" t="n"/>
    </row>
    <row r="211">
      <c r="A211" s="973" t="inlineStr">
        <is>
          <t>Cybercriminal</t>
        </is>
      </c>
      <c r="B211" s="973" t="inlineStr">
        <is>
          <t>SC_INT</t>
        </is>
      </c>
      <c r="C211" s="973" t="inlineStr">
        <is>
          <t>Data or transaction-integrity compromise</t>
        </is>
      </c>
      <c r="D211" s="973" t="inlineStr">
        <is>
          <t>Direct</t>
        </is>
      </c>
      <c r="E211" s="973" t="inlineStr">
        <is>
          <t>POST_EVENT_UPLIFT</t>
        </is>
      </c>
      <c r="F211" s="973" t="inlineStr">
        <is>
          <t>P99</t>
        </is>
      </c>
      <c r="G211" s="973" t="n">
        <v>8000000</v>
      </c>
      <c r="H211" s="973" t="b">
        <v>1</v>
      </c>
      <c r="I211" s="973" t="inlineStr">
        <is>
          <t>D</t>
        </is>
      </c>
      <c r="J211" s="973" t="inlineStr">
        <is>
          <t>SRC-10</t>
        </is>
      </c>
      <c r="K211" s="973" t="n"/>
      <c r="L211" s="973" t="n"/>
      <c r="M211" s="973" t="n"/>
      <c r="N211" s="973" t="n"/>
      <c r="O211" s="973" t="n"/>
      <c r="P211" s="973" t="n"/>
    </row>
    <row r="212">
      <c r="A212" s="973" t="inlineStr">
        <is>
          <t>Cybercriminal</t>
        </is>
      </c>
      <c r="B212" s="973" t="inlineStr">
        <is>
          <t>SC_FRAUD</t>
        </is>
      </c>
      <c r="C212" s="973" t="inlineStr">
        <is>
          <t>Cyber-enabled theft or fraud</t>
        </is>
      </c>
      <c r="D212" s="973" t="inlineStr">
        <is>
          <t>Duration</t>
        </is>
      </c>
      <c r="E212" s="973" t="inlineStr">
        <is>
          <t>IR_FORENSICS</t>
        </is>
      </c>
      <c r="F212" s="973" t="inlineStr">
        <is>
          <t>P50</t>
        </is>
      </c>
      <c r="G212" s="973" t="n">
        <v>20000</v>
      </c>
      <c r="H212" s="973" t="b">
        <v>1</v>
      </c>
      <c r="I212" s="973" t="inlineStr">
        <is>
          <t>D</t>
        </is>
      </c>
      <c r="J212" s="973" t="inlineStr">
        <is>
          <t>SRC-10</t>
        </is>
      </c>
      <c r="K212" s="973" t="n"/>
      <c r="L212" s="973" t="n"/>
      <c r="M212" s="973" t="n"/>
      <c r="N212" s="973" t="n"/>
      <c r="O212" s="973" t="n"/>
      <c r="P212" s="973" t="n"/>
    </row>
    <row r="213">
      <c r="A213" s="973" t="inlineStr">
        <is>
          <t>Cybercriminal</t>
        </is>
      </c>
      <c r="B213" s="973" t="inlineStr">
        <is>
          <t>SC_FRAUD</t>
        </is>
      </c>
      <c r="C213" s="973" t="inlineStr">
        <is>
          <t>Cyber-enabled theft or fraud</t>
        </is>
      </c>
      <c r="D213" s="973" t="inlineStr">
        <is>
          <t>Duration</t>
        </is>
      </c>
      <c r="E213" s="973" t="inlineStr">
        <is>
          <t>EXTERNAL_RESPONSE</t>
        </is>
      </c>
      <c r="F213" s="973" t="inlineStr">
        <is>
          <t>P50</t>
        </is>
      </c>
      <c r="G213" s="973" t="n">
        <v>30000</v>
      </c>
      <c r="H213" s="973" t="b">
        <v>1</v>
      </c>
      <c r="I213" s="973" t="inlineStr">
        <is>
          <t>D</t>
        </is>
      </c>
      <c r="J213" s="973" t="inlineStr">
        <is>
          <t>SRC-10</t>
        </is>
      </c>
      <c r="K213" s="973" t="n"/>
      <c r="L213" s="973" t="n"/>
      <c r="M213" s="973" t="n"/>
      <c r="N213" s="973" t="n"/>
      <c r="O213" s="973" t="n"/>
      <c r="P213" s="973" t="n"/>
    </row>
    <row r="214">
      <c r="A214" s="973" t="inlineStr">
        <is>
          <t>Cybercriminal</t>
        </is>
      </c>
      <c r="B214" s="973" t="inlineStr">
        <is>
          <t>SC_FRAUD</t>
        </is>
      </c>
      <c r="C214" s="973" t="inlineStr">
        <is>
          <t>Cyber-enabled theft or fraud</t>
        </is>
      </c>
      <c r="D214" s="973" t="inlineStr">
        <is>
          <t>Duration</t>
        </is>
      </c>
      <c r="E214" s="973" t="inlineStr">
        <is>
          <t>LEGAL_RESPONSE</t>
        </is>
      </c>
      <c r="F214" s="973" t="inlineStr">
        <is>
          <t>P50</t>
        </is>
      </c>
      <c r="G214" s="973" t="n">
        <v>75000</v>
      </c>
      <c r="H214" s="973" t="b">
        <v>1</v>
      </c>
      <c r="I214" s="973" t="inlineStr">
        <is>
          <t>D</t>
        </is>
      </c>
      <c r="J214" s="973" t="inlineStr">
        <is>
          <t>SRC-10</t>
        </is>
      </c>
      <c r="K214" s="973" t="n"/>
      <c r="L214" s="973" t="n"/>
      <c r="M214" s="973" t="n"/>
      <c r="N214" s="973" t="n"/>
      <c r="O214" s="973" t="n"/>
      <c r="P214" s="973" t="n"/>
    </row>
    <row r="215">
      <c r="A215" s="973" t="inlineStr">
        <is>
          <t>Cybercriminal</t>
        </is>
      </c>
      <c r="B215" s="973" t="inlineStr">
        <is>
          <t>SC_FRAUD</t>
        </is>
      </c>
      <c r="C215" s="973" t="inlineStr">
        <is>
          <t>Cyber-enabled theft or fraud</t>
        </is>
      </c>
      <c r="D215" s="973" t="inlineStr">
        <is>
          <t>Duration</t>
        </is>
      </c>
      <c r="E215" s="973" t="inlineStr">
        <is>
          <t>RESTORATION</t>
        </is>
      </c>
      <c r="F215" s="973" t="inlineStr">
        <is>
          <t>P50</t>
        </is>
      </c>
      <c r="G215" s="973" t="n">
        <v>10000</v>
      </c>
      <c r="H215" s="973" t="b">
        <v>1</v>
      </c>
      <c r="I215" s="973" t="inlineStr">
        <is>
          <t>D</t>
        </is>
      </c>
      <c r="J215" s="973" t="inlineStr">
        <is>
          <t>SRC-10</t>
        </is>
      </c>
      <c r="K215" s="973" t="n"/>
      <c r="L215" s="973" t="n"/>
      <c r="M215" s="973" t="n"/>
      <c r="N215" s="973" t="n"/>
      <c r="O215" s="973" t="n"/>
      <c r="P215" s="973" t="n"/>
    </row>
    <row r="216">
      <c r="A216" s="973" t="inlineStr">
        <is>
          <t>Cybercriminal</t>
        </is>
      </c>
      <c r="B216" s="973" t="inlineStr">
        <is>
          <t>SC_FRAUD</t>
        </is>
      </c>
      <c r="C216" s="973" t="inlineStr">
        <is>
          <t>Cyber-enabled theft or fraud</t>
        </is>
      </c>
      <c r="D216" s="973" t="inlineStr">
        <is>
          <t>Duration</t>
        </is>
      </c>
      <c r="E216" s="973" t="inlineStr">
        <is>
          <t>BUSINESS_INTERRUPTION</t>
        </is>
      </c>
      <c r="F216" s="973" t="inlineStr">
        <is>
          <t>P50</t>
        </is>
      </c>
      <c r="G216" s="973" t="n">
        <v>0</v>
      </c>
      <c r="H216" s="973" t="b">
        <v>0</v>
      </c>
      <c r="I216" s="973" t="inlineStr">
        <is>
          <t>D</t>
        </is>
      </c>
      <c r="J216" s="973" t="inlineStr">
        <is>
          <t>SRC-10</t>
        </is>
      </c>
      <c r="K216" s="973" t="n"/>
      <c r="L216" s="973" t="n"/>
      <c r="M216" s="973" t="n"/>
      <c r="N216" s="973" t="n"/>
      <c r="O216" s="973" t="n"/>
      <c r="P216" s="973" t="n"/>
    </row>
    <row r="217">
      <c r="A217" s="973" t="inlineStr">
        <is>
          <t>Cybercriminal</t>
        </is>
      </c>
      <c r="B217" s="973" t="inlineStr">
        <is>
          <t>SC_FRAUD</t>
        </is>
      </c>
      <c r="C217" s="973" t="inlineStr">
        <is>
          <t>Cyber-enabled theft or fraud</t>
        </is>
      </c>
      <c r="D217" s="973" t="inlineStr">
        <is>
          <t>Duration</t>
        </is>
      </c>
      <c r="E217" s="973" t="inlineStr">
        <is>
          <t>ENDPOINT_RECOVERY</t>
        </is>
      </c>
      <c r="F217" s="973" t="inlineStr">
        <is>
          <t>P50</t>
        </is>
      </c>
      <c r="G217" s="973" t="n">
        <v>0</v>
      </c>
      <c r="H217" s="973" t="b">
        <v>0</v>
      </c>
      <c r="I217" s="973" t="inlineStr">
        <is>
          <t>D</t>
        </is>
      </c>
      <c r="J217" s="973" t="inlineStr">
        <is>
          <t>SRC-10</t>
        </is>
      </c>
      <c r="K217" s="973" t="n"/>
      <c r="L217" s="973" t="n"/>
      <c r="M217" s="973" t="n"/>
      <c r="N217" s="973" t="n"/>
      <c r="O217" s="973" t="n"/>
      <c r="P217" s="973" t="n"/>
    </row>
    <row r="218">
      <c r="A218" s="973" t="inlineStr">
        <is>
          <t>Cybercriminal</t>
        </is>
      </c>
      <c r="B218" s="973" t="inlineStr">
        <is>
          <t>SC_FRAUD</t>
        </is>
      </c>
      <c r="C218" s="973" t="inlineStr">
        <is>
          <t>Cyber-enabled theft or fraud</t>
        </is>
      </c>
      <c r="D218" s="973" t="inlineStr">
        <is>
          <t>Duration</t>
        </is>
      </c>
      <c r="E218" s="973" t="inlineStr">
        <is>
          <t>SERVER_RECOVERY</t>
        </is>
      </c>
      <c r="F218" s="973" t="inlineStr">
        <is>
          <t>P50</t>
        </is>
      </c>
      <c r="G218" s="973" t="n">
        <v>0</v>
      </c>
      <c r="H218" s="973" t="b">
        <v>0</v>
      </c>
      <c r="I218" s="973" t="inlineStr">
        <is>
          <t>D</t>
        </is>
      </c>
      <c r="J218" s="973" t="inlineStr">
        <is>
          <t>SRC-10</t>
        </is>
      </c>
      <c r="K218" s="973" t="n"/>
      <c r="L218" s="973" t="n"/>
      <c r="M218" s="973" t="n"/>
      <c r="N218" s="973" t="n"/>
      <c r="O218" s="973" t="n"/>
      <c r="P218" s="973" t="n"/>
    </row>
    <row r="219">
      <c r="A219" s="973" t="inlineStr">
        <is>
          <t>Cybercriminal</t>
        </is>
      </c>
      <c r="B219" s="973" t="inlineStr">
        <is>
          <t>SC_FRAUD</t>
        </is>
      </c>
      <c r="C219" s="973" t="inlineStr">
        <is>
          <t>Cyber-enabled theft or fraud</t>
        </is>
      </c>
      <c r="D219" s="973" t="inlineStr">
        <is>
          <t>Exposure</t>
        </is>
      </c>
      <c r="E219" s="973" t="inlineStr">
        <is>
          <t>NOTIFICATION</t>
        </is>
      </c>
      <c r="F219" s="973" t="inlineStr">
        <is>
          <t>P50</t>
        </is>
      </c>
      <c r="G219" s="973" t="n">
        <v>0</v>
      </c>
      <c r="H219" s="973" t="b">
        <v>0</v>
      </c>
      <c r="I219" s="973" t="inlineStr">
        <is>
          <t>D</t>
        </is>
      </c>
      <c r="J219" s="973" t="inlineStr">
        <is>
          <t>SRC-10</t>
        </is>
      </c>
      <c r="K219" s="973" t="n"/>
      <c r="L219" s="973" t="n"/>
      <c r="M219" s="973" t="n"/>
      <c r="N219" s="973" t="n"/>
      <c r="O219" s="973" t="n"/>
      <c r="P219" s="973" t="n"/>
    </row>
    <row r="220">
      <c r="A220" s="973" t="inlineStr">
        <is>
          <t>Cybercriminal</t>
        </is>
      </c>
      <c r="B220" s="973" t="inlineStr">
        <is>
          <t>SC_FRAUD</t>
        </is>
      </c>
      <c r="C220" s="973" t="inlineStr">
        <is>
          <t>Cyber-enabled theft or fraud</t>
        </is>
      </c>
      <c r="D220" s="973" t="inlineStr">
        <is>
          <t>Exposure</t>
        </is>
      </c>
      <c r="E220" s="973" t="inlineStr">
        <is>
          <t>CREDIT_MONITORING</t>
        </is>
      </c>
      <c r="F220" s="973" t="inlineStr">
        <is>
          <t>P50</t>
        </is>
      </c>
      <c r="G220" s="973" t="n">
        <v>0</v>
      </c>
      <c r="H220" s="973" t="b">
        <v>0</v>
      </c>
      <c r="I220" s="973" t="inlineStr">
        <is>
          <t>D</t>
        </is>
      </c>
      <c r="J220" s="973" t="inlineStr">
        <is>
          <t>SRC-10</t>
        </is>
      </c>
      <c r="K220" s="973" t="n"/>
      <c r="L220" s="973" t="n"/>
      <c r="M220" s="973" t="n"/>
      <c r="N220" s="973" t="n"/>
      <c r="O220" s="973" t="n"/>
      <c r="P220" s="973" t="n"/>
    </row>
    <row r="221">
      <c r="A221" s="973" t="inlineStr">
        <is>
          <t>Cybercriminal</t>
        </is>
      </c>
      <c r="B221" s="973" t="inlineStr">
        <is>
          <t>SC_FRAUD</t>
        </is>
      </c>
      <c r="C221" s="973" t="inlineStr">
        <is>
          <t>Cyber-enabled theft or fraud</t>
        </is>
      </c>
      <c r="D221" s="973" t="inlineStr">
        <is>
          <t>Exposure</t>
        </is>
      </c>
      <c r="E221" s="973" t="inlineStr">
        <is>
          <t>REGULATORY</t>
        </is>
      </c>
      <c r="F221" s="973" t="inlineStr">
        <is>
          <t>P50</t>
        </is>
      </c>
      <c r="G221" s="973" t="n">
        <v>200000</v>
      </c>
      <c r="H221" s="973" t="b">
        <v>1</v>
      </c>
      <c r="I221" s="973" t="inlineStr">
        <is>
          <t>D</t>
        </is>
      </c>
      <c r="J221" s="973" t="inlineStr">
        <is>
          <t>SRC-10</t>
        </is>
      </c>
      <c r="K221" s="973" t="n"/>
      <c r="L221" s="973" t="n"/>
      <c r="M221" s="973" t="n"/>
      <c r="N221" s="973" t="n"/>
      <c r="O221" s="973" t="n"/>
      <c r="P221" s="973" t="n"/>
    </row>
    <row r="222">
      <c r="A222" s="973" t="inlineStr">
        <is>
          <t>Cybercriminal</t>
        </is>
      </c>
      <c r="B222" s="973" t="inlineStr">
        <is>
          <t>SC_FRAUD</t>
        </is>
      </c>
      <c r="C222" s="973" t="inlineStr">
        <is>
          <t>Cyber-enabled theft or fraud</t>
        </is>
      </c>
      <c r="D222" s="973" t="inlineStr">
        <is>
          <t>Exposure</t>
        </is>
      </c>
      <c r="E222" s="973" t="inlineStr">
        <is>
          <t>CUSTOMER_ATTRITION</t>
        </is>
      </c>
      <c r="F222" s="973" t="inlineStr">
        <is>
          <t>P50</t>
        </is>
      </c>
      <c r="G222" s="973" t="n">
        <v>1000000</v>
      </c>
      <c r="H222" s="973" t="b">
        <v>1</v>
      </c>
      <c r="I222" s="973" t="inlineStr">
        <is>
          <t>D</t>
        </is>
      </c>
      <c r="J222" s="973" t="inlineStr">
        <is>
          <t>SRC-10</t>
        </is>
      </c>
      <c r="K222" s="973" t="n"/>
      <c r="L222" s="973" t="n"/>
      <c r="M222" s="973" t="n"/>
      <c r="N222" s="973" t="n"/>
      <c r="O222" s="973" t="n"/>
      <c r="P222" s="973" t="n"/>
    </row>
    <row r="223">
      <c r="A223" s="973" t="inlineStr">
        <is>
          <t>Cybercriminal</t>
        </is>
      </c>
      <c r="B223" s="973" t="inlineStr">
        <is>
          <t>SC_FRAUD</t>
        </is>
      </c>
      <c r="C223" s="973" t="inlineStr">
        <is>
          <t>Cyber-enabled theft or fraud</t>
        </is>
      </c>
      <c r="D223" s="973" t="inlineStr">
        <is>
          <t>Direct</t>
        </is>
      </c>
      <c r="E223" s="973" t="inlineStr">
        <is>
          <t>FRAUD_NET_RECOVERY</t>
        </is>
      </c>
      <c r="F223" s="973" t="inlineStr">
        <is>
          <t>P50</t>
        </is>
      </c>
      <c r="G223" s="973" t="n">
        <v>54794.52054794521</v>
      </c>
      <c r="H223" s="973" t="b">
        <v>1</v>
      </c>
      <c r="I223" s="973" t="inlineStr">
        <is>
          <t>D</t>
        </is>
      </c>
      <c r="J223" s="973" t="inlineStr">
        <is>
          <t>SRC-10</t>
        </is>
      </c>
      <c r="K223" s="973" t="n"/>
      <c r="L223" s="973" t="n"/>
      <c r="M223" s="973" t="n"/>
      <c r="N223" s="973" t="n"/>
      <c r="O223" s="973" t="n"/>
      <c r="P223" s="973" t="n"/>
    </row>
    <row r="224">
      <c r="A224" s="973" t="inlineStr">
        <is>
          <t>Cybercriminal</t>
        </is>
      </c>
      <c r="B224" s="973" t="inlineStr">
        <is>
          <t>SC_FRAUD</t>
        </is>
      </c>
      <c r="C224" s="973" t="inlineStr">
        <is>
          <t>Cyber-enabled theft or fraud</t>
        </is>
      </c>
      <c r="D224" s="973" t="inlineStr">
        <is>
          <t>Direct</t>
        </is>
      </c>
      <c r="E224" s="973" t="inlineStr">
        <is>
          <t>EXTORTION</t>
        </is>
      </c>
      <c r="F224" s="973" t="inlineStr">
        <is>
          <t>P50</t>
        </is>
      </c>
      <c r="G224" s="973" t="n">
        <v>0</v>
      </c>
      <c r="H224" s="973" t="b">
        <v>0</v>
      </c>
      <c r="I224" s="973" t="inlineStr">
        <is>
          <t>D</t>
        </is>
      </c>
      <c r="J224" s="973" t="inlineStr">
        <is>
          <t>SRC-10</t>
        </is>
      </c>
      <c r="K224" s="973" t="n"/>
      <c r="L224" s="973" t="n"/>
      <c r="M224" s="973" t="n"/>
      <c r="N224" s="973" t="n"/>
      <c r="O224" s="973" t="n"/>
      <c r="P224" s="973" t="n"/>
    </row>
    <row r="225">
      <c r="A225" s="973" t="inlineStr">
        <is>
          <t>Cybercriminal</t>
        </is>
      </c>
      <c r="B225" s="973" t="inlineStr">
        <is>
          <t>SC_FRAUD</t>
        </is>
      </c>
      <c r="C225" s="973" t="inlineStr">
        <is>
          <t>Cyber-enabled theft or fraud</t>
        </is>
      </c>
      <c r="D225" s="973" t="inlineStr">
        <is>
          <t>Direct</t>
        </is>
      </c>
      <c r="E225" s="973" t="inlineStr">
        <is>
          <t>POST_EVENT_UPLIFT</t>
        </is>
      </c>
      <c r="F225" s="973" t="inlineStr">
        <is>
          <t>P50</t>
        </is>
      </c>
      <c r="G225" s="973" t="n">
        <v>500000</v>
      </c>
      <c r="H225" s="973" t="b">
        <v>1</v>
      </c>
      <c r="I225" s="973" t="inlineStr">
        <is>
          <t>D</t>
        </is>
      </c>
      <c r="J225" s="973" t="inlineStr">
        <is>
          <t>SRC-10</t>
        </is>
      </c>
      <c r="K225" s="973" t="n"/>
      <c r="L225" s="973" t="n"/>
      <c r="M225" s="973" t="n"/>
      <c r="N225" s="973" t="n"/>
      <c r="O225" s="973" t="n"/>
      <c r="P225" s="973" t="n"/>
    </row>
    <row r="226">
      <c r="A226" s="973" t="inlineStr">
        <is>
          <t>Cybercriminal</t>
        </is>
      </c>
      <c r="B226" s="973" t="inlineStr">
        <is>
          <t>SC_FRAUD</t>
        </is>
      </c>
      <c r="C226" s="973" t="inlineStr">
        <is>
          <t>Cyber-enabled theft or fraud</t>
        </is>
      </c>
      <c r="D226" s="973" t="inlineStr">
        <is>
          <t>Duration</t>
        </is>
      </c>
      <c r="E226" s="973" t="inlineStr">
        <is>
          <t>IR_FORENSICS</t>
        </is>
      </c>
      <c r="F226" s="973" t="inlineStr">
        <is>
          <t>P99</t>
        </is>
      </c>
      <c r="G226" s="973" t="n">
        <v>240000</v>
      </c>
      <c r="H226" s="973" t="b">
        <v>1</v>
      </c>
      <c r="I226" s="973" t="inlineStr">
        <is>
          <t>D</t>
        </is>
      </c>
      <c r="J226" s="973" t="inlineStr">
        <is>
          <t>SRC-10</t>
        </is>
      </c>
      <c r="K226" s="973" t="n"/>
      <c r="L226" s="973" t="n"/>
      <c r="M226" s="973" t="n"/>
      <c r="N226" s="973" t="n"/>
      <c r="O226" s="973" t="n"/>
      <c r="P226" s="973" t="n"/>
    </row>
    <row r="227">
      <c r="A227" s="973" t="inlineStr">
        <is>
          <t>Cybercriminal</t>
        </is>
      </c>
      <c r="B227" s="973" t="inlineStr">
        <is>
          <t>SC_FRAUD</t>
        </is>
      </c>
      <c r="C227" s="973" t="inlineStr">
        <is>
          <t>Cyber-enabled theft or fraud</t>
        </is>
      </c>
      <c r="D227" s="973" t="inlineStr">
        <is>
          <t>Duration</t>
        </is>
      </c>
      <c r="E227" s="973" t="inlineStr">
        <is>
          <t>EXTERNAL_RESPONSE</t>
        </is>
      </c>
      <c r="F227" s="973" t="inlineStr">
        <is>
          <t>P99</t>
        </is>
      </c>
      <c r="G227" s="973" t="n">
        <v>450000</v>
      </c>
      <c r="H227" s="973" t="b">
        <v>1</v>
      </c>
      <c r="I227" s="973" t="inlineStr">
        <is>
          <t>D</t>
        </is>
      </c>
      <c r="J227" s="973" t="inlineStr">
        <is>
          <t>SRC-10</t>
        </is>
      </c>
      <c r="K227" s="973" t="n"/>
      <c r="L227" s="973" t="n"/>
      <c r="M227" s="973" t="n"/>
      <c r="N227" s="973" t="n"/>
      <c r="O227" s="973" t="n"/>
      <c r="P227" s="973" t="n"/>
    </row>
    <row r="228">
      <c r="A228" s="973" t="inlineStr">
        <is>
          <t>Cybercriminal</t>
        </is>
      </c>
      <c r="B228" s="973" t="inlineStr">
        <is>
          <t>SC_FRAUD</t>
        </is>
      </c>
      <c r="C228" s="973" t="inlineStr">
        <is>
          <t>Cyber-enabled theft or fraud</t>
        </is>
      </c>
      <c r="D228" s="973" t="inlineStr">
        <is>
          <t>Duration</t>
        </is>
      </c>
      <c r="E228" s="973" t="inlineStr">
        <is>
          <t>LEGAL_RESPONSE</t>
        </is>
      </c>
      <c r="F228" s="973" t="inlineStr">
        <is>
          <t>P99</t>
        </is>
      </c>
      <c r="G228" s="973" t="n">
        <v>900000</v>
      </c>
      <c r="H228" s="973" t="b">
        <v>1</v>
      </c>
      <c r="I228" s="973" t="inlineStr">
        <is>
          <t>D</t>
        </is>
      </c>
      <c r="J228" s="973" t="inlineStr">
        <is>
          <t>SRC-10</t>
        </is>
      </c>
      <c r="K228" s="973" t="n"/>
      <c r="L228" s="973" t="n"/>
      <c r="M228" s="973" t="n"/>
      <c r="N228" s="973" t="n"/>
      <c r="O228" s="973" t="n"/>
      <c r="P228" s="973" t="n"/>
    </row>
    <row r="229">
      <c r="A229" s="973" t="inlineStr">
        <is>
          <t>Cybercriminal</t>
        </is>
      </c>
      <c r="B229" s="973" t="inlineStr">
        <is>
          <t>SC_FRAUD</t>
        </is>
      </c>
      <c r="C229" s="973" t="inlineStr">
        <is>
          <t>Cyber-enabled theft or fraud</t>
        </is>
      </c>
      <c r="D229" s="973" t="inlineStr">
        <is>
          <t>Duration</t>
        </is>
      </c>
      <c r="E229" s="973" t="inlineStr">
        <is>
          <t>RESTORATION</t>
        </is>
      </c>
      <c r="F229" s="973" t="inlineStr">
        <is>
          <t>P99</t>
        </is>
      </c>
      <c r="G229" s="973" t="n">
        <v>240000</v>
      </c>
      <c r="H229" s="973" t="b">
        <v>1</v>
      </c>
      <c r="I229" s="973" t="inlineStr">
        <is>
          <t>D</t>
        </is>
      </c>
      <c r="J229" s="973" t="inlineStr">
        <is>
          <t>SRC-10</t>
        </is>
      </c>
      <c r="K229" s="973" t="n"/>
      <c r="L229" s="973" t="n"/>
      <c r="M229" s="973" t="n"/>
      <c r="N229" s="973" t="n"/>
      <c r="O229" s="973" t="n"/>
      <c r="P229" s="973" t="n"/>
    </row>
    <row r="230">
      <c r="A230" s="973" t="inlineStr">
        <is>
          <t>Cybercriminal</t>
        </is>
      </c>
      <c r="B230" s="973" t="inlineStr">
        <is>
          <t>SC_FRAUD</t>
        </is>
      </c>
      <c r="C230" s="973" t="inlineStr">
        <is>
          <t>Cyber-enabled theft or fraud</t>
        </is>
      </c>
      <c r="D230" s="973" t="inlineStr">
        <is>
          <t>Duration</t>
        </is>
      </c>
      <c r="E230" s="973" t="inlineStr">
        <is>
          <t>BUSINESS_INTERRUPTION</t>
        </is>
      </c>
      <c r="F230" s="973" t="inlineStr">
        <is>
          <t>P99</t>
        </is>
      </c>
      <c r="G230" s="973" t="n">
        <v>0</v>
      </c>
      <c r="H230" s="973" t="b">
        <v>0</v>
      </c>
      <c r="I230" s="973" t="inlineStr">
        <is>
          <t>D</t>
        </is>
      </c>
      <c r="J230" s="973" t="inlineStr">
        <is>
          <t>SRC-10</t>
        </is>
      </c>
      <c r="K230" s="973" t="n"/>
      <c r="L230" s="973" t="n"/>
      <c r="M230" s="973" t="n"/>
      <c r="N230" s="973" t="n"/>
      <c r="O230" s="973" t="n"/>
      <c r="P230" s="973" t="n"/>
    </row>
    <row r="231">
      <c r="A231" s="973" t="inlineStr">
        <is>
          <t>Cybercriminal</t>
        </is>
      </c>
      <c r="B231" s="973" t="inlineStr">
        <is>
          <t>SC_FRAUD</t>
        </is>
      </c>
      <c r="C231" s="973" t="inlineStr">
        <is>
          <t>Cyber-enabled theft or fraud</t>
        </is>
      </c>
      <c r="D231" s="973" t="inlineStr">
        <is>
          <t>Duration</t>
        </is>
      </c>
      <c r="E231" s="973" t="inlineStr">
        <is>
          <t>ENDPOINT_RECOVERY</t>
        </is>
      </c>
      <c r="F231" s="973" t="inlineStr">
        <is>
          <t>P99</t>
        </is>
      </c>
      <c r="G231" s="973" t="n">
        <v>0</v>
      </c>
      <c r="H231" s="973" t="b">
        <v>0</v>
      </c>
      <c r="I231" s="973" t="inlineStr">
        <is>
          <t>D</t>
        </is>
      </c>
      <c r="J231" s="973" t="inlineStr">
        <is>
          <t>SRC-10</t>
        </is>
      </c>
      <c r="K231" s="973" t="n"/>
      <c r="L231" s="973" t="n"/>
      <c r="M231" s="973" t="n"/>
      <c r="N231" s="973" t="n"/>
      <c r="O231" s="973" t="n"/>
      <c r="P231" s="973" t="n"/>
    </row>
    <row r="232">
      <c r="A232" s="973" t="inlineStr">
        <is>
          <t>Cybercriminal</t>
        </is>
      </c>
      <c r="B232" s="973" t="inlineStr">
        <is>
          <t>SC_FRAUD</t>
        </is>
      </c>
      <c r="C232" s="973" t="inlineStr">
        <is>
          <t>Cyber-enabled theft or fraud</t>
        </is>
      </c>
      <c r="D232" s="973" t="inlineStr">
        <is>
          <t>Duration</t>
        </is>
      </c>
      <c r="E232" s="973" t="inlineStr">
        <is>
          <t>SERVER_RECOVERY</t>
        </is>
      </c>
      <c r="F232" s="973" t="inlineStr">
        <is>
          <t>P99</t>
        </is>
      </c>
      <c r="G232" s="973" t="n">
        <v>0</v>
      </c>
      <c r="H232" s="973" t="b">
        <v>0</v>
      </c>
      <c r="I232" s="973" t="inlineStr">
        <is>
          <t>D</t>
        </is>
      </c>
      <c r="J232" s="973" t="inlineStr">
        <is>
          <t>SRC-10</t>
        </is>
      </c>
      <c r="K232" s="973" t="n"/>
      <c r="L232" s="973" t="n"/>
      <c r="M232" s="973" t="n"/>
      <c r="N232" s="973" t="n"/>
      <c r="O232" s="973" t="n"/>
      <c r="P232" s="973" t="n"/>
    </row>
    <row r="233">
      <c r="A233" s="973" t="inlineStr">
        <is>
          <t>Cybercriminal</t>
        </is>
      </c>
      <c r="B233" s="973" t="inlineStr">
        <is>
          <t>SC_FRAUD</t>
        </is>
      </c>
      <c r="C233" s="973" t="inlineStr">
        <is>
          <t>Cyber-enabled theft or fraud</t>
        </is>
      </c>
      <c r="D233" s="973" t="inlineStr">
        <is>
          <t>Exposure</t>
        </is>
      </c>
      <c r="E233" s="973" t="inlineStr">
        <is>
          <t>NOTIFICATION</t>
        </is>
      </c>
      <c r="F233" s="973" t="inlineStr">
        <is>
          <t>P99</t>
        </is>
      </c>
      <c r="G233" s="973" t="n">
        <v>0</v>
      </c>
      <c r="H233" s="973" t="b">
        <v>0</v>
      </c>
      <c r="I233" s="973" t="inlineStr">
        <is>
          <t>D</t>
        </is>
      </c>
      <c r="J233" s="973" t="inlineStr">
        <is>
          <t>SRC-10</t>
        </is>
      </c>
      <c r="K233" s="973" t="n"/>
      <c r="L233" s="973" t="n"/>
      <c r="M233" s="973" t="n"/>
      <c r="N233" s="973" t="n"/>
      <c r="O233" s="973" t="n"/>
      <c r="P233" s="973" t="n"/>
    </row>
    <row r="234">
      <c r="A234" s="973" t="inlineStr">
        <is>
          <t>Cybercriminal</t>
        </is>
      </c>
      <c r="B234" s="973" t="inlineStr">
        <is>
          <t>SC_FRAUD</t>
        </is>
      </c>
      <c r="C234" s="973" t="inlineStr">
        <is>
          <t>Cyber-enabled theft or fraud</t>
        </is>
      </c>
      <c r="D234" s="973" t="inlineStr">
        <is>
          <t>Exposure</t>
        </is>
      </c>
      <c r="E234" s="973" t="inlineStr">
        <is>
          <t>CREDIT_MONITORING</t>
        </is>
      </c>
      <c r="F234" s="973" t="inlineStr">
        <is>
          <t>P99</t>
        </is>
      </c>
      <c r="G234" s="973" t="n">
        <v>0</v>
      </c>
      <c r="H234" s="973" t="b">
        <v>0</v>
      </c>
      <c r="I234" s="973" t="inlineStr">
        <is>
          <t>D</t>
        </is>
      </c>
      <c r="J234" s="973" t="inlineStr">
        <is>
          <t>SRC-10</t>
        </is>
      </c>
      <c r="K234" s="973" t="n"/>
      <c r="L234" s="973" t="n"/>
      <c r="M234" s="973" t="n"/>
      <c r="N234" s="973" t="n"/>
      <c r="O234" s="973" t="n"/>
      <c r="P234" s="973" t="n"/>
    </row>
    <row r="235">
      <c r="A235" s="973" t="inlineStr">
        <is>
          <t>Cybercriminal</t>
        </is>
      </c>
      <c r="B235" s="973" t="inlineStr">
        <is>
          <t>SC_FRAUD</t>
        </is>
      </c>
      <c r="C235" s="973" t="inlineStr">
        <is>
          <t>Cyber-enabled theft or fraud</t>
        </is>
      </c>
      <c r="D235" s="973" t="inlineStr">
        <is>
          <t>Exposure</t>
        </is>
      </c>
      <c r="E235" s="973" t="inlineStr">
        <is>
          <t>REGULATORY</t>
        </is>
      </c>
      <c r="F235" s="973" t="inlineStr">
        <is>
          <t>P99</t>
        </is>
      </c>
      <c r="G235" s="973" t="n">
        <v>3000000</v>
      </c>
      <c r="H235" s="973" t="b">
        <v>1</v>
      </c>
      <c r="I235" s="973" t="inlineStr">
        <is>
          <t>D</t>
        </is>
      </c>
      <c r="J235" s="973" t="inlineStr">
        <is>
          <t>SRC-10</t>
        </is>
      </c>
      <c r="K235" s="973" t="n"/>
      <c r="L235" s="973" t="n"/>
      <c r="M235" s="973" t="n"/>
      <c r="N235" s="973" t="n"/>
      <c r="O235" s="973" t="n"/>
      <c r="P235" s="973" t="n"/>
    </row>
    <row r="236">
      <c r="A236" s="973" t="inlineStr">
        <is>
          <t>Cybercriminal</t>
        </is>
      </c>
      <c r="B236" s="973" t="inlineStr">
        <is>
          <t>SC_FRAUD</t>
        </is>
      </c>
      <c r="C236" s="973" t="inlineStr">
        <is>
          <t>Cyber-enabled theft or fraud</t>
        </is>
      </c>
      <c r="D236" s="973" t="inlineStr">
        <is>
          <t>Exposure</t>
        </is>
      </c>
      <c r="E236" s="973" t="inlineStr">
        <is>
          <t>CUSTOMER_ATTRITION</t>
        </is>
      </c>
      <c r="F236" s="973" t="inlineStr">
        <is>
          <t>P99</t>
        </is>
      </c>
      <c r="G236" s="973" t="n">
        <v>20000000</v>
      </c>
      <c r="H236" s="973" t="b">
        <v>1</v>
      </c>
      <c r="I236" s="973" t="inlineStr">
        <is>
          <t>D</t>
        </is>
      </c>
      <c r="J236" s="973" t="inlineStr">
        <is>
          <t>SRC-10</t>
        </is>
      </c>
      <c r="K236" s="973" t="n"/>
      <c r="L236" s="973" t="n"/>
      <c r="M236" s="973" t="n"/>
      <c r="N236" s="973" t="n"/>
      <c r="O236" s="973" t="n"/>
      <c r="P236" s="973" t="n"/>
    </row>
    <row r="237">
      <c r="A237" s="973" t="inlineStr">
        <is>
          <t>Cybercriminal</t>
        </is>
      </c>
      <c r="B237" s="973" t="inlineStr">
        <is>
          <t>SC_FRAUD</t>
        </is>
      </c>
      <c r="C237" s="973" t="inlineStr">
        <is>
          <t>Cyber-enabled theft or fraud</t>
        </is>
      </c>
      <c r="D237" s="973" t="inlineStr">
        <is>
          <t>Direct</t>
        </is>
      </c>
      <c r="E237" s="973" t="inlineStr">
        <is>
          <t>FRAUD_NET_RECOVERY</t>
        </is>
      </c>
      <c r="F237" s="973" t="inlineStr">
        <is>
          <t>P99</t>
        </is>
      </c>
      <c r="G237" s="973" t="n">
        <v>16438356.16438356</v>
      </c>
      <c r="H237" s="973" t="b">
        <v>1</v>
      </c>
      <c r="I237" s="973" t="inlineStr">
        <is>
          <t>D</t>
        </is>
      </c>
      <c r="J237" s="973" t="inlineStr">
        <is>
          <t>SRC-10</t>
        </is>
      </c>
      <c r="K237" s="973" t="n"/>
      <c r="L237" s="973" t="n"/>
      <c r="M237" s="973" t="n"/>
      <c r="N237" s="973" t="n"/>
      <c r="O237" s="973" t="n"/>
      <c r="P237" s="973" t="n"/>
    </row>
    <row r="238">
      <c r="A238" s="973" t="inlineStr">
        <is>
          <t>Cybercriminal</t>
        </is>
      </c>
      <c r="B238" s="973" t="inlineStr">
        <is>
          <t>SC_FRAUD</t>
        </is>
      </c>
      <c r="C238" s="973" t="inlineStr">
        <is>
          <t>Cyber-enabled theft or fraud</t>
        </is>
      </c>
      <c r="D238" s="973" t="inlineStr">
        <is>
          <t>Direct</t>
        </is>
      </c>
      <c r="E238" s="973" t="inlineStr">
        <is>
          <t>EXTORTION</t>
        </is>
      </c>
      <c r="F238" s="973" t="inlineStr">
        <is>
          <t>P99</t>
        </is>
      </c>
      <c r="G238" s="973" t="n">
        <v>0</v>
      </c>
      <c r="H238" s="973" t="b">
        <v>0</v>
      </c>
      <c r="I238" s="973" t="inlineStr">
        <is>
          <t>D</t>
        </is>
      </c>
      <c r="J238" s="973" t="inlineStr">
        <is>
          <t>SRC-10</t>
        </is>
      </c>
      <c r="K238" s="973" t="n"/>
      <c r="L238" s="973" t="n"/>
      <c r="M238" s="973" t="n"/>
      <c r="N238" s="973" t="n"/>
      <c r="O238" s="973" t="n"/>
      <c r="P238" s="973" t="n"/>
    </row>
    <row r="239">
      <c r="A239" s="973" t="inlineStr">
        <is>
          <t>Cybercriminal</t>
        </is>
      </c>
      <c r="B239" s="973" t="inlineStr">
        <is>
          <t>SC_FRAUD</t>
        </is>
      </c>
      <c r="C239" s="973" t="inlineStr">
        <is>
          <t>Cyber-enabled theft or fraud</t>
        </is>
      </c>
      <c r="D239" s="973" t="inlineStr">
        <is>
          <t>Direct</t>
        </is>
      </c>
      <c r="E239" s="973" t="inlineStr">
        <is>
          <t>POST_EVENT_UPLIFT</t>
        </is>
      </c>
      <c r="F239" s="973" t="inlineStr">
        <is>
          <t>P99</t>
        </is>
      </c>
      <c r="G239" s="973" t="n">
        <v>5000000</v>
      </c>
      <c r="H239" s="973" t="b">
        <v>1</v>
      </c>
      <c r="I239" s="973" t="inlineStr">
        <is>
          <t>D</t>
        </is>
      </c>
      <c r="J239" s="973" t="inlineStr">
        <is>
          <t>SRC-10</t>
        </is>
      </c>
      <c r="K239" s="973" t="n"/>
      <c r="L239" s="973" t="n"/>
      <c r="M239" s="973" t="n"/>
      <c r="N239" s="973" t="n"/>
      <c r="O239" s="973" t="n"/>
      <c r="P239" s="973" t="n"/>
    </row>
    <row r="240">
      <c r="A240" s="973" t="inlineStr">
        <is>
          <t>Malicious insider</t>
        </is>
      </c>
      <c r="B240" s="973" t="inlineStr">
        <is>
          <t>SC_DISR</t>
        </is>
      </c>
      <c r="C240" s="973" t="inlineStr">
        <is>
          <t>Critical business-service disruption</t>
        </is>
      </c>
      <c r="D240" s="973" t="inlineStr">
        <is>
          <t>Duration</t>
        </is>
      </c>
      <c r="E240" s="973" t="inlineStr">
        <is>
          <t>IR_FORENSICS</t>
        </is>
      </c>
      <c r="F240" s="973" t="inlineStr">
        <is>
          <t>P50</t>
        </is>
      </c>
      <c r="G240" s="973" t="n">
        <v>20000</v>
      </c>
      <c r="H240" s="973" t="b">
        <v>1</v>
      </c>
      <c r="I240" s="973" t="inlineStr">
        <is>
          <t>D</t>
        </is>
      </c>
      <c r="J240" s="973" t="inlineStr">
        <is>
          <t>SRC-10</t>
        </is>
      </c>
      <c r="K240" s="973" t="n"/>
      <c r="L240" s="973" t="n"/>
      <c r="M240" s="973" t="n"/>
      <c r="N240" s="973" t="n"/>
      <c r="O240" s="973" t="n"/>
      <c r="P240" s="973" t="n"/>
    </row>
    <row r="241">
      <c r="A241" s="973" t="inlineStr">
        <is>
          <t>Malicious insider</t>
        </is>
      </c>
      <c r="B241" s="973" t="inlineStr">
        <is>
          <t>SC_DISR</t>
        </is>
      </c>
      <c r="C241" s="973" t="inlineStr">
        <is>
          <t>Critical business-service disruption</t>
        </is>
      </c>
      <c r="D241" s="973" t="inlineStr">
        <is>
          <t>Duration</t>
        </is>
      </c>
      <c r="E241" s="973" t="inlineStr">
        <is>
          <t>EXTERNAL_RESPONSE</t>
        </is>
      </c>
      <c r="F241" s="973" t="inlineStr">
        <is>
          <t>P50</t>
        </is>
      </c>
      <c r="G241" s="973" t="n">
        <v>30000</v>
      </c>
      <c r="H241" s="973" t="b">
        <v>1</v>
      </c>
      <c r="I241" s="973" t="inlineStr">
        <is>
          <t>D</t>
        </is>
      </c>
      <c r="J241" s="973" t="inlineStr">
        <is>
          <t>SRC-10</t>
        </is>
      </c>
      <c r="K241" s="973" t="n"/>
      <c r="L241" s="973" t="n"/>
      <c r="M241" s="973" t="n"/>
      <c r="N241" s="973" t="n"/>
      <c r="O241" s="973" t="n"/>
      <c r="P241" s="973" t="n"/>
    </row>
    <row r="242">
      <c r="A242" s="973" t="inlineStr">
        <is>
          <t>Malicious insider</t>
        </is>
      </c>
      <c r="B242" s="973" t="inlineStr">
        <is>
          <t>SC_DISR</t>
        </is>
      </c>
      <c r="C242" s="973" t="inlineStr">
        <is>
          <t>Critical business-service disruption</t>
        </is>
      </c>
      <c r="D242" s="973" t="inlineStr">
        <is>
          <t>Duration</t>
        </is>
      </c>
      <c r="E242" s="973" t="inlineStr">
        <is>
          <t>LEGAL_RESPONSE</t>
        </is>
      </c>
      <c r="F242" s="973" t="inlineStr">
        <is>
          <t>P50</t>
        </is>
      </c>
      <c r="G242" s="973" t="n">
        <v>25000</v>
      </c>
      <c r="H242" s="973" t="b">
        <v>1</v>
      </c>
      <c r="I242" s="973" t="inlineStr">
        <is>
          <t>D</t>
        </is>
      </c>
      <c r="J242" s="973" t="inlineStr">
        <is>
          <t>SRC-10</t>
        </is>
      </c>
      <c r="K242" s="973" t="n"/>
      <c r="L242" s="973" t="n"/>
      <c r="M242" s="973" t="n"/>
      <c r="N242" s="973" t="n"/>
      <c r="O242" s="973" t="n"/>
      <c r="P242" s="973" t="n"/>
    </row>
    <row r="243">
      <c r="A243" s="973" t="inlineStr">
        <is>
          <t>Malicious insider</t>
        </is>
      </c>
      <c r="B243" s="973" t="inlineStr">
        <is>
          <t>SC_DISR</t>
        </is>
      </c>
      <c r="C243" s="973" t="inlineStr">
        <is>
          <t>Critical business-service disruption</t>
        </is>
      </c>
      <c r="D243" s="973" t="inlineStr">
        <is>
          <t>Duration</t>
        </is>
      </c>
      <c r="E243" s="973" t="inlineStr">
        <is>
          <t>RESTORATION</t>
        </is>
      </c>
      <c r="F243" s="973" t="inlineStr">
        <is>
          <t>P50</t>
        </is>
      </c>
      <c r="G243" s="973" t="n">
        <v>30000</v>
      </c>
      <c r="H243" s="973" t="b">
        <v>1</v>
      </c>
      <c r="I243" s="973" t="inlineStr">
        <is>
          <t>D</t>
        </is>
      </c>
      <c r="J243" s="973" t="inlineStr">
        <is>
          <t>SRC-10</t>
        </is>
      </c>
      <c r="K243" s="973" t="n"/>
      <c r="L243" s="973" t="n"/>
      <c r="M243" s="973" t="n"/>
      <c r="N243" s="973" t="n"/>
      <c r="O243" s="973" t="n"/>
      <c r="P243" s="973" t="n"/>
    </row>
    <row r="244">
      <c r="A244" s="973" t="inlineStr">
        <is>
          <t>Malicious insider</t>
        </is>
      </c>
      <c r="B244" s="973" t="inlineStr">
        <is>
          <t>SC_DISR</t>
        </is>
      </c>
      <c r="C244" s="973" t="inlineStr">
        <is>
          <t>Critical business-service disruption</t>
        </is>
      </c>
      <c r="D244" s="973" t="inlineStr">
        <is>
          <t>Duration</t>
        </is>
      </c>
      <c r="E244" s="973" t="inlineStr">
        <is>
          <t>BUSINESS_INTERRUPTION</t>
        </is>
      </c>
      <c r="F244" s="973" t="inlineStr">
        <is>
          <t>P50</t>
        </is>
      </c>
      <c r="G244" s="973" t="n">
        <v>2465753.424657534</v>
      </c>
      <c r="H244" s="973" t="b">
        <v>1</v>
      </c>
      <c r="I244" s="973" t="inlineStr">
        <is>
          <t>D</t>
        </is>
      </c>
      <c r="J244" s="973" t="inlineStr">
        <is>
          <t>SRC-10</t>
        </is>
      </c>
      <c r="K244" s="973" t="n"/>
      <c r="L244" s="973" t="n"/>
      <c r="M244" s="973" t="n"/>
      <c r="N244" s="973" t="n"/>
      <c r="O244" s="973" t="n"/>
      <c r="P244" s="973" t="n"/>
    </row>
    <row r="245">
      <c r="A245" s="973" t="inlineStr">
        <is>
          <t>Malicious insider</t>
        </is>
      </c>
      <c r="B245" s="973" t="inlineStr">
        <is>
          <t>SC_DISR</t>
        </is>
      </c>
      <c r="C245" s="973" t="inlineStr">
        <is>
          <t>Critical business-service disruption</t>
        </is>
      </c>
      <c r="D245" s="973" t="inlineStr">
        <is>
          <t>Duration</t>
        </is>
      </c>
      <c r="E245" s="973" t="inlineStr">
        <is>
          <t>ENDPOINT_RECOVERY</t>
        </is>
      </c>
      <c r="F245" s="973" t="inlineStr">
        <is>
          <t>P50</t>
        </is>
      </c>
      <c r="G245" s="973" t="n">
        <v>100000</v>
      </c>
      <c r="H245" s="973" t="b">
        <v>1</v>
      </c>
      <c r="I245" s="973" t="inlineStr">
        <is>
          <t>D</t>
        </is>
      </c>
      <c r="J245" s="973" t="inlineStr">
        <is>
          <t>SRC-10</t>
        </is>
      </c>
      <c r="K245" s="973" t="n"/>
      <c r="L245" s="973" t="n"/>
      <c r="M245" s="973" t="n"/>
      <c r="N245" s="973" t="n"/>
      <c r="O245" s="973" t="n"/>
      <c r="P245" s="973" t="n"/>
    </row>
    <row r="246">
      <c r="A246" s="973" t="inlineStr">
        <is>
          <t>Malicious insider</t>
        </is>
      </c>
      <c r="B246" s="973" t="inlineStr">
        <is>
          <t>SC_DISR</t>
        </is>
      </c>
      <c r="C246" s="973" t="inlineStr">
        <is>
          <t>Critical business-service disruption</t>
        </is>
      </c>
      <c r="D246" s="973" t="inlineStr">
        <is>
          <t>Duration</t>
        </is>
      </c>
      <c r="E246" s="973" t="inlineStr">
        <is>
          <t>SERVER_RECOVERY</t>
        </is>
      </c>
      <c r="F246" s="973" t="inlineStr">
        <is>
          <t>P50</t>
        </is>
      </c>
      <c r="G246" s="973" t="n">
        <v>250000</v>
      </c>
      <c r="H246" s="973" t="b">
        <v>1</v>
      </c>
      <c r="I246" s="973" t="inlineStr">
        <is>
          <t>D</t>
        </is>
      </c>
      <c r="J246" s="973" t="inlineStr">
        <is>
          <t>SRC-10</t>
        </is>
      </c>
      <c r="K246" s="973" t="n"/>
      <c r="L246" s="973" t="n"/>
      <c r="M246" s="973" t="n"/>
      <c r="N246" s="973" t="n"/>
      <c r="O246" s="973" t="n"/>
      <c r="P246" s="973" t="n"/>
    </row>
    <row r="247">
      <c r="A247" s="973" t="inlineStr">
        <is>
          <t>Malicious insider</t>
        </is>
      </c>
      <c r="B247" s="973" t="inlineStr">
        <is>
          <t>SC_DISR</t>
        </is>
      </c>
      <c r="C247" s="973" t="inlineStr">
        <is>
          <t>Critical business-service disruption</t>
        </is>
      </c>
      <c r="D247" s="973" t="inlineStr">
        <is>
          <t>Exposure</t>
        </is>
      </c>
      <c r="E247" s="973" t="inlineStr">
        <is>
          <t>NOTIFICATION</t>
        </is>
      </c>
      <c r="F247" s="973" t="inlineStr">
        <is>
          <t>P50</t>
        </is>
      </c>
      <c r="G247" s="973" t="n">
        <v>0</v>
      </c>
      <c r="H247" s="973" t="b">
        <v>0</v>
      </c>
      <c r="I247" s="973" t="inlineStr">
        <is>
          <t>D</t>
        </is>
      </c>
      <c r="J247" s="973" t="inlineStr">
        <is>
          <t>SRC-10</t>
        </is>
      </c>
      <c r="K247" s="973" t="n"/>
      <c r="L247" s="973" t="n"/>
      <c r="M247" s="973" t="n"/>
      <c r="N247" s="973" t="n"/>
      <c r="O247" s="973" t="n"/>
      <c r="P247" s="973" t="n"/>
    </row>
    <row r="248">
      <c r="A248" s="973" t="inlineStr">
        <is>
          <t>Malicious insider</t>
        </is>
      </c>
      <c r="B248" s="973" t="inlineStr">
        <is>
          <t>SC_DISR</t>
        </is>
      </c>
      <c r="C248" s="973" t="inlineStr">
        <is>
          <t>Critical business-service disruption</t>
        </is>
      </c>
      <c r="D248" s="973" t="inlineStr">
        <is>
          <t>Exposure</t>
        </is>
      </c>
      <c r="E248" s="973" t="inlineStr">
        <is>
          <t>CREDIT_MONITORING</t>
        </is>
      </c>
      <c r="F248" s="973" t="inlineStr">
        <is>
          <t>P50</t>
        </is>
      </c>
      <c r="G248" s="973" t="n">
        <v>0</v>
      </c>
      <c r="H248" s="973" t="b">
        <v>0</v>
      </c>
      <c r="I248" s="973" t="inlineStr">
        <is>
          <t>D</t>
        </is>
      </c>
      <c r="J248" s="973" t="inlineStr">
        <is>
          <t>SRC-10</t>
        </is>
      </c>
      <c r="K248" s="973" t="n"/>
      <c r="L248" s="973" t="n"/>
      <c r="M248" s="973" t="n"/>
      <c r="N248" s="973" t="n"/>
      <c r="O248" s="973" t="n"/>
      <c r="P248" s="973" t="n"/>
    </row>
    <row r="249">
      <c r="A249" s="973" t="inlineStr">
        <is>
          <t>Malicious insider</t>
        </is>
      </c>
      <c r="B249" s="973" t="inlineStr">
        <is>
          <t>SC_DISR</t>
        </is>
      </c>
      <c r="C249" s="973" t="inlineStr">
        <is>
          <t>Critical business-service disruption</t>
        </is>
      </c>
      <c r="D249" s="973" t="inlineStr">
        <is>
          <t>Exposure</t>
        </is>
      </c>
      <c r="E249" s="973" t="inlineStr">
        <is>
          <t>REGULATORY</t>
        </is>
      </c>
      <c r="F249" s="973" t="inlineStr">
        <is>
          <t>P50</t>
        </is>
      </c>
      <c r="G249" s="973" t="n">
        <v>0</v>
      </c>
      <c r="H249" s="973" t="b">
        <v>0</v>
      </c>
      <c r="I249" s="973" t="inlineStr">
        <is>
          <t>D</t>
        </is>
      </c>
      <c r="J249" s="973" t="inlineStr">
        <is>
          <t>SRC-10</t>
        </is>
      </c>
      <c r="K249" s="973" t="n"/>
      <c r="L249" s="973" t="n"/>
      <c r="M249" s="973" t="n"/>
      <c r="N249" s="973" t="n"/>
      <c r="O249" s="973" t="n"/>
      <c r="P249" s="973" t="n"/>
    </row>
    <row r="250">
      <c r="A250" s="973" t="inlineStr">
        <is>
          <t>Malicious insider</t>
        </is>
      </c>
      <c r="B250" s="973" t="inlineStr">
        <is>
          <t>SC_DISR</t>
        </is>
      </c>
      <c r="C250" s="973" t="inlineStr">
        <is>
          <t>Critical business-service disruption</t>
        </is>
      </c>
      <c r="D250" s="973" t="inlineStr">
        <is>
          <t>Exposure</t>
        </is>
      </c>
      <c r="E250" s="973" t="inlineStr">
        <is>
          <t>CUSTOMER_ATTRITION</t>
        </is>
      </c>
      <c r="F250" s="973" t="inlineStr">
        <is>
          <t>P50</t>
        </is>
      </c>
      <c r="G250" s="973" t="n">
        <v>1000000</v>
      </c>
      <c r="H250" s="973" t="b">
        <v>1</v>
      </c>
      <c r="I250" s="973" t="inlineStr">
        <is>
          <t>D</t>
        </is>
      </c>
      <c r="J250" s="973" t="inlineStr">
        <is>
          <t>SRC-10</t>
        </is>
      </c>
      <c r="K250" s="973" t="n"/>
      <c r="L250" s="973" t="n"/>
      <c r="M250" s="973" t="n"/>
      <c r="N250" s="973" t="n"/>
      <c r="O250" s="973" t="n"/>
      <c r="P250" s="973" t="n"/>
    </row>
    <row r="251">
      <c r="A251" s="973" t="inlineStr">
        <is>
          <t>Malicious insider</t>
        </is>
      </c>
      <c r="B251" s="973" t="inlineStr">
        <is>
          <t>SC_DISR</t>
        </is>
      </c>
      <c r="C251" s="973" t="inlineStr">
        <is>
          <t>Critical business-service disruption</t>
        </is>
      </c>
      <c r="D251" s="973" t="inlineStr">
        <is>
          <t>Direct</t>
        </is>
      </c>
      <c r="E251" s="973" t="inlineStr">
        <is>
          <t>FRAUD_NET_RECOVERY</t>
        </is>
      </c>
      <c r="F251" s="973" t="inlineStr">
        <is>
          <t>P50</t>
        </is>
      </c>
      <c r="G251" s="973" t="n">
        <v>0</v>
      </c>
      <c r="H251" s="973" t="b">
        <v>0</v>
      </c>
      <c r="I251" s="973" t="inlineStr">
        <is>
          <t>D</t>
        </is>
      </c>
      <c r="J251" s="973" t="inlineStr">
        <is>
          <t>SRC-10</t>
        </is>
      </c>
      <c r="K251" s="973" t="n"/>
      <c r="L251" s="973" t="n"/>
      <c r="M251" s="973" t="n"/>
      <c r="N251" s="973" t="n"/>
      <c r="O251" s="973" t="n"/>
      <c r="P251" s="973" t="n"/>
    </row>
    <row r="252">
      <c r="A252" s="973" t="inlineStr">
        <is>
          <t>Malicious insider</t>
        </is>
      </c>
      <c r="B252" s="973" t="inlineStr">
        <is>
          <t>SC_DISR</t>
        </is>
      </c>
      <c r="C252" s="973" t="inlineStr">
        <is>
          <t>Critical business-service disruption</t>
        </is>
      </c>
      <c r="D252" s="973" t="inlineStr">
        <is>
          <t>Direct</t>
        </is>
      </c>
      <c r="E252" s="973" t="inlineStr">
        <is>
          <t>EXTORTION</t>
        </is>
      </c>
      <c r="F252" s="973" t="inlineStr">
        <is>
          <t>P50</t>
        </is>
      </c>
      <c r="G252" s="973" t="n">
        <v>0</v>
      </c>
      <c r="H252" s="973" t="b">
        <v>0</v>
      </c>
      <c r="I252" s="973" t="inlineStr">
        <is>
          <t>D</t>
        </is>
      </c>
      <c r="J252" s="973" t="inlineStr">
        <is>
          <t>SRC-10</t>
        </is>
      </c>
      <c r="K252" s="973" t="n"/>
      <c r="L252" s="973" t="n"/>
      <c r="M252" s="973" t="n"/>
      <c r="N252" s="973" t="n"/>
      <c r="O252" s="973" t="n"/>
      <c r="P252" s="973" t="n"/>
    </row>
    <row r="253">
      <c r="A253" s="973" t="inlineStr">
        <is>
          <t>Malicious insider</t>
        </is>
      </c>
      <c r="B253" s="973" t="inlineStr">
        <is>
          <t>SC_DISR</t>
        </is>
      </c>
      <c r="C253" s="973" t="inlineStr">
        <is>
          <t>Critical business-service disruption</t>
        </is>
      </c>
      <c r="D253" s="973" t="inlineStr">
        <is>
          <t>Direct</t>
        </is>
      </c>
      <c r="E253" s="973" t="inlineStr">
        <is>
          <t>POST_EVENT_UPLIFT</t>
        </is>
      </c>
      <c r="F253" s="973" t="inlineStr">
        <is>
          <t>P50</t>
        </is>
      </c>
      <c r="G253" s="973" t="n">
        <v>500000</v>
      </c>
      <c r="H253" s="973" t="b">
        <v>1</v>
      </c>
      <c r="I253" s="973" t="inlineStr">
        <is>
          <t>D</t>
        </is>
      </c>
      <c r="J253" s="973" t="inlineStr">
        <is>
          <t>SRC-10</t>
        </is>
      </c>
      <c r="K253" s="973" t="n"/>
      <c r="L253" s="973" t="n"/>
      <c r="M253" s="973" t="n"/>
      <c r="N253" s="973" t="n"/>
      <c r="O253" s="973" t="n"/>
      <c r="P253" s="973" t="n"/>
    </row>
    <row r="254">
      <c r="A254" s="973" t="inlineStr">
        <is>
          <t>Malicious insider</t>
        </is>
      </c>
      <c r="B254" s="973" t="inlineStr">
        <is>
          <t>SC_DISR</t>
        </is>
      </c>
      <c r="C254" s="973" t="inlineStr">
        <is>
          <t>Critical business-service disruption</t>
        </is>
      </c>
      <c r="D254" s="973" t="inlineStr">
        <is>
          <t>Duration</t>
        </is>
      </c>
      <c r="E254" s="973" t="inlineStr">
        <is>
          <t>IR_FORENSICS</t>
        </is>
      </c>
      <c r="F254" s="973" t="inlineStr">
        <is>
          <t>P99</t>
        </is>
      </c>
      <c r="G254" s="973" t="n">
        <v>240000</v>
      </c>
      <c r="H254" s="973" t="b">
        <v>1</v>
      </c>
      <c r="I254" s="973" t="inlineStr">
        <is>
          <t>D</t>
        </is>
      </c>
      <c r="J254" s="973" t="inlineStr">
        <is>
          <t>SRC-10</t>
        </is>
      </c>
      <c r="K254" s="973" t="n"/>
      <c r="L254" s="973" t="n"/>
      <c r="M254" s="973" t="n"/>
      <c r="N254" s="973" t="n"/>
      <c r="O254" s="973" t="n"/>
      <c r="P254" s="973" t="n"/>
    </row>
    <row r="255">
      <c r="A255" s="973" t="inlineStr">
        <is>
          <t>Malicious insider</t>
        </is>
      </c>
      <c r="B255" s="973" t="inlineStr">
        <is>
          <t>SC_DISR</t>
        </is>
      </c>
      <c r="C255" s="973" t="inlineStr">
        <is>
          <t>Critical business-service disruption</t>
        </is>
      </c>
      <c r="D255" s="973" t="inlineStr">
        <is>
          <t>Duration</t>
        </is>
      </c>
      <c r="E255" s="973" t="inlineStr">
        <is>
          <t>EXTERNAL_RESPONSE</t>
        </is>
      </c>
      <c r="F255" s="973" t="inlineStr">
        <is>
          <t>P99</t>
        </is>
      </c>
      <c r="G255" s="973" t="n">
        <v>450000</v>
      </c>
      <c r="H255" s="973" t="b">
        <v>1</v>
      </c>
      <c r="I255" s="973" t="inlineStr">
        <is>
          <t>D</t>
        </is>
      </c>
      <c r="J255" s="973" t="inlineStr">
        <is>
          <t>SRC-10</t>
        </is>
      </c>
      <c r="K255" s="973" t="n"/>
      <c r="L255" s="973" t="n"/>
      <c r="M255" s="973" t="n"/>
      <c r="N255" s="973" t="n"/>
      <c r="O255" s="973" t="n"/>
      <c r="P255" s="973" t="n"/>
    </row>
    <row r="256">
      <c r="A256" s="973" t="inlineStr">
        <is>
          <t>Malicious insider</t>
        </is>
      </c>
      <c r="B256" s="973" t="inlineStr">
        <is>
          <t>SC_DISR</t>
        </is>
      </c>
      <c r="C256" s="973" t="inlineStr">
        <is>
          <t>Critical business-service disruption</t>
        </is>
      </c>
      <c r="D256" s="973" t="inlineStr">
        <is>
          <t>Duration</t>
        </is>
      </c>
      <c r="E256" s="973" t="inlineStr">
        <is>
          <t>LEGAL_RESPONSE</t>
        </is>
      </c>
      <c r="F256" s="973" t="inlineStr">
        <is>
          <t>P99</t>
        </is>
      </c>
      <c r="G256" s="973" t="n">
        <v>450000</v>
      </c>
      <c r="H256" s="973" t="b">
        <v>1</v>
      </c>
      <c r="I256" s="973" t="inlineStr">
        <is>
          <t>D</t>
        </is>
      </c>
      <c r="J256" s="973" t="inlineStr">
        <is>
          <t>SRC-10</t>
        </is>
      </c>
      <c r="K256" s="973" t="n"/>
      <c r="L256" s="973" t="n"/>
      <c r="M256" s="973" t="n"/>
      <c r="N256" s="973" t="n"/>
      <c r="O256" s="973" t="n"/>
      <c r="P256" s="973" t="n"/>
    </row>
    <row r="257">
      <c r="A257" s="973" t="inlineStr">
        <is>
          <t>Malicious insider</t>
        </is>
      </c>
      <c r="B257" s="973" t="inlineStr">
        <is>
          <t>SC_DISR</t>
        </is>
      </c>
      <c r="C257" s="973" t="inlineStr">
        <is>
          <t>Critical business-service disruption</t>
        </is>
      </c>
      <c r="D257" s="973" t="inlineStr">
        <is>
          <t>Duration</t>
        </is>
      </c>
      <c r="E257" s="973" t="inlineStr">
        <is>
          <t>RESTORATION</t>
        </is>
      </c>
      <c r="F257" s="973" t="inlineStr">
        <is>
          <t>P99</t>
        </is>
      </c>
      <c r="G257" s="973" t="n">
        <v>480000</v>
      </c>
      <c r="H257" s="973" t="b">
        <v>1</v>
      </c>
      <c r="I257" s="973" t="inlineStr">
        <is>
          <t>D</t>
        </is>
      </c>
      <c r="J257" s="973" t="inlineStr">
        <is>
          <t>SRC-10</t>
        </is>
      </c>
      <c r="K257" s="973" t="n"/>
      <c r="L257" s="973" t="n"/>
      <c r="M257" s="973" t="n"/>
      <c r="N257" s="973" t="n"/>
      <c r="O257" s="973" t="n"/>
      <c r="P257" s="973" t="n"/>
    </row>
    <row r="258">
      <c r="A258" s="973" t="inlineStr">
        <is>
          <t>Malicious insider</t>
        </is>
      </c>
      <c r="B258" s="973" t="inlineStr">
        <is>
          <t>SC_DISR</t>
        </is>
      </c>
      <c r="C258" s="973" t="inlineStr">
        <is>
          <t>Critical business-service disruption</t>
        </is>
      </c>
      <c r="D258" s="973" t="inlineStr">
        <is>
          <t>Duration</t>
        </is>
      </c>
      <c r="E258" s="973" t="inlineStr">
        <is>
          <t>BUSINESS_INTERRUPTION</t>
        </is>
      </c>
      <c r="F258" s="973" t="inlineStr">
        <is>
          <t>P99</t>
        </is>
      </c>
      <c r="G258" s="973" t="n">
        <v>69863013.69863012</v>
      </c>
      <c r="H258" s="973" t="b">
        <v>1</v>
      </c>
      <c r="I258" s="973" t="inlineStr">
        <is>
          <t>D</t>
        </is>
      </c>
      <c r="J258" s="973" t="inlineStr">
        <is>
          <t>SRC-10</t>
        </is>
      </c>
      <c r="K258" s="973" t="n"/>
      <c r="L258" s="973" t="n"/>
      <c r="M258" s="973" t="n"/>
      <c r="N258" s="973" t="n"/>
      <c r="O258" s="973" t="n"/>
      <c r="P258" s="973" t="n"/>
    </row>
    <row r="259">
      <c r="A259" s="973" t="inlineStr">
        <is>
          <t>Malicious insider</t>
        </is>
      </c>
      <c r="B259" s="973" t="inlineStr">
        <is>
          <t>SC_DISR</t>
        </is>
      </c>
      <c r="C259" s="973" t="inlineStr">
        <is>
          <t>Critical business-service disruption</t>
        </is>
      </c>
      <c r="D259" s="973" t="inlineStr">
        <is>
          <t>Duration</t>
        </is>
      </c>
      <c r="E259" s="973" t="inlineStr">
        <is>
          <t>ENDPOINT_RECOVERY</t>
        </is>
      </c>
      <c r="F259" s="973" t="inlineStr">
        <is>
          <t>P99</t>
        </is>
      </c>
      <c r="G259" s="973" t="n">
        <v>1250000</v>
      </c>
      <c r="H259" s="973" t="b">
        <v>1</v>
      </c>
      <c r="I259" s="973" t="inlineStr">
        <is>
          <t>D</t>
        </is>
      </c>
      <c r="J259" s="973" t="inlineStr">
        <is>
          <t>SRC-10</t>
        </is>
      </c>
      <c r="K259" s="973" t="n"/>
      <c r="L259" s="973" t="n"/>
      <c r="M259" s="973" t="n"/>
      <c r="N259" s="973" t="n"/>
      <c r="O259" s="973" t="n"/>
      <c r="P259" s="973" t="n"/>
    </row>
    <row r="260">
      <c r="A260" s="973" t="inlineStr">
        <is>
          <t>Malicious insider</t>
        </is>
      </c>
      <c r="B260" s="973" t="inlineStr">
        <is>
          <t>SC_DISR</t>
        </is>
      </c>
      <c r="C260" s="973" t="inlineStr">
        <is>
          <t>Critical business-service disruption</t>
        </is>
      </c>
      <c r="D260" s="973" t="inlineStr">
        <is>
          <t>Duration</t>
        </is>
      </c>
      <c r="E260" s="973" t="inlineStr">
        <is>
          <t>SERVER_RECOVERY</t>
        </is>
      </c>
      <c r="F260" s="973" t="inlineStr">
        <is>
          <t>P99</t>
        </is>
      </c>
      <c r="G260" s="973" t="n">
        <v>2400000</v>
      </c>
      <c r="H260" s="973" t="b">
        <v>1</v>
      </c>
      <c r="I260" s="973" t="inlineStr">
        <is>
          <t>D</t>
        </is>
      </c>
      <c r="J260" s="973" t="inlineStr">
        <is>
          <t>SRC-10</t>
        </is>
      </c>
      <c r="K260" s="973" t="n"/>
      <c r="L260" s="973" t="n"/>
      <c r="M260" s="973" t="n"/>
      <c r="N260" s="973" t="n"/>
      <c r="O260" s="973" t="n"/>
      <c r="P260" s="973" t="n"/>
    </row>
    <row r="261">
      <c r="A261" s="973" t="inlineStr">
        <is>
          <t>Malicious insider</t>
        </is>
      </c>
      <c r="B261" s="973" t="inlineStr">
        <is>
          <t>SC_DISR</t>
        </is>
      </c>
      <c r="C261" s="973" t="inlineStr">
        <is>
          <t>Critical business-service disruption</t>
        </is>
      </c>
      <c r="D261" s="973" t="inlineStr">
        <is>
          <t>Exposure</t>
        </is>
      </c>
      <c r="E261" s="973" t="inlineStr">
        <is>
          <t>NOTIFICATION</t>
        </is>
      </c>
      <c r="F261" s="973" t="inlineStr">
        <is>
          <t>P99</t>
        </is>
      </c>
      <c r="G261" s="973" t="n">
        <v>0</v>
      </c>
      <c r="H261" s="973" t="b">
        <v>0</v>
      </c>
      <c r="I261" s="973" t="inlineStr">
        <is>
          <t>D</t>
        </is>
      </c>
      <c r="J261" s="973" t="inlineStr">
        <is>
          <t>SRC-10</t>
        </is>
      </c>
      <c r="K261" s="973" t="n"/>
      <c r="L261" s="973" t="n"/>
      <c r="M261" s="973" t="n"/>
      <c r="N261" s="973" t="n"/>
      <c r="O261" s="973" t="n"/>
      <c r="P261" s="973" t="n"/>
    </row>
    <row r="262">
      <c r="A262" s="973" t="inlineStr">
        <is>
          <t>Malicious insider</t>
        </is>
      </c>
      <c r="B262" s="973" t="inlineStr">
        <is>
          <t>SC_DISR</t>
        </is>
      </c>
      <c r="C262" s="973" t="inlineStr">
        <is>
          <t>Critical business-service disruption</t>
        </is>
      </c>
      <c r="D262" s="973" t="inlineStr">
        <is>
          <t>Exposure</t>
        </is>
      </c>
      <c r="E262" s="973" t="inlineStr">
        <is>
          <t>CREDIT_MONITORING</t>
        </is>
      </c>
      <c r="F262" s="973" t="inlineStr">
        <is>
          <t>P99</t>
        </is>
      </c>
      <c r="G262" s="973" t="n">
        <v>0</v>
      </c>
      <c r="H262" s="973" t="b">
        <v>0</v>
      </c>
      <c r="I262" s="973" t="inlineStr">
        <is>
          <t>D</t>
        </is>
      </c>
      <c r="J262" s="973" t="inlineStr">
        <is>
          <t>SRC-10</t>
        </is>
      </c>
      <c r="K262" s="973" t="n"/>
      <c r="L262" s="973" t="n"/>
      <c r="M262" s="973" t="n"/>
      <c r="N262" s="973" t="n"/>
      <c r="O262" s="973" t="n"/>
      <c r="P262" s="973" t="n"/>
    </row>
    <row r="263">
      <c r="A263" s="973" t="inlineStr">
        <is>
          <t>Malicious insider</t>
        </is>
      </c>
      <c r="B263" s="973" t="inlineStr">
        <is>
          <t>SC_DISR</t>
        </is>
      </c>
      <c r="C263" s="973" t="inlineStr">
        <is>
          <t>Critical business-service disruption</t>
        </is>
      </c>
      <c r="D263" s="973" t="inlineStr">
        <is>
          <t>Exposure</t>
        </is>
      </c>
      <c r="E263" s="973" t="inlineStr">
        <is>
          <t>REGULATORY</t>
        </is>
      </c>
      <c r="F263" s="973" t="inlineStr">
        <is>
          <t>P99</t>
        </is>
      </c>
      <c r="G263" s="973" t="n">
        <v>0</v>
      </c>
      <c r="H263" s="973" t="b">
        <v>0</v>
      </c>
      <c r="I263" s="973" t="inlineStr">
        <is>
          <t>D</t>
        </is>
      </c>
      <c r="J263" s="973" t="inlineStr">
        <is>
          <t>SRC-10</t>
        </is>
      </c>
      <c r="K263" s="973" t="n"/>
      <c r="L263" s="973" t="n"/>
      <c r="M263" s="973" t="n"/>
      <c r="N263" s="973" t="n"/>
      <c r="O263" s="973" t="n"/>
      <c r="P263" s="973" t="n"/>
    </row>
    <row r="264">
      <c r="A264" s="973" t="inlineStr">
        <is>
          <t>Malicious insider</t>
        </is>
      </c>
      <c r="B264" s="973" t="inlineStr">
        <is>
          <t>SC_DISR</t>
        </is>
      </c>
      <c r="C264" s="973" t="inlineStr">
        <is>
          <t>Critical business-service disruption</t>
        </is>
      </c>
      <c r="D264" s="973" t="inlineStr">
        <is>
          <t>Exposure</t>
        </is>
      </c>
      <c r="E264" s="973" t="inlineStr">
        <is>
          <t>CUSTOMER_ATTRITION</t>
        </is>
      </c>
      <c r="F264" s="973" t="inlineStr">
        <is>
          <t>P99</t>
        </is>
      </c>
      <c r="G264" s="973" t="n">
        <v>10000000</v>
      </c>
      <c r="H264" s="973" t="b">
        <v>1</v>
      </c>
      <c r="I264" s="973" t="inlineStr">
        <is>
          <t>D</t>
        </is>
      </c>
      <c r="J264" s="973" t="inlineStr">
        <is>
          <t>SRC-10</t>
        </is>
      </c>
      <c r="K264" s="973" t="n"/>
      <c r="L264" s="973" t="n"/>
      <c r="M264" s="973" t="n"/>
      <c r="N264" s="973" t="n"/>
      <c r="O264" s="973" t="n"/>
      <c r="P264" s="973" t="n"/>
    </row>
    <row r="265">
      <c r="A265" s="973" t="inlineStr">
        <is>
          <t>Malicious insider</t>
        </is>
      </c>
      <c r="B265" s="973" t="inlineStr">
        <is>
          <t>SC_DISR</t>
        </is>
      </c>
      <c r="C265" s="973" t="inlineStr">
        <is>
          <t>Critical business-service disruption</t>
        </is>
      </c>
      <c r="D265" s="973" t="inlineStr">
        <is>
          <t>Direct</t>
        </is>
      </c>
      <c r="E265" s="973" t="inlineStr">
        <is>
          <t>FRAUD_NET_RECOVERY</t>
        </is>
      </c>
      <c r="F265" s="973" t="inlineStr">
        <is>
          <t>P99</t>
        </is>
      </c>
      <c r="G265" s="973" t="n">
        <v>0</v>
      </c>
      <c r="H265" s="973" t="b">
        <v>0</v>
      </c>
      <c r="I265" s="973" t="inlineStr">
        <is>
          <t>D</t>
        </is>
      </c>
      <c r="J265" s="973" t="inlineStr">
        <is>
          <t>SRC-10</t>
        </is>
      </c>
      <c r="K265" s="973" t="n"/>
      <c r="L265" s="973" t="n"/>
      <c r="M265" s="973" t="n"/>
      <c r="N265" s="973" t="n"/>
      <c r="O265" s="973" t="n"/>
      <c r="P265" s="973" t="n"/>
    </row>
    <row r="266">
      <c r="A266" s="973" t="inlineStr">
        <is>
          <t>Malicious insider</t>
        </is>
      </c>
      <c r="B266" s="973" t="inlineStr">
        <is>
          <t>SC_DISR</t>
        </is>
      </c>
      <c r="C266" s="973" t="inlineStr">
        <is>
          <t>Critical business-service disruption</t>
        </is>
      </c>
      <c r="D266" s="973" t="inlineStr">
        <is>
          <t>Direct</t>
        </is>
      </c>
      <c r="E266" s="973" t="inlineStr">
        <is>
          <t>EXTORTION</t>
        </is>
      </c>
      <c r="F266" s="973" t="inlineStr">
        <is>
          <t>P99</t>
        </is>
      </c>
      <c r="G266" s="973" t="n">
        <v>0</v>
      </c>
      <c r="H266" s="973" t="b">
        <v>0</v>
      </c>
      <c r="I266" s="973" t="inlineStr">
        <is>
          <t>D</t>
        </is>
      </c>
      <c r="J266" s="973" t="inlineStr">
        <is>
          <t>SRC-10</t>
        </is>
      </c>
      <c r="K266" s="973" t="n"/>
      <c r="L266" s="973" t="n"/>
      <c r="M266" s="973" t="n"/>
      <c r="N266" s="973" t="n"/>
      <c r="O266" s="973" t="n"/>
      <c r="P266" s="973" t="n"/>
    </row>
    <row r="267">
      <c r="A267" s="973" t="inlineStr">
        <is>
          <t>Malicious insider</t>
        </is>
      </c>
      <c r="B267" s="973" t="inlineStr">
        <is>
          <t>SC_DISR</t>
        </is>
      </c>
      <c r="C267" s="973" t="inlineStr">
        <is>
          <t>Critical business-service disruption</t>
        </is>
      </c>
      <c r="D267" s="973" t="inlineStr">
        <is>
          <t>Direct</t>
        </is>
      </c>
      <c r="E267" s="973" t="inlineStr">
        <is>
          <t>POST_EVENT_UPLIFT</t>
        </is>
      </c>
      <c r="F267" s="973" t="inlineStr">
        <is>
          <t>P99</t>
        </is>
      </c>
      <c r="G267" s="973" t="n">
        <v>5000000</v>
      </c>
      <c r="H267" s="973" t="b">
        <v>1</v>
      </c>
      <c r="I267" s="973" t="inlineStr">
        <is>
          <t>D</t>
        </is>
      </c>
      <c r="J267" s="973" t="inlineStr">
        <is>
          <t>SRC-10</t>
        </is>
      </c>
      <c r="K267" s="973" t="n"/>
      <c r="L267" s="973" t="n"/>
      <c r="M267" s="973" t="n"/>
      <c r="N267" s="973" t="n"/>
      <c r="O267" s="973" t="n"/>
      <c r="P267" s="973" t="n"/>
    </row>
    <row r="268">
      <c r="A268" s="973" t="inlineStr">
        <is>
          <t>Malicious insider</t>
        </is>
      </c>
      <c r="B268" s="973" t="inlineStr">
        <is>
          <t>SC_DATA</t>
        </is>
      </c>
      <c r="C268" s="973" t="inlineStr">
        <is>
          <t>Sensitive-data compromise</t>
        </is>
      </c>
      <c r="D268" s="973" t="inlineStr">
        <is>
          <t>Duration</t>
        </is>
      </c>
      <c r="E268" s="973" t="inlineStr">
        <is>
          <t>IR_FORENSICS</t>
        </is>
      </c>
      <c r="F268" s="973" t="inlineStr">
        <is>
          <t>P50</t>
        </is>
      </c>
      <c r="G268" s="973" t="n">
        <v>40000</v>
      </c>
      <c r="H268" s="973" t="b">
        <v>1</v>
      </c>
      <c r="I268" s="973" t="inlineStr">
        <is>
          <t>D</t>
        </is>
      </c>
      <c r="J268" s="973" t="inlineStr">
        <is>
          <t>SRC-10</t>
        </is>
      </c>
      <c r="K268" s="973" t="n"/>
      <c r="L268" s="973" t="n"/>
      <c r="M268" s="973" t="n"/>
      <c r="N268" s="973" t="n"/>
      <c r="O268" s="973" t="n"/>
      <c r="P268" s="973" t="n"/>
    </row>
    <row r="269">
      <c r="A269" s="973" t="inlineStr">
        <is>
          <t>Malicious insider</t>
        </is>
      </c>
      <c r="B269" s="973" t="inlineStr">
        <is>
          <t>SC_DATA</t>
        </is>
      </c>
      <c r="C269" s="973" t="inlineStr">
        <is>
          <t>Sensitive-data compromise</t>
        </is>
      </c>
      <c r="D269" s="973" t="inlineStr">
        <is>
          <t>Duration</t>
        </is>
      </c>
      <c r="E269" s="973" t="inlineStr">
        <is>
          <t>EXTERNAL_RESPONSE</t>
        </is>
      </c>
      <c r="F269" s="973" t="inlineStr">
        <is>
          <t>P50</t>
        </is>
      </c>
      <c r="G269" s="973" t="n">
        <v>90000</v>
      </c>
      <c r="H269" s="973" t="b">
        <v>1</v>
      </c>
      <c r="I269" s="973" t="inlineStr">
        <is>
          <t>D</t>
        </is>
      </c>
      <c r="J269" s="973" t="inlineStr">
        <is>
          <t>SRC-10</t>
        </is>
      </c>
      <c r="K269" s="973" t="n"/>
      <c r="L269" s="973" t="n"/>
      <c r="M269" s="973" t="n"/>
      <c r="N269" s="973" t="n"/>
      <c r="O269" s="973" t="n"/>
      <c r="P269" s="973" t="n"/>
    </row>
    <row r="270">
      <c r="A270" s="973" t="inlineStr">
        <is>
          <t>Malicious insider</t>
        </is>
      </c>
      <c r="B270" s="973" t="inlineStr">
        <is>
          <t>SC_DATA</t>
        </is>
      </c>
      <c r="C270" s="973" t="inlineStr">
        <is>
          <t>Sensitive-data compromise</t>
        </is>
      </c>
      <c r="D270" s="973" t="inlineStr">
        <is>
          <t>Duration</t>
        </is>
      </c>
      <c r="E270" s="973" t="inlineStr">
        <is>
          <t>LEGAL_RESPONSE</t>
        </is>
      </c>
      <c r="F270" s="973" t="inlineStr">
        <is>
          <t>P50</t>
        </is>
      </c>
      <c r="G270" s="973" t="n">
        <v>150000</v>
      </c>
      <c r="H270" s="973" t="b">
        <v>1</v>
      </c>
      <c r="I270" s="973" t="inlineStr">
        <is>
          <t>D</t>
        </is>
      </c>
      <c r="J270" s="973" t="inlineStr">
        <is>
          <t>SRC-10</t>
        </is>
      </c>
      <c r="K270" s="973" t="n"/>
      <c r="L270" s="973" t="n"/>
      <c r="M270" s="973" t="n"/>
      <c r="N270" s="973" t="n"/>
      <c r="O270" s="973" t="n"/>
      <c r="P270" s="973" t="n"/>
    </row>
    <row r="271">
      <c r="A271" s="973" t="inlineStr">
        <is>
          <t>Malicious insider</t>
        </is>
      </c>
      <c r="B271" s="973" t="inlineStr">
        <is>
          <t>SC_DATA</t>
        </is>
      </c>
      <c r="C271" s="973" t="inlineStr">
        <is>
          <t>Sensitive-data compromise</t>
        </is>
      </c>
      <c r="D271" s="973" t="inlineStr">
        <is>
          <t>Duration</t>
        </is>
      </c>
      <c r="E271" s="973" t="inlineStr">
        <is>
          <t>RESTORATION</t>
        </is>
      </c>
      <c r="F271" s="973" t="inlineStr">
        <is>
          <t>P50</t>
        </is>
      </c>
      <c r="G271" s="973" t="n">
        <v>40000</v>
      </c>
      <c r="H271" s="973" t="b">
        <v>1</v>
      </c>
      <c r="I271" s="973" t="inlineStr">
        <is>
          <t>D</t>
        </is>
      </c>
      <c r="J271" s="973" t="inlineStr">
        <is>
          <t>SRC-10</t>
        </is>
      </c>
      <c r="K271" s="973" t="n"/>
      <c r="L271" s="973" t="n"/>
      <c r="M271" s="973" t="n"/>
      <c r="N271" s="973" t="n"/>
      <c r="O271" s="973" t="n"/>
      <c r="P271" s="973" t="n"/>
    </row>
    <row r="272">
      <c r="A272" s="973" t="inlineStr">
        <is>
          <t>Malicious insider</t>
        </is>
      </c>
      <c r="B272" s="973" t="inlineStr">
        <is>
          <t>SC_DATA</t>
        </is>
      </c>
      <c r="C272" s="973" t="inlineStr">
        <is>
          <t>Sensitive-data compromise</t>
        </is>
      </c>
      <c r="D272" s="973" t="inlineStr">
        <is>
          <t>Duration</t>
        </is>
      </c>
      <c r="E272" s="973" t="inlineStr">
        <is>
          <t>BUSINESS_INTERRUPTION</t>
        </is>
      </c>
      <c r="F272" s="973" t="inlineStr">
        <is>
          <t>P50</t>
        </is>
      </c>
      <c r="G272" s="973" t="n">
        <v>273972.602739726</v>
      </c>
      <c r="H272" s="973" t="b">
        <v>1</v>
      </c>
      <c r="I272" s="973" t="inlineStr">
        <is>
          <t>D</t>
        </is>
      </c>
      <c r="J272" s="973" t="inlineStr">
        <is>
          <t>SRC-10</t>
        </is>
      </c>
      <c r="K272" s="973" t="n"/>
      <c r="L272" s="973" t="n"/>
      <c r="M272" s="973" t="n"/>
      <c r="N272" s="973" t="n"/>
      <c r="O272" s="973" t="n"/>
      <c r="P272" s="973" t="n"/>
    </row>
    <row r="273">
      <c r="A273" s="973" t="inlineStr">
        <is>
          <t>Malicious insider</t>
        </is>
      </c>
      <c r="B273" s="973" t="inlineStr">
        <is>
          <t>SC_DATA</t>
        </is>
      </c>
      <c r="C273" s="973" t="inlineStr">
        <is>
          <t>Sensitive-data compromise</t>
        </is>
      </c>
      <c r="D273" s="973" t="inlineStr">
        <is>
          <t>Duration</t>
        </is>
      </c>
      <c r="E273" s="973" t="inlineStr">
        <is>
          <t>ENDPOINT_RECOVERY</t>
        </is>
      </c>
      <c r="F273" s="973" t="inlineStr">
        <is>
          <t>P50</t>
        </is>
      </c>
      <c r="G273" s="973" t="n">
        <v>50000</v>
      </c>
      <c r="H273" s="973" t="b">
        <v>1</v>
      </c>
      <c r="I273" s="973" t="inlineStr">
        <is>
          <t>D</t>
        </is>
      </c>
      <c r="J273" s="973" t="inlineStr">
        <is>
          <t>SRC-10</t>
        </is>
      </c>
      <c r="K273" s="973" t="n"/>
      <c r="L273" s="973" t="n"/>
      <c r="M273" s="973" t="n"/>
      <c r="N273" s="973" t="n"/>
      <c r="O273" s="973" t="n"/>
      <c r="P273" s="973" t="n"/>
    </row>
    <row r="274">
      <c r="A274" s="973" t="inlineStr">
        <is>
          <t>Malicious insider</t>
        </is>
      </c>
      <c r="B274" s="973" t="inlineStr">
        <is>
          <t>SC_DATA</t>
        </is>
      </c>
      <c r="C274" s="973" t="inlineStr">
        <is>
          <t>Sensitive-data compromise</t>
        </is>
      </c>
      <c r="D274" s="973" t="inlineStr">
        <is>
          <t>Duration</t>
        </is>
      </c>
      <c r="E274" s="973" t="inlineStr">
        <is>
          <t>SERVER_RECOVERY</t>
        </is>
      </c>
      <c r="F274" s="973" t="inlineStr">
        <is>
          <t>P50</t>
        </is>
      </c>
      <c r="G274" s="973" t="n">
        <v>125000</v>
      </c>
      <c r="H274" s="973" t="b">
        <v>1</v>
      </c>
      <c r="I274" s="973" t="inlineStr">
        <is>
          <t>D</t>
        </is>
      </c>
      <c r="J274" s="973" t="inlineStr">
        <is>
          <t>SRC-10</t>
        </is>
      </c>
      <c r="K274" s="973" t="n"/>
      <c r="L274" s="973" t="n"/>
      <c r="M274" s="973" t="n"/>
      <c r="N274" s="973" t="n"/>
      <c r="O274" s="973" t="n"/>
      <c r="P274" s="973" t="n"/>
    </row>
    <row r="275">
      <c r="A275" s="973" t="inlineStr">
        <is>
          <t>Malicious insider</t>
        </is>
      </c>
      <c r="B275" s="973" t="inlineStr">
        <is>
          <t>SC_DATA</t>
        </is>
      </c>
      <c r="C275" s="973" t="inlineStr">
        <is>
          <t>Sensitive-data compromise</t>
        </is>
      </c>
      <c r="D275" s="973" t="inlineStr">
        <is>
          <t>Exposure</t>
        </is>
      </c>
      <c r="E275" s="973" t="inlineStr">
        <is>
          <t>NOTIFICATION</t>
        </is>
      </c>
      <c r="F275" s="973" t="inlineStr">
        <is>
          <t>P50</t>
        </is>
      </c>
      <c r="G275" s="973" t="n">
        <v>125000</v>
      </c>
      <c r="H275" s="973" t="b">
        <v>1</v>
      </c>
      <c r="I275" s="973" t="inlineStr">
        <is>
          <t>D</t>
        </is>
      </c>
      <c r="J275" s="973" t="inlineStr">
        <is>
          <t>SRC-10</t>
        </is>
      </c>
      <c r="K275" s="973" t="n"/>
      <c r="L275" s="973" t="n"/>
      <c r="M275" s="973" t="n"/>
      <c r="N275" s="973" t="n"/>
      <c r="O275" s="973" t="n"/>
      <c r="P275" s="973" t="n"/>
    </row>
    <row r="276">
      <c r="A276" s="973" t="inlineStr">
        <is>
          <t>Malicious insider</t>
        </is>
      </c>
      <c r="B276" s="973" t="inlineStr">
        <is>
          <t>SC_DATA</t>
        </is>
      </c>
      <c r="C276" s="973" t="inlineStr">
        <is>
          <t>Sensitive-data compromise</t>
        </is>
      </c>
      <c r="D276" s="973" t="inlineStr">
        <is>
          <t>Exposure</t>
        </is>
      </c>
      <c r="E276" s="973" t="inlineStr">
        <is>
          <t>CREDIT_MONITORING</t>
        </is>
      </c>
      <c r="F276" s="973" t="inlineStr">
        <is>
          <t>P50</t>
        </is>
      </c>
      <c r="G276" s="973" t="n">
        <v>200000</v>
      </c>
      <c r="H276" s="973" t="b">
        <v>1</v>
      </c>
      <c r="I276" s="973" t="inlineStr">
        <is>
          <t>D</t>
        </is>
      </c>
      <c r="J276" s="973" t="inlineStr">
        <is>
          <t>SRC-10</t>
        </is>
      </c>
      <c r="K276" s="973" t="n"/>
      <c r="L276" s="973" t="n"/>
      <c r="M276" s="973" t="n"/>
      <c r="N276" s="973" t="n"/>
      <c r="O276" s="973" t="n"/>
      <c r="P276" s="973" t="n"/>
    </row>
    <row r="277">
      <c r="A277" s="973" t="inlineStr">
        <is>
          <t>Malicious insider</t>
        </is>
      </c>
      <c r="B277" s="973" t="inlineStr">
        <is>
          <t>SC_DATA</t>
        </is>
      </c>
      <c r="C277" s="973" t="inlineStr">
        <is>
          <t>Sensitive-data compromise</t>
        </is>
      </c>
      <c r="D277" s="973" t="inlineStr">
        <is>
          <t>Exposure</t>
        </is>
      </c>
      <c r="E277" s="973" t="inlineStr">
        <is>
          <t>REGULATORY</t>
        </is>
      </c>
      <c r="F277" s="973" t="inlineStr">
        <is>
          <t>P50</t>
        </is>
      </c>
      <c r="G277" s="973" t="n">
        <v>1000000</v>
      </c>
      <c r="H277" s="973" t="b">
        <v>1</v>
      </c>
      <c r="I277" s="973" t="inlineStr">
        <is>
          <t>D</t>
        </is>
      </c>
      <c r="J277" s="973" t="inlineStr">
        <is>
          <t>SRC-10</t>
        </is>
      </c>
      <c r="K277" s="973" t="n"/>
      <c r="L277" s="973" t="n"/>
      <c r="M277" s="973" t="n"/>
      <c r="N277" s="973" t="n"/>
      <c r="O277" s="973" t="n"/>
      <c r="P277" s="973" t="n"/>
    </row>
    <row r="278">
      <c r="A278" s="973" t="inlineStr">
        <is>
          <t>Malicious insider</t>
        </is>
      </c>
      <c r="B278" s="973" t="inlineStr">
        <is>
          <t>SC_DATA</t>
        </is>
      </c>
      <c r="C278" s="973" t="inlineStr">
        <is>
          <t>Sensitive-data compromise</t>
        </is>
      </c>
      <c r="D278" s="973" t="inlineStr">
        <is>
          <t>Exposure</t>
        </is>
      </c>
      <c r="E278" s="973" t="inlineStr">
        <is>
          <t>CUSTOMER_ATTRITION</t>
        </is>
      </c>
      <c r="F278" s="973" t="inlineStr">
        <is>
          <t>P50</t>
        </is>
      </c>
      <c r="G278" s="973" t="n">
        <v>2000000</v>
      </c>
      <c r="H278" s="973" t="b">
        <v>1</v>
      </c>
      <c r="I278" s="973" t="inlineStr">
        <is>
          <t>D</t>
        </is>
      </c>
      <c r="J278" s="973" t="inlineStr">
        <is>
          <t>SRC-10</t>
        </is>
      </c>
      <c r="K278" s="973" t="n"/>
      <c r="L278" s="973" t="n"/>
      <c r="M278" s="973" t="n"/>
      <c r="N278" s="973" t="n"/>
      <c r="O278" s="973" t="n"/>
      <c r="P278" s="973" t="n"/>
    </row>
    <row r="279">
      <c r="A279" s="973" t="inlineStr">
        <is>
          <t>Malicious insider</t>
        </is>
      </c>
      <c r="B279" s="973" t="inlineStr">
        <is>
          <t>SC_DATA</t>
        </is>
      </c>
      <c r="C279" s="973" t="inlineStr">
        <is>
          <t>Sensitive-data compromise</t>
        </is>
      </c>
      <c r="D279" s="973" t="inlineStr">
        <is>
          <t>Direct</t>
        </is>
      </c>
      <c r="E279" s="973" t="inlineStr">
        <is>
          <t>FRAUD_NET_RECOVERY</t>
        </is>
      </c>
      <c r="F279" s="973" t="inlineStr">
        <is>
          <t>P50</t>
        </is>
      </c>
      <c r="G279" s="973" t="n">
        <v>0</v>
      </c>
      <c r="H279" s="973" t="b">
        <v>0</v>
      </c>
      <c r="I279" s="973" t="inlineStr">
        <is>
          <t>D</t>
        </is>
      </c>
      <c r="J279" s="973" t="inlineStr">
        <is>
          <t>SRC-10</t>
        </is>
      </c>
      <c r="K279" s="973" t="n"/>
      <c r="L279" s="973" t="n"/>
      <c r="M279" s="973" t="n"/>
      <c r="N279" s="973" t="n"/>
      <c r="O279" s="973" t="n"/>
      <c r="P279" s="973" t="n"/>
    </row>
    <row r="280">
      <c r="A280" s="973" t="inlineStr">
        <is>
          <t>Malicious insider</t>
        </is>
      </c>
      <c r="B280" s="973" t="inlineStr">
        <is>
          <t>SC_DATA</t>
        </is>
      </c>
      <c r="C280" s="973" t="inlineStr">
        <is>
          <t>Sensitive-data compromise</t>
        </is>
      </c>
      <c r="D280" s="973" t="inlineStr">
        <is>
          <t>Direct</t>
        </is>
      </c>
      <c r="E280" s="973" t="inlineStr">
        <is>
          <t>EXTORTION</t>
        </is>
      </c>
      <c r="F280" s="973" t="inlineStr">
        <is>
          <t>P50</t>
        </is>
      </c>
      <c r="G280" s="973" t="n">
        <v>0</v>
      </c>
      <c r="H280" s="973" t="b">
        <v>0</v>
      </c>
      <c r="I280" s="973" t="inlineStr">
        <is>
          <t>D</t>
        </is>
      </c>
      <c r="J280" s="973" t="inlineStr">
        <is>
          <t>SRC-10</t>
        </is>
      </c>
      <c r="K280" s="973" t="n"/>
      <c r="L280" s="973" t="n"/>
      <c r="M280" s="973" t="n"/>
      <c r="N280" s="973" t="n"/>
      <c r="O280" s="973" t="n"/>
      <c r="P280" s="973" t="n"/>
    </row>
    <row r="281">
      <c r="A281" s="973" t="inlineStr">
        <is>
          <t>Malicious insider</t>
        </is>
      </c>
      <c r="B281" s="973" t="inlineStr">
        <is>
          <t>SC_DATA</t>
        </is>
      </c>
      <c r="C281" s="973" t="inlineStr">
        <is>
          <t>Sensitive-data compromise</t>
        </is>
      </c>
      <c r="D281" s="973" t="inlineStr">
        <is>
          <t>Direct</t>
        </is>
      </c>
      <c r="E281" s="973" t="inlineStr">
        <is>
          <t>POST_EVENT_UPLIFT</t>
        </is>
      </c>
      <c r="F281" s="973" t="inlineStr">
        <is>
          <t>P50</t>
        </is>
      </c>
      <c r="G281" s="973" t="n">
        <v>1000000</v>
      </c>
      <c r="H281" s="973" t="b">
        <v>1</v>
      </c>
      <c r="I281" s="973" t="inlineStr">
        <is>
          <t>D</t>
        </is>
      </c>
      <c r="J281" s="973" t="inlineStr">
        <is>
          <t>SRC-10</t>
        </is>
      </c>
      <c r="K281" s="973" t="n"/>
      <c r="L281" s="973" t="n"/>
      <c r="M281" s="973" t="n"/>
      <c r="N281" s="973" t="n"/>
      <c r="O281" s="973" t="n"/>
      <c r="P281" s="973" t="n"/>
    </row>
    <row r="282">
      <c r="A282" s="973" t="inlineStr">
        <is>
          <t>Malicious insider</t>
        </is>
      </c>
      <c r="B282" s="973" t="inlineStr">
        <is>
          <t>SC_DATA</t>
        </is>
      </c>
      <c r="C282" s="973" t="inlineStr">
        <is>
          <t>Sensitive-data compromise</t>
        </is>
      </c>
      <c r="D282" s="973" t="inlineStr">
        <is>
          <t>Duration</t>
        </is>
      </c>
      <c r="E282" s="973" t="inlineStr">
        <is>
          <t>IR_FORENSICS</t>
        </is>
      </c>
      <c r="F282" s="973" t="inlineStr">
        <is>
          <t>P99</t>
        </is>
      </c>
      <c r="G282" s="973" t="n">
        <v>480000</v>
      </c>
      <c r="H282" s="973" t="b">
        <v>1</v>
      </c>
      <c r="I282" s="973" t="inlineStr">
        <is>
          <t>D</t>
        </is>
      </c>
      <c r="J282" s="973" t="inlineStr">
        <is>
          <t>SRC-10</t>
        </is>
      </c>
      <c r="K282" s="973" t="n"/>
      <c r="L282" s="973" t="n"/>
      <c r="M282" s="973" t="n"/>
      <c r="N282" s="973" t="n"/>
      <c r="O282" s="973" t="n"/>
      <c r="P282" s="973" t="n"/>
    </row>
    <row r="283">
      <c r="A283" s="973" t="inlineStr">
        <is>
          <t>Malicious insider</t>
        </is>
      </c>
      <c r="B283" s="973" t="inlineStr">
        <is>
          <t>SC_DATA</t>
        </is>
      </c>
      <c r="C283" s="973" t="inlineStr">
        <is>
          <t>Sensitive-data compromise</t>
        </is>
      </c>
      <c r="D283" s="973" t="inlineStr">
        <is>
          <t>Duration</t>
        </is>
      </c>
      <c r="E283" s="973" t="inlineStr">
        <is>
          <t>EXTERNAL_RESPONSE</t>
        </is>
      </c>
      <c r="F283" s="973" t="inlineStr">
        <is>
          <t>P99</t>
        </is>
      </c>
      <c r="G283" s="973" t="n">
        <v>900000</v>
      </c>
      <c r="H283" s="973" t="b">
        <v>1</v>
      </c>
      <c r="I283" s="973" t="inlineStr">
        <is>
          <t>D</t>
        </is>
      </c>
      <c r="J283" s="973" t="inlineStr">
        <is>
          <t>SRC-10</t>
        </is>
      </c>
      <c r="K283" s="973" t="n"/>
      <c r="L283" s="973" t="n"/>
      <c r="M283" s="973" t="n"/>
      <c r="N283" s="973" t="n"/>
      <c r="O283" s="973" t="n"/>
      <c r="P283" s="973" t="n"/>
    </row>
    <row r="284">
      <c r="A284" s="973" t="inlineStr">
        <is>
          <t>Malicious insider</t>
        </is>
      </c>
      <c r="B284" s="973" t="inlineStr">
        <is>
          <t>SC_DATA</t>
        </is>
      </c>
      <c r="C284" s="973" t="inlineStr">
        <is>
          <t>Sensitive-data compromise</t>
        </is>
      </c>
      <c r="D284" s="973" t="inlineStr">
        <is>
          <t>Duration</t>
        </is>
      </c>
      <c r="E284" s="973" t="inlineStr">
        <is>
          <t>LEGAL_RESPONSE</t>
        </is>
      </c>
      <c r="F284" s="973" t="inlineStr">
        <is>
          <t>P99</t>
        </is>
      </c>
      <c r="G284" s="973" t="n">
        <v>1800000</v>
      </c>
      <c r="H284" s="973" t="b">
        <v>1</v>
      </c>
      <c r="I284" s="973" t="inlineStr">
        <is>
          <t>D</t>
        </is>
      </c>
      <c r="J284" s="973" t="inlineStr">
        <is>
          <t>SRC-10</t>
        </is>
      </c>
      <c r="K284" s="973" t="n"/>
      <c r="L284" s="973" t="n"/>
      <c r="M284" s="973" t="n"/>
      <c r="N284" s="973" t="n"/>
      <c r="O284" s="973" t="n"/>
      <c r="P284" s="973" t="n"/>
    </row>
    <row r="285">
      <c r="A285" s="973" t="inlineStr">
        <is>
          <t>Malicious insider</t>
        </is>
      </c>
      <c r="B285" s="973" t="inlineStr">
        <is>
          <t>SC_DATA</t>
        </is>
      </c>
      <c r="C285" s="973" t="inlineStr">
        <is>
          <t>Sensitive-data compromise</t>
        </is>
      </c>
      <c r="D285" s="973" t="inlineStr">
        <is>
          <t>Duration</t>
        </is>
      </c>
      <c r="E285" s="973" t="inlineStr">
        <is>
          <t>RESTORATION</t>
        </is>
      </c>
      <c r="F285" s="973" t="inlineStr">
        <is>
          <t>P99</t>
        </is>
      </c>
      <c r="G285" s="973" t="n">
        <v>480000</v>
      </c>
      <c r="H285" s="973" t="b">
        <v>1</v>
      </c>
      <c r="I285" s="973" t="inlineStr">
        <is>
          <t>D</t>
        </is>
      </c>
      <c r="J285" s="973" t="inlineStr">
        <is>
          <t>SRC-10</t>
        </is>
      </c>
      <c r="K285" s="973" t="n"/>
      <c r="L285" s="973" t="n"/>
      <c r="M285" s="973" t="n"/>
      <c r="N285" s="973" t="n"/>
      <c r="O285" s="973" t="n"/>
      <c r="P285" s="973" t="n"/>
    </row>
    <row r="286">
      <c r="A286" s="973" t="inlineStr">
        <is>
          <t>Malicious insider</t>
        </is>
      </c>
      <c r="B286" s="973" t="inlineStr">
        <is>
          <t>SC_DATA</t>
        </is>
      </c>
      <c r="C286" s="973" t="inlineStr">
        <is>
          <t>Sensitive-data compromise</t>
        </is>
      </c>
      <c r="D286" s="973" t="inlineStr">
        <is>
          <t>Duration</t>
        </is>
      </c>
      <c r="E286" s="973" t="inlineStr">
        <is>
          <t>BUSINESS_INTERRUPTION</t>
        </is>
      </c>
      <c r="F286" s="973" t="inlineStr">
        <is>
          <t>P99</t>
        </is>
      </c>
      <c r="G286" s="973" t="n">
        <v>10958904.10958904</v>
      </c>
      <c r="H286" s="973" t="b">
        <v>1</v>
      </c>
      <c r="I286" s="973" t="inlineStr">
        <is>
          <t>D</t>
        </is>
      </c>
      <c r="J286" s="973" t="inlineStr">
        <is>
          <t>SRC-10</t>
        </is>
      </c>
      <c r="K286" s="973" t="n"/>
      <c r="L286" s="973" t="n"/>
      <c r="M286" s="973" t="n"/>
      <c r="N286" s="973" t="n"/>
      <c r="O286" s="973" t="n"/>
      <c r="P286" s="973" t="n"/>
    </row>
    <row r="287">
      <c r="A287" s="973" t="inlineStr">
        <is>
          <t>Malicious insider</t>
        </is>
      </c>
      <c r="B287" s="973" t="inlineStr">
        <is>
          <t>SC_DATA</t>
        </is>
      </c>
      <c r="C287" s="973" t="inlineStr">
        <is>
          <t>Sensitive-data compromise</t>
        </is>
      </c>
      <c r="D287" s="973" t="inlineStr">
        <is>
          <t>Duration</t>
        </is>
      </c>
      <c r="E287" s="973" t="inlineStr">
        <is>
          <t>ENDPOINT_RECOVERY</t>
        </is>
      </c>
      <c r="F287" s="973" t="inlineStr">
        <is>
          <t>P99</t>
        </is>
      </c>
      <c r="G287" s="973" t="n">
        <v>750000</v>
      </c>
      <c r="H287" s="973" t="b">
        <v>1</v>
      </c>
      <c r="I287" s="973" t="inlineStr">
        <is>
          <t>D</t>
        </is>
      </c>
      <c r="J287" s="973" t="inlineStr">
        <is>
          <t>SRC-10</t>
        </is>
      </c>
      <c r="K287" s="973" t="n"/>
      <c r="L287" s="973" t="n"/>
      <c r="M287" s="973" t="n"/>
      <c r="N287" s="973" t="n"/>
      <c r="O287" s="973" t="n"/>
      <c r="P287" s="973" t="n"/>
    </row>
    <row r="288">
      <c r="A288" s="973" t="inlineStr">
        <is>
          <t>Malicious insider</t>
        </is>
      </c>
      <c r="B288" s="973" t="inlineStr">
        <is>
          <t>SC_DATA</t>
        </is>
      </c>
      <c r="C288" s="973" t="inlineStr">
        <is>
          <t>Sensitive-data compromise</t>
        </is>
      </c>
      <c r="D288" s="973" t="inlineStr">
        <is>
          <t>Duration</t>
        </is>
      </c>
      <c r="E288" s="973" t="inlineStr">
        <is>
          <t>SERVER_RECOVERY</t>
        </is>
      </c>
      <c r="F288" s="973" t="inlineStr">
        <is>
          <t>P99</t>
        </is>
      </c>
      <c r="G288" s="973" t="n">
        <v>1000000</v>
      </c>
      <c r="H288" s="973" t="b">
        <v>1</v>
      </c>
      <c r="I288" s="973" t="inlineStr">
        <is>
          <t>D</t>
        </is>
      </c>
      <c r="J288" s="973" t="inlineStr">
        <is>
          <t>SRC-10</t>
        </is>
      </c>
      <c r="K288" s="973" t="n"/>
      <c r="L288" s="973" t="n"/>
      <c r="M288" s="973" t="n"/>
      <c r="N288" s="973" t="n"/>
      <c r="O288" s="973" t="n"/>
      <c r="P288" s="973" t="n"/>
    </row>
    <row r="289">
      <c r="A289" s="973" t="inlineStr">
        <is>
          <t>Malicious insider</t>
        </is>
      </c>
      <c r="B289" s="973" t="inlineStr">
        <is>
          <t>SC_DATA</t>
        </is>
      </c>
      <c r="C289" s="973" t="inlineStr">
        <is>
          <t>Sensitive-data compromise</t>
        </is>
      </c>
      <c r="D289" s="973" t="inlineStr">
        <is>
          <t>Exposure</t>
        </is>
      </c>
      <c r="E289" s="973" t="inlineStr">
        <is>
          <t>NOTIFICATION</t>
        </is>
      </c>
      <c r="F289" s="973" t="inlineStr">
        <is>
          <t>P99</t>
        </is>
      </c>
      <c r="G289" s="973" t="n">
        <v>4000000</v>
      </c>
      <c r="H289" s="973" t="b">
        <v>1</v>
      </c>
      <c r="I289" s="973" t="inlineStr">
        <is>
          <t>D</t>
        </is>
      </c>
      <c r="J289" s="973" t="inlineStr">
        <is>
          <t>SRC-10</t>
        </is>
      </c>
      <c r="K289" s="973" t="n"/>
      <c r="L289" s="973" t="n"/>
      <c r="M289" s="973" t="n"/>
      <c r="N289" s="973" t="n"/>
      <c r="O289" s="973" t="n"/>
      <c r="P289" s="973" t="n"/>
    </row>
    <row r="290">
      <c r="A290" s="973" t="inlineStr">
        <is>
          <t>Malicious insider</t>
        </is>
      </c>
      <c r="B290" s="973" t="inlineStr">
        <is>
          <t>SC_DATA</t>
        </is>
      </c>
      <c r="C290" s="973" t="inlineStr">
        <is>
          <t>Sensitive-data compromise</t>
        </is>
      </c>
      <c r="D290" s="973" t="inlineStr">
        <is>
          <t>Exposure</t>
        </is>
      </c>
      <c r="E290" s="973" t="inlineStr">
        <is>
          <t>CREDIT_MONITORING</t>
        </is>
      </c>
      <c r="F290" s="973" t="inlineStr">
        <is>
          <t>P99</t>
        </is>
      </c>
      <c r="G290" s="973" t="n">
        <v>20000000</v>
      </c>
      <c r="H290" s="973" t="b">
        <v>1</v>
      </c>
      <c r="I290" s="973" t="inlineStr">
        <is>
          <t>D</t>
        </is>
      </c>
      <c r="J290" s="973" t="inlineStr">
        <is>
          <t>SRC-10</t>
        </is>
      </c>
      <c r="K290" s="973" t="n"/>
      <c r="L290" s="973" t="n"/>
      <c r="M290" s="973" t="n"/>
      <c r="N290" s="973" t="n"/>
      <c r="O290" s="973" t="n"/>
      <c r="P290" s="973" t="n"/>
    </row>
    <row r="291">
      <c r="A291" s="973" t="inlineStr">
        <is>
          <t>Malicious insider</t>
        </is>
      </c>
      <c r="B291" s="973" t="inlineStr">
        <is>
          <t>SC_DATA</t>
        </is>
      </c>
      <c r="C291" s="973" t="inlineStr">
        <is>
          <t>Sensitive-data compromise</t>
        </is>
      </c>
      <c r="D291" s="973" t="inlineStr">
        <is>
          <t>Exposure</t>
        </is>
      </c>
      <c r="E291" s="973" t="inlineStr">
        <is>
          <t>REGULATORY</t>
        </is>
      </c>
      <c r="F291" s="973" t="inlineStr">
        <is>
          <t>P99</t>
        </is>
      </c>
      <c r="G291" s="973" t="n">
        <v>10000000</v>
      </c>
      <c r="H291" s="973" t="b">
        <v>1</v>
      </c>
      <c r="I291" s="973" t="inlineStr">
        <is>
          <t>D</t>
        </is>
      </c>
      <c r="J291" s="973" t="inlineStr">
        <is>
          <t>SRC-10</t>
        </is>
      </c>
      <c r="K291" s="973" t="n"/>
      <c r="L291" s="973" t="n"/>
      <c r="M291" s="973" t="n"/>
      <c r="N291" s="973" t="n"/>
      <c r="O291" s="973" t="n"/>
      <c r="P291" s="973" t="n"/>
    </row>
    <row r="292">
      <c r="A292" s="973" t="inlineStr">
        <is>
          <t>Malicious insider</t>
        </is>
      </c>
      <c r="B292" s="973" t="inlineStr">
        <is>
          <t>SC_DATA</t>
        </is>
      </c>
      <c r="C292" s="973" t="inlineStr">
        <is>
          <t>Sensitive-data compromise</t>
        </is>
      </c>
      <c r="D292" s="973" t="inlineStr">
        <is>
          <t>Exposure</t>
        </is>
      </c>
      <c r="E292" s="973" t="inlineStr">
        <is>
          <t>CUSTOMER_ATTRITION</t>
        </is>
      </c>
      <c r="F292" s="973" t="inlineStr">
        <is>
          <t>P99</t>
        </is>
      </c>
      <c r="G292" s="973" t="n">
        <v>30000000</v>
      </c>
      <c r="H292" s="973" t="b">
        <v>1</v>
      </c>
      <c r="I292" s="973" t="inlineStr">
        <is>
          <t>D</t>
        </is>
      </c>
      <c r="J292" s="973" t="inlineStr">
        <is>
          <t>SRC-10</t>
        </is>
      </c>
      <c r="K292" s="973" t="n"/>
      <c r="L292" s="973" t="n"/>
      <c r="M292" s="973" t="n"/>
      <c r="N292" s="973" t="n"/>
      <c r="O292" s="973" t="n"/>
      <c r="P292" s="973" t="n"/>
    </row>
    <row r="293">
      <c r="A293" s="973" t="inlineStr">
        <is>
          <t>Malicious insider</t>
        </is>
      </c>
      <c r="B293" s="973" t="inlineStr">
        <is>
          <t>SC_DATA</t>
        </is>
      </c>
      <c r="C293" s="973" t="inlineStr">
        <is>
          <t>Sensitive-data compromise</t>
        </is>
      </c>
      <c r="D293" s="973" t="inlineStr">
        <is>
          <t>Direct</t>
        </is>
      </c>
      <c r="E293" s="973" t="inlineStr">
        <is>
          <t>FRAUD_NET_RECOVERY</t>
        </is>
      </c>
      <c r="F293" s="973" t="inlineStr">
        <is>
          <t>P99</t>
        </is>
      </c>
      <c r="G293" s="973" t="n">
        <v>0</v>
      </c>
      <c r="H293" s="973" t="b">
        <v>0</v>
      </c>
      <c r="I293" s="973" t="inlineStr">
        <is>
          <t>D</t>
        </is>
      </c>
      <c r="J293" s="973" t="inlineStr">
        <is>
          <t>SRC-10</t>
        </is>
      </c>
      <c r="K293" s="973" t="n"/>
      <c r="L293" s="973" t="n"/>
      <c r="M293" s="973" t="n"/>
      <c r="N293" s="973" t="n"/>
      <c r="O293" s="973" t="n"/>
      <c r="P293" s="973" t="n"/>
    </row>
    <row r="294">
      <c r="A294" s="973" t="inlineStr">
        <is>
          <t>Malicious insider</t>
        </is>
      </c>
      <c r="B294" s="973" t="inlineStr">
        <is>
          <t>SC_DATA</t>
        </is>
      </c>
      <c r="C294" s="973" t="inlineStr">
        <is>
          <t>Sensitive-data compromise</t>
        </is>
      </c>
      <c r="D294" s="973" t="inlineStr">
        <is>
          <t>Direct</t>
        </is>
      </c>
      <c r="E294" s="973" t="inlineStr">
        <is>
          <t>EXTORTION</t>
        </is>
      </c>
      <c r="F294" s="973" t="inlineStr">
        <is>
          <t>P99</t>
        </is>
      </c>
      <c r="G294" s="973" t="n">
        <v>0</v>
      </c>
      <c r="H294" s="973" t="b">
        <v>0</v>
      </c>
      <c r="I294" s="973" t="inlineStr">
        <is>
          <t>D</t>
        </is>
      </c>
      <c r="J294" s="973" t="inlineStr">
        <is>
          <t>SRC-10</t>
        </is>
      </c>
      <c r="K294" s="973" t="n"/>
      <c r="L294" s="973" t="n"/>
      <c r="M294" s="973" t="n"/>
      <c r="N294" s="973" t="n"/>
      <c r="O294" s="973" t="n"/>
      <c r="P294" s="973" t="n"/>
    </row>
    <row r="295">
      <c r="A295" s="973" t="inlineStr">
        <is>
          <t>Malicious insider</t>
        </is>
      </c>
      <c r="B295" s="973" t="inlineStr">
        <is>
          <t>SC_DATA</t>
        </is>
      </c>
      <c r="C295" s="973" t="inlineStr">
        <is>
          <t>Sensitive-data compromise</t>
        </is>
      </c>
      <c r="D295" s="973" t="inlineStr">
        <is>
          <t>Direct</t>
        </is>
      </c>
      <c r="E295" s="973" t="inlineStr">
        <is>
          <t>POST_EVENT_UPLIFT</t>
        </is>
      </c>
      <c r="F295" s="973" t="inlineStr">
        <is>
          <t>P99</t>
        </is>
      </c>
      <c r="G295" s="973" t="n">
        <v>8000000</v>
      </c>
      <c r="H295" s="973" t="b">
        <v>1</v>
      </c>
      <c r="I295" s="973" t="inlineStr">
        <is>
          <t>D</t>
        </is>
      </c>
      <c r="J295" s="973" t="inlineStr">
        <is>
          <t>SRC-10</t>
        </is>
      </c>
      <c r="K295" s="973" t="n"/>
      <c r="L295" s="973" t="n"/>
      <c r="M295" s="973" t="n"/>
      <c r="N295" s="973" t="n"/>
      <c r="O295" s="973" t="n"/>
      <c r="P295" s="973" t="n"/>
    </row>
    <row r="296">
      <c r="A296" s="973" t="inlineStr">
        <is>
          <t>Malicious insider</t>
        </is>
      </c>
      <c r="B296" s="973" t="inlineStr">
        <is>
          <t>SC_INT</t>
        </is>
      </c>
      <c r="C296" s="973" t="inlineStr">
        <is>
          <t>Data or transaction-integrity compromise</t>
        </is>
      </c>
      <c r="D296" s="973" t="inlineStr">
        <is>
          <t>Duration</t>
        </is>
      </c>
      <c r="E296" s="973" t="inlineStr">
        <is>
          <t>IR_FORENSICS</t>
        </is>
      </c>
      <c r="F296" s="973" t="inlineStr">
        <is>
          <t>P50</t>
        </is>
      </c>
      <c r="G296" s="973" t="n">
        <v>30000</v>
      </c>
      <c r="H296" s="973" t="b">
        <v>1</v>
      </c>
      <c r="I296" s="973" t="inlineStr">
        <is>
          <t>D</t>
        </is>
      </c>
      <c r="J296" s="973" t="inlineStr">
        <is>
          <t>SRC-10</t>
        </is>
      </c>
      <c r="K296" s="973" t="n"/>
      <c r="L296" s="973" t="n"/>
      <c r="M296" s="973" t="n"/>
      <c r="N296" s="973" t="n"/>
      <c r="O296" s="973" t="n"/>
      <c r="P296" s="973" t="n"/>
    </row>
    <row r="297">
      <c r="A297" s="973" t="inlineStr">
        <is>
          <t>Malicious insider</t>
        </is>
      </c>
      <c r="B297" s="973" t="inlineStr">
        <is>
          <t>SC_INT</t>
        </is>
      </c>
      <c r="C297" s="973" t="inlineStr">
        <is>
          <t>Data or transaction-integrity compromise</t>
        </is>
      </c>
      <c r="D297" s="973" t="inlineStr">
        <is>
          <t>Duration</t>
        </is>
      </c>
      <c r="E297" s="973" t="inlineStr">
        <is>
          <t>EXTERNAL_RESPONSE</t>
        </is>
      </c>
      <c r="F297" s="973" t="inlineStr">
        <is>
          <t>P50</t>
        </is>
      </c>
      <c r="G297" s="973" t="n">
        <v>60000</v>
      </c>
      <c r="H297" s="973" t="b">
        <v>1</v>
      </c>
      <c r="I297" s="973" t="inlineStr">
        <is>
          <t>D</t>
        </is>
      </c>
      <c r="J297" s="973" t="inlineStr">
        <is>
          <t>SRC-10</t>
        </is>
      </c>
      <c r="K297" s="973" t="n"/>
      <c r="L297" s="973" t="n"/>
      <c r="M297" s="973" t="n"/>
      <c r="N297" s="973" t="n"/>
      <c r="O297" s="973" t="n"/>
      <c r="P297" s="973" t="n"/>
    </row>
    <row r="298">
      <c r="A298" s="973" t="inlineStr">
        <is>
          <t>Malicious insider</t>
        </is>
      </c>
      <c r="B298" s="973" t="inlineStr">
        <is>
          <t>SC_INT</t>
        </is>
      </c>
      <c r="C298" s="973" t="inlineStr">
        <is>
          <t>Data or transaction-integrity compromise</t>
        </is>
      </c>
      <c r="D298" s="973" t="inlineStr">
        <is>
          <t>Duration</t>
        </is>
      </c>
      <c r="E298" s="973" t="inlineStr">
        <is>
          <t>LEGAL_RESPONSE</t>
        </is>
      </c>
      <c r="F298" s="973" t="inlineStr">
        <is>
          <t>P50</t>
        </is>
      </c>
      <c r="G298" s="973" t="n">
        <v>100000</v>
      </c>
      <c r="H298" s="973" t="b">
        <v>1</v>
      </c>
      <c r="I298" s="973" t="inlineStr">
        <is>
          <t>D</t>
        </is>
      </c>
      <c r="J298" s="973" t="inlineStr">
        <is>
          <t>SRC-10</t>
        </is>
      </c>
      <c r="K298" s="973" t="n"/>
      <c r="L298" s="973" t="n"/>
      <c r="M298" s="973" t="n"/>
      <c r="N298" s="973" t="n"/>
      <c r="O298" s="973" t="n"/>
      <c r="P298" s="973" t="n"/>
    </row>
    <row r="299">
      <c r="A299" s="973" t="inlineStr">
        <is>
          <t>Malicious insider</t>
        </is>
      </c>
      <c r="B299" s="973" t="inlineStr">
        <is>
          <t>SC_INT</t>
        </is>
      </c>
      <c r="C299" s="973" t="inlineStr">
        <is>
          <t>Data or transaction-integrity compromise</t>
        </is>
      </c>
      <c r="D299" s="973" t="inlineStr">
        <is>
          <t>Duration</t>
        </is>
      </c>
      <c r="E299" s="973" t="inlineStr">
        <is>
          <t>RESTORATION</t>
        </is>
      </c>
      <c r="F299" s="973" t="inlineStr">
        <is>
          <t>P50</t>
        </is>
      </c>
      <c r="G299" s="973" t="n">
        <v>40000</v>
      </c>
      <c r="H299" s="973" t="b">
        <v>1</v>
      </c>
      <c r="I299" s="973" t="inlineStr">
        <is>
          <t>D</t>
        </is>
      </c>
      <c r="J299" s="973" t="inlineStr">
        <is>
          <t>SRC-10</t>
        </is>
      </c>
      <c r="K299" s="973" t="n"/>
      <c r="L299" s="973" t="n"/>
      <c r="M299" s="973" t="n"/>
      <c r="N299" s="973" t="n"/>
      <c r="O299" s="973" t="n"/>
      <c r="P299" s="973" t="n"/>
    </row>
    <row r="300">
      <c r="A300" s="973" t="inlineStr">
        <is>
          <t>Malicious insider</t>
        </is>
      </c>
      <c r="B300" s="973" t="inlineStr">
        <is>
          <t>SC_INT</t>
        </is>
      </c>
      <c r="C300" s="973" t="inlineStr">
        <is>
          <t>Data or transaction-integrity compromise</t>
        </is>
      </c>
      <c r="D300" s="973" t="inlineStr">
        <is>
          <t>Duration</t>
        </is>
      </c>
      <c r="E300" s="973" t="inlineStr">
        <is>
          <t>BUSINESS_INTERRUPTION</t>
        </is>
      </c>
      <c r="F300" s="973" t="inlineStr">
        <is>
          <t>P50</t>
        </is>
      </c>
      <c r="G300" s="973" t="n">
        <v>1095890.410958904</v>
      </c>
      <c r="H300" s="973" t="b">
        <v>1</v>
      </c>
      <c r="I300" s="973" t="inlineStr">
        <is>
          <t>D</t>
        </is>
      </c>
      <c r="J300" s="973" t="inlineStr">
        <is>
          <t>SRC-10</t>
        </is>
      </c>
      <c r="K300" s="973" t="n"/>
      <c r="L300" s="973" t="n"/>
      <c r="M300" s="973" t="n"/>
      <c r="N300" s="973" t="n"/>
      <c r="O300" s="973" t="n"/>
      <c r="P300" s="973" t="n"/>
    </row>
    <row r="301">
      <c r="A301" s="973" t="inlineStr">
        <is>
          <t>Malicious insider</t>
        </is>
      </c>
      <c r="B301" s="973" t="inlineStr">
        <is>
          <t>SC_INT</t>
        </is>
      </c>
      <c r="C301" s="973" t="inlineStr">
        <is>
          <t>Data or transaction-integrity compromise</t>
        </is>
      </c>
      <c r="D301" s="973" t="inlineStr">
        <is>
          <t>Duration</t>
        </is>
      </c>
      <c r="E301" s="973" t="inlineStr">
        <is>
          <t>ENDPOINT_RECOVERY</t>
        </is>
      </c>
      <c r="F301" s="973" t="inlineStr">
        <is>
          <t>P50</t>
        </is>
      </c>
      <c r="G301" s="973" t="n">
        <v>100000</v>
      </c>
      <c r="H301" s="973" t="b">
        <v>1</v>
      </c>
      <c r="I301" s="973" t="inlineStr">
        <is>
          <t>D</t>
        </is>
      </c>
      <c r="J301" s="973" t="inlineStr">
        <is>
          <t>SRC-10</t>
        </is>
      </c>
      <c r="K301" s="973" t="n"/>
      <c r="L301" s="973" t="n"/>
      <c r="M301" s="973" t="n"/>
      <c r="N301" s="973" t="n"/>
      <c r="O301" s="973" t="n"/>
      <c r="P301" s="973" t="n"/>
    </row>
    <row r="302">
      <c r="A302" s="973" t="inlineStr">
        <is>
          <t>Malicious insider</t>
        </is>
      </c>
      <c r="B302" s="973" t="inlineStr">
        <is>
          <t>SC_INT</t>
        </is>
      </c>
      <c r="C302" s="973" t="inlineStr">
        <is>
          <t>Data or transaction-integrity compromise</t>
        </is>
      </c>
      <c r="D302" s="973" t="inlineStr">
        <is>
          <t>Duration</t>
        </is>
      </c>
      <c r="E302" s="973" t="inlineStr">
        <is>
          <t>SERVER_RECOVERY</t>
        </is>
      </c>
      <c r="F302" s="973" t="inlineStr">
        <is>
          <t>P50</t>
        </is>
      </c>
      <c r="G302" s="973" t="n">
        <v>250000</v>
      </c>
      <c r="H302" s="973" t="b">
        <v>1</v>
      </c>
      <c r="I302" s="973" t="inlineStr">
        <is>
          <t>D</t>
        </is>
      </c>
      <c r="J302" s="973" t="inlineStr">
        <is>
          <t>SRC-10</t>
        </is>
      </c>
      <c r="K302" s="973" t="n"/>
      <c r="L302" s="973" t="n"/>
      <c r="M302" s="973" t="n"/>
      <c r="N302" s="973" t="n"/>
      <c r="O302" s="973" t="n"/>
      <c r="P302" s="973" t="n"/>
    </row>
    <row r="303">
      <c r="A303" s="973" t="inlineStr">
        <is>
          <t>Malicious insider</t>
        </is>
      </c>
      <c r="B303" s="973" t="inlineStr">
        <is>
          <t>SC_INT</t>
        </is>
      </c>
      <c r="C303" s="973" t="inlineStr">
        <is>
          <t>Data or transaction-integrity compromise</t>
        </is>
      </c>
      <c r="D303" s="973" t="inlineStr">
        <is>
          <t>Exposure</t>
        </is>
      </c>
      <c r="E303" s="973" t="inlineStr">
        <is>
          <t>NOTIFICATION</t>
        </is>
      </c>
      <c r="F303" s="973" t="inlineStr">
        <is>
          <t>P50</t>
        </is>
      </c>
      <c r="G303" s="973" t="n">
        <v>0</v>
      </c>
      <c r="H303" s="973" t="b">
        <v>0</v>
      </c>
      <c r="I303" s="973" t="inlineStr">
        <is>
          <t>D</t>
        </is>
      </c>
      <c r="J303" s="973" t="inlineStr">
        <is>
          <t>SRC-10</t>
        </is>
      </c>
      <c r="K303" s="973" t="n"/>
      <c r="L303" s="973" t="n"/>
      <c r="M303" s="973" t="n"/>
      <c r="N303" s="973" t="n"/>
      <c r="O303" s="973" t="n"/>
      <c r="P303" s="973" t="n"/>
    </row>
    <row r="304">
      <c r="A304" s="973" t="inlineStr">
        <is>
          <t>Malicious insider</t>
        </is>
      </c>
      <c r="B304" s="973" t="inlineStr">
        <is>
          <t>SC_INT</t>
        </is>
      </c>
      <c r="C304" s="973" t="inlineStr">
        <is>
          <t>Data or transaction-integrity compromise</t>
        </is>
      </c>
      <c r="D304" s="973" t="inlineStr">
        <is>
          <t>Exposure</t>
        </is>
      </c>
      <c r="E304" s="973" t="inlineStr">
        <is>
          <t>CREDIT_MONITORING</t>
        </is>
      </c>
      <c r="F304" s="973" t="inlineStr">
        <is>
          <t>P50</t>
        </is>
      </c>
      <c r="G304" s="973" t="n">
        <v>0</v>
      </c>
      <c r="H304" s="973" t="b">
        <v>0</v>
      </c>
      <c r="I304" s="973" t="inlineStr">
        <is>
          <t>D</t>
        </is>
      </c>
      <c r="J304" s="973" t="inlineStr">
        <is>
          <t>SRC-10</t>
        </is>
      </c>
      <c r="K304" s="973" t="n"/>
      <c r="L304" s="973" t="n"/>
      <c r="M304" s="973" t="n"/>
      <c r="N304" s="973" t="n"/>
      <c r="O304" s="973" t="n"/>
      <c r="P304" s="973" t="n"/>
    </row>
    <row r="305">
      <c r="A305" s="973" t="inlineStr">
        <is>
          <t>Malicious insider</t>
        </is>
      </c>
      <c r="B305" s="973" t="inlineStr">
        <is>
          <t>SC_INT</t>
        </is>
      </c>
      <c r="C305" s="973" t="inlineStr">
        <is>
          <t>Data or transaction-integrity compromise</t>
        </is>
      </c>
      <c r="D305" s="973" t="inlineStr">
        <is>
          <t>Exposure</t>
        </is>
      </c>
      <c r="E305" s="973" t="inlineStr">
        <is>
          <t>REGULATORY</t>
        </is>
      </c>
      <c r="F305" s="973" t="inlineStr">
        <is>
          <t>P50</t>
        </is>
      </c>
      <c r="G305" s="973" t="n">
        <v>500000</v>
      </c>
      <c r="H305" s="973" t="b">
        <v>1</v>
      </c>
      <c r="I305" s="973" t="inlineStr">
        <is>
          <t>D</t>
        </is>
      </c>
      <c r="J305" s="973" t="inlineStr">
        <is>
          <t>SRC-10</t>
        </is>
      </c>
      <c r="K305" s="973" t="n"/>
      <c r="L305" s="973" t="n"/>
      <c r="M305" s="973" t="n"/>
      <c r="N305" s="973" t="n"/>
      <c r="O305" s="973" t="n"/>
      <c r="P305" s="973" t="n"/>
    </row>
    <row r="306">
      <c r="A306" s="973" t="inlineStr">
        <is>
          <t>Malicious insider</t>
        </is>
      </c>
      <c r="B306" s="973" t="inlineStr">
        <is>
          <t>SC_INT</t>
        </is>
      </c>
      <c r="C306" s="973" t="inlineStr">
        <is>
          <t>Data or transaction-integrity compromise</t>
        </is>
      </c>
      <c r="D306" s="973" t="inlineStr">
        <is>
          <t>Exposure</t>
        </is>
      </c>
      <c r="E306" s="973" t="inlineStr">
        <is>
          <t>CUSTOMER_ATTRITION</t>
        </is>
      </c>
      <c r="F306" s="973" t="inlineStr">
        <is>
          <t>P50</t>
        </is>
      </c>
      <c r="G306" s="973" t="n">
        <v>1000000</v>
      </c>
      <c r="H306" s="973" t="b">
        <v>1</v>
      </c>
      <c r="I306" s="973" t="inlineStr">
        <is>
          <t>D</t>
        </is>
      </c>
      <c r="J306" s="973" t="inlineStr">
        <is>
          <t>SRC-10</t>
        </is>
      </c>
      <c r="K306" s="973" t="n"/>
      <c r="L306" s="973" t="n"/>
      <c r="M306" s="973" t="n"/>
      <c r="N306" s="973" t="n"/>
      <c r="O306" s="973" t="n"/>
      <c r="P306" s="973" t="n"/>
    </row>
    <row r="307">
      <c r="A307" s="973" t="inlineStr">
        <is>
          <t>Malicious insider</t>
        </is>
      </c>
      <c r="B307" s="973" t="inlineStr">
        <is>
          <t>SC_INT</t>
        </is>
      </c>
      <c r="C307" s="973" t="inlineStr">
        <is>
          <t>Data or transaction-integrity compromise</t>
        </is>
      </c>
      <c r="D307" s="973" t="inlineStr">
        <is>
          <t>Direct</t>
        </is>
      </c>
      <c r="E307" s="973" t="inlineStr">
        <is>
          <t>FRAUD_NET_RECOVERY</t>
        </is>
      </c>
      <c r="F307" s="973" t="inlineStr">
        <is>
          <t>P50</t>
        </is>
      </c>
      <c r="G307" s="973" t="n">
        <v>27397.2602739726</v>
      </c>
      <c r="H307" s="973" t="b">
        <v>1</v>
      </c>
      <c r="I307" s="973" t="inlineStr">
        <is>
          <t>D</t>
        </is>
      </c>
      <c r="J307" s="973" t="inlineStr">
        <is>
          <t>SRC-10</t>
        </is>
      </c>
      <c r="K307" s="973" t="n"/>
      <c r="L307" s="973" t="n"/>
      <c r="M307" s="973" t="n"/>
      <c r="N307" s="973" t="n"/>
      <c r="O307" s="973" t="n"/>
      <c r="P307" s="973" t="n"/>
    </row>
    <row r="308">
      <c r="A308" s="973" t="inlineStr">
        <is>
          <t>Malicious insider</t>
        </is>
      </c>
      <c r="B308" s="973" t="inlineStr">
        <is>
          <t>SC_INT</t>
        </is>
      </c>
      <c r="C308" s="973" t="inlineStr">
        <is>
          <t>Data or transaction-integrity compromise</t>
        </is>
      </c>
      <c r="D308" s="973" t="inlineStr">
        <is>
          <t>Direct</t>
        </is>
      </c>
      <c r="E308" s="973" t="inlineStr">
        <is>
          <t>EXTORTION</t>
        </is>
      </c>
      <c r="F308" s="973" t="inlineStr">
        <is>
          <t>P50</t>
        </is>
      </c>
      <c r="G308" s="973" t="n">
        <v>0</v>
      </c>
      <c r="H308" s="973" t="b">
        <v>0</v>
      </c>
      <c r="I308" s="973" t="inlineStr">
        <is>
          <t>D</t>
        </is>
      </c>
      <c r="J308" s="973" t="inlineStr">
        <is>
          <t>SRC-10</t>
        </is>
      </c>
      <c r="K308" s="973" t="n"/>
      <c r="L308" s="973" t="n"/>
      <c r="M308" s="973" t="n"/>
      <c r="N308" s="973" t="n"/>
      <c r="O308" s="973" t="n"/>
      <c r="P308" s="973" t="n"/>
    </row>
    <row r="309">
      <c r="A309" s="973" t="inlineStr">
        <is>
          <t>Malicious insider</t>
        </is>
      </c>
      <c r="B309" s="973" t="inlineStr">
        <is>
          <t>SC_INT</t>
        </is>
      </c>
      <c r="C309" s="973" t="inlineStr">
        <is>
          <t>Data or transaction-integrity compromise</t>
        </is>
      </c>
      <c r="D309" s="973" t="inlineStr">
        <is>
          <t>Direct</t>
        </is>
      </c>
      <c r="E309" s="973" t="inlineStr">
        <is>
          <t>POST_EVENT_UPLIFT</t>
        </is>
      </c>
      <c r="F309" s="973" t="inlineStr">
        <is>
          <t>P50</t>
        </is>
      </c>
      <c r="G309" s="973" t="n">
        <v>1000000</v>
      </c>
      <c r="H309" s="973" t="b">
        <v>1</v>
      </c>
      <c r="I309" s="973" t="inlineStr">
        <is>
          <t>D</t>
        </is>
      </c>
      <c r="J309" s="973" t="inlineStr">
        <is>
          <t>SRC-10</t>
        </is>
      </c>
      <c r="K309" s="973" t="n"/>
      <c r="L309" s="973" t="n"/>
      <c r="M309" s="973" t="n"/>
      <c r="N309" s="973" t="n"/>
      <c r="O309" s="973" t="n"/>
      <c r="P309" s="973" t="n"/>
    </row>
    <row r="310">
      <c r="A310" s="973" t="inlineStr">
        <is>
          <t>Malicious insider</t>
        </is>
      </c>
      <c r="B310" s="973" t="inlineStr">
        <is>
          <t>SC_INT</t>
        </is>
      </c>
      <c r="C310" s="973" t="inlineStr">
        <is>
          <t>Data or transaction-integrity compromise</t>
        </is>
      </c>
      <c r="D310" s="973" t="inlineStr">
        <is>
          <t>Duration</t>
        </is>
      </c>
      <c r="E310" s="973" t="inlineStr">
        <is>
          <t>IR_FORENSICS</t>
        </is>
      </c>
      <c r="F310" s="973" t="inlineStr">
        <is>
          <t>P99</t>
        </is>
      </c>
      <c r="G310" s="973" t="n">
        <v>360000</v>
      </c>
      <c r="H310" s="973" t="b">
        <v>1</v>
      </c>
      <c r="I310" s="973" t="inlineStr">
        <is>
          <t>D</t>
        </is>
      </c>
      <c r="J310" s="973" t="inlineStr">
        <is>
          <t>SRC-10</t>
        </is>
      </c>
      <c r="K310" s="973" t="n"/>
      <c r="L310" s="973" t="n"/>
      <c r="M310" s="973" t="n"/>
      <c r="N310" s="973" t="n"/>
      <c r="O310" s="973" t="n"/>
      <c r="P310" s="973" t="n"/>
    </row>
    <row r="311">
      <c r="A311" s="973" t="inlineStr">
        <is>
          <t>Malicious insider</t>
        </is>
      </c>
      <c r="B311" s="973" t="inlineStr">
        <is>
          <t>SC_INT</t>
        </is>
      </c>
      <c r="C311" s="973" t="inlineStr">
        <is>
          <t>Data or transaction-integrity compromise</t>
        </is>
      </c>
      <c r="D311" s="973" t="inlineStr">
        <is>
          <t>Duration</t>
        </is>
      </c>
      <c r="E311" s="973" t="inlineStr">
        <is>
          <t>EXTERNAL_RESPONSE</t>
        </is>
      </c>
      <c r="F311" s="973" t="inlineStr">
        <is>
          <t>P99</t>
        </is>
      </c>
      <c r="G311" s="973" t="n">
        <v>750000</v>
      </c>
      <c r="H311" s="973" t="b">
        <v>1</v>
      </c>
      <c r="I311" s="973" t="inlineStr">
        <is>
          <t>D</t>
        </is>
      </c>
      <c r="J311" s="973" t="inlineStr">
        <is>
          <t>SRC-10</t>
        </is>
      </c>
      <c r="K311" s="973" t="n"/>
      <c r="L311" s="973" t="n"/>
      <c r="M311" s="973" t="n"/>
      <c r="N311" s="973" t="n"/>
      <c r="O311" s="973" t="n"/>
      <c r="P311" s="973" t="n"/>
    </row>
    <row r="312">
      <c r="A312" s="973" t="inlineStr">
        <is>
          <t>Malicious insider</t>
        </is>
      </c>
      <c r="B312" s="973" t="inlineStr">
        <is>
          <t>SC_INT</t>
        </is>
      </c>
      <c r="C312" s="973" t="inlineStr">
        <is>
          <t>Data or transaction-integrity compromise</t>
        </is>
      </c>
      <c r="D312" s="973" t="inlineStr">
        <is>
          <t>Duration</t>
        </is>
      </c>
      <c r="E312" s="973" t="inlineStr">
        <is>
          <t>LEGAL_RESPONSE</t>
        </is>
      </c>
      <c r="F312" s="973" t="inlineStr">
        <is>
          <t>P99</t>
        </is>
      </c>
      <c r="G312" s="973" t="n">
        <v>1200000</v>
      </c>
      <c r="H312" s="973" t="b">
        <v>1</v>
      </c>
      <c r="I312" s="973" t="inlineStr">
        <is>
          <t>D</t>
        </is>
      </c>
      <c r="J312" s="973" t="inlineStr">
        <is>
          <t>SRC-10</t>
        </is>
      </c>
      <c r="K312" s="973" t="n"/>
      <c r="L312" s="973" t="n"/>
      <c r="M312" s="973" t="n"/>
      <c r="N312" s="973" t="n"/>
      <c r="O312" s="973" t="n"/>
      <c r="P312" s="973" t="n"/>
    </row>
    <row r="313">
      <c r="A313" s="973" t="inlineStr">
        <is>
          <t>Malicious insider</t>
        </is>
      </c>
      <c r="B313" s="973" t="inlineStr">
        <is>
          <t>SC_INT</t>
        </is>
      </c>
      <c r="C313" s="973" t="inlineStr">
        <is>
          <t>Data or transaction-integrity compromise</t>
        </is>
      </c>
      <c r="D313" s="973" t="inlineStr">
        <is>
          <t>Duration</t>
        </is>
      </c>
      <c r="E313" s="973" t="inlineStr">
        <is>
          <t>RESTORATION</t>
        </is>
      </c>
      <c r="F313" s="973" t="inlineStr">
        <is>
          <t>P99</t>
        </is>
      </c>
      <c r="G313" s="973" t="n">
        <v>600000</v>
      </c>
      <c r="H313" s="973" t="b">
        <v>1</v>
      </c>
      <c r="I313" s="973" t="inlineStr">
        <is>
          <t>D</t>
        </is>
      </c>
      <c r="J313" s="973" t="inlineStr">
        <is>
          <t>SRC-10</t>
        </is>
      </c>
      <c r="K313" s="973" t="n"/>
      <c r="L313" s="973" t="n"/>
      <c r="M313" s="973" t="n"/>
      <c r="N313" s="973" t="n"/>
      <c r="O313" s="973" t="n"/>
      <c r="P313" s="973" t="n"/>
    </row>
    <row r="314">
      <c r="A314" s="973" t="inlineStr">
        <is>
          <t>Malicious insider</t>
        </is>
      </c>
      <c r="B314" s="973" t="inlineStr">
        <is>
          <t>SC_INT</t>
        </is>
      </c>
      <c r="C314" s="973" t="inlineStr">
        <is>
          <t>Data or transaction-integrity compromise</t>
        </is>
      </c>
      <c r="D314" s="973" t="inlineStr">
        <is>
          <t>Duration</t>
        </is>
      </c>
      <c r="E314" s="973" t="inlineStr">
        <is>
          <t>BUSINESS_INTERRUPTION</t>
        </is>
      </c>
      <c r="F314" s="973" t="inlineStr">
        <is>
          <t>P99</t>
        </is>
      </c>
      <c r="G314" s="973" t="n">
        <v>38356164.38356164</v>
      </c>
      <c r="H314" s="973" t="b">
        <v>1</v>
      </c>
      <c r="I314" s="973" t="inlineStr">
        <is>
          <t>D</t>
        </is>
      </c>
      <c r="J314" s="973" t="inlineStr">
        <is>
          <t>SRC-10</t>
        </is>
      </c>
      <c r="K314" s="973" t="n"/>
      <c r="L314" s="973" t="n"/>
      <c r="M314" s="973" t="n"/>
      <c r="N314" s="973" t="n"/>
      <c r="O314" s="973" t="n"/>
      <c r="P314" s="973" t="n"/>
    </row>
    <row r="315">
      <c r="A315" s="973" t="inlineStr">
        <is>
          <t>Malicious insider</t>
        </is>
      </c>
      <c r="B315" s="973" t="inlineStr">
        <is>
          <t>SC_INT</t>
        </is>
      </c>
      <c r="C315" s="973" t="inlineStr">
        <is>
          <t>Data or transaction-integrity compromise</t>
        </is>
      </c>
      <c r="D315" s="973" t="inlineStr">
        <is>
          <t>Duration</t>
        </is>
      </c>
      <c r="E315" s="973" t="inlineStr">
        <is>
          <t>ENDPOINT_RECOVERY</t>
        </is>
      </c>
      <c r="F315" s="973" t="inlineStr">
        <is>
          <t>P99</t>
        </is>
      </c>
      <c r="G315" s="973" t="n">
        <v>1000000</v>
      </c>
      <c r="H315" s="973" t="b">
        <v>1</v>
      </c>
      <c r="I315" s="973" t="inlineStr">
        <is>
          <t>D</t>
        </is>
      </c>
      <c r="J315" s="973" t="inlineStr">
        <is>
          <t>SRC-10</t>
        </is>
      </c>
      <c r="K315" s="973" t="n"/>
      <c r="L315" s="973" t="n"/>
      <c r="M315" s="973" t="n"/>
      <c r="N315" s="973" t="n"/>
      <c r="O315" s="973" t="n"/>
      <c r="P315" s="973" t="n"/>
    </row>
    <row r="316">
      <c r="A316" s="973" t="inlineStr">
        <is>
          <t>Malicious insider</t>
        </is>
      </c>
      <c r="B316" s="973" t="inlineStr">
        <is>
          <t>SC_INT</t>
        </is>
      </c>
      <c r="C316" s="973" t="inlineStr">
        <is>
          <t>Data or transaction-integrity compromise</t>
        </is>
      </c>
      <c r="D316" s="973" t="inlineStr">
        <is>
          <t>Duration</t>
        </is>
      </c>
      <c r="E316" s="973" t="inlineStr">
        <is>
          <t>SERVER_RECOVERY</t>
        </is>
      </c>
      <c r="F316" s="973" t="inlineStr">
        <is>
          <t>P99</t>
        </is>
      </c>
      <c r="G316" s="973" t="n">
        <v>2000000</v>
      </c>
      <c r="H316" s="973" t="b">
        <v>1</v>
      </c>
      <c r="I316" s="973" t="inlineStr">
        <is>
          <t>D</t>
        </is>
      </c>
      <c r="J316" s="973" t="inlineStr">
        <is>
          <t>SRC-10</t>
        </is>
      </c>
      <c r="K316" s="973" t="n"/>
      <c r="L316" s="973" t="n"/>
      <c r="M316" s="973" t="n"/>
      <c r="N316" s="973" t="n"/>
      <c r="O316" s="973" t="n"/>
      <c r="P316" s="973" t="n"/>
    </row>
    <row r="317">
      <c r="A317" s="973" t="inlineStr">
        <is>
          <t>Malicious insider</t>
        </is>
      </c>
      <c r="B317" s="973" t="inlineStr">
        <is>
          <t>SC_INT</t>
        </is>
      </c>
      <c r="C317" s="973" t="inlineStr">
        <is>
          <t>Data or transaction-integrity compromise</t>
        </is>
      </c>
      <c r="D317" s="973" t="inlineStr">
        <is>
          <t>Exposure</t>
        </is>
      </c>
      <c r="E317" s="973" t="inlineStr">
        <is>
          <t>NOTIFICATION</t>
        </is>
      </c>
      <c r="F317" s="973" t="inlineStr">
        <is>
          <t>P99</t>
        </is>
      </c>
      <c r="G317" s="973" t="n">
        <v>0</v>
      </c>
      <c r="H317" s="973" t="b">
        <v>0</v>
      </c>
      <c r="I317" s="973" t="inlineStr">
        <is>
          <t>D</t>
        </is>
      </c>
      <c r="J317" s="973" t="inlineStr">
        <is>
          <t>SRC-10</t>
        </is>
      </c>
      <c r="K317" s="973" t="n"/>
      <c r="L317" s="973" t="n"/>
      <c r="M317" s="973" t="n"/>
      <c r="N317" s="973" t="n"/>
      <c r="O317" s="973" t="n"/>
      <c r="P317" s="973" t="n"/>
    </row>
    <row r="318">
      <c r="A318" s="973" t="inlineStr">
        <is>
          <t>Malicious insider</t>
        </is>
      </c>
      <c r="B318" s="973" t="inlineStr">
        <is>
          <t>SC_INT</t>
        </is>
      </c>
      <c r="C318" s="973" t="inlineStr">
        <is>
          <t>Data or transaction-integrity compromise</t>
        </is>
      </c>
      <c r="D318" s="973" t="inlineStr">
        <is>
          <t>Exposure</t>
        </is>
      </c>
      <c r="E318" s="973" t="inlineStr">
        <is>
          <t>CREDIT_MONITORING</t>
        </is>
      </c>
      <c r="F318" s="973" t="inlineStr">
        <is>
          <t>P99</t>
        </is>
      </c>
      <c r="G318" s="973" t="n">
        <v>0</v>
      </c>
      <c r="H318" s="973" t="b">
        <v>0</v>
      </c>
      <c r="I318" s="973" t="inlineStr">
        <is>
          <t>D</t>
        </is>
      </c>
      <c r="J318" s="973" t="inlineStr">
        <is>
          <t>SRC-10</t>
        </is>
      </c>
      <c r="K318" s="973" t="n"/>
      <c r="L318" s="973" t="n"/>
      <c r="M318" s="973" t="n"/>
      <c r="N318" s="973" t="n"/>
      <c r="O318" s="973" t="n"/>
      <c r="P318" s="973" t="n"/>
    </row>
    <row r="319">
      <c r="A319" s="973" t="inlineStr">
        <is>
          <t>Malicious insider</t>
        </is>
      </c>
      <c r="B319" s="973" t="inlineStr">
        <is>
          <t>SC_INT</t>
        </is>
      </c>
      <c r="C319" s="973" t="inlineStr">
        <is>
          <t>Data or transaction-integrity compromise</t>
        </is>
      </c>
      <c r="D319" s="973" t="inlineStr">
        <is>
          <t>Exposure</t>
        </is>
      </c>
      <c r="E319" s="973" t="inlineStr">
        <is>
          <t>REGULATORY</t>
        </is>
      </c>
      <c r="F319" s="973" t="inlineStr">
        <is>
          <t>P99</t>
        </is>
      </c>
      <c r="G319" s="973" t="n">
        <v>6000000</v>
      </c>
      <c r="H319" s="973" t="b">
        <v>1</v>
      </c>
      <c r="I319" s="973" t="inlineStr">
        <is>
          <t>D</t>
        </is>
      </c>
      <c r="J319" s="973" t="inlineStr">
        <is>
          <t>SRC-10</t>
        </is>
      </c>
      <c r="K319" s="973" t="n"/>
      <c r="L319" s="973" t="n"/>
      <c r="M319" s="973" t="n"/>
      <c r="N319" s="973" t="n"/>
      <c r="O319" s="973" t="n"/>
      <c r="P319" s="973" t="n"/>
    </row>
    <row r="320">
      <c r="A320" s="973" t="inlineStr">
        <is>
          <t>Malicious insider</t>
        </is>
      </c>
      <c r="B320" s="973" t="inlineStr">
        <is>
          <t>SC_INT</t>
        </is>
      </c>
      <c r="C320" s="973" t="inlineStr">
        <is>
          <t>Data or transaction-integrity compromise</t>
        </is>
      </c>
      <c r="D320" s="973" t="inlineStr">
        <is>
          <t>Exposure</t>
        </is>
      </c>
      <c r="E320" s="973" t="inlineStr">
        <is>
          <t>CUSTOMER_ATTRITION</t>
        </is>
      </c>
      <c r="F320" s="973" t="inlineStr">
        <is>
          <t>P99</t>
        </is>
      </c>
      <c r="G320" s="973" t="n">
        <v>20000000</v>
      </c>
      <c r="H320" s="973" t="b">
        <v>1</v>
      </c>
      <c r="I320" s="973" t="inlineStr">
        <is>
          <t>D</t>
        </is>
      </c>
      <c r="J320" s="973" t="inlineStr">
        <is>
          <t>SRC-10</t>
        </is>
      </c>
      <c r="K320" s="973" t="n"/>
      <c r="L320" s="973" t="n"/>
      <c r="M320" s="973" t="n"/>
      <c r="N320" s="973" t="n"/>
      <c r="O320" s="973" t="n"/>
      <c r="P320" s="973" t="n"/>
    </row>
    <row r="321">
      <c r="A321" s="973" t="inlineStr">
        <is>
          <t>Malicious insider</t>
        </is>
      </c>
      <c r="B321" s="973" t="inlineStr">
        <is>
          <t>SC_INT</t>
        </is>
      </c>
      <c r="C321" s="973" t="inlineStr">
        <is>
          <t>Data or transaction-integrity compromise</t>
        </is>
      </c>
      <c r="D321" s="973" t="inlineStr">
        <is>
          <t>Direct</t>
        </is>
      </c>
      <c r="E321" s="973" t="inlineStr">
        <is>
          <t>FRAUD_NET_RECOVERY</t>
        </is>
      </c>
      <c r="F321" s="973" t="inlineStr">
        <is>
          <t>P99</t>
        </is>
      </c>
      <c r="G321" s="973" t="n">
        <v>4794520.547945206</v>
      </c>
      <c r="H321" s="973" t="b">
        <v>1</v>
      </c>
      <c r="I321" s="973" t="inlineStr">
        <is>
          <t>D</t>
        </is>
      </c>
      <c r="J321" s="973" t="inlineStr">
        <is>
          <t>SRC-10</t>
        </is>
      </c>
      <c r="K321" s="973" t="n"/>
      <c r="L321" s="973" t="n"/>
      <c r="M321" s="973" t="n"/>
      <c r="N321" s="973" t="n"/>
      <c r="O321" s="973" t="n"/>
      <c r="P321" s="973" t="n"/>
    </row>
    <row r="322">
      <c r="A322" s="973" t="inlineStr">
        <is>
          <t>Malicious insider</t>
        </is>
      </c>
      <c r="B322" s="973" t="inlineStr">
        <is>
          <t>SC_INT</t>
        </is>
      </c>
      <c r="C322" s="973" t="inlineStr">
        <is>
          <t>Data or transaction-integrity compromise</t>
        </is>
      </c>
      <c r="D322" s="973" t="inlineStr">
        <is>
          <t>Direct</t>
        </is>
      </c>
      <c r="E322" s="973" t="inlineStr">
        <is>
          <t>EXTORTION</t>
        </is>
      </c>
      <c r="F322" s="973" t="inlineStr">
        <is>
          <t>P99</t>
        </is>
      </c>
      <c r="G322" s="973" t="n">
        <v>0</v>
      </c>
      <c r="H322" s="973" t="b">
        <v>0</v>
      </c>
      <c r="I322" s="973" t="inlineStr">
        <is>
          <t>D</t>
        </is>
      </c>
      <c r="J322" s="973" t="inlineStr">
        <is>
          <t>SRC-10</t>
        </is>
      </c>
      <c r="K322" s="973" t="n"/>
      <c r="L322" s="973" t="n"/>
      <c r="M322" s="973" t="n"/>
      <c r="N322" s="973" t="n"/>
      <c r="O322" s="973" t="n"/>
      <c r="P322" s="973" t="n"/>
    </row>
    <row r="323">
      <c r="A323" s="973" t="inlineStr">
        <is>
          <t>Malicious insider</t>
        </is>
      </c>
      <c r="B323" s="973" t="inlineStr">
        <is>
          <t>SC_INT</t>
        </is>
      </c>
      <c r="C323" s="973" t="inlineStr">
        <is>
          <t>Data or transaction-integrity compromise</t>
        </is>
      </c>
      <c r="D323" s="973" t="inlineStr">
        <is>
          <t>Direct</t>
        </is>
      </c>
      <c r="E323" s="973" t="inlineStr">
        <is>
          <t>POST_EVENT_UPLIFT</t>
        </is>
      </c>
      <c r="F323" s="973" t="inlineStr">
        <is>
          <t>P99</t>
        </is>
      </c>
      <c r="G323" s="973" t="n">
        <v>8000000</v>
      </c>
      <c r="H323" s="973" t="b">
        <v>1</v>
      </c>
      <c r="I323" s="973" t="inlineStr">
        <is>
          <t>D</t>
        </is>
      </c>
      <c r="J323" s="973" t="inlineStr">
        <is>
          <t>SRC-10</t>
        </is>
      </c>
      <c r="K323" s="973" t="n"/>
      <c r="L323" s="973" t="n"/>
      <c r="M323" s="973" t="n"/>
      <c r="N323" s="973" t="n"/>
      <c r="O323" s="973" t="n"/>
      <c r="P323" s="973" t="n"/>
    </row>
    <row r="324">
      <c r="A324" s="973" t="inlineStr">
        <is>
          <t>Malicious insider</t>
        </is>
      </c>
      <c r="B324" s="973" t="inlineStr">
        <is>
          <t>SC_FRAUD</t>
        </is>
      </c>
      <c r="C324" s="973" t="inlineStr">
        <is>
          <t>Cyber-enabled theft or fraud</t>
        </is>
      </c>
      <c r="D324" s="973" t="inlineStr">
        <is>
          <t>Duration</t>
        </is>
      </c>
      <c r="E324" s="973" t="inlineStr">
        <is>
          <t>IR_FORENSICS</t>
        </is>
      </c>
      <c r="F324" s="973" t="inlineStr">
        <is>
          <t>P50</t>
        </is>
      </c>
      <c r="G324" s="973" t="n">
        <v>20000</v>
      </c>
      <c r="H324" s="973" t="b">
        <v>1</v>
      </c>
      <c r="I324" s="973" t="inlineStr">
        <is>
          <t>D</t>
        </is>
      </c>
      <c r="J324" s="973" t="inlineStr">
        <is>
          <t>SRC-10</t>
        </is>
      </c>
      <c r="K324" s="973" t="n"/>
      <c r="L324" s="973" t="n"/>
      <c r="M324" s="973" t="n"/>
      <c r="N324" s="973" t="n"/>
      <c r="O324" s="973" t="n"/>
      <c r="P324" s="973" t="n"/>
    </row>
    <row r="325">
      <c r="A325" s="973" t="inlineStr">
        <is>
          <t>Malicious insider</t>
        </is>
      </c>
      <c r="B325" s="973" t="inlineStr">
        <is>
          <t>SC_FRAUD</t>
        </is>
      </c>
      <c r="C325" s="973" t="inlineStr">
        <is>
          <t>Cyber-enabled theft or fraud</t>
        </is>
      </c>
      <c r="D325" s="973" t="inlineStr">
        <is>
          <t>Duration</t>
        </is>
      </c>
      <c r="E325" s="973" t="inlineStr">
        <is>
          <t>EXTERNAL_RESPONSE</t>
        </is>
      </c>
      <c r="F325" s="973" t="inlineStr">
        <is>
          <t>P50</t>
        </is>
      </c>
      <c r="G325" s="973" t="n">
        <v>30000</v>
      </c>
      <c r="H325" s="973" t="b">
        <v>1</v>
      </c>
      <c r="I325" s="973" t="inlineStr">
        <is>
          <t>D</t>
        </is>
      </c>
      <c r="J325" s="973" t="inlineStr">
        <is>
          <t>SRC-10</t>
        </is>
      </c>
      <c r="K325" s="973" t="n"/>
      <c r="L325" s="973" t="n"/>
      <c r="M325" s="973" t="n"/>
      <c r="N325" s="973" t="n"/>
      <c r="O325" s="973" t="n"/>
      <c r="P325" s="973" t="n"/>
    </row>
    <row r="326">
      <c r="A326" s="973" t="inlineStr">
        <is>
          <t>Malicious insider</t>
        </is>
      </c>
      <c r="B326" s="973" t="inlineStr">
        <is>
          <t>SC_FRAUD</t>
        </is>
      </c>
      <c r="C326" s="973" t="inlineStr">
        <is>
          <t>Cyber-enabled theft or fraud</t>
        </is>
      </c>
      <c r="D326" s="973" t="inlineStr">
        <is>
          <t>Duration</t>
        </is>
      </c>
      <c r="E326" s="973" t="inlineStr">
        <is>
          <t>LEGAL_RESPONSE</t>
        </is>
      </c>
      <c r="F326" s="973" t="inlineStr">
        <is>
          <t>P50</t>
        </is>
      </c>
      <c r="G326" s="973" t="n">
        <v>75000</v>
      </c>
      <c r="H326" s="973" t="b">
        <v>1</v>
      </c>
      <c r="I326" s="973" t="inlineStr">
        <is>
          <t>D</t>
        </is>
      </c>
      <c r="J326" s="973" t="inlineStr">
        <is>
          <t>SRC-10</t>
        </is>
      </c>
      <c r="K326" s="973" t="n"/>
      <c r="L326" s="973" t="n"/>
      <c r="M326" s="973" t="n"/>
      <c r="N326" s="973" t="n"/>
      <c r="O326" s="973" t="n"/>
      <c r="P326" s="973" t="n"/>
    </row>
    <row r="327">
      <c r="A327" s="973" t="inlineStr">
        <is>
          <t>Malicious insider</t>
        </is>
      </c>
      <c r="B327" s="973" t="inlineStr">
        <is>
          <t>SC_FRAUD</t>
        </is>
      </c>
      <c r="C327" s="973" t="inlineStr">
        <is>
          <t>Cyber-enabled theft or fraud</t>
        </is>
      </c>
      <c r="D327" s="973" t="inlineStr">
        <is>
          <t>Duration</t>
        </is>
      </c>
      <c r="E327" s="973" t="inlineStr">
        <is>
          <t>RESTORATION</t>
        </is>
      </c>
      <c r="F327" s="973" t="inlineStr">
        <is>
          <t>P50</t>
        </is>
      </c>
      <c r="G327" s="973" t="n">
        <v>10000</v>
      </c>
      <c r="H327" s="973" t="b">
        <v>1</v>
      </c>
      <c r="I327" s="973" t="inlineStr">
        <is>
          <t>D</t>
        </is>
      </c>
      <c r="J327" s="973" t="inlineStr">
        <is>
          <t>SRC-10</t>
        </is>
      </c>
      <c r="K327" s="973" t="n"/>
      <c r="L327" s="973" t="n"/>
      <c r="M327" s="973" t="n"/>
      <c r="N327" s="973" t="n"/>
      <c r="O327" s="973" t="n"/>
      <c r="P327" s="973" t="n"/>
    </row>
    <row r="328">
      <c r="A328" s="973" t="inlineStr">
        <is>
          <t>Malicious insider</t>
        </is>
      </c>
      <c r="B328" s="973" t="inlineStr">
        <is>
          <t>SC_FRAUD</t>
        </is>
      </c>
      <c r="C328" s="973" t="inlineStr">
        <is>
          <t>Cyber-enabled theft or fraud</t>
        </is>
      </c>
      <c r="D328" s="973" t="inlineStr">
        <is>
          <t>Duration</t>
        </is>
      </c>
      <c r="E328" s="973" t="inlineStr">
        <is>
          <t>BUSINESS_INTERRUPTION</t>
        </is>
      </c>
      <c r="F328" s="973" t="inlineStr">
        <is>
          <t>P50</t>
        </is>
      </c>
      <c r="G328" s="973" t="n">
        <v>0</v>
      </c>
      <c r="H328" s="973" t="b">
        <v>0</v>
      </c>
      <c r="I328" s="973" t="inlineStr">
        <is>
          <t>D</t>
        </is>
      </c>
      <c r="J328" s="973" t="inlineStr">
        <is>
          <t>SRC-10</t>
        </is>
      </c>
      <c r="K328" s="973" t="n"/>
      <c r="L328" s="973" t="n"/>
      <c r="M328" s="973" t="n"/>
      <c r="N328" s="973" t="n"/>
      <c r="O328" s="973" t="n"/>
      <c r="P328" s="973" t="n"/>
    </row>
    <row r="329">
      <c r="A329" s="973" t="inlineStr">
        <is>
          <t>Malicious insider</t>
        </is>
      </c>
      <c r="B329" s="973" t="inlineStr">
        <is>
          <t>SC_FRAUD</t>
        </is>
      </c>
      <c r="C329" s="973" t="inlineStr">
        <is>
          <t>Cyber-enabled theft or fraud</t>
        </is>
      </c>
      <c r="D329" s="973" t="inlineStr">
        <is>
          <t>Duration</t>
        </is>
      </c>
      <c r="E329" s="973" t="inlineStr">
        <is>
          <t>ENDPOINT_RECOVERY</t>
        </is>
      </c>
      <c r="F329" s="973" t="inlineStr">
        <is>
          <t>P50</t>
        </is>
      </c>
      <c r="G329" s="973" t="n">
        <v>0</v>
      </c>
      <c r="H329" s="973" t="b">
        <v>0</v>
      </c>
      <c r="I329" s="973" t="inlineStr">
        <is>
          <t>D</t>
        </is>
      </c>
      <c r="J329" s="973" t="inlineStr">
        <is>
          <t>SRC-10</t>
        </is>
      </c>
      <c r="K329" s="973" t="n"/>
      <c r="L329" s="973" t="n"/>
      <c r="M329" s="973" t="n"/>
      <c r="N329" s="973" t="n"/>
      <c r="O329" s="973" t="n"/>
      <c r="P329" s="973" t="n"/>
    </row>
    <row r="330">
      <c r="A330" s="973" t="inlineStr">
        <is>
          <t>Malicious insider</t>
        </is>
      </c>
      <c r="B330" s="973" t="inlineStr">
        <is>
          <t>SC_FRAUD</t>
        </is>
      </c>
      <c r="C330" s="973" t="inlineStr">
        <is>
          <t>Cyber-enabled theft or fraud</t>
        </is>
      </c>
      <c r="D330" s="973" t="inlineStr">
        <is>
          <t>Duration</t>
        </is>
      </c>
      <c r="E330" s="973" t="inlineStr">
        <is>
          <t>SERVER_RECOVERY</t>
        </is>
      </c>
      <c r="F330" s="973" t="inlineStr">
        <is>
          <t>P50</t>
        </is>
      </c>
      <c r="G330" s="973" t="n">
        <v>0</v>
      </c>
      <c r="H330" s="973" t="b">
        <v>0</v>
      </c>
      <c r="I330" s="973" t="inlineStr">
        <is>
          <t>D</t>
        </is>
      </c>
      <c r="J330" s="973" t="inlineStr">
        <is>
          <t>SRC-10</t>
        </is>
      </c>
      <c r="K330" s="973" t="n"/>
      <c r="L330" s="973" t="n"/>
      <c r="M330" s="973" t="n"/>
      <c r="N330" s="973" t="n"/>
      <c r="O330" s="973" t="n"/>
      <c r="P330" s="973" t="n"/>
    </row>
    <row r="331">
      <c r="A331" s="973" t="inlineStr">
        <is>
          <t>Malicious insider</t>
        </is>
      </c>
      <c r="B331" s="973" t="inlineStr">
        <is>
          <t>SC_FRAUD</t>
        </is>
      </c>
      <c r="C331" s="973" t="inlineStr">
        <is>
          <t>Cyber-enabled theft or fraud</t>
        </is>
      </c>
      <c r="D331" s="973" t="inlineStr">
        <is>
          <t>Exposure</t>
        </is>
      </c>
      <c r="E331" s="973" t="inlineStr">
        <is>
          <t>NOTIFICATION</t>
        </is>
      </c>
      <c r="F331" s="973" t="inlineStr">
        <is>
          <t>P50</t>
        </is>
      </c>
      <c r="G331" s="973" t="n">
        <v>0</v>
      </c>
      <c r="H331" s="973" t="b">
        <v>0</v>
      </c>
      <c r="I331" s="973" t="inlineStr">
        <is>
          <t>D</t>
        </is>
      </c>
      <c r="J331" s="973" t="inlineStr">
        <is>
          <t>SRC-10</t>
        </is>
      </c>
      <c r="K331" s="973" t="n"/>
      <c r="L331" s="973" t="n"/>
      <c r="M331" s="973" t="n"/>
      <c r="N331" s="973" t="n"/>
      <c r="O331" s="973" t="n"/>
      <c r="P331" s="973" t="n"/>
    </row>
    <row r="332">
      <c r="A332" s="973" t="inlineStr">
        <is>
          <t>Malicious insider</t>
        </is>
      </c>
      <c r="B332" s="973" t="inlineStr">
        <is>
          <t>SC_FRAUD</t>
        </is>
      </c>
      <c r="C332" s="973" t="inlineStr">
        <is>
          <t>Cyber-enabled theft or fraud</t>
        </is>
      </c>
      <c r="D332" s="973" t="inlineStr">
        <is>
          <t>Exposure</t>
        </is>
      </c>
      <c r="E332" s="973" t="inlineStr">
        <is>
          <t>CREDIT_MONITORING</t>
        </is>
      </c>
      <c r="F332" s="973" t="inlineStr">
        <is>
          <t>P50</t>
        </is>
      </c>
      <c r="G332" s="973" t="n">
        <v>0</v>
      </c>
      <c r="H332" s="973" t="b">
        <v>0</v>
      </c>
      <c r="I332" s="973" t="inlineStr">
        <is>
          <t>D</t>
        </is>
      </c>
      <c r="J332" s="973" t="inlineStr">
        <is>
          <t>SRC-10</t>
        </is>
      </c>
      <c r="K332" s="973" t="n"/>
      <c r="L332" s="973" t="n"/>
      <c r="M332" s="973" t="n"/>
      <c r="N332" s="973" t="n"/>
      <c r="O332" s="973" t="n"/>
      <c r="P332" s="973" t="n"/>
    </row>
    <row r="333">
      <c r="A333" s="973" t="inlineStr">
        <is>
          <t>Malicious insider</t>
        </is>
      </c>
      <c r="B333" s="973" t="inlineStr">
        <is>
          <t>SC_FRAUD</t>
        </is>
      </c>
      <c r="C333" s="973" t="inlineStr">
        <is>
          <t>Cyber-enabled theft or fraud</t>
        </is>
      </c>
      <c r="D333" s="973" t="inlineStr">
        <is>
          <t>Exposure</t>
        </is>
      </c>
      <c r="E333" s="973" t="inlineStr">
        <is>
          <t>REGULATORY</t>
        </is>
      </c>
      <c r="F333" s="973" t="inlineStr">
        <is>
          <t>P50</t>
        </is>
      </c>
      <c r="G333" s="973" t="n">
        <v>200000</v>
      </c>
      <c r="H333" s="973" t="b">
        <v>1</v>
      </c>
      <c r="I333" s="973" t="inlineStr">
        <is>
          <t>D</t>
        </is>
      </c>
      <c r="J333" s="973" t="inlineStr">
        <is>
          <t>SRC-10</t>
        </is>
      </c>
      <c r="K333" s="973" t="n"/>
      <c r="L333" s="973" t="n"/>
      <c r="M333" s="973" t="n"/>
      <c r="N333" s="973" t="n"/>
      <c r="O333" s="973" t="n"/>
      <c r="P333" s="973" t="n"/>
    </row>
    <row r="334">
      <c r="A334" s="973" t="inlineStr">
        <is>
          <t>Malicious insider</t>
        </is>
      </c>
      <c r="B334" s="973" t="inlineStr">
        <is>
          <t>SC_FRAUD</t>
        </is>
      </c>
      <c r="C334" s="973" t="inlineStr">
        <is>
          <t>Cyber-enabled theft or fraud</t>
        </is>
      </c>
      <c r="D334" s="973" t="inlineStr">
        <is>
          <t>Exposure</t>
        </is>
      </c>
      <c r="E334" s="973" t="inlineStr">
        <is>
          <t>CUSTOMER_ATTRITION</t>
        </is>
      </c>
      <c r="F334" s="973" t="inlineStr">
        <is>
          <t>P50</t>
        </is>
      </c>
      <c r="G334" s="973" t="n">
        <v>1000000</v>
      </c>
      <c r="H334" s="973" t="b">
        <v>1</v>
      </c>
      <c r="I334" s="973" t="inlineStr">
        <is>
          <t>D</t>
        </is>
      </c>
      <c r="J334" s="973" t="inlineStr">
        <is>
          <t>SRC-10</t>
        </is>
      </c>
      <c r="K334" s="973" t="n"/>
      <c r="L334" s="973" t="n"/>
      <c r="M334" s="973" t="n"/>
      <c r="N334" s="973" t="n"/>
      <c r="O334" s="973" t="n"/>
      <c r="P334" s="973" t="n"/>
    </row>
    <row r="335">
      <c r="A335" s="973" t="inlineStr">
        <is>
          <t>Malicious insider</t>
        </is>
      </c>
      <c r="B335" s="973" t="inlineStr">
        <is>
          <t>SC_FRAUD</t>
        </is>
      </c>
      <c r="C335" s="973" t="inlineStr">
        <is>
          <t>Cyber-enabled theft or fraud</t>
        </is>
      </c>
      <c r="D335" s="973" t="inlineStr">
        <is>
          <t>Direct</t>
        </is>
      </c>
      <c r="E335" s="973" t="inlineStr">
        <is>
          <t>FRAUD_NET_RECOVERY</t>
        </is>
      </c>
      <c r="F335" s="973" t="inlineStr">
        <is>
          <t>P50</t>
        </is>
      </c>
      <c r="G335" s="973" t="n">
        <v>54794.52054794521</v>
      </c>
      <c r="H335" s="973" t="b">
        <v>1</v>
      </c>
      <c r="I335" s="973" t="inlineStr">
        <is>
          <t>D</t>
        </is>
      </c>
      <c r="J335" s="973" t="inlineStr">
        <is>
          <t>SRC-10</t>
        </is>
      </c>
      <c r="K335" s="973" t="n"/>
      <c r="L335" s="973" t="n"/>
      <c r="M335" s="973" t="n"/>
      <c r="N335" s="973" t="n"/>
      <c r="O335" s="973" t="n"/>
      <c r="P335" s="973" t="n"/>
    </row>
    <row r="336">
      <c r="A336" s="973" t="inlineStr">
        <is>
          <t>Malicious insider</t>
        </is>
      </c>
      <c r="B336" s="973" t="inlineStr">
        <is>
          <t>SC_FRAUD</t>
        </is>
      </c>
      <c r="C336" s="973" t="inlineStr">
        <is>
          <t>Cyber-enabled theft or fraud</t>
        </is>
      </c>
      <c r="D336" s="973" t="inlineStr">
        <is>
          <t>Direct</t>
        </is>
      </c>
      <c r="E336" s="973" t="inlineStr">
        <is>
          <t>EXTORTION</t>
        </is>
      </c>
      <c r="F336" s="973" t="inlineStr">
        <is>
          <t>P50</t>
        </is>
      </c>
      <c r="G336" s="973" t="n">
        <v>0</v>
      </c>
      <c r="H336" s="973" t="b">
        <v>0</v>
      </c>
      <c r="I336" s="973" t="inlineStr">
        <is>
          <t>D</t>
        </is>
      </c>
      <c r="J336" s="973" t="inlineStr">
        <is>
          <t>SRC-10</t>
        </is>
      </c>
      <c r="K336" s="973" t="n"/>
      <c r="L336" s="973" t="n"/>
      <c r="M336" s="973" t="n"/>
      <c r="N336" s="973" t="n"/>
      <c r="O336" s="973" t="n"/>
      <c r="P336" s="973" t="n"/>
    </row>
    <row r="337">
      <c r="A337" s="973" t="inlineStr">
        <is>
          <t>Malicious insider</t>
        </is>
      </c>
      <c r="B337" s="973" t="inlineStr">
        <is>
          <t>SC_FRAUD</t>
        </is>
      </c>
      <c r="C337" s="973" t="inlineStr">
        <is>
          <t>Cyber-enabled theft or fraud</t>
        </is>
      </c>
      <c r="D337" s="973" t="inlineStr">
        <is>
          <t>Direct</t>
        </is>
      </c>
      <c r="E337" s="973" t="inlineStr">
        <is>
          <t>POST_EVENT_UPLIFT</t>
        </is>
      </c>
      <c r="F337" s="973" t="inlineStr">
        <is>
          <t>P50</t>
        </is>
      </c>
      <c r="G337" s="973" t="n">
        <v>500000</v>
      </c>
      <c r="H337" s="973" t="b">
        <v>1</v>
      </c>
      <c r="I337" s="973" t="inlineStr">
        <is>
          <t>D</t>
        </is>
      </c>
      <c r="J337" s="973" t="inlineStr">
        <is>
          <t>SRC-10</t>
        </is>
      </c>
      <c r="K337" s="973" t="n"/>
      <c r="L337" s="973" t="n"/>
      <c r="M337" s="973" t="n"/>
      <c r="N337" s="973" t="n"/>
      <c r="O337" s="973" t="n"/>
      <c r="P337" s="973" t="n"/>
    </row>
    <row r="338">
      <c r="A338" s="973" t="inlineStr">
        <is>
          <t>Malicious insider</t>
        </is>
      </c>
      <c r="B338" s="973" t="inlineStr">
        <is>
          <t>SC_FRAUD</t>
        </is>
      </c>
      <c r="C338" s="973" t="inlineStr">
        <is>
          <t>Cyber-enabled theft or fraud</t>
        </is>
      </c>
      <c r="D338" s="973" t="inlineStr">
        <is>
          <t>Duration</t>
        </is>
      </c>
      <c r="E338" s="973" t="inlineStr">
        <is>
          <t>IR_FORENSICS</t>
        </is>
      </c>
      <c r="F338" s="973" t="inlineStr">
        <is>
          <t>P99</t>
        </is>
      </c>
      <c r="G338" s="973" t="n">
        <v>240000</v>
      </c>
      <c r="H338" s="973" t="b">
        <v>1</v>
      </c>
      <c r="I338" s="973" t="inlineStr">
        <is>
          <t>D</t>
        </is>
      </c>
      <c r="J338" s="973" t="inlineStr">
        <is>
          <t>SRC-10</t>
        </is>
      </c>
      <c r="K338" s="973" t="n"/>
      <c r="L338" s="973" t="n"/>
      <c r="M338" s="973" t="n"/>
      <c r="N338" s="973" t="n"/>
      <c r="O338" s="973" t="n"/>
      <c r="P338" s="973" t="n"/>
    </row>
    <row r="339">
      <c r="A339" s="973" t="inlineStr">
        <is>
          <t>Malicious insider</t>
        </is>
      </c>
      <c r="B339" s="973" t="inlineStr">
        <is>
          <t>SC_FRAUD</t>
        </is>
      </c>
      <c r="C339" s="973" t="inlineStr">
        <is>
          <t>Cyber-enabled theft or fraud</t>
        </is>
      </c>
      <c r="D339" s="973" t="inlineStr">
        <is>
          <t>Duration</t>
        </is>
      </c>
      <c r="E339" s="973" t="inlineStr">
        <is>
          <t>EXTERNAL_RESPONSE</t>
        </is>
      </c>
      <c r="F339" s="973" t="inlineStr">
        <is>
          <t>P99</t>
        </is>
      </c>
      <c r="G339" s="973" t="n">
        <v>450000</v>
      </c>
      <c r="H339" s="973" t="b">
        <v>1</v>
      </c>
      <c r="I339" s="973" t="inlineStr">
        <is>
          <t>D</t>
        </is>
      </c>
      <c r="J339" s="973" t="inlineStr">
        <is>
          <t>SRC-10</t>
        </is>
      </c>
      <c r="K339" s="973" t="n"/>
      <c r="L339" s="973" t="n"/>
      <c r="M339" s="973" t="n"/>
      <c r="N339" s="973" t="n"/>
      <c r="O339" s="973" t="n"/>
      <c r="P339" s="973" t="n"/>
    </row>
    <row r="340">
      <c r="A340" s="973" t="inlineStr">
        <is>
          <t>Malicious insider</t>
        </is>
      </c>
      <c r="B340" s="973" t="inlineStr">
        <is>
          <t>SC_FRAUD</t>
        </is>
      </c>
      <c r="C340" s="973" t="inlineStr">
        <is>
          <t>Cyber-enabled theft or fraud</t>
        </is>
      </c>
      <c r="D340" s="973" t="inlineStr">
        <is>
          <t>Duration</t>
        </is>
      </c>
      <c r="E340" s="973" t="inlineStr">
        <is>
          <t>LEGAL_RESPONSE</t>
        </is>
      </c>
      <c r="F340" s="973" t="inlineStr">
        <is>
          <t>P99</t>
        </is>
      </c>
      <c r="G340" s="973" t="n">
        <v>900000</v>
      </c>
      <c r="H340" s="973" t="b">
        <v>1</v>
      </c>
      <c r="I340" s="973" t="inlineStr">
        <is>
          <t>D</t>
        </is>
      </c>
      <c r="J340" s="973" t="inlineStr">
        <is>
          <t>SRC-10</t>
        </is>
      </c>
      <c r="K340" s="973" t="n"/>
      <c r="L340" s="973" t="n"/>
      <c r="M340" s="973" t="n"/>
      <c r="N340" s="973" t="n"/>
      <c r="O340" s="973" t="n"/>
      <c r="P340" s="973" t="n"/>
    </row>
    <row r="341">
      <c r="A341" s="973" t="inlineStr">
        <is>
          <t>Malicious insider</t>
        </is>
      </c>
      <c r="B341" s="973" t="inlineStr">
        <is>
          <t>SC_FRAUD</t>
        </is>
      </c>
      <c r="C341" s="973" t="inlineStr">
        <is>
          <t>Cyber-enabled theft or fraud</t>
        </is>
      </c>
      <c r="D341" s="973" t="inlineStr">
        <is>
          <t>Duration</t>
        </is>
      </c>
      <c r="E341" s="973" t="inlineStr">
        <is>
          <t>RESTORATION</t>
        </is>
      </c>
      <c r="F341" s="973" t="inlineStr">
        <is>
          <t>P99</t>
        </is>
      </c>
      <c r="G341" s="973" t="n">
        <v>240000</v>
      </c>
      <c r="H341" s="973" t="b">
        <v>1</v>
      </c>
      <c r="I341" s="973" t="inlineStr">
        <is>
          <t>D</t>
        </is>
      </c>
      <c r="J341" s="973" t="inlineStr">
        <is>
          <t>SRC-10</t>
        </is>
      </c>
      <c r="K341" s="973" t="n"/>
      <c r="L341" s="973" t="n"/>
      <c r="M341" s="973" t="n"/>
      <c r="N341" s="973" t="n"/>
      <c r="O341" s="973" t="n"/>
      <c r="P341" s="973" t="n"/>
    </row>
    <row r="342">
      <c r="A342" s="973" t="inlineStr">
        <is>
          <t>Malicious insider</t>
        </is>
      </c>
      <c r="B342" s="973" t="inlineStr">
        <is>
          <t>SC_FRAUD</t>
        </is>
      </c>
      <c r="C342" s="973" t="inlineStr">
        <is>
          <t>Cyber-enabled theft or fraud</t>
        </is>
      </c>
      <c r="D342" s="973" t="inlineStr">
        <is>
          <t>Duration</t>
        </is>
      </c>
      <c r="E342" s="973" t="inlineStr">
        <is>
          <t>BUSINESS_INTERRUPTION</t>
        </is>
      </c>
      <c r="F342" s="973" t="inlineStr">
        <is>
          <t>P99</t>
        </is>
      </c>
      <c r="G342" s="973" t="n">
        <v>0</v>
      </c>
      <c r="H342" s="973" t="b">
        <v>0</v>
      </c>
      <c r="I342" s="973" t="inlineStr">
        <is>
          <t>D</t>
        </is>
      </c>
      <c r="J342" s="973" t="inlineStr">
        <is>
          <t>SRC-10</t>
        </is>
      </c>
      <c r="K342" s="973" t="n"/>
      <c r="L342" s="973" t="n"/>
      <c r="M342" s="973" t="n"/>
      <c r="N342" s="973" t="n"/>
      <c r="O342" s="973" t="n"/>
      <c r="P342" s="973" t="n"/>
    </row>
    <row r="343">
      <c r="A343" s="973" t="inlineStr">
        <is>
          <t>Malicious insider</t>
        </is>
      </c>
      <c r="B343" s="973" t="inlineStr">
        <is>
          <t>SC_FRAUD</t>
        </is>
      </c>
      <c r="C343" s="973" t="inlineStr">
        <is>
          <t>Cyber-enabled theft or fraud</t>
        </is>
      </c>
      <c r="D343" s="973" t="inlineStr">
        <is>
          <t>Duration</t>
        </is>
      </c>
      <c r="E343" s="973" t="inlineStr">
        <is>
          <t>ENDPOINT_RECOVERY</t>
        </is>
      </c>
      <c r="F343" s="973" t="inlineStr">
        <is>
          <t>P99</t>
        </is>
      </c>
      <c r="G343" s="973" t="n">
        <v>0</v>
      </c>
      <c r="H343" s="973" t="b">
        <v>0</v>
      </c>
      <c r="I343" s="973" t="inlineStr">
        <is>
          <t>D</t>
        </is>
      </c>
      <c r="J343" s="973" t="inlineStr">
        <is>
          <t>SRC-10</t>
        </is>
      </c>
      <c r="K343" s="973" t="n"/>
      <c r="L343" s="973" t="n"/>
      <c r="M343" s="973" t="n"/>
      <c r="N343" s="973" t="n"/>
      <c r="O343" s="973" t="n"/>
      <c r="P343" s="973" t="n"/>
    </row>
    <row r="344">
      <c r="A344" s="973" t="inlineStr">
        <is>
          <t>Malicious insider</t>
        </is>
      </c>
      <c r="B344" s="973" t="inlineStr">
        <is>
          <t>SC_FRAUD</t>
        </is>
      </c>
      <c r="C344" s="973" t="inlineStr">
        <is>
          <t>Cyber-enabled theft or fraud</t>
        </is>
      </c>
      <c r="D344" s="973" t="inlineStr">
        <is>
          <t>Duration</t>
        </is>
      </c>
      <c r="E344" s="973" t="inlineStr">
        <is>
          <t>SERVER_RECOVERY</t>
        </is>
      </c>
      <c r="F344" s="973" t="inlineStr">
        <is>
          <t>P99</t>
        </is>
      </c>
      <c r="G344" s="973" t="n">
        <v>0</v>
      </c>
      <c r="H344" s="973" t="b">
        <v>0</v>
      </c>
      <c r="I344" s="973" t="inlineStr">
        <is>
          <t>D</t>
        </is>
      </c>
      <c r="J344" s="973" t="inlineStr">
        <is>
          <t>SRC-10</t>
        </is>
      </c>
      <c r="K344" s="973" t="n"/>
      <c r="L344" s="973" t="n"/>
      <c r="M344" s="973" t="n"/>
      <c r="N344" s="973" t="n"/>
      <c r="O344" s="973" t="n"/>
      <c r="P344" s="973" t="n"/>
    </row>
    <row r="345">
      <c r="A345" s="973" t="inlineStr">
        <is>
          <t>Malicious insider</t>
        </is>
      </c>
      <c r="B345" s="973" t="inlineStr">
        <is>
          <t>SC_FRAUD</t>
        </is>
      </c>
      <c r="C345" s="973" t="inlineStr">
        <is>
          <t>Cyber-enabled theft or fraud</t>
        </is>
      </c>
      <c r="D345" s="973" t="inlineStr">
        <is>
          <t>Exposure</t>
        </is>
      </c>
      <c r="E345" s="973" t="inlineStr">
        <is>
          <t>NOTIFICATION</t>
        </is>
      </c>
      <c r="F345" s="973" t="inlineStr">
        <is>
          <t>P99</t>
        </is>
      </c>
      <c r="G345" s="973" t="n">
        <v>0</v>
      </c>
      <c r="H345" s="973" t="b">
        <v>0</v>
      </c>
      <c r="I345" s="973" t="inlineStr">
        <is>
          <t>D</t>
        </is>
      </c>
      <c r="J345" s="973" t="inlineStr">
        <is>
          <t>SRC-10</t>
        </is>
      </c>
      <c r="K345" s="973" t="n"/>
      <c r="L345" s="973" t="n"/>
      <c r="M345" s="973" t="n"/>
      <c r="N345" s="973" t="n"/>
      <c r="O345" s="973" t="n"/>
      <c r="P345" s="973" t="n"/>
    </row>
    <row r="346">
      <c r="A346" s="973" t="inlineStr">
        <is>
          <t>Malicious insider</t>
        </is>
      </c>
      <c r="B346" s="973" t="inlineStr">
        <is>
          <t>SC_FRAUD</t>
        </is>
      </c>
      <c r="C346" s="973" t="inlineStr">
        <is>
          <t>Cyber-enabled theft or fraud</t>
        </is>
      </c>
      <c r="D346" s="973" t="inlineStr">
        <is>
          <t>Exposure</t>
        </is>
      </c>
      <c r="E346" s="973" t="inlineStr">
        <is>
          <t>CREDIT_MONITORING</t>
        </is>
      </c>
      <c r="F346" s="973" t="inlineStr">
        <is>
          <t>P99</t>
        </is>
      </c>
      <c r="G346" s="973" t="n">
        <v>0</v>
      </c>
      <c r="H346" s="973" t="b">
        <v>0</v>
      </c>
      <c r="I346" s="973" t="inlineStr">
        <is>
          <t>D</t>
        </is>
      </c>
      <c r="J346" s="973" t="inlineStr">
        <is>
          <t>SRC-10</t>
        </is>
      </c>
      <c r="K346" s="973" t="n"/>
      <c r="L346" s="973" t="n"/>
      <c r="M346" s="973" t="n"/>
      <c r="N346" s="973" t="n"/>
      <c r="O346" s="973" t="n"/>
      <c r="P346" s="973" t="n"/>
    </row>
    <row r="347">
      <c r="A347" s="973" t="inlineStr">
        <is>
          <t>Malicious insider</t>
        </is>
      </c>
      <c r="B347" s="973" t="inlineStr">
        <is>
          <t>SC_FRAUD</t>
        </is>
      </c>
      <c r="C347" s="973" t="inlineStr">
        <is>
          <t>Cyber-enabled theft or fraud</t>
        </is>
      </c>
      <c r="D347" s="973" t="inlineStr">
        <is>
          <t>Exposure</t>
        </is>
      </c>
      <c r="E347" s="973" t="inlineStr">
        <is>
          <t>REGULATORY</t>
        </is>
      </c>
      <c r="F347" s="973" t="inlineStr">
        <is>
          <t>P99</t>
        </is>
      </c>
      <c r="G347" s="973" t="n">
        <v>3000000</v>
      </c>
      <c r="H347" s="973" t="b">
        <v>1</v>
      </c>
      <c r="I347" s="973" t="inlineStr">
        <is>
          <t>D</t>
        </is>
      </c>
      <c r="J347" s="973" t="inlineStr">
        <is>
          <t>SRC-10</t>
        </is>
      </c>
      <c r="K347" s="973" t="n"/>
      <c r="L347" s="973" t="n"/>
      <c r="M347" s="973" t="n"/>
      <c r="N347" s="973" t="n"/>
      <c r="O347" s="973" t="n"/>
      <c r="P347" s="973" t="n"/>
    </row>
    <row r="348">
      <c r="A348" s="973" t="inlineStr">
        <is>
          <t>Malicious insider</t>
        </is>
      </c>
      <c r="B348" s="973" t="inlineStr">
        <is>
          <t>SC_FRAUD</t>
        </is>
      </c>
      <c r="C348" s="973" t="inlineStr">
        <is>
          <t>Cyber-enabled theft or fraud</t>
        </is>
      </c>
      <c r="D348" s="973" t="inlineStr">
        <is>
          <t>Exposure</t>
        </is>
      </c>
      <c r="E348" s="973" t="inlineStr">
        <is>
          <t>CUSTOMER_ATTRITION</t>
        </is>
      </c>
      <c r="F348" s="973" t="inlineStr">
        <is>
          <t>P99</t>
        </is>
      </c>
      <c r="G348" s="973" t="n">
        <v>20000000</v>
      </c>
      <c r="H348" s="973" t="b">
        <v>1</v>
      </c>
      <c r="I348" s="973" t="inlineStr">
        <is>
          <t>D</t>
        </is>
      </c>
      <c r="J348" s="973" t="inlineStr">
        <is>
          <t>SRC-10</t>
        </is>
      </c>
      <c r="K348" s="973" t="n"/>
      <c r="L348" s="973" t="n"/>
      <c r="M348" s="973" t="n"/>
      <c r="N348" s="973" t="n"/>
      <c r="O348" s="973" t="n"/>
      <c r="P348" s="973" t="n"/>
    </row>
    <row r="349">
      <c r="A349" s="973" t="inlineStr">
        <is>
          <t>Malicious insider</t>
        </is>
      </c>
      <c r="B349" s="973" t="inlineStr">
        <is>
          <t>SC_FRAUD</t>
        </is>
      </c>
      <c r="C349" s="973" t="inlineStr">
        <is>
          <t>Cyber-enabled theft or fraud</t>
        </is>
      </c>
      <c r="D349" s="973" t="inlineStr">
        <is>
          <t>Direct</t>
        </is>
      </c>
      <c r="E349" s="973" t="inlineStr">
        <is>
          <t>FRAUD_NET_RECOVERY</t>
        </is>
      </c>
      <c r="F349" s="973" t="inlineStr">
        <is>
          <t>P99</t>
        </is>
      </c>
      <c r="G349" s="973" t="n">
        <v>16438356.16438356</v>
      </c>
      <c r="H349" s="973" t="b">
        <v>1</v>
      </c>
      <c r="I349" s="973" t="inlineStr">
        <is>
          <t>D</t>
        </is>
      </c>
      <c r="J349" s="973" t="inlineStr">
        <is>
          <t>SRC-10</t>
        </is>
      </c>
      <c r="K349" s="973" t="n"/>
      <c r="L349" s="973" t="n"/>
      <c r="M349" s="973" t="n"/>
      <c r="N349" s="973" t="n"/>
      <c r="O349" s="973" t="n"/>
      <c r="P349" s="973" t="n"/>
    </row>
    <row r="350">
      <c r="A350" s="973" t="inlineStr">
        <is>
          <t>Malicious insider</t>
        </is>
      </c>
      <c r="B350" s="973" t="inlineStr">
        <is>
          <t>SC_FRAUD</t>
        </is>
      </c>
      <c r="C350" s="973" t="inlineStr">
        <is>
          <t>Cyber-enabled theft or fraud</t>
        </is>
      </c>
      <c r="D350" s="973" t="inlineStr">
        <is>
          <t>Direct</t>
        </is>
      </c>
      <c r="E350" s="973" t="inlineStr">
        <is>
          <t>EXTORTION</t>
        </is>
      </c>
      <c r="F350" s="973" t="inlineStr">
        <is>
          <t>P99</t>
        </is>
      </c>
      <c r="G350" s="973" t="n">
        <v>0</v>
      </c>
      <c r="H350" s="973" t="b">
        <v>0</v>
      </c>
      <c r="I350" s="973" t="inlineStr">
        <is>
          <t>D</t>
        </is>
      </c>
      <c r="J350" s="973" t="inlineStr">
        <is>
          <t>SRC-10</t>
        </is>
      </c>
      <c r="K350" s="973" t="n"/>
      <c r="L350" s="973" t="n"/>
      <c r="M350" s="973" t="n"/>
      <c r="N350" s="973" t="n"/>
      <c r="O350" s="973" t="n"/>
      <c r="P350" s="973" t="n"/>
    </row>
    <row r="351">
      <c r="A351" s="973" t="inlineStr">
        <is>
          <t>Malicious insider</t>
        </is>
      </c>
      <c r="B351" s="973" t="inlineStr">
        <is>
          <t>SC_FRAUD</t>
        </is>
      </c>
      <c r="C351" s="973" t="inlineStr">
        <is>
          <t>Cyber-enabled theft or fraud</t>
        </is>
      </c>
      <c r="D351" s="973" t="inlineStr">
        <is>
          <t>Direct</t>
        </is>
      </c>
      <c r="E351" s="973" t="inlineStr">
        <is>
          <t>POST_EVENT_UPLIFT</t>
        </is>
      </c>
      <c r="F351" s="973" t="inlineStr">
        <is>
          <t>P99</t>
        </is>
      </c>
      <c r="G351" s="973" t="n">
        <v>5000000</v>
      </c>
      <c r="H351" s="973" t="b">
        <v>1</v>
      </c>
      <c r="I351" s="973" t="inlineStr">
        <is>
          <t>D</t>
        </is>
      </c>
      <c r="J351" s="973" t="inlineStr">
        <is>
          <t>SRC-10</t>
        </is>
      </c>
      <c r="K351" s="973" t="n"/>
      <c r="L351" s="973" t="n"/>
      <c r="M351" s="973" t="n"/>
      <c r="N351" s="973" t="n"/>
      <c r="O351" s="973" t="n"/>
      <c r="P351" s="973" t="n"/>
    </row>
    <row r="352">
      <c r="A352" s="973" t="inlineStr">
        <is>
          <t>Hacktivist</t>
        </is>
      </c>
      <c r="B352" s="973" t="inlineStr">
        <is>
          <t>SC_DISR</t>
        </is>
      </c>
      <c r="C352" s="973" t="inlineStr">
        <is>
          <t>Critical business-service disruption</t>
        </is>
      </c>
      <c r="D352" s="973" t="inlineStr">
        <is>
          <t>Duration</t>
        </is>
      </c>
      <c r="E352" s="973" t="inlineStr">
        <is>
          <t>IR_FORENSICS</t>
        </is>
      </c>
      <c r="F352" s="973" t="inlineStr">
        <is>
          <t>P50</t>
        </is>
      </c>
      <c r="G352" s="973" t="n">
        <v>20000</v>
      </c>
      <c r="H352" s="973" t="b">
        <v>1</v>
      </c>
      <c r="I352" s="973" t="inlineStr">
        <is>
          <t>D</t>
        </is>
      </c>
      <c r="J352" s="973" t="inlineStr">
        <is>
          <t>SRC-10</t>
        </is>
      </c>
      <c r="K352" s="973" t="n"/>
      <c r="L352" s="973" t="n"/>
      <c r="M352" s="973" t="n"/>
      <c r="N352" s="973" t="n"/>
      <c r="O352" s="973" t="n"/>
      <c r="P352" s="973" t="n"/>
    </row>
    <row r="353">
      <c r="A353" s="973" t="inlineStr">
        <is>
          <t>Hacktivist</t>
        </is>
      </c>
      <c r="B353" s="973" t="inlineStr">
        <is>
          <t>SC_DISR</t>
        </is>
      </c>
      <c r="C353" s="973" t="inlineStr">
        <is>
          <t>Critical business-service disruption</t>
        </is>
      </c>
      <c r="D353" s="973" t="inlineStr">
        <is>
          <t>Duration</t>
        </is>
      </c>
      <c r="E353" s="973" t="inlineStr">
        <is>
          <t>EXTERNAL_RESPONSE</t>
        </is>
      </c>
      <c r="F353" s="973" t="inlineStr">
        <is>
          <t>P50</t>
        </is>
      </c>
      <c r="G353" s="973" t="n">
        <v>30000</v>
      </c>
      <c r="H353" s="973" t="b">
        <v>1</v>
      </c>
      <c r="I353" s="973" t="inlineStr">
        <is>
          <t>D</t>
        </is>
      </c>
      <c r="J353" s="973" t="inlineStr">
        <is>
          <t>SRC-10</t>
        </is>
      </c>
      <c r="K353" s="973" t="n"/>
      <c r="L353" s="973" t="n"/>
      <c r="M353" s="973" t="n"/>
      <c r="N353" s="973" t="n"/>
      <c r="O353" s="973" t="n"/>
      <c r="P353" s="973" t="n"/>
    </row>
    <row r="354">
      <c r="A354" s="973" t="inlineStr">
        <is>
          <t>Hacktivist</t>
        </is>
      </c>
      <c r="B354" s="973" t="inlineStr">
        <is>
          <t>SC_DISR</t>
        </is>
      </c>
      <c r="C354" s="973" t="inlineStr">
        <is>
          <t>Critical business-service disruption</t>
        </is>
      </c>
      <c r="D354" s="973" t="inlineStr">
        <is>
          <t>Duration</t>
        </is>
      </c>
      <c r="E354" s="973" t="inlineStr">
        <is>
          <t>LEGAL_RESPONSE</t>
        </is>
      </c>
      <c r="F354" s="973" t="inlineStr">
        <is>
          <t>P50</t>
        </is>
      </c>
      <c r="G354" s="973" t="n">
        <v>25000</v>
      </c>
      <c r="H354" s="973" t="b">
        <v>1</v>
      </c>
      <c r="I354" s="973" t="inlineStr">
        <is>
          <t>D</t>
        </is>
      </c>
      <c r="J354" s="973" t="inlineStr">
        <is>
          <t>SRC-10</t>
        </is>
      </c>
      <c r="K354" s="973" t="n"/>
      <c r="L354" s="973" t="n"/>
      <c r="M354" s="973" t="n"/>
      <c r="N354" s="973" t="n"/>
      <c r="O354" s="973" t="n"/>
      <c r="P354" s="973" t="n"/>
    </row>
    <row r="355">
      <c r="A355" s="973" t="inlineStr">
        <is>
          <t>Hacktivist</t>
        </is>
      </c>
      <c r="B355" s="973" t="inlineStr">
        <is>
          <t>SC_DISR</t>
        </is>
      </c>
      <c r="C355" s="973" t="inlineStr">
        <is>
          <t>Critical business-service disruption</t>
        </is>
      </c>
      <c r="D355" s="973" t="inlineStr">
        <is>
          <t>Duration</t>
        </is>
      </c>
      <c r="E355" s="973" t="inlineStr">
        <is>
          <t>RESTORATION</t>
        </is>
      </c>
      <c r="F355" s="973" t="inlineStr">
        <is>
          <t>P50</t>
        </is>
      </c>
      <c r="G355" s="973" t="n">
        <v>30000</v>
      </c>
      <c r="H355" s="973" t="b">
        <v>1</v>
      </c>
      <c r="I355" s="973" t="inlineStr">
        <is>
          <t>D</t>
        </is>
      </c>
      <c r="J355" s="973" t="inlineStr">
        <is>
          <t>SRC-10</t>
        </is>
      </c>
      <c r="K355" s="973" t="n"/>
      <c r="L355" s="973" t="n"/>
      <c r="M355" s="973" t="n"/>
      <c r="N355" s="973" t="n"/>
      <c r="O355" s="973" t="n"/>
      <c r="P355" s="973" t="n"/>
    </row>
    <row r="356">
      <c r="A356" s="973" t="inlineStr">
        <is>
          <t>Hacktivist</t>
        </is>
      </c>
      <c r="B356" s="973" t="inlineStr">
        <is>
          <t>SC_DISR</t>
        </is>
      </c>
      <c r="C356" s="973" t="inlineStr">
        <is>
          <t>Critical business-service disruption</t>
        </is>
      </c>
      <c r="D356" s="973" t="inlineStr">
        <is>
          <t>Duration</t>
        </is>
      </c>
      <c r="E356" s="973" t="inlineStr">
        <is>
          <t>BUSINESS_INTERRUPTION</t>
        </is>
      </c>
      <c r="F356" s="973" t="inlineStr">
        <is>
          <t>P50</t>
        </is>
      </c>
      <c r="G356" s="973" t="n">
        <v>2465753.424657534</v>
      </c>
      <c r="H356" s="973" t="b">
        <v>1</v>
      </c>
      <c r="I356" s="973" t="inlineStr">
        <is>
          <t>D</t>
        </is>
      </c>
      <c r="J356" s="973" t="inlineStr">
        <is>
          <t>SRC-10</t>
        </is>
      </c>
      <c r="K356" s="973" t="n"/>
      <c r="L356" s="973" t="n"/>
      <c r="M356" s="973" t="n"/>
      <c r="N356" s="973" t="n"/>
      <c r="O356" s="973" t="n"/>
      <c r="P356" s="973" t="n"/>
    </row>
    <row r="357">
      <c r="A357" s="973" t="inlineStr">
        <is>
          <t>Hacktivist</t>
        </is>
      </c>
      <c r="B357" s="973" t="inlineStr">
        <is>
          <t>SC_DISR</t>
        </is>
      </c>
      <c r="C357" s="973" t="inlineStr">
        <is>
          <t>Critical business-service disruption</t>
        </is>
      </c>
      <c r="D357" s="973" t="inlineStr">
        <is>
          <t>Duration</t>
        </is>
      </c>
      <c r="E357" s="973" t="inlineStr">
        <is>
          <t>ENDPOINT_RECOVERY</t>
        </is>
      </c>
      <c r="F357" s="973" t="inlineStr">
        <is>
          <t>P50</t>
        </is>
      </c>
      <c r="G357" s="973" t="n">
        <v>100000</v>
      </c>
      <c r="H357" s="973" t="b">
        <v>1</v>
      </c>
      <c r="I357" s="973" t="inlineStr">
        <is>
          <t>D</t>
        </is>
      </c>
      <c r="J357" s="973" t="inlineStr">
        <is>
          <t>SRC-10</t>
        </is>
      </c>
      <c r="K357" s="973" t="n"/>
      <c r="L357" s="973" t="n"/>
      <c r="M357" s="973" t="n"/>
      <c r="N357" s="973" t="n"/>
      <c r="O357" s="973" t="n"/>
      <c r="P357" s="973" t="n"/>
    </row>
    <row r="358">
      <c r="A358" s="973" t="inlineStr">
        <is>
          <t>Hacktivist</t>
        </is>
      </c>
      <c r="B358" s="973" t="inlineStr">
        <is>
          <t>SC_DISR</t>
        </is>
      </c>
      <c r="C358" s="973" t="inlineStr">
        <is>
          <t>Critical business-service disruption</t>
        </is>
      </c>
      <c r="D358" s="973" t="inlineStr">
        <is>
          <t>Duration</t>
        </is>
      </c>
      <c r="E358" s="973" t="inlineStr">
        <is>
          <t>SERVER_RECOVERY</t>
        </is>
      </c>
      <c r="F358" s="973" t="inlineStr">
        <is>
          <t>P50</t>
        </is>
      </c>
      <c r="G358" s="973" t="n">
        <v>250000</v>
      </c>
      <c r="H358" s="973" t="b">
        <v>1</v>
      </c>
      <c r="I358" s="973" t="inlineStr">
        <is>
          <t>D</t>
        </is>
      </c>
      <c r="J358" s="973" t="inlineStr">
        <is>
          <t>SRC-10</t>
        </is>
      </c>
      <c r="K358" s="973" t="n"/>
      <c r="L358" s="973" t="n"/>
      <c r="M358" s="973" t="n"/>
      <c r="N358" s="973" t="n"/>
      <c r="O358" s="973" t="n"/>
      <c r="P358" s="973" t="n"/>
    </row>
    <row r="359">
      <c r="A359" s="973" t="inlineStr">
        <is>
          <t>Hacktivist</t>
        </is>
      </c>
      <c r="B359" s="973" t="inlineStr">
        <is>
          <t>SC_DISR</t>
        </is>
      </c>
      <c r="C359" s="973" t="inlineStr">
        <is>
          <t>Critical business-service disruption</t>
        </is>
      </c>
      <c r="D359" s="973" t="inlineStr">
        <is>
          <t>Exposure</t>
        </is>
      </c>
      <c r="E359" s="973" t="inlineStr">
        <is>
          <t>NOTIFICATION</t>
        </is>
      </c>
      <c r="F359" s="973" t="inlineStr">
        <is>
          <t>P50</t>
        </is>
      </c>
      <c r="G359" s="973" t="n">
        <v>0</v>
      </c>
      <c r="H359" s="973" t="b">
        <v>0</v>
      </c>
      <c r="I359" s="973" t="inlineStr">
        <is>
          <t>D</t>
        </is>
      </c>
      <c r="J359" s="973" t="inlineStr">
        <is>
          <t>SRC-10</t>
        </is>
      </c>
      <c r="K359" s="973" t="n"/>
      <c r="L359" s="973" t="n"/>
      <c r="M359" s="973" t="n"/>
      <c r="N359" s="973" t="n"/>
      <c r="O359" s="973" t="n"/>
      <c r="P359" s="973" t="n"/>
    </row>
    <row r="360">
      <c r="A360" s="973" t="inlineStr">
        <is>
          <t>Hacktivist</t>
        </is>
      </c>
      <c r="B360" s="973" t="inlineStr">
        <is>
          <t>SC_DISR</t>
        </is>
      </c>
      <c r="C360" s="973" t="inlineStr">
        <is>
          <t>Critical business-service disruption</t>
        </is>
      </c>
      <c r="D360" s="973" t="inlineStr">
        <is>
          <t>Exposure</t>
        </is>
      </c>
      <c r="E360" s="973" t="inlineStr">
        <is>
          <t>CREDIT_MONITORING</t>
        </is>
      </c>
      <c r="F360" s="973" t="inlineStr">
        <is>
          <t>P50</t>
        </is>
      </c>
      <c r="G360" s="973" t="n">
        <v>0</v>
      </c>
      <c r="H360" s="973" t="b">
        <v>0</v>
      </c>
      <c r="I360" s="973" t="inlineStr">
        <is>
          <t>D</t>
        </is>
      </c>
      <c r="J360" s="973" t="inlineStr">
        <is>
          <t>SRC-10</t>
        </is>
      </c>
      <c r="K360" s="973" t="n"/>
      <c r="L360" s="973" t="n"/>
      <c r="M360" s="973" t="n"/>
      <c r="N360" s="973" t="n"/>
      <c r="O360" s="973" t="n"/>
      <c r="P360" s="973" t="n"/>
    </row>
    <row r="361">
      <c r="A361" s="973" t="inlineStr">
        <is>
          <t>Hacktivist</t>
        </is>
      </c>
      <c r="B361" s="973" t="inlineStr">
        <is>
          <t>SC_DISR</t>
        </is>
      </c>
      <c r="C361" s="973" t="inlineStr">
        <is>
          <t>Critical business-service disruption</t>
        </is>
      </c>
      <c r="D361" s="973" t="inlineStr">
        <is>
          <t>Exposure</t>
        </is>
      </c>
      <c r="E361" s="973" t="inlineStr">
        <is>
          <t>REGULATORY</t>
        </is>
      </c>
      <c r="F361" s="973" t="inlineStr">
        <is>
          <t>P50</t>
        </is>
      </c>
      <c r="G361" s="973" t="n">
        <v>0</v>
      </c>
      <c r="H361" s="973" t="b">
        <v>0</v>
      </c>
      <c r="I361" s="973" t="inlineStr">
        <is>
          <t>D</t>
        </is>
      </c>
      <c r="J361" s="973" t="inlineStr">
        <is>
          <t>SRC-10</t>
        </is>
      </c>
      <c r="K361" s="973" t="n"/>
      <c r="L361" s="973" t="n"/>
      <c r="M361" s="973" t="n"/>
      <c r="N361" s="973" t="n"/>
      <c r="O361" s="973" t="n"/>
      <c r="P361" s="973" t="n"/>
    </row>
    <row r="362">
      <c r="A362" s="973" t="inlineStr">
        <is>
          <t>Hacktivist</t>
        </is>
      </c>
      <c r="B362" s="973" t="inlineStr">
        <is>
          <t>SC_DISR</t>
        </is>
      </c>
      <c r="C362" s="973" t="inlineStr">
        <is>
          <t>Critical business-service disruption</t>
        </is>
      </c>
      <c r="D362" s="973" t="inlineStr">
        <is>
          <t>Exposure</t>
        </is>
      </c>
      <c r="E362" s="973" t="inlineStr">
        <is>
          <t>CUSTOMER_ATTRITION</t>
        </is>
      </c>
      <c r="F362" s="973" t="inlineStr">
        <is>
          <t>P50</t>
        </is>
      </c>
      <c r="G362" s="973" t="n">
        <v>1000000</v>
      </c>
      <c r="H362" s="973" t="b">
        <v>1</v>
      </c>
      <c r="I362" s="973" t="inlineStr">
        <is>
          <t>D</t>
        </is>
      </c>
      <c r="J362" s="973" t="inlineStr">
        <is>
          <t>SRC-10</t>
        </is>
      </c>
      <c r="K362" s="973" t="n"/>
      <c r="L362" s="973" t="n"/>
      <c r="M362" s="973" t="n"/>
      <c r="N362" s="973" t="n"/>
      <c r="O362" s="973" t="n"/>
      <c r="P362" s="973" t="n"/>
    </row>
    <row r="363">
      <c r="A363" s="973" t="inlineStr">
        <is>
          <t>Hacktivist</t>
        </is>
      </c>
      <c r="B363" s="973" t="inlineStr">
        <is>
          <t>SC_DISR</t>
        </is>
      </c>
      <c r="C363" s="973" t="inlineStr">
        <is>
          <t>Critical business-service disruption</t>
        </is>
      </c>
      <c r="D363" s="973" t="inlineStr">
        <is>
          <t>Direct</t>
        </is>
      </c>
      <c r="E363" s="973" t="inlineStr">
        <is>
          <t>FRAUD_NET_RECOVERY</t>
        </is>
      </c>
      <c r="F363" s="973" t="inlineStr">
        <is>
          <t>P50</t>
        </is>
      </c>
      <c r="G363" s="973" t="n">
        <v>0</v>
      </c>
      <c r="H363" s="973" t="b">
        <v>0</v>
      </c>
      <c r="I363" s="973" t="inlineStr">
        <is>
          <t>D</t>
        </is>
      </c>
      <c r="J363" s="973" t="inlineStr">
        <is>
          <t>SRC-10</t>
        </is>
      </c>
      <c r="K363" s="973" t="n"/>
      <c r="L363" s="973" t="n"/>
      <c r="M363" s="973" t="n"/>
      <c r="N363" s="973" t="n"/>
      <c r="O363" s="973" t="n"/>
      <c r="P363" s="973" t="n"/>
    </row>
    <row r="364">
      <c r="A364" s="973" t="inlineStr">
        <is>
          <t>Hacktivist</t>
        </is>
      </c>
      <c r="B364" s="973" t="inlineStr">
        <is>
          <t>SC_DISR</t>
        </is>
      </c>
      <c r="C364" s="973" t="inlineStr">
        <is>
          <t>Critical business-service disruption</t>
        </is>
      </c>
      <c r="D364" s="973" t="inlineStr">
        <is>
          <t>Direct</t>
        </is>
      </c>
      <c r="E364" s="973" t="inlineStr">
        <is>
          <t>EXTORTION</t>
        </is>
      </c>
      <c r="F364" s="973" t="inlineStr">
        <is>
          <t>P50</t>
        </is>
      </c>
      <c r="G364" s="973" t="n">
        <v>0</v>
      </c>
      <c r="H364" s="973" t="b">
        <v>0</v>
      </c>
      <c r="I364" s="973" t="inlineStr">
        <is>
          <t>D</t>
        </is>
      </c>
      <c r="J364" s="973" t="inlineStr">
        <is>
          <t>SRC-10</t>
        </is>
      </c>
      <c r="K364" s="973" t="n"/>
      <c r="L364" s="973" t="n"/>
      <c r="M364" s="973" t="n"/>
      <c r="N364" s="973" t="n"/>
      <c r="O364" s="973" t="n"/>
      <c r="P364" s="973" t="n"/>
    </row>
    <row r="365">
      <c r="A365" s="973" t="inlineStr">
        <is>
          <t>Hacktivist</t>
        </is>
      </c>
      <c r="B365" s="973" t="inlineStr">
        <is>
          <t>SC_DISR</t>
        </is>
      </c>
      <c r="C365" s="973" t="inlineStr">
        <is>
          <t>Critical business-service disruption</t>
        </is>
      </c>
      <c r="D365" s="973" t="inlineStr">
        <is>
          <t>Direct</t>
        </is>
      </c>
      <c r="E365" s="973" t="inlineStr">
        <is>
          <t>POST_EVENT_UPLIFT</t>
        </is>
      </c>
      <c r="F365" s="973" t="inlineStr">
        <is>
          <t>P50</t>
        </is>
      </c>
      <c r="G365" s="973" t="n">
        <v>500000</v>
      </c>
      <c r="H365" s="973" t="b">
        <v>1</v>
      </c>
      <c r="I365" s="973" t="inlineStr">
        <is>
          <t>D</t>
        </is>
      </c>
      <c r="J365" s="973" t="inlineStr">
        <is>
          <t>SRC-10</t>
        </is>
      </c>
      <c r="K365" s="973" t="n"/>
      <c r="L365" s="973" t="n"/>
      <c r="M365" s="973" t="n"/>
      <c r="N365" s="973" t="n"/>
      <c r="O365" s="973" t="n"/>
      <c r="P365" s="973" t="n"/>
    </row>
    <row r="366">
      <c r="A366" s="973" t="inlineStr">
        <is>
          <t>Hacktivist</t>
        </is>
      </c>
      <c r="B366" s="973" t="inlineStr">
        <is>
          <t>SC_DISR</t>
        </is>
      </c>
      <c r="C366" s="973" t="inlineStr">
        <is>
          <t>Critical business-service disruption</t>
        </is>
      </c>
      <c r="D366" s="973" t="inlineStr">
        <is>
          <t>Duration</t>
        </is>
      </c>
      <c r="E366" s="973" t="inlineStr">
        <is>
          <t>IR_FORENSICS</t>
        </is>
      </c>
      <c r="F366" s="973" t="inlineStr">
        <is>
          <t>P99</t>
        </is>
      </c>
      <c r="G366" s="973" t="n">
        <v>240000</v>
      </c>
      <c r="H366" s="973" t="b">
        <v>1</v>
      </c>
      <c r="I366" s="973" t="inlineStr">
        <is>
          <t>D</t>
        </is>
      </c>
      <c r="J366" s="973" t="inlineStr">
        <is>
          <t>SRC-10</t>
        </is>
      </c>
      <c r="K366" s="973" t="n"/>
      <c r="L366" s="973" t="n"/>
      <c r="M366" s="973" t="n"/>
      <c r="N366" s="973" t="n"/>
      <c r="O366" s="973" t="n"/>
      <c r="P366" s="973" t="n"/>
    </row>
    <row r="367">
      <c r="A367" s="973" t="inlineStr">
        <is>
          <t>Hacktivist</t>
        </is>
      </c>
      <c r="B367" s="973" t="inlineStr">
        <is>
          <t>SC_DISR</t>
        </is>
      </c>
      <c r="C367" s="973" t="inlineStr">
        <is>
          <t>Critical business-service disruption</t>
        </is>
      </c>
      <c r="D367" s="973" t="inlineStr">
        <is>
          <t>Duration</t>
        </is>
      </c>
      <c r="E367" s="973" t="inlineStr">
        <is>
          <t>EXTERNAL_RESPONSE</t>
        </is>
      </c>
      <c r="F367" s="973" t="inlineStr">
        <is>
          <t>P99</t>
        </is>
      </c>
      <c r="G367" s="973" t="n">
        <v>450000</v>
      </c>
      <c r="H367" s="973" t="b">
        <v>1</v>
      </c>
      <c r="I367" s="973" t="inlineStr">
        <is>
          <t>D</t>
        </is>
      </c>
      <c r="J367" s="973" t="inlineStr">
        <is>
          <t>SRC-10</t>
        </is>
      </c>
      <c r="K367" s="973" t="n"/>
      <c r="L367" s="973" t="n"/>
      <c r="M367" s="973" t="n"/>
      <c r="N367" s="973" t="n"/>
      <c r="O367" s="973" t="n"/>
      <c r="P367" s="973" t="n"/>
    </row>
    <row r="368">
      <c r="A368" s="973" t="inlineStr">
        <is>
          <t>Hacktivist</t>
        </is>
      </c>
      <c r="B368" s="973" t="inlineStr">
        <is>
          <t>SC_DISR</t>
        </is>
      </c>
      <c r="C368" s="973" t="inlineStr">
        <is>
          <t>Critical business-service disruption</t>
        </is>
      </c>
      <c r="D368" s="973" t="inlineStr">
        <is>
          <t>Duration</t>
        </is>
      </c>
      <c r="E368" s="973" t="inlineStr">
        <is>
          <t>LEGAL_RESPONSE</t>
        </is>
      </c>
      <c r="F368" s="973" t="inlineStr">
        <is>
          <t>P99</t>
        </is>
      </c>
      <c r="G368" s="973" t="n">
        <v>450000</v>
      </c>
      <c r="H368" s="973" t="b">
        <v>1</v>
      </c>
      <c r="I368" s="973" t="inlineStr">
        <is>
          <t>D</t>
        </is>
      </c>
      <c r="J368" s="973" t="inlineStr">
        <is>
          <t>SRC-10</t>
        </is>
      </c>
      <c r="K368" s="973" t="n"/>
      <c r="L368" s="973" t="n"/>
      <c r="M368" s="973" t="n"/>
      <c r="N368" s="973" t="n"/>
      <c r="O368" s="973" t="n"/>
      <c r="P368" s="973" t="n"/>
    </row>
    <row r="369">
      <c r="A369" s="973" t="inlineStr">
        <is>
          <t>Hacktivist</t>
        </is>
      </c>
      <c r="B369" s="973" t="inlineStr">
        <is>
          <t>SC_DISR</t>
        </is>
      </c>
      <c r="C369" s="973" t="inlineStr">
        <is>
          <t>Critical business-service disruption</t>
        </is>
      </c>
      <c r="D369" s="973" t="inlineStr">
        <is>
          <t>Duration</t>
        </is>
      </c>
      <c r="E369" s="973" t="inlineStr">
        <is>
          <t>RESTORATION</t>
        </is>
      </c>
      <c r="F369" s="973" t="inlineStr">
        <is>
          <t>P99</t>
        </is>
      </c>
      <c r="G369" s="973" t="n">
        <v>480000</v>
      </c>
      <c r="H369" s="973" t="b">
        <v>1</v>
      </c>
      <c r="I369" s="973" t="inlineStr">
        <is>
          <t>D</t>
        </is>
      </c>
      <c r="J369" s="973" t="inlineStr">
        <is>
          <t>SRC-10</t>
        </is>
      </c>
      <c r="K369" s="973" t="n"/>
      <c r="L369" s="973" t="n"/>
      <c r="M369" s="973" t="n"/>
      <c r="N369" s="973" t="n"/>
      <c r="O369" s="973" t="n"/>
      <c r="P369" s="973" t="n"/>
    </row>
    <row r="370">
      <c r="A370" s="973" t="inlineStr">
        <is>
          <t>Hacktivist</t>
        </is>
      </c>
      <c r="B370" s="973" t="inlineStr">
        <is>
          <t>SC_DISR</t>
        </is>
      </c>
      <c r="C370" s="973" t="inlineStr">
        <is>
          <t>Critical business-service disruption</t>
        </is>
      </c>
      <c r="D370" s="973" t="inlineStr">
        <is>
          <t>Duration</t>
        </is>
      </c>
      <c r="E370" s="973" t="inlineStr">
        <is>
          <t>BUSINESS_INTERRUPTION</t>
        </is>
      </c>
      <c r="F370" s="973" t="inlineStr">
        <is>
          <t>P99</t>
        </is>
      </c>
      <c r="G370" s="973" t="n">
        <v>69863013.69863012</v>
      </c>
      <c r="H370" s="973" t="b">
        <v>1</v>
      </c>
      <c r="I370" s="973" t="inlineStr">
        <is>
          <t>D</t>
        </is>
      </c>
      <c r="J370" s="973" t="inlineStr">
        <is>
          <t>SRC-10</t>
        </is>
      </c>
      <c r="K370" s="973" t="n"/>
      <c r="L370" s="973" t="n"/>
      <c r="M370" s="973" t="n"/>
      <c r="N370" s="973" t="n"/>
      <c r="O370" s="973" t="n"/>
      <c r="P370" s="973" t="n"/>
    </row>
    <row r="371">
      <c r="A371" s="973" t="inlineStr">
        <is>
          <t>Hacktivist</t>
        </is>
      </c>
      <c r="B371" s="973" t="inlineStr">
        <is>
          <t>SC_DISR</t>
        </is>
      </c>
      <c r="C371" s="973" t="inlineStr">
        <is>
          <t>Critical business-service disruption</t>
        </is>
      </c>
      <c r="D371" s="973" t="inlineStr">
        <is>
          <t>Duration</t>
        </is>
      </c>
      <c r="E371" s="973" t="inlineStr">
        <is>
          <t>ENDPOINT_RECOVERY</t>
        </is>
      </c>
      <c r="F371" s="973" t="inlineStr">
        <is>
          <t>P99</t>
        </is>
      </c>
      <c r="G371" s="973" t="n">
        <v>1250000</v>
      </c>
      <c r="H371" s="973" t="b">
        <v>1</v>
      </c>
      <c r="I371" s="973" t="inlineStr">
        <is>
          <t>D</t>
        </is>
      </c>
      <c r="J371" s="973" t="inlineStr">
        <is>
          <t>SRC-10</t>
        </is>
      </c>
      <c r="K371" s="973" t="n"/>
      <c r="L371" s="973" t="n"/>
      <c r="M371" s="973" t="n"/>
      <c r="N371" s="973" t="n"/>
      <c r="O371" s="973" t="n"/>
      <c r="P371" s="973" t="n"/>
    </row>
    <row r="372">
      <c r="A372" s="973" t="inlineStr">
        <is>
          <t>Hacktivist</t>
        </is>
      </c>
      <c r="B372" s="973" t="inlineStr">
        <is>
          <t>SC_DISR</t>
        </is>
      </c>
      <c r="C372" s="973" t="inlineStr">
        <is>
          <t>Critical business-service disruption</t>
        </is>
      </c>
      <c r="D372" s="973" t="inlineStr">
        <is>
          <t>Duration</t>
        </is>
      </c>
      <c r="E372" s="973" t="inlineStr">
        <is>
          <t>SERVER_RECOVERY</t>
        </is>
      </c>
      <c r="F372" s="973" t="inlineStr">
        <is>
          <t>P99</t>
        </is>
      </c>
      <c r="G372" s="973" t="n">
        <v>2400000</v>
      </c>
      <c r="H372" s="973" t="b">
        <v>1</v>
      </c>
      <c r="I372" s="973" t="inlineStr">
        <is>
          <t>D</t>
        </is>
      </c>
      <c r="J372" s="973" t="inlineStr">
        <is>
          <t>SRC-10</t>
        </is>
      </c>
      <c r="K372" s="973" t="n"/>
      <c r="L372" s="973" t="n"/>
      <c r="M372" s="973" t="n"/>
      <c r="N372" s="973" t="n"/>
      <c r="O372" s="973" t="n"/>
      <c r="P372" s="973" t="n"/>
    </row>
    <row r="373">
      <c r="A373" s="973" t="inlineStr">
        <is>
          <t>Hacktivist</t>
        </is>
      </c>
      <c r="B373" s="973" t="inlineStr">
        <is>
          <t>SC_DISR</t>
        </is>
      </c>
      <c r="C373" s="973" t="inlineStr">
        <is>
          <t>Critical business-service disruption</t>
        </is>
      </c>
      <c r="D373" s="973" t="inlineStr">
        <is>
          <t>Exposure</t>
        </is>
      </c>
      <c r="E373" s="973" t="inlineStr">
        <is>
          <t>NOTIFICATION</t>
        </is>
      </c>
      <c r="F373" s="973" t="inlineStr">
        <is>
          <t>P99</t>
        </is>
      </c>
      <c r="G373" s="973" t="n">
        <v>0</v>
      </c>
      <c r="H373" s="973" t="b">
        <v>0</v>
      </c>
      <c r="I373" s="973" t="inlineStr">
        <is>
          <t>D</t>
        </is>
      </c>
      <c r="J373" s="973" t="inlineStr">
        <is>
          <t>SRC-10</t>
        </is>
      </c>
      <c r="K373" s="973" t="n"/>
      <c r="L373" s="973" t="n"/>
      <c r="M373" s="973" t="n"/>
      <c r="N373" s="973" t="n"/>
      <c r="O373" s="973" t="n"/>
      <c r="P373" s="973" t="n"/>
    </row>
    <row r="374">
      <c r="A374" s="973" t="inlineStr">
        <is>
          <t>Hacktivist</t>
        </is>
      </c>
      <c r="B374" s="973" t="inlineStr">
        <is>
          <t>SC_DISR</t>
        </is>
      </c>
      <c r="C374" s="973" t="inlineStr">
        <is>
          <t>Critical business-service disruption</t>
        </is>
      </c>
      <c r="D374" s="973" t="inlineStr">
        <is>
          <t>Exposure</t>
        </is>
      </c>
      <c r="E374" s="973" t="inlineStr">
        <is>
          <t>CREDIT_MONITORING</t>
        </is>
      </c>
      <c r="F374" s="973" t="inlineStr">
        <is>
          <t>P99</t>
        </is>
      </c>
      <c r="G374" s="973" t="n">
        <v>0</v>
      </c>
      <c r="H374" s="973" t="b">
        <v>0</v>
      </c>
      <c r="I374" s="973" t="inlineStr">
        <is>
          <t>D</t>
        </is>
      </c>
      <c r="J374" s="973" t="inlineStr">
        <is>
          <t>SRC-10</t>
        </is>
      </c>
      <c r="K374" s="973" t="n"/>
      <c r="L374" s="973" t="n"/>
      <c r="M374" s="973" t="n"/>
      <c r="N374" s="973" t="n"/>
      <c r="O374" s="973" t="n"/>
      <c r="P374" s="973" t="n"/>
    </row>
    <row r="375">
      <c r="A375" s="973" t="inlineStr">
        <is>
          <t>Hacktivist</t>
        </is>
      </c>
      <c r="B375" s="973" t="inlineStr">
        <is>
          <t>SC_DISR</t>
        </is>
      </c>
      <c r="C375" s="973" t="inlineStr">
        <is>
          <t>Critical business-service disruption</t>
        </is>
      </c>
      <c r="D375" s="973" t="inlineStr">
        <is>
          <t>Exposure</t>
        </is>
      </c>
      <c r="E375" s="973" t="inlineStr">
        <is>
          <t>REGULATORY</t>
        </is>
      </c>
      <c r="F375" s="973" t="inlineStr">
        <is>
          <t>P99</t>
        </is>
      </c>
      <c r="G375" s="973" t="n">
        <v>0</v>
      </c>
      <c r="H375" s="973" t="b">
        <v>0</v>
      </c>
      <c r="I375" s="973" t="inlineStr">
        <is>
          <t>D</t>
        </is>
      </c>
      <c r="J375" s="973" t="inlineStr">
        <is>
          <t>SRC-10</t>
        </is>
      </c>
      <c r="K375" s="973" t="n"/>
      <c r="L375" s="973" t="n"/>
      <c r="M375" s="973" t="n"/>
      <c r="N375" s="973" t="n"/>
      <c r="O375" s="973" t="n"/>
      <c r="P375" s="973" t="n"/>
    </row>
    <row r="376">
      <c r="A376" s="973" t="inlineStr">
        <is>
          <t>Hacktivist</t>
        </is>
      </c>
      <c r="B376" s="973" t="inlineStr">
        <is>
          <t>SC_DISR</t>
        </is>
      </c>
      <c r="C376" s="973" t="inlineStr">
        <is>
          <t>Critical business-service disruption</t>
        </is>
      </c>
      <c r="D376" s="973" t="inlineStr">
        <is>
          <t>Exposure</t>
        </is>
      </c>
      <c r="E376" s="973" t="inlineStr">
        <is>
          <t>CUSTOMER_ATTRITION</t>
        </is>
      </c>
      <c r="F376" s="973" t="inlineStr">
        <is>
          <t>P99</t>
        </is>
      </c>
      <c r="G376" s="973" t="n">
        <v>10000000</v>
      </c>
      <c r="H376" s="973" t="b">
        <v>1</v>
      </c>
      <c r="I376" s="973" t="inlineStr">
        <is>
          <t>D</t>
        </is>
      </c>
      <c r="J376" s="973" t="inlineStr">
        <is>
          <t>SRC-10</t>
        </is>
      </c>
      <c r="K376" s="973" t="n"/>
      <c r="L376" s="973" t="n"/>
      <c r="M376" s="973" t="n"/>
      <c r="N376" s="973" t="n"/>
      <c r="O376" s="973" t="n"/>
      <c r="P376" s="973" t="n"/>
    </row>
    <row r="377">
      <c r="A377" s="973" t="inlineStr">
        <is>
          <t>Hacktivist</t>
        </is>
      </c>
      <c r="B377" s="973" t="inlineStr">
        <is>
          <t>SC_DISR</t>
        </is>
      </c>
      <c r="C377" s="973" t="inlineStr">
        <is>
          <t>Critical business-service disruption</t>
        </is>
      </c>
      <c r="D377" s="973" t="inlineStr">
        <is>
          <t>Direct</t>
        </is>
      </c>
      <c r="E377" s="973" t="inlineStr">
        <is>
          <t>FRAUD_NET_RECOVERY</t>
        </is>
      </c>
      <c r="F377" s="973" t="inlineStr">
        <is>
          <t>P99</t>
        </is>
      </c>
      <c r="G377" s="973" t="n">
        <v>0</v>
      </c>
      <c r="H377" s="973" t="b">
        <v>0</v>
      </c>
      <c r="I377" s="973" t="inlineStr">
        <is>
          <t>D</t>
        </is>
      </c>
      <c r="J377" s="973" t="inlineStr">
        <is>
          <t>SRC-10</t>
        </is>
      </c>
      <c r="K377" s="973" t="n"/>
      <c r="L377" s="973" t="n"/>
      <c r="M377" s="973" t="n"/>
      <c r="N377" s="973" t="n"/>
      <c r="O377" s="973" t="n"/>
      <c r="P377" s="973" t="n"/>
    </row>
    <row r="378">
      <c r="A378" s="973" t="inlineStr">
        <is>
          <t>Hacktivist</t>
        </is>
      </c>
      <c r="B378" s="973" t="inlineStr">
        <is>
          <t>SC_DISR</t>
        </is>
      </c>
      <c r="C378" s="973" t="inlineStr">
        <is>
          <t>Critical business-service disruption</t>
        </is>
      </c>
      <c r="D378" s="973" t="inlineStr">
        <is>
          <t>Direct</t>
        </is>
      </c>
      <c r="E378" s="973" t="inlineStr">
        <is>
          <t>EXTORTION</t>
        </is>
      </c>
      <c r="F378" s="973" t="inlineStr">
        <is>
          <t>P99</t>
        </is>
      </c>
      <c r="G378" s="973" t="n">
        <v>0</v>
      </c>
      <c r="H378" s="973" t="b">
        <v>0</v>
      </c>
      <c r="I378" s="973" t="inlineStr">
        <is>
          <t>D</t>
        </is>
      </c>
      <c r="J378" s="973" t="inlineStr">
        <is>
          <t>SRC-10</t>
        </is>
      </c>
      <c r="K378" s="973" t="n"/>
      <c r="L378" s="973" t="n"/>
      <c r="M378" s="973" t="n"/>
      <c r="N378" s="973" t="n"/>
      <c r="O378" s="973" t="n"/>
      <c r="P378" s="973" t="n"/>
    </row>
    <row r="379">
      <c r="A379" s="973" t="inlineStr">
        <is>
          <t>Hacktivist</t>
        </is>
      </c>
      <c r="B379" s="973" t="inlineStr">
        <is>
          <t>SC_DISR</t>
        </is>
      </c>
      <c r="C379" s="973" t="inlineStr">
        <is>
          <t>Critical business-service disruption</t>
        </is>
      </c>
      <c r="D379" s="973" t="inlineStr">
        <is>
          <t>Direct</t>
        </is>
      </c>
      <c r="E379" s="973" t="inlineStr">
        <is>
          <t>POST_EVENT_UPLIFT</t>
        </is>
      </c>
      <c r="F379" s="973" t="inlineStr">
        <is>
          <t>P99</t>
        </is>
      </c>
      <c r="G379" s="973" t="n">
        <v>5000000</v>
      </c>
      <c r="H379" s="973" t="b">
        <v>1</v>
      </c>
      <c r="I379" s="973" t="inlineStr">
        <is>
          <t>D</t>
        </is>
      </c>
      <c r="J379" s="973" t="inlineStr">
        <is>
          <t>SRC-10</t>
        </is>
      </c>
      <c r="K379" s="973" t="n"/>
      <c r="L379" s="973" t="n"/>
      <c r="M379" s="973" t="n"/>
      <c r="N379" s="973" t="n"/>
      <c r="O379" s="973" t="n"/>
      <c r="P379" s="973" t="n"/>
    </row>
    <row r="380">
      <c r="A380" s="973" t="inlineStr">
        <is>
          <t>Hacktivist</t>
        </is>
      </c>
      <c r="B380" s="973" t="inlineStr">
        <is>
          <t>SC_DATA</t>
        </is>
      </c>
      <c r="C380" s="973" t="inlineStr">
        <is>
          <t>Sensitive-data compromise</t>
        </is>
      </c>
      <c r="D380" s="973" t="inlineStr">
        <is>
          <t>Duration</t>
        </is>
      </c>
      <c r="E380" s="973" t="inlineStr">
        <is>
          <t>IR_FORENSICS</t>
        </is>
      </c>
      <c r="F380" s="973" t="inlineStr">
        <is>
          <t>P50</t>
        </is>
      </c>
      <c r="G380" s="973" t="n">
        <v>40000</v>
      </c>
      <c r="H380" s="973" t="b">
        <v>1</v>
      </c>
      <c r="I380" s="973" t="inlineStr">
        <is>
          <t>D</t>
        </is>
      </c>
      <c r="J380" s="973" t="inlineStr">
        <is>
          <t>SRC-10</t>
        </is>
      </c>
      <c r="K380" s="973" t="n"/>
      <c r="L380" s="973" t="n"/>
      <c r="M380" s="973" t="n"/>
      <c r="N380" s="973" t="n"/>
      <c r="O380" s="973" t="n"/>
      <c r="P380" s="973" t="n"/>
    </row>
    <row r="381">
      <c r="A381" s="973" t="inlineStr">
        <is>
          <t>Hacktivist</t>
        </is>
      </c>
      <c r="B381" s="973" t="inlineStr">
        <is>
          <t>SC_DATA</t>
        </is>
      </c>
      <c r="C381" s="973" t="inlineStr">
        <is>
          <t>Sensitive-data compromise</t>
        </is>
      </c>
      <c r="D381" s="973" t="inlineStr">
        <is>
          <t>Duration</t>
        </is>
      </c>
      <c r="E381" s="973" t="inlineStr">
        <is>
          <t>EXTERNAL_RESPONSE</t>
        </is>
      </c>
      <c r="F381" s="973" t="inlineStr">
        <is>
          <t>P50</t>
        </is>
      </c>
      <c r="G381" s="973" t="n">
        <v>90000</v>
      </c>
      <c r="H381" s="973" t="b">
        <v>1</v>
      </c>
      <c r="I381" s="973" t="inlineStr">
        <is>
          <t>D</t>
        </is>
      </c>
      <c r="J381" s="973" t="inlineStr">
        <is>
          <t>SRC-10</t>
        </is>
      </c>
      <c r="K381" s="973" t="n"/>
      <c r="L381" s="973" t="n"/>
      <c r="M381" s="973" t="n"/>
      <c r="N381" s="973" t="n"/>
      <c r="O381" s="973" t="n"/>
      <c r="P381" s="973" t="n"/>
    </row>
    <row r="382">
      <c r="A382" s="973" t="inlineStr">
        <is>
          <t>Hacktivist</t>
        </is>
      </c>
      <c r="B382" s="973" t="inlineStr">
        <is>
          <t>SC_DATA</t>
        </is>
      </c>
      <c r="C382" s="973" t="inlineStr">
        <is>
          <t>Sensitive-data compromise</t>
        </is>
      </c>
      <c r="D382" s="973" t="inlineStr">
        <is>
          <t>Duration</t>
        </is>
      </c>
      <c r="E382" s="973" t="inlineStr">
        <is>
          <t>LEGAL_RESPONSE</t>
        </is>
      </c>
      <c r="F382" s="973" t="inlineStr">
        <is>
          <t>P50</t>
        </is>
      </c>
      <c r="G382" s="973" t="n">
        <v>150000</v>
      </c>
      <c r="H382" s="973" t="b">
        <v>1</v>
      </c>
      <c r="I382" s="973" t="inlineStr">
        <is>
          <t>D</t>
        </is>
      </c>
      <c r="J382" s="973" t="inlineStr">
        <is>
          <t>SRC-10</t>
        </is>
      </c>
      <c r="K382" s="973" t="n"/>
      <c r="L382" s="973" t="n"/>
      <c r="M382" s="973" t="n"/>
      <c r="N382" s="973" t="n"/>
      <c r="O382" s="973" t="n"/>
      <c r="P382" s="973" t="n"/>
    </row>
    <row r="383">
      <c r="A383" s="973" t="inlineStr">
        <is>
          <t>Hacktivist</t>
        </is>
      </c>
      <c r="B383" s="973" t="inlineStr">
        <is>
          <t>SC_DATA</t>
        </is>
      </c>
      <c r="C383" s="973" t="inlineStr">
        <is>
          <t>Sensitive-data compromise</t>
        </is>
      </c>
      <c r="D383" s="973" t="inlineStr">
        <is>
          <t>Duration</t>
        </is>
      </c>
      <c r="E383" s="973" t="inlineStr">
        <is>
          <t>RESTORATION</t>
        </is>
      </c>
      <c r="F383" s="973" t="inlineStr">
        <is>
          <t>P50</t>
        </is>
      </c>
      <c r="G383" s="973" t="n">
        <v>40000</v>
      </c>
      <c r="H383" s="973" t="b">
        <v>1</v>
      </c>
      <c r="I383" s="973" t="inlineStr">
        <is>
          <t>D</t>
        </is>
      </c>
      <c r="J383" s="973" t="inlineStr">
        <is>
          <t>SRC-10</t>
        </is>
      </c>
      <c r="K383" s="973" t="n"/>
      <c r="L383" s="973" t="n"/>
      <c r="M383" s="973" t="n"/>
      <c r="N383" s="973" t="n"/>
      <c r="O383" s="973" t="n"/>
      <c r="P383" s="973" t="n"/>
    </row>
    <row r="384">
      <c r="A384" s="973" t="inlineStr">
        <is>
          <t>Hacktivist</t>
        </is>
      </c>
      <c r="B384" s="973" t="inlineStr">
        <is>
          <t>SC_DATA</t>
        </is>
      </c>
      <c r="C384" s="973" t="inlineStr">
        <is>
          <t>Sensitive-data compromise</t>
        </is>
      </c>
      <c r="D384" s="973" t="inlineStr">
        <is>
          <t>Duration</t>
        </is>
      </c>
      <c r="E384" s="973" t="inlineStr">
        <is>
          <t>BUSINESS_INTERRUPTION</t>
        </is>
      </c>
      <c r="F384" s="973" t="inlineStr">
        <is>
          <t>P50</t>
        </is>
      </c>
      <c r="G384" s="973" t="n">
        <v>273972.602739726</v>
      </c>
      <c r="H384" s="973" t="b">
        <v>1</v>
      </c>
      <c r="I384" s="973" t="inlineStr">
        <is>
          <t>D</t>
        </is>
      </c>
      <c r="J384" s="973" t="inlineStr">
        <is>
          <t>SRC-10</t>
        </is>
      </c>
      <c r="K384" s="973" t="n"/>
      <c r="L384" s="973" t="n"/>
      <c r="M384" s="973" t="n"/>
      <c r="N384" s="973" t="n"/>
      <c r="O384" s="973" t="n"/>
      <c r="P384" s="973" t="n"/>
    </row>
    <row r="385">
      <c r="A385" s="973" t="inlineStr">
        <is>
          <t>Hacktivist</t>
        </is>
      </c>
      <c r="B385" s="973" t="inlineStr">
        <is>
          <t>SC_DATA</t>
        </is>
      </c>
      <c r="C385" s="973" t="inlineStr">
        <is>
          <t>Sensitive-data compromise</t>
        </is>
      </c>
      <c r="D385" s="973" t="inlineStr">
        <is>
          <t>Duration</t>
        </is>
      </c>
      <c r="E385" s="973" t="inlineStr">
        <is>
          <t>ENDPOINT_RECOVERY</t>
        </is>
      </c>
      <c r="F385" s="973" t="inlineStr">
        <is>
          <t>P50</t>
        </is>
      </c>
      <c r="G385" s="973" t="n">
        <v>50000</v>
      </c>
      <c r="H385" s="973" t="b">
        <v>1</v>
      </c>
      <c r="I385" s="973" t="inlineStr">
        <is>
          <t>D</t>
        </is>
      </c>
      <c r="J385" s="973" t="inlineStr">
        <is>
          <t>SRC-10</t>
        </is>
      </c>
      <c r="K385" s="973" t="n"/>
      <c r="L385" s="973" t="n"/>
      <c r="M385" s="973" t="n"/>
      <c r="N385" s="973" t="n"/>
      <c r="O385" s="973" t="n"/>
      <c r="P385" s="973" t="n"/>
    </row>
    <row r="386">
      <c r="A386" s="973" t="inlineStr">
        <is>
          <t>Hacktivist</t>
        </is>
      </c>
      <c r="B386" s="973" t="inlineStr">
        <is>
          <t>SC_DATA</t>
        </is>
      </c>
      <c r="C386" s="973" t="inlineStr">
        <is>
          <t>Sensitive-data compromise</t>
        </is>
      </c>
      <c r="D386" s="973" t="inlineStr">
        <is>
          <t>Duration</t>
        </is>
      </c>
      <c r="E386" s="973" t="inlineStr">
        <is>
          <t>SERVER_RECOVERY</t>
        </is>
      </c>
      <c r="F386" s="973" t="inlineStr">
        <is>
          <t>P50</t>
        </is>
      </c>
      <c r="G386" s="973" t="n">
        <v>125000</v>
      </c>
      <c r="H386" s="973" t="b">
        <v>1</v>
      </c>
      <c r="I386" s="973" t="inlineStr">
        <is>
          <t>D</t>
        </is>
      </c>
      <c r="J386" s="973" t="inlineStr">
        <is>
          <t>SRC-10</t>
        </is>
      </c>
      <c r="K386" s="973" t="n"/>
      <c r="L386" s="973" t="n"/>
      <c r="M386" s="973" t="n"/>
      <c r="N386" s="973" t="n"/>
      <c r="O386" s="973" t="n"/>
      <c r="P386" s="973" t="n"/>
    </row>
    <row r="387">
      <c r="A387" s="973" t="inlineStr">
        <is>
          <t>Hacktivist</t>
        </is>
      </c>
      <c r="B387" s="973" t="inlineStr">
        <is>
          <t>SC_DATA</t>
        </is>
      </c>
      <c r="C387" s="973" t="inlineStr">
        <is>
          <t>Sensitive-data compromise</t>
        </is>
      </c>
      <c r="D387" s="973" t="inlineStr">
        <is>
          <t>Exposure</t>
        </is>
      </c>
      <c r="E387" s="973" t="inlineStr">
        <is>
          <t>NOTIFICATION</t>
        </is>
      </c>
      <c r="F387" s="973" t="inlineStr">
        <is>
          <t>P50</t>
        </is>
      </c>
      <c r="G387" s="973" t="n">
        <v>0</v>
      </c>
      <c r="H387" s="973" t="b">
        <v>0</v>
      </c>
      <c r="I387" s="973" t="inlineStr">
        <is>
          <t>D</t>
        </is>
      </c>
      <c r="J387" s="973" t="inlineStr">
        <is>
          <t>SRC-10</t>
        </is>
      </c>
      <c r="K387" s="973" t="n"/>
      <c r="L387" s="973" t="n"/>
      <c r="M387" s="973" t="n"/>
      <c r="N387" s="973" t="n"/>
      <c r="O387" s="973" t="n"/>
      <c r="P387" s="973" t="n"/>
    </row>
    <row r="388">
      <c r="A388" s="973" t="inlineStr">
        <is>
          <t>Hacktivist</t>
        </is>
      </c>
      <c r="B388" s="973" t="inlineStr">
        <is>
          <t>SC_DATA</t>
        </is>
      </c>
      <c r="C388" s="973" t="inlineStr">
        <is>
          <t>Sensitive-data compromise</t>
        </is>
      </c>
      <c r="D388" s="973" t="inlineStr">
        <is>
          <t>Exposure</t>
        </is>
      </c>
      <c r="E388" s="973" t="inlineStr">
        <is>
          <t>CREDIT_MONITORING</t>
        </is>
      </c>
      <c r="F388" s="973" t="inlineStr">
        <is>
          <t>P50</t>
        </is>
      </c>
      <c r="G388" s="973" t="n">
        <v>0</v>
      </c>
      <c r="H388" s="973" t="b">
        <v>0</v>
      </c>
      <c r="I388" s="973" t="inlineStr">
        <is>
          <t>D</t>
        </is>
      </c>
      <c r="J388" s="973" t="inlineStr">
        <is>
          <t>SRC-10</t>
        </is>
      </c>
      <c r="K388" s="973" t="n"/>
      <c r="L388" s="973" t="n"/>
      <c r="M388" s="973" t="n"/>
      <c r="N388" s="973" t="n"/>
      <c r="O388" s="973" t="n"/>
      <c r="P388" s="973" t="n"/>
    </row>
    <row r="389">
      <c r="A389" s="973" t="inlineStr">
        <is>
          <t>Hacktivist</t>
        </is>
      </c>
      <c r="B389" s="973" t="inlineStr">
        <is>
          <t>SC_DATA</t>
        </is>
      </c>
      <c r="C389" s="973" t="inlineStr">
        <is>
          <t>Sensitive-data compromise</t>
        </is>
      </c>
      <c r="D389" s="973" t="inlineStr">
        <is>
          <t>Exposure</t>
        </is>
      </c>
      <c r="E389" s="973" t="inlineStr">
        <is>
          <t>REGULATORY</t>
        </is>
      </c>
      <c r="F389" s="973" t="inlineStr">
        <is>
          <t>P50</t>
        </is>
      </c>
      <c r="G389" s="973" t="n">
        <v>1000000</v>
      </c>
      <c r="H389" s="973" t="b">
        <v>1</v>
      </c>
      <c r="I389" s="973" t="inlineStr">
        <is>
          <t>D</t>
        </is>
      </c>
      <c r="J389" s="973" t="inlineStr">
        <is>
          <t>SRC-10</t>
        </is>
      </c>
      <c r="K389" s="973" t="n"/>
      <c r="L389" s="973" t="n"/>
      <c r="M389" s="973" t="n"/>
      <c r="N389" s="973" t="n"/>
      <c r="O389" s="973" t="n"/>
      <c r="P389" s="973" t="n"/>
    </row>
    <row r="390">
      <c r="A390" s="973" t="inlineStr">
        <is>
          <t>Hacktivist</t>
        </is>
      </c>
      <c r="B390" s="973" t="inlineStr">
        <is>
          <t>SC_DATA</t>
        </is>
      </c>
      <c r="C390" s="973" t="inlineStr">
        <is>
          <t>Sensitive-data compromise</t>
        </is>
      </c>
      <c r="D390" s="973" t="inlineStr">
        <is>
          <t>Exposure</t>
        </is>
      </c>
      <c r="E390" s="973" t="inlineStr">
        <is>
          <t>CUSTOMER_ATTRITION</t>
        </is>
      </c>
      <c r="F390" s="973" t="inlineStr">
        <is>
          <t>P50</t>
        </is>
      </c>
      <c r="G390" s="973" t="n">
        <v>2000000</v>
      </c>
      <c r="H390" s="973" t="b">
        <v>1</v>
      </c>
      <c r="I390" s="973" t="inlineStr">
        <is>
          <t>D</t>
        </is>
      </c>
      <c r="J390" s="973" t="inlineStr">
        <is>
          <t>SRC-10</t>
        </is>
      </c>
      <c r="K390" s="973" t="n"/>
      <c r="L390" s="973" t="n"/>
      <c r="M390" s="973" t="n"/>
      <c r="N390" s="973" t="n"/>
      <c r="O390" s="973" t="n"/>
      <c r="P390" s="973" t="n"/>
    </row>
    <row r="391">
      <c r="A391" s="973" t="inlineStr">
        <is>
          <t>Hacktivist</t>
        </is>
      </c>
      <c r="B391" s="973" t="inlineStr">
        <is>
          <t>SC_DATA</t>
        </is>
      </c>
      <c r="C391" s="973" t="inlineStr">
        <is>
          <t>Sensitive-data compromise</t>
        </is>
      </c>
      <c r="D391" s="973" t="inlineStr">
        <is>
          <t>Direct</t>
        </is>
      </c>
      <c r="E391" s="973" t="inlineStr">
        <is>
          <t>FRAUD_NET_RECOVERY</t>
        </is>
      </c>
      <c r="F391" s="973" t="inlineStr">
        <is>
          <t>P50</t>
        </is>
      </c>
      <c r="G391" s="973" t="n">
        <v>0</v>
      </c>
      <c r="H391" s="973" t="b">
        <v>0</v>
      </c>
      <c r="I391" s="973" t="inlineStr">
        <is>
          <t>D</t>
        </is>
      </c>
      <c r="J391" s="973" t="inlineStr">
        <is>
          <t>SRC-10</t>
        </is>
      </c>
      <c r="K391" s="973" t="n"/>
      <c r="L391" s="973" t="n"/>
      <c r="M391" s="973" t="n"/>
      <c r="N391" s="973" t="n"/>
      <c r="O391" s="973" t="n"/>
      <c r="P391" s="973" t="n"/>
    </row>
    <row r="392">
      <c r="A392" s="973" t="inlineStr">
        <is>
          <t>Hacktivist</t>
        </is>
      </c>
      <c r="B392" s="973" t="inlineStr">
        <is>
          <t>SC_DATA</t>
        </is>
      </c>
      <c r="C392" s="973" t="inlineStr">
        <is>
          <t>Sensitive-data compromise</t>
        </is>
      </c>
      <c r="D392" s="973" t="inlineStr">
        <is>
          <t>Direct</t>
        </is>
      </c>
      <c r="E392" s="973" t="inlineStr">
        <is>
          <t>EXTORTION</t>
        </is>
      </c>
      <c r="F392" s="973" t="inlineStr">
        <is>
          <t>P50</t>
        </is>
      </c>
      <c r="G392" s="973" t="n">
        <v>0</v>
      </c>
      <c r="H392" s="973" t="b">
        <v>0</v>
      </c>
      <c r="I392" s="973" t="inlineStr">
        <is>
          <t>D</t>
        </is>
      </c>
      <c r="J392" s="973" t="inlineStr">
        <is>
          <t>SRC-10</t>
        </is>
      </c>
      <c r="K392" s="973" t="n"/>
      <c r="L392" s="973" t="n"/>
      <c r="M392" s="973" t="n"/>
      <c r="N392" s="973" t="n"/>
      <c r="O392" s="973" t="n"/>
      <c r="P392" s="973" t="n"/>
    </row>
    <row r="393">
      <c r="A393" s="973" t="inlineStr">
        <is>
          <t>Hacktivist</t>
        </is>
      </c>
      <c r="B393" s="973" t="inlineStr">
        <is>
          <t>SC_DATA</t>
        </is>
      </c>
      <c r="C393" s="973" t="inlineStr">
        <is>
          <t>Sensitive-data compromise</t>
        </is>
      </c>
      <c r="D393" s="973" t="inlineStr">
        <is>
          <t>Direct</t>
        </is>
      </c>
      <c r="E393" s="973" t="inlineStr">
        <is>
          <t>POST_EVENT_UPLIFT</t>
        </is>
      </c>
      <c r="F393" s="973" t="inlineStr">
        <is>
          <t>P50</t>
        </is>
      </c>
      <c r="G393" s="973" t="n">
        <v>1000000</v>
      </c>
      <c r="H393" s="973" t="b">
        <v>1</v>
      </c>
      <c r="I393" s="973" t="inlineStr">
        <is>
          <t>D</t>
        </is>
      </c>
      <c r="J393" s="973" t="inlineStr">
        <is>
          <t>SRC-10</t>
        </is>
      </c>
      <c r="K393" s="973" t="n"/>
      <c r="L393" s="973" t="n"/>
      <c r="M393" s="973" t="n"/>
      <c r="N393" s="973" t="n"/>
      <c r="O393" s="973" t="n"/>
      <c r="P393" s="973" t="n"/>
    </row>
    <row r="394">
      <c r="A394" s="973" t="inlineStr">
        <is>
          <t>Hacktivist</t>
        </is>
      </c>
      <c r="B394" s="973" t="inlineStr">
        <is>
          <t>SC_DATA</t>
        </is>
      </c>
      <c r="C394" s="973" t="inlineStr">
        <is>
          <t>Sensitive-data compromise</t>
        </is>
      </c>
      <c r="D394" s="973" t="inlineStr">
        <is>
          <t>Duration</t>
        </is>
      </c>
      <c r="E394" s="973" t="inlineStr">
        <is>
          <t>IR_FORENSICS</t>
        </is>
      </c>
      <c r="F394" s="973" t="inlineStr">
        <is>
          <t>P99</t>
        </is>
      </c>
      <c r="G394" s="973" t="n">
        <v>480000</v>
      </c>
      <c r="H394" s="973" t="b">
        <v>1</v>
      </c>
      <c r="I394" s="973" t="inlineStr">
        <is>
          <t>D</t>
        </is>
      </c>
      <c r="J394" s="973" t="inlineStr">
        <is>
          <t>SRC-10</t>
        </is>
      </c>
      <c r="K394" s="973" t="n"/>
      <c r="L394" s="973" t="n"/>
      <c r="M394" s="973" t="n"/>
      <c r="N394" s="973" t="n"/>
      <c r="O394" s="973" t="n"/>
      <c r="P394" s="973" t="n"/>
    </row>
    <row r="395">
      <c r="A395" s="973" t="inlineStr">
        <is>
          <t>Hacktivist</t>
        </is>
      </c>
      <c r="B395" s="973" t="inlineStr">
        <is>
          <t>SC_DATA</t>
        </is>
      </c>
      <c r="C395" s="973" t="inlineStr">
        <is>
          <t>Sensitive-data compromise</t>
        </is>
      </c>
      <c r="D395" s="973" t="inlineStr">
        <is>
          <t>Duration</t>
        </is>
      </c>
      <c r="E395" s="973" t="inlineStr">
        <is>
          <t>EXTERNAL_RESPONSE</t>
        </is>
      </c>
      <c r="F395" s="973" t="inlineStr">
        <is>
          <t>P99</t>
        </is>
      </c>
      <c r="G395" s="973" t="n">
        <v>900000</v>
      </c>
      <c r="H395" s="973" t="b">
        <v>1</v>
      </c>
      <c r="I395" s="973" t="inlineStr">
        <is>
          <t>D</t>
        </is>
      </c>
      <c r="J395" s="973" t="inlineStr">
        <is>
          <t>SRC-10</t>
        </is>
      </c>
      <c r="K395" s="973" t="n"/>
      <c r="L395" s="973" t="n"/>
      <c r="M395" s="973" t="n"/>
      <c r="N395" s="973" t="n"/>
      <c r="O395" s="973" t="n"/>
      <c r="P395" s="973" t="n"/>
    </row>
    <row r="396">
      <c r="A396" s="973" t="inlineStr">
        <is>
          <t>Hacktivist</t>
        </is>
      </c>
      <c r="B396" s="973" t="inlineStr">
        <is>
          <t>SC_DATA</t>
        </is>
      </c>
      <c r="C396" s="973" t="inlineStr">
        <is>
          <t>Sensitive-data compromise</t>
        </is>
      </c>
      <c r="D396" s="973" t="inlineStr">
        <is>
          <t>Duration</t>
        </is>
      </c>
      <c r="E396" s="973" t="inlineStr">
        <is>
          <t>LEGAL_RESPONSE</t>
        </is>
      </c>
      <c r="F396" s="973" t="inlineStr">
        <is>
          <t>P99</t>
        </is>
      </c>
      <c r="G396" s="973" t="n">
        <v>1800000</v>
      </c>
      <c r="H396" s="973" t="b">
        <v>1</v>
      </c>
      <c r="I396" s="973" t="inlineStr">
        <is>
          <t>D</t>
        </is>
      </c>
      <c r="J396" s="973" t="inlineStr">
        <is>
          <t>SRC-10</t>
        </is>
      </c>
      <c r="K396" s="973" t="n"/>
      <c r="L396" s="973" t="n"/>
      <c r="M396" s="973" t="n"/>
      <c r="N396" s="973" t="n"/>
      <c r="O396" s="973" t="n"/>
      <c r="P396" s="973" t="n"/>
    </row>
    <row r="397">
      <c r="A397" s="973" t="inlineStr">
        <is>
          <t>Hacktivist</t>
        </is>
      </c>
      <c r="B397" s="973" t="inlineStr">
        <is>
          <t>SC_DATA</t>
        </is>
      </c>
      <c r="C397" s="973" t="inlineStr">
        <is>
          <t>Sensitive-data compromise</t>
        </is>
      </c>
      <c r="D397" s="973" t="inlineStr">
        <is>
          <t>Duration</t>
        </is>
      </c>
      <c r="E397" s="973" t="inlineStr">
        <is>
          <t>RESTORATION</t>
        </is>
      </c>
      <c r="F397" s="973" t="inlineStr">
        <is>
          <t>P99</t>
        </is>
      </c>
      <c r="G397" s="973" t="n">
        <v>480000</v>
      </c>
      <c r="H397" s="973" t="b">
        <v>1</v>
      </c>
      <c r="I397" s="973" t="inlineStr">
        <is>
          <t>D</t>
        </is>
      </c>
      <c r="J397" s="973" t="inlineStr">
        <is>
          <t>SRC-10</t>
        </is>
      </c>
      <c r="K397" s="973" t="n"/>
      <c r="L397" s="973" t="n"/>
      <c r="M397" s="973" t="n"/>
      <c r="N397" s="973" t="n"/>
      <c r="O397" s="973" t="n"/>
      <c r="P397" s="973" t="n"/>
    </row>
    <row r="398">
      <c r="A398" s="973" t="inlineStr">
        <is>
          <t>Hacktivist</t>
        </is>
      </c>
      <c r="B398" s="973" t="inlineStr">
        <is>
          <t>SC_DATA</t>
        </is>
      </c>
      <c r="C398" s="973" t="inlineStr">
        <is>
          <t>Sensitive-data compromise</t>
        </is>
      </c>
      <c r="D398" s="973" t="inlineStr">
        <is>
          <t>Duration</t>
        </is>
      </c>
      <c r="E398" s="973" t="inlineStr">
        <is>
          <t>BUSINESS_INTERRUPTION</t>
        </is>
      </c>
      <c r="F398" s="973" t="inlineStr">
        <is>
          <t>P99</t>
        </is>
      </c>
      <c r="G398" s="973" t="n">
        <v>10958904.10958904</v>
      </c>
      <c r="H398" s="973" t="b">
        <v>1</v>
      </c>
      <c r="I398" s="973" t="inlineStr">
        <is>
          <t>D</t>
        </is>
      </c>
      <c r="J398" s="973" t="inlineStr">
        <is>
          <t>SRC-10</t>
        </is>
      </c>
      <c r="K398" s="973" t="n"/>
      <c r="L398" s="973" t="n"/>
      <c r="M398" s="973" t="n"/>
      <c r="N398" s="973" t="n"/>
      <c r="O398" s="973" t="n"/>
      <c r="P398" s="973" t="n"/>
    </row>
    <row r="399">
      <c r="A399" s="973" t="inlineStr">
        <is>
          <t>Hacktivist</t>
        </is>
      </c>
      <c r="B399" s="973" t="inlineStr">
        <is>
          <t>SC_DATA</t>
        </is>
      </c>
      <c r="C399" s="973" t="inlineStr">
        <is>
          <t>Sensitive-data compromise</t>
        </is>
      </c>
      <c r="D399" s="973" t="inlineStr">
        <is>
          <t>Duration</t>
        </is>
      </c>
      <c r="E399" s="973" t="inlineStr">
        <is>
          <t>ENDPOINT_RECOVERY</t>
        </is>
      </c>
      <c r="F399" s="973" t="inlineStr">
        <is>
          <t>P99</t>
        </is>
      </c>
      <c r="G399" s="973" t="n">
        <v>750000</v>
      </c>
      <c r="H399" s="973" t="b">
        <v>1</v>
      </c>
      <c r="I399" s="973" t="inlineStr">
        <is>
          <t>D</t>
        </is>
      </c>
      <c r="J399" s="973" t="inlineStr">
        <is>
          <t>SRC-10</t>
        </is>
      </c>
      <c r="K399" s="973" t="n"/>
      <c r="L399" s="973" t="n"/>
      <c r="M399" s="973" t="n"/>
      <c r="N399" s="973" t="n"/>
      <c r="O399" s="973" t="n"/>
      <c r="P399" s="973" t="n"/>
    </row>
    <row r="400">
      <c r="A400" s="973" t="inlineStr">
        <is>
          <t>Hacktivist</t>
        </is>
      </c>
      <c r="B400" s="973" t="inlineStr">
        <is>
          <t>SC_DATA</t>
        </is>
      </c>
      <c r="C400" s="973" t="inlineStr">
        <is>
          <t>Sensitive-data compromise</t>
        </is>
      </c>
      <c r="D400" s="973" t="inlineStr">
        <is>
          <t>Duration</t>
        </is>
      </c>
      <c r="E400" s="973" t="inlineStr">
        <is>
          <t>SERVER_RECOVERY</t>
        </is>
      </c>
      <c r="F400" s="973" t="inlineStr">
        <is>
          <t>P99</t>
        </is>
      </c>
      <c r="G400" s="973" t="n">
        <v>1000000</v>
      </c>
      <c r="H400" s="973" t="b">
        <v>1</v>
      </c>
      <c r="I400" s="973" t="inlineStr">
        <is>
          <t>D</t>
        </is>
      </c>
      <c r="J400" s="973" t="inlineStr">
        <is>
          <t>SRC-10</t>
        </is>
      </c>
      <c r="K400" s="973" t="n"/>
      <c r="L400" s="973" t="n"/>
      <c r="M400" s="973" t="n"/>
      <c r="N400" s="973" t="n"/>
      <c r="O400" s="973" t="n"/>
      <c r="P400" s="973" t="n"/>
    </row>
    <row r="401">
      <c r="A401" s="973" t="inlineStr">
        <is>
          <t>Hacktivist</t>
        </is>
      </c>
      <c r="B401" s="973" t="inlineStr">
        <is>
          <t>SC_DATA</t>
        </is>
      </c>
      <c r="C401" s="973" t="inlineStr">
        <is>
          <t>Sensitive-data compromise</t>
        </is>
      </c>
      <c r="D401" s="973" t="inlineStr">
        <is>
          <t>Exposure</t>
        </is>
      </c>
      <c r="E401" s="973" t="inlineStr">
        <is>
          <t>NOTIFICATION</t>
        </is>
      </c>
      <c r="F401" s="973" t="inlineStr">
        <is>
          <t>P99</t>
        </is>
      </c>
      <c r="G401" s="973" t="n">
        <v>0</v>
      </c>
      <c r="H401" s="973" t="b">
        <v>0</v>
      </c>
      <c r="I401" s="973" t="inlineStr">
        <is>
          <t>D</t>
        </is>
      </c>
      <c r="J401" s="973" t="inlineStr">
        <is>
          <t>SRC-10</t>
        </is>
      </c>
      <c r="K401" s="973" t="n"/>
      <c r="L401" s="973" t="n"/>
      <c r="M401" s="973" t="n"/>
      <c r="N401" s="973" t="n"/>
      <c r="O401" s="973" t="n"/>
      <c r="P401" s="973" t="n"/>
    </row>
    <row r="402">
      <c r="A402" s="973" t="inlineStr">
        <is>
          <t>Hacktivist</t>
        </is>
      </c>
      <c r="B402" s="973" t="inlineStr">
        <is>
          <t>SC_DATA</t>
        </is>
      </c>
      <c r="C402" s="973" t="inlineStr">
        <is>
          <t>Sensitive-data compromise</t>
        </is>
      </c>
      <c r="D402" s="973" t="inlineStr">
        <is>
          <t>Exposure</t>
        </is>
      </c>
      <c r="E402" s="973" t="inlineStr">
        <is>
          <t>CREDIT_MONITORING</t>
        </is>
      </c>
      <c r="F402" s="973" t="inlineStr">
        <is>
          <t>P99</t>
        </is>
      </c>
      <c r="G402" s="973" t="n">
        <v>0</v>
      </c>
      <c r="H402" s="973" t="b">
        <v>0</v>
      </c>
      <c r="I402" s="973" t="inlineStr">
        <is>
          <t>D</t>
        </is>
      </c>
      <c r="J402" s="973" t="inlineStr">
        <is>
          <t>SRC-10</t>
        </is>
      </c>
      <c r="K402" s="973" t="n"/>
      <c r="L402" s="973" t="n"/>
      <c r="M402" s="973" t="n"/>
      <c r="N402" s="973" t="n"/>
      <c r="O402" s="973" t="n"/>
      <c r="P402" s="973" t="n"/>
    </row>
    <row r="403">
      <c r="A403" s="973" t="inlineStr">
        <is>
          <t>Hacktivist</t>
        </is>
      </c>
      <c r="B403" s="973" t="inlineStr">
        <is>
          <t>SC_DATA</t>
        </is>
      </c>
      <c r="C403" s="973" t="inlineStr">
        <is>
          <t>Sensitive-data compromise</t>
        </is>
      </c>
      <c r="D403" s="973" t="inlineStr">
        <is>
          <t>Exposure</t>
        </is>
      </c>
      <c r="E403" s="973" t="inlineStr">
        <is>
          <t>REGULATORY</t>
        </is>
      </c>
      <c r="F403" s="973" t="inlineStr">
        <is>
          <t>P99</t>
        </is>
      </c>
      <c r="G403" s="973" t="n">
        <v>10000000</v>
      </c>
      <c r="H403" s="973" t="b">
        <v>1</v>
      </c>
      <c r="I403" s="973" t="inlineStr">
        <is>
          <t>D</t>
        </is>
      </c>
      <c r="J403" s="973" t="inlineStr">
        <is>
          <t>SRC-10</t>
        </is>
      </c>
      <c r="K403" s="973" t="n"/>
      <c r="L403" s="973" t="n"/>
      <c r="M403" s="973" t="n"/>
      <c r="N403" s="973" t="n"/>
      <c r="O403" s="973" t="n"/>
      <c r="P403" s="973" t="n"/>
    </row>
    <row r="404">
      <c r="A404" s="973" t="inlineStr">
        <is>
          <t>Hacktivist</t>
        </is>
      </c>
      <c r="B404" s="973" t="inlineStr">
        <is>
          <t>SC_DATA</t>
        </is>
      </c>
      <c r="C404" s="973" t="inlineStr">
        <is>
          <t>Sensitive-data compromise</t>
        </is>
      </c>
      <c r="D404" s="973" t="inlineStr">
        <is>
          <t>Exposure</t>
        </is>
      </c>
      <c r="E404" s="973" t="inlineStr">
        <is>
          <t>CUSTOMER_ATTRITION</t>
        </is>
      </c>
      <c r="F404" s="973" t="inlineStr">
        <is>
          <t>P99</t>
        </is>
      </c>
      <c r="G404" s="973" t="n">
        <v>30000000</v>
      </c>
      <c r="H404" s="973" t="b">
        <v>1</v>
      </c>
      <c r="I404" s="973" t="inlineStr">
        <is>
          <t>D</t>
        </is>
      </c>
      <c r="J404" s="973" t="inlineStr">
        <is>
          <t>SRC-10</t>
        </is>
      </c>
      <c r="K404" s="973" t="n"/>
      <c r="L404" s="973" t="n"/>
      <c r="M404" s="973" t="n"/>
      <c r="N404" s="973" t="n"/>
      <c r="O404" s="973" t="n"/>
      <c r="P404" s="973" t="n"/>
    </row>
    <row r="405">
      <c r="A405" s="973" t="inlineStr">
        <is>
          <t>Hacktivist</t>
        </is>
      </c>
      <c r="B405" s="973" t="inlineStr">
        <is>
          <t>SC_DATA</t>
        </is>
      </c>
      <c r="C405" s="973" t="inlineStr">
        <is>
          <t>Sensitive-data compromise</t>
        </is>
      </c>
      <c r="D405" s="973" t="inlineStr">
        <is>
          <t>Direct</t>
        </is>
      </c>
      <c r="E405" s="973" t="inlineStr">
        <is>
          <t>FRAUD_NET_RECOVERY</t>
        </is>
      </c>
      <c r="F405" s="973" t="inlineStr">
        <is>
          <t>P99</t>
        </is>
      </c>
      <c r="G405" s="973" t="n">
        <v>0</v>
      </c>
      <c r="H405" s="973" t="b">
        <v>0</v>
      </c>
      <c r="I405" s="973" t="inlineStr">
        <is>
          <t>D</t>
        </is>
      </c>
      <c r="J405" s="973" t="inlineStr">
        <is>
          <t>SRC-10</t>
        </is>
      </c>
      <c r="K405" s="973" t="n"/>
      <c r="L405" s="973" t="n"/>
      <c r="M405" s="973" t="n"/>
      <c r="N405" s="973" t="n"/>
      <c r="O405" s="973" t="n"/>
      <c r="P405" s="973" t="n"/>
    </row>
    <row r="406">
      <c r="A406" s="973" t="inlineStr">
        <is>
          <t>Hacktivist</t>
        </is>
      </c>
      <c r="B406" s="973" t="inlineStr">
        <is>
          <t>SC_DATA</t>
        </is>
      </c>
      <c r="C406" s="973" t="inlineStr">
        <is>
          <t>Sensitive-data compromise</t>
        </is>
      </c>
      <c r="D406" s="973" t="inlineStr">
        <is>
          <t>Direct</t>
        </is>
      </c>
      <c r="E406" s="973" t="inlineStr">
        <is>
          <t>EXTORTION</t>
        </is>
      </c>
      <c r="F406" s="973" t="inlineStr">
        <is>
          <t>P99</t>
        </is>
      </c>
      <c r="G406" s="973" t="n">
        <v>0</v>
      </c>
      <c r="H406" s="973" t="b">
        <v>0</v>
      </c>
      <c r="I406" s="973" t="inlineStr">
        <is>
          <t>D</t>
        </is>
      </c>
      <c r="J406" s="973" t="inlineStr">
        <is>
          <t>SRC-10</t>
        </is>
      </c>
      <c r="K406" s="973" t="n"/>
      <c r="L406" s="973" t="n"/>
      <c r="M406" s="973" t="n"/>
      <c r="N406" s="973" t="n"/>
      <c r="O406" s="973" t="n"/>
      <c r="P406" s="973" t="n"/>
    </row>
    <row r="407">
      <c r="A407" s="973" t="inlineStr">
        <is>
          <t>Hacktivist</t>
        </is>
      </c>
      <c r="B407" s="973" t="inlineStr">
        <is>
          <t>SC_DATA</t>
        </is>
      </c>
      <c r="C407" s="973" t="inlineStr">
        <is>
          <t>Sensitive-data compromise</t>
        </is>
      </c>
      <c r="D407" s="973" t="inlineStr">
        <is>
          <t>Direct</t>
        </is>
      </c>
      <c r="E407" s="973" t="inlineStr">
        <is>
          <t>POST_EVENT_UPLIFT</t>
        </is>
      </c>
      <c r="F407" s="973" t="inlineStr">
        <is>
          <t>P99</t>
        </is>
      </c>
      <c r="G407" s="973" t="n">
        <v>8000000</v>
      </c>
      <c r="H407" s="973" t="b">
        <v>1</v>
      </c>
      <c r="I407" s="973" t="inlineStr">
        <is>
          <t>D</t>
        </is>
      </c>
      <c r="J407" s="973" t="inlineStr">
        <is>
          <t>SRC-10</t>
        </is>
      </c>
      <c r="K407" s="973" t="n"/>
      <c r="L407" s="973" t="n"/>
      <c r="M407" s="973" t="n"/>
      <c r="N407" s="973" t="n"/>
      <c r="O407" s="973" t="n"/>
      <c r="P407" s="973" t="n"/>
    </row>
    <row r="408">
      <c r="A408" s="973" t="inlineStr">
        <is>
          <t>Hacktivist</t>
        </is>
      </c>
      <c r="B408" s="973" t="inlineStr">
        <is>
          <t>SC_INT</t>
        </is>
      </c>
      <c r="C408" s="973" t="inlineStr">
        <is>
          <t>Data or transaction-integrity compromise</t>
        </is>
      </c>
      <c r="D408" s="973" t="inlineStr">
        <is>
          <t>Duration</t>
        </is>
      </c>
      <c r="E408" s="973" t="inlineStr">
        <is>
          <t>IR_FORENSICS</t>
        </is>
      </c>
      <c r="F408" s="973" t="inlineStr">
        <is>
          <t>P50</t>
        </is>
      </c>
      <c r="G408" s="973" t="n">
        <v>30000</v>
      </c>
      <c r="H408" s="973" t="b">
        <v>1</v>
      </c>
      <c r="I408" s="973" t="inlineStr">
        <is>
          <t>D</t>
        </is>
      </c>
      <c r="J408" s="973" t="inlineStr">
        <is>
          <t>SRC-10</t>
        </is>
      </c>
      <c r="K408" s="973" t="n"/>
      <c r="L408" s="973" t="n"/>
      <c r="M408" s="973" t="n"/>
      <c r="N408" s="973" t="n"/>
      <c r="O408" s="973" t="n"/>
      <c r="P408" s="973" t="n"/>
    </row>
    <row r="409">
      <c r="A409" s="973" t="inlineStr">
        <is>
          <t>Hacktivist</t>
        </is>
      </c>
      <c r="B409" s="973" t="inlineStr">
        <is>
          <t>SC_INT</t>
        </is>
      </c>
      <c r="C409" s="973" t="inlineStr">
        <is>
          <t>Data or transaction-integrity compromise</t>
        </is>
      </c>
      <c r="D409" s="973" t="inlineStr">
        <is>
          <t>Duration</t>
        </is>
      </c>
      <c r="E409" s="973" t="inlineStr">
        <is>
          <t>EXTERNAL_RESPONSE</t>
        </is>
      </c>
      <c r="F409" s="973" t="inlineStr">
        <is>
          <t>P50</t>
        </is>
      </c>
      <c r="G409" s="973" t="n">
        <v>60000</v>
      </c>
      <c r="H409" s="973" t="b">
        <v>1</v>
      </c>
      <c r="I409" s="973" t="inlineStr">
        <is>
          <t>D</t>
        </is>
      </c>
      <c r="J409" s="973" t="inlineStr">
        <is>
          <t>SRC-10</t>
        </is>
      </c>
      <c r="K409" s="973" t="n"/>
      <c r="L409" s="973" t="n"/>
      <c r="M409" s="973" t="n"/>
      <c r="N409" s="973" t="n"/>
      <c r="O409" s="973" t="n"/>
      <c r="P409" s="973" t="n"/>
    </row>
    <row r="410">
      <c r="A410" s="973" t="inlineStr">
        <is>
          <t>Hacktivist</t>
        </is>
      </c>
      <c r="B410" s="973" t="inlineStr">
        <is>
          <t>SC_INT</t>
        </is>
      </c>
      <c r="C410" s="973" t="inlineStr">
        <is>
          <t>Data or transaction-integrity compromise</t>
        </is>
      </c>
      <c r="D410" s="973" t="inlineStr">
        <is>
          <t>Duration</t>
        </is>
      </c>
      <c r="E410" s="973" t="inlineStr">
        <is>
          <t>LEGAL_RESPONSE</t>
        </is>
      </c>
      <c r="F410" s="973" t="inlineStr">
        <is>
          <t>P50</t>
        </is>
      </c>
      <c r="G410" s="973" t="n">
        <v>100000</v>
      </c>
      <c r="H410" s="973" t="b">
        <v>1</v>
      </c>
      <c r="I410" s="973" t="inlineStr">
        <is>
          <t>D</t>
        </is>
      </c>
      <c r="J410" s="973" t="inlineStr">
        <is>
          <t>SRC-10</t>
        </is>
      </c>
      <c r="K410" s="973" t="n"/>
      <c r="L410" s="973" t="n"/>
      <c r="M410" s="973" t="n"/>
      <c r="N410" s="973" t="n"/>
      <c r="O410" s="973" t="n"/>
      <c r="P410" s="973" t="n"/>
    </row>
    <row r="411">
      <c r="A411" s="973" t="inlineStr">
        <is>
          <t>Hacktivist</t>
        </is>
      </c>
      <c r="B411" s="973" t="inlineStr">
        <is>
          <t>SC_INT</t>
        </is>
      </c>
      <c r="C411" s="973" t="inlineStr">
        <is>
          <t>Data or transaction-integrity compromise</t>
        </is>
      </c>
      <c r="D411" s="973" t="inlineStr">
        <is>
          <t>Duration</t>
        </is>
      </c>
      <c r="E411" s="973" t="inlineStr">
        <is>
          <t>RESTORATION</t>
        </is>
      </c>
      <c r="F411" s="973" t="inlineStr">
        <is>
          <t>P50</t>
        </is>
      </c>
      <c r="G411" s="973" t="n">
        <v>40000</v>
      </c>
      <c r="H411" s="973" t="b">
        <v>1</v>
      </c>
      <c r="I411" s="973" t="inlineStr">
        <is>
          <t>D</t>
        </is>
      </c>
      <c r="J411" s="973" t="inlineStr">
        <is>
          <t>SRC-10</t>
        </is>
      </c>
      <c r="K411" s="973" t="n"/>
      <c r="L411" s="973" t="n"/>
      <c r="M411" s="973" t="n"/>
      <c r="N411" s="973" t="n"/>
      <c r="O411" s="973" t="n"/>
      <c r="P411" s="973" t="n"/>
    </row>
    <row r="412">
      <c r="A412" s="973" t="inlineStr">
        <is>
          <t>Hacktivist</t>
        </is>
      </c>
      <c r="B412" s="973" t="inlineStr">
        <is>
          <t>SC_INT</t>
        </is>
      </c>
      <c r="C412" s="973" t="inlineStr">
        <is>
          <t>Data or transaction-integrity compromise</t>
        </is>
      </c>
      <c r="D412" s="973" t="inlineStr">
        <is>
          <t>Duration</t>
        </is>
      </c>
      <c r="E412" s="973" t="inlineStr">
        <is>
          <t>BUSINESS_INTERRUPTION</t>
        </is>
      </c>
      <c r="F412" s="973" t="inlineStr">
        <is>
          <t>P50</t>
        </is>
      </c>
      <c r="G412" s="973" t="n">
        <v>1095890.410958904</v>
      </c>
      <c r="H412" s="973" t="b">
        <v>1</v>
      </c>
      <c r="I412" s="973" t="inlineStr">
        <is>
          <t>D</t>
        </is>
      </c>
      <c r="J412" s="973" t="inlineStr">
        <is>
          <t>SRC-10</t>
        </is>
      </c>
      <c r="K412" s="973" t="n"/>
      <c r="L412" s="973" t="n"/>
      <c r="M412" s="973" t="n"/>
      <c r="N412" s="973" t="n"/>
      <c r="O412" s="973" t="n"/>
      <c r="P412" s="973" t="n"/>
    </row>
    <row r="413">
      <c r="A413" s="973" t="inlineStr">
        <is>
          <t>Hacktivist</t>
        </is>
      </c>
      <c r="B413" s="973" t="inlineStr">
        <is>
          <t>SC_INT</t>
        </is>
      </c>
      <c r="C413" s="973" t="inlineStr">
        <is>
          <t>Data or transaction-integrity compromise</t>
        </is>
      </c>
      <c r="D413" s="973" t="inlineStr">
        <is>
          <t>Duration</t>
        </is>
      </c>
      <c r="E413" s="973" t="inlineStr">
        <is>
          <t>ENDPOINT_RECOVERY</t>
        </is>
      </c>
      <c r="F413" s="973" t="inlineStr">
        <is>
          <t>P50</t>
        </is>
      </c>
      <c r="G413" s="973" t="n">
        <v>100000</v>
      </c>
      <c r="H413" s="973" t="b">
        <v>1</v>
      </c>
      <c r="I413" s="973" t="inlineStr">
        <is>
          <t>D</t>
        </is>
      </c>
      <c r="J413" s="973" t="inlineStr">
        <is>
          <t>SRC-10</t>
        </is>
      </c>
      <c r="K413" s="973" t="n"/>
      <c r="L413" s="973" t="n"/>
      <c r="M413" s="973" t="n"/>
      <c r="N413" s="973" t="n"/>
      <c r="O413" s="973" t="n"/>
      <c r="P413" s="973" t="n"/>
    </row>
    <row r="414">
      <c r="A414" s="973" t="inlineStr">
        <is>
          <t>Hacktivist</t>
        </is>
      </c>
      <c r="B414" s="973" t="inlineStr">
        <is>
          <t>SC_INT</t>
        </is>
      </c>
      <c r="C414" s="973" t="inlineStr">
        <is>
          <t>Data or transaction-integrity compromise</t>
        </is>
      </c>
      <c r="D414" s="973" t="inlineStr">
        <is>
          <t>Duration</t>
        </is>
      </c>
      <c r="E414" s="973" t="inlineStr">
        <is>
          <t>SERVER_RECOVERY</t>
        </is>
      </c>
      <c r="F414" s="973" t="inlineStr">
        <is>
          <t>P50</t>
        </is>
      </c>
      <c r="G414" s="973" t="n">
        <v>250000</v>
      </c>
      <c r="H414" s="973" t="b">
        <v>1</v>
      </c>
      <c r="I414" s="973" t="inlineStr">
        <is>
          <t>D</t>
        </is>
      </c>
      <c r="J414" s="973" t="inlineStr">
        <is>
          <t>SRC-10</t>
        </is>
      </c>
      <c r="K414" s="973" t="n"/>
      <c r="L414" s="973" t="n"/>
      <c r="M414" s="973" t="n"/>
      <c r="N414" s="973" t="n"/>
      <c r="O414" s="973" t="n"/>
      <c r="P414" s="973" t="n"/>
    </row>
    <row r="415">
      <c r="A415" s="973" t="inlineStr">
        <is>
          <t>Hacktivist</t>
        </is>
      </c>
      <c r="B415" s="973" t="inlineStr">
        <is>
          <t>SC_INT</t>
        </is>
      </c>
      <c r="C415" s="973" t="inlineStr">
        <is>
          <t>Data or transaction-integrity compromise</t>
        </is>
      </c>
      <c r="D415" s="973" t="inlineStr">
        <is>
          <t>Exposure</t>
        </is>
      </c>
      <c r="E415" s="973" t="inlineStr">
        <is>
          <t>NOTIFICATION</t>
        </is>
      </c>
      <c r="F415" s="973" t="inlineStr">
        <is>
          <t>P50</t>
        </is>
      </c>
      <c r="G415" s="973" t="n">
        <v>0</v>
      </c>
      <c r="H415" s="973" t="b">
        <v>0</v>
      </c>
      <c r="I415" s="973" t="inlineStr">
        <is>
          <t>D</t>
        </is>
      </c>
      <c r="J415" s="973" t="inlineStr">
        <is>
          <t>SRC-10</t>
        </is>
      </c>
      <c r="K415" s="973" t="n"/>
      <c r="L415" s="973" t="n"/>
      <c r="M415" s="973" t="n"/>
      <c r="N415" s="973" t="n"/>
      <c r="O415" s="973" t="n"/>
      <c r="P415" s="973" t="n"/>
    </row>
    <row r="416">
      <c r="A416" s="973" t="inlineStr">
        <is>
          <t>Hacktivist</t>
        </is>
      </c>
      <c r="B416" s="973" t="inlineStr">
        <is>
          <t>SC_INT</t>
        </is>
      </c>
      <c r="C416" s="973" t="inlineStr">
        <is>
          <t>Data or transaction-integrity compromise</t>
        </is>
      </c>
      <c r="D416" s="973" t="inlineStr">
        <is>
          <t>Exposure</t>
        </is>
      </c>
      <c r="E416" s="973" t="inlineStr">
        <is>
          <t>CREDIT_MONITORING</t>
        </is>
      </c>
      <c r="F416" s="973" t="inlineStr">
        <is>
          <t>P50</t>
        </is>
      </c>
      <c r="G416" s="973" t="n">
        <v>0</v>
      </c>
      <c r="H416" s="973" t="b">
        <v>0</v>
      </c>
      <c r="I416" s="973" t="inlineStr">
        <is>
          <t>D</t>
        </is>
      </c>
      <c r="J416" s="973" t="inlineStr">
        <is>
          <t>SRC-10</t>
        </is>
      </c>
      <c r="K416" s="973" t="n"/>
      <c r="L416" s="973" t="n"/>
      <c r="M416" s="973" t="n"/>
      <c r="N416" s="973" t="n"/>
      <c r="O416" s="973" t="n"/>
      <c r="P416" s="973" t="n"/>
    </row>
    <row r="417">
      <c r="A417" s="973" t="inlineStr">
        <is>
          <t>Hacktivist</t>
        </is>
      </c>
      <c r="B417" s="973" t="inlineStr">
        <is>
          <t>SC_INT</t>
        </is>
      </c>
      <c r="C417" s="973" t="inlineStr">
        <is>
          <t>Data or transaction-integrity compromise</t>
        </is>
      </c>
      <c r="D417" s="973" t="inlineStr">
        <is>
          <t>Exposure</t>
        </is>
      </c>
      <c r="E417" s="973" t="inlineStr">
        <is>
          <t>REGULATORY</t>
        </is>
      </c>
      <c r="F417" s="973" t="inlineStr">
        <is>
          <t>P50</t>
        </is>
      </c>
      <c r="G417" s="973" t="n">
        <v>500000</v>
      </c>
      <c r="H417" s="973" t="b">
        <v>1</v>
      </c>
      <c r="I417" s="973" t="inlineStr">
        <is>
          <t>D</t>
        </is>
      </c>
      <c r="J417" s="973" t="inlineStr">
        <is>
          <t>SRC-10</t>
        </is>
      </c>
      <c r="K417" s="973" t="n"/>
      <c r="L417" s="973" t="n"/>
      <c r="M417" s="973" t="n"/>
      <c r="N417" s="973" t="n"/>
      <c r="O417" s="973" t="n"/>
      <c r="P417" s="973" t="n"/>
    </row>
    <row r="418">
      <c r="A418" s="973" t="inlineStr">
        <is>
          <t>Hacktivist</t>
        </is>
      </c>
      <c r="B418" s="973" t="inlineStr">
        <is>
          <t>SC_INT</t>
        </is>
      </c>
      <c r="C418" s="973" t="inlineStr">
        <is>
          <t>Data or transaction-integrity compromise</t>
        </is>
      </c>
      <c r="D418" s="973" t="inlineStr">
        <is>
          <t>Exposure</t>
        </is>
      </c>
      <c r="E418" s="973" t="inlineStr">
        <is>
          <t>CUSTOMER_ATTRITION</t>
        </is>
      </c>
      <c r="F418" s="973" t="inlineStr">
        <is>
          <t>P50</t>
        </is>
      </c>
      <c r="G418" s="973" t="n">
        <v>1000000</v>
      </c>
      <c r="H418" s="973" t="b">
        <v>1</v>
      </c>
      <c r="I418" s="973" t="inlineStr">
        <is>
          <t>D</t>
        </is>
      </c>
      <c r="J418" s="973" t="inlineStr">
        <is>
          <t>SRC-10</t>
        </is>
      </c>
      <c r="K418" s="973" t="n"/>
      <c r="L418" s="973" t="n"/>
      <c r="M418" s="973" t="n"/>
      <c r="N418" s="973" t="n"/>
      <c r="O418" s="973" t="n"/>
      <c r="P418" s="973" t="n"/>
    </row>
    <row r="419">
      <c r="A419" s="973" t="inlineStr">
        <is>
          <t>Hacktivist</t>
        </is>
      </c>
      <c r="B419" s="973" t="inlineStr">
        <is>
          <t>SC_INT</t>
        </is>
      </c>
      <c r="C419" s="973" t="inlineStr">
        <is>
          <t>Data or transaction-integrity compromise</t>
        </is>
      </c>
      <c r="D419" s="973" t="inlineStr">
        <is>
          <t>Direct</t>
        </is>
      </c>
      <c r="E419" s="973" t="inlineStr">
        <is>
          <t>FRAUD_NET_RECOVERY</t>
        </is>
      </c>
      <c r="F419" s="973" t="inlineStr">
        <is>
          <t>P50</t>
        </is>
      </c>
      <c r="G419" s="973" t="n">
        <v>0</v>
      </c>
      <c r="H419" s="973" t="b">
        <v>0</v>
      </c>
      <c r="I419" s="973" t="inlineStr">
        <is>
          <t>D</t>
        </is>
      </c>
      <c r="J419" s="973" t="inlineStr">
        <is>
          <t>SRC-10</t>
        </is>
      </c>
      <c r="K419" s="973" t="n"/>
      <c r="L419" s="973" t="n"/>
      <c r="M419" s="973" t="n"/>
      <c r="N419" s="973" t="n"/>
      <c r="O419" s="973" t="n"/>
      <c r="P419" s="973" t="n"/>
    </row>
    <row r="420">
      <c r="A420" s="973" t="inlineStr">
        <is>
          <t>Hacktivist</t>
        </is>
      </c>
      <c r="B420" s="973" t="inlineStr">
        <is>
          <t>SC_INT</t>
        </is>
      </c>
      <c r="C420" s="973" t="inlineStr">
        <is>
          <t>Data or transaction-integrity compromise</t>
        </is>
      </c>
      <c r="D420" s="973" t="inlineStr">
        <is>
          <t>Direct</t>
        </is>
      </c>
      <c r="E420" s="973" t="inlineStr">
        <is>
          <t>EXTORTION</t>
        </is>
      </c>
      <c r="F420" s="973" t="inlineStr">
        <is>
          <t>P50</t>
        </is>
      </c>
      <c r="G420" s="973" t="n">
        <v>0</v>
      </c>
      <c r="H420" s="973" t="b">
        <v>0</v>
      </c>
      <c r="I420" s="973" t="inlineStr">
        <is>
          <t>D</t>
        </is>
      </c>
      <c r="J420" s="973" t="inlineStr">
        <is>
          <t>SRC-10</t>
        </is>
      </c>
      <c r="K420" s="973" t="n"/>
      <c r="L420" s="973" t="n"/>
      <c r="M420" s="973" t="n"/>
      <c r="N420" s="973" t="n"/>
      <c r="O420" s="973" t="n"/>
      <c r="P420" s="973" t="n"/>
    </row>
    <row r="421">
      <c r="A421" s="973" t="inlineStr">
        <is>
          <t>Hacktivist</t>
        </is>
      </c>
      <c r="B421" s="973" t="inlineStr">
        <is>
          <t>SC_INT</t>
        </is>
      </c>
      <c r="C421" s="973" t="inlineStr">
        <is>
          <t>Data or transaction-integrity compromise</t>
        </is>
      </c>
      <c r="D421" s="973" t="inlineStr">
        <is>
          <t>Direct</t>
        </is>
      </c>
      <c r="E421" s="973" t="inlineStr">
        <is>
          <t>POST_EVENT_UPLIFT</t>
        </is>
      </c>
      <c r="F421" s="973" t="inlineStr">
        <is>
          <t>P50</t>
        </is>
      </c>
      <c r="G421" s="973" t="n">
        <v>1000000</v>
      </c>
      <c r="H421" s="973" t="b">
        <v>1</v>
      </c>
      <c r="I421" s="973" t="inlineStr">
        <is>
          <t>D</t>
        </is>
      </c>
      <c r="J421" s="973" t="inlineStr">
        <is>
          <t>SRC-10</t>
        </is>
      </c>
      <c r="K421" s="973" t="n"/>
      <c r="L421" s="973" t="n"/>
      <c r="M421" s="973" t="n"/>
      <c r="N421" s="973" t="n"/>
      <c r="O421" s="973" t="n"/>
      <c r="P421" s="973" t="n"/>
    </row>
    <row r="422">
      <c r="A422" s="973" t="inlineStr">
        <is>
          <t>Hacktivist</t>
        </is>
      </c>
      <c r="B422" s="973" t="inlineStr">
        <is>
          <t>SC_INT</t>
        </is>
      </c>
      <c r="C422" s="973" t="inlineStr">
        <is>
          <t>Data or transaction-integrity compromise</t>
        </is>
      </c>
      <c r="D422" s="973" t="inlineStr">
        <is>
          <t>Duration</t>
        </is>
      </c>
      <c r="E422" s="973" t="inlineStr">
        <is>
          <t>IR_FORENSICS</t>
        </is>
      </c>
      <c r="F422" s="973" t="inlineStr">
        <is>
          <t>P99</t>
        </is>
      </c>
      <c r="G422" s="973" t="n">
        <v>360000</v>
      </c>
      <c r="H422" s="973" t="b">
        <v>1</v>
      </c>
      <c r="I422" s="973" t="inlineStr">
        <is>
          <t>D</t>
        </is>
      </c>
      <c r="J422" s="973" t="inlineStr">
        <is>
          <t>SRC-10</t>
        </is>
      </c>
      <c r="K422" s="973" t="n"/>
      <c r="L422" s="973" t="n"/>
      <c r="M422" s="973" t="n"/>
      <c r="N422" s="973" t="n"/>
      <c r="O422" s="973" t="n"/>
      <c r="P422" s="973" t="n"/>
    </row>
    <row r="423">
      <c r="A423" s="973" t="inlineStr">
        <is>
          <t>Hacktivist</t>
        </is>
      </c>
      <c r="B423" s="973" t="inlineStr">
        <is>
          <t>SC_INT</t>
        </is>
      </c>
      <c r="C423" s="973" t="inlineStr">
        <is>
          <t>Data or transaction-integrity compromise</t>
        </is>
      </c>
      <c r="D423" s="973" t="inlineStr">
        <is>
          <t>Duration</t>
        </is>
      </c>
      <c r="E423" s="973" t="inlineStr">
        <is>
          <t>EXTERNAL_RESPONSE</t>
        </is>
      </c>
      <c r="F423" s="973" t="inlineStr">
        <is>
          <t>P99</t>
        </is>
      </c>
      <c r="G423" s="973" t="n">
        <v>750000</v>
      </c>
      <c r="H423" s="973" t="b">
        <v>1</v>
      </c>
      <c r="I423" s="973" t="inlineStr">
        <is>
          <t>D</t>
        </is>
      </c>
      <c r="J423" s="973" t="inlineStr">
        <is>
          <t>SRC-10</t>
        </is>
      </c>
      <c r="K423" s="973" t="n"/>
      <c r="L423" s="973" t="n"/>
      <c r="M423" s="973" t="n"/>
      <c r="N423" s="973" t="n"/>
      <c r="O423" s="973" t="n"/>
      <c r="P423" s="973" t="n"/>
    </row>
    <row r="424">
      <c r="A424" s="973" t="inlineStr">
        <is>
          <t>Hacktivist</t>
        </is>
      </c>
      <c r="B424" s="973" t="inlineStr">
        <is>
          <t>SC_INT</t>
        </is>
      </c>
      <c r="C424" s="973" t="inlineStr">
        <is>
          <t>Data or transaction-integrity compromise</t>
        </is>
      </c>
      <c r="D424" s="973" t="inlineStr">
        <is>
          <t>Duration</t>
        </is>
      </c>
      <c r="E424" s="973" t="inlineStr">
        <is>
          <t>LEGAL_RESPONSE</t>
        </is>
      </c>
      <c r="F424" s="973" t="inlineStr">
        <is>
          <t>P99</t>
        </is>
      </c>
      <c r="G424" s="973" t="n">
        <v>1200000</v>
      </c>
      <c r="H424" s="973" t="b">
        <v>1</v>
      </c>
      <c r="I424" s="973" t="inlineStr">
        <is>
          <t>D</t>
        </is>
      </c>
      <c r="J424" s="973" t="inlineStr">
        <is>
          <t>SRC-10</t>
        </is>
      </c>
      <c r="K424" s="973" t="n"/>
      <c r="L424" s="973" t="n"/>
      <c r="M424" s="973" t="n"/>
      <c r="N424" s="973" t="n"/>
      <c r="O424" s="973" t="n"/>
      <c r="P424" s="973" t="n"/>
    </row>
    <row r="425">
      <c r="A425" s="973" t="inlineStr">
        <is>
          <t>Hacktivist</t>
        </is>
      </c>
      <c r="B425" s="973" t="inlineStr">
        <is>
          <t>SC_INT</t>
        </is>
      </c>
      <c r="C425" s="973" t="inlineStr">
        <is>
          <t>Data or transaction-integrity compromise</t>
        </is>
      </c>
      <c r="D425" s="973" t="inlineStr">
        <is>
          <t>Duration</t>
        </is>
      </c>
      <c r="E425" s="973" t="inlineStr">
        <is>
          <t>RESTORATION</t>
        </is>
      </c>
      <c r="F425" s="973" t="inlineStr">
        <is>
          <t>P99</t>
        </is>
      </c>
      <c r="G425" s="973" t="n">
        <v>600000</v>
      </c>
      <c r="H425" s="973" t="b">
        <v>1</v>
      </c>
      <c r="I425" s="973" t="inlineStr">
        <is>
          <t>D</t>
        </is>
      </c>
      <c r="J425" s="973" t="inlineStr">
        <is>
          <t>SRC-10</t>
        </is>
      </c>
      <c r="K425" s="973" t="n"/>
      <c r="L425" s="973" t="n"/>
      <c r="M425" s="973" t="n"/>
      <c r="N425" s="973" t="n"/>
      <c r="O425" s="973" t="n"/>
      <c r="P425" s="973" t="n"/>
    </row>
    <row r="426">
      <c r="A426" s="973" t="inlineStr">
        <is>
          <t>Hacktivist</t>
        </is>
      </c>
      <c r="B426" s="973" t="inlineStr">
        <is>
          <t>SC_INT</t>
        </is>
      </c>
      <c r="C426" s="973" t="inlineStr">
        <is>
          <t>Data or transaction-integrity compromise</t>
        </is>
      </c>
      <c r="D426" s="973" t="inlineStr">
        <is>
          <t>Duration</t>
        </is>
      </c>
      <c r="E426" s="973" t="inlineStr">
        <is>
          <t>BUSINESS_INTERRUPTION</t>
        </is>
      </c>
      <c r="F426" s="973" t="inlineStr">
        <is>
          <t>P99</t>
        </is>
      </c>
      <c r="G426" s="973" t="n">
        <v>38356164.38356164</v>
      </c>
      <c r="H426" s="973" t="b">
        <v>1</v>
      </c>
      <c r="I426" s="973" t="inlineStr">
        <is>
          <t>D</t>
        </is>
      </c>
      <c r="J426" s="973" t="inlineStr">
        <is>
          <t>SRC-10</t>
        </is>
      </c>
      <c r="K426" s="973" t="n"/>
      <c r="L426" s="973" t="n"/>
      <c r="M426" s="973" t="n"/>
      <c r="N426" s="973" t="n"/>
      <c r="O426" s="973" t="n"/>
      <c r="P426" s="973" t="n"/>
    </row>
    <row r="427">
      <c r="A427" s="973" t="inlineStr">
        <is>
          <t>Hacktivist</t>
        </is>
      </c>
      <c r="B427" s="973" t="inlineStr">
        <is>
          <t>SC_INT</t>
        </is>
      </c>
      <c r="C427" s="973" t="inlineStr">
        <is>
          <t>Data or transaction-integrity compromise</t>
        </is>
      </c>
      <c r="D427" s="973" t="inlineStr">
        <is>
          <t>Duration</t>
        </is>
      </c>
      <c r="E427" s="973" t="inlineStr">
        <is>
          <t>ENDPOINT_RECOVERY</t>
        </is>
      </c>
      <c r="F427" s="973" t="inlineStr">
        <is>
          <t>P99</t>
        </is>
      </c>
      <c r="G427" s="973" t="n">
        <v>1000000</v>
      </c>
      <c r="H427" s="973" t="b">
        <v>1</v>
      </c>
      <c r="I427" s="973" t="inlineStr">
        <is>
          <t>D</t>
        </is>
      </c>
      <c r="J427" s="973" t="inlineStr">
        <is>
          <t>SRC-10</t>
        </is>
      </c>
      <c r="K427" s="973" t="n"/>
      <c r="L427" s="973" t="n"/>
      <c r="M427" s="973" t="n"/>
      <c r="N427" s="973" t="n"/>
      <c r="O427" s="973" t="n"/>
      <c r="P427" s="973" t="n"/>
    </row>
    <row r="428">
      <c r="A428" s="973" t="inlineStr">
        <is>
          <t>Hacktivist</t>
        </is>
      </c>
      <c r="B428" s="973" t="inlineStr">
        <is>
          <t>SC_INT</t>
        </is>
      </c>
      <c r="C428" s="973" t="inlineStr">
        <is>
          <t>Data or transaction-integrity compromise</t>
        </is>
      </c>
      <c r="D428" s="973" t="inlineStr">
        <is>
          <t>Duration</t>
        </is>
      </c>
      <c r="E428" s="973" t="inlineStr">
        <is>
          <t>SERVER_RECOVERY</t>
        </is>
      </c>
      <c r="F428" s="973" t="inlineStr">
        <is>
          <t>P99</t>
        </is>
      </c>
      <c r="G428" s="973" t="n">
        <v>2000000</v>
      </c>
      <c r="H428" s="973" t="b">
        <v>1</v>
      </c>
      <c r="I428" s="973" t="inlineStr">
        <is>
          <t>D</t>
        </is>
      </c>
      <c r="J428" s="973" t="inlineStr">
        <is>
          <t>SRC-10</t>
        </is>
      </c>
      <c r="K428" s="973" t="n"/>
      <c r="L428" s="973" t="n"/>
      <c r="M428" s="973" t="n"/>
      <c r="N428" s="973" t="n"/>
      <c r="O428" s="973" t="n"/>
      <c r="P428" s="973" t="n"/>
    </row>
    <row r="429">
      <c r="A429" s="973" t="inlineStr">
        <is>
          <t>Hacktivist</t>
        </is>
      </c>
      <c r="B429" s="973" t="inlineStr">
        <is>
          <t>SC_INT</t>
        </is>
      </c>
      <c r="C429" s="973" t="inlineStr">
        <is>
          <t>Data or transaction-integrity compromise</t>
        </is>
      </c>
      <c r="D429" s="973" t="inlineStr">
        <is>
          <t>Exposure</t>
        </is>
      </c>
      <c r="E429" s="973" t="inlineStr">
        <is>
          <t>NOTIFICATION</t>
        </is>
      </c>
      <c r="F429" s="973" t="inlineStr">
        <is>
          <t>P99</t>
        </is>
      </c>
      <c r="G429" s="973" t="n">
        <v>0</v>
      </c>
      <c r="H429" s="973" t="b">
        <v>0</v>
      </c>
      <c r="I429" s="973" t="inlineStr">
        <is>
          <t>D</t>
        </is>
      </c>
      <c r="J429" s="973" t="inlineStr">
        <is>
          <t>SRC-10</t>
        </is>
      </c>
      <c r="K429" s="973" t="n"/>
      <c r="L429" s="973" t="n"/>
      <c r="M429" s="973" t="n"/>
      <c r="N429" s="973" t="n"/>
      <c r="O429" s="973" t="n"/>
      <c r="P429" s="973" t="n"/>
    </row>
    <row r="430">
      <c r="A430" s="973" t="inlineStr">
        <is>
          <t>Hacktivist</t>
        </is>
      </c>
      <c r="B430" s="973" t="inlineStr">
        <is>
          <t>SC_INT</t>
        </is>
      </c>
      <c r="C430" s="973" t="inlineStr">
        <is>
          <t>Data or transaction-integrity compromise</t>
        </is>
      </c>
      <c r="D430" s="973" t="inlineStr">
        <is>
          <t>Exposure</t>
        </is>
      </c>
      <c r="E430" s="973" t="inlineStr">
        <is>
          <t>CREDIT_MONITORING</t>
        </is>
      </c>
      <c r="F430" s="973" t="inlineStr">
        <is>
          <t>P99</t>
        </is>
      </c>
      <c r="G430" s="973" t="n">
        <v>0</v>
      </c>
      <c r="H430" s="973" t="b">
        <v>0</v>
      </c>
      <c r="I430" s="973" t="inlineStr">
        <is>
          <t>D</t>
        </is>
      </c>
      <c r="J430" s="973" t="inlineStr">
        <is>
          <t>SRC-10</t>
        </is>
      </c>
      <c r="K430" s="973" t="n"/>
      <c r="L430" s="973" t="n"/>
      <c r="M430" s="973" t="n"/>
      <c r="N430" s="973" t="n"/>
      <c r="O430" s="973" t="n"/>
      <c r="P430" s="973" t="n"/>
    </row>
    <row r="431">
      <c r="A431" s="973" t="inlineStr">
        <is>
          <t>Hacktivist</t>
        </is>
      </c>
      <c r="B431" s="973" t="inlineStr">
        <is>
          <t>SC_INT</t>
        </is>
      </c>
      <c r="C431" s="973" t="inlineStr">
        <is>
          <t>Data or transaction-integrity compromise</t>
        </is>
      </c>
      <c r="D431" s="973" t="inlineStr">
        <is>
          <t>Exposure</t>
        </is>
      </c>
      <c r="E431" s="973" t="inlineStr">
        <is>
          <t>REGULATORY</t>
        </is>
      </c>
      <c r="F431" s="973" t="inlineStr">
        <is>
          <t>P99</t>
        </is>
      </c>
      <c r="G431" s="973" t="n">
        <v>6000000</v>
      </c>
      <c r="H431" s="973" t="b">
        <v>1</v>
      </c>
      <c r="I431" s="973" t="inlineStr">
        <is>
          <t>D</t>
        </is>
      </c>
      <c r="J431" s="973" t="inlineStr">
        <is>
          <t>SRC-10</t>
        </is>
      </c>
      <c r="K431" s="973" t="n"/>
      <c r="L431" s="973" t="n"/>
      <c r="M431" s="973" t="n"/>
      <c r="N431" s="973" t="n"/>
      <c r="O431" s="973" t="n"/>
      <c r="P431" s="973" t="n"/>
    </row>
    <row r="432">
      <c r="A432" s="973" t="inlineStr">
        <is>
          <t>Hacktivist</t>
        </is>
      </c>
      <c r="B432" s="973" t="inlineStr">
        <is>
          <t>SC_INT</t>
        </is>
      </c>
      <c r="C432" s="973" t="inlineStr">
        <is>
          <t>Data or transaction-integrity compromise</t>
        </is>
      </c>
      <c r="D432" s="973" t="inlineStr">
        <is>
          <t>Exposure</t>
        </is>
      </c>
      <c r="E432" s="973" t="inlineStr">
        <is>
          <t>CUSTOMER_ATTRITION</t>
        </is>
      </c>
      <c r="F432" s="973" t="inlineStr">
        <is>
          <t>P99</t>
        </is>
      </c>
      <c r="G432" s="973" t="n">
        <v>20000000</v>
      </c>
      <c r="H432" s="973" t="b">
        <v>1</v>
      </c>
      <c r="I432" s="973" t="inlineStr">
        <is>
          <t>D</t>
        </is>
      </c>
      <c r="J432" s="973" t="inlineStr">
        <is>
          <t>SRC-10</t>
        </is>
      </c>
      <c r="K432" s="973" t="n"/>
      <c r="L432" s="973" t="n"/>
      <c r="M432" s="973" t="n"/>
      <c r="N432" s="973" t="n"/>
      <c r="O432" s="973" t="n"/>
      <c r="P432" s="973" t="n"/>
    </row>
    <row r="433">
      <c r="A433" s="973" t="inlineStr">
        <is>
          <t>Hacktivist</t>
        </is>
      </c>
      <c r="B433" s="973" t="inlineStr">
        <is>
          <t>SC_INT</t>
        </is>
      </c>
      <c r="C433" s="973" t="inlineStr">
        <is>
          <t>Data or transaction-integrity compromise</t>
        </is>
      </c>
      <c r="D433" s="973" t="inlineStr">
        <is>
          <t>Direct</t>
        </is>
      </c>
      <c r="E433" s="973" t="inlineStr">
        <is>
          <t>FRAUD_NET_RECOVERY</t>
        </is>
      </c>
      <c r="F433" s="973" t="inlineStr">
        <is>
          <t>P99</t>
        </is>
      </c>
      <c r="G433" s="973" t="n">
        <v>0</v>
      </c>
      <c r="H433" s="973" t="b">
        <v>0</v>
      </c>
      <c r="I433" s="973" t="inlineStr">
        <is>
          <t>D</t>
        </is>
      </c>
      <c r="J433" s="973" t="inlineStr">
        <is>
          <t>SRC-10</t>
        </is>
      </c>
      <c r="K433" s="973" t="n"/>
      <c r="L433" s="973" t="n"/>
      <c r="M433" s="973" t="n"/>
      <c r="N433" s="973" t="n"/>
      <c r="O433" s="973" t="n"/>
      <c r="P433" s="973" t="n"/>
    </row>
    <row r="434">
      <c r="A434" s="973" t="inlineStr">
        <is>
          <t>Hacktivist</t>
        </is>
      </c>
      <c r="B434" s="973" t="inlineStr">
        <is>
          <t>SC_INT</t>
        </is>
      </c>
      <c r="C434" s="973" t="inlineStr">
        <is>
          <t>Data or transaction-integrity compromise</t>
        </is>
      </c>
      <c r="D434" s="973" t="inlineStr">
        <is>
          <t>Direct</t>
        </is>
      </c>
      <c r="E434" s="973" t="inlineStr">
        <is>
          <t>EXTORTION</t>
        </is>
      </c>
      <c r="F434" s="973" t="inlineStr">
        <is>
          <t>P99</t>
        </is>
      </c>
      <c r="G434" s="973" t="n">
        <v>0</v>
      </c>
      <c r="H434" s="973" t="b">
        <v>0</v>
      </c>
      <c r="I434" s="973" t="inlineStr">
        <is>
          <t>D</t>
        </is>
      </c>
      <c r="J434" s="973" t="inlineStr">
        <is>
          <t>SRC-10</t>
        </is>
      </c>
      <c r="K434" s="973" t="n"/>
      <c r="L434" s="973" t="n"/>
      <c r="M434" s="973" t="n"/>
      <c r="N434" s="973" t="n"/>
      <c r="O434" s="973" t="n"/>
      <c r="P434" s="973" t="n"/>
    </row>
    <row r="435">
      <c r="A435" s="973" t="inlineStr">
        <is>
          <t>Hacktivist</t>
        </is>
      </c>
      <c r="B435" s="973" t="inlineStr">
        <is>
          <t>SC_INT</t>
        </is>
      </c>
      <c r="C435" s="973" t="inlineStr">
        <is>
          <t>Data or transaction-integrity compromise</t>
        </is>
      </c>
      <c r="D435" s="973" t="inlineStr">
        <is>
          <t>Direct</t>
        </is>
      </c>
      <c r="E435" s="973" t="inlineStr">
        <is>
          <t>POST_EVENT_UPLIFT</t>
        </is>
      </c>
      <c r="F435" s="973" t="inlineStr">
        <is>
          <t>P99</t>
        </is>
      </c>
      <c r="G435" s="973" t="n">
        <v>8000000</v>
      </c>
      <c r="H435" s="973" t="b">
        <v>1</v>
      </c>
      <c r="I435" s="973" t="inlineStr">
        <is>
          <t>D</t>
        </is>
      </c>
      <c r="J435" s="973" t="inlineStr">
        <is>
          <t>SRC-10</t>
        </is>
      </c>
      <c r="K435" s="973" t="n"/>
      <c r="L435" s="973" t="n"/>
      <c r="M435" s="973" t="n"/>
      <c r="N435" s="973" t="n"/>
      <c r="O435" s="973" t="n"/>
      <c r="P435" s="973" t="n"/>
    </row>
    <row r="436">
      <c r="A436" s="973" t="inlineStr">
        <is>
          <t>Hacktivist</t>
        </is>
      </c>
      <c r="B436" s="973" t="inlineStr">
        <is>
          <t>SC_FRAUD</t>
        </is>
      </c>
      <c r="C436" s="973" t="inlineStr">
        <is>
          <t>Cyber-enabled theft or fraud</t>
        </is>
      </c>
      <c r="D436" s="973" t="inlineStr">
        <is>
          <t>Duration</t>
        </is>
      </c>
      <c r="E436" s="973" t="inlineStr">
        <is>
          <t>IR_FORENSICS</t>
        </is>
      </c>
      <c r="F436" s="973" t="inlineStr">
        <is>
          <t>P50</t>
        </is>
      </c>
      <c r="G436" s="973" t="n">
        <v>20000</v>
      </c>
      <c r="H436" s="973" t="b">
        <v>1</v>
      </c>
      <c r="I436" s="973" t="inlineStr">
        <is>
          <t>D</t>
        </is>
      </c>
      <c r="J436" s="973" t="inlineStr">
        <is>
          <t>SRC-10</t>
        </is>
      </c>
      <c r="K436" s="973" t="n"/>
      <c r="L436" s="973" t="n"/>
      <c r="M436" s="973" t="n"/>
      <c r="N436" s="973" t="n"/>
      <c r="O436" s="973" t="n"/>
      <c r="P436" s="973" t="n"/>
    </row>
    <row r="437">
      <c r="A437" s="973" t="inlineStr">
        <is>
          <t>Hacktivist</t>
        </is>
      </c>
      <c r="B437" s="973" t="inlineStr">
        <is>
          <t>SC_FRAUD</t>
        </is>
      </c>
      <c r="C437" s="973" t="inlineStr">
        <is>
          <t>Cyber-enabled theft or fraud</t>
        </is>
      </c>
      <c r="D437" s="973" t="inlineStr">
        <is>
          <t>Duration</t>
        </is>
      </c>
      <c r="E437" s="973" t="inlineStr">
        <is>
          <t>EXTERNAL_RESPONSE</t>
        </is>
      </c>
      <c r="F437" s="973" t="inlineStr">
        <is>
          <t>P50</t>
        </is>
      </c>
      <c r="G437" s="973" t="n">
        <v>30000</v>
      </c>
      <c r="H437" s="973" t="b">
        <v>1</v>
      </c>
      <c r="I437" s="973" t="inlineStr">
        <is>
          <t>D</t>
        </is>
      </c>
      <c r="J437" s="973" t="inlineStr">
        <is>
          <t>SRC-10</t>
        </is>
      </c>
      <c r="K437" s="973" t="n"/>
      <c r="L437" s="973" t="n"/>
      <c r="M437" s="973" t="n"/>
      <c r="N437" s="973" t="n"/>
      <c r="O437" s="973" t="n"/>
      <c r="P437" s="973" t="n"/>
    </row>
    <row r="438">
      <c r="A438" s="973" t="inlineStr">
        <is>
          <t>Hacktivist</t>
        </is>
      </c>
      <c r="B438" s="973" t="inlineStr">
        <is>
          <t>SC_FRAUD</t>
        </is>
      </c>
      <c r="C438" s="973" t="inlineStr">
        <is>
          <t>Cyber-enabled theft or fraud</t>
        </is>
      </c>
      <c r="D438" s="973" t="inlineStr">
        <is>
          <t>Duration</t>
        </is>
      </c>
      <c r="E438" s="973" t="inlineStr">
        <is>
          <t>LEGAL_RESPONSE</t>
        </is>
      </c>
      <c r="F438" s="973" t="inlineStr">
        <is>
          <t>P50</t>
        </is>
      </c>
      <c r="G438" s="973" t="n">
        <v>75000</v>
      </c>
      <c r="H438" s="973" t="b">
        <v>1</v>
      </c>
      <c r="I438" s="973" t="inlineStr">
        <is>
          <t>D</t>
        </is>
      </c>
      <c r="J438" s="973" t="inlineStr">
        <is>
          <t>SRC-10</t>
        </is>
      </c>
      <c r="K438" s="973" t="n"/>
      <c r="L438" s="973" t="n"/>
      <c r="M438" s="973" t="n"/>
      <c r="N438" s="973" t="n"/>
      <c r="O438" s="973" t="n"/>
      <c r="P438" s="973" t="n"/>
    </row>
    <row r="439">
      <c r="A439" s="973" t="inlineStr">
        <is>
          <t>Hacktivist</t>
        </is>
      </c>
      <c r="B439" s="973" t="inlineStr">
        <is>
          <t>SC_FRAUD</t>
        </is>
      </c>
      <c r="C439" s="973" t="inlineStr">
        <is>
          <t>Cyber-enabled theft or fraud</t>
        </is>
      </c>
      <c r="D439" s="973" t="inlineStr">
        <is>
          <t>Duration</t>
        </is>
      </c>
      <c r="E439" s="973" t="inlineStr">
        <is>
          <t>RESTORATION</t>
        </is>
      </c>
      <c r="F439" s="973" t="inlineStr">
        <is>
          <t>P50</t>
        </is>
      </c>
      <c r="G439" s="973" t="n">
        <v>10000</v>
      </c>
      <c r="H439" s="973" t="b">
        <v>1</v>
      </c>
      <c r="I439" s="973" t="inlineStr">
        <is>
          <t>D</t>
        </is>
      </c>
      <c r="J439" s="973" t="inlineStr">
        <is>
          <t>SRC-10</t>
        </is>
      </c>
      <c r="K439" s="973" t="n"/>
      <c r="L439" s="973" t="n"/>
      <c r="M439" s="973" t="n"/>
      <c r="N439" s="973" t="n"/>
      <c r="O439" s="973" t="n"/>
      <c r="P439" s="973" t="n"/>
    </row>
    <row r="440">
      <c r="A440" s="973" t="inlineStr">
        <is>
          <t>Hacktivist</t>
        </is>
      </c>
      <c r="B440" s="973" t="inlineStr">
        <is>
          <t>SC_FRAUD</t>
        </is>
      </c>
      <c r="C440" s="973" t="inlineStr">
        <is>
          <t>Cyber-enabled theft or fraud</t>
        </is>
      </c>
      <c r="D440" s="973" t="inlineStr">
        <is>
          <t>Duration</t>
        </is>
      </c>
      <c r="E440" s="973" t="inlineStr">
        <is>
          <t>BUSINESS_INTERRUPTION</t>
        </is>
      </c>
      <c r="F440" s="973" t="inlineStr">
        <is>
          <t>P50</t>
        </is>
      </c>
      <c r="G440" s="973" t="n">
        <v>0</v>
      </c>
      <c r="H440" s="973" t="b">
        <v>0</v>
      </c>
      <c r="I440" s="973" t="inlineStr">
        <is>
          <t>D</t>
        </is>
      </c>
      <c r="J440" s="973" t="inlineStr">
        <is>
          <t>SRC-10</t>
        </is>
      </c>
      <c r="K440" s="973" t="n"/>
      <c r="L440" s="973" t="n"/>
      <c r="M440" s="973" t="n"/>
      <c r="N440" s="973" t="n"/>
      <c r="O440" s="973" t="n"/>
      <c r="P440" s="973" t="n"/>
    </row>
    <row r="441">
      <c r="A441" s="973" t="inlineStr">
        <is>
          <t>Hacktivist</t>
        </is>
      </c>
      <c r="B441" s="973" t="inlineStr">
        <is>
          <t>SC_FRAUD</t>
        </is>
      </c>
      <c r="C441" s="973" t="inlineStr">
        <is>
          <t>Cyber-enabled theft or fraud</t>
        </is>
      </c>
      <c r="D441" s="973" t="inlineStr">
        <is>
          <t>Duration</t>
        </is>
      </c>
      <c r="E441" s="973" t="inlineStr">
        <is>
          <t>ENDPOINT_RECOVERY</t>
        </is>
      </c>
      <c r="F441" s="973" t="inlineStr">
        <is>
          <t>P50</t>
        </is>
      </c>
      <c r="G441" s="973" t="n">
        <v>0</v>
      </c>
      <c r="H441" s="973" t="b">
        <v>0</v>
      </c>
      <c r="I441" s="973" t="inlineStr">
        <is>
          <t>D</t>
        </is>
      </c>
      <c r="J441" s="973" t="inlineStr">
        <is>
          <t>SRC-10</t>
        </is>
      </c>
      <c r="K441" s="973" t="n"/>
      <c r="L441" s="973" t="n"/>
      <c r="M441" s="973" t="n"/>
      <c r="N441" s="973" t="n"/>
      <c r="O441" s="973" t="n"/>
      <c r="P441" s="973" t="n"/>
    </row>
    <row r="442">
      <c r="A442" s="973" t="inlineStr">
        <is>
          <t>Hacktivist</t>
        </is>
      </c>
      <c r="B442" s="973" t="inlineStr">
        <is>
          <t>SC_FRAUD</t>
        </is>
      </c>
      <c r="C442" s="973" t="inlineStr">
        <is>
          <t>Cyber-enabled theft or fraud</t>
        </is>
      </c>
      <c r="D442" s="973" t="inlineStr">
        <is>
          <t>Duration</t>
        </is>
      </c>
      <c r="E442" s="973" t="inlineStr">
        <is>
          <t>SERVER_RECOVERY</t>
        </is>
      </c>
      <c r="F442" s="973" t="inlineStr">
        <is>
          <t>P50</t>
        </is>
      </c>
      <c r="G442" s="973" t="n">
        <v>0</v>
      </c>
      <c r="H442" s="973" t="b">
        <v>0</v>
      </c>
      <c r="I442" s="973" t="inlineStr">
        <is>
          <t>D</t>
        </is>
      </c>
      <c r="J442" s="973" t="inlineStr">
        <is>
          <t>SRC-10</t>
        </is>
      </c>
      <c r="K442" s="973" t="n"/>
      <c r="L442" s="973" t="n"/>
      <c r="M442" s="973" t="n"/>
      <c r="N442" s="973" t="n"/>
      <c r="O442" s="973" t="n"/>
      <c r="P442" s="973" t="n"/>
    </row>
    <row r="443">
      <c r="A443" s="973" t="inlineStr">
        <is>
          <t>Hacktivist</t>
        </is>
      </c>
      <c r="B443" s="973" t="inlineStr">
        <is>
          <t>SC_FRAUD</t>
        </is>
      </c>
      <c r="C443" s="973" t="inlineStr">
        <is>
          <t>Cyber-enabled theft or fraud</t>
        </is>
      </c>
      <c r="D443" s="973" t="inlineStr">
        <is>
          <t>Exposure</t>
        </is>
      </c>
      <c r="E443" s="973" t="inlineStr">
        <is>
          <t>NOTIFICATION</t>
        </is>
      </c>
      <c r="F443" s="973" t="inlineStr">
        <is>
          <t>P50</t>
        </is>
      </c>
      <c r="G443" s="973" t="n">
        <v>0</v>
      </c>
      <c r="H443" s="973" t="b">
        <v>0</v>
      </c>
      <c r="I443" s="973" t="inlineStr">
        <is>
          <t>D</t>
        </is>
      </c>
      <c r="J443" s="973" t="inlineStr">
        <is>
          <t>SRC-10</t>
        </is>
      </c>
      <c r="K443" s="973" t="n"/>
      <c r="L443" s="973" t="n"/>
      <c r="M443" s="973" t="n"/>
      <c r="N443" s="973" t="n"/>
      <c r="O443" s="973" t="n"/>
      <c r="P443" s="973" t="n"/>
    </row>
    <row r="444">
      <c r="A444" s="973" t="inlineStr">
        <is>
          <t>Hacktivist</t>
        </is>
      </c>
      <c r="B444" s="973" t="inlineStr">
        <is>
          <t>SC_FRAUD</t>
        </is>
      </c>
      <c r="C444" s="973" t="inlineStr">
        <is>
          <t>Cyber-enabled theft or fraud</t>
        </is>
      </c>
      <c r="D444" s="973" t="inlineStr">
        <is>
          <t>Exposure</t>
        </is>
      </c>
      <c r="E444" s="973" t="inlineStr">
        <is>
          <t>CREDIT_MONITORING</t>
        </is>
      </c>
      <c r="F444" s="973" t="inlineStr">
        <is>
          <t>P50</t>
        </is>
      </c>
      <c r="G444" s="973" t="n">
        <v>0</v>
      </c>
      <c r="H444" s="973" t="b">
        <v>0</v>
      </c>
      <c r="I444" s="973" t="inlineStr">
        <is>
          <t>D</t>
        </is>
      </c>
      <c r="J444" s="973" t="inlineStr">
        <is>
          <t>SRC-10</t>
        </is>
      </c>
      <c r="K444" s="973" t="n"/>
      <c r="L444" s="973" t="n"/>
      <c r="M444" s="973" t="n"/>
      <c r="N444" s="973" t="n"/>
      <c r="O444" s="973" t="n"/>
      <c r="P444" s="973" t="n"/>
    </row>
    <row r="445">
      <c r="A445" s="973" t="inlineStr">
        <is>
          <t>Hacktivist</t>
        </is>
      </c>
      <c r="B445" s="973" t="inlineStr">
        <is>
          <t>SC_FRAUD</t>
        </is>
      </c>
      <c r="C445" s="973" t="inlineStr">
        <is>
          <t>Cyber-enabled theft or fraud</t>
        </is>
      </c>
      <c r="D445" s="973" t="inlineStr">
        <is>
          <t>Exposure</t>
        </is>
      </c>
      <c r="E445" s="973" t="inlineStr">
        <is>
          <t>REGULATORY</t>
        </is>
      </c>
      <c r="F445" s="973" t="inlineStr">
        <is>
          <t>P50</t>
        </is>
      </c>
      <c r="G445" s="973" t="n">
        <v>200000</v>
      </c>
      <c r="H445" s="973" t="b">
        <v>1</v>
      </c>
      <c r="I445" s="973" t="inlineStr">
        <is>
          <t>D</t>
        </is>
      </c>
      <c r="J445" s="973" t="inlineStr">
        <is>
          <t>SRC-10</t>
        </is>
      </c>
      <c r="K445" s="973" t="n"/>
      <c r="L445" s="973" t="n"/>
      <c r="M445" s="973" t="n"/>
      <c r="N445" s="973" t="n"/>
      <c r="O445" s="973" t="n"/>
      <c r="P445" s="973" t="n"/>
    </row>
    <row r="446">
      <c r="A446" s="973" t="inlineStr">
        <is>
          <t>Hacktivist</t>
        </is>
      </c>
      <c r="B446" s="973" t="inlineStr">
        <is>
          <t>SC_FRAUD</t>
        </is>
      </c>
      <c r="C446" s="973" t="inlineStr">
        <is>
          <t>Cyber-enabled theft or fraud</t>
        </is>
      </c>
      <c r="D446" s="973" t="inlineStr">
        <is>
          <t>Exposure</t>
        </is>
      </c>
      <c r="E446" s="973" t="inlineStr">
        <is>
          <t>CUSTOMER_ATTRITION</t>
        </is>
      </c>
      <c r="F446" s="973" t="inlineStr">
        <is>
          <t>P50</t>
        </is>
      </c>
      <c r="G446" s="973" t="n">
        <v>1000000</v>
      </c>
      <c r="H446" s="973" t="b">
        <v>1</v>
      </c>
      <c r="I446" s="973" t="inlineStr">
        <is>
          <t>D</t>
        </is>
      </c>
      <c r="J446" s="973" t="inlineStr">
        <is>
          <t>SRC-10</t>
        </is>
      </c>
      <c r="K446" s="973" t="n"/>
      <c r="L446" s="973" t="n"/>
      <c r="M446" s="973" t="n"/>
      <c r="N446" s="973" t="n"/>
      <c r="O446" s="973" t="n"/>
      <c r="P446" s="973" t="n"/>
    </row>
    <row r="447">
      <c r="A447" s="973" t="inlineStr">
        <is>
          <t>Hacktivist</t>
        </is>
      </c>
      <c r="B447" s="973" t="inlineStr">
        <is>
          <t>SC_FRAUD</t>
        </is>
      </c>
      <c r="C447" s="973" t="inlineStr">
        <is>
          <t>Cyber-enabled theft or fraud</t>
        </is>
      </c>
      <c r="D447" s="973" t="inlineStr">
        <is>
          <t>Direct</t>
        </is>
      </c>
      <c r="E447" s="973" t="inlineStr">
        <is>
          <t>FRAUD_NET_RECOVERY</t>
        </is>
      </c>
      <c r="F447" s="973" t="inlineStr">
        <is>
          <t>P50</t>
        </is>
      </c>
      <c r="G447" s="973" t="n">
        <v>0</v>
      </c>
      <c r="H447" s="973" t="b">
        <v>0</v>
      </c>
      <c r="I447" s="973" t="inlineStr">
        <is>
          <t>D</t>
        </is>
      </c>
      <c r="J447" s="973" t="inlineStr">
        <is>
          <t>SRC-10</t>
        </is>
      </c>
      <c r="K447" s="973" t="n"/>
      <c r="L447" s="973" t="n"/>
      <c r="M447" s="973" t="n"/>
      <c r="N447" s="973" t="n"/>
      <c r="O447" s="973" t="n"/>
      <c r="P447" s="973" t="n"/>
    </row>
    <row r="448">
      <c r="A448" s="973" t="inlineStr">
        <is>
          <t>Hacktivist</t>
        </is>
      </c>
      <c r="B448" s="973" t="inlineStr">
        <is>
          <t>SC_FRAUD</t>
        </is>
      </c>
      <c r="C448" s="973" t="inlineStr">
        <is>
          <t>Cyber-enabled theft or fraud</t>
        </is>
      </c>
      <c r="D448" s="973" t="inlineStr">
        <is>
          <t>Direct</t>
        </is>
      </c>
      <c r="E448" s="973" t="inlineStr">
        <is>
          <t>EXTORTION</t>
        </is>
      </c>
      <c r="F448" s="973" t="inlineStr">
        <is>
          <t>P50</t>
        </is>
      </c>
      <c r="G448" s="973" t="n">
        <v>0</v>
      </c>
      <c r="H448" s="973" t="b">
        <v>0</v>
      </c>
      <c r="I448" s="973" t="inlineStr">
        <is>
          <t>D</t>
        </is>
      </c>
      <c r="J448" s="973" t="inlineStr">
        <is>
          <t>SRC-10</t>
        </is>
      </c>
      <c r="K448" s="973" t="n"/>
      <c r="L448" s="973" t="n"/>
      <c r="M448" s="973" t="n"/>
      <c r="N448" s="973" t="n"/>
      <c r="O448" s="973" t="n"/>
      <c r="P448" s="973" t="n"/>
    </row>
    <row r="449">
      <c r="A449" s="973" t="inlineStr">
        <is>
          <t>Hacktivist</t>
        </is>
      </c>
      <c r="B449" s="973" t="inlineStr">
        <is>
          <t>SC_FRAUD</t>
        </is>
      </c>
      <c r="C449" s="973" t="inlineStr">
        <is>
          <t>Cyber-enabled theft or fraud</t>
        </is>
      </c>
      <c r="D449" s="973" t="inlineStr">
        <is>
          <t>Direct</t>
        </is>
      </c>
      <c r="E449" s="973" t="inlineStr">
        <is>
          <t>POST_EVENT_UPLIFT</t>
        </is>
      </c>
      <c r="F449" s="973" t="inlineStr">
        <is>
          <t>P50</t>
        </is>
      </c>
      <c r="G449" s="973" t="n">
        <v>500000</v>
      </c>
      <c r="H449" s="973" t="b">
        <v>1</v>
      </c>
      <c r="I449" s="973" t="inlineStr">
        <is>
          <t>D</t>
        </is>
      </c>
      <c r="J449" s="973" t="inlineStr">
        <is>
          <t>SRC-10</t>
        </is>
      </c>
      <c r="K449" s="973" t="n"/>
      <c r="L449" s="973" t="n"/>
      <c r="M449" s="973" t="n"/>
      <c r="N449" s="973" t="n"/>
      <c r="O449" s="973" t="n"/>
      <c r="P449" s="973" t="n"/>
    </row>
    <row r="450">
      <c r="A450" s="973" t="inlineStr">
        <is>
          <t>Hacktivist</t>
        </is>
      </c>
      <c r="B450" s="973" t="inlineStr">
        <is>
          <t>SC_FRAUD</t>
        </is>
      </c>
      <c r="C450" s="973" t="inlineStr">
        <is>
          <t>Cyber-enabled theft or fraud</t>
        </is>
      </c>
      <c r="D450" s="973" t="inlineStr">
        <is>
          <t>Duration</t>
        </is>
      </c>
      <c r="E450" s="973" t="inlineStr">
        <is>
          <t>IR_FORENSICS</t>
        </is>
      </c>
      <c r="F450" s="973" t="inlineStr">
        <is>
          <t>P99</t>
        </is>
      </c>
      <c r="G450" s="973" t="n">
        <v>240000</v>
      </c>
      <c r="H450" s="973" t="b">
        <v>1</v>
      </c>
      <c r="I450" s="973" t="inlineStr">
        <is>
          <t>D</t>
        </is>
      </c>
      <c r="J450" s="973" t="inlineStr">
        <is>
          <t>SRC-10</t>
        </is>
      </c>
      <c r="K450" s="973" t="n"/>
      <c r="L450" s="973" t="n"/>
      <c r="M450" s="973" t="n"/>
      <c r="N450" s="973" t="n"/>
      <c r="O450" s="973" t="n"/>
      <c r="P450" s="973" t="n"/>
    </row>
    <row r="451">
      <c r="A451" s="973" t="inlineStr">
        <is>
          <t>Hacktivist</t>
        </is>
      </c>
      <c r="B451" s="973" t="inlineStr">
        <is>
          <t>SC_FRAUD</t>
        </is>
      </c>
      <c r="C451" s="973" t="inlineStr">
        <is>
          <t>Cyber-enabled theft or fraud</t>
        </is>
      </c>
      <c r="D451" s="973" t="inlineStr">
        <is>
          <t>Duration</t>
        </is>
      </c>
      <c r="E451" s="973" t="inlineStr">
        <is>
          <t>EXTERNAL_RESPONSE</t>
        </is>
      </c>
      <c r="F451" s="973" t="inlineStr">
        <is>
          <t>P99</t>
        </is>
      </c>
      <c r="G451" s="973" t="n">
        <v>450000</v>
      </c>
      <c r="H451" s="973" t="b">
        <v>1</v>
      </c>
      <c r="I451" s="973" t="inlineStr">
        <is>
          <t>D</t>
        </is>
      </c>
      <c r="J451" s="973" t="inlineStr">
        <is>
          <t>SRC-10</t>
        </is>
      </c>
      <c r="K451" s="973" t="n"/>
      <c r="L451" s="973" t="n"/>
      <c r="M451" s="973" t="n"/>
      <c r="N451" s="973" t="n"/>
      <c r="O451" s="973" t="n"/>
      <c r="P451" s="973" t="n"/>
    </row>
    <row r="452">
      <c r="A452" s="973" t="inlineStr">
        <is>
          <t>Hacktivist</t>
        </is>
      </c>
      <c r="B452" s="973" t="inlineStr">
        <is>
          <t>SC_FRAUD</t>
        </is>
      </c>
      <c r="C452" s="973" t="inlineStr">
        <is>
          <t>Cyber-enabled theft or fraud</t>
        </is>
      </c>
      <c r="D452" s="973" t="inlineStr">
        <is>
          <t>Duration</t>
        </is>
      </c>
      <c r="E452" s="973" t="inlineStr">
        <is>
          <t>LEGAL_RESPONSE</t>
        </is>
      </c>
      <c r="F452" s="973" t="inlineStr">
        <is>
          <t>P99</t>
        </is>
      </c>
      <c r="G452" s="973" t="n">
        <v>900000</v>
      </c>
      <c r="H452" s="973" t="b">
        <v>1</v>
      </c>
      <c r="I452" s="973" t="inlineStr">
        <is>
          <t>D</t>
        </is>
      </c>
      <c r="J452" s="973" t="inlineStr">
        <is>
          <t>SRC-10</t>
        </is>
      </c>
      <c r="K452" s="973" t="n"/>
      <c r="L452" s="973" t="n"/>
      <c r="M452" s="973" t="n"/>
      <c r="N452" s="973" t="n"/>
      <c r="O452" s="973" t="n"/>
      <c r="P452" s="973" t="n"/>
    </row>
    <row r="453">
      <c r="A453" s="973" t="inlineStr">
        <is>
          <t>Hacktivist</t>
        </is>
      </c>
      <c r="B453" s="973" t="inlineStr">
        <is>
          <t>SC_FRAUD</t>
        </is>
      </c>
      <c r="C453" s="973" t="inlineStr">
        <is>
          <t>Cyber-enabled theft or fraud</t>
        </is>
      </c>
      <c r="D453" s="973" t="inlineStr">
        <is>
          <t>Duration</t>
        </is>
      </c>
      <c r="E453" s="973" t="inlineStr">
        <is>
          <t>RESTORATION</t>
        </is>
      </c>
      <c r="F453" s="973" t="inlineStr">
        <is>
          <t>P99</t>
        </is>
      </c>
      <c r="G453" s="973" t="n">
        <v>240000</v>
      </c>
      <c r="H453" s="973" t="b">
        <v>1</v>
      </c>
      <c r="I453" s="973" t="inlineStr">
        <is>
          <t>D</t>
        </is>
      </c>
      <c r="J453" s="973" t="inlineStr">
        <is>
          <t>SRC-10</t>
        </is>
      </c>
      <c r="K453" s="973" t="n"/>
      <c r="L453" s="973" t="n"/>
      <c r="M453" s="973" t="n"/>
      <c r="N453" s="973" t="n"/>
      <c r="O453" s="973" t="n"/>
      <c r="P453" s="973" t="n"/>
    </row>
    <row r="454">
      <c r="A454" s="973" t="inlineStr">
        <is>
          <t>Hacktivist</t>
        </is>
      </c>
      <c r="B454" s="973" t="inlineStr">
        <is>
          <t>SC_FRAUD</t>
        </is>
      </c>
      <c r="C454" s="973" t="inlineStr">
        <is>
          <t>Cyber-enabled theft or fraud</t>
        </is>
      </c>
      <c r="D454" s="973" t="inlineStr">
        <is>
          <t>Duration</t>
        </is>
      </c>
      <c r="E454" s="973" t="inlineStr">
        <is>
          <t>BUSINESS_INTERRUPTION</t>
        </is>
      </c>
      <c r="F454" s="973" t="inlineStr">
        <is>
          <t>P99</t>
        </is>
      </c>
      <c r="G454" s="973" t="n">
        <v>0</v>
      </c>
      <c r="H454" s="973" t="b">
        <v>0</v>
      </c>
      <c r="I454" s="973" t="inlineStr">
        <is>
          <t>D</t>
        </is>
      </c>
      <c r="J454" s="973" t="inlineStr">
        <is>
          <t>SRC-10</t>
        </is>
      </c>
      <c r="K454" s="973" t="n"/>
      <c r="L454" s="973" t="n"/>
      <c r="M454" s="973" t="n"/>
      <c r="N454" s="973" t="n"/>
      <c r="O454" s="973" t="n"/>
      <c r="P454" s="973" t="n"/>
    </row>
    <row r="455">
      <c r="A455" s="973" t="inlineStr">
        <is>
          <t>Hacktivist</t>
        </is>
      </c>
      <c r="B455" s="973" t="inlineStr">
        <is>
          <t>SC_FRAUD</t>
        </is>
      </c>
      <c r="C455" s="973" t="inlineStr">
        <is>
          <t>Cyber-enabled theft or fraud</t>
        </is>
      </c>
      <c r="D455" s="973" t="inlineStr">
        <is>
          <t>Duration</t>
        </is>
      </c>
      <c r="E455" s="973" t="inlineStr">
        <is>
          <t>ENDPOINT_RECOVERY</t>
        </is>
      </c>
      <c r="F455" s="973" t="inlineStr">
        <is>
          <t>P99</t>
        </is>
      </c>
      <c r="G455" s="973" t="n">
        <v>0</v>
      </c>
      <c r="H455" s="973" t="b">
        <v>0</v>
      </c>
      <c r="I455" s="973" t="inlineStr">
        <is>
          <t>D</t>
        </is>
      </c>
      <c r="J455" s="973" t="inlineStr">
        <is>
          <t>SRC-10</t>
        </is>
      </c>
      <c r="K455" s="973" t="n"/>
      <c r="L455" s="973" t="n"/>
      <c r="M455" s="973" t="n"/>
      <c r="N455" s="973" t="n"/>
      <c r="O455" s="973" t="n"/>
      <c r="P455" s="973" t="n"/>
    </row>
    <row r="456">
      <c r="A456" s="973" t="inlineStr">
        <is>
          <t>Hacktivist</t>
        </is>
      </c>
      <c r="B456" s="973" t="inlineStr">
        <is>
          <t>SC_FRAUD</t>
        </is>
      </c>
      <c r="C456" s="973" t="inlineStr">
        <is>
          <t>Cyber-enabled theft or fraud</t>
        </is>
      </c>
      <c r="D456" s="973" t="inlineStr">
        <is>
          <t>Duration</t>
        </is>
      </c>
      <c r="E456" s="973" t="inlineStr">
        <is>
          <t>SERVER_RECOVERY</t>
        </is>
      </c>
      <c r="F456" s="973" t="inlineStr">
        <is>
          <t>P99</t>
        </is>
      </c>
      <c r="G456" s="973" t="n">
        <v>0</v>
      </c>
      <c r="H456" s="973" t="b">
        <v>0</v>
      </c>
      <c r="I456" s="973" t="inlineStr">
        <is>
          <t>D</t>
        </is>
      </c>
      <c r="J456" s="973" t="inlineStr">
        <is>
          <t>SRC-10</t>
        </is>
      </c>
      <c r="K456" s="973" t="n"/>
      <c r="L456" s="973" t="n"/>
      <c r="M456" s="973" t="n"/>
      <c r="N456" s="973" t="n"/>
      <c r="O456" s="973" t="n"/>
      <c r="P456" s="973" t="n"/>
    </row>
    <row r="457">
      <c r="A457" s="973" t="inlineStr">
        <is>
          <t>Hacktivist</t>
        </is>
      </c>
      <c r="B457" s="973" t="inlineStr">
        <is>
          <t>SC_FRAUD</t>
        </is>
      </c>
      <c r="C457" s="973" t="inlineStr">
        <is>
          <t>Cyber-enabled theft or fraud</t>
        </is>
      </c>
      <c r="D457" s="973" t="inlineStr">
        <is>
          <t>Exposure</t>
        </is>
      </c>
      <c r="E457" s="973" t="inlineStr">
        <is>
          <t>NOTIFICATION</t>
        </is>
      </c>
      <c r="F457" s="973" t="inlineStr">
        <is>
          <t>P99</t>
        </is>
      </c>
      <c r="G457" s="973" t="n">
        <v>0</v>
      </c>
      <c r="H457" s="973" t="b">
        <v>0</v>
      </c>
      <c r="I457" s="973" t="inlineStr">
        <is>
          <t>D</t>
        </is>
      </c>
      <c r="J457" s="973" t="inlineStr">
        <is>
          <t>SRC-10</t>
        </is>
      </c>
      <c r="K457" s="973" t="n"/>
      <c r="L457" s="973" t="n"/>
      <c r="M457" s="973" t="n"/>
      <c r="N457" s="973" t="n"/>
      <c r="O457" s="973" t="n"/>
      <c r="P457" s="973" t="n"/>
    </row>
    <row r="458">
      <c r="A458" s="973" t="inlineStr">
        <is>
          <t>Hacktivist</t>
        </is>
      </c>
      <c r="B458" s="973" t="inlineStr">
        <is>
          <t>SC_FRAUD</t>
        </is>
      </c>
      <c r="C458" s="973" t="inlineStr">
        <is>
          <t>Cyber-enabled theft or fraud</t>
        </is>
      </c>
      <c r="D458" s="973" t="inlineStr">
        <is>
          <t>Exposure</t>
        </is>
      </c>
      <c r="E458" s="973" t="inlineStr">
        <is>
          <t>CREDIT_MONITORING</t>
        </is>
      </c>
      <c r="F458" s="973" t="inlineStr">
        <is>
          <t>P99</t>
        </is>
      </c>
      <c r="G458" s="973" t="n">
        <v>0</v>
      </c>
      <c r="H458" s="973" t="b">
        <v>0</v>
      </c>
      <c r="I458" s="973" t="inlineStr">
        <is>
          <t>D</t>
        </is>
      </c>
      <c r="J458" s="973" t="inlineStr">
        <is>
          <t>SRC-10</t>
        </is>
      </c>
      <c r="K458" s="973" t="n"/>
      <c r="L458" s="973" t="n"/>
      <c r="M458" s="973" t="n"/>
      <c r="N458" s="973" t="n"/>
      <c r="O458" s="973" t="n"/>
      <c r="P458" s="973" t="n"/>
    </row>
    <row r="459">
      <c r="A459" s="973" t="inlineStr">
        <is>
          <t>Hacktivist</t>
        </is>
      </c>
      <c r="B459" s="973" t="inlineStr">
        <is>
          <t>SC_FRAUD</t>
        </is>
      </c>
      <c r="C459" s="973" t="inlineStr">
        <is>
          <t>Cyber-enabled theft or fraud</t>
        </is>
      </c>
      <c r="D459" s="973" t="inlineStr">
        <is>
          <t>Exposure</t>
        </is>
      </c>
      <c r="E459" s="973" t="inlineStr">
        <is>
          <t>REGULATORY</t>
        </is>
      </c>
      <c r="F459" s="973" t="inlineStr">
        <is>
          <t>P99</t>
        </is>
      </c>
      <c r="G459" s="973" t="n">
        <v>3000000</v>
      </c>
      <c r="H459" s="973" t="b">
        <v>1</v>
      </c>
      <c r="I459" s="973" t="inlineStr">
        <is>
          <t>D</t>
        </is>
      </c>
      <c r="J459" s="973" t="inlineStr">
        <is>
          <t>SRC-10</t>
        </is>
      </c>
      <c r="K459" s="973" t="n"/>
      <c r="L459" s="973" t="n"/>
      <c r="M459" s="973" t="n"/>
      <c r="N459" s="973" t="n"/>
      <c r="O459" s="973" t="n"/>
      <c r="P459" s="973" t="n"/>
    </row>
    <row r="460">
      <c r="A460" s="973" t="inlineStr">
        <is>
          <t>Hacktivist</t>
        </is>
      </c>
      <c r="B460" s="973" t="inlineStr">
        <is>
          <t>SC_FRAUD</t>
        </is>
      </c>
      <c r="C460" s="973" t="inlineStr">
        <is>
          <t>Cyber-enabled theft or fraud</t>
        </is>
      </c>
      <c r="D460" s="973" t="inlineStr">
        <is>
          <t>Exposure</t>
        </is>
      </c>
      <c r="E460" s="973" t="inlineStr">
        <is>
          <t>CUSTOMER_ATTRITION</t>
        </is>
      </c>
      <c r="F460" s="973" t="inlineStr">
        <is>
          <t>P99</t>
        </is>
      </c>
      <c r="G460" s="973" t="n">
        <v>20000000</v>
      </c>
      <c r="H460" s="973" t="b">
        <v>1</v>
      </c>
      <c r="I460" s="973" t="inlineStr">
        <is>
          <t>D</t>
        </is>
      </c>
      <c r="J460" s="973" t="inlineStr">
        <is>
          <t>SRC-10</t>
        </is>
      </c>
      <c r="K460" s="973" t="n"/>
      <c r="L460" s="973" t="n"/>
      <c r="M460" s="973" t="n"/>
      <c r="N460" s="973" t="n"/>
      <c r="O460" s="973" t="n"/>
      <c r="P460" s="973" t="n"/>
    </row>
    <row r="461">
      <c r="A461" s="973" t="inlineStr">
        <is>
          <t>Hacktivist</t>
        </is>
      </c>
      <c r="B461" s="973" t="inlineStr">
        <is>
          <t>SC_FRAUD</t>
        </is>
      </c>
      <c r="C461" s="973" t="inlineStr">
        <is>
          <t>Cyber-enabled theft or fraud</t>
        </is>
      </c>
      <c r="D461" s="973" t="inlineStr">
        <is>
          <t>Direct</t>
        </is>
      </c>
      <c r="E461" s="973" t="inlineStr">
        <is>
          <t>FRAUD_NET_RECOVERY</t>
        </is>
      </c>
      <c r="F461" s="973" t="inlineStr">
        <is>
          <t>P99</t>
        </is>
      </c>
      <c r="G461" s="973" t="n">
        <v>0</v>
      </c>
      <c r="H461" s="973" t="b">
        <v>0</v>
      </c>
      <c r="I461" s="973" t="inlineStr">
        <is>
          <t>D</t>
        </is>
      </c>
      <c r="J461" s="973" t="inlineStr">
        <is>
          <t>SRC-10</t>
        </is>
      </c>
      <c r="K461" s="973" t="n"/>
      <c r="L461" s="973" t="n"/>
      <c r="M461" s="973" t="n"/>
      <c r="N461" s="973" t="n"/>
      <c r="O461" s="973" t="n"/>
      <c r="P461" s="973" t="n"/>
    </row>
    <row r="462">
      <c r="A462" s="973" t="inlineStr">
        <is>
          <t>Hacktivist</t>
        </is>
      </c>
      <c r="B462" s="973" t="inlineStr">
        <is>
          <t>SC_FRAUD</t>
        </is>
      </c>
      <c r="C462" s="973" t="inlineStr">
        <is>
          <t>Cyber-enabled theft or fraud</t>
        </is>
      </c>
      <c r="D462" s="973" t="inlineStr">
        <is>
          <t>Direct</t>
        </is>
      </c>
      <c r="E462" s="973" t="inlineStr">
        <is>
          <t>EXTORTION</t>
        </is>
      </c>
      <c r="F462" s="973" t="inlineStr">
        <is>
          <t>P99</t>
        </is>
      </c>
      <c r="G462" s="973" t="n">
        <v>0</v>
      </c>
      <c r="H462" s="973" t="b">
        <v>0</v>
      </c>
      <c r="I462" s="973" t="inlineStr">
        <is>
          <t>D</t>
        </is>
      </c>
      <c r="J462" s="973" t="inlineStr">
        <is>
          <t>SRC-10</t>
        </is>
      </c>
      <c r="K462" s="973" t="n"/>
      <c r="L462" s="973" t="n"/>
      <c r="M462" s="973" t="n"/>
      <c r="N462" s="973" t="n"/>
      <c r="O462" s="973" t="n"/>
      <c r="P462" s="973" t="n"/>
    </row>
    <row r="463">
      <c r="A463" s="973" t="inlineStr">
        <is>
          <t>Hacktivist</t>
        </is>
      </c>
      <c r="B463" s="973" t="inlineStr">
        <is>
          <t>SC_FRAUD</t>
        </is>
      </c>
      <c r="C463" s="973" t="inlineStr">
        <is>
          <t>Cyber-enabled theft or fraud</t>
        </is>
      </c>
      <c r="D463" s="973" t="inlineStr">
        <is>
          <t>Direct</t>
        </is>
      </c>
      <c r="E463" s="973" t="inlineStr">
        <is>
          <t>POST_EVENT_UPLIFT</t>
        </is>
      </c>
      <c r="F463" s="973" t="inlineStr">
        <is>
          <t>P99</t>
        </is>
      </c>
      <c r="G463" s="973" t="n">
        <v>5000000</v>
      </c>
      <c r="H463" s="973" t="b">
        <v>1</v>
      </c>
      <c r="I463" s="973" t="inlineStr">
        <is>
          <t>D</t>
        </is>
      </c>
      <c r="J463" s="973" t="inlineStr">
        <is>
          <t>SRC-10</t>
        </is>
      </c>
      <c r="K463" s="973" t="n"/>
      <c r="L463" s="973" t="n"/>
      <c r="M463" s="973" t="n"/>
      <c r="N463" s="973" t="n"/>
      <c r="O463" s="973" t="n"/>
      <c r="P463" s="973" t="n"/>
    </row>
  </sheetData>
  <pageMargins left="0.7" right="0.7" top="0.75" bottom="0.75" header="0.3" footer="0.3"/>
</worksheet>
</file>

<file path=xl/worksheets/sheet67.xml><?xml version="1.0" encoding="utf-8"?>
<worksheet xmlns="http://schemas.openxmlformats.org/spreadsheetml/2006/main">
  <sheetPr>
    <tabColor rgb="007F7F7F"/>
    <outlinePr summaryBelow="1" summaryRight="1"/>
    <pageSetUpPr/>
  </sheetPr>
  <dimension ref="A1:F40"/>
  <sheetViews>
    <sheetView workbookViewId="0">
      <selection activeCell="A1" sqref="A1"/>
    </sheetView>
  </sheetViews>
  <sheetFormatPr baseColWidth="8" defaultRowHeight="15"/>
  <sheetData>
    <row r="1">
      <c r="A1" s="970" t="inlineStr">
        <is>
          <t>14 — Actor–Scenario Matrix</t>
        </is>
      </c>
      <c r="B1" s="970" t="n"/>
      <c r="C1" s="970" t="n"/>
      <c r="D1" s="970" t="n"/>
      <c r="E1" s="970" t="n"/>
      <c r="F1" s="970" t="n"/>
    </row>
    <row r="2">
      <c r="A2" s="966" t="inlineStr">
        <is>
          <t>AAL and event-frequency matrices for the selected reporting basis.</t>
        </is>
      </c>
      <c r="B2" s="966" t="n"/>
      <c r="C2" s="966" t="n"/>
      <c r="D2" s="966" t="n"/>
      <c r="E2" s="966" t="n"/>
      <c r="F2" s="966" t="n"/>
    </row>
    <row r="3">
      <c r="A3" s="973" t="n"/>
      <c r="B3" s="973" t="n"/>
      <c r="C3" s="973" t="n"/>
      <c r="D3" s="973" t="n"/>
      <c r="E3" s="973" t="n"/>
      <c r="F3" s="973" t="n"/>
    </row>
    <row r="4">
      <c r="A4" s="973" t="n"/>
      <c r="B4" s="973" t="n"/>
      <c r="C4" s="973" t="n"/>
      <c r="D4" s="973" t="n"/>
      <c r="E4" s="973" t="n"/>
      <c r="F4" s="973" t="n"/>
    </row>
    <row r="5">
      <c r="A5" s="973" t="inlineStr">
        <is>
          <t>ENGINE OUTPUT — do not edit. Run the Python engine after changing inputs or sector packs.</t>
        </is>
      </c>
      <c r="B5" s="973" t="n"/>
      <c r="C5" s="973" t="n"/>
      <c r="D5" s="973" t="n"/>
      <c r="E5" s="973" t="n"/>
      <c r="F5" s="973" t="n"/>
    </row>
    <row r="6">
      <c r="A6" s="973" t="n"/>
      <c r="B6" s="973" t="n"/>
      <c r="C6" s="973" t="n"/>
      <c r="D6" s="973" t="n"/>
      <c r="E6" s="973" t="n"/>
      <c r="F6" s="973" t="n"/>
    </row>
    <row r="7">
      <c r="A7" s="973" t="n"/>
      <c r="B7" s="973" t="n"/>
      <c r="C7" s="973" t="n"/>
      <c r="D7" s="973" t="n"/>
      <c r="E7" s="973" t="n"/>
      <c r="F7" s="973" t="n"/>
    </row>
    <row r="8">
      <c r="A8" s="973" t="n"/>
      <c r="B8" s="973" t="n"/>
      <c r="C8" s="973" t="n"/>
      <c r="D8" s="973" t="n"/>
      <c r="E8" s="973" t="n"/>
      <c r="F8" s="973" t="n"/>
    </row>
    <row r="9">
      <c r="A9" s="973" t="n"/>
      <c r="B9" s="973" t="n"/>
      <c r="C9" s="973" t="n"/>
      <c r="D9" s="973" t="n"/>
      <c r="E9" s="973" t="n"/>
      <c r="F9" s="973" t="n"/>
    </row>
    <row r="10">
      <c r="A10" s="973" t="n"/>
      <c r="B10" s="973" t="n"/>
      <c r="C10" s="973" t="n"/>
      <c r="D10" s="973" t="n"/>
      <c r="E10" s="973" t="n"/>
      <c r="F10" s="973" t="n"/>
    </row>
    <row r="11">
      <c r="A11" s="973" t="n"/>
      <c r="B11" s="973" t="n"/>
      <c r="C11" s="973" t="n"/>
      <c r="D11" s="973" t="n"/>
      <c r="E11" s="973" t="n"/>
      <c r="F11" s="973" t="n"/>
    </row>
    <row r="12">
      <c r="A12" s="973" t="n"/>
      <c r="B12" s="973" t="n"/>
      <c r="C12" s="973" t="n"/>
      <c r="D12" s="973" t="n"/>
      <c r="E12" s="973" t="n"/>
      <c r="F12" s="973" t="n"/>
    </row>
    <row r="13">
      <c r="A13" s="973" t="n"/>
      <c r="B13" s="973" t="n"/>
      <c r="C13" s="973" t="n"/>
      <c r="D13" s="973" t="n"/>
      <c r="E13" s="973" t="n"/>
      <c r="F13" s="973" t="n"/>
    </row>
    <row r="14">
      <c r="A14" s="973" t="n"/>
      <c r="B14" s="973" t="n"/>
      <c r="C14" s="973" t="n"/>
      <c r="D14" s="973" t="n"/>
      <c r="E14" s="973" t="n"/>
      <c r="F14" s="973" t="n"/>
    </row>
    <row r="15">
      <c r="A15" s="969" t="inlineStr">
        <is>
          <t>AAL — Prudent</t>
        </is>
      </c>
      <c r="B15" s="969" t="inlineStr">
        <is>
          <t>Critical business-service disruption</t>
        </is>
      </c>
      <c r="C15" s="969" t="inlineStr">
        <is>
          <t>Sensitive-data compromise</t>
        </is>
      </c>
      <c r="D15" s="969" t="inlineStr">
        <is>
          <t>Data or transaction-integrity compromise</t>
        </is>
      </c>
      <c r="E15" s="969" t="inlineStr">
        <is>
          <t>Cyber-enabled theft or fraud</t>
        </is>
      </c>
      <c r="F15" s="969" t="n"/>
    </row>
    <row r="16">
      <c r="A16" s="973" t="inlineStr">
        <is>
          <t>Nation-state</t>
        </is>
      </c>
      <c r="B16" s="973" t="n">
        <v>34187.69718482313</v>
      </c>
      <c r="C16" s="973" t="n">
        <v>42614.9495943943</v>
      </c>
      <c r="D16" s="973" t="n">
        <v>39497.04724865823</v>
      </c>
      <c r="E16" s="973" t="n">
        <v>7587.336452065792</v>
      </c>
      <c r="F16" s="973" t="n"/>
    </row>
    <row r="17">
      <c r="A17" s="973" t="inlineStr">
        <is>
          <t>Cybercriminal</t>
        </is>
      </c>
      <c r="B17" s="973" t="n">
        <v>251325.0959186971</v>
      </c>
      <c r="C17" s="973" t="n">
        <v>143618.5439356717</v>
      </c>
      <c r="D17" s="973" t="n">
        <v>59240.44061019894</v>
      </c>
      <c r="E17" s="973" t="n">
        <v>185707.9696580468</v>
      </c>
      <c r="F17" s="973" t="n"/>
    </row>
    <row r="18">
      <c r="A18" s="973" t="inlineStr">
        <is>
          <t>Malicious insider</t>
        </is>
      </c>
      <c r="B18" s="973" t="n">
        <v>58482.76217828038</v>
      </c>
      <c r="C18" s="973" t="n">
        <v>94468.79272047104</v>
      </c>
      <c r="D18" s="973" t="n">
        <v>81826.09333899064</v>
      </c>
      <c r="E18" s="973" t="n">
        <v>63923.53643098826</v>
      </c>
      <c r="F18" s="973" t="n"/>
    </row>
    <row r="19">
      <c r="A19" s="973" t="inlineStr">
        <is>
          <t>Hacktivist</t>
        </is>
      </c>
      <c r="B19" s="973" t="n">
        <v>229475.9406898202</v>
      </c>
      <c r="C19" s="973" t="n">
        <v>9152.995433625996</v>
      </c>
      <c r="D19" s="973" t="n">
        <v>6470.771523657018</v>
      </c>
      <c r="E19" s="973" t="n">
        <v>1137.5951913246</v>
      </c>
      <c r="F19" s="973" t="n"/>
    </row>
    <row r="20">
      <c r="A20" s="973" t="n"/>
      <c r="B20" s="973" t="n"/>
      <c r="C20" s="973" t="n"/>
      <c r="D20" s="973" t="n"/>
      <c r="E20" s="973" t="n"/>
      <c r="F20" s="973" t="n"/>
    </row>
    <row r="21">
      <c r="A21" s="973" t="n"/>
      <c r="B21" s="973" t="n"/>
      <c r="C21" s="973" t="n"/>
      <c r="D21" s="973" t="n"/>
      <c r="E21" s="973" t="n"/>
      <c r="F21" s="973" t="n"/>
    </row>
    <row r="22">
      <c r="A22" s="973" t="n"/>
      <c r="B22" s="973" t="n"/>
      <c r="C22" s="973" t="n"/>
      <c r="D22" s="973" t="n"/>
      <c r="E22" s="973" t="n"/>
      <c r="F22" s="973" t="n"/>
    </row>
    <row r="23">
      <c r="A23" s="973" t="n"/>
      <c r="B23" s="973" t="n"/>
      <c r="C23" s="973" t="n"/>
      <c r="D23" s="973" t="n"/>
      <c r="E23" s="973" t="n"/>
      <c r="F23" s="973" t="n"/>
    </row>
    <row r="24">
      <c r="A24" s="973" t="n"/>
      <c r="B24" s="973" t="n"/>
      <c r="C24" s="973" t="n"/>
      <c r="D24" s="973" t="n"/>
      <c r="E24" s="973" t="n"/>
      <c r="F24" s="973" t="n"/>
    </row>
    <row r="25">
      <c r="A25" s="973" t="n"/>
      <c r="B25" s="973" t="n"/>
      <c r="C25" s="973" t="n"/>
      <c r="D25" s="973" t="n"/>
      <c r="E25" s="973" t="n"/>
      <c r="F25" s="973" t="n"/>
    </row>
    <row r="26">
      <c r="A26" s="973" t="n"/>
      <c r="B26" s="973" t="n"/>
      <c r="C26" s="973" t="n"/>
      <c r="D26" s="973" t="n"/>
      <c r="E26" s="973" t="n"/>
      <c r="F26" s="973" t="n"/>
    </row>
    <row r="27">
      <c r="A27" s="973" t="n"/>
      <c r="B27" s="973" t="n"/>
      <c r="C27" s="973" t="n"/>
      <c r="D27" s="973" t="n"/>
      <c r="E27" s="973" t="n"/>
      <c r="F27" s="973" t="n"/>
    </row>
    <row r="28">
      <c r="A28" s="973" t="n"/>
      <c r="B28" s="973" t="n"/>
      <c r="C28" s="973" t="n"/>
      <c r="D28" s="973" t="n"/>
      <c r="E28" s="973" t="n"/>
      <c r="F28" s="973" t="n"/>
    </row>
    <row r="29">
      <c r="A29" s="973" t="n"/>
      <c r="B29" s="973" t="n"/>
      <c r="C29" s="973" t="n"/>
      <c r="D29" s="973" t="n"/>
      <c r="E29" s="973" t="n"/>
      <c r="F29" s="973" t="n"/>
    </row>
    <row r="30">
      <c r="A30" s="973" t="n"/>
      <c r="B30" s="973" t="n"/>
      <c r="C30" s="973" t="n"/>
      <c r="D30" s="973" t="n"/>
      <c r="E30" s="973" t="n"/>
      <c r="F30" s="973" t="n"/>
    </row>
    <row r="31">
      <c r="A31" s="973" t="n"/>
      <c r="B31" s="973" t="n"/>
      <c r="C31" s="973" t="n"/>
      <c r="D31" s="973" t="n"/>
      <c r="E31" s="973" t="n"/>
      <c r="F31" s="973" t="n"/>
    </row>
    <row r="32">
      <c r="A32" s="973" t="n"/>
      <c r="B32" s="973" t="n"/>
      <c r="C32" s="973" t="n"/>
      <c r="D32" s="973" t="n"/>
      <c r="E32" s="973" t="n"/>
      <c r="F32" s="973" t="n"/>
    </row>
    <row r="33">
      <c r="A33" s="973" t="n"/>
      <c r="B33" s="973" t="n"/>
      <c r="C33" s="973" t="n"/>
      <c r="D33" s="973" t="n"/>
      <c r="E33" s="973" t="n"/>
      <c r="F33" s="973" t="n"/>
    </row>
    <row r="34">
      <c r="A34" s="973" t="n"/>
      <c r="B34" s="973" t="n"/>
      <c r="C34" s="973" t="n"/>
      <c r="D34" s="973" t="n"/>
      <c r="E34" s="973" t="n"/>
      <c r="F34" s="973" t="n"/>
    </row>
    <row r="35">
      <c r="A35" s="973" t="n"/>
      <c r="B35" s="973" t="n"/>
      <c r="C35" s="973" t="n"/>
      <c r="D35" s="973" t="n"/>
      <c r="E35" s="973" t="n"/>
      <c r="F35" s="973" t="n"/>
    </row>
    <row r="36">
      <c r="A36" s="973" t="n"/>
      <c r="B36" s="973" t="n"/>
      <c r="C36" s="973" t="n"/>
      <c r="D36" s="973" t="n"/>
      <c r="E36" s="973" t="n"/>
      <c r="F36" s="973" t="n"/>
    </row>
    <row r="37">
      <c r="A37" s="973" t="n"/>
      <c r="B37" s="973" t="n"/>
      <c r="C37" s="973" t="n"/>
      <c r="D37" s="973" t="n"/>
      <c r="E37" s="973" t="n"/>
      <c r="F37" s="973" t="n"/>
    </row>
    <row r="38">
      <c r="A38" s="973" t="n"/>
      <c r="B38" s="973" t="n"/>
      <c r="C38" s="973" t="n"/>
      <c r="D38" s="973" t="n"/>
      <c r="E38" s="973" t="n"/>
      <c r="F38" s="973" t="n"/>
    </row>
    <row r="39">
      <c r="A39" s="973" t="n"/>
      <c r="B39" s="973" t="n"/>
      <c r="C39" s="973" t="n"/>
      <c r="D39" s="973" t="n"/>
      <c r="E39" s="973" t="n"/>
      <c r="F39" s="973" t="n"/>
    </row>
    <row r="40">
      <c r="A40" s="973" t="n"/>
      <c r="B40" s="973" t="n"/>
      <c r="C40" s="973" t="n"/>
      <c r="D40" s="973" t="n"/>
      <c r="E40" s="973" t="n"/>
      <c r="F40" s="973" t="n"/>
    </row>
  </sheetData>
  <pageMargins left="0.7" right="0.7" top="0.75" bottom="0.75" header="0.3" footer="0.3"/>
</worksheet>
</file>

<file path=xl/worksheets/sheet68.xml><?xml version="1.0" encoding="utf-8"?>
<worksheet xmlns="http://schemas.openxmlformats.org/spreadsheetml/2006/main">
  <sheetPr>
    <tabColor rgb="007F7F7F"/>
    <outlinePr summaryBelow="1" summaryRight="1"/>
    <pageSetUpPr/>
  </sheetPr>
  <dimension ref="A1:J60"/>
  <sheetViews>
    <sheetView workbookViewId="0">
      <selection activeCell="A1" sqref="A1"/>
    </sheetView>
  </sheetViews>
  <sheetFormatPr baseColWidth="8" defaultRowHeight="15"/>
  <sheetData>
    <row r="1">
      <c r="A1" s="970" t="inlineStr">
        <is>
          <t>15 — Tail-Risk Metrics</t>
        </is>
      </c>
      <c r="B1" s="970" t="n"/>
      <c r="C1" s="970" t="n"/>
      <c r="D1" s="970" t="n"/>
      <c r="E1" s="970" t="n"/>
      <c r="F1" s="970" t="n"/>
      <c r="G1" s="970" t="n"/>
      <c r="H1" s="970" t="n"/>
      <c r="I1" s="970" t="n"/>
      <c r="J1" s="970" t="n"/>
    </row>
    <row r="2">
      <c r="A2" s="966" t="inlineStr">
        <is>
          <t>Annual aggregate and occurrence loss metrics for both reporting bases.</t>
        </is>
      </c>
      <c r="B2" s="966" t="n"/>
      <c r="C2" s="966" t="n"/>
      <c r="D2" s="966" t="n"/>
      <c r="E2" s="966" t="n"/>
      <c r="F2" s="966" t="n"/>
      <c r="G2" s="966" t="n"/>
      <c r="H2" s="966" t="n"/>
      <c r="I2" s="966" t="n"/>
      <c r="J2" s="966" t="n"/>
    </row>
    <row r="3">
      <c r="A3" s="973" t="n"/>
      <c r="B3" s="973" t="n"/>
      <c r="C3" s="973" t="n"/>
      <c r="D3" s="973" t="n"/>
      <c r="E3" s="973" t="n"/>
      <c r="F3" s="973" t="n"/>
      <c r="G3" s="973" t="n"/>
      <c r="H3" s="973" t="n"/>
      <c r="I3" s="973" t="n"/>
      <c r="J3" s="973" t="n"/>
    </row>
    <row r="4">
      <c r="A4" s="973" t="n"/>
      <c r="B4" s="973" t="n"/>
      <c r="C4" s="973" t="n"/>
      <c r="D4" s="973" t="n"/>
      <c r="E4" s="973" t="n"/>
      <c r="F4" s="973" t="n"/>
      <c r="G4" s="973" t="n"/>
      <c r="H4" s="973" t="n"/>
      <c r="I4" s="973" t="n"/>
      <c r="J4" s="973" t="n"/>
    </row>
    <row r="5">
      <c r="A5" s="973" t="inlineStr">
        <is>
          <t>ENGINE OUTPUT — do not edit. Run the Python engine after changing inputs or sector packs.</t>
        </is>
      </c>
      <c r="B5" s="973" t="n"/>
      <c r="C5" s="973" t="n"/>
      <c r="D5" s="973" t="n"/>
      <c r="E5" s="973" t="n"/>
      <c r="F5" s="973" t="n"/>
      <c r="G5" s="973" t="n"/>
      <c r="H5" s="973" t="n"/>
      <c r="I5" s="973" t="n"/>
      <c r="J5" s="973" t="n"/>
    </row>
    <row r="6">
      <c r="A6" s="973" t="n"/>
      <c r="B6" s="973" t="n"/>
      <c r="C6" s="973" t="n"/>
      <c r="D6" s="973" t="n"/>
      <c r="E6" s="973" t="n"/>
      <c r="F6" s="973" t="n"/>
      <c r="G6" s="973" t="n"/>
      <c r="H6" s="973" t="n"/>
      <c r="I6" s="973" t="n"/>
      <c r="J6" s="973" t="n"/>
    </row>
    <row r="7">
      <c r="A7" s="973" t="n"/>
      <c r="B7" s="973" t="n"/>
      <c r="C7" s="973" t="n"/>
      <c r="D7" s="973" t="n"/>
      <c r="E7" s="973" t="n"/>
      <c r="F7" s="973" t="n"/>
      <c r="G7" s="973" t="n"/>
      <c r="H7" s="973" t="n"/>
      <c r="I7" s="973" t="n"/>
      <c r="J7" s="973" t="n"/>
    </row>
    <row r="8">
      <c r="A8" s="973" t="n"/>
      <c r="B8" s="973" t="n"/>
      <c r="C8" s="973" t="n"/>
      <c r="D8" s="973" t="n"/>
      <c r="E8" s="973" t="n"/>
      <c r="F8" s="973" t="n"/>
      <c r="G8" s="973" t="n"/>
      <c r="H8" s="973" t="n"/>
      <c r="I8" s="973" t="n"/>
      <c r="J8" s="973" t="n"/>
    </row>
    <row r="9">
      <c r="A9" s="973" t="n"/>
      <c r="B9" s="973" t="n"/>
      <c r="C9" s="973" t="n"/>
      <c r="D9" s="973" t="n"/>
      <c r="E9" s="973" t="n"/>
      <c r="F9" s="973" t="n"/>
      <c r="G9" s="973" t="n"/>
      <c r="H9" s="973" t="n"/>
      <c r="I9" s="973" t="n"/>
      <c r="J9" s="973" t="n"/>
    </row>
    <row r="10">
      <c r="A10" s="973" t="n"/>
      <c r="B10" s="973" t="n"/>
      <c r="C10" s="973" t="n"/>
      <c r="D10" s="973" t="n"/>
      <c r="E10" s="973" t="n"/>
      <c r="F10" s="973" t="n"/>
      <c r="G10" s="973" t="n"/>
      <c r="H10" s="973" t="n"/>
      <c r="I10" s="973" t="n"/>
      <c r="J10" s="973" t="n"/>
    </row>
    <row r="11">
      <c r="A11" s="973" t="n"/>
      <c r="B11" s="973" t="n"/>
      <c r="C11" s="973" t="n"/>
      <c r="D11" s="973" t="n"/>
      <c r="E11" s="973" t="n"/>
      <c r="F11" s="973" t="n"/>
      <c r="G11" s="973" t="n"/>
      <c r="H11" s="973" t="n"/>
      <c r="I11" s="973" t="n"/>
      <c r="J11" s="973" t="n"/>
    </row>
    <row r="12">
      <c r="A12" s="973" t="n"/>
      <c r="B12" s="973" t="n"/>
      <c r="C12" s="973" t="n"/>
      <c r="D12" s="973" t="n"/>
      <c r="E12" s="973" t="n"/>
      <c r="F12" s="973" t="n"/>
      <c r="G12" s="973" t="n"/>
      <c r="H12" s="973" t="n"/>
      <c r="I12" s="973" t="n"/>
      <c r="J12" s="973" t="n"/>
    </row>
    <row r="13">
      <c r="A13" s="973" t="n"/>
      <c r="B13" s="973" t="n"/>
      <c r="C13" s="973" t="n"/>
      <c r="D13" s="973" t="n"/>
      <c r="E13" s="973" t="n"/>
      <c r="F13" s="973" t="n"/>
      <c r="G13" s="973" t="n"/>
      <c r="H13" s="973" t="n"/>
      <c r="I13" s="973" t="n"/>
      <c r="J13" s="973" t="n"/>
    </row>
    <row r="14">
      <c r="A14" s="973" t="n"/>
      <c r="B14" s="973" t="n"/>
      <c r="C14" s="973" t="n"/>
      <c r="D14" s="973" t="n"/>
      <c r="E14" s="973" t="n"/>
      <c r="F14" s="973" t="n"/>
      <c r="G14" s="973" t="n"/>
      <c r="H14" s="973" t="n"/>
      <c r="I14" s="973" t="n"/>
      <c r="J14" s="973" t="n"/>
    </row>
    <row r="15">
      <c r="A15" s="969" t="inlineStr">
        <is>
          <t>Metric</t>
        </is>
      </c>
      <c r="B15" s="969" t="inlineStr">
        <is>
          <t>Best Estimate</t>
        </is>
      </c>
      <c r="C15" s="969" t="inlineStr">
        <is>
          <t>Prudent</t>
        </is>
      </c>
      <c r="D15" s="969" t="inlineStr">
        <is>
          <t>Definition</t>
        </is>
      </c>
      <c r="E15" s="969" t="n"/>
      <c r="F15" s="969" t="n"/>
      <c r="G15" s="969" t="n"/>
      <c r="H15" s="969" t="n"/>
      <c r="I15" s="969" t="n"/>
      <c r="J15" s="969" t="n"/>
    </row>
    <row r="16">
      <c r="A16" s="973" t="inlineStr">
        <is>
          <t>AAL</t>
        </is>
      </c>
      <c r="B16" s="973" t="n">
        <v>1059877.254455533</v>
      </c>
      <c r="C16" s="973" t="n">
        <v>1311679.360640564</v>
      </c>
      <c r="D16" s="973" t="inlineStr">
        <is>
          <t>Mean annual aggregate loss</t>
        </is>
      </c>
      <c r="E16" s="973" t="n"/>
      <c r="F16" s="973" t="n"/>
      <c r="G16" s="973" t="n"/>
      <c r="H16" s="973" t="n"/>
      <c r="I16" s="973" t="n"/>
      <c r="J16" s="973" t="n"/>
    </row>
    <row r="17">
      <c r="A17" s="973" t="inlineStr">
        <is>
          <t>VaR 95%</t>
        </is>
      </c>
      <c r="B17" s="973" t="n">
        <v>5487402.480652438</v>
      </c>
      <c r="C17" s="973" t="n">
        <v>7125947.960562246</v>
      </c>
      <c r="D17" s="973" t="inlineStr">
        <is>
          <t>95th percentile</t>
        </is>
      </c>
      <c r="E17" s="973" t="n"/>
      <c r="F17" s="973" t="n"/>
      <c r="G17" s="973" t="n"/>
      <c r="H17" s="973" t="n"/>
      <c r="I17" s="973" t="n"/>
      <c r="J17" s="973" t="n"/>
    </row>
    <row r="18">
      <c r="A18" s="973" t="inlineStr">
        <is>
          <t>TVaR 95%</t>
        </is>
      </c>
      <c r="B18" s="973" t="n">
        <v>18021076.13779292</v>
      </c>
      <c r="C18" s="973" t="n">
        <v>20885314.89666507</v>
      </c>
      <c r="D18" s="973" t="inlineStr">
        <is>
          <t>Exact mean of the worst 5% of annual outcomes</t>
        </is>
      </c>
      <c r="E18" s="973" t="n"/>
      <c r="F18" s="973" t="n"/>
      <c r="G18" s="973" t="n"/>
      <c r="H18" s="973" t="n"/>
      <c r="I18" s="973" t="n"/>
      <c r="J18" s="973" t="n"/>
    </row>
    <row r="19">
      <c r="A19" s="973" t="inlineStr">
        <is>
          <t>VaR 99%</t>
        </is>
      </c>
      <c r="B19" s="973" t="n">
        <v>22824448.16996593</v>
      </c>
      <c r="C19" s="973" t="n">
        <v>26218158.96702391</v>
      </c>
      <c r="D19" s="973" t="inlineStr">
        <is>
          <t>99th percentile</t>
        </is>
      </c>
      <c r="E19" s="973" t="n"/>
      <c r="F19" s="973" t="n"/>
      <c r="G19" s="973" t="n"/>
      <c r="H19" s="973" t="n"/>
      <c r="I19" s="973" t="n"/>
      <c r="J19" s="973" t="n"/>
    </row>
    <row r="20">
      <c r="A20" s="973" t="inlineStr">
        <is>
          <t>TVaR 99%</t>
        </is>
      </c>
      <c r="B20" s="973" t="n">
        <v>46179340.41586891</v>
      </c>
      <c r="C20" s="973" t="n">
        <v>51675144.84348448</v>
      </c>
      <c r="D20" s="973" t="inlineStr">
        <is>
          <t>Exact mean of the worst 1% of annual outcomes</t>
        </is>
      </c>
      <c r="E20" s="973" t="n"/>
      <c r="F20" s="973" t="n"/>
      <c r="G20" s="973" t="n"/>
      <c r="H20" s="973" t="n"/>
      <c r="I20" s="973" t="n"/>
      <c r="J20" s="973" t="n"/>
    </row>
    <row r="21">
      <c r="A21" s="973" t="inlineStr">
        <is>
          <t>P(any event)</t>
        </is>
      </c>
      <c r="B21" s="973" t="n">
        <v>0.114878</v>
      </c>
      <c r="C21" s="973" t="n">
        <v>0.140772</v>
      </c>
      <c r="D21" s="973" t="inlineStr">
        <is>
          <t>Positive-loss year share</t>
        </is>
      </c>
      <c r="E21" s="973" t="n"/>
      <c r="F21" s="973" t="n"/>
      <c r="G21" s="973" t="n"/>
      <c r="H21" s="973" t="n"/>
      <c r="I21" s="973" t="n"/>
      <c r="J21" s="973" t="n"/>
    </row>
    <row r="22">
      <c r="A22" s="973" t="n"/>
      <c r="B22" s="973" t="n"/>
      <c r="C22" s="973" t="n"/>
      <c r="D22" s="973" t="n"/>
      <c r="E22" s="973" t="n"/>
      <c r="F22" s="973" t="n"/>
      <c r="G22" s="973" t="n"/>
      <c r="H22" s="973" t="n"/>
      <c r="I22" s="973" t="n"/>
      <c r="J22" s="973" t="n"/>
    </row>
    <row r="23">
      <c r="A23" s="973" t="n"/>
      <c r="B23" s="973" t="n"/>
      <c r="C23" s="973" t="n"/>
      <c r="D23" s="973" t="n"/>
      <c r="E23" s="973" t="n"/>
      <c r="F23" s="973" t="n"/>
      <c r="G23" s="973" t="n"/>
      <c r="H23" s="973" t="n"/>
      <c r="I23" s="973" t="n"/>
      <c r="J23" s="973" t="n"/>
    </row>
    <row r="24">
      <c r="A24" s="973" t="n"/>
      <c r="B24" s="973" t="n"/>
      <c r="C24" s="973" t="n"/>
      <c r="D24" s="973" t="n"/>
      <c r="E24" s="973" t="n"/>
      <c r="F24" s="973" t="n"/>
      <c r="G24" s="973" t="n"/>
      <c r="H24" s="973" t="n"/>
      <c r="I24" s="973" t="n"/>
      <c r="J24" s="973" t="n"/>
    </row>
    <row r="25">
      <c r="A25" s="973" t="n"/>
      <c r="B25" s="973" t="n"/>
      <c r="C25" s="973" t="n"/>
      <c r="D25" s="973" t="n"/>
      <c r="E25" s="973" t="n"/>
      <c r="F25" s="973" t="n"/>
      <c r="G25" s="973" t="n"/>
      <c r="H25" s="973" t="n"/>
      <c r="I25" s="973" t="n"/>
      <c r="J25" s="973" t="n"/>
    </row>
    <row r="26">
      <c r="A26" s="973" t="n"/>
      <c r="B26" s="973" t="n"/>
      <c r="C26" s="973" t="n"/>
      <c r="D26" s="973" t="n"/>
      <c r="E26" s="973" t="n"/>
      <c r="F26" s="973" t="n"/>
      <c r="G26" s="973" t="n"/>
      <c r="H26" s="973" t="n"/>
      <c r="I26" s="973" t="n"/>
      <c r="J26" s="973" t="n"/>
    </row>
    <row r="27">
      <c r="A27" s="973" t="n"/>
      <c r="B27" s="973" t="n"/>
      <c r="C27" s="973" t="n"/>
      <c r="D27" s="973" t="n"/>
      <c r="E27" s="973" t="n"/>
      <c r="F27" s="973" t="n"/>
      <c r="G27" s="973" t="n"/>
      <c r="H27" s="973" t="n"/>
      <c r="I27" s="973" t="n"/>
      <c r="J27" s="973" t="n"/>
    </row>
    <row r="28">
      <c r="A28" s="973" t="n"/>
      <c r="B28" s="973" t="n"/>
      <c r="C28" s="973" t="n"/>
      <c r="D28" s="973" t="n"/>
      <c r="E28" s="973" t="n"/>
      <c r="F28" s="973" t="n"/>
      <c r="G28" s="973" t="n"/>
      <c r="H28" s="973" t="n"/>
      <c r="I28" s="973" t="n"/>
      <c r="J28" s="973" t="n"/>
    </row>
    <row r="29">
      <c r="A29" s="973" t="n"/>
      <c r="B29" s="973" t="n"/>
      <c r="C29" s="973" t="n"/>
      <c r="D29" s="973" t="n"/>
      <c r="E29" s="973" t="n"/>
      <c r="F29" s="973" t="n"/>
      <c r="G29" s="973" t="n"/>
      <c r="H29" s="973" t="n"/>
      <c r="I29" s="973" t="n"/>
      <c r="J29" s="973" t="n"/>
    </row>
    <row r="30">
      <c r="A30" s="973" t="n"/>
      <c r="B30" s="973" t="n"/>
      <c r="C30" s="973" t="n"/>
      <c r="D30" s="973" t="n"/>
      <c r="E30" s="973" t="n"/>
      <c r="F30" s="973" t="n"/>
      <c r="G30" s="973" t="n"/>
      <c r="H30" s="973" t="n"/>
      <c r="I30" s="973" t="n"/>
      <c r="J30" s="973" t="n"/>
    </row>
    <row r="31">
      <c r="A31" s="973" t="n"/>
      <c r="B31" s="973" t="n"/>
      <c r="C31" s="973" t="n"/>
      <c r="D31" s="973" t="n"/>
      <c r="E31" s="973" t="n"/>
      <c r="F31" s="973" t="n"/>
      <c r="G31" s="973" t="n"/>
      <c r="H31" s="973" t="n"/>
      <c r="I31" s="973" t="n"/>
      <c r="J31" s="973" t="n"/>
    </row>
    <row r="32">
      <c r="A32" s="973" t="n"/>
      <c r="B32" s="973" t="n"/>
      <c r="C32" s="973" t="n"/>
      <c r="D32" s="973" t="n"/>
      <c r="E32" s="973" t="n"/>
      <c r="F32" s="973" t="n"/>
      <c r="G32" s="973" t="n"/>
      <c r="H32" s="973" t="n"/>
      <c r="I32" s="973" t="n"/>
      <c r="J32" s="973" t="n"/>
    </row>
    <row r="33">
      <c r="A33" s="973" t="n"/>
      <c r="B33" s="973" t="n"/>
      <c r="C33" s="973" t="n"/>
      <c r="D33" s="973" t="n"/>
      <c r="E33" s="973" t="n"/>
      <c r="F33" s="973" t="n"/>
      <c r="G33" s="973" t="n"/>
      <c r="H33" s="973" t="n"/>
      <c r="I33" s="973" t="n"/>
      <c r="J33" s="973" t="n"/>
    </row>
    <row r="34">
      <c r="A34" s="973" t="n"/>
      <c r="B34" s="973" t="n"/>
      <c r="C34" s="973" t="n"/>
      <c r="D34" s="973" t="n"/>
      <c r="E34" s="973" t="n"/>
      <c r="F34" s="973" t="n"/>
      <c r="G34" s="973" t="n"/>
      <c r="H34" s="973" t="n"/>
      <c r="I34" s="973" t="n"/>
      <c r="J34" s="973" t="n"/>
    </row>
    <row r="35">
      <c r="A35" s="973" t="n"/>
      <c r="B35" s="973" t="n"/>
      <c r="C35" s="973" t="n"/>
      <c r="D35" s="973" t="n"/>
      <c r="E35" s="973" t="n"/>
      <c r="F35" s="973" t="n"/>
      <c r="G35" s="973" t="n"/>
      <c r="H35" s="973" t="n"/>
      <c r="I35" s="973" t="n"/>
      <c r="J35" s="973" t="n"/>
    </row>
    <row r="36">
      <c r="A36" s="973" t="n"/>
      <c r="B36" s="973" t="n"/>
      <c r="C36" s="973" t="n"/>
      <c r="D36" s="973" t="n"/>
      <c r="E36" s="973" t="n"/>
      <c r="F36" s="973" t="n"/>
      <c r="G36" s="973" t="n"/>
      <c r="H36" s="973" t="n"/>
      <c r="I36" s="973" t="n"/>
      <c r="J36" s="973" t="n"/>
    </row>
    <row r="37">
      <c r="A37" s="973" t="n"/>
      <c r="B37" s="973" t="n"/>
      <c r="C37" s="973" t="n"/>
      <c r="D37" s="973" t="n"/>
      <c r="E37" s="973" t="n"/>
      <c r="F37" s="973" t="n"/>
      <c r="G37" s="973" t="n"/>
      <c r="H37" s="973" t="n"/>
      <c r="I37" s="973" t="n"/>
      <c r="J37" s="973" t="n"/>
    </row>
    <row r="38">
      <c r="A38" s="973" t="n"/>
      <c r="B38" s="973" t="n"/>
      <c r="C38" s="973" t="n"/>
      <c r="D38" s="973" t="n"/>
      <c r="E38" s="973" t="n"/>
      <c r="F38" s="973" t="n"/>
      <c r="G38" s="973" t="n"/>
      <c r="H38" s="973" t="n"/>
      <c r="I38" s="973" t="n"/>
      <c r="J38" s="973" t="n"/>
    </row>
    <row r="39">
      <c r="A39" s="973" t="n"/>
      <c r="B39" s="973" t="n"/>
      <c r="C39" s="973" t="n"/>
      <c r="D39" s="973" t="n"/>
      <c r="E39" s="973" t="n"/>
      <c r="F39" s="973" t="n"/>
      <c r="G39" s="973" t="n"/>
      <c r="H39" s="973" t="n"/>
      <c r="I39" s="973" t="n"/>
      <c r="J39" s="973" t="n"/>
    </row>
    <row r="40">
      <c r="A40" s="973" t="n"/>
      <c r="B40" s="973" t="n"/>
      <c r="C40" s="973" t="n"/>
      <c r="D40" s="973" t="n"/>
      <c r="E40" s="973" t="n"/>
      <c r="F40" s="973" t="n"/>
      <c r="G40" s="973" t="n"/>
      <c r="H40" s="973" t="n"/>
      <c r="I40" s="973" t="n"/>
      <c r="J40" s="973" t="n"/>
    </row>
    <row r="41">
      <c r="A41" s="973" t="n"/>
      <c r="B41" s="973" t="n"/>
      <c r="C41" s="973" t="n"/>
      <c r="D41" s="973" t="n"/>
      <c r="E41" s="973" t="n"/>
      <c r="F41" s="973" t="n"/>
      <c r="G41" s="973" t="n"/>
      <c r="H41" s="973" t="n"/>
      <c r="I41" s="973" t="n"/>
      <c r="J41" s="973" t="n"/>
    </row>
    <row r="42">
      <c r="A42" s="973" t="n"/>
      <c r="B42" s="973" t="n"/>
      <c r="C42" s="973" t="n"/>
      <c r="D42" s="973" t="n"/>
      <c r="E42" s="973" t="n"/>
      <c r="F42" s="973" t="n"/>
      <c r="G42" s="973" t="n"/>
      <c r="H42" s="973" t="n"/>
      <c r="I42" s="973" t="n"/>
      <c r="J42" s="973" t="n"/>
    </row>
    <row r="43">
      <c r="A43" s="973" t="n"/>
      <c r="B43" s="973" t="n"/>
      <c r="C43" s="973" t="n"/>
      <c r="D43" s="973" t="n"/>
      <c r="E43" s="973" t="n"/>
      <c r="F43" s="973" t="n"/>
      <c r="G43" s="973" t="n"/>
      <c r="H43" s="973" t="n"/>
      <c r="I43" s="973" t="n"/>
      <c r="J43" s="973" t="n"/>
    </row>
    <row r="44">
      <c r="A44" s="973" t="n"/>
      <c r="B44" s="973" t="n"/>
      <c r="C44" s="973" t="n"/>
      <c r="D44" s="973" t="n"/>
      <c r="E44" s="973" t="n"/>
      <c r="F44" s="973" t="n"/>
      <c r="G44" s="973" t="n"/>
      <c r="H44" s="973" t="n"/>
      <c r="I44" s="973" t="n"/>
      <c r="J44" s="973" t="n"/>
    </row>
    <row r="45">
      <c r="A45" s="973" t="n"/>
      <c r="B45" s="973" t="n"/>
      <c r="C45" s="973" t="n"/>
      <c r="D45" s="973" t="n"/>
      <c r="E45" s="973" t="n"/>
      <c r="F45" s="973" t="n"/>
      <c r="G45" s="973" t="n"/>
      <c r="H45" s="973" t="n"/>
      <c r="I45" s="973" t="n"/>
      <c r="J45" s="973" t="n"/>
    </row>
    <row r="46">
      <c r="A46" s="973" t="n"/>
      <c r="B46" s="973" t="n"/>
      <c r="C46" s="973" t="n"/>
      <c r="D46" s="973" t="n"/>
      <c r="E46" s="973" t="n"/>
      <c r="F46" s="973" t="n"/>
      <c r="G46" s="973" t="n"/>
      <c r="H46" s="973" t="n"/>
      <c r="I46" s="973" t="n"/>
      <c r="J46" s="973" t="n"/>
    </row>
    <row r="47">
      <c r="A47" s="973" t="n"/>
      <c r="B47" s="973" t="n"/>
      <c r="C47" s="973" t="n"/>
      <c r="D47" s="973" t="n"/>
      <c r="E47" s="973" t="n"/>
      <c r="F47" s="973" t="n"/>
      <c r="G47" s="973" t="n"/>
      <c r="H47" s="973" t="n"/>
      <c r="I47" s="973" t="n"/>
      <c r="J47" s="973" t="n"/>
    </row>
    <row r="48">
      <c r="A48" s="973" t="n"/>
      <c r="B48" s="973" t="n"/>
      <c r="C48" s="973" t="n"/>
      <c r="D48" s="973" t="n"/>
      <c r="E48" s="973" t="n"/>
      <c r="F48" s="973" t="n"/>
      <c r="G48" s="973" t="n"/>
      <c r="H48" s="973" t="n"/>
      <c r="I48" s="973" t="n"/>
      <c r="J48" s="973" t="n"/>
    </row>
    <row r="49">
      <c r="A49" s="973" t="n"/>
      <c r="B49" s="973" t="n"/>
      <c r="C49" s="973" t="n"/>
      <c r="D49" s="973" t="n"/>
      <c r="E49" s="973" t="n"/>
      <c r="F49" s="973" t="n"/>
      <c r="G49" s="973" t="n"/>
      <c r="H49" s="973" t="n"/>
      <c r="I49" s="973" t="n"/>
      <c r="J49" s="973" t="n"/>
    </row>
    <row r="50">
      <c r="A50" s="973" t="n"/>
      <c r="B50" s="973" t="n"/>
      <c r="C50" s="973" t="n"/>
      <c r="D50" s="973" t="n"/>
      <c r="E50" s="973" t="n"/>
      <c r="F50" s="973" t="n"/>
      <c r="G50" s="973" t="n"/>
      <c r="H50" s="973" t="n"/>
      <c r="I50" s="973" t="n"/>
      <c r="J50" s="973" t="n"/>
    </row>
    <row r="51">
      <c r="A51" s="973" t="n"/>
      <c r="B51" s="973" t="n"/>
      <c r="C51" s="973" t="n"/>
      <c r="D51" s="973" t="n"/>
      <c r="E51" s="973" t="n"/>
      <c r="F51" s="973" t="n"/>
      <c r="G51" s="973" t="n"/>
      <c r="H51" s="973" t="n"/>
      <c r="I51" s="973" t="n"/>
      <c r="J51" s="973" t="n"/>
    </row>
    <row r="52">
      <c r="A52" s="973" t="n"/>
      <c r="B52" s="973" t="n"/>
      <c r="C52" s="973" t="n"/>
      <c r="D52" s="973" t="n"/>
      <c r="E52" s="973" t="n"/>
      <c r="F52" s="973" t="n"/>
      <c r="G52" s="973" t="n"/>
      <c r="H52" s="973" t="n"/>
      <c r="I52" s="973" t="n"/>
      <c r="J52" s="973" t="n"/>
    </row>
    <row r="53">
      <c r="A53" s="973" t="n"/>
      <c r="B53" s="973" t="n"/>
      <c r="C53" s="973" t="n"/>
      <c r="D53" s="973" t="n"/>
      <c r="E53" s="973" t="n"/>
      <c r="F53" s="973" t="n"/>
      <c r="G53" s="973" t="n"/>
      <c r="H53" s="973" t="n"/>
      <c r="I53" s="973" t="n"/>
      <c r="J53" s="973" t="n"/>
    </row>
    <row r="54">
      <c r="A54" s="973" t="n"/>
      <c r="B54" s="973" t="n"/>
      <c r="C54" s="973" t="n"/>
      <c r="D54" s="973" t="n"/>
      <c r="E54" s="973" t="n"/>
      <c r="F54" s="973" t="n"/>
      <c r="G54" s="973" t="n"/>
      <c r="H54" s="973" t="n"/>
      <c r="I54" s="973" t="n"/>
      <c r="J54" s="973" t="n"/>
    </row>
    <row r="55">
      <c r="A55" s="973" t="n"/>
      <c r="B55" s="973" t="n"/>
      <c r="C55" s="973" t="n"/>
      <c r="D55" s="973" t="n"/>
      <c r="E55" s="973" t="n"/>
      <c r="F55" s="973" t="n"/>
      <c r="G55" s="973" t="n"/>
      <c r="H55" s="973" t="n"/>
      <c r="I55" s="973" t="n"/>
      <c r="J55" s="973" t="n"/>
    </row>
    <row r="56">
      <c r="A56" s="973" t="n"/>
      <c r="B56" s="973" t="n"/>
      <c r="C56" s="973" t="n"/>
      <c r="D56" s="973" t="n"/>
      <c r="E56" s="973" t="n"/>
      <c r="F56" s="973" t="n"/>
      <c r="G56" s="973" t="n"/>
      <c r="H56" s="973" t="n"/>
      <c r="I56" s="973" t="n"/>
      <c r="J56" s="973" t="n"/>
    </row>
    <row r="57">
      <c r="A57" s="973" t="n"/>
      <c r="B57" s="973" t="n"/>
      <c r="C57" s="973" t="n"/>
      <c r="D57" s="973" t="n"/>
      <c r="E57" s="973" t="n"/>
      <c r="F57" s="973" t="n"/>
      <c r="G57" s="973" t="n"/>
      <c r="H57" s="973" t="n"/>
      <c r="I57" s="973" t="n"/>
      <c r="J57" s="973" t="n"/>
    </row>
    <row r="58">
      <c r="A58" s="973" t="n"/>
      <c r="B58" s="973" t="n"/>
      <c r="C58" s="973" t="n"/>
      <c r="D58" s="973" t="n"/>
      <c r="E58" s="973" t="n"/>
      <c r="F58" s="973" t="n"/>
      <c r="G58" s="973" t="n"/>
      <c r="H58" s="973" t="n"/>
      <c r="I58" s="973" t="n"/>
      <c r="J58" s="973" t="n"/>
    </row>
    <row r="59">
      <c r="A59" s="973" t="n"/>
      <c r="B59" s="973" t="n"/>
      <c r="C59" s="973" t="n"/>
      <c r="D59" s="973" t="n"/>
      <c r="E59" s="973" t="n"/>
      <c r="F59" s="973" t="n"/>
      <c r="G59" s="973" t="n"/>
      <c r="H59" s="973" t="n"/>
      <c r="I59" s="973" t="n"/>
      <c r="J59" s="973" t="n"/>
    </row>
    <row r="60">
      <c r="A60" s="973" t="n"/>
      <c r="B60" s="973" t="n"/>
      <c r="C60" s="973" t="n"/>
      <c r="D60" s="973" t="n"/>
      <c r="E60" s="973" t="n"/>
      <c r="F60" s="973" t="n"/>
      <c r="G60" s="973" t="n"/>
      <c r="H60" s="973" t="n"/>
      <c r="I60" s="973" t="n"/>
      <c r="J60" s="973" t="n"/>
    </row>
  </sheetData>
  <pageMargins left="0.7" right="0.7" top="0.75" bottom="0.75" header="0.3" footer="0.3"/>
</worksheet>
</file>

<file path=xl/worksheets/sheet69.xml><?xml version="1.0" encoding="utf-8"?>
<worksheet xmlns="http://schemas.openxmlformats.org/spreadsheetml/2006/main">
  <sheetPr>
    <tabColor rgb="007F7F7F"/>
    <outlinePr summaryBelow="1" summaryRight="1"/>
    <pageSetUpPr/>
  </sheetPr>
  <dimension ref="A1:J80"/>
  <sheetViews>
    <sheetView workbookViewId="0">
      <selection activeCell="A1" sqref="A1"/>
    </sheetView>
  </sheetViews>
  <sheetFormatPr baseColWidth="8" defaultRowHeight="15"/>
  <sheetData>
    <row r="1">
      <c r="A1" s="970" t="inlineStr">
        <is>
          <t>16 — Control What-If</t>
        </is>
      </c>
      <c r="B1" s="970" t="n"/>
      <c r="C1" s="970" t="n"/>
      <c r="D1" s="970" t="n"/>
      <c r="E1" s="970" t="n"/>
      <c r="F1" s="970" t="n"/>
      <c r="G1" s="970" t="n"/>
      <c r="H1" s="970" t="n"/>
      <c r="I1" s="970" t="n"/>
      <c r="J1" s="970" t="n"/>
    </row>
    <row r="2">
      <c r="A2" s="966" t="inlineStr">
        <is>
          <t>One-level maturity uplift using the same reference-relative attack-path method.</t>
        </is>
      </c>
      <c r="B2" s="966" t="n"/>
      <c r="C2" s="966" t="n"/>
      <c r="D2" s="966" t="n"/>
      <c r="E2" s="966" t="n"/>
      <c r="F2" s="966" t="n"/>
      <c r="G2" s="966" t="n"/>
      <c r="H2" s="966" t="n"/>
      <c r="I2" s="966" t="n"/>
      <c r="J2" s="966" t="n"/>
    </row>
    <row r="3">
      <c r="A3" s="973" t="n"/>
      <c r="B3" s="973" t="n"/>
      <c r="C3" s="973" t="n"/>
      <c r="D3" s="973" t="n"/>
      <c r="E3" s="973" t="n"/>
      <c r="F3" s="973" t="n"/>
      <c r="G3" s="973" t="n"/>
      <c r="H3" s="973" t="n"/>
      <c r="I3" s="973" t="n"/>
      <c r="J3" s="973" t="n"/>
    </row>
    <row r="4">
      <c r="A4" s="973" t="n"/>
      <c r="B4" s="973" t="n"/>
      <c r="C4" s="973" t="n"/>
      <c r="D4" s="973" t="n"/>
      <c r="E4" s="973" t="n"/>
      <c r="F4" s="973" t="n"/>
      <c r="G4" s="973" t="n"/>
      <c r="H4" s="973" t="n"/>
      <c r="I4" s="973" t="n"/>
      <c r="J4" s="973" t="n"/>
    </row>
    <row r="5">
      <c r="A5" s="973" t="inlineStr">
        <is>
          <t>ENGINE OUTPUT — do not edit. Run the Python engine after changing inputs or sector packs.</t>
        </is>
      </c>
      <c r="B5" s="973" t="n"/>
      <c r="C5" s="973" t="n"/>
      <c r="D5" s="973" t="n"/>
      <c r="E5" s="973" t="n"/>
      <c r="F5" s="973" t="n"/>
      <c r="G5" s="973" t="n"/>
      <c r="H5" s="973" t="n"/>
      <c r="I5" s="973" t="n"/>
      <c r="J5" s="973" t="n"/>
    </row>
    <row r="6">
      <c r="A6" s="973" t="n"/>
      <c r="B6" s="973" t="n"/>
      <c r="C6" s="973" t="n"/>
      <c r="D6" s="973" t="n"/>
      <c r="E6" s="973" t="n"/>
      <c r="F6" s="973" t="n"/>
      <c r="G6" s="973" t="n"/>
      <c r="H6" s="973" t="n"/>
      <c r="I6" s="973" t="n"/>
      <c r="J6" s="973" t="n"/>
    </row>
    <row r="7">
      <c r="A7" s="973" t="n"/>
      <c r="B7" s="973" t="n"/>
      <c r="C7" s="973" t="n"/>
      <c r="D7" s="973" t="n"/>
      <c r="E7" s="973" t="n"/>
      <c r="F7" s="973" t="n"/>
      <c r="G7" s="973" t="n"/>
      <c r="H7" s="973" t="n"/>
      <c r="I7" s="973" t="n"/>
      <c r="J7" s="973" t="n"/>
    </row>
    <row r="8">
      <c r="A8" s="973" t="n"/>
      <c r="B8" s="973" t="n"/>
      <c r="C8" s="973" t="n"/>
      <c r="D8" s="973" t="n"/>
      <c r="E8" s="973" t="n"/>
      <c r="F8" s="973" t="n"/>
      <c r="G8" s="973" t="n"/>
      <c r="H8" s="973" t="n"/>
      <c r="I8" s="973" t="n"/>
      <c r="J8" s="973" t="n"/>
    </row>
    <row r="9">
      <c r="A9" s="973" t="n"/>
      <c r="B9" s="973" t="n"/>
      <c r="C9" s="973" t="n"/>
      <c r="D9" s="973" t="n"/>
      <c r="E9" s="973" t="n"/>
      <c r="F9" s="973" t="n"/>
      <c r="G9" s="973" t="n"/>
      <c r="H9" s="973" t="n"/>
      <c r="I9" s="973" t="n"/>
      <c r="J9" s="973" t="n"/>
    </row>
    <row r="10">
      <c r="A10" s="973" t="n"/>
      <c r="B10" s="973" t="n"/>
      <c r="C10" s="973" t="n"/>
      <c r="D10" s="973" t="n"/>
      <c r="E10" s="973" t="n"/>
      <c r="F10" s="973" t="n"/>
      <c r="G10" s="973" t="n"/>
      <c r="H10" s="973" t="n"/>
      <c r="I10" s="973" t="n"/>
      <c r="J10" s="973" t="n"/>
    </row>
    <row r="11">
      <c r="A11" s="973" t="n"/>
      <c r="B11" s="973" t="n"/>
      <c r="C11" s="973" t="n"/>
      <c r="D11" s="973" t="n"/>
      <c r="E11" s="973" t="n"/>
      <c r="F11" s="973" t="n"/>
      <c r="G11" s="973" t="n"/>
      <c r="H11" s="973" t="n"/>
      <c r="I11" s="973" t="n"/>
      <c r="J11" s="973" t="n"/>
    </row>
    <row r="12">
      <c r="A12" s="973" t="n"/>
      <c r="B12" s="973" t="n"/>
      <c r="C12" s="973" t="n"/>
      <c r="D12" s="973" t="n"/>
      <c r="E12" s="973" t="n"/>
      <c r="F12" s="973" t="n"/>
      <c r="G12" s="973" t="n"/>
      <c r="H12" s="973" t="n"/>
      <c r="I12" s="973" t="n"/>
      <c r="J12" s="973" t="n"/>
    </row>
    <row r="13">
      <c r="A13" s="973" t="n"/>
      <c r="B13" s="973" t="n"/>
      <c r="C13" s="973" t="n"/>
      <c r="D13" s="973" t="n"/>
      <c r="E13" s="973" t="n"/>
      <c r="F13" s="973" t="n"/>
      <c r="G13" s="973" t="n"/>
      <c r="H13" s="973" t="n"/>
      <c r="I13" s="973" t="n"/>
      <c r="J13" s="973" t="n"/>
    </row>
    <row r="14">
      <c r="A14" s="973" t="n"/>
      <c r="B14" s="973" t="n"/>
      <c r="C14" s="973" t="n"/>
      <c r="D14" s="973" t="n"/>
      <c r="E14" s="973" t="n"/>
      <c r="F14" s="973" t="n"/>
      <c r="G14" s="973" t="n"/>
      <c r="H14" s="973" t="n"/>
      <c r="I14" s="973" t="n"/>
      <c r="J14" s="973" t="n"/>
    </row>
    <row r="15">
      <c r="A15" s="969" t="inlineStr">
        <is>
          <t>Control ID</t>
        </is>
      </c>
      <c r="B15" s="969" t="inlineStr">
        <is>
          <t>Control family</t>
        </is>
      </c>
      <c r="C15" s="969" t="inlineStr">
        <is>
          <t>Current maturity</t>
        </is>
      </c>
      <c r="D15" s="969" t="inlineStr">
        <is>
          <t>What-if maturity</t>
        </is>
      </c>
      <c r="E15" s="969" t="inlineStr">
        <is>
          <t>Analytic current AAL</t>
        </is>
      </c>
      <c r="F15" s="969" t="inlineStr">
        <is>
          <t>Analytic what-if AAL</t>
        </is>
      </c>
      <c r="G15" s="969" t="inlineStr">
        <is>
          <t>AAL reduction</t>
        </is>
      </c>
      <c r="H15" s="969" t="inlineStr">
        <is>
          <t>Reduction %</t>
        </is>
      </c>
      <c r="I15" s="969" t="inlineStr">
        <is>
          <t>Method</t>
        </is>
      </c>
      <c r="J15" s="969" t="inlineStr">
        <is>
          <t>View</t>
        </is>
      </c>
    </row>
    <row r="16">
      <c r="A16" s="973" t="inlineStr">
        <is>
          <t>C03</t>
        </is>
      </c>
      <c r="B16" s="973" t="inlineStr">
        <is>
          <t>Privileged access management</t>
        </is>
      </c>
      <c r="C16" s="973" t="inlineStr">
        <is>
          <t>Developing</t>
        </is>
      </c>
      <c r="D16" s="973" t="inlineStr">
        <is>
          <t>Managed</t>
        </is>
      </c>
      <c r="E16" s="973" t="n">
        <v>1308717.568109714</v>
      </c>
      <c r="F16" s="973" t="n">
        <v>1200150.233771676</v>
      </c>
      <c r="G16" s="973" t="n">
        <v>108567.3343380382</v>
      </c>
      <c r="H16" s="973" t="n">
        <v>0.08295703900028693</v>
      </c>
      <c r="I16" s="973" t="inlineStr">
        <is>
          <t>One-level uplift</t>
        </is>
      </c>
      <c r="J16" s="973" t="inlineStr">
        <is>
          <t>Prudent</t>
        </is>
      </c>
    </row>
    <row r="17">
      <c r="A17" s="973" t="inlineStr">
        <is>
          <t>C13</t>
        </is>
      </c>
      <c r="B17" s="973" t="inlineStr">
        <is>
          <t>DDoS protection and service resilience</t>
        </is>
      </c>
      <c r="C17" s="973" t="inlineStr">
        <is>
          <t>Developing</t>
        </is>
      </c>
      <c r="D17" s="973" t="inlineStr">
        <is>
          <t>Managed</t>
        </is>
      </c>
      <c r="E17" s="973" t="n">
        <v>1308717.568109714</v>
      </c>
      <c r="F17" s="973" t="n">
        <v>1214101.664743152</v>
      </c>
      <c r="G17" s="973" t="n">
        <v>94615.90336656268</v>
      </c>
      <c r="H17" s="973" t="n">
        <v>0.07229665565139774</v>
      </c>
      <c r="I17" s="973" t="inlineStr">
        <is>
          <t>One-level uplift</t>
        </is>
      </c>
      <c r="J17" s="973" t="inlineStr">
        <is>
          <t>Prudent</t>
        </is>
      </c>
    </row>
    <row r="18">
      <c r="A18" s="973" t="inlineStr">
        <is>
          <t>C15</t>
        </is>
      </c>
      <c r="B18" s="973" t="inlineStr">
        <is>
          <t>Payment and fraud controls</t>
        </is>
      </c>
      <c r="C18" s="973" t="inlineStr">
        <is>
          <t>Developing</t>
        </is>
      </c>
      <c r="D18" s="973" t="inlineStr">
        <is>
          <t>Managed</t>
        </is>
      </c>
      <c r="E18" s="973" t="n">
        <v>1308717.568109714</v>
      </c>
      <c r="F18" s="973" t="n">
        <v>1228605.390562024</v>
      </c>
      <c r="G18" s="973" t="n">
        <v>80112.17754769069</v>
      </c>
      <c r="H18" s="973" t="n">
        <v>0.06121426005108431</v>
      </c>
      <c r="I18" s="973" t="inlineStr">
        <is>
          <t>One-level uplift</t>
        </is>
      </c>
      <c r="J18" s="973" t="inlineStr">
        <is>
          <t>Prudent</t>
        </is>
      </c>
    </row>
    <row r="19">
      <c r="A19" s="973" t="inlineStr">
        <is>
          <t>C11</t>
        </is>
      </c>
      <c r="B19" s="973" t="inlineStr">
        <is>
          <t>Data protection and DLP</t>
        </is>
      </c>
      <c r="C19" s="973" t="inlineStr">
        <is>
          <t>Developing</t>
        </is>
      </c>
      <c r="D19" s="973" t="inlineStr">
        <is>
          <t>Managed</t>
        </is>
      </c>
      <c r="E19" s="973" t="n">
        <v>1308717.568109714</v>
      </c>
      <c r="F19" s="973" t="n">
        <v>1232570.974224569</v>
      </c>
      <c r="G19" s="973" t="n">
        <v>76146.59388514492</v>
      </c>
      <c r="H19" s="973" t="n">
        <v>0.05818413058757173</v>
      </c>
      <c r="I19" s="973" t="inlineStr">
        <is>
          <t>One-level uplift</t>
        </is>
      </c>
      <c r="J19" s="973" t="inlineStr">
        <is>
          <t>Prudent</t>
        </is>
      </c>
    </row>
    <row r="20">
      <c r="A20" s="973" t="inlineStr">
        <is>
          <t>C02</t>
        </is>
      </c>
      <c r="B20" s="973" t="inlineStr">
        <is>
          <t>Identity, authentication and MFA</t>
        </is>
      </c>
      <c r="C20" s="973" t="inlineStr">
        <is>
          <t>Developing</t>
        </is>
      </c>
      <c r="D20" s="973" t="inlineStr">
        <is>
          <t>Managed</t>
        </is>
      </c>
      <c r="E20" s="973" t="n">
        <v>1308717.568109714</v>
      </c>
      <c r="F20" s="973" t="n">
        <v>1236947.178422538</v>
      </c>
      <c r="G20" s="973" t="n">
        <v>71770.38968717586</v>
      </c>
      <c r="H20" s="973" t="n">
        <v>0.0548402431785489</v>
      </c>
      <c r="I20" s="973" t="inlineStr">
        <is>
          <t>One-level uplift</t>
        </is>
      </c>
      <c r="J20" s="973" t="inlineStr">
        <is>
          <t>Prudent</t>
        </is>
      </c>
    </row>
    <row r="21">
      <c r="A21" s="973" t="inlineStr">
        <is>
          <t>C08</t>
        </is>
      </c>
      <c r="B21" s="973" t="inlineStr">
        <is>
          <t>Cloud and SaaS security</t>
        </is>
      </c>
      <c r="C21" s="973" t="inlineStr">
        <is>
          <t>Developing</t>
        </is>
      </c>
      <c r="D21" s="973" t="inlineStr">
        <is>
          <t>Managed</t>
        </is>
      </c>
      <c r="E21" s="973" t="n">
        <v>1308717.568109714</v>
      </c>
      <c r="F21" s="973" t="n">
        <v>1244828.973392778</v>
      </c>
      <c r="G21" s="973" t="n">
        <v>63888.59471693612</v>
      </c>
      <c r="H21" s="973" t="n">
        <v>0.04881771000385939</v>
      </c>
      <c r="I21" s="973" t="inlineStr">
        <is>
          <t>One-level uplift</t>
        </is>
      </c>
      <c r="J21" s="973" t="inlineStr">
        <is>
          <t>Prudent</t>
        </is>
      </c>
    </row>
    <row r="22">
      <c r="A22" s="973" t="inlineStr">
        <is>
          <t>C10</t>
        </is>
      </c>
      <c r="B22" s="973" t="inlineStr">
        <is>
          <t>Logging, detection and threat response</t>
        </is>
      </c>
      <c r="C22" s="973" t="inlineStr">
        <is>
          <t>Developing</t>
        </is>
      </c>
      <c r="D22" s="973" t="inlineStr">
        <is>
          <t>Managed</t>
        </is>
      </c>
      <c r="E22" s="973" t="n">
        <v>1308717.568109714</v>
      </c>
      <c r="F22" s="973" t="n">
        <v>1260077.024556199</v>
      </c>
      <c r="G22" s="973" t="n">
        <v>48640.5435535151</v>
      </c>
      <c r="H22" s="973" t="n">
        <v>0.0371665703424235</v>
      </c>
      <c r="I22" s="973" t="inlineStr">
        <is>
          <t>One-level uplift</t>
        </is>
      </c>
      <c r="J22" s="973" t="inlineStr">
        <is>
          <t>Prudent</t>
        </is>
      </c>
    </row>
    <row r="23">
      <c r="A23" s="973" t="inlineStr">
        <is>
          <t>C14</t>
        </is>
      </c>
      <c r="B23" s="973" t="inlineStr">
        <is>
          <t>Backup, recovery and crisis management</t>
        </is>
      </c>
      <c r="C23" s="973" t="inlineStr">
        <is>
          <t>Developing</t>
        </is>
      </c>
      <c r="D23" s="973" t="inlineStr">
        <is>
          <t>Managed</t>
        </is>
      </c>
      <c r="E23" s="973" t="n">
        <v>1308717.568109714</v>
      </c>
      <c r="F23" s="973" t="n">
        <v>1268294.694886749</v>
      </c>
      <c r="G23" s="973" t="n">
        <v>40422.87322296505</v>
      </c>
      <c r="H23" s="973" t="n">
        <v>0.03088739251919041</v>
      </c>
      <c r="I23" s="973" t="inlineStr">
        <is>
          <t>One-level uplift</t>
        </is>
      </c>
      <c r="J23" s="973" t="inlineStr">
        <is>
          <t>Prudent</t>
        </is>
      </c>
    </row>
    <row r="24">
      <c r="A24" s="973" t="inlineStr">
        <is>
          <t>C05</t>
        </is>
      </c>
      <c r="B24" s="973" t="inlineStr">
        <is>
          <t>Endpoint protection and execution control</t>
        </is>
      </c>
      <c r="C24" s="973" t="inlineStr">
        <is>
          <t>Developing</t>
        </is>
      </c>
      <c r="D24" s="973" t="inlineStr">
        <is>
          <t>Managed</t>
        </is>
      </c>
      <c r="E24" s="973" t="n">
        <v>1308717.568109714</v>
      </c>
      <c r="F24" s="973" t="n">
        <v>1280563.657155061</v>
      </c>
      <c r="G24" s="973" t="n">
        <v>28153.91095465329</v>
      </c>
      <c r="H24" s="973" t="n">
        <v>0.02151259495608226</v>
      </c>
      <c r="I24" s="973" t="inlineStr">
        <is>
          <t>One-level uplift</t>
        </is>
      </c>
      <c r="J24" s="973" t="inlineStr">
        <is>
          <t>Prudent</t>
        </is>
      </c>
    </row>
    <row r="25">
      <c r="A25" s="973" t="inlineStr">
        <is>
          <t>C04</t>
        </is>
      </c>
      <c r="B25" s="973" t="inlineStr">
        <is>
          <t>Email, web security and awareness</t>
        </is>
      </c>
      <c r="C25" s="973" t="inlineStr">
        <is>
          <t>Developing</t>
        </is>
      </c>
      <c r="D25" s="973" t="inlineStr">
        <is>
          <t>Managed</t>
        </is>
      </c>
      <c r="E25" s="973" t="n">
        <v>1308717.568109714</v>
      </c>
      <c r="F25" s="973" t="n">
        <v>1283819.995608387</v>
      </c>
      <c r="G25" s="973" t="n">
        <v>24897.57250132691</v>
      </c>
      <c r="H25" s="973" t="n">
        <v>0.01902440458355616</v>
      </c>
      <c r="I25" s="973" t="inlineStr">
        <is>
          <t>One-level uplift</t>
        </is>
      </c>
      <c r="J25" s="973" t="inlineStr">
        <is>
          <t>Prudent</t>
        </is>
      </c>
    </row>
    <row r="26">
      <c r="A26" s="973" t="inlineStr">
        <is>
          <t>C12</t>
        </is>
      </c>
      <c r="B26" s="973" t="inlineStr">
        <is>
          <t>Third-party and supply-chain security</t>
        </is>
      </c>
      <c r="C26" s="973" t="inlineStr">
        <is>
          <t>Developing</t>
        </is>
      </c>
      <c r="D26" s="973" t="inlineStr">
        <is>
          <t>Managed</t>
        </is>
      </c>
      <c r="E26" s="973" t="n">
        <v>1308717.568109714</v>
      </c>
      <c r="F26" s="973" t="n">
        <v>1291144.937516251</v>
      </c>
      <c r="G26" s="973" t="n">
        <v>17572.63059346355</v>
      </c>
      <c r="H26" s="973" t="n">
        <v>0.01342736662337704</v>
      </c>
      <c r="I26" s="973" t="inlineStr">
        <is>
          <t>One-level uplift</t>
        </is>
      </c>
      <c r="J26" s="973" t="inlineStr">
        <is>
          <t>Prudent</t>
        </is>
      </c>
    </row>
    <row r="27">
      <c r="A27" s="973" t="inlineStr">
        <is>
          <t>C09</t>
        </is>
      </c>
      <c r="B27" s="973" t="inlineStr">
        <is>
          <t>Application and API security</t>
        </is>
      </c>
      <c r="C27" s="973" t="inlineStr">
        <is>
          <t>Developing</t>
        </is>
      </c>
      <c r="D27" s="973" t="inlineStr">
        <is>
          <t>Managed</t>
        </is>
      </c>
      <c r="E27" s="973" t="n">
        <v>1308717.568109714</v>
      </c>
      <c r="F27" s="973" t="n">
        <v>1291447.434102037</v>
      </c>
      <c r="G27" s="973" t="n">
        <v>17270.13400767697</v>
      </c>
      <c r="H27" s="973" t="n">
        <v>0.01319622692359942</v>
      </c>
      <c r="I27" s="973" t="inlineStr">
        <is>
          <t>One-level uplift</t>
        </is>
      </c>
      <c r="J27" s="973" t="inlineStr">
        <is>
          <t>Prudent</t>
        </is>
      </c>
    </row>
    <row r="28">
      <c r="A28" s="973" t="inlineStr">
        <is>
          <t>C07</t>
        </is>
      </c>
      <c r="B28" s="973" t="inlineStr">
        <is>
          <t>Network security and segmentation</t>
        </is>
      </c>
      <c r="C28" s="973" t="inlineStr">
        <is>
          <t>Developing</t>
        </is>
      </c>
      <c r="D28" s="973" t="inlineStr">
        <is>
          <t>Managed</t>
        </is>
      </c>
      <c r="E28" s="973" t="n">
        <v>1308717.568109714</v>
      </c>
      <c r="F28" s="973" t="n">
        <v>1292784.644611031</v>
      </c>
      <c r="G28" s="973" t="n">
        <v>15932.92349868314</v>
      </c>
      <c r="H28" s="973" t="n">
        <v>0.01217445527356704</v>
      </c>
      <c r="I28" s="973" t="inlineStr">
        <is>
          <t>One-level uplift</t>
        </is>
      </c>
      <c r="J28" s="973" t="inlineStr">
        <is>
          <t>Prudent</t>
        </is>
      </c>
    </row>
    <row r="29">
      <c r="A29" s="973" t="inlineStr">
        <is>
          <t>C06</t>
        </is>
      </c>
      <c r="B29" s="973" t="inlineStr">
        <is>
          <t>Secure configuration and patching</t>
        </is>
      </c>
      <c r="C29" s="973" t="inlineStr">
        <is>
          <t>Developing</t>
        </is>
      </c>
      <c r="D29" s="973" t="inlineStr">
        <is>
          <t>Managed</t>
        </is>
      </c>
      <c r="E29" s="973" t="n">
        <v>1308717.568109714</v>
      </c>
      <c r="F29" s="973" t="n">
        <v>1295305.877713883</v>
      </c>
      <c r="G29" s="973" t="n">
        <v>13411.69039583136</v>
      </c>
      <c r="H29" s="973" t="n">
        <v>0.01024796390194635</v>
      </c>
      <c r="I29" s="973" t="inlineStr">
        <is>
          <t>One-level uplift</t>
        </is>
      </c>
      <c r="J29" s="973" t="inlineStr">
        <is>
          <t>Prudent</t>
        </is>
      </c>
    </row>
    <row r="30">
      <c r="A30" s="973" t="inlineStr">
        <is>
          <t>C01</t>
        </is>
      </c>
      <c r="B30" s="973" t="inlineStr">
        <is>
          <t>Asset and vulnerability management</t>
        </is>
      </c>
      <c r="C30" s="973" t="inlineStr">
        <is>
          <t>Developing</t>
        </is>
      </c>
      <c r="D30" s="973" t="inlineStr">
        <is>
          <t>Managed</t>
        </is>
      </c>
      <c r="E30" s="973" t="n">
        <v>1308717.568109714</v>
      </c>
      <c r="F30" s="973" t="n">
        <v>1307519.293077835</v>
      </c>
      <c r="G30" s="973" t="n">
        <v>1198.275031878846</v>
      </c>
      <c r="H30" s="973" t="n">
        <v>0.0009156101064721019</v>
      </c>
      <c r="I30" s="973" t="inlineStr">
        <is>
          <t>One-level uplift</t>
        </is>
      </c>
      <c r="J30" s="973" t="inlineStr">
        <is>
          <t>Prudent</t>
        </is>
      </c>
    </row>
    <row r="31">
      <c r="A31" s="973" t="n"/>
      <c r="B31" s="973" t="n"/>
      <c r="C31" s="973" t="n"/>
      <c r="D31" s="973" t="n"/>
      <c r="E31" s="973" t="n"/>
      <c r="F31" s="973" t="n"/>
      <c r="G31" s="973" t="n"/>
      <c r="H31" s="973" t="n"/>
      <c r="I31" s="973" t="n"/>
      <c r="J31" s="973" t="n"/>
    </row>
    <row r="32">
      <c r="A32" s="973" t="n"/>
      <c r="B32" s="973" t="n"/>
      <c r="C32" s="973" t="n"/>
      <c r="D32" s="973" t="n"/>
      <c r="E32" s="973" t="n"/>
      <c r="F32" s="973" t="n"/>
      <c r="G32" s="973" t="n"/>
      <c r="H32" s="973" t="n"/>
      <c r="I32" s="973" t="n"/>
      <c r="J32" s="973" t="n"/>
    </row>
    <row r="33">
      <c r="A33" s="973" t="n"/>
      <c r="B33" s="973" t="n"/>
      <c r="C33" s="973" t="n"/>
      <c r="D33" s="973" t="n"/>
      <c r="E33" s="973" t="n"/>
      <c r="F33" s="973" t="n"/>
      <c r="G33" s="973" t="n"/>
      <c r="H33" s="973" t="n"/>
      <c r="I33" s="973" t="n"/>
      <c r="J33" s="973" t="n"/>
    </row>
    <row r="34">
      <c r="A34" s="973" t="n"/>
      <c r="B34" s="973" t="n"/>
      <c r="C34" s="973" t="n"/>
      <c r="D34" s="973" t="n"/>
      <c r="E34" s="973" t="n"/>
      <c r="F34" s="973" t="n"/>
      <c r="G34" s="973" t="n"/>
      <c r="H34" s="973" t="n"/>
      <c r="I34" s="973" t="n"/>
      <c r="J34" s="973" t="n"/>
    </row>
    <row r="35">
      <c r="A35" s="973" t="n"/>
      <c r="B35" s="973" t="n"/>
      <c r="C35" s="973" t="n"/>
      <c r="D35" s="973" t="n"/>
      <c r="E35" s="973" t="n"/>
      <c r="F35" s="973" t="n"/>
      <c r="G35" s="973" t="n"/>
      <c r="H35" s="973" t="n"/>
      <c r="I35" s="973" t="n"/>
      <c r="J35" s="973" t="n"/>
    </row>
    <row r="36">
      <c r="A36" s="973" t="n"/>
      <c r="B36" s="973" t="n"/>
      <c r="C36" s="973" t="n"/>
      <c r="D36" s="973" t="n"/>
      <c r="E36" s="973" t="n"/>
      <c r="F36" s="973" t="n"/>
      <c r="G36" s="973" t="n"/>
      <c r="H36" s="973" t="n"/>
      <c r="I36" s="973" t="n"/>
      <c r="J36" s="973" t="n"/>
    </row>
    <row r="37">
      <c r="A37" s="973" t="n"/>
      <c r="B37" s="973" t="n"/>
      <c r="C37" s="973" t="n"/>
      <c r="D37" s="973" t="n"/>
      <c r="E37" s="973" t="n"/>
      <c r="F37" s="973" t="n"/>
      <c r="G37" s="973" t="n"/>
      <c r="H37" s="973" t="n"/>
      <c r="I37" s="973" t="n"/>
      <c r="J37" s="973" t="n"/>
    </row>
    <row r="38">
      <c r="A38" s="973" t="n"/>
      <c r="B38" s="973" t="n"/>
      <c r="C38" s="973" t="n"/>
      <c r="D38" s="973" t="n"/>
      <c r="E38" s="973" t="n"/>
      <c r="F38" s="973" t="n"/>
      <c r="G38" s="973" t="n"/>
      <c r="H38" s="973" t="n"/>
      <c r="I38" s="973" t="n"/>
      <c r="J38" s="973" t="n"/>
    </row>
    <row r="39">
      <c r="A39" s="973" t="n"/>
      <c r="B39" s="973" t="n"/>
      <c r="C39" s="973" t="n"/>
      <c r="D39" s="973" t="n"/>
      <c r="E39" s="973" t="n"/>
      <c r="F39" s="973" t="n"/>
      <c r="G39" s="973" t="n"/>
      <c r="H39" s="973" t="n"/>
      <c r="I39" s="973" t="n"/>
      <c r="J39" s="973" t="n"/>
    </row>
    <row r="40">
      <c r="A40" s="973" t="n"/>
      <c r="B40" s="973" t="n"/>
      <c r="C40" s="973" t="n"/>
      <c r="D40" s="973" t="n"/>
      <c r="E40" s="973" t="n"/>
      <c r="F40" s="973" t="n"/>
      <c r="G40" s="973" t="n"/>
      <c r="H40" s="973" t="n"/>
      <c r="I40" s="973" t="n"/>
      <c r="J40" s="973" t="n"/>
    </row>
    <row r="41">
      <c r="A41" s="973" t="n"/>
      <c r="B41" s="973" t="n"/>
      <c r="C41" s="973" t="n"/>
      <c r="D41" s="973" t="n"/>
      <c r="E41" s="973" t="n"/>
      <c r="F41" s="973" t="n"/>
      <c r="G41" s="973" t="n"/>
      <c r="H41" s="973" t="n"/>
      <c r="I41" s="973" t="n"/>
      <c r="J41" s="973" t="n"/>
    </row>
    <row r="42">
      <c r="A42" s="973" t="n"/>
      <c r="B42" s="973" t="n"/>
      <c r="C42" s="973" t="n"/>
      <c r="D42" s="973" t="n"/>
      <c r="E42" s="973" t="n"/>
      <c r="F42" s="973" t="n"/>
      <c r="G42" s="973" t="n"/>
      <c r="H42" s="973" t="n"/>
      <c r="I42" s="973" t="n"/>
      <c r="J42" s="973" t="n"/>
    </row>
    <row r="43">
      <c r="A43" s="973" t="n"/>
      <c r="B43" s="973" t="n"/>
      <c r="C43" s="973" t="n"/>
      <c r="D43" s="973" t="n"/>
      <c r="E43" s="973" t="n"/>
      <c r="F43" s="973" t="n"/>
      <c r="G43" s="973" t="n"/>
      <c r="H43" s="973" t="n"/>
      <c r="I43" s="973" t="n"/>
      <c r="J43" s="973" t="n"/>
    </row>
    <row r="44">
      <c r="A44" s="973" t="n"/>
      <c r="B44" s="973" t="n"/>
      <c r="C44" s="973" t="n"/>
      <c r="D44" s="973" t="n"/>
      <c r="E44" s="973" t="n"/>
      <c r="F44" s="973" t="n"/>
      <c r="G44" s="973" t="n"/>
      <c r="H44" s="973" t="n"/>
      <c r="I44" s="973" t="n"/>
      <c r="J44" s="973" t="n"/>
    </row>
    <row r="45">
      <c r="A45" s="973" t="n"/>
      <c r="B45" s="973" t="n"/>
      <c r="C45" s="973" t="n"/>
      <c r="D45" s="973" t="n"/>
      <c r="E45" s="973" t="n"/>
      <c r="F45" s="973" t="n"/>
      <c r="G45" s="973" t="n"/>
      <c r="H45" s="973" t="n"/>
      <c r="I45" s="973" t="n"/>
      <c r="J45" s="973" t="n"/>
    </row>
    <row r="46">
      <c r="A46" s="973" t="n"/>
      <c r="B46" s="973" t="n"/>
      <c r="C46" s="973" t="n"/>
      <c r="D46" s="973" t="n"/>
      <c r="E46" s="973" t="n"/>
      <c r="F46" s="973" t="n"/>
      <c r="G46" s="973" t="n"/>
      <c r="H46" s="973" t="n"/>
      <c r="I46" s="973" t="n"/>
      <c r="J46" s="973" t="n"/>
    </row>
    <row r="47">
      <c r="A47" s="973" t="n"/>
      <c r="B47" s="973" t="n"/>
      <c r="C47" s="973" t="n"/>
      <c r="D47" s="973" t="n"/>
      <c r="E47" s="973" t="n"/>
      <c r="F47" s="973" t="n"/>
      <c r="G47" s="973" t="n"/>
      <c r="H47" s="973" t="n"/>
      <c r="I47" s="973" t="n"/>
      <c r="J47" s="973" t="n"/>
    </row>
    <row r="48">
      <c r="A48" s="973" t="n"/>
      <c r="B48" s="973" t="n"/>
      <c r="C48" s="973" t="n"/>
      <c r="D48" s="973" t="n"/>
      <c r="E48" s="973" t="n"/>
      <c r="F48" s="973" t="n"/>
      <c r="G48" s="973" t="n"/>
      <c r="H48" s="973" t="n"/>
      <c r="I48" s="973" t="n"/>
      <c r="J48" s="973" t="n"/>
    </row>
    <row r="49">
      <c r="A49" s="973" t="n"/>
      <c r="B49" s="973" t="n"/>
      <c r="C49" s="973" t="n"/>
      <c r="D49" s="973" t="n"/>
      <c r="E49" s="973" t="n"/>
      <c r="F49" s="973" t="n"/>
      <c r="G49" s="973" t="n"/>
      <c r="H49" s="973" t="n"/>
      <c r="I49" s="973" t="n"/>
      <c r="J49" s="973" t="n"/>
    </row>
    <row r="50">
      <c r="A50" s="973" t="n"/>
      <c r="B50" s="973" t="n"/>
      <c r="C50" s="973" t="n"/>
      <c r="D50" s="973" t="n"/>
      <c r="E50" s="973" t="n"/>
      <c r="F50" s="973" t="n"/>
      <c r="G50" s="973" t="n"/>
      <c r="H50" s="973" t="n"/>
      <c r="I50" s="973" t="n"/>
      <c r="J50" s="973" t="n"/>
    </row>
    <row r="51">
      <c r="A51" s="973" t="n"/>
      <c r="B51" s="973" t="n"/>
      <c r="C51" s="973" t="n"/>
      <c r="D51" s="973" t="n"/>
      <c r="E51" s="973" t="n"/>
      <c r="F51" s="973" t="n"/>
      <c r="G51" s="973" t="n"/>
      <c r="H51" s="973" t="n"/>
      <c r="I51" s="973" t="n"/>
      <c r="J51" s="973" t="n"/>
    </row>
    <row r="52">
      <c r="A52" s="973" t="n"/>
      <c r="B52" s="973" t="n"/>
      <c r="C52" s="973" t="n"/>
      <c r="D52" s="973" t="n"/>
      <c r="E52" s="973" t="n"/>
      <c r="F52" s="973" t="n"/>
      <c r="G52" s="973" t="n"/>
      <c r="H52" s="973" t="n"/>
      <c r="I52" s="973" t="n"/>
      <c r="J52" s="973" t="n"/>
    </row>
    <row r="53">
      <c r="A53" s="973" t="n"/>
      <c r="B53" s="973" t="n"/>
      <c r="C53" s="973" t="n"/>
      <c r="D53" s="973" t="n"/>
      <c r="E53" s="973" t="n"/>
      <c r="F53" s="973" t="n"/>
      <c r="G53" s="973" t="n"/>
      <c r="H53" s="973" t="n"/>
      <c r="I53" s="973" t="n"/>
      <c r="J53" s="973" t="n"/>
    </row>
    <row r="54">
      <c r="A54" s="973" t="n"/>
      <c r="B54" s="973" t="n"/>
      <c r="C54" s="973" t="n"/>
      <c r="D54" s="973" t="n"/>
      <c r="E54" s="973" t="n"/>
      <c r="F54" s="973" t="n"/>
      <c r="G54" s="973" t="n"/>
      <c r="H54" s="973" t="n"/>
      <c r="I54" s="973" t="n"/>
      <c r="J54" s="973" t="n"/>
    </row>
    <row r="55">
      <c r="A55" s="973" t="n"/>
      <c r="B55" s="973" t="n"/>
      <c r="C55" s="973" t="n"/>
      <c r="D55" s="973" t="n"/>
      <c r="E55" s="973" t="n"/>
      <c r="F55" s="973" t="n"/>
      <c r="G55" s="973" t="n"/>
      <c r="H55" s="973" t="n"/>
      <c r="I55" s="973" t="n"/>
      <c r="J55" s="973" t="n"/>
    </row>
    <row r="56">
      <c r="A56" s="973" t="n"/>
      <c r="B56" s="973" t="n"/>
      <c r="C56" s="973" t="n"/>
      <c r="D56" s="973" t="n"/>
      <c r="E56" s="973" t="n"/>
      <c r="F56" s="973" t="n"/>
      <c r="G56" s="973" t="n"/>
      <c r="H56" s="973" t="n"/>
      <c r="I56" s="973" t="n"/>
      <c r="J56" s="973" t="n"/>
    </row>
    <row r="57">
      <c r="A57" s="973" t="n"/>
      <c r="B57" s="973" t="n"/>
      <c r="C57" s="973" t="n"/>
      <c r="D57" s="973" t="n"/>
      <c r="E57" s="973" t="n"/>
      <c r="F57" s="973" t="n"/>
      <c r="G57" s="973" t="n"/>
      <c r="H57" s="973" t="n"/>
      <c r="I57" s="973" t="n"/>
      <c r="J57" s="973" t="n"/>
    </row>
    <row r="58">
      <c r="A58" s="973" t="n"/>
      <c r="B58" s="973" t="n"/>
      <c r="C58" s="973" t="n"/>
      <c r="D58" s="973" t="n"/>
      <c r="E58" s="973" t="n"/>
      <c r="F58" s="973" t="n"/>
      <c r="G58" s="973" t="n"/>
      <c r="H58" s="973" t="n"/>
      <c r="I58" s="973" t="n"/>
      <c r="J58" s="973" t="n"/>
    </row>
    <row r="59">
      <c r="A59" s="973" t="n"/>
      <c r="B59" s="973" t="n"/>
      <c r="C59" s="973" t="n"/>
      <c r="D59" s="973" t="n"/>
      <c r="E59" s="973" t="n"/>
      <c r="F59" s="973" t="n"/>
      <c r="G59" s="973" t="n"/>
      <c r="H59" s="973" t="n"/>
      <c r="I59" s="973" t="n"/>
      <c r="J59" s="973" t="n"/>
    </row>
    <row r="60">
      <c r="A60" s="973" t="n"/>
      <c r="B60" s="973" t="n"/>
      <c r="C60" s="973" t="n"/>
      <c r="D60" s="973" t="n"/>
      <c r="E60" s="973" t="n"/>
      <c r="F60" s="973" t="n"/>
      <c r="G60" s="973" t="n"/>
      <c r="H60" s="973" t="n"/>
      <c r="I60" s="973" t="n"/>
      <c r="J60" s="973" t="n"/>
    </row>
    <row r="61">
      <c r="A61" s="973" t="n"/>
      <c r="B61" s="973" t="n"/>
      <c r="C61" s="973" t="n"/>
      <c r="D61" s="973" t="n"/>
      <c r="E61" s="973" t="n"/>
      <c r="F61" s="973" t="n"/>
      <c r="G61" s="973" t="n"/>
      <c r="H61" s="973" t="n"/>
      <c r="I61" s="973" t="n"/>
      <c r="J61" s="973" t="n"/>
    </row>
    <row r="62">
      <c r="A62" s="973" t="n"/>
      <c r="B62" s="973" t="n"/>
      <c r="C62" s="973" t="n"/>
      <c r="D62" s="973" t="n"/>
      <c r="E62" s="973" t="n"/>
      <c r="F62" s="973" t="n"/>
      <c r="G62" s="973" t="n"/>
      <c r="H62" s="973" t="n"/>
      <c r="I62" s="973" t="n"/>
      <c r="J62" s="973" t="n"/>
    </row>
    <row r="63">
      <c r="A63" s="973" t="n"/>
      <c r="B63" s="973" t="n"/>
      <c r="C63" s="973" t="n"/>
      <c r="D63" s="973" t="n"/>
      <c r="E63" s="973" t="n"/>
      <c r="F63" s="973" t="n"/>
      <c r="G63" s="973" t="n"/>
      <c r="H63" s="973" t="n"/>
      <c r="I63" s="973" t="n"/>
      <c r="J63" s="973" t="n"/>
    </row>
    <row r="64">
      <c r="A64" s="973" t="n"/>
      <c r="B64" s="973" t="n"/>
      <c r="C64" s="973" t="n"/>
      <c r="D64" s="973" t="n"/>
      <c r="E64" s="973" t="n"/>
      <c r="F64" s="973" t="n"/>
      <c r="G64" s="973" t="n"/>
      <c r="H64" s="973" t="n"/>
      <c r="I64" s="973" t="n"/>
      <c r="J64" s="973" t="n"/>
    </row>
    <row r="65">
      <c r="A65" s="973" t="n"/>
      <c r="B65" s="973" t="n"/>
      <c r="C65" s="973" t="n"/>
      <c r="D65" s="973" t="n"/>
      <c r="E65" s="973" t="n"/>
      <c r="F65" s="973" t="n"/>
      <c r="G65" s="973" t="n"/>
      <c r="H65" s="973" t="n"/>
      <c r="I65" s="973" t="n"/>
      <c r="J65" s="973" t="n"/>
    </row>
    <row r="66">
      <c r="A66" s="973" t="n"/>
      <c r="B66" s="973" t="n"/>
      <c r="C66" s="973" t="n"/>
      <c r="D66" s="973" t="n"/>
      <c r="E66" s="973" t="n"/>
      <c r="F66" s="973" t="n"/>
      <c r="G66" s="973" t="n"/>
      <c r="H66" s="973" t="n"/>
      <c r="I66" s="973" t="n"/>
      <c r="J66" s="973" t="n"/>
    </row>
    <row r="67">
      <c r="A67" s="973" t="n"/>
      <c r="B67" s="973" t="n"/>
      <c r="C67" s="973" t="n"/>
      <c r="D67" s="973" t="n"/>
      <c r="E67" s="973" t="n"/>
      <c r="F67" s="973" t="n"/>
      <c r="G67" s="973" t="n"/>
      <c r="H67" s="973" t="n"/>
      <c r="I67" s="973" t="n"/>
      <c r="J67" s="973" t="n"/>
    </row>
    <row r="68">
      <c r="A68" s="973" t="n"/>
      <c r="B68" s="973" t="n"/>
      <c r="C68" s="973" t="n"/>
      <c r="D68" s="973" t="n"/>
      <c r="E68" s="973" t="n"/>
      <c r="F68" s="973" t="n"/>
      <c r="G68" s="973" t="n"/>
      <c r="H68" s="973" t="n"/>
      <c r="I68" s="973" t="n"/>
      <c r="J68" s="973" t="n"/>
    </row>
    <row r="69">
      <c r="A69" s="973" t="n"/>
      <c r="B69" s="973" t="n"/>
      <c r="C69" s="973" t="n"/>
      <c r="D69" s="973" t="n"/>
      <c r="E69" s="973" t="n"/>
      <c r="F69" s="973" t="n"/>
      <c r="G69" s="973" t="n"/>
      <c r="H69" s="973" t="n"/>
      <c r="I69" s="973" t="n"/>
      <c r="J69" s="973" t="n"/>
    </row>
    <row r="70">
      <c r="A70" s="973" t="n"/>
      <c r="B70" s="973" t="n"/>
      <c r="C70" s="973" t="n"/>
      <c r="D70" s="973" t="n"/>
      <c r="E70" s="973" t="n"/>
      <c r="F70" s="973" t="n"/>
      <c r="G70" s="973" t="n"/>
      <c r="H70" s="973" t="n"/>
      <c r="I70" s="973" t="n"/>
      <c r="J70" s="973" t="n"/>
    </row>
    <row r="71">
      <c r="A71" s="973" t="n"/>
      <c r="B71" s="973" t="n"/>
      <c r="C71" s="973" t="n"/>
      <c r="D71" s="973" t="n"/>
      <c r="E71" s="973" t="n"/>
      <c r="F71" s="973" t="n"/>
      <c r="G71" s="973" t="n"/>
      <c r="H71" s="973" t="n"/>
      <c r="I71" s="973" t="n"/>
      <c r="J71" s="973" t="n"/>
    </row>
    <row r="72">
      <c r="A72" s="973" t="n"/>
      <c r="B72" s="973" t="n"/>
      <c r="C72" s="973" t="n"/>
      <c r="D72" s="973" t="n"/>
      <c r="E72" s="973" t="n"/>
      <c r="F72" s="973" t="n"/>
      <c r="G72" s="973" t="n"/>
      <c r="H72" s="973" t="n"/>
      <c r="I72" s="973" t="n"/>
      <c r="J72" s="973" t="n"/>
    </row>
    <row r="73">
      <c r="A73" s="973" t="n"/>
      <c r="B73" s="973" t="n"/>
      <c r="C73" s="973" t="n"/>
      <c r="D73" s="973" t="n"/>
      <c r="E73" s="973" t="n"/>
      <c r="F73" s="973" t="n"/>
      <c r="G73" s="973" t="n"/>
      <c r="H73" s="973" t="n"/>
      <c r="I73" s="973" t="n"/>
      <c r="J73" s="973" t="n"/>
    </row>
    <row r="74">
      <c r="A74" s="973" t="n"/>
      <c r="B74" s="973" t="n"/>
      <c r="C74" s="973" t="n"/>
      <c r="D74" s="973" t="n"/>
      <c r="E74" s="973" t="n"/>
      <c r="F74" s="973" t="n"/>
      <c r="G74" s="973" t="n"/>
      <c r="H74" s="973" t="n"/>
      <c r="I74" s="973" t="n"/>
      <c r="J74" s="973" t="n"/>
    </row>
    <row r="75">
      <c r="A75" s="973" t="n"/>
      <c r="B75" s="973" t="n"/>
      <c r="C75" s="973" t="n"/>
      <c r="D75" s="973" t="n"/>
      <c r="E75" s="973" t="n"/>
      <c r="F75" s="973" t="n"/>
      <c r="G75" s="973" t="n"/>
      <c r="H75" s="973" t="n"/>
      <c r="I75" s="973" t="n"/>
      <c r="J75" s="973" t="n"/>
    </row>
    <row r="76">
      <c r="A76" s="973" t="n"/>
      <c r="B76" s="973" t="n"/>
      <c r="C76" s="973" t="n"/>
      <c r="D76" s="973" t="n"/>
      <c r="E76" s="973" t="n"/>
      <c r="F76" s="973" t="n"/>
      <c r="G76" s="973" t="n"/>
      <c r="H76" s="973" t="n"/>
      <c r="I76" s="973" t="n"/>
      <c r="J76" s="973" t="n"/>
    </row>
    <row r="77">
      <c r="A77" s="973" t="n"/>
      <c r="B77" s="973" t="n"/>
      <c r="C77" s="973" t="n"/>
      <c r="D77" s="973" t="n"/>
      <c r="E77" s="973" t="n"/>
      <c r="F77" s="973" t="n"/>
      <c r="G77" s="973" t="n"/>
      <c r="H77" s="973" t="n"/>
      <c r="I77" s="973" t="n"/>
      <c r="J77" s="973" t="n"/>
    </row>
    <row r="78">
      <c r="A78" s="973" t="n"/>
      <c r="B78" s="973" t="n"/>
      <c r="C78" s="973" t="n"/>
      <c r="D78" s="973" t="n"/>
      <c r="E78" s="973" t="n"/>
      <c r="F78" s="973" t="n"/>
      <c r="G78" s="973" t="n"/>
      <c r="H78" s="973" t="n"/>
      <c r="I78" s="973" t="n"/>
      <c r="J78" s="973" t="n"/>
    </row>
    <row r="79">
      <c r="A79" s="973" t="n"/>
      <c r="B79" s="973" t="n"/>
      <c r="C79" s="973" t="n"/>
      <c r="D79" s="973" t="n"/>
      <c r="E79" s="973" t="n"/>
      <c r="F79" s="973" t="n"/>
      <c r="G79" s="973" t="n"/>
      <c r="H79" s="973" t="n"/>
      <c r="I79" s="973" t="n"/>
      <c r="J79" s="973" t="n"/>
    </row>
    <row r="80">
      <c r="A80" s="973" t="n"/>
      <c r="B80" s="973" t="n"/>
      <c r="C80" s="973" t="n"/>
      <c r="D80" s="973" t="n"/>
      <c r="E80" s="973" t="n"/>
      <c r="F80" s="973" t="n"/>
      <c r="G80" s="973" t="n"/>
      <c r="H80" s="973" t="n"/>
      <c r="I80" s="973" t="n"/>
      <c r="J80" s="973" t="n"/>
    </row>
  </sheetData>
  <pageMargins left="0.7" right="0.7" top="0.75" bottom="0.75" header="0.3" footer="0.3"/>
</worksheet>
</file>

<file path=xl/worksheets/sheet70.xml><?xml version="1.0" encoding="utf-8"?>
<worksheet xmlns="http://schemas.openxmlformats.org/spreadsheetml/2006/main">
  <sheetPr>
    <tabColor rgb="007F7F7F"/>
    <outlinePr summaryBelow="1" summaryRight="1"/>
    <pageSetUpPr/>
  </sheetPr>
  <dimension ref="A1:I40"/>
  <sheetViews>
    <sheetView workbookViewId="0">
      <selection activeCell="A1" sqref="A1"/>
    </sheetView>
  </sheetViews>
  <sheetFormatPr baseColWidth="8" defaultRowHeight="15"/>
  <sheetData>
    <row r="1">
      <c r="A1" s="970" t="inlineStr">
        <is>
          <t>17 — Aggregate Loss-Exceedance Curves</t>
        </is>
      </c>
      <c r="B1" s="970" t="n"/>
      <c r="C1" s="970" t="n"/>
      <c r="D1" s="970" t="n"/>
      <c r="E1" s="970" t="n"/>
      <c r="F1" s="970" t="n"/>
      <c r="G1" s="970" t="n"/>
      <c r="H1" s="970" t="n"/>
      <c r="I1" s="970" t="n"/>
    </row>
    <row r="2">
      <c r="A2" s="966" t="inlineStr">
        <is>
          <t>AEP and OEP points for best-estimate and prudent annual loss.</t>
        </is>
      </c>
      <c r="B2" s="966" t="n"/>
      <c r="C2" s="966" t="n"/>
      <c r="D2" s="966" t="n"/>
      <c r="E2" s="966" t="n"/>
      <c r="F2" s="966" t="n"/>
      <c r="G2" s="966" t="n"/>
      <c r="H2" s="966" t="n"/>
      <c r="I2" s="966" t="n"/>
    </row>
    <row r="3">
      <c r="A3" s="973" t="n"/>
      <c r="B3" s="973" t="n"/>
      <c r="C3" s="973" t="n"/>
      <c r="D3" s="973" t="n"/>
      <c r="E3" s="973" t="n"/>
      <c r="F3" s="973" t="n"/>
      <c r="G3" s="973" t="n"/>
      <c r="H3" s="973" t="n"/>
      <c r="I3" s="973" t="n"/>
    </row>
    <row r="4">
      <c r="A4" s="973" t="n"/>
      <c r="B4" s="973" t="n"/>
      <c r="C4" s="973" t="n"/>
      <c r="D4" s="973" t="n"/>
      <c r="E4" s="973" t="n"/>
      <c r="F4" s="973" t="n"/>
      <c r="G4" s="973" t="n"/>
      <c r="H4" s="973" t="n"/>
      <c r="I4" s="973" t="n"/>
    </row>
    <row r="5">
      <c r="A5" s="973" t="inlineStr">
        <is>
          <t>ENGINE OUTPUT — do not edit. Run the Python engine after changing inputs or sector packs.</t>
        </is>
      </c>
      <c r="B5" s="973" t="n"/>
      <c r="C5" s="973" t="n"/>
      <c r="D5" s="973" t="n"/>
      <c r="E5" s="973" t="n"/>
      <c r="F5" s="973" t="n"/>
      <c r="G5" s="973" t="n"/>
      <c r="H5" s="973" t="n"/>
      <c r="I5" s="973" t="n"/>
    </row>
    <row r="6">
      <c r="A6" s="973" t="n"/>
      <c r="B6" s="973" t="n"/>
      <c r="C6" s="973" t="n"/>
      <c r="D6" s="973" t="n"/>
      <c r="E6" s="973" t="n"/>
      <c r="F6" s="973" t="n"/>
      <c r="G6" s="973" t="n"/>
      <c r="H6" s="973" t="n"/>
      <c r="I6" s="973" t="n"/>
    </row>
    <row r="7">
      <c r="A7" s="973" t="n"/>
      <c r="B7" s="973" t="n"/>
      <c r="C7" s="973" t="n"/>
      <c r="D7" s="973" t="n"/>
      <c r="E7" s="973" t="n"/>
      <c r="F7" s="973" t="n"/>
      <c r="G7" s="973" t="n"/>
      <c r="H7" s="973" t="n"/>
      <c r="I7" s="973" t="n"/>
    </row>
    <row r="8">
      <c r="A8" s="973" t="n"/>
      <c r="B8" s="973" t="n"/>
      <c r="C8" s="973" t="n"/>
      <c r="D8" s="973" t="n"/>
      <c r="E8" s="973" t="n"/>
      <c r="F8" s="973" t="n"/>
      <c r="G8" s="973" t="n"/>
      <c r="H8" s="973" t="n"/>
      <c r="I8" s="973" t="n"/>
    </row>
    <row r="9">
      <c r="A9" s="973" t="n"/>
      <c r="B9" s="973" t="n"/>
      <c r="C9" s="973" t="n"/>
      <c r="D9" s="973" t="n"/>
      <c r="E9" s="973" t="n"/>
      <c r="F9" s="973" t="n"/>
      <c r="G9" s="973" t="n"/>
      <c r="H9" s="973" t="n"/>
      <c r="I9" s="973" t="n"/>
    </row>
    <row r="10">
      <c r="A10" s="973" t="n"/>
      <c r="B10" s="973" t="n"/>
      <c r="C10" s="973" t="n"/>
      <c r="D10" s="973" t="n"/>
      <c r="E10" s="973" t="n"/>
      <c r="F10" s="973" t="n"/>
      <c r="G10" s="973" t="n"/>
      <c r="H10" s="973" t="n"/>
      <c r="I10" s="973" t="n"/>
    </row>
    <row r="11">
      <c r="A11" s="973" t="n"/>
      <c r="B11" s="973" t="n"/>
      <c r="C11" s="973" t="n"/>
      <c r="D11" s="973" t="n"/>
      <c r="E11" s="973" t="n"/>
      <c r="F11" s="973" t="n"/>
      <c r="G11" s="973" t="n"/>
      <c r="H11" s="973" t="n"/>
      <c r="I11" s="973" t="n"/>
    </row>
    <row r="12">
      <c r="A12" s="973" t="n"/>
      <c r="B12" s="973" t="n"/>
      <c r="C12" s="973" t="n"/>
      <c r="D12" s="973" t="n"/>
      <c r="E12" s="973" t="n"/>
      <c r="F12" s="973" t="n"/>
      <c r="G12" s="973" t="n"/>
      <c r="H12" s="973" t="n"/>
      <c r="I12" s="973" t="n"/>
    </row>
    <row r="13">
      <c r="A13" s="973" t="n"/>
      <c r="B13" s="973" t="n"/>
      <c r="C13" s="973" t="n"/>
      <c r="D13" s="973" t="n"/>
      <c r="E13" s="973" t="n"/>
      <c r="F13" s="973" t="n"/>
      <c r="G13" s="973" t="n"/>
      <c r="H13" s="973" t="n"/>
      <c r="I13" s="973" t="n"/>
    </row>
    <row r="14">
      <c r="A14" s="973" t="n"/>
      <c r="B14" s="973" t="n"/>
      <c r="C14" s="973" t="n"/>
      <c r="D14" s="973" t="n"/>
      <c r="E14" s="973" t="n"/>
      <c r="F14" s="973" t="n"/>
      <c r="G14" s="973" t="n"/>
      <c r="H14" s="973" t="n"/>
      <c r="I14" s="973" t="n"/>
    </row>
    <row r="15">
      <c r="A15" s="969" t="inlineStr">
        <is>
          <t>Return period</t>
        </is>
      </c>
      <c r="B15" s="969" t="inlineStr">
        <is>
          <t>Exceedance probability</t>
        </is>
      </c>
      <c r="C15" s="969" t="inlineStr">
        <is>
          <t>Best AEP</t>
        </is>
      </c>
      <c r="D15" s="969" t="inlineStr">
        <is>
          <t>Best OEP</t>
        </is>
      </c>
      <c r="E15" s="969" t="inlineStr">
        <is>
          <t>Prudent AEP</t>
        </is>
      </c>
      <c r="F15" s="969" t="inlineStr">
        <is>
          <t>Prudent OEP</t>
        </is>
      </c>
      <c r="G15" s="969" t="n"/>
      <c r="H15" s="969" t="n"/>
      <c r="I15" s="969" t="n"/>
    </row>
    <row r="16">
      <c r="A16" s="973" t="n">
        <v>2</v>
      </c>
      <c r="B16" s="973" t="n">
        <v>0.5</v>
      </c>
      <c r="C16" s="973" t="n">
        <v>0</v>
      </c>
      <c r="D16" s="973" t="n">
        <v>0</v>
      </c>
      <c r="E16" s="973" t="n">
        <v>0</v>
      </c>
      <c r="F16" s="973" t="n">
        <v>0</v>
      </c>
      <c r="G16" s="973" t="n"/>
      <c r="H16" s="973" t="n"/>
      <c r="I16" s="973" t="n"/>
    </row>
    <row r="17">
      <c r="A17" s="973" t="n">
        <v>5</v>
      </c>
      <c r="B17" s="973" t="n">
        <v>0.2</v>
      </c>
      <c r="C17" s="973" t="n">
        <v>0</v>
      </c>
      <c r="D17" s="973" t="n">
        <v>0</v>
      </c>
      <c r="E17" s="973" t="n">
        <v>0</v>
      </c>
      <c r="F17" s="973" t="n">
        <v>0</v>
      </c>
      <c r="G17" s="973" t="n"/>
      <c r="H17" s="973" t="n"/>
      <c r="I17" s="973" t="n"/>
    </row>
    <row r="18">
      <c r="A18" s="973" t="n">
        <v>10</v>
      </c>
      <c r="B18" s="973" t="n">
        <v>0.1</v>
      </c>
      <c r="C18" s="973" t="n">
        <v>1129968.648055559</v>
      </c>
      <c r="D18" s="973" t="n">
        <v>1125096.332396951</v>
      </c>
      <c r="E18" s="973" t="n">
        <v>2334831.253654553</v>
      </c>
      <c r="F18" s="973" t="n">
        <v>2302523.306675853</v>
      </c>
      <c r="G18" s="973" t="n"/>
      <c r="H18" s="973" t="n"/>
      <c r="I18" s="973" t="n"/>
    </row>
    <row r="19">
      <c r="A19" s="973" t="n">
        <v>20</v>
      </c>
      <c r="B19" s="973" t="n">
        <v>0.05</v>
      </c>
      <c r="C19" s="973" t="n">
        <v>5487402.480652438</v>
      </c>
      <c r="D19" s="973" t="n">
        <v>5365555.605939533</v>
      </c>
      <c r="E19" s="973" t="n">
        <v>7125947.960562246</v>
      </c>
      <c r="F19" s="973" t="n">
        <v>6877809.045849238</v>
      </c>
      <c r="G19" s="973" t="n"/>
      <c r="H19" s="973" t="n"/>
      <c r="I19" s="973" t="n"/>
    </row>
    <row r="20">
      <c r="A20" s="973" t="n">
        <v>25</v>
      </c>
      <c r="B20" s="973" t="n">
        <v>0.04</v>
      </c>
      <c r="C20" s="973" t="n">
        <v>7219261.099474549</v>
      </c>
      <c r="D20" s="973" t="n">
        <v>7013988.331928013</v>
      </c>
      <c r="E20" s="973" t="n">
        <v>9033416.981644811</v>
      </c>
      <c r="F20" s="973" t="n">
        <v>8724690.735705161</v>
      </c>
      <c r="G20" s="973" t="n"/>
      <c r="H20" s="973" t="n"/>
      <c r="I20" s="973" t="n"/>
    </row>
    <row r="21">
      <c r="A21" s="973" t="n">
        <v>50</v>
      </c>
      <c r="B21" s="973" t="n">
        <v>0.02</v>
      </c>
      <c r="C21" s="973" t="n">
        <v>13910287.2801606</v>
      </c>
      <c r="D21" s="973" t="n">
        <v>13453879.46863602</v>
      </c>
      <c r="E21" s="973" t="n">
        <v>16402001.81628016</v>
      </c>
      <c r="F21" s="973" t="n">
        <v>15693035.65094238</v>
      </c>
      <c r="G21" s="973" t="n"/>
      <c r="H21" s="973" t="n"/>
      <c r="I21" s="973" t="n"/>
    </row>
    <row r="22">
      <c r="A22" s="973" t="n">
        <v>100</v>
      </c>
      <c r="B22" s="973" t="n">
        <v>0.01</v>
      </c>
      <c r="C22" s="973" t="n">
        <v>22824448.16996593</v>
      </c>
      <c r="D22" s="973" t="n">
        <v>22150405.95213009</v>
      </c>
      <c r="E22" s="973" t="n">
        <v>26218158.96702391</v>
      </c>
      <c r="F22" s="973" t="n">
        <v>25214416.2520637</v>
      </c>
      <c r="G22" s="973" t="n"/>
      <c r="H22" s="973" t="n"/>
      <c r="I22" s="973" t="n"/>
    </row>
    <row r="23">
      <c r="A23" s="973" t="n">
        <v>200</v>
      </c>
      <c r="B23" s="973" t="n">
        <v>0.005</v>
      </c>
      <c r="C23" s="973" t="n">
        <v>34164819.81496142</v>
      </c>
      <c r="D23" s="973" t="n">
        <v>33340555.88715506</v>
      </c>
      <c r="E23" s="973" t="n">
        <v>39100629.8822308</v>
      </c>
      <c r="F23" s="973" t="n">
        <v>37983892.99004589</v>
      </c>
      <c r="G23" s="973" t="n"/>
      <c r="H23" s="973" t="n"/>
      <c r="I23" s="973" t="n"/>
    </row>
    <row r="24">
      <c r="A24" s="973" t="n">
        <v>250</v>
      </c>
      <c r="B24" s="973" t="n">
        <v>0.004</v>
      </c>
      <c r="C24" s="973" t="n">
        <v>38734254.17690624</v>
      </c>
      <c r="D24" s="973" t="n">
        <v>37843498.41248246</v>
      </c>
      <c r="E24" s="973" t="n">
        <v>44082083.53446813</v>
      </c>
      <c r="F24" s="973" t="n">
        <v>42528113.2917143</v>
      </c>
      <c r="G24" s="973" t="n"/>
      <c r="H24" s="973" t="n"/>
      <c r="I24" s="973" t="n"/>
    </row>
    <row r="25">
      <c r="A25" s="973" t="n">
        <v>500</v>
      </c>
      <c r="B25" s="973" t="n">
        <v>0.002</v>
      </c>
      <c r="C25" s="973" t="n">
        <v>56099056.66162974</v>
      </c>
      <c r="D25" s="973" t="n">
        <v>54762579.00790916</v>
      </c>
      <c r="E25" s="973" t="n">
        <v>61587867.59736592</v>
      </c>
      <c r="F25" s="973" t="n">
        <v>60373105.35121121</v>
      </c>
      <c r="G25" s="973" t="n"/>
      <c r="H25" s="973" t="n"/>
      <c r="I25" s="973" t="n"/>
    </row>
    <row r="26">
      <c r="A26" s="973" t="n"/>
      <c r="B26" s="973" t="n"/>
      <c r="C26" s="973" t="n"/>
      <c r="D26" s="973" t="n"/>
      <c r="E26" s="973" t="n"/>
      <c r="F26" s="973" t="n"/>
      <c r="G26" s="973" t="n"/>
      <c r="H26" s="973" t="n"/>
      <c r="I26" s="973" t="n"/>
    </row>
    <row r="27">
      <c r="A27" s="973" t="n"/>
      <c r="B27" s="973" t="n"/>
      <c r="C27" s="973" t="n"/>
      <c r="D27" s="973" t="n"/>
      <c r="E27" s="973" t="n"/>
      <c r="F27" s="973" t="n"/>
      <c r="G27" s="973" t="n"/>
      <c r="H27" s="973" t="n"/>
      <c r="I27" s="973" t="n"/>
    </row>
    <row r="28">
      <c r="A28" s="973" t="n"/>
      <c r="B28" s="973" t="n"/>
      <c r="C28" s="973" t="n"/>
      <c r="D28" s="973" t="n"/>
      <c r="E28" s="973" t="n"/>
      <c r="F28" s="973" t="n"/>
      <c r="G28" s="973" t="n"/>
      <c r="H28" s="973" t="n"/>
      <c r="I28" s="973" t="n"/>
    </row>
    <row r="29">
      <c r="A29" s="973" t="n"/>
      <c r="B29" s="973" t="n"/>
      <c r="C29" s="973" t="n"/>
      <c r="D29" s="973" t="n"/>
      <c r="E29" s="973" t="n"/>
      <c r="F29" s="973" t="n"/>
      <c r="G29" s="973" t="n"/>
      <c r="H29" s="973" t="n"/>
      <c r="I29" s="973" t="n"/>
    </row>
    <row r="30">
      <c r="A30" s="973" t="n"/>
      <c r="B30" s="973" t="n"/>
      <c r="C30" s="973" t="n"/>
      <c r="D30" s="973" t="n"/>
      <c r="E30" s="973" t="n"/>
      <c r="F30" s="973" t="n"/>
      <c r="G30" s="973" t="n"/>
      <c r="H30" s="973" t="n"/>
      <c r="I30" s="973" t="n"/>
    </row>
    <row r="31">
      <c r="A31" s="973" t="n"/>
      <c r="B31" s="973" t="n"/>
      <c r="C31" s="973" t="n"/>
      <c r="D31" s="973" t="n"/>
      <c r="E31" s="973" t="n"/>
      <c r="F31" s="973" t="n"/>
      <c r="G31" s="973" t="n"/>
      <c r="H31" s="973" t="n"/>
      <c r="I31" s="973" t="n"/>
    </row>
    <row r="32">
      <c r="A32" s="973" t="n"/>
      <c r="B32" s="973" t="n"/>
      <c r="C32" s="973" t="n"/>
      <c r="D32" s="973" t="n"/>
      <c r="E32" s="973" t="n"/>
      <c r="F32" s="973" t="n"/>
      <c r="G32" s="973" t="n"/>
      <c r="H32" s="973" t="n"/>
      <c r="I32" s="973" t="n"/>
    </row>
    <row r="33">
      <c r="A33" s="973" t="n"/>
      <c r="B33" s="973" t="n"/>
      <c r="C33" s="973" t="n"/>
      <c r="D33" s="973" t="n"/>
      <c r="E33" s="973" t="n"/>
      <c r="F33" s="973" t="n"/>
      <c r="G33" s="973" t="n"/>
      <c r="H33" s="973" t="n"/>
      <c r="I33" s="973" t="n"/>
    </row>
    <row r="34">
      <c r="A34" s="973" t="n"/>
      <c r="B34" s="973" t="n"/>
      <c r="C34" s="973" t="n"/>
      <c r="D34" s="973" t="n"/>
      <c r="E34" s="973" t="n"/>
      <c r="F34" s="973" t="n"/>
      <c r="G34" s="973" t="n"/>
      <c r="H34" s="973" t="n"/>
      <c r="I34" s="973" t="n"/>
    </row>
    <row r="35">
      <c r="A35" s="973" t="n"/>
      <c r="B35" s="973" t="n"/>
      <c r="C35" s="973" t="n"/>
      <c r="D35" s="973" t="n"/>
      <c r="E35" s="973" t="n"/>
      <c r="F35" s="973" t="n"/>
      <c r="G35" s="973" t="n"/>
      <c r="H35" s="973" t="n"/>
      <c r="I35" s="973" t="n"/>
    </row>
    <row r="36">
      <c r="A36" s="973" t="n"/>
      <c r="B36" s="973" t="n"/>
      <c r="C36" s="973" t="n"/>
      <c r="D36" s="973" t="n"/>
      <c r="E36" s="973" t="n"/>
      <c r="F36" s="973" t="n"/>
      <c r="G36" s="973" t="n"/>
      <c r="H36" s="973" t="n"/>
      <c r="I36" s="973" t="n"/>
    </row>
    <row r="37">
      <c r="A37" s="973" t="n"/>
      <c r="B37" s="973" t="n"/>
      <c r="C37" s="973" t="n"/>
      <c r="D37" s="973" t="n"/>
      <c r="E37" s="973" t="n"/>
      <c r="F37" s="973" t="n"/>
      <c r="G37" s="973" t="n"/>
      <c r="H37" s="973" t="n"/>
      <c r="I37" s="973" t="n"/>
    </row>
    <row r="38">
      <c r="A38" s="973" t="n"/>
      <c r="B38" s="973" t="n"/>
      <c r="C38" s="973" t="n"/>
      <c r="D38" s="973" t="n"/>
      <c r="E38" s="973" t="n"/>
      <c r="F38" s="973" t="n"/>
      <c r="G38" s="973" t="n"/>
      <c r="H38" s="973" t="n"/>
      <c r="I38" s="973" t="n"/>
    </row>
    <row r="39">
      <c r="A39" s="973" t="n"/>
      <c r="B39" s="973" t="n"/>
      <c r="C39" s="973" t="n"/>
      <c r="D39" s="973" t="n"/>
      <c r="E39" s="973" t="n"/>
      <c r="F39" s="973" t="n"/>
      <c r="G39" s="973" t="n"/>
      <c r="H39" s="973" t="n"/>
      <c r="I39" s="973" t="n"/>
    </row>
    <row r="40">
      <c r="A40" s="973" t="n"/>
      <c r="B40" s="973" t="n"/>
      <c r="C40" s="973" t="n"/>
      <c r="D40" s="973" t="n"/>
      <c r="E40" s="973" t="n"/>
      <c r="F40" s="973" t="n"/>
      <c r="G40" s="973" t="n"/>
      <c r="H40" s="973" t="n"/>
      <c r="I40" s="973" t="n"/>
    </row>
  </sheetData>
  <pageMargins left="0.7" right="0.7" top="0.75" bottom="0.75" header="0.3" footer="0.3"/>
</worksheet>
</file>

<file path=xl/worksheets/sheet71.xml><?xml version="1.0" encoding="utf-8"?>
<worksheet xmlns="http://schemas.openxmlformats.org/spreadsheetml/2006/main">
  <sheetPr>
    <tabColor rgb="007F7F7F"/>
    <outlinePr summaryBelow="1" summaryRight="1"/>
    <pageSetUpPr/>
  </sheetPr>
  <dimension ref="A1:K40"/>
  <sheetViews>
    <sheetView workbookViewId="0">
      <selection activeCell="A1" sqref="A1"/>
    </sheetView>
  </sheetViews>
  <sheetFormatPr baseColWidth="8" defaultRowHeight="15"/>
  <sheetData>
    <row r="1">
      <c r="A1" s="970" t="inlineStr">
        <is>
          <t>18 — Scenario Loss-Exceedance Curves</t>
        </is>
      </c>
      <c r="B1" s="970" t="n"/>
      <c r="C1" s="970" t="n"/>
      <c r="D1" s="970" t="n"/>
      <c r="E1" s="970" t="n"/>
      <c r="F1" s="970" t="n"/>
      <c r="G1" s="970" t="n"/>
      <c r="H1" s="970" t="n"/>
      <c r="I1" s="970" t="n"/>
      <c r="J1" s="970" t="n"/>
      <c r="K1" s="970" t="n"/>
    </row>
    <row r="2">
      <c r="A2" s="966" t="inlineStr">
        <is>
          <t>Scenario-specific AEP points for the selected reporting basis.</t>
        </is>
      </c>
      <c r="B2" s="966" t="n"/>
      <c r="C2" s="966" t="n"/>
      <c r="D2" s="966" t="n"/>
      <c r="E2" s="966" t="n"/>
      <c r="F2" s="966" t="n"/>
      <c r="G2" s="966" t="n"/>
      <c r="H2" s="966" t="n"/>
      <c r="I2" s="966" t="n"/>
      <c r="J2" s="966" t="n"/>
      <c r="K2" s="966" t="n"/>
    </row>
    <row r="3">
      <c r="A3" s="973" t="n"/>
      <c r="B3" s="973" t="n"/>
      <c r="C3" s="973" t="n"/>
      <c r="D3" s="973" t="n"/>
      <c r="E3" s="973" t="n"/>
      <c r="F3" s="973" t="n"/>
      <c r="G3" s="973" t="n"/>
      <c r="H3" s="973" t="n"/>
      <c r="I3" s="973" t="n"/>
      <c r="J3" s="973" t="n"/>
      <c r="K3" s="973" t="n"/>
    </row>
    <row r="4">
      <c r="A4" s="973" t="n"/>
      <c r="B4" s="973" t="n"/>
      <c r="C4" s="973" t="n"/>
      <c r="D4" s="973" t="n"/>
      <c r="E4" s="973" t="n"/>
      <c r="F4" s="973" t="n"/>
      <c r="G4" s="973" t="n"/>
      <c r="H4" s="973" t="n"/>
      <c r="I4" s="973" t="n"/>
      <c r="J4" s="973" t="n"/>
      <c r="K4" s="973" t="n"/>
    </row>
    <row r="5">
      <c r="A5" s="973" t="inlineStr">
        <is>
          <t>ENGINE OUTPUT — do not edit. Run the Python engine after changing inputs or sector packs.</t>
        </is>
      </c>
      <c r="B5" s="973" t="n"/>
      <c r="C5" s="973" t="n"/>
      <c r="D5" s="973" t="n"/>
      <c r="E5" s="973" t="n"/>
      <c r="F5" s="973" t="n"/>
      <c r="G5" s="973" t="n"/>
      <c r="H5" s="973" t="n"/>
      <c r="I5" s="973" t="n"/>
      <c r="J5" s="973" t="n"/>
      <c r="K5" s="973" t="n"/>
    </row>
    <row r="6">
      <c r="A6" s="973" t="n"/>
      <c r="B6" s="973" t="n"/>
      <c r="C6" s="973" t="n"/>
      <c r="D6" s="973" t="n"/>
      <c r="E6" s="973" t="n"/>
      <c r="F6" s="973" t="n"/>
      <c r="G6" s="973" t="n"/>
      <c r="H6" s="973" t="n"/>
      <c r="I6" s="973" t="n"/>
      <c r="J6" s="973" t="n"/>
      <c r="K6" s="973" t="n"/>
    </row>
    <row r="7">
      <c r="A7" s="973" t="n"/>
      <c r="B7" s="973" t="n"/>
      <c r="C7" s="973" t="n"/>
      <c r="D7" s="973" t="n"/>
      <c r="E7" s="973" t="n"/>
      <c r="F7" s="973" t="n"/>
      <c r="G7" s="973" t="n"/>
      <c r="H7" s="973" t="n"/>
      <c r="I7" s="973" t="n"/>
      <c r="J7" s="973" t="n"/>
      <c r="K7" s="973" t="n"/>
    </row>
    <row r="8">
      <c r="A8" s="973" t="n"/>
      <c r="B8" s="973" t="n"/>
      <c r="C8" s="973" t="n"/>
      <c r="D8" s="973" t="n"/>
      <c r="E8" s="973" t="n"/>
      <c r="F8" s="973" t="n"/>
      <c r="G8" s="973" t="n"/>
      <c r="H8" s="973" t="n"/>
      <c r="I8" s="973" t="n"/>
      <c r="J8" s="973" t="n"/>
      <c r="K8" s="973" t="n"/>
    </row>
    <row r="9">
      <c r="A9" s="973" t="n"/>
      <c r="B9" s="973" t="n"/>
      <c r="C9" s="973" t="n"/>
      <c r="D9" s="973" t="n"/>
      <c r="E9" s="973" t="n"/>
      <c r="F9" s="973" t="n"/>
      <c r="G9" s="973" t="n"/>
      <c r="H9" s="973" t="n"/>
      <c r="I9" s="973" t="n"/>
      <c r="J9" s="973" t="n"/>
      <c r="K9" s="973" t="n"/>
    </row>
    <row r="10">
      <c r="A10" s="973" t="n"/>
      <c r="B10" s="973" t="n"/>
      <c r="C10" s="973" t="n"/>
      <c r="D10" s="973" t="n"/>
      <c r="E10" s="973" t="n"/>
      <c r="F10" s="973" t="n"/>
      <c r="G10" s="973" t="n"/>
      <c r="H10" s="973" t="n"/>
      <c r="I10" s="973" t="n"/>
      <c r="J10" s="973" t="n"/>
      <c r="K10" s="973" t="n"/>
    </row>
    <row r="11">
      <c r="A11" s="973" t="n"/>
      <c r="B11" s="973" t="n"/>
      <c r="C11" s="973" t="n"/>
      <c r="D11" s="973" t="n"/>
      <c r="E11" s="973" t="n"/>
      <c r="F11" s="973" t="n"/>
      <c r="G11" s="973" t="n"/>
      <c r="H11" s="973" t="n"/>
      <c r="I11" s="973" t="n"/>
      <c r="J11" s="973" t="n"/>
      <c r="K11" s="973" t="n"/>
    </row>
    <row r="12">
      <c r="A12" s="973" t="n"/>
      <c r="B12" s="973" t="n"/>
      <c r="C12" s="973" t="n"/>
      <c r="D12" s="973" t="n"/>
      <c r="E12" s="973" t="n"/>
      <c r="F12" s="973" t="n"/>
      <c r="G12" s="973" t="n"/>
      <c r="H12" s="973" t="n"/>
      <c r="I12" s="973" t="n"/>
      <c r="J12" s="973" t="n"/>
      <c r="K12" s="973" t="n"/>
    </row>
    <row r="13">
      <c r="A13" s="973" t="n"/>
      <c r="B13" s="973" t="n"/>
      <c r="C13" s="973" t="n"/>
      <c r="D13" s="973" t="n"/>
      <c r="E13" s="973" t="n"/>
      <c r="F13" s="973" t="n"/>
      <c r="G13" s="973" t="n"/>
      <c r="H13" s="973" t="n"/>
      <c r="I13" s="973" t="n"/>
      <c r="J13" s="973" t="n"/>
      <c r="K13" s="973" t="n"/>
    </row>
    <row r="14">
      <c r="A14" s="973" t="n"/>
      <c r="B14" s="973" t="n"/>
      <c r="C14" s="973" t="n"/>
      <c r="D14" s="973" t="n"/>
      <c r="E14" s="973" t="n"/>
      <c r="F14" s="973" t="n"/>
      <c r="G14" s="973" t="n"/>
      <c r="H14" s="973" t="n"/>
      <c r="I14" s="973" t="n"/>
      <c r="J14" s="973" t="n"/>
      <c r="K14" s="973" t="n"/>
    </row>
    <row r="15">
      <c r="A15" s="969" t="inlineStr">
        <is>
          <t>Return period</t>
        </is>
      </c>
      <c r="B15" s="969" t="inlineStr">
        <is>
          <t>Exceedance probability</t>
        </is>
      </c>
      <c r="C15" s="969" t="inlineStr">
        <is>
          <t>Critical business-service disruption</t>
        </is>
      </c>
      <c r="D15" s="969" t="inlineStr">
        <is>
          <t>Sensitive-data compromise</t>
        </is>
      </c>
      <c r="E15" s="969" t="inlineStr">
        <is>
          <t>Data or transaction-integrity compromise</t>
        </is>
      </c>
      <c r="F15" s="969" t="inlineStr">
        <is>
          <t>Cyber-enabled theft or fraud</t>
        </is>
      </c>
      <c r="G15" s="969" t="n"/>
      <c r="H15" s="969" t="n"/>
      <c r="I15" s="969" t="n"/>
      <c r="J15" s="969" t="n"/>
      <c r="K15" s="969" t="n"/>
    </row>
    <row r="16">
      <c r="A16" s="973" t="n">
        <v>2</v>
      </c>
      <c r="B16" s="973" t="n">
        <v>0.5</v>
      </c>
      <c r="C16" s="973" t="n">
        <v>0</v>
      </c>
      <c r="D16" s="973" t="n">
        <v>0</v>
      </c>
      <c r="E16" s="973" t="n">
        <v>0</v>
      </c>
      <c r="F16" s="973" t="n">
        <v>0</v>
      </c>
      <c r="G16" s="973" t="n"/>
      <c r="H16" s="973" t="n"/>
      <c r="I16" s="973" t="n"/>
      <c r="J16" s="973" t="n"/>
      <c r="K16" s="973" t="n"/>
    </row>
    <row r="17">
      <c r="A17" s="973" t="n">
        <v>5</v>
      </c>
      <c r="B17" s="973" t="n">
        <v>0.2</v>
      </c>
      <c r="C17" s="973" t="n">
        <v>0</v>
      </c>
      <c r="D17" s="973" t="n">
        <v>0</v>
      </c>
      <c r="E17" s="973" t="n">
        <v>0</v>
      </c>
      <c r="F17" s="973" t="n">
        <v>0</v>
      </c>
      <c r="G17" s="973" t="n"/>
      <c r="H17" s="973" t="n"/>
      <c r="I17" s="973" t="n"/>
      <c r="J17" s="973" t="n"/>
      <c r="K17" s="973" t="n"/>
    </row>
    <row r="18">
      <c r="A18" s="973" t="n">
        <v>10</v>
      </c>
      <c r="B18" s="973" t="n">
        <v>0.1</v>
      </c>
      <c r="C18" s="973" t="n">
        <v>0</v>
      </c>
      <c r="D18" s="973" t="n">
        <v>0</v>
      </c>
      <c r="E18" s="973" t="n">
        <v>0</v>
      </c>
      <c r="F18" s="973" t="n">
        <v>0</v>
      </c>
      <c r="G18" s="973" t="n"/>
      <c r="H18" s="973" t="n"/>
      <c r="I18" s="973" t="n"/>
      <c r="J18" s="973" t="n"/>
      <c r="K18" s="973" t="n"/>
    </row>
    <row r="19">
      <c r="A19" s="973" t="n">
        <v>20</v>
      </c>
      <c r="B19" s="973" t="n">
        <v>0.05</v>
      </c>
      <c r="C19" s="973" t="n">
        <v>421378.5425899314</v>
      </c>
      <c r="D19" s="973" t="n">
        <v>0</v>
      </c>
      <c r="E19" s="973" t="n">
        <v>0</v>
      </c>
      <c r="F19" s="973" t="n">
        <v>355893.8290772875</v>
      </c>
      <c r="G19" s="973" t="n"/>
      <c r="H19" s="973" t="n"/>
      <c r="I19" s="973" t="n"/>
      <c r="J19" s="973" t="n"/>
      <c r="K19" s="973" t="n"/>
    </row>
    <row r="20">
      <c r="A20" s="973" t="n">
        <v>25</v>
      </c>
      <c r="B20" s="973" t="n">
        <v>0.04</v>
      </c>
      <c r="C20" s="973" t="n">
        <v>2339461.312910381</v>
      </c>
      <c r="D20" s="973" t="n">
        <v>0</v>
      </c>
      <c r="E20" s="973" t="n">
        <v>0</v>
      </c>
      <c r="F20" s="973" t="n">
        <v>1028185.815599755</v>
      </c>
      <c r="G20" s="973" t="n"/>
      <c r="H20" s="973" t="n"/>
      <c r="I20" s="973" t="n"/>
      <c r="J20" s="973" t="n"/>
      <c r="K20" s="973" t="n"/>
    </row>
    <row r="21">
      <c r="A21" s="973" t="n">
        <v>50</v>
      </c>
      <c r="B21" s="973" t="n">
        <v>0.02</v>
      </c>
      <c r="C21" s="973" t="n">
        <v>7600857.864281361</v>
      </c>
      <c r="D21" s="973" t="n">
        <v>2813518.221985083</v>
      </c>
      <c r="E21" s="973" t="n">
        <v>0</v>
      </c>
      <c r="F21" s="973" t="n">
        <v>3408565.42529263</v>
      </c>
      <c r="G21" s="973" t="n"/>
      <c r="H21" s="973" t="n"/>
      <c r="I21" s="973" t="n"/>
      <c r="J21" s="973" t="n"/>
      <c r="K21" s="973" t="n"/>
    </row>
    <row r="22">
      <c r="A22" s="973" t="n">
        <v>100</v>
      </c>
      <c r="B22" s="973" t="n">
        <v>0.01</v>
      </c>
      <c r="C22" s="973" t="n">
        <v>15039968.980985</v>
      </c>
      <c r="D22" s="973" t="n">
        <v>8461016.095281372</v>
      </c>
      <c r="E22" s="973" t="n">
        <v>5108821.525497334</v>
      </c>
      <c r="F22" s="973" t="n">
        <v>6844977.241671136</v>
      </c>
      <c r="G22" s="973" t="n"/>
      <c r="H22" s="973" t="n"/>
      <c r="I22" s="973" t="n"/>
      <c r="J22" s="973" t="n"/>
      <c r="K22" s="973" t="n"/>
    </row>
    <row r="23">
      <c r="A23" s="973" t="n">
        <v>200</v>
      </c>
      <c r="B23" s="973" t="n">
        <v>0.005</v>
      </c>
      <c r="C23" s="973" t="n">
        <v>25192120.38204723</v>
      </c>
      <c r="D23" s="973" t="n">
        <v>15650431.9202578</v>
      </c>
      <c r="E23" s="973" t="n">
        <v>10508730.17849782</v>
      </c>
      <c r="F23" s="973" t="n">
        <v>11530858.70495447</v>
      </c>
      <c r="G23" s="973" t="n"/>
      <c r="H23" s="973" t="n"/>
      <c r="I23" s="973" t="n"/>
      <c r="J23" s="973" t="n"/>
      <c r="K23" s="973" t="n"/>
    </row>
    <row r="24">
      <c r="A24" s="973" t="n">
        <v>250</v>
      </c>
      <c r="B24" s="973" t="n">
        <v>0.004</v>
      </c>
      <c r="C24" s="973" t="n">
        <v>29232496.71252434</v>
      </c>
      <c r="D24" s="973" t="n">
        <v>18573322.37477338</v>
      </c>
      <c r="E24" s="973" t="n">
        <v>12521023.68729367</v>
      </c>
      <c r="F24" s="973" t="n">
        <v>13369946.7387218</v>
      </c>
      <c r="G24" s="973" t="n"/>
      <c r="H24" s="973" t="n"/>
      <c r="I24" s="973" t="n"/>
      <c r="J24" s="973" t="n"/>
      <c r="K24" s="973" t="n"/>
    </row>
    <row r="25">
      <c r="A25" s="973" t="n">
        <v>500</v>
      </c>
      <c r="B25" s="973" t="n">
        <v>0.002</v>
      </c>
      <c r="C25" s="973" t="n">
        <v>44605621.00123333</v>
      </c>
      <c r="D25" s="973" t="n">
        <v>29439196.40196487</v>
      </c>
      <c r="E25" s="973" t="n">
        <v>20150316.17853083</v>
      </c>
      <c r="F25" s="973" t="n">
        <v>20118215.82087766</v>
      </c>
      <c r="G25" s="973" t="n"/>
      <c r="H25" s="973" t="n"/>
      <c r="I25" s="973" t="n"/>
      <c r="J25" s="973" t="n"/>
      <c r="K25" s="973" t="n"/>
    </row>
    <row r="26">
      <c r="A26" s="973" t="n"/>
      <c r="B26" s="973" t="n"/>
      <c r="C26" s="973" t="n"/>
      <c r="D26" s="973" t="n"/>
      <c r="E26" s="973" t="n"/>
      <c r="F26" s="973" t="n"/>
      <c r="G26" s="973" t="n"/>
      <c r="H26" s="973" t="n"/>
      <c r="I26" s="973" t="n"/>
      <c r="J26" s="973" t="n"/>
      <c r="K26" s="973" t="n"/>
    </row>
    <row r="27">
      <c r="A27" s="973" t="n"/>
      <c r="B27" s="973" t="n"/>
      <c r="C27" s="973" t="n"/>
      <c r="D27" s="973" t="n"/>
      <c r="E27" s="973" t="n"/>
      <c r="F27" s="973" t="n"/>
      <c r="G27" s="973" t="n"/>
      <c r="H27" s="973" t="n"/>
      <c r="I27" s="973" t="n"/>
      <c r="J27" s="973" t="n"/>
      <c r="K27" s="973" t="n"/>
    </row>
    <row r="28">
      <c r="A28" s="973" t="n"/>
      <c r="B28" s="973" t="n"/>
      <c r="C28" s="973" t="n"/>
      <c r="D28" s="973" t="n"/>
      <c r="E28" s="973" t="n"/>
      <c r="F28" s="973" t="n"/>
      <c r="G28" s="973" t="n"/>
      <c r="H28" s="973" t="n"/>
      <c r="I28" s="973" t="n"/>
      <c r="J28" s="973" t="n"/>
      <c r="K28" s="973" t="n"/>
    </row>
    <row r="29">
      <c r="A29" s="973" t="n"/>
      <c r="B29" s="973" t="n"/>
      <c r="C29" s="973" t="n"/>
      <c r="D29" s="973" t="n"/>
      <c r="E29" s="973" t="n"/>
      <c r="F29" s="973" t="n"/>
      <c r="G29" s="973" t="n"/>
      <c r="H29" s="973" t="n"/>
      <c r="I29" s="973" t="n"/>
      <c r="J29" s="973" t="n"/>
      <c r="K29" s="973" t="n"/>
    </row>
    <row r="30">
      <c r="A30" s="973" t="n"/>
      <c r="B30" s="973" t="n"/>
      <c r="C30" s="973" t="n"/>
      <c r="D30" s="973" t="n"/>
      <c r="E30" s="973" t="n"/>
      <c r="F30" s="973" t="n"/>
      <c r="G30" s="973" t="n"/>
      <c r="H30" s="973" t="n"/>
      <c r="I30" s="973" t="n"/>
      <c r="J30" s="973" t="n"/>
      <c r="K30" s="973" t="n"/>
    </row>
    <row r="31">
      <c r="A31" s="973" t="n"/>
      <c r="B31" s="973" t="n"/>
      <c r="C31" s="973" t="n"/>
      <c r="D31" s="973" t="n"/>
      <c r="E31" s="973" t="n"/>
      <c r="F31" s="973" t="n"/>
      <c r="G31" s="973" t="n"/>
      <c r="H31" s="973" t="n"/>
      <c r="I31" s="973" t="n"/>
      <c r="J31" s="973" t="n"/>
      <c r="K31" s="973" t="n"/>
    </row>
    <row r="32">
      <c r="A32" s="973" t="n"/>
      <c r="B32" s="973" t="n"/>
      <c r="C32" s="973" t="n"/>
      <c r="D32" s="973" t="n"/>
      <c r="E32" s="973" t="n"/>
      <c r="F32" s="973" t="n"/>
      <c r="G32" s="973" t="n"/>
      <c r="H32" s="973" t="n"/>
      <c r="I32" s="973" t="n"/>
      <c r="J32" s="973" t="n"/>
      <c r="K32" s="973" t="n"/>
    </row>
    <row r="33">
      <c r="A33" s="973" t="n"/>
      <c r="B33" s="973" t="n"/>
      <c r="C33" s="973" t="n"/>
      <c r="D33" s="973" t="n"/>
      <c r="E33" s="973" t="n"/>
      <c r="F33" s="973" t="n"/>
      <c r="G33" s="973" t="n"/>
      <c r="H33" s="973" t="n"/>
      <c r="I33" s="973" t="n"/>
      <c r="J33" s="973" t="n"/>
      <c r="K33" s="973" t="n"/>
    </row>
    <row r="34">
      <c r="A34" s="973" t="n"/>
      <c r="B34" s="973" t="n"/>
      <c r="C34" s="973" t="n"/>
      <c r="D34" s="973" t="n"/>
      <c r="E34" s="973" t="n"/>
      <c r="F34" s="973" t="n"/>
      <c r="G34" s="973" t="n"/>
      <c r="H34" s="973" t="n"/>
      <c r="I34" s="973" t="n"/>
      <c r="J34" s="973" t="n"/>
      <c r="K34" s="973" t="n"/>
    </row>
    <row r="35">
      <c r="A35" s="973" t="n"/>
      <c r="B35" s="973" t="n"/>
      <c r="C35" s="973" t="n"/>
      <c r="D35" s="973" t="n"/>
      <c r="E35" s="973" t="n"/>
      <c r="F35" s="973" t="n"/>
      <c r="G35" s="973" t="n"/>
      <c r="H35" s="973" t="n"/>
      <c r="I35" s="973" t="n"/>
      <c r="J35" s="973" t="n"/>
      <c r="K35" s="973" t="n"/>
    </row>
    <row r="36">
      <c r="A36" s="973" t="n"/>
      <c r="B36" s="973" t="n"/>
      <c r="C36" s="973" t="n"/>
      <c r="D36" s="973" t="n"/>
      <c r="E36" s="973" t="n"/>
      <c r="F36" s="973" t="n"/>
      <c r="G36" s="973" t="n"/>
      <c r="H36" s="973" t="n"/>
      <c r="I36" s="973" t="n"/>
      <c r="J36" s="973" t="n"/>
      <c r="K36" s="973" t="n"/>
    </row>
    <row r="37">
      <c r="A37" s="973" t="n"/>
      <c r="B37" s="973" t="n"/>
      <c r="C37" s="973" t="n"/>
      <c r="D37" s="973" t="n"/>
      <c r="E37" s="973" t="n"/>
      <c r="F37" s="973" t="n"/>
      <c r="G37" s="973" t="n"/>
      <c r="H37" s="973" t="n"/>
      <c r="I37" s="973" t="n"/>
      <c r="J37" s="973" t="n"/>
      <c r="K37" s="973" t="n"/>
    </row>
    <row r="38">
      <c r="A38" s="973" t="n"/>
      <c r="B38" s="973" t="n"/>
      <c r="C38" s="973" t="n"/>
      <c r="D38" s="973" t="n"/>
      <c r="E38" s="973" t="n"/>
      <c r="F38" s="973" t="n"/>
      <c r="G38" s="973" t="n"/>
      <c r="H38" s="973" t="n"/>
      <c r="I38" s="973" t="n"/>
      <c r="J38" s="973" t="n"/>
      <c r="K38" s="973" t="n"/>
    </row>
    <row r="39">
      <c r="A39" s="973" t="n"/>
      <c r="B39" s="973" t="n"/>
      <c r="C39" s="973" t="n"/>
      <c r="D39" s="973" t="n"/>
      <c r="E39" s="973" t="n"/>
      <c r="F39" s="973" t="n"/>
      <c r="G39" s="973" t="n"/>
      <c r="H39" s="973" t="n"/>
      <c r="I39" s="973" t="n"/>
      <c r="J39" s="973" t="n"/>
      <c r="K39" s="973" t="n"/>
    </row>
    <row r="40">
      <c r="A40" s="973" t="n"/>
      <c r="B40" s="973" t="n"/>
      <c r="C40" s="973" t="n"/>
      <c r="D40" s="973" t="n"/>
      <c r="E40" s="973" t="n"/>
      <c r="F40" s="973" t="n"/>
      <c r="G40" s="973" t="n"/>
      <c r="H40" s="973" t="n"/>
      <c r="I40" s="973" t="n"/>
      <c r="J40" s="973" t="n"/>
      <c r="K40" s="973" t="n"/>
    </row>
  </sheetData>
  <pageMargins left="0.7" right="0.7" top="0.75" bottom="0.75" header="0.3" footer="0.3"/>
</worksheet>
</file>

<file path=xl/worksheets/sheet72.xml><?xml version="1.0" encoding="utf-8"?>
<worksheet xmlns="http://schemas.openxmlformats.org/spreadsheetml/2006/main">
  <sheetPr>
    <tabColor rgb="007F7F7F"/>
    <outlinePr summaryBelow="1" summaryRight="1"/>
    <pageSetUpPr/>
  </sheetPr>
  <dimension ref="A1:G40"/>
  <sheetViews>
    <sheetView workbookViewId="0">
      <selection activeCell="A1" sqref="A1"/>
    </sheetView>
  </sheetViews>
  <sheetFormatPr baseColWidth="8" defaultRowHeight="15"/>
  <sheetData>
    <row r="1">
      <c r="A1" s="970" t="inlineStr">
        <is>
          <t>19 — Actor Loss-Exceedance Curves</t>
        </is>
      </c>
      <c r="B1" s="970" t="n"/>
      <c r="C1" s="970" t="n"/>
      <c r="D1" s="970" t="n"/>
      <c r="E1" s="970" t="n"/>
      <c r="F1" s="970" t="n"/>
      <c r="G1" s="970" t="n"/>
    </row>
    <row r="2">
      <c r="A2" s="966" t="inlineStr">
        <is>
          <t>Actor-specific AEP points for the selected reporting basis.</t>
        </is>
      </c>
      <c r="B2" s="966" t="n"/>
      <c r="C2" s="966" t="n"/>
      <c r="D2" s="966" t="n"/>
      <c r="E2" s="966" t="n"/>
      <c r="F2" s="966" t="n"/>
      <c r="G2" s="966" t="n"/>
    </row>
    <row r="3">
      <c r="A3" s="973" t="n"/>
      <c r="B3" s="973" t="n"/>
      <c r="C3" s="973" t="n"/>
      <c r="D3" s="973" t="n"/>
      <c r="E3" s="973" t="n"/>
      <c r="F3" s="973" t="n"/>
      <c r="G3" s="973" t="n"/>
    </row>
    <row r="4">
      <c r="A4" s="973" t="n"/>
      <c r="B4" s="973" t="n"/>
      <c r="C4" s="973" t="n"/>
      <c r="D4" s="973" t="n"/>
      <c r="E4" s="973" t="n"/>
      <c r="F4" s="973" t="n"/>
      <c r="G4" s="973" t="n"/>
    </row>
    <row r="5">
      <c r="A5" s="973" t="inlineStr">
        <is>
          <t>ENGINE OUTPUT — do not edit. Run the Python engine after changing inputs or sector packs.</t>
        </is>
      </c>
      <c r="B5" s="973" t="n"/>
      <c r="C5" s="973" t="n"/>
      <c r="D5" s="973" t="n"/>
      <c r="E5" s="973" t="n"/>
      <c r="F5" s="973" t="n"/>
      <c r="G5" s="973" t="n"/>
    </row>
    <row r="6">
      <c r="A6" s="973" t="n"/>
      <c r="B6" s="973" t="n"/>
      <c r="C6" s="973" t="n"/>
      <c r="D6" s="973" t="n"/>
      <c r="E6" s="973" t="n"/>
      <c r="F6" s="973" t="n"/>
      <c r="G6" s="973" t="n"/>
    </row>
    <row r="7">
      <c r="A7" s="973" t="n"/>
      <c r="B7" s="973" t="n"/>
      <c r="C7" s="973" t="n"/>
      <c r="D7" s="973" t="n"/>
      <c r="E7" s="973" t="n"/>
      <c r="F7" s="973" t="n"/>
      <c r="G7" s="973" t="n"/>
    </row>
    <row r="8">
      <c r="A8" s="973" t="n"/>
      <c r="B8" s="973" t="n"/>
      <c r="C8" s="973" t="n"/>
      <c r="D8" s="973" t="n"/>
      <c r="E8" s="973" t="n"/>
      <c r="F8" s="973" t="n"/>
      <c r="G8" s="973" t="n"/>
    </row>
    <row r="9">
      <c r="A9" s="973" t="n"/>
      <c r="B9" s="973" t="n"/>
      <c r="C9" s="973" t="n"/>
      <c r="D9" s="973" t="n"/>
      <c r="E9" s="973" t="n"/>
      <c r="F9" s="973" t="n"/>
      <c r="G9" s="973" t="n"/>
    </row>
    <row r="10">
      <c r="A10" s="973" t="n"/>
      <c r="B10" s="973" t="n"/>
      <c r="C10" s="973" t="n"/>
      <c r="D10" s="973" t="n"/>
      <c r="E10" s="973" t="n"/>
      <c r="F10" s="973" t="n"/>
      <c r="G10" s="973" t="n"/>
    </row>
    <row r="11">
      <c r="A11" s="973" t="n"/>
      <c r="B11" s="973" t="n"/>
      <c r="C11" s="973" t="n"/>
      <c r="D11" s="973" t="n"/>
      <c r="E11" s="973" t="n"/>
      <c r="F11" s="973" t="n"/>
      <c r="G11" s="973" t="n"/>
    </row>
    <row r="12">
      <c r="A12" s="973" t="n"/>
      <c r="B12" s="973" t="n"/>
      <c r="C12" s="973" t="n"/>
      <c r="D12" s="973" t="n"/>
      <c r="E12" s="973" t="n"/>
      <c r="F12" s="973" t="n"/>
      <c r="G12" s="973" t="n"/>
    </row>
    <row r="13">
      <c r="A13" s="973" t="n"/>
      <c r="B13" s="973" t="n"/>
      <c r="C13" s="973" t="n"/>
      <c r="D13" s="973" t="n"/>
      <c r="E13" s="973" t="n"/>
      <c r="F13" s="973" t="n"/>
      <c r="G13" s="973" t="n"/>
    </row>
    <row r="14">
      <c r="A14" s="973" t="n"/>
      <c r="B14" s="973" t="n"/>
      <c r="C14" s="973" t="n"/>
      <c r="D14" s="973" t="n"/>
      <c r="E14" s="973" t="n"/>
      <c r="F14" s="973" t="n"/>
      <c r="G14" s="973" t="n"/>
    </row>
    <row r="15">
      <c r="A15" s="969" t="inlineStr">
        <is>
          <t>Return period</t>
        </is>
      </c>
      <c r="B15" s="969" t="inlineStr">
        <is>
          <t>Exceedance probability</t>
        </is>
      </c>
      <c r="C15" s="969" t="inlineStr">
        <is>
          <t>Nation-state</t>
        </is>
      </c>
      <c r="D15" s="969" t="inlineStr">
        <is>
          <t>Cybercriminal</t>
        </is>
      </c>
      <c r="E15" s="969" t="inlineStr">
        <is>
          <t>Malicious insider</t>
        </is>
      </c>
      <c r="F15" s="969" t="inlineStr">
        <is>
          <t>Hacktivist</t>
        </is>
      </c>
      <c r="G15" s="969" t="n"/>
    </row>
    <row r="16">
      <c r="A16" s="973" t="n">
        <v>2</v>
      </c>
      <c r="B16" s="973" t="n">
        <v>0.5</v>
      </c>
      <c r="C16" s="973" t="n">
        <v>0</v>
      </c>
      <c r="D16" s="973" t="n">
        <v>0</v>
      </c>
      <c r="E16" s="973" t="n">
        <v>0</v>
      </c>
      <c r="F16" s="973" t="n">
        <v>0</v>
      </c>
      <c r="G16" s="973" t="n"/>
    </row>
    <row r="17">
      <c r="A17" s="973" t="n">
        <v>5</v>
      </c>
      <c r="B17" s="973" t="n">
        <v>0.2</v>
      </c>
      <c r="C17" s="973" t="n">
        <v>0</v>
      </c>
      <c r="D17" s="973" t="n">
        <v>0</v>
      </c>
      <c r="E17" s="973" t="n">
        <v>0</v>
      </c>
      <c r="F17" s="973" t="n">
        <v>0</v>
      </c>
      <c r="G17" s="973" t="n"/>
    </row>
    <row r="18">
      <c r="A18" s="973" t="n">
        <v>10</v>
      </c>
      <c r="B18" s="973" t="n">
        <v>0.1</v>
      </c>
      <c r="C18" s="973" t="n">
        <v>0</v>
      </c>
      <c r="D18" s="973" t="n">
        <v>0</v>
      </c>
      <c r="E18" s="973" t="n">
        <v>0</v>
      </c>
      <c r="F18" s="973" t="n">
        <v>0</v>
      </c>
      <c r="G18" s="973" t="n"/>
    </row>
    <row r="19">
      <c r="A19" s="973" t="n">
        <v>20</v>
      </c>
      <c r="B19" s="973" t="n">
        <v>0.05</v>
      </c>
      <c r="C19" s="973" t="n">
        <v>0</v>
      </c>
      <c r="D19" s="973" t="n">
        <v>2309382.945993542</v>
      </c>
      <c r="E19" s="973" t="n">
        <v>0</v>
      </c>
      <c r="F19" s="973" t="n">
        <v>0</v>
      </c>
      <c r="G19" s="973" t="n"/>
    </row>
    <row r="20">
      <c r="A20" s="973" t="n">
        <v>25</v>
      </c>
      <c r="B20" s="973" t="n">
        <v>0.04</v>
      </c>
      <c r="C20" s="973" t="n">
        <v>0</v>
      </c>
      <c r="D20" s="973" t="n">
        <v>3598845.964665617</v>
      </c>
      <c r="E20" s="973" t="n">
        <v>0</v>
      </c>
      <c r="F20" s="973" t="n">
        <v>0</v>
      </c>
      <c r="G20" s="973" t="n"/>
    </row>
    <row r="21">
      <c r="A21" s="973" t="n">
        <v>50</v>
      </c>
      <c r="B21" s="973" t="n">
        <v>0.02</v>
      </c>
      <c r="C21" s="973" t="n">
        <v>0</v>
      </c>
      <c r="D21" s="973" t="n">
        <v>8800838.21085163</v>
      </c>
      <c r="E21" s="973" t="n">
        <v>3554874.327304179</v>
      </c>
      <c r="F21" s="973" t="n">
        <v>1869379.186444166</v>
      </c>
      <c r="G21" s="973" t="n"/>
    </row>
    <row r="22">
      <c r="A22" s="973" t="n">
        <v>100</v>
      </c>
      <c r="B22" s="973" t="n">
        <v>0.01</v>
      </c>
      <c r="C22" s="973" t="n">
        <v>2412035.617793122</v>
      </c>
      <c r="D22" s="973" t="n">
        <v>16138274.54115757</v>
      </c>
      <c r="E22" s="973" t="n">
        <v>8325961.937160157</v>
      </c>
      <c r="F22" s="973" t="n">
        <v>6353896.742187921</v>
      </c>
      <c r="G22" s="973" t="n"/>
    </row>
    <row r="23">
      <c r="A23" s="973" t="n">
        <v>200</v>
      </c>
      <c r="B23" s="973" t="n">
        <v>0.005</v>
      </c>
      <c r="C23" s="973" t="n">
        <v>6678825.236677342</v>
      </c>
      <c r="D23" s="973" t="n">
        <v>26076029.48281705</v>
      </c>
      <c r="E23" s="973" t="n">
        <v>14709660.45526661</v>
      </c>
      <c r="F23" s="973" t="n">
        <v>12493850.18516942</v>
      </c>
      <c r="G23" s="973" t="n"/>
    </row>
    <row r="24">
      <c r="A24" s="973" t="n">
        <v>250</v>
      </c>
      <c r="B24" s="973" t="n">
        <v>0.004</v>
      </c>
      <c r="C24" s="973" t="n">
        <v>8291438.176869499</v>
      </c>
      <c r="D24" s="973" t="n">
        <v>29616977.41286696</v>
      </c>
      <c r="E24" s="973" t="n">
        <v>17204672.00706466</v>
      </c>
      <c r="F24" s="973" t="n">
        <v>15039968.980985</v>
      </c>
      <c r="G24" s="973" t="n"/>
    </row>
    <row r="25">
      <c r="A25" s="973" t="n">
        <v>500</v>
      </c>
      <c r="B25" s="973" t="n">
        <v>0.002</v>
      </c>
      <c r="C25" s="973" t="n">
        <v>14614692.4278042</v>
      </c>
      <c r="D25" s="973" t="n">
        <v>43843923.67528984</v>
      </c>
      <c r="E25" s="973" t="n">
        <v>26816945.8479207</v>
      </c>
      <c r="F25" s="973" t="n">
        <v>24515310.93010651</v>
      </c>
      <c r="G25" s="973" t="n"/>
    </row>
    <row r="26">
      <c r="A26" s="973" t="n"/>
      <c r="B26" s="973" t="n"/>
      <c r="C26" s="973" t="n"/>
      <c r="D26" s="973" t="n"/>
      <c r="E26" s="973" t="n"/>
      <c r="F26" s="973" t="n"/>
      <c r="G26" s="973" t="n"/>
    </row>
    <row r="27">
      <c r="A27" s="973" t="n"/>
      <c r="B27" s="973" t="n"/>
      <c r="C27" s="973" t="n"/>
      <c r="D27" s="973" t="n"/>
      <c r="E27" s="973" t="n"/>
      <c r="F27" s="973" t="n"/>
      <c r="G27" s="973" t="n"/>
    </row>
    <row r="28">
      <c r="A28" s="973" t="n"/>
      <c r="B28" s="973" t="n"/>
      <c r="C28" s="973" t="n"/>
      <c r="D28" s="973" t="n"/>
      <c r="E28" s="973" t="n"/>
      <c r="F28" s="973" t="n"/>
      <c r="G28" s="973" t="n"/>
    </row>
    <row r="29">
      <c r="A29" s="973" t="n"/>
      <c r="B29" s="973" t="n"/>
      <c r="C29" s="973" t="n"/>
      <c r="D29" s="973" t="n"/>
      <c r="E29" s="973" t="n"/>
      <c r="F29" s="973" t="n"/>
      <c r="G29" s="973" t="n"/>
    </row>
    <row r="30">
      <c r="A30" s="973" t="n"/>
      <c r="B30" s="973" t="n"/>
      <c r="C30" s="973" t="n"/>
      <c r="D30" s="973" t="n"/>
      <c r="E30" s="973" t="n"/>
      <c r="F30" s="973" t="n"/>
      <c r="G30" s="973" t="n"/>
    </row>
    <row r="31">
      <c r="A31" s="973" t="n"/>
      <c r="B31" s="973" t="n"/>
      <c r="C31" s="973" t="n"/>
      <c r="D31" s="973" t="n"/>
      <c r="E31" s="973" t="n"/>
      <c r="F31" s="973" t="n"/>
      <c r="G31" s="973" t="n"/>
    </row>
    <row r="32">
      <c r="A32" s="973" t="n"/>
      <c r="B32" s="973" t="n"/>
      <c r="C32" s="973" t="n"/>
      <c r="D32" s="973" t="n"/>
      <c r="E32" s="973" t="n"/>
      <c r="F32" s="973" t="n"/>
      <c r="G32" s="973" t="n"/>
    </row>
    <row r="33">
      <c r="A33" s="973" t="n"/>
      <c r="B33" s="973" t="n"/>
      <c r="C33" s="973" t="n"/>
      <c r="D33" s="973" t="n"/>
      <c r="E33" s="973" t="n"/>
      <c r="F33" s="973" t="n"/>
      <c r="G33" s="973" t="n"/>
    </row>
    <row r="34">
      <c r="A34" s="973" t="n"/>
      <c r="B34" s="973" t="n"/>
      <c r="C34" s="973" t="n"/>
      <c r="D34" s="973" t="n"/>
      <c r="E34" s="973" t="n"/>
      <c r="F34" s="973" t="n"/>
      <c r="G34" s="973" t="n"/>
    </row>
    <row r="35">
      <c r="A35" s="973" t="n"/>
      <c r="B35" s="973" t="n"/>
      <c r="C35" s="973" t="n"/>
      <c r="D35" s="973" t="n"/>
      <c r="E35" s="973" t="n"/>
      <c r="F35" s="973" t="n"/>
      <c r="G35" s="973" t="n"/>
    </row>
    <row r="36">
      <c r="A36" s="973" t="n"/>
      <c r="B36" s="973" t="n"/>
      <c r="C36" s="973" t="n"/>
      <c r="D36" s="973" t="n"/>
      <c r="E36" s="973" t="n"/>
      <c r="F36" s="973" t="n"/>
      <c r="G36" s="973" t="n"/>
    </row>
    <row r="37">
      <c r="A37" s="973" t="n"/>
      <c r="B37" s="973" t="n"/>
      <c r="C37" s="973" t="n"/>
      <c r="D37" s="973" t="n"/>
      <c r="E37" s="973" t="n"/>
      <c r="F37" s="973" t="n"/>
      <c r="G37" s="973" t="n"/>
    </row>
    <row r="38">
      <c r="A38" s="973" t="n"/>
      <c r="B38" s="973" t="n"/>
      <c r="C38" s="973" t="n"/>
      <c r="D38" s="973" t="n"/>
      <c r="E38" s="973" t="n"/>
      <c r="F38" s="973" t="n"/>
      <c r="G38" s="973" t="n"/>
    </row>
    <row r="39">
      <c r="A39" s="973" t="n"/>
      <c r="B39" s="973" t="n"/>
      <c r="C39" s="973" t="n"/>
      <c r="D39" s="973" t="n"/>
      <c r="E39" s="973" t="n"/>
      <c r="F39" s="973" t="n"/>
      <c r="G39" s="973" t="n"/>
    </row>
    <row r="40">
      <c r="A40" s="973" t="n"/>
      <c r="B40" s="973" t="n"/>
      <c r="C40" s="973" t="n"/>
      <c r="D40" s="973" t="n"/>
      <c r="E40" s="973" t="n"/>
      <c r="F40" s="973" t="n"/>
      <c r="G40" s="973" t="n"/>
    </row>
  </sheetData>
  <pageMargins left="0.7" right="0.7" top="0.75" bottom="0.75" header="0.3" footer="0.3"/>
</worksheet>
</file>

<file path=xl/worksheets/sheet73.xml><?xml version="1.0" encoding="utf-8"?>
<worksheet xmlns="http://schemas.openxmlformats.org/spreadsheetml/2006/main">
  <sheetPr>
    <tabColor rgb="007F7F7F"/>
    <outlinePr summaryBelow="1" summaryRight="1"/>
    <pageSetUpPr/>
  </sheetPr>
  <dimension ref="A1:D39"/>
  <sheetViews>
    <sheetView workbookViewId="0">
      <selection activeCell="A1" sqref="A1"/>
    </sheetView>
  </sheetViews>
  <sheetFormatPr baseColWidth="8" defaultRowHeight="15"/>
  <sheetData>
    <row r="1">
      <c r="A1" s="970" t="inlineStr">
        <is>
          <t>20 — Risk Charts</t>
        </is>
      </c>
      <c r="B1" s="970" t="n"/>
      <c r="C1" s="970" t="n"/>
      <c r="D1" s="970" t="n"/>
    </row>
    <row r="2">
      <c r="A2" s="966" t="inlineStr">
        <is>
          <t>Legacy helper ranges retained for engine compatibility. Interactive presentation moved to the 00 Dashboard suite.</t>
        </is>
      </c>
      <c r="B2" s="966" t="n"/>
      <c r="C2" s="966" t="n"/>
      <c r="D2" s="966" t="n"/>
    </row>
    <row r="3">
      <c r="A3" s="973" t="n"/>
      <c r="B3" s="973" t="n"/>
      <c r="C3" s="973" t="n"/>
      <c r="D3" s="973" t="n"/>
    </row>
    <row r="4">
      <c r="A4" s="973" t="inlineStr">
        <is>
          <t>Charts refresh when the Python engine rewrites the result workbook.</t>
        </is>
      </c>
      <c r="B4" s="973" t="n"/>
      <c r="C4" s="973" t="n"/>
      <c r="D4" s="973" t="n"/>
    </row>
    <row r="5">
      <c r="A5" s="973" t="n"/>
      <c r="B5" s="973" t="n"/>
      <c r="C5" s="973" t="n"/>
      <c r="D5" s="973" t="n"/>
    </row>
    <row r="6">
      <c r="A6" s="973" t="n"/>
      <c r="B6" s="973" t="n"/>
      <c r="C6" s="973" t="n"/>
      <c r="D6" s="973" t="n"/>
    </row>
    <row r="7">
      <c r="A7" s="973" t="n"/>
      <c r="B7" s="973" t="n"/>
      <c r="C7" s="973" t="n"/>
      <c r="D7" s="973" t="n"/>
    </row>
    <row r="8">
      <c r="A8" s="973" t="n"/>
      <c r="B8" s="973" t="n"/>
      <c r="C8" s="973" t="n"/>
      <c r="D8" s="973" t="n"/>
    </row>
    <row r="9">
      <c r="A9" s="973" t="n"/>
      <c r="B9" s="973" t="n"/>
      <c r="C9" s="973" t="n"/>
      <c r="D9" s="973" t="n"/>
    </row>
    <row r="10">
      <c r="A10" s="973" t="n"/>
      <c r="B10" s="973" t="n"/>
      <c r="C10" s="973" t="n"/>
      <c r="D10" s="973" t="n"/>
    </row>
    <row r="11">
      <c r="A11" s="973" t="n"/>
      <c r="B11" s="973" t="n"/>
      <c r="C11" s="973" t="n"/>
      <c r="D11" s="973" t="n"/>
    </row>
    <row r="12">
      <c r="A12" s="973" t="n"/>
      <c r="B12" s="973" t="n"/>
      <c r="C12" s="973" t="n"/>
      <c r="D12" s="973" t="n"/>
    </row>
    <row r="13">
      <c r="A13" s="973" t="n"/>
      <c r="B13" s="973" t="n"/>
      <c r="C13" s="973" t="n"/>
      <c r="D13" s="973" t="n"/>
    </row>
    <row r="14">
      <c r="A14" s="973" t="n"/>
      <c r="B14" s="973" t="n"/>
      <c r="C14" s="973" t="n"/>
      <c r="D14" s="973" t="n"/>
    </row>
    <row r="15">
      <c r="A15" s="969" t="inlineStr">
        <is>
          <t>Threat actor</t>
        </is>
      </c>
      <c r="B15" s="969" t="inlineStr">
        <is>
          <t>AAL</t>
        </is>
      </c>
      <c r="C15" s="969" t="n"/>
      <c r="D15" s="969" t="n"/>
    </row>
    <row r="16">
      <c r="A16" s="973" t="inlineStr">
        <is>
          <t>Nation-state</t>
        </is>
      </c>
      <c r="B16" s="973" t="n">
        <v>119201.1446964419</v>
      </c>
      <c r="C16" s="973" t="n"/>
      <c r="D16" s="973" t="n"/>
    </row>
    <row r="17">
      <c r="A17" s="973" t="inlineStr">
        <is>
          <t>Cybercriminal</t>
        </is>
      </c>
      <c r="B17" s="973" t="n">
        <v>651035.5348534692</v>
      </c>
      <c r="C17" s="973" t="n"/>
      <c r="D17" s="973" t="n"/>
    </row>
    <row r="18">
      <c r="A18" s="973" t="inlineStr">
        <is>
          <t>Malicious insider</t>
        </is>
      </c>
      <c r="B18" s="973" t="n">
        <v>301385.8387835206</v>
      </c>
      <c r="C18" s="973" t="n"/>
      <c r="D18" s="973" t="n"/>
    </row>
    <row r="19">
      <c r="A19" s="973" t="inlineStr">
        <is>
          <t>Hacktivist</t>
        </is>
      </c>
      <c r="B19" s="973" t="n">
        <v>240056.8423071318</v>
      </c>
      <c r="C19" s="973" t="n"/>
      <c r="D19" s="973" t="n"/>
    </row>
    <row r="20">
      <c r="A20" s="973" t="n"/>
      <c r="B20" s="973" t="n"/>
      <c r="C20" s="973" t="n"/>
      <c r="D20" s="973" t="n"/>
    </row>
    <row r="21">
      <c r="A21" s="973" t="n"/>
      <c r="B21" s="973" t="n"/>
      <c r="C21" s="973" t="n"/>
      <c r="D21" s="973" t="n"/>
    </row>
    <row r="22">
      <c r="A22" s="973" t="inlineStr">
        <is>
          <t>Scenario</t>
        </is>
      </c>
      <c r="B22" s="973" t="inlineStr">
        <is>
          <t>AAL</t>
        </is>
      </c>
      <c r="C22" s="973" t="n"/>
      <c r="D22" s="973" t="n"/>
    </row>
    <row r="23">
      <c r="A23" s="973" t="inlineStr">
        <is>
          <t>Critical business-service disruption</t>
        </is>
      </c>
      <c r="B23" s="973" t="n">
        <v>575998.2123608057</v>
      </c>
      <c r="C23" s="973" t="n"/>
      <c r="D23" s="973" t="n"/>
    </row>
    <row r="24">
      <c r="A24" s="973" t="inlineStr">
        <is>
          <t>Sensitive-data compromise</t>
        </is>
      </c>
      <c r="B24" s="973" t="n">
        <v>292163.9879803411</v>
      </c>
      <c r="C24" s="973" t="n"/>
      <c r="D24" s="973" t="n"/>
    </row>
    <row r="25">
      <c r="A25" s="973" t="inlineStr">
        <is>
          <t>Data or transaction-integrity compromise</t>
        </is>
      </c>
      <c r="B25" s="973" t="n">
        <v>183681.8782473958</v>
      </c>
      <c r="C25" s="973" t="n"/>
      <c r="D25" s="973" t="n"/>
    </row>
    <row r="26">
      <c r="A26" s="973" t="inlineStr">
        <is>
          <t>Cyber-enabled theft or fraud</t>
        </is>
      </c>
      <c r="B26" s="973" t="n">
        <v>259835.2820520208</v>
      </c>
      <c r="C26" s="973" t="n"/>
      <c r="D26" s="973" t="n"/>
    </row>
    <row r="27">
      <c r="A27" s="973" t="n"/>
      <c r="B27" s="973" t="n"/>
      <c r="C27" s="973" t="n"/>
      <c r="D27" s="973" t="n"/>
    </row>
    <row r="28">
      <c r="A28" s="973" t="n"/>
      <c r="B28" s="973" t="n"/>
      <c r="C28" s="973" t="n"/>
      <c r="D28" s="973" t="n"/>
    </row>
    <row r="29">
      <c r="A29" s="973" t="inlineStr">
        <is>
          <t>Return period</t>
        </is>
      </c>
      <c r="B29" s="973" t="inlineStr">
        <is>
          <t>Best AEP</t>
        </is>
      </c>
      <c r="C29" s="973" t="inlineStr">
        <is>
          <t>Prudent AEP</t>
        </is>
      </c>
      <c r="D29" s="973" t="n"/>
    </row>
    <row r="30">
      <c r="A30" s="973" t="n">
        <v>2</v>
      </c>
      <c r="B30" s="973" t="n">
        <v>0</v>
      </c>
      <c r="C30" s="973" t="n">
        <v>0</v>
      </c>
      <c r="D30" s="973" t="n"/>
    </row>
    <row r="31">
      <c r="A31" s="973" t="n">
        <v>5</v>
      </c>
      <c r="B31" s="973" t="n">
        <v>0</v>
      </c>
      <c r="C31" s="973" t="n">
        <v>0</v>
      </c>
      <c r="D31" s="973" t="n"/>
    </row>
    <row r="32">
      <c r="A32" s="973" t="n">
        <v>10</v>
      </c>
      <c r="B32" s="973" t="n">
        <v>1129968.648055559</v>
      </c>
      <c r="C32" s="973" t="n">
        <v>2334831.253654553</v>
      </c>
      <c r="D32" s="973" t="n"/>
    </row>
    <row r="33">
      <c r="A33" s="973" t="n">
        <v>20</v>
      </c>
      <c r="B33" s="973" t="n">
        <v>5487402.480652438</v>
      </c>
      <c r="C33" s="973" t="n">
        <v>7125947.960562246</v>
      </c>
      <c r="D33" s="973" t="n"/>
    </row>
    <row r="34">
      <c r="A34" s="973" t="n">
        <v>25</v>
      </c>
      <c r="B34" s="973" t="n">
        <v>7219261.099474549</v>
      </c>
      <c r="C34" s="973" t="n">
        <v>9033416.981644811</v>
      </c>
      <c r="D34" s="973" t="n"/>
    </row>
    <row r="35">
      <c r="A35" s="973" t="n">
        <v>50</v>
      </c>
      <c r="B35" s="973" t="n">
        <v>13910287.2801606</v>
      </c>
      <c r="C35" s="973" t="n">
        <v>16402001.81628016</v>
      </c>
      <c r="D35" s="973" t="n"/>
    </row>
    <row r="36">
      <c r="A36" s="973" t="n">
        <v>100</v>
      </c>
      <c r="B36" s="973" t="n">
        <v>22824448.16996593</v>
      </c>
      <c r="C36" s="973" t="n">
        <v>26218158.96702391</v>
      </c>
      <c r="D36" s="973" t="n"/>
    </row>
    <row r="37">
      <c r="A37" s="973" t="n">
        <v>200</v>
      </c>
      <c r="B37" s="973" t="n">
        <v>34164819.81496142</v>
      </c>
      <c r="C37" s="973" t="n">
        <v>39100629.8822308</v>
      </c>
      <c r="D37" s="973" t="n"/>
    </row>
    <row r="38">
      <c r="A38" s="973" t="n">
        <v>250</v>
      </c>
      <c r="B38" s="973" t="n">
        <v>38734254.17690624</v>
      </c>
      <c r="C38" s="973" t="n">
        <v>44082083.53446813</v>
      </c>
      <c r="D38" s="973" t="n"/>
    </row>
    <row r="39">
      <c r="A39" s="973" t="n">
        <v>500</v>
      </c>
      <c r="B39" s="973" t="n">
        <v>56099056.66162974</v>
      </c>
      <c r="C39" s="973" t="n">
        <v>61587867.59736592</v>
      </c>
      <c r="D39" s="973" t="n"/>
    </row>
  </sheetData>
  <pageMargins left="0.7" right="0.7" top="0.75" bottom="0.75" header="0.3" footer="0.3"/>
</worksheet>
</file>

<file path=xl/worksheets/sheet74.xml><?xml version="1.0" encoding="utf-8"?>
<worksheet xmlns="http://schemas.openxmlformats.org/spreadsheetml/2006/main">
  <sheetPr>
    <tabColor rgb="001F4E79"/>
    <outlinePr summaryBelow="1" summaryRight="1"/>
    <pageSetUpPr/>
  </sheetPr>
  <dimension ref="A1:H120"/>
  <sheetViews>
    <sheetView showGridLines="1" workbookViewId="0">
      <selection activeCell="A1" sqref="A1"/>
    </sheetView>
  </sheetViews>
  <sheetFormatPr baseColWidth="8" defaultColWidth="8.6796875" defaultRowHeight="15"/>
  <cols>
    <col width="24" customWidth="1" style="972" min="1" max="1"/>
    <col width="18" customWidth="1" style="508" min="2" max="2"/>
    <col width="18" customWidth="1" style="508" min="3" max="3"/>
    <col width="38" customWidth="1" style="972" min="4" max="4"/>
    <col width="30" customWidth="1" style="972" min="5" max="5"/>
    <col width="30" customWidth="1" style="972" min="6" max="6"/>
    <col width="30" customWidth="1" style="972" min="7" max="7"/>
    <col width="30" customWidth="1" style="972" min="8" max="8"/>
  </cols>
  <sheetData>
    <row r="1" ht="58" customHeight="1" s="508">
      <c r="A1" s="463" t="inlineStr">
        <is>
          <t>26 — Sources, Evidence &amp; Assumption Register</t>
        </is>
      </c>
    </row>
    <row r="2" ht="58" customHeight="1" s="508">
      <c r="A2" s="402" t="inlineStr">
        <is>
          <t>Purpose: Document external sources, inherited mappings, working priors, neutral defaults and unresolved calibration requirements.</t>
        </is>
      </c>
    </row>
    <row r="3" ht="58" customHeight="1" s="508">
      <c r="A3" s="403" t="inlineStr">
        <is>
          <t>In plain English: this is the audit trail showing what is evidence, what is inherited model logic, and what still needs calibration.</t>
        </is>
      </c>
    </row>
    <row r="4" ht="58" customHeight="1" s="508">
      <c r="A4" s="464" t="inlineStr">
        <is>
          <t>SHEET TYPE: EVIDENCE / GOVERNANCE</t>
        </is>
      </c>
    </row>
    <row r="5" ht="58" customHeight="1" s="508">
      <c r="A5" s="405" t="inlineStr">
        <is>
          <t>Inputs / upstream sources</t>
        </is>
      </c>
    </row>
    <row r="6" ht="58" customHeight="1" s="508">
      <c r="A6" s="406" t="inlineStr">
        <is>
          <t>External sources and model-development records.</t>
        </is>
      </c>
    </row>
    <row r="7" ht="58" customHeight="1" s="508">
      <c r="A7" s="405" t="inlineStr">
        <is>
          <t>Calculation / decision logic</t>
        </is>
      </c>
    </row>
    <row r="8" ht="58" customHeight="1" s="508">
      <c r="A8" s="406" t="inlineStr">
        <is>
          <t>No risk calculation. Each item is classified by source/evidence type and records how the model uses it.</t>
        </is>
      </c>
    </row>
    <row r="9" ht="58" customHeight="1" s="508">
      <c r="A9" s="405" t="inlineStr">
        <is>
          <t>Key assumptions / defaults</t>
        </is>
      </c>
    </row>
    <row r="10" ht="58" customHeight="1" s="508">
      <c r="A10" s="406" t="inlineStr">
        <is>
          <t>ATT&amp;CK mapping relationships do not provide numerical control efficacy. Row-level Base Efficacy on 13 is therefore explicitly labelled as a working prior until calibrated.</t>
        </is>
      </c>
    </row>
    <row r="11" ht="58" customHeight="1" s="508">
      <c r="A11" s="405" t="inlineStr">
        <is>
          <t>Outputs / downstream use</t>
        </is>
      </c>
    </row>
    <row r="12" ht="58" customHeight="1" s="508">
      <c r="A12" s="406" t="inlineStr">
        <is>
          <t>Supports model validation, governance and future calibration updates.</t>
        </is>
      </c>
    </row>
    <row r="13" ht="58" customHeight="1" s="508">
      <c r="A13" s="407" t="inlineStr">
        <is>
          <t>Workbook convention: yellow cells / blue font are editable inputs or calibration assumptions; engine-output cells are not manually editable.</t>
        </is>
      </c>
    </row>
    <row r="14" ht="58" customHeight="1" s="508"/>
    <row r="15" ht="44" customHeight="1" s="508">
      <c r="A15" s="154" t="inlineStr">
        <is>
          <t>Item</t>
        </is>
      </c>
      <c r="B15" s="154" t="inlineStr">
        <is>
          <t>Type</t>
        </is>
      </c>
      <c r="C15" s="154" t="inlineStr">
        <is>
          <t>Version / date</t>
        </is>
      </c>
      <c r="D15" s="154" t="inlineStr">
        <is>
          <t>Source URL / reference</t>
        </is>
      </c>
      <c r="E15" s="154" t="inlineStr">
        <is>
          <t>What it supports</t>
        </is>
      </c>
      <c r="F15" s="154" t="inlineStr">
        <is>
          <t>Model treatment</t>
        </is>
      </c>
      <c r="G15" s="154" t="inlineStr">
        <is>
          <t>Status</t>
        </is>
      </c>
      <c r="H15" s="154" t="inlineStr">
        <is>
          <t>Review note</t>
        </is>
      </c>
    </row>
    <row r="16" ht="58" customHeight="1" s="508">
      <c r="A16" s="406" t="inlineStr">
        <is>
          <t>MITRE ATT&amp;CK version history</t>
        </is>
      </c>
      <c r="B16" s="406" t="inlineStr">
        <is>
          <t>External taxonomy</t>
        </is>
      </c>
      <c r="C16" s="406" t="inlineStr">
        <is>
          <t>ATT&amp;CK v19.2 / 28 Apr 2026</t>
        </is>
      </c>
      <c r="D16" s="426" t="inlineStr">
        <is>
          <t>https://attack.mitre.org/resources/versions/</t>
        </is>
      </c>
      <c r="E16" s="406" t="inlineStr">
        <is>
          <t>Version control for the ATT&amp;CK content referenced by the workbook</t>
        </is>
      </c>
      <c r="F16" s="406" t="inlineStr">
        <is>
          <t>Fixes the model reference version; mappings remain a governed snapshot and should be diff-tested on upgrade.</t>
        </is>
      </c>
      <c r="G16" s="406" t="inlineStr">
        <is>
          <t>External</t>
        </is>
      </c>
      <c r="H16" s="406" t="inlineStr">
        <is>
          <t>ATT&amp;CK is a behavioural knowledge base, not a source of probabilities or efficacy values.</t>
        </is>
      </c>
    </row>
    <row r="17" ht="58" customHeight="1" s="508">
      <c r="A17" s="406" t="inlineStr">
        <is>
          <t>MITRE ATT&amp;CK ICS matrix</t>
        </is>
      </c>
      <c r="B17" s="406" t="inlineStr">
        <is>
          <t>External taxonomy</t>
        </is>
      </c>
      <c r="C17" s="406" t="inlineStr">
        <is>
          <t>ATT&amp;CK v19.2 / Apr 2026</t>
        </is>
      </c>
      <c r="D17" s="426" t="inlineStr">
        <is>
          <t>https://attack.mitre.org/matrices/ics/</t>
        </is>
      </c>
      <c r="E17" s="406" t="inlineStr">
        <is>
          <t>ICS tactics, techniques and scenario semantics</t>
        </is>
      </c>
      <c r="F17" s="406" t="inlineStr">
        <is>
          <t>Technique IDs, names, stages and scenario-defining behaviours.</t>
        </is>
      </c>
      <c r="G17" s="406" t="inlineStr">
        <is>
          <t>External</t>
        </is>
      </c>
      <c r="H17" s="406" t="inlineStr">
        <is>
          <t>Technique presence does not demonstrate facility feasibility or actor capability.</t>
        </is>
      </c>
    </row>
    <row r="18" ht="58" customHeight="1" s="508">
      <c r="A18" s="406" t="inlineStr">
        <is>
          <t>MITRE ATT&amp;CK groups</t>
        </is>
      </c>
      <c r="B18" s="406" t="inlineStr">
        <is>
          <t>External evidence</t>
        </is>
      </c>
      <c r="C18" s="406" t="inlineStr">
        <is>
          <t>ATT&amp;CK v19.2 / Apr 2026</t>
        </is>
      </c>
      <c r="D18" s="426" t="inlineStr">
        <is>
          <t>https://attack.mitre.org/groups/</t>
        </is>
      </c>
      <c r="E18" s="406" t="inlineStr">
        <is>
          <t>Publicly reported actor-technique use</t>
        </is>
      </c>
      <c r="F18" s="406" t="inlineStr">
        <is>
          <t>Supports actor-applicability review; absence is not treated as impossibility.</t>
        </is>
      </c>
      <c r="G18" s="406" t="inlineStr">
        <is>
          <t>External</t>
        </is>
      </c>
      <c r="H18" s="406" t="inlineStr">
        <is>
          <t>Open-source reporting is incomplete and biased toward observable incidents.</t>
        </is>
      </c>
    </row>
    <row r="19" ht="58" customHeight="1" s="508">
      <c r="A19" s="406" t="inlineStr">
        <is>
          <t>MITRE ATT&amp;CK ICS mitigations</t>
        </is>
      </c>
      <c r="B19" s="406" t="inlineStr">
        <is>
          <t>External mapping</t>
        </is>
      </c>
      <c r="C19" s="406" t="inlineStr">
        <is>
          <t>ATT&amp;CK v19.2 / Apr 2026</t>
        </is>
      </c>
      <c r="D19" s="426" t="inlineStr">
        <is>
          <t>https://attack.mitre.org/mitigations/ics/</t>
        </is>
      </c>
      <c r="E19" s="406" t="inlineStr">
        <is>
          <t>Technique-to-mitigation relationships</t>
        </is>
      </c>
      <c r="F19" s="406" t="inlineStr">
        <is>
          <t>Supports TTP-control mapping relationships only.</t>
        </is>
      </c>
      <c r="G19" s="406" t="inlineStr">
        <is>
          <t>External</t>
        </is>
      </c>
      <c r="H19" s="406" t="inlineStr">
        <is>
          <t>ATT&amp;CK does not quantify control efficacy; 80% base efficacy values remain working priors.</t>
        </is>
      </c>
    </row>
    <row r="20" ht="58" customHeight="1" s="508">
      <c r="A20" s="406" t="inlineStr">
        <is>
          <t>NIST SP 800-82 Rev. 3</t>
        </is>
      </c>
      <c r="B20" s="406" t="inlineStr">
        <is>
          <t>External guidance</t>
        </is>
      </c>
      <c r="C20" s="406" t="inlineStr">
        <is>
          <t>Final / Sep 2023</t>
        </is>
      </c>
      <c r="D20" s="426" t="inlineStr">
        <is>
          <t>https://csrc.nist.gov/pubs/sp/800/82/r3/final</t>
        </is>
      </c>
      <c r="E20" s="406" t="inlineStr">
        <is>
          <t>OT topology, threats, vulnerabilities and safeguards</t>
        </is>
      </c>
      <c r="F20" s="406" t="inlineStr">
        <is>
          <t>Supports facility exposure questions, OT-specific control framing and causal interpretation.</t>
        </is>
      </c>
      <c r="G20" s="406" t="inlineStr">
        <is>
          <t>External</t>
        </is>
      </c>
      <c r="H20" s="406" t="inlineStr">
        <is>
          <t>NIST announced a Rev. 4 pre-draft in 2026; Rev. 3 remains the final publication used here.</t>
        </is>
      </c>
    </row>
    <row r="21" ht="58" customHeight="1" s="508">
      <c r="A21" s="406" t="inlineStr">
        <is>
          <t>NIST IR 8286D-upd1</t>
        </is>
      </c>
      <c r="B21" s="406" t="inlineStr">
        <is>
          <t>External methodology</t>
        </is>
      </c>
      <c r="C21" s="406" t="inlineStr">
        <is>
          <t>Update 1 / 2025</t>
        </is>
      </c>
      <c r="D21" s="426" t="inlineStr">
        <is>
          <t>https://doi.org/10.6028/NIST.IR.8286D-upd1</t>
        </is>
      </c>
      <c r="E21" s="406" t="inlineStr">
        <is>
          <t>Business impact analysis feeding enterprise risk decisions</t>
        </is>
      </c>
      <c r="F21" s="406" t="inlineStr">
        <is>
          <t>Supports explicit impact drivers, asset-to-enterprise impact traceability and governance.</t>
        </is>
      </c>
      <c r="G21" s="406" t="inlineStr">
        <is>
          <t>External</t>
        </is>
      </c>
      <c r="H21" s="406" t="inlineStr">
        <is>
          <t>Does not prescribe the model's numerical BI distributions.</t>
        </is>
      </c>
    </row>
    <row r="22" ht="58" customHeight="1" s="508">
      <c r="A22" s="406" t="inlineStr">
        <is>
          <t>NIST IR 8286A Rev. 1</t>
        </is>
      </c>
      <c r="B22" s="406" t="inlineStr">
        <is>
          <t>External methodology</t>
        </is>
      </c>
      <c r="C22" s="406" t="inlineStr">
        <is>
          <t>Final / 2025</t>
        </is>
      </c>
      <c r="D22" s="426" t="inlineStr">
        <is>
          <t>https://csrc.nist.gov/pubs/ir/8286/a/r1/final</t>
        </is>
      </c>
      <c r="E22" s="406" t="inlineStr">
        <is>
          <t>Cyber risk identification, estimation, risk appetite and tolerance</t>
        </is>
      </c>
      <c r="F22" s="406" t="inlineStr">
        <is>
          <t>Supports separate Best Estimate and Prudent reporting views.</t>
        </is>
      </c>
      <c r="G22" s="406" t="inlineStr">
        <is>
          <t>External</t>
        </is>
      </c>
      <c r="H22" s="406" t="inlineStr">
        <is>
          <t>The 1.50× prudence factor is a user-governed overlay, not a NIST value.</t>
        </is>
      </c>
    </row>
    <row r="23" ht="58" customHeight="1" s="508">
      <c r="A23" s="406" t="inlineStr">
        <is>
          <t>CISA Cybersecurity Performance Goals 2.0</t>
        </is>
      </c>
      <c r="B23" s="406" t="inlineStr">
        <is>
          <t>External guidance</t>
        </is>
      </c>
      <c r="C23" s="406" t="inlineStr">
        <is>
          <t>Current / 2026</t>
        </is>
      </c>
      <c r="D23" s="426" t="inlineStr">
        <is>
          <t>https://www.cisa.gov/cybersecurity-performance-goals-2-0-cpg-2-0</t>
        </is>
      </c>
      <c r="E23" s="406" t="inlineStr">
        <is>
          <t>High-impact critical-infrastructure protections</t>
        </is>
      </c>
      <c r="F23" s="406" t="inlineStr">
        <is>
          <t>Supports control relevance and review priorities.</t>
        </is>
      </c>
      <c r="G23" s="406" t="inlineStr">
        <is>
          <t>External</t>
        </is>
      </c>
      <c r="H23" s="406" t="inlineStr">
        <is>
          <t>Not used as quantitative control-effectiveness evidence.</t>
        </is>
      </c>
    </row>
    <row r="24" ht="58" customHeight="1" s="508">
      <c r="A24" s="406" t="inlineStr">
        <is>
          <t>CISA primary mitigations for OT</t>
        </is>
      </c>
      <c r="B24" s="406" t="inlineStr">
        <is>
          <t>External guidance</t>
        </is>
      </c>
      <c r="C24" s="406" t="inlineStr">
        <is>
          <t>6 May 2025</t>
        </is>
      </c>
      <c r="D24" s="426" t="inlineStr">
        <is>
          <t>https://www.cisa.gov/resources-tools/resources/primary-mitigations-reduce-cyber-threats-operational-technology</t>
        </is>
      </c>
      <c r="E24" s="406" t="inlineStr">
        <is>
          <t>Segmentation, remote access, credentials and other OT mitigations</t>
        </is>
      </c>
      <c r="F24" s="406" t="inlineStr">
        <is>
          <t>Supports facility exposure direction and priority controls.</t>
        </is>
      </c>
      <c r="G24" s="406" t="inlineStr">
        <is>
          <t>External</t>
        </is>
      </c>
      <c r="H24" s="406" t="inlineStr">
        <is>
          <t>Does not supply frequency multipliers or efficacy percentages.</t>
        </is>
      </c>
    </row>
    <row r="25" ht="58" customHeight="1" s="508">
      <c r="A25" s="406" t="inlineStr">
        <is>
          <t>SANS State of ICS/OT Security 2025</t>
        </is>
      </c>
      <c r="B25" s="406" t="inlineStr">
        <is>
          <t>Industry survey</t>
        </is>
      </c>
      <c r="C25" s="406" t="inlineStr">
        <is>
          <t>14 Nov 2025</t>
        </is>
      </c>
      <c r="D25" s="426" t="inlineStr">
        <is>
          <t>https://www.sans.org/white-papers/state-of-ics-ot-security-2025</t>
        </is>
      </c>
      <c r="E25" s="406" t="inlineStr">
        <is>
          <t>Survey benchmark across 330 ICS/OT practitioners</t>
        </is>
      </c>
      <c r="F25" s="406" t="inlineStr">
        <is>
          <t>Used only as an external outcome/reasonableness benchmark and evidence of data limitations.</t>
        </is>
      </c>
      <c r="G25" s="406" t="inlineStr">
        <is>
          <t>Benchmark</t>
        </is>
      </c>
      <c r="H25" s="406" t="inlineStr">
        <is>
          <t>Self-reported incidents are not attempted material campaigns and cannot directly calibrate λ.</t>
        </is>
      </c>
    </row>
    <row r="26" ht="58" customHeight="1" s="508">
      <c r="A26" s="406" t="inlineStr">
        <is>
          <t>SANS ICS/OT budget survey 2025</t>
        </is>
      </c>
      <c r="B26" s="406" t="inlineStr">
        <is>
          <t>Industry survey</t>
        </is>
      </c>
      <c r="C26" s="406" t="inlineStr">
        <is>
          <t>3 Mar 2025</t>
        </is>
      </c>
      <c r="D26" s="426" t="inlineStr">
        <is>
          <t>https://www.sans.org/white-papers/2025-ics-ot-cybersecurity-budget-spending-trends-challenges-future</t>
        </is>
      </c>
      <c r="E26" s="406" t="inlineStr">
        <is>
          <t>IT-to-OT compromise direction and control priorities</t>
        </is>
      </c>
      <c r="F26" s="406" t="inlineStr">
        <is>
          <t>Directionally supports IT/OT connectivity and defensible architecture treatment.</t>
        </is>
      </c>
      <c r="G26" s="406" t="inlineStr">
        <is>
          <t>Benchmark</t>
        </is>
      </c>
      <c r="H26" s="406" t="inlineStr">
        <is>
          <t>Survey percentages are not used as direct model frequencies.</t>
        </is>
      </c>
    </row>
    <row r="27" ht="58" customHeight="1" s="508">
      <c r="A27" s="406" t="inlineStr">
        <is>
          <t>Dragos 2026 OT Cybersecurity Year in Review</t>
        </is>
      </c>
      <c r="B27" s="406" t="inlineStr">
        <is>
          <t>Threat intelligence benchmark</t>
        </is>
      </c>
      <c r="C27" s="406" t="inlineStr">
        <is>
          <t>17 Feb 2026</t>
        </is>
      </c>
      <c r="D27" s="426" t="inlineStr">
        <is>
          <t>https://www.dragos.com/ot-cybersecurity-year-in-review</t>
        </is>
      </c>
      <c r="E27" s="406" t="inlineStr">
        <is>
          <t>Industrial ransomware and OT threat-group activity</t>
        </is>
      </c>
      <c r="F27" s="406" t="inlineStr">
        <is>
          <t>Directionally supports cybercriminal dominance in campaign allocation and scenario mix.</t>
        </is>
      </c>
      <c r="G27" s="406" t="inlineStr">
        <is>
          <t>Benchmark</t>
        </is>
      </c>
      <c r="H27" s="406" t="inlineStr">
        <is>
          <t>Does not provide a facility-year campaign denominator; exact 75% share remains a governed prior.</t>
        </is>
      </c>
    </row>
    <row r="28" ht="58" customHeight="1" s="508">
      <c r="A28" s="973" t="inlineStr">
        <is>
          <t>Waterfall 2026 OT Cyber Threat Report</t>
        </is>
      </c>
      <c r="B28" s="973" t="inlineStr">
        <is>
          <t>Incident benchmark</t>
        </is>
      </c>
      <c r="C28" s="973" t="inlineStr">
        <is>
          <t>2026</t>
        </is>
      </c>
      <c r="D28" s="973" t="inlineStr">
        <is>
          <t>https://waterfall-security.com/ot-insights-center/</t>
        </is>
      </c>
      <c r="E28" s="973" t="inlineStr">
        <is>
          <t>Publicly verified cyber incidents with physical consequences</t>
        </is>
      </c>
      <c r="F28" s="973" t="inlineStr">
        <is>
          <t>Used as a physical-consequence reasonableness anchor.</t>
        </is>
      </c>
      <c r="G28" s="973" t="inlineStr">
        <is>
          <t>Benchmark</t>
        </is>
      </c>
      <c r="H28" s="973" t="inlineStr">
        <is>
          <t>Outcome observations are subject to disclosure and media-selection bias.</t>
        </is>
      </c>
    </row>
    <row r="29" ht="58" customHeight="1" s="508">
      <c r="A29" s="973" t="inlineStr">
        <is>
          <t>NERC CIP-008-6 Annual Report</t>
        </is>
      </c>
      <c r="B29" s="973" t="inlineStr">
        <is>
          <t>Regulatory incident report</t>
        </is>
      </c>
      <c r="C29" s="973" t="inlineStr">
        <is>
          <t>2023 data / filed 2024</t>
        </is>
      </c>
      <c r="D29" s="973" t="inlineStr">
        <is>
          <t>https://www.nerc.com/globalassets/who-we-are/legal--regulatory/filings--orders/nerc-filings-to-ferc/2024/2023_cip-008-6_annual_report_signed.pdf</t>
        </is>
      </c>
      <c r="E29" s="973" t="inlineStr">
        <is>
          <t>Reportable and attempted electric-sector cyber incidents</t>
        </is>
      </c>
      <c r="F29" s="973" t="inlineStr">
        <is>
          <t>Supports power-sector context and the need to distinguish attempts from realized loss events.</t>
        </is>
      </c>
      <c r="G29" s="973" t="inlineStr">
        <is>
          <t>Benchmark</t>
        </is>
      </c>
      <c r="H29" s="973" t="inlineStr">
        <is>
          <t>Reporting scope and threshold do not provide a complete campaign denominator.</t>
        </is>
      </c>
    </row>
    <row r="30" ht="58" customHeight="1" s="508">
      <c r="A30" s="973" t="inlineStr">
        <is>
          <t>Verizon 2026 Data Breach Investigations Report</t>
        </is>
      </c>
      <c r="B30" s="973" t="inlineStr">
        <is>
          <t>Enterprise incident benchmark</t>
        </is>
      </c>
      <c r="C30" s="973" t="inlineStr">
        <is>
          <t>2026</t>
        </is>
      </c>
      <c r="D30" s="973" t="inlineStr">
        <is>
          <t>https://www.verizon.com/business/resources/reports/dbir/</t>
        </is>
      </c>
      <c r="E30" s="973" t="inlineStr">
        <is>
          <t>Broad ransomware and breach-pattern context</t>
        </is>
      </c>
      <c r="F30" s="973" t="inlineStr">
        <is>
          <t>Used only for broad external reasonableness and criminal-threat direction.</t>
        </is>
      </c>
      <c r="G30" s="973" t="inlineStr">
        <is>
          <t>Benchmark</t>
        </is>
      </c>
      <c r="H30" s="973" t="inlineStr">
        <is>
          <t>Enterprise breaches are not an OT-specific facility-year calibration dataset.</t>
        </is>
      </c>
    </row>
    <row r="31" ht="58" customHeight="1" s="508">
      <c r="A31" s="973" t="inlineStr">
        <is>
          <t>FAIR terminology: TEF and vulnerability</t>
        </is>
      </c>
      <c r="B31" s="973" t="inlineStr">
        <is>
          <t>External methodology</t>
        </is>
      </c>
      <c r="C31" s="973" t="inlineStr">
        <is>
          <t>2021</t>
        </is>
      </c>
      <c r="D31" s="973" t="inlineStr">
        <is>
          <t>https://www.fairinstitute.org/blog/fair-terminology-101-risk-threat-event-frequency-and-vulnerability</t>
        </is>
      </c>
      <c r="E31" s="973" t="inlineStr">
        <is>
          <t>Separation of threat-event frequency from conditional loss-event probability</t>
        </is>
      </c>
      <c r="F31" s="973" t="inlineStr">
        <is>
          <t>Supports the model's explicit campaign-arrival and P(success | attempt) bridge.</t>
        </is>
      </c>
      <c r="G31" s="973" t="inlineStr">
        <is>
          <t>External</t>
        </is>
      </c>
      <c r="H31" s="973" t="inlineStr">
        <is>
          <t>The model is FAIR-informed, not represented as an Open FAIR conformance implementation.</t>
        </is>
      </c>
    </row>
    <row r="32" ht="58" customHeight="1" s="508">
      <c r="A32" s="973" t="inlineStr">
        <is>
          <t>FAIR likelihood, probability and frequency</t>
        </is>
      </c>
      <c r="B32" s="973" t="inlineStr">
        <is>
          <t>External methodology</t>
        </is>
      </c>
      <c r="C32" s="973" t="inlineStr">
        <is>
          <t>2017</t>
        </is>
      </c>
      <c r="D32" s="973" t="inlineStr">
        <is>
          <t>https://www.fairinstitute.org/blog/how-to-think-about-likelihood-probability-and-frequency</t>
        </is>
      </c>
      <c r="E32" s="973" t="inlineStr">
        <is>
          <t>Frequency × vulnerability = loss-event frequency</t>
        </is>
      </c>
      <c r="F32" s="973" t="inlineStr">
        <is>
          <t>Supports annualized frequency reporting and conditional-success treatment.</t>
        </is>
      </c>
      <c r="G32" s="973" t="inlineStr">
        <is>
          <t>External</t>
        </is>
      </c>
      <c r="H32" s="973" t="inlineStr">
        <is>
          <t>No FAIR benchmark value is imported.</t>
        </is>
      </c>
    </row>
    <row r="33" ht="58" customHeight="1" s="508">
      <c r="A33" s="973" t="inlineStr">
        <is>
          <t>FAIR Monte Carlo overview</t>
        </is>
      </c>
      <c r="B33" s="973" t="inlineStr">
        <is>
          <t>External methodology</t>
        </is>
      </c>
      <c r="C33" s="973" t="inlineStr">
        <is>
          <t>2022</t>
        </is>
      </c>
      <c r="D33" s="973" t="inlineStr">
        <is>
          <t>https://www.fairinstitute.org/blog/7-basic-tools-for-fair-cyber-risk-analysis</t>
        </is>
      </c>
      <c r="E33" s="973" t="inlineStr">
        <is>
          <t>Monte Carlo loss-range analysis</t>
        </is>
      </c>
      <c r="F33" s="973" t="inlineStr">
        <is>
          <t>Supports simulation-based loss distributions and control what-ifs.</t>
        </is>
      </c>
      <c r="G33" s="973" t="inlineStr">
        <is>
          <t>External</t>
        </is>
      </c>
      <c r="H33" s="973" t="inlineStr">
        <is>
          <t>Simulation quality depends on input calibration.</t>
        </is>
      </c>
    </row>
    <row r="34" ht="58" customHeight="1" s="508">
      <c r="A34" s="973" t="inlineStr">
        <is>
          <t>J.S. Held: UAE BI gross-profit calculation challenges</t>
        </is>
      </c>
      <c r="B34" s="973" t="inlineStr">
        <is>
          <t>Regional BI practice</t>
        </is>
      </c>
      <c r="C34" s="973" t="inlineStr">
        <is>
          <t>Current article / accessed Aug 2026</t>
        </is>
      </c>
      <c r="D34" s="973" t="inlineStr">
        <is>
          <t>https://www.jsheld.com/insights/articles/gross-profit-calculation-challenges-in-business-interruption-insurance-after-uae-floods-and-covid-19</t>
        </is>
      </c>
      <c r="E34" s="973" t="inlineStr">
        <is>
          <t>UAE/GCC BI terminology, avoided costs and gross-revenue alternative</t>
        </is>
      </c>
      <c r="F34" s="973" t="inlineStr">
        <is>
          <t>Supports a simple 100% revenue default with a transparent, user-adjustable BI loss factor.</t>
        </is>
      </c>
      <c r="G34" s="973" t="inlineStr">
        <is>
          <t>External</t>
        </is>
      </c>
      <c r="H34" s="973" t="inlineStr">
        <is>
          <t>The model is an economic-loss estimate, not an insurance coverage opinion.</t>
        </is>
      </c>
    </row>
    <row r="35" ht="58" customHeight="1" s="508">
      <c r="A35" s="973" t="inlineStr">
        <is>
          <t>Sedgwick: business interruption cover</t>
        </is>
      </c>
      <c r="B35" s="973" t="inlineStr">
        <is>
          <t>BI practice</t>
        </is>
      </c>
      <c r="C35" s="973" t="inlineStr">
        <is>
          <t>5 Jul 2023</t>
        </is>
      </c>
      <c r="D35" s="973" t="inlineStr">
        <is>
          <t>https://www.sedgwick.com/blog/business-interruption-cover-what-it-is-why-it-matters/</t>
        </is>
      </c>
      <c r="E35" s="973" t="inlineStr">
        <is>
          <t>Economic harm during suspended operations and coverage limitations</t>
        </is>
      </c>
      <c r="F35" s="973" t="inlineStr">
        <is>
          <t>Supports separating gross economic impact from risk-financing treatment.</t>
        </is>
      </c>
      <c r="G35" s="973" t="inlineStr">
        <is>
          <t>External</t>
        </is>
      </c>
      <c r="H35" s="973" t="inlineStr">
        <is>
          <t>Policy wording must be reviewed separately.</t>
        </is>
      </c>
    </row>
    <row r="36" ht="58" customHeight="1" s="508">
      <c r="A36" s="973" t="inlineStr">
        <is>
          <t>MDD: volatility in power generation BI losses</t>
        </is>
      </c>
      <c r="B36" s="973" t="inlineStr">
        <is>
          <t>Power-generation BI practice</t>
        </is>
      </c>
      <c r="C36" s="973" t="inlineStr">
        <is>
          <t>3 May 2023</t>
        </is>
      </c>
      <c r="D36" s="973" t="inlineStr">
        <is>
          <t>https://www.mdd.com/forensic-accounting-articles/the-effect-of-volatility-on-power-generation-business-interruption-losses/</t>
        </is>
      </c>
      <c r="E36" s="973" t="inlineStr">
        <is>
          <t>Power-price, fuel and operating volatility in BI estimation</t>
        </is>
      </c>
      <c r="F36" s="973" t="inlineStr">
        <is>
          <t>Supports facility-specific revenue-at-risk input and periodic finance refresh.</t>
        </is>
      </c>
      <c r="G36" s="973" t="inlineStr">
        <is>
          <t>External</t>
        </is>
      </c>
      <c r="H36" s="973" t="inlineStr">
        <is>
          <t>No published loss amount is used directly.</t>
        </is>
      </c>
    </row>
    <row r="37" ht="58" customHeight="1" s="508">
      <c r="A37" s="973" t="inlineStr">
        <is>
          <t>Uptime Institute Annual Outage Analysis 2026</t>
        </is>
      </c>
      <c r="B37" s="973" t="inlineStr">
        <is>
          <t>Outage benchmark</t>
        </is>
      </c>
      <c r="C37" s="973" t="inlineStr">
        <is>
          <t>13 Jan 2026</t>
        </is>
      </c>
      <c r="D37" s="973" t="inlineStr">
        <is>
          <t>https://uptimeinstitute.com/about-ui/press-releases/uptime-announces-annual-outage-analysis-report-2026</t>
        </is>
      </c>
      <c r="E37" s="973" t="inlineStr">
        <is>
          <t>Outage-cost and severity context for digital infrastructure</t>
        </is>
      </c>
      <c r="F37" s="973" t="inlineStr">
        <is>
          <t>Used as a cross-sector tail-loss reasonableness anchor only.</t>
        </is>
      </c>
      <c r="G37" s="973" t="inlineStr">
        <is>
          <t>Benchmark</t>
        </is>
      </c>
      <c r="H37" s="973" t="inlineStr">
        <is>
          <t>Data-centre outages are not power-generation cyber-event priors.</t>
        </is>
      </c>
    </row>
    <row r="38" ht="58" customHeight="1" s="508">
      <c r="A38" s="973" t="inlineStr">
        <is>
          <t>Reference campaign rate and prudence</t>
        </is>
      </c>
      <c r="B38" s="973" t="inlineStr">
        <is>
          <t>Working prior</t>
        </is>
      </c>
      <c r="C38" s="973" t="inlineStr">
        <is>
          <t>v1.5 / 18 Aug 2026</t>
        </is>
      </c>
      <c r="D38" s="973" t="inlineStr">
        <is>
          <t>Governed model decision</t>
        </is>
      </c>
      <c r="E38" s="973" t="inlineStr">
        <is>
          <t>Attempt-frequency calibration</t>
        </is>
      </c>
      <c r="F38" s="973" t="inlineStr">
        <is>
          <t>Best Estimate λ uses 0.55 campaigns/facility-year; Prudent λ applies 1.50× exactly once.</t>
        </is>
      </c>
      <c r="G38" s="973" t="inlineStr">
        <is>
          <t>Requires calibration</t>
        </is>
      </c>
      <c r="H38" s="973" t="inlineStr">
        <is>
          <t>Replace with internal incident, threat-intelligence or elicitation evidence; do not target-fit to AAL.</t>
        </is>
      </c>
    </row>
    <row r="39" ht="58" customHeight="1" s="508">
      <c r="A39" s="973" t="inlineStr">
        <is>
          <t>Actor, stage and scenario priors</t>
        </is>
      </c>
      <c r="B39" s="973" t="inlineStr">
        <is>
          <t>Structured expert prior</t>
        </is>
      </c>
      <c r="C39" s="973" t="inlineStr">
        <is>
          <t>v1.5 / 18 Aug 2026</t>
        </is>
      </c>
      <c r="D39" s="973" t="inlineStr">
        <is>
          <t>Governed model decision</t>
        </is>
      </c>
      <c r="E39" s="973" t="inlineStr">
        <is>
          <t>Campaign allocation and P(success | attempt)</t>
        </is>
      </c>
      <c r="F39" s="973" t="inlineStr">
        <is>
          <t>20% / 75% / 5% actor mix, actor-scenario propensities, S1–S5 priors and relative outcome achievability values.</t>
        </is>
      </c>
      <c r="G39" s="973" t="inlineStr">
        <is>
          <t>Requires calibration</t>
        </is>
      </c>
      <c r="H39" s="973" t="inlineStr">
        <is>
          <t>External sources support direction, not exact transition probabilities.</t>
        </is>
      </c>
    </row>
    <row r="40" ht="58" customHeight="1" s="508">
      <c r="A40" s="973" t="inlineStr">
        <is>
          <t>Facility exposure multipliers</t>
        </is>
      </c>
      <c r="B40" s="973" t="inlineStr">
        <is>
          <t>Working prior</t>
        </is>
      </c>
      <c r="C40" s="973" t="inlineStr">
        <is>
          <t>v1.5 / 18 Aug 2026</t>
        </is>
      </c>
      <c r="D40" s="973" t="inlineStr">
        <is>
          <t>Governed model decision</t>
        </is>
      </c>
      <c r="E40" s="973" t="inlineStr">
        <is>
          <t>Facility-specific campaign-arrival adjustment</t>
        </is>
      </c>
      <c r="F40" s="973" t="inlineStr">
        <is>
          <t>IT/OT, remote access, internet-exposed OT and transient assets modify λ; supply-chain and wireless remain 1.00 and gate feasibility only.</t>
        </is>
      </c>
      <c r="G40" s="973" t="inlineStr">
        <is>
          <t>Requires calibration</t>
        </is>
      </c>
      <c r="H40" s="973" t="inlineStr">
        <is>
          <t>Validate with fleet incident/near-miss history or structured elicitation.</t>
        </is>
      </c>
    </row>
    <row r="41" ht="58" customHeight="1" s="508">
      <c r="A41" s="973" t="inlineStr">
        <is>
          <t>Revenue-based BI</t>
        </is>
      </c>
      <c r="B41" s="973" t="inlineStr">
        <is>
          <t>Model convention</t>
        </is>
      </c>
      <c r="C41" s="973" t="inlineStr">
        <is>
          <t>v1.5 / 18 Aug 2026</t>
        </is>
      </c>
      <c r="D41" s="973" t="inlineStr">
        <is>
          <t>Agreed model design</t>
        </is>
      </c>
      <c r="E41" s="973" t="inlineStr">
        <is>
          <t>Simple facility BI estimation</t>
        </is>
      </c>
      <c r="F41" s="973" t="inlineStr">
        <is>
          <t>Annual Revenue at Risk × BI Loss Factor × downtime × capacity; factor defaults to 100% and can be reduced to reflect avoided costs.</t>
        </is>
      </c>
      <c r="G41" s="973" t="inlineStr">
        <is>
          <t>Transparent conservative default</t>
        </is>
      </c>
      <c r="H41" s="973" t="inlineStr">
        <is>
          <t>Gross disrupted revenue and modelled BI are reported separately.</t>
        </is>
      </c>
    </row>
    <row r="42" ht="58" customHeight="1" s="508">
      <c r="A42" s="973" t="inlineStr">
        <is>
          <t>Inherited PlantA workbook</t>
        </is>
      </c>
      <c r="B42" s="973" t="inlineStr">
        <is>
          <t>Internal model source</t>
        </is>
      </c>
      <c r="C42" s="973" t="inlineStr">
        <is>
          <t>v1.4 baseline</t>
        </is>
      </c>
      <c r="D42" s="973" t="inlineStr">
        <is>
          <t>PlantA(2).xlsx</t>
        </is>
      </c>
      <c r="E42" s="973" t="inlineStr">
        <is>
          <t>Scenario, TTP, actor, facility and control mapping baseline</t>
        </is>
      </c>
      <c r="F42" s="973" t="inlineStr">
        <is>
          <t>Retained where not superseded; versioned and tested in v1.5.</t>
        </is>
      </c>
      <c r="G42" s="973" t="inlineStr">
        <is>
          <t>Internal</t>
        </is>
      </c>
      <c r="H42" s="973" t="inlineStr">
        <is>
          <t>Mappings need periodic SME and ATT&amp;CK-version review.</t>
        </is>
      </c>
    </row>
    <row r="43" ht="58" customHeight="1" s="508">
      <c r="A43" s="973" t="inlineStr">
        <is>
          <t>Client facility data</t>
        </is>
      </c>
      <c r="B43" s="973" t="inlineStr">
        <is>
          <t>Required internal evidence</t>
        </is>
      </c>
      <c r="C43" s="973" t="inlineStr">
        <is>
          <t>Current assessment cycle</t>
        </is>
      </c>
      <c r="D43" s="973" t="inlineStr">
        <is>
          <t>Finance / Operations / Engineering / Safety / Legal / Insurance</t>
        </is>
      </c>
      <c r="E43" s="973" t="inlineStr">
        <is>
          <t>Revenue, downtime, capacity, non-BI costs, controls, exposure and retention</t>
        </is>
      </c>
      <c r="F43" s="973" t="inlineStr">
        <is>
          <t>Replaces demonstration placeholders and working priors when approved.</t>
        </is>
      </c>
      <c r="G43" s="973" t="inlineStr">
        <is>
          <t>Required</t>
        </is>
      </c>
      <c r="H43" s="973" t="inlineStr">
        <is>
          <t>Record owner, as-of date, units, source system and approval for every replacement value.</t>
        </is>
      </c>
    </row>
    <row r="44" ht="52" customHeight="1" s="508">
      <c r="A44" s="973" t="inlineStr">
        <is>
          <t>Balbix Breach Impact Model.xlsx</t>
        </is>
      </c>
      <c r="B44" s="973" t="inlineStr">
        <is>
          <t>User-supplied reference model</t>
        </is>
      </c>
      <c r="C44" s="973" t="inlineStr">
        <is>
          <t>Provided Aug 2026</t>
        </is>
      </c>
      <c r="D44" s="973" t="inlineStr">
        <is>
          <t>Balbix Breach Impact Model.xlsx</t>
        </is>
      </c>
      <c r="E44" s="973" t="inlineStr">
        <is>
          <t>Cost-driver applicability matrix, Base/Stress unit assumptions and transparent equations</t>
        </is>
      </c>
      <c r="F44" s="973" t="inlineStr">
        <is>
          <t>Borrowed the construction pattern only; generic consumer-breach drivers and numerical values were not imported as OT defaults.</t>
        </is>
      </c>
      <c r="G44" s="973" t="inlineStr">
        <is>
          <t>Internal reference</t>
        </is>
      </c>
      <c r="H44" s="973" t="inlineStr">
        <is>
          <t>The OT model retains actor/scenario simulation, control sensitivity and dependency treatment rather than fitting one aggregate loss curve.</t>
        </is>
      </c>
    </row>
    <row r="45" ht="52" customHeight="1" s="508">
      <c r="A45" s="973" t="inlineStr">
        <is>
          <t>OT impact-driver architecture</t>
        </is>
      </c>
      <c r="B45" s="973" t="inlineStr">
        <is>
          <t>Governed model design</t>
        </is>
      </c>
      <c r="C45" s="973" t="inlineStr">
        <is>
          <t>v1.6 / 18 Aug 2026</t>
        </is>
      </c>
      <c r="D45" s="973" t="inlineStr">
        <is>
          <t>Agreed model decision</t>
        </is>
      </c>
      <c r="E45" s="973" t="inlineStr">
        <is>
          <t>Scenario-specific impact construction</t>
        </is>
      </c>
      <c r="F45" s="973" t="inlineStr">
        <is>
          <t>18 OT-specific drivers, five-scenario applicability, unit-rate/quantity equations, revenue BI and asset scaling.</t>
        </is>
      </c>
      <c r="G45" s="973" t="inlineStr">
        <is>
          <t>Requires calibration</t>
        </is>
      </c>
      <c r="H45" s="973" t="inlineStr">
        <is>
          <t>Every default driver value is a transparent working prior until approved facility evidence replaces it.</t>
        </is>
      </c>
    </row>
    <row r="46" ht="52" customHeight="1" s="508">
      <c r="A46" s="973" t="inlineStr">
        <is>
          <t>Scenario downtime and capacity priors</t>
        </is>
      </c>
      <c r="B46" s="973" t="inlineStr">
        <is>
          <t>Structured expert prior</t>
        </is>
      </c>
      <c r="C46" s="973" t="inlineStr">
        <is>
          <t>v1.6 / 18 Aug 2026</t>
        </is>
      </c>
      <c r="D46" s="973" t="inlineStr">
        <is>
          <t>Governed model decision</t>
        </is>
      </c>
      <c r="E46" s="973" t="inlineStr">
        <is>
          <t>Conditional BI severity</t>
        </is>
      </c>
      <c r="F46" s="973" t="inlineStr">
        <is>
          <t>P50/P99 downtime and capacity values on 05 are used directly to fit conditional severity and calculate BI.</t>
        </is>
      </c>
      <c r="G46" s="973" t="inlineStr">
        <is>
          <t>Requires calibration</t>
        </is>
      </c>
      <c r="H46" s="973" t="inlineStr">
        <is>
          <t>Replace with BIA, outage, maintenance, engineering and claims evidence; do not target-fit to AAL.</t>
        </is>
      </c>
    </row>
    <row r="47" ht="52" customHeight="1" s="508">
      <c r="A47" s="973" t="inlineStr">
        <is>
          <t>Impact unit rates, quantities and shares</t>
        </is>
      </c>
      <c r="B47" s="973" t="inlineStr">
        <is>
          <t>Structured expert prior</t>
        </is>
      </c>
      <c r="C47" s="973" t="inlineStr">
        <is>
          <t>v1.6 / 18 Aug 2026</t>
        </is>
      </c>
      <c r="D47" s="973" t="inlineStr">
        <is>
          <t>Governed model decision</t>
        </is>
      </c>
      <c r="E47" s="973" t="inlineStr">
        <is>
          <t>Conditional non-BI severity</t>
        </is>
      </c>
      <c r="F47" s="973" t="inlineStr">
        <is>
          <t>Daily rates, durations, direct amounts, asset shares and revenue shares construct non-BI P50/P99 values.</t>
        </is>
      </c>
      <c r="G47" s="973" t="inlineStr">
        <is>
          <t>Requires calibration</t>
        </is>
      </c>
      <c r="H47" s="973" t="inlineStr">
        <is>
          <t>Owners: Finance, Operations, Engineering, Cyber/IR, Legal, HSE and Insurance.</t>
        </is>
      </c>
    </row>
    <row r="48" ht="52" customHeight="1" s="508">
      <c r="A48" s="973" t="inlineStr">
        <is>
          <t>Reference matrix screenshot</t>
        </is>
      </c>
      <c r="B48" s="973" t="inlineStr">
        <is>
          <t>User-supplied design reference</t>
        </is>
      </c>
      <c r="C48" s="973" t="inlineStr">
        <is>
          <t>Provided Aug 2026</t>
        </is>
      </c>
      <c r="D48" s="973" t="inlineStr">
        <is>
          <t>bb90ea6e-0d2c-4319-8f1f-e559eec255c8.png</t>
        </is>
      </c>
      <c r="E48" s="973" t="inlineStr">
        <is>
          <t>Visible matrix layout and scenario TRUE/FALSE calibration pattern</t>
        </is>
      </c>
      <c r="F48" s="973" t="inlineStr">
        <is>
          <t>Recreated as a native editable Excel matrix on sheet 05; the image itself is not used in calculations.</t>
        </is>
      </c>
      <c r="G48" s="973" t="inlineStr">
        <is>
          <t>Internal reference</t>
        </is>
      </c>
      <c r="H48" s="973" t="inlineStr">
        <is>
          <t>The updated OT-specific matrix remains visible and formula-linked in the workbook.</t>
        </is>
      </c>
    </row>
    <row r="49" ht="58" customHeight="1" s="508">
      <c r="A49" s="973" t="inlineStr">
        <is>
          <t>NIST SP 800-82 Rev. 3</t>
        </is>
      </c>
      <c r="B49" s="973" t="inlineStr">
        <is>
          <t>External guidance</t>
        </is>
      </c>
      <c r="C49" s="973" t="inlineStr">
        <is>
          <t>Final / Sep 2023</t>
        </is>
      </c>
      <c r="D49" s="973" t="inlineStr">
        <is>
          <t>https://csrc.nist.gov/pubs/sp/800/82/r3/final</t>
        </is>
      </c>
      <c r="E49" s="973" t="inlineStr">
        <is>
          <t>Common OT topology, threats, vulnerabilities and safeguards</t>
        </is>
      </c>
      <c r="F49" s="973" t="inlineStr">
        <is>
          <t>Supports one common OT engine and architecture-led facility gates across sectors.</t>
        </is>
      </c>
      <c r="G49" s="973" t="inlineStr">
        <is>
          <t>External</t>
        </is>
      </c>
      <c r="H49" s="973" t="inlineStr">
        <is>
          <t>Does not provide frequency or efficacy percentages.</t>
        </is>
      </c>
    </row>
    <row r="50" ht="58" customHeight="1" s="508">
      <c r="A50" s="973" t="inlineStr">
        <is>
          <t>DOE Cybersecurity Capability Maturity Model (C2M2)</t>
        </is>
      </c>
      <c r="B50" s="973" t="inlineStr">
        <is>
          <t>Energy-sector guidance</t>
        </is>
      </c>
      <c r="C50" s="973" t="inlineStr">
        <is>
          <t>Version 2.1 / Jun 2022</t>
        </is>
      </c>
      <c r="D50" s="973" t="inlineStr">
        <is>
          <t>https://www.energy.gov/ceser/cybersecurity-capability-maturity-model-c2m2</t>
        </is>
      </c>
      <c r="E50" s="973" t="inlineStr">
        <is>
          <t>Energy-sector capability and governance context</t>
        </is>
      </c>
      <c r="F50" s="973" t="inlineStr">
        <is>
          <t>Supports Energy Assets pack terminology and evidence review.</t>
        </is>
      </c>
      <c r="G50" s="973" t="inlineStr">
        <is>
          <t>External</t>
        </is>
      </c>
      <c r="H50" s="973" t="inlineStr">
        <is>
          <t>Not converted directly into control efficacy or frequency.</t>
        </is>
      </c>
    </row>
    <row r="51">
      <c r="A51" s="973" t="inlineStr">
        <is>
          <t>API Standard 1164, 3rd Edition</t>
        </is>
      </c>
      <c r="B51" s="973" t="inlineStr">
        <is>
          <t>Pipeline-sector standard</t>
        </is>
      </c>
      <c r="C51" s="973" t="inlineStr">
        <is>
          <t>3rd edition / 2021</t>
        </is>
      </c>
      <c r="D51" s="973" t="inlineStr">
        <is>
          <t>https://www.api.org/products-and-services/standards/important-standards-announcements/1164</t>
        </is>
      </c>
      <c r="E51" s="973" t="inlineStr">
        <is>
          <t>Pipeline IAC cyber-risk, integrity and resilience context</t>
        </is>
      </c>
      <c r="F51" s="973" t="inlineStr">
        <is>
          <t>Supports pipeline/storage/terminal asset-pack review.</t>
        </is>
      </c>
      <c r="G51" s="973" t="inlineStr">
        <is>
          <t>External</t>
        </is>
      </c>
      <c r="H51" s="973" t="inlineStr">
        <is>
          <t>Standard requirements do not provide probability calibration.</t>
        </is>
      </c>
    </row>
    <row r="52">
      <c r="A52" s="973" t="inlineStr">
        <is>
          <t>NIST IR 8183 Rev. 1 Manufacturing Profile</t>
        </is>
      </c>
      <c r="B52" s="973" t="inlineStr">
        <is>
          <t>Manufacturing guidance</t>
        </is>
      </c>
      <c r="C52" s="973" t="inlineStr">
        <is>
          <t>Final / Oct 2020</t>
        </is>
      </c>
      <c r="D52" s="973" t="inlineStr">
        <is>
          <t>https://csrc.nist.gov/pubs/ir/8183/r1/final</t>
        </is>
      </c>
      <c r="E52" s="973" t="inlineStr">
        <is>
          <t>Manufacturing-specific cybersecurity profile</t>
        </is>
      </c>
      <c r="F52" s="973" t="inlineStr">
        <is>
          <t>Supports the Manufacturing pack and facility-specific implementation approach.</t>
        </is>
      </c>
      <c r="G52" s="973" t="inlineStr">
        <is>
          <t>External</t>
        </is>
      </c>
      <c r="H52" s="973" t="inlineStr">
        <is>
          <t>Does not provide loss-event frequency or TTP efficacy.</t>
        </is>
      </c>
    </row>
    <row r="53">
      <c r="A53" s="973" t="inlineStr">
        <is>
          <t>NIST IR 8183A implementation guides</t>
        </is>
      </c>
      <c r="B53" s="973" t="inlineStr">
        <is>
          <t>Manufacturing guidance</t>
        </is>
      </c>
      <c r="C53" s="973" t="inlineStr">
        <is>
          <t>Final / Sep 2019</t>
        </is>
      </c>
      <c r="D53" s="973" t="inlineStr">
        <is>
          <t>https://csrc.nist.gov/pubs/ir/8183/a/v1/final</t>
        </is>
      </c>
      <c r="E53" s="973" t="inlineStr">
        <is>
          <t>Process-based and discrete-based manufacturing environments</t>
        </is>
      </c>
      <c r="F53" s="973" t="inlineStr">
        <is>
          <t>Supports separate Process, Batch/Regulated, Discrete and Hybrid asset types.</t>
        </is>
      </c>
      <c r="G53" s="973" t="inlineStr">
        <is>
          <t>External</t>
        </is>
      </c>
      <c r="H53" s="973" t="inlineStr">
        <is>
          <t>Example architectures are not universal facility templates.</t>
        </is>
      </c>
    </row>
    <row r="54">
      <c r="A54" s="973" t="inlineStr">
        <is>
          <t>MITRE ATT&amp;CK for ICS</t>
        </is>
      </c>
      <c r="B54" s="973" t="inlineStr">
        <is>
          <t>External taxonomy</t>
        </is>
      </c>
      <c r="C54" s="973" t="inlineStr">
        <is>
          <t>ATT&amp;CK v19.2 / Apr 2026</t>
        </is>
      </c>
      <c r="D54" s="973" t="inlineStr">
        <is>
          <t>https://attack.mitre.org/matrices/ics/</t>
        </is>
      </c>
      <c r="E54" s="973" t="inlineStr">
        <is>
          <t>Common ICS tactics, techniques and impact semantics</t>
        </is>
      </c>
      <c r="F54" s="973" t="inlineStr">
        <is>
          <t>Supports a common candidate TTP set with sector rationale and facility gating.</t>
        </is>
      </c>
      <c r="G54" s="973" t="inlineStr">
        <is>
          <t>External</t>
        </is>
      </c>
      <c r="H54" s="973" t="inlineStr">
        <is>
          <t>Technique presence is not evidence that it is feasible at every asset.</t>
        </is>
      </c>
    </row>
    <row r="55">
      <c r="A55" s="744" t="inlineStr">
        <is>
          <t>Dragos 2026 OT Cybersecurity Year in Review</t>
        </is>
      </c>
      <c r="B55" s="745" t="inlineStr">
        <is>
          <t>Threat intelligence benchmark</t>
        </is>
      </c>
      <c r="C55" s="745" t="inlineStr">
        <is>
          <t>17 Feb 2026</t>
        </is>
      </c>
      <c r="D55" s="745" t="inlineStr">
        <is>
          <t>https://www.dragos.com/blog/dragos-2026-ot-cybersecurity-year-in-review</t>
        </is>
      </c>
      <c r="E55" s="745" t="inlineStr">
        <is>
          <t>Manufacturing ransomware concentration and current energy/OT threat-group activity</t>
        </is>
      </c>
      <c r="F55" s="745" t="inlineStr">
        <is>
          <t>Supports sector threat-pressure direction and the rationale for modest actor-level overlays only.</t>
        </is>
      </c>
      <c r="G55" s="745" t="inlineStr">
        <is>
          <t>Benchmark</t>
        </is>
      </c>
      <c r="H55" s="746" t="inlineStr">
        <is>
          <t>3,300 industrial ransomware victims in 2025 and manufacturing &gt; two-thirds; counts lack sector facility denominators.</t>
        </is>
      </c>
    </row>
    <row r="56">
      <c r="A56" s="747" t="inlineStr">
        <is>
          <t>Dragos Industrial Ransomware Analysis Q1 2025</t>
        </is>
      </c>
      <c r="B56" s="748" t="inlineStr">
        <is>
          <t>Threat intelligence benchmark</t>
        </is>
      </c>
      <c r="C56" s="748" t="inlineStr">
        <is>
          <t>Q1 2025</t>
        </is>
      </c>
      <c r="D56" s="748" t="inlineStr">
        <is>
          <t>https://www.dragos.com/blog/dragos-industrial-ransomware-analysis-q1-2025</t>
        </is>
      </c>
      <c r="E56" s="748" t="inlineStr">
        <is>
          <t>Cross-sector industrial ransomware distribution</t>
        </is>
      </c>
      <c r="F56" s="748" t="inlineStr">
        <is>
          <t>Supports manufacturing cybercriminal relevance; electric and oil/gas victim counts were much lower in the observed dataset.</t>
        </is>
      </c>
      <c r="G56" s="748" t="inlineStr">
        <is>
          <t>Benchmark</t>
        </is>
      </c>
      <c r="H56" s="749" t="inlineStr">
        <is>
          <t>Observed victims are not attempted campaigns per facility-year and are subject to disclosure/sector-population bias.</t>
        </is>
      </c>
    </row>
    <row r="57">
      <c r="A57" s="747" t="inlineStr">
        <is>
          <t>NIST SP 1800-10 Manufacturing Sector</t>
        </is>
      </c>
      <c r="B57" s="748" t="inlineStr">
        <is>
          <t>Manufacturing guidance</t>
        </is>
      </c>
      <c r="C57" s="748" t="inlineStr">
        <is>
          <t>Final / Mar 2022</t>
        </is>
      </c>
      <c r="D57" s="748" t="inlineStr">
        <is>
          <t>https://csrc.nist.gov/pubs/sp/1800/10/final</t>
        </is>
      </c>
      <c r="E57" s="748" t="inlineStr">
        <is>
          <t>Discrete and continuous/process manufacturing integrity risks, destructive malware, insider threats and unauthorized software</t>
        </is>
      </c>
      <c r="F57" s="748" t="inlineStr">
        <is>
          <t>Supports manufacturing pack architecture, integrity scenarios and recovery evidence.</t>
        </is>
      </c>
      <c r="G57" s="748" t="inlineStr">
        <is>
          <t>External</t>
        </is>
      </c>
      <c r="H57" s="749" t="inlineStr">
        <is>
          <t>Example solution architecture does not provide probability or severity calibration.</t>
        </is>
      </c>
    </row>
    <row r="58">
      <c r="A58" s="750" t="inlineStr">
        <is>
          <t>Sector-pack v1.8 calibration decision</t>
        </is>
      </c>
      <c r="B58" s="751" t="inlineStr">
        <is>
          <t>Governed model decision</t>
        </is>
      </c>
      <c r="C58" s="751" t="inlineStr">
        <is>
          <t>23 Aug 2026</t>
        </is>
      </c>
      <c r="D58" s="751" t="inlineStr">
        <is>
          <t>Workbook sheets 30–33</t>
        </is>
      </c>
      <c r="E58" s="751" t="inlineStr">
        <is>
          <t>Power Generation reference plus Energy Assets / Manufacturing working pack overlays</t>
        </is>
      </c>
      <c r="F58" s="751" t="inlineStr">
        <is>
          <t>EA/MF sector actor multipliers are intentionally modest structured priors; asset-type multipliers remain neutral pending compatible denominator evidence.</t>
        </is>
      </c>
      <c r="G58" s="751" t="inlineStr">
        <is>
          <t>Requires calibration</t>
        </is>
      </c>
      <c r="H58" s="752" t="inlineStr">
        <is>
          <t>Replace sector multipliers with internal fleet history or approved structured elicitation when a defensible denominator exists.</t>
        </is>
      </c>
    </row>
    <row r="59">
      <c r="A59" s="972" t="n"/>
      <c r="B59" s="972" t="n"/>
      <c r="C59" s="972" t="n"/>
      <c r="D59" s="972" t="n"/>
      <c r="E59" s="972" t="n"/>
      <c r="F59" s="972" t="n"/>
      <c r="G59" s="972" t="n"/>
      <c r="H59" s="972" t="n"/>
    </row>
    <row r="60">
      <c r="A60" s="972" t="n"/>
      <c r="B60" s="972" t="n"/>
      <c r="C60" s="972" t="n"/>
      <c r="D60" s="972" t="n"/>
      <c r="E60" s="972" t="n"/>
      <c r="F60" s="972" t="n"/>
      <c r="G60" s="972" t="n"/>
      <c r="H60" s="972" t="n"/>
    </row>
    <row r="61">
      <c r="A61" s="972" t="n"/>
      <c r="B61" s="972" t="n"/>
      <c r="C61" s="972" t="n"/>
      <c r="D61" s="972" t="n"/>
      <c r="E61" s="972" t="n"/>
      <c r="F61" s="972" t="n"/>
      <c r="G61" s="972" t="n"/>
      <c r="H61" s="972" t="n"/>
    </row>
    <row r="62">
      <c r="A62" s="972" t="n"/>
      <c r="B62" s="972" t="n"/>
      <c r="C62" s="972" t="n"/>
      <c r="D62" s="972" t="n"/>
      <c r="E62" s="972" t="n"/>
      <c r="F62" s="972" t="n"/>
      <c r="G62" s="972" t="n"/>
      <c r="H62" s="972" t="n"/>
    </row>
    <row r="63">
      <c r="A63" s="972" t="n"/>
      <c r="B63" s="972" t="n"/>
      <c r="C63" s="972" t="n"/>
      <c r="D63" s="972" t="n"/>
      <c r="E63" s="972" t="n"/>
      <c r="F63" s="972" t="n"/>
      <c r="G63" s="972" t="n"/>
      <c r="H63" s="972" t="n"/>
    </row>
    <row r="64">
      <c r="A64" s="972" t="n"/>
      <c r="B64" s="972" t="n"/>
      <c r="C64" s="972" t="n"/>
      <c r="D64" s="972" t="n"/>
      <c r="E64" s="972" t="n"/>
      <c r="F64" s="972" t="n"/>
      <c r="G64" s="972" t="n"/>
      <c r="H64" s="972" t="n"/>
    </row>
    <row r="65">
      <c r="A65" s="972" t="n"/>
      <c r="B65" s="972" t="n"/>
      <c r="C65" s="972" t="n"/>
      <c r="D65" s="972" t="n"/>
      <c r="E65" s="972" t="n"/>
      <c r="F65" s="972" t="n"/>
      <c r="G65" s="972" t="n"/>
      <c r="H65" s="972" t="n"/>
    </row>
    <row r="66">
      <c r="A66" s="972" t="n"/>
      <c r="B66" s="972" t="n"/>
      <c r="C66" s="972" t="n"/>
      <c r="D66" s="972" t="n"/>
      <c r="E66" s="972" t="n"/>
      <c r="F66" s="972" t="n"/>
      <c r="G66" s="972" t="n"/>
      <c r="H66" s="972" t="n"/>
    </row>
    <row r="67">
      <c r="A67" s="972" t="n"/>
      <c r="B67" s="972" t="n"/>
      <c r="C67" s="972" t="n"/>
      <c r="D67" s="972" t="n"/>
      <c r="E67" s="972" t="n"/>
      <c r="F67" s="972" t="n"/>
      <c r="G67" s="972" t="n"/>
      <c r="H67" s="972" t="n"/>
    </row>
    <row r="68">
      <c r="A68" s="972" t="n"/>
      <c r="B68" s="972" t="n"/>
      <c r="C68" s="972" t="n"/>
      <c r="D68" s="972" t="n"/>
      <c r="E68" s="972" t="n"/>
      <c r="F68" s="972" t="n"/>
      <c r="G68" s="972" t="n"/>
      <c r="H68" s="972" t="n"/>
    </row>
    <row r="69">
      <c r="A69" s="972" t="n"/>
      <c r="B69" s="972" t="n"/>
      <c r="C69" s="972" t="n"/>
      <c r="D69" s="972" t="n"/>
      <c r="E69" s="972" t="n"/>
      <c r="F69" s="972" t="n"/>
      <c r="G69" s="972" t="n"/>
      <c r="H69" s="972" t="n"/>
    </row>
    <row r="70">
      <c r="A70" s="972" t="n"/>
      <c r="B70" s="972" t="n"/>
      <c r="C70" s="972" t="n"/>
      <c r="D70" s="972" t="n"/>
      <c r="E70" s="972" t="n"/>
      <c r="F70" s="972" t="n"/>
      <c r="G70" s="972" t="n"/>
      <c r="H70" s="972" t="n"/>
    </row>
    <row r="71">
      <c r="A71" s="972" t="n"/>
      <c r="B71" s="972" t="n"/>
      <c r="C71" s="972" t="n"/>
      <c r="D71" s="972" t="n"/>
      <c r="E71" s="972" t="n"/>
      <c r="F71" s="972" t="n"/>
      <c r="G71" s="972" t="n"/>
      <c r="H71" s="972" t="n"/>
    </row>
    <row r="72">
      <c r="A72" s="972" t="n"/>
      <c r="B72" s="972" t="n"/>
      <c r="C72" s="972" t="n"/>
      <c r="D72" s="972" t="n"/>
      <c r="E72" s="972" t="n"/>
      <c r="F72" s="972" t="n"/>
      <c r="G72" s="972" t="n"/>
      <c r="H72" s="972" t="n"/>
    </row>
    <row r="73">
      <c r="A73" s="972" t="n"/>
      <c r="B73" s="972" t="n"/>
      <c r="C73" s="972" t="n"/>
      <c r="D73" s="972" t="n"/>
      <c r="E73" s="972" t="n"/>
      <c r="F73" s="972" t="n"/>
      <c r="G73" s="972" t="n"/>
      <c r="H73" s="972" t="n"/>
    </row>
    <row r="74">
      <c r="A74" s="972" t="n"/>
      <c r="B74" s="972" t="n"/>
      <c r="C74" s="972" t="n"/>
      <c r="D74" s="972" t="n"/>
      <c r="E74" s="972" t="n"/>
      <c r="F74" s="972" t="n"/>
      <c r="G74" s="972" t="n"/>
      <c r="H74" s="972" t="n"/>
    </row>
    <row r="75">
      <c r="A75" s="972" t="n"/>
      <c r="B75" s="972" t="n"/>
      <c r="C75" s="972" t="n"/>
      <c r="D75" s="972" t="n"/>
      <c r="E75" s="972" t="n"/>
      <c r="F75" s="972" t="n"/>
      <c r="G75" s="972" t="n"/>
      <c r="H75" s="972" t="n"/>
    </row>
    <row r="76">
      <c r="A76" s="972" t="n"/>
      <c r="B76" s="972" t="n"/>
      <c r="C76" s="972" t="n"/>
      <c r="D76" s="972" t="n"/>
      <c r="E76" s="972" t="n"/>
      <c r="F76" s="972" t="n"/>
      <c r="G76" s="972" t="n"/>
      <c r="H76" s="972" t="n"/>
    </row>
    <row r="77">
      <c r="A77" s="972" t="n"/>
      <c r="B77" s="972" t="n"/>
      <c r="C77" s="972" t="n"/>
      <c r="D77" s="972" t="n"/>
      <c r="E77" s="972" t="n"/>
      <c r="F77" s="972" t="n"/>
      <c r="G77" s="972" t="n"/>
      <c r="H77" s="972" t="n"/>
    </row>
    <row r="78">
      <c r="A78" s="972" t="n"/>
      <c r="B78" s="972" t="n"/>
      <c r="C78" s="972" t="n"/>
      <c r="D78" s="972" t="n"/>
      <c r="E78" s="972" t="n"/>
      <c r="F78" s="972" t="n"/>
      <c r="G78" s="972" t="n"/>
      <c r="H78" s="972" t="n"/>
    </row>
    <row r="79">
      <c r="A79" s="972" t="n"/>
      <c r="B79" s="972" t="n"/>
      <c r="C79" s="972" t="n"/>
      <c r="D79" s="972" t="n"/>
      <c r="E79" s="972" t="n"/>
      <c r="F79" s="972" t="n"/>
      <c r="G79" s="972" t="n"/>
      <c r="H79" s="972" t="n"/>
    </row>
    <row r="80">
      <c r="A80" s="972" t="n"/>
      <c r="B80" s="972" t="n"/>
      <c r="C80" s="972" t="n"/>
      <c r="D80" s="972" t="n"/>
      <c r="E80" s="972" t="n"/>
      <c r="F80" s="972" t="n"/>
      <c r="G80" s="972" t="n"/>
      <c r="H80" s="972" t="n"/>
    </row>
    <row r="81">
      <c r="A81" s="972" t="n"/>
      <c r="B81" s="972" t="n"/>
      <c r="C81" s="972" t="n"/>
      <c r="D81" s="972" t="n"/>
      <c r="E81" s="972" t="n"/>
      <c r="F81" s="972" t="n"/>
      <c r="G81" s="972" t="n"/>
      <c r="H81" s="972" t="n"/>
    </row>
    <row r="82">
      <c r="A82" s="972" t="n"/>
      <c r="B82" s="972" t="n"/>
      <c r="C82" s="972" t="n"/>
      <c r="D82" s="972" t="n"/>
      <c r="E82" s="972" t="n"/>
      <c r="F82" s="972" t="n"/>
      <c r="G82" s="972" t="n"/>
      <c r="H82" s="972" t="n"/>
    </row>
    <row r="83">
      <c r="A83" s="972" t="n"/>
      <c r="B83" s="972" t="n"/>
      <c r="C83" s="972" t="n"/>
      <c r="D83" s="972" t="n"/>
      <c r="E83" s="972" t="n"/>
      <c r="F83" s="972" t="n"/>
      <c r="G83" s="972" t="n"/>
      <c r="H83" s="972" t="n"/>
    </row>
    <row r="84">
      <c r="A84" s="972" t="n"/>
      <c r="B84" s="972" t="n"/>
      <c r="C84" s="972" t="n"/>
      <c r="D84" s="972" t="n"/>
      <c r="E84" s="972" t="n"/>
      <c r="F84" s="972" t="n"/>
      <c r="G84" s="972" t="n"/>
      <c r="H84" s="972" t="n"/>
    </row>
    <row r="85">
      <c r="A85" s="972" t="n"/>
      <c r="B85" s="972" t="n"/>
      <c r="C85" s="972" t="n"/>
      <c r="D85" s="972" t="n"/>
      <c r="E85" s="972" t="n"/>
      <c r="F85" s="972" t="n"/>
      <c r="G85" s="972" t="n"/>
      <c r="H85" s="972" t="n"/>
    </row>
    <row r="86">
      <c r="A86" s="972" t="n"/>
      <c r="B86" s="972" t="n"/>
      <c r="C86" s="972" t="n"/>
      <c r="D86" s="972" t="n"/>
      <c r="E86" s="972" t="n"/>
      <c r="F86" s="972" t="n"/>
      <c r="G86" s="972" t="n"/>
      <c r="H86" s="972" t="n"/>
    </row>
    <row r="87">
      <c r="A87" s="972" t="n"/>
      <c r="B87" s="972" t="n"/>
      <c r="C87" s="972" t="n"/>
      <c r="D87" s="972" t="n"/>
      <c r="E87" s="972" t="n"/>
      <c r="F87" s="972" t="n"/>
      <c r="G87" s="972" t="n"/>
      <c r="H87" s="972" t="n"/>
    </row>
    <row r="88">
      <c r="A88" s="972" t="n"/>
      <c r="B88" s="972" t="n"/>
      <c r="C88" s="972" t="n"/>
      <c r="D88" s="972" t="n"/>
      <c r="E88" s="972" t="n"/>
      <c r="F88" s="972" t="n"/>
      <c r="G88" s="972" t="n"/>
      <c r="H88" s="972" t="n"/>
    </row>
    <row r="89">
      <c r="A89" s="972" t="n"/>
      <c r="B89" s="972" t="n"/>
      <c r="C89" s="972" t="n"/>
      <c r="D89" s="972" t="n"/>
      <c r="E89" s="972" t="n"/>
      <c r="F89" s="972" t="n"/>
      <c r="G89" s="972" t="n"/>
      <c r="H89" s="972" t="n"/>
    </row>
    <row r="90">
      <c r="A90" s="972" t="n"/>
      <c r="B90" s="972" t="n"/>
      <c r="C90" s="972" t="n"/>
      <c r="D90" s="972" t="n"/>
      <c r="E90" s="972" t="n"/>
      <c r="F90" s="972" t="n"/>
      <c r="G90" s="972" t="n"/>
      <c r="H90" s="972" t="n"/>
    </row>
    <row r="91">
      <c r="A91" s="972" t="n"/>
      <c r="B91" s="972" t="n"/>
      <c r="C91" s="972" t="n"/>
      <c r="D91" s="972" t="n"/>
      <c r="E91" s="972" t="n"/>
      <c r="F91" s="972" t="n"/>
      <c r="G91" s="972" t="n"/>
      <c r="H91" s="972" t="n"/>
    </row>
    <row r="92">
      <c r="A92" s="972" t="n"/>
      <c r="B92" s="972" t="n"/>
      <c r="C92" s="972" t="n"/>
      <c r="D92" s="972" t="n"/>
      <c r="E92" s="972" t="n"/>
      <c r="F92" s="972" t="n"/>
      <c r="G92" s="972" t="n"/>
      <c r="H92" s="972" t="n"/>
    </row>
    <row r="93">
      <c r="A93" s="972" t="n"/>
      <c r="B93" s="972" t="n"/>
      <c r="C93" s="972" t="n"/>
      <c r="D93" s="972" t="n"/>
      <c r="E93" s="972" t="n"/>
      <c r="F93" s="972" t="n"/>
      <c r="G93" s="972" t="n"/>
      <c r="H93" s="972" t="n"/>
    </row>
    <row r="94">
      <c r="A94" s="972" t="n"/>
      <c r="B94" s="972" t="n"/>
      <c r="C94" s="972" t="n"/>
      <c r="D94" s="972" t="n"/>
      <c r="E94" s="972" t="n"/>
      <c r="F94" s="972" t="n"/>
      <c r="G94" s="972" t="n"/>
      <c r="H94" s="972" t="n"/>
    </row>
    <row r="95">
      <c r="A95" s="972" t="n"/>
      <c r="B95" s="972" t="n"/>
      <c r="C95" s="972" t="n"/>
      <c r="D95" s="972" t="n"/>
      <c r="E95" s="972" t="n"/>
      <c r="F95" s="972" t="n"/>
      <c r="G95" s="972" t="n"/>
      <c r="H95" s="972" t="n"/>
    </row>
    <row r="96">
      <c r="A96" s="972" t="n"/>
      <c r="B96" s="972" t="n"/>
      <c r="C96" s="972" t="n"/>
      <c r="D96" s="972" t="n"/>
      <c r="E96" s="972" t="n"/>
      <c r="F96" s="972" t="n"/>
      <c r="G96" s="972" t="n"/>
      <c r="H96" s="972" t="n"/>
    </row>
    <row r="97">
      <c r="A97" s="972" t="n"/>
      <c r="B97" s="972" t="n"/>
      <c r="C97" s="972" t="n"/>
      <c r="D97" s="972" t="n"/>
      <c r="E97" s="972" t="n"/>
      <c r="F97" s="972" t="n"/>
      <c r="G97" s="972" t="n"/>
      <c r="H97" s="972" t="n"/>
    </row>
    <row r="98">
      <c r="A98" s="972" t="n"/>
      <c r="B98" s="972" t="n"/>
      <c r="C98" s="972" t="n"/>
      <c r="D98" s="972" t="n"/>
      <c r="E98" s="972" t="n"/>
      <c r="F98" s="972" t="n"/>
      <c r="G98" s="972" t="n"/>
      <c r="H98" s="972" t="n"/>
    </row>
    <row r="99">
      <c r="A99" s="972" t="n"/>
      <c r="B99" s="972" t="n"/>
      <c r="C99" s="972" t="n"/>
      <c r="D99" s="972" t="n"/>
      <c r="E99" s="972" t="n"/>
      <c r="F99" s="972" t="n"/>
      <c r="G99" s="972" t="n"/>
      <c r="H99" s="972" t="n"/>
    </row>
    <row r="100">
      <c r="A100" s="972" t="n"/>
      <c r="B100" s="972" t="n"/>
      <c r="C100" s="972" t="n"/>
      <c r="D100" s="972" t="n"/>
      <c r="E100" s="972" t="n"/>
      <c r="F100" s="972" t="n"/>
      <c r="G100" s="972" t="n"/>
      <c r="H100" s="972" t="n"/>
    </row>
    <row r="101">
      <c r="A101" s="972" t="n"/>
      <c r="B101" s="972" t="n"/>
      <c r="C101" s="972" t="n"/>
      <c r="D101" s="972" t="n"/>
      <c r="E101" s="972" t="n"/>
      <c r="F101" s="972" t="n"/>
      <c r="G101" s="972" t="n"/>
      <c r="H101" s="972" t="n"/>
    </row>
    <row r="102">
      <c r="A102" s="972" t="n"/>
      <c r="B102" s="972" t="n"/>
      <c r="C102" s="972" t="n"/>
      <c r="D102" s="972" t="n"/>
      <c r="E102" s="972" t="n"/>
      <c r="F102" s="972" t="n"/>
      <c r="G102" s="972" t="n"/>
      <c r="H102" s="972" t="n"/>
    </row>
    <row r="103">
      <c r="A103" s="972" t="n"/>
      <c r="B103" s="972" t="n"/>
      <c r="C103" s="972" t="n"/>
      <c r="D103" s="972" t="n"/>
      <c r="E103" s="972" t="n"/>
      <c r="F103" s="972" t="n"/>
      <c r="G103" s="972" t="n"/>
      <c r="H103" s="972" t="n"/>
    </row>
    <row r="104">
      <c r="A104" s="972" t="n"/>
      <c r="B104" s="972" t="n"/>
      <c r="C104" s="972" t="n"/>
      <c r="D104" s="972" t="n"/>
      <c r="E104" s="972" t="n"/>
      <c r="F104" s="972" t="n"/>
      <c r="G104" s="972" t="n"/>
      <c r="H104" s="972" t="n"/>
    </row>
    <row r="105">
      <c r="A105" s="972" t="n"/>
      <c r="B105" s="972" t="n"/>
      <c r="C105" s="972" t="n"/>
      <c r="D105" s="972" t="n"/>
      <c r="E105" s="972" t="n"/>
      <c r="F105" s="972" t="n"/>
      <c r="G105" s="972" t="n"/>
      <c r="H105" s="972" t="n"/>
    </row>
    <row r="106">
      <c r="A106" s="972" t="n"/>
      <c r="B106" s="972" t="n"/>
      <c r="C106" s="972" t="n"/>
      <c r="D106" s="972" t="n"/>
      <c r="E106" s="972" t="n"/>
      <c r="F106" s="972" t="n"/>
      <c r="G106" s="972" t="n"/>
      <c r="H106" s="972" t="n"/>
    </row>
    <row r="107">
      <c r="A107" s="972" t="n"/>
      <c r="B107" s="972" t="n"/>
      <c r="C107" s="972" t="n"/>
      <c r="D107" s="972" t="n"/>
      <c r="E107" s="972" t="n"/>
      <c r="F107" s="972" t="n"/>
      <c r="G107" s="972" t="n"/>
      <c r="H107" s="972" t="n"/>
    </row>
    <row r="108">
      <c r="A108" s="972" t="n"/>
      <c r="B108" s="972" t="n"/>
      <c r="C108" s="972" t="n"/>
      <c r="D108" s="972" t="n"/>
      <c r="E108" s="972" t="n"/>
      <c r="F108" s="972" t="n"/>
      <c r="G108" s="972" t="n"/>
      <c r="H108" s="972" t="n"/>
    </row>
    <row r="109">
      <c r="A109" s="972" t="n"/>
      <c r="B109" s="972" t="n"/>
      <c r="C109" s="972" t="n"/>
      <c r="D109" s="972" t="n"/>
      <c r="E109" s="972" t="n"/>
      <c r="F109" s="972" t="n"/>
      <c r="G109" s="972" t="n"/>
      <c r="H109" s="972" t="n"/>
    </row>
    <row r="110">
      <c r="A110" s="972" t="n"/>
      <c r="B110" s="972" t="n"/>
      <c r="C110" s="972" t="n"/>
      <c r="D110" s="972" t="n"/>
      <c r="E110" s="972" t="n"/>
      <c r="F110" s="972" t="n"/>
      <c r="G110" s="972" t="n"/>
      <c r="H110" s="972" t="n"/>
    </row>
    <row r="111">
      <c r="A111" s="972" t="n"/>
      <c r="B111" s="972" t="n"/>
      <c r="C111" s="972" t="n"/>
      <c r="D111" s="972" t="n"/>
      <c r="E111" s="972" t="n"/>
      <c r="F111" s="972" t="n"/>
      <c r="G111" s="972" t="n"/>
      <c r="H111" s="972" t="n"/>
    </row>
    <row r="112">
      <c r="A112" s="972" t="n"/>
      <c r="B112" s="972" t="n"/>
      <c r="C112" s="972" t="n"/>
      <c r="D112" s="972" t="n"/>
      <c r="E112" s="972" t="n"/>
      <c r="F112" s="972" t="n"/>
      <c r="G112" s="972" t="n"/>
      <c r="H112" s="972" t="n"/>
    </row>
    <row r="113">
      <c r="A113" s="972" t="n"/>
      <c r="B113" s="972" t="n"/>
      <c r="C113" s="972" t="n"/>
      <c r="D113" s="972" t="n"/>
      <c r="E113" s="972" t="n"/>
      <c r="F113" s="972" t="n"/>
      <c r="G113" s="972" t="n"/>
      <c r="H113" s="972" t="n"/>
    </row>
    <row r="114">
      <c r="A114" s="972" t="n"/>
      <c r="B114" s="972" t="n"/>
      <c r="C114" s="972" t="n"/>
      <c r="D114" s="972" t="n"/>
      <c r="E114" s="972" t="n"/>
      <c r="F114" s="972" t="n"/>
      <c r="G114" s="972" t="n"/>
      <c r="H114" s="972" t="n"/>
    </row>
    <row r="115">
      <c r="A115" s="972" t="n"/>
      <c r="B115" s="972" t="n"/>
      <c r="C115" s="972" t="n"/>
      <c r="D115" s="972" t="n"/>
      <c r="E115" s="972" t="n"/>
      <c r="F115" s="972" t="n"/>
      <c r="G115" s="972" t="n"/>
      <c r="H115" s="972" t="n"/>
    </row>
    <row r="116">
      <c r="A116" s="972" t="n"/>
      <c r="B116" s="972" t="n"/>
      <c r="C116" s="972" t="n"/>
      <c r="D116" s="972" t="n"/>
      <c r="E116" s="972" t="n"/>
      <c r="F116" s="972" t="n"/>
      <c r="G116" s="972" t="n"/>
      <c r="H116" s="972" t="n"/>
    </row>
    <row r="117">
      <c r="A117" s="972" t="n"/>
      <c r="B117" s="972" t="n"/>
      <c r="C117" s="972" t="n"/>
      <c r="D117" s="972" t="n"/>
      <c r="E117" s="972" t="n"/>
      <c r="F117" s="972" t="n"/>
      <c r="G117" s="972" t="n"/>
      <c r="H117" s="972" t="n"/>
    </row>
    <row r="118">
      <c r="A118" s="972" t="n"/>
      <c r="B118" s="972" t="n"/>
      <c r="C118" s="972" t="n"/>
      <c r="D118" s="972" t="n"/>
      <c r="E118" s="972" t="n"/>
      <c r="F118" s="972" t="n"/>
      <c r="G118" s="972" t="n"/>
      <c r="H118" s="972" t="n"/>
    </row>
    <row r="119">
      <c r="A119" s="972" t="n"/>
      <c r="B119" s="972" t="n"/>
      <c r="C119" s="972" t="n"/>
      <c r="D119" s="972" t="n"/>
      <c r="E119" s="972" t="n"/>
      <c r="F119" s="972" t="n"/>
      <c r="G119" s="972" t="n"/>
      <c r="H119" s="972" t="n"/>
    </row>
    <row r="120">
      <c r="A120" s="972" t="n"/>
      <c r="B120" s="972" t="n"/>
      <c r="C120" s="972" t="n"/>
      <c r="D120" s="972" t="n"/>
      <c r="E120" s="972" t="n"/>
      <c r="F120" s="972" t="n"/>
      <c r="G120" s="972" t="n"/>
      <c r="H120" s="972" t="n"/>
    </row>
  </sheetData>
  <mergeCells count="13">
    <mergeCell ref="A9:H9"/>
    <mergeCell ref="A4:H4"/>
    <mergeCell ref="A12:H12"/>
    <mergeCell ref="A3:H3"/>
    <mergeCell ref="A5:H5"/>
    <mergeCell ref="A7:H7"/>
    <mergeCell ref="A2:H2"/>
    <mergeCell ref="A10:H10"/>
    <mergeCell ref="A13:H13"/>
    <mergeCell ref="A11:H11"/>
    <mergeCell ref="A1:H1"/>
    <mergeCell ref="A8:H8"/>
    <mergeCell ref="A6:H6"/>
  </mergeCells>
  <pageMargins left="0.7" right="0.7" top="0.75" bottom="0.75" header="0.3" footer="0.3"/>
</worksheet>
</file>

<file path=xl/worksheets/sheet75.xml><?xml version="1.0" encoding="utf-8"?>
<worksheet xmlns="http://schemas.openxmlformats.org/spreadsheetml/2006/main">
  <sheetPr>
    <tabColor rgb="001F4E79"/>
    <outlinePr summaryBelow="1" summaryRight="1"/>
    <pageSetUpPr/>
  </sheetPr>
  <dimension ref="A1:G70"/>
  <sheetViews>
    <sheetView showGridLines="1" workbookViewId="0">
      <selection activeCell="A1" sqref="A1"/>
    </sheetView>
  </sheetViews>
  <sheetFormatPr baseColWidth="8" defaultColWidth="8.6796875" defaultRowHeight="15"/>
  <cols>
    <col width="58" customWidth="1" style="972" min="1" max="1"/>
    <col width="14" customWidth="1" style="972" min="2" max="2"/>
    <col width="28" customWidth="1" style="508" min="3" max="3"/>
    <col width="28" customWidth="1" style="508" min="4" max="4"/>
    <col width="4" customWidth="1" style="972" min="5" max="5"/>
    <col width="30" customWidth="1" style="972" min="6" max="6"/>
    <col width="26" customWidth="1" style="972" min="7" max="7"/>
  </cols>
  <sheetData>
    <row r="1" ht="21.75" customHeight="1" s="508">
      <c r="A1" s="466" t="inlineStr">
        <is>
          <t>27 — End-to-End Model Validation</t>
        </is>
      </c>
    </row>
    <row r="2" ht="37.5" customHeight="1" s="508">
      <c r="A2" s="402" t="inlineStr">
        <is>
          <t>Purpose: Record automated tests for the V1.7 multi-sector stochastic model, including sector-pack resolution, frequency overlays, TTP rationale coverage and the retained V1.6 composite stage-barrier methodology.</t>
        </is>
      </c>
    </row>
    <row r="3" ht="37.5" customHeight="1" s="508">
      <c r="A3" s="403" t="inlineStr">
        <is>
          <t>In plain English: the model is not complete unless every required check passes after the full Best Estimate, Prudent and control what-if runs.</t>
        </is>
      </c>
    </row>
    <row r="4" ht="21.75" customHeight="1" s="508">
      <c r="A4" s="467" t="inlineStr">
        <is>
          <t>SHEET TYPE: VALIDATION / QA</t>
        </is>
      </c>
    </row>
    <row r="5" ht="21.75" customHeight="1" s="508">
      <c r="A5" s="405" t="inlineStr">
        <is>
          <t>Inputs / upstream sources</t>
        </is>
      </c>
    </row>
    <row r="6" ht="30" customHeight="1" s="508">
      <c r="A6" s="406" t="inlineStr">
        <is>
          <t>Python engine, workbook inputs/mappings and the generated simulation outputs.</t>
        </is>
      </c>
    </row>
    <row r="7" ht="30" customHeight="1" s="508">
      <c r="A7" s="405" t="inlineStr">
        <is>
          <t>Calculation / decision logic</t>
        </is>
      </c>
    </row>
    <row r="8" ht="30" customHeight="1" s="508">
      <c r="A8" s="406" t="inlineStr">
        <is>
          <t>Tests cover 100k simulation count, maturity/default coverage settings, efficacy bounds, probability normalisation, threat-intensity application, attack-path validity, zero-barrier treatment for relevant TTPs without Prevent / Resist mappings, AAL reconciliation, Expected Shortfall treatment, LEC monotonicity, control what-if directionality, fixed-seed reproducibility and facility gating.</t>
        </is>
      </c>
    </row>
    <row r="9" ht="30" customHeight="1" s="508">
      <c r="A9" s="405" t="inlineStr">
        <is>
          <t>Key assumptions / defaults</t>
        </is>
      </c>
    </row>
    <row r="10" ht="30" customHeight="1" s="508">
      <c r="A10" s="406" t="inlineStr">
        <is>
          <t>Automated tests demonstrate internal consistency, not empirical calibration accuracy. A PASS does not mean the working priors are externally validated.</t>
        </is>
      </c>
    </row>
    <row r="11" ht="30" customHeight="1" s="508">
      <c r="A11" s="405" t="inlineStr">
        <is>
          <t>Outputs / downstream use</t>
        </is>
      </c>
    </row>
    <row r="12" ht="30" customHeight="1" s="508">
      <c r="A12" s="406" t="inlineStr">
        <is>
          <t>Final model QA / handover evidence.</t>
        </is>
      </c>
    </row>
    <row r="13" ht="30" customHeight="1" s="508">
      <c r="A13" s="407" t="inlineStr">
        <is>
          <t>Workbook convention: yellow cells / blue font are editable inputs or calibration assumptions; engine-output cells are not manually editable.</t>
        </is>
      </c>
    </row>
    <row r="15" ht="15" customHeight="1" s="508">
      <c r="A15" s="468" t="inlineStr">
        <is>
          <t>OVERALL MODEL VALIDATION: PASS</t>
        </is>
      </c>
    </row>
    <row r="17" ht="15" customHeight="1" s="508">
      <c r="A17" s="469" t="inlineStr">
        <is>
          <t>Test</t>
        </is>
      </c>
      <c r="B17" s="469" t="inlineStr">
        <is>
          <t>Status</t>
        </is>
      </c>
      <c r="C17" s="469" t="inlineStr">
        <is>
          <t>Observed</t>
        </is>
      </c>
      <c r="D17" s="469" t="inlineStr">
        <is>
          <t>Expected</t>
        </is>
      </c>
      <c r="F17" s="469" t="inlineStr">
        <is>
          <t>Run metadata</t>
        </is>
      </c>
      <c r="G17" s="469" t="inlineStr">
        <is>
          <t>Value</t>
        </is>
      </c>
    </row>
    <row r="18" ht="15" customHeight="1" s="508">
      <c r="A18" s="973" t="inlineStr">
        <is>
          <t>Simulation count is exactly 500,000</t>
        </is>
      </c>
      <c r="B18" s="973" t="inlineStr">
        <is>
          <t>PASS</t>
        </is>
      </c>
      <c r="C18" s="973" t="n">
        <v>500000</v>
      </c>
      <c r="D18" s="973" t="n">
        <v>500000</v>
      </c>
      <c r="F18" s="972" t="inlineStr">
        <is>
          <t>Simulation years</t>
        </is>
      </c>
      <c r="G18" s="972" t="n">
        <v>500000</v>
      </c>
    </row>
    <row r="19" ht="15" customHeight="1" s="508">
      <c r="A19" s="973" t="inlineStr">
        <is>
          <t>Not Assessed resolves to Developing = 0.50</t>
        </is>
      </c>
      <c r="B19" s="973" t="inlineStr">
        <is>
          <t>PASS</t>
        </is>
      </c>
      <c r="C19" s="973" t="n">
        <v>0.5</v>
      </c>
      <c r="D19" s="973" t="n">
        <v>0.5</v>
      </c>
      <c r="F19" s="972" t="inlineStr">
        <is>
          <t>Campaigns simulated</t>
        </is>
      </c>
      <c r="G19" s="972" t="n">
        <v>453292</v>
      </c>
    </row>
    <row r="20" ht="15" customHeight="1" s="508">
      <c r="A20" s="973" t="inlineStr">
        <is>
          <t>Default coverage is 75%</t>
        </is>
      </c>
      <c r="B20" s="973" t="inlineStr">
        <is>
          <t>PASS</t>
        </is>
      </c>
      <c r="C20" s="973" t="n">
        <v>0.75</v>
      </c>
      <c r="D20" s="973" t="n">
        <v>0.75</v>
      </c>
      <c r="F20" s="972" t="inlineStr">
        <is>
          <t>Successful events</t>
        </is>
      </c>
      <c r="G20" s="972" t="n">
        <v>25889</v>
      </c>
    </row>
    <row r="21" ht="15" customHeight="1" s="508">
      <c r="A21" s="973" t="inlineStr">
        <is>
          <t>Optimised maturity factor is 0.95</t>
        </is>
      </c>
      <c r="B21" s="973" t="inlineStr">
        <is>
          <t>PASS</t>
        </is>
      </c>
      <c r="C21" s="973" t="n">
        <v>0.95</v>
      </c>
      <c r="D21" s="973" t="n">
        <v>0.95</v>
      </c>
      <c r="F21" s="972" t="inlineStr">
        <is>
          <t>Random seed</t>
        </is>
      </c>
      <c r="G21" s="972" t="n">
        <v>20260813</v>
      </c>
    </row>
    <row r="22" ht="15" customHeight="1" s="508">
      <c r="A22" s="973" t="inlineStr">
        <is>
          <t>All non-excluded TTP-control Base Efficacy values are within (0,1]</t>
        </is>
      </c>
      <c r="B22" s="973" t="inlineStr">
        <is>
          <t>PASS</t>
        </is>
      </c>
      <c r="C22" s="973" t="inlineStr">
        <is>
          <t>0.80 to 0.80</t>
        </is>
      </c>
      <c r="D22" s="973" t="inlineStr">
        <is>
          <t>(0,1]</t>
        </is>
      </c>
      <c r="F22" s="972" t="inlineStr">
        <is>
          <t>Facility exposure multiplier</t>
        </is>
      </c>
      <c r="G22" s="972" t="n">
        <v>1.1</v>
      </c>
    </row>
    <row r="23" ht="15" customHeight="1" s="508">
      <c r="A23" s="973" t="inlineStr">
        <is>
          <t>Actor probabilities normalize to 1</t>
        </is>
      </c>
      <c r="B23" s="973" t="inlineStr">
        <is>
          <t>PASS</t>
        </is>
      </c>
      <c r="C23" s="973" t="n">
        <v>1</v>
      </c>
      <c r="D23" s="973" t="n">
        <v>1</v>
      </c>
      <c r="F23" s="972" t="inlineStr">
        <is>
          <t>Workbook version</t>
        </is>
      </c>
      <c r="G23" s="972" t="inlineStr">
        <is>
          <t>1.7</t>
        </is>
      </c>
    </row>
    <row r="24" ht="15" customHeight="1" s="508">
      <c r="A24" s="973" t="inlineStr">
        <is>
          <t>Reference campaign rate is non-negative</t>
        </is>
      </c>
      <c r="B24" s="973" t="inlineStr">
        <is>
          <t>PASS</t>
        </is>
      </c>
      <c r="C24" s="973" t="n">
        <v>0.55</v>
      </c>
      <c r="D24" s="973" t="inlineStr">
        <is>
          <t>&gt;= 0</t>
        </is>
      </c>
      <c r="F24" s="972" t="inlineStr">
        <is>
          <t>Engine version</t>
        </is>
      </c>
      <c r="G24" s="972" t="inlineStr">
        <is>
          <t>1.7</t>
        </is>
      </c>
    </row>
    <row r="25" ht="15" customHeight="1" s="508">
      <c r="A25" s="973" t="inlineStr">
        <is>
          <t>Prudence factor is non-negative and uncapped</t>
        </is>
      </c>
      <c r="B25" s="973" t="inlineStr">
        <is>
          <t>PASS</t>
        </is>
      </c>
      <c r="C25" s="973" t="n">
        <v>1.5</v>
      </c>
      <c r="D25" s="973" t="inlineStr">
        <is>
          <t>&gt;= 0; no upper cap</t>
        </is>
      </c>
      <c r="F25" s="972" t="inlineStr">
        <is>
          <t>Reporting selection</t>
        </is>
      </c>
      <c r="G25" s="972" t="inlineStr">
        <is>
          <t>Both</t>
        </is>
      </c>
    </row>
    <row r="26" ht="15" customHeight="1" s="508">
      <c r="A26" s="973" t="inlineStr">
        <is>
          <t>Reporting view is valid</t>
        </is>
      </c>
      <c r="B26" s="973" t="inlineStr">
        <is>
          <t>PASS</t>
        </is>
      </c>
      <c r="C26" s="973" t="inlineStr">
        <is>
          <t>Both</t>
        </is>
      </c>
      <c r="D26" s="973" t="inlineStr">
        <is>
          <t>Best Estimate / Prudent / Both</t>
        </is>
      </c>
      <c r="F26" s="972" t="inlineStr">
        <is>
          <t>Detailed results basis</t>
        </is>
      </c>
      <c r="G26" s="972" t="inlineStr">
        <is>
          <t>Prudent</t>
        </is>
      </c>
    </row>
    <row r="27" ht="15" customHeight="1" s="508">
      <c r="A27" s="973" t="inlineStr">
        <is>
          <t>Best-estimate λ bridge reconciles with sector and asset overlay exactly once</t>
        </is>
      </c>
      <c r="B27" s="973" t="inlineStr">
        <is>
          <t>PASS</t>
        </is>
      </c>
      <c r="C27" s="973" t="n">
        <v>0.6050000000000002</v>
      </c>
      <c r="D27" s="973" t="n">
        <v>0.6050000000000001</v>
      </c>
      <c r="F27" s="972" t="inlineStr">
        <is>
          <t>Best-estimate campaigns</t>
        </is>
      </c>
      <c r="G27" s="972" t="n">
        <v>303175</v>
      </c>
    </row>
    <row r="28" ht="15" customHeight="1" s="508">
      <c r="A28" s="973" t="inlineStr">
        <is>
          <t>Prudent λ scales exactly by the prudence factor</t>
        </is>
      </c>
      <c r="B28" s="973" t="inlineStr">
        <is>
          <t>PASS</t>
        </is>
      </c>
      <c r="C28" s="973" t="n">
        <v>0.9075000000000004</v>
      </c>
      <c r="D28" s="973" t="n">
        <v>0.9075000000000003</v>
      </c>
      <c r="F28" s="972" t="inlineStr">
        <is>
          <t>Prudent campaigns</t>
        </is>
      </c>
      <c r="G28" s="972" t="n">
        <v>453292</v>
      </c>
    </row>
    <row r="29" ht="15" customHeight="1" s="508">
      <c r="A29" s="973" t="inlineStr">
        <is>
          <t>Prudence factor 1.00 reproduces Best Estimate exactly</t>
        </is>
      </c>
      <c r="B29" s="973" t="inlineStr">
        <is>
          <t>PASS</t>
        </is>
      </c>
      <c r="C29" s="973" t="inlineStr">
        <is>
          <t>exact match</t>
        </is>
      </c>
      <c r="D29" s="973" t="inlineStr">
        <is>
          <t>exact match</t>
        </is>
      </c>
      <c r="F29" s="972" t="inlineStr">
        <is>
          <t>What-if simulations</t>
        </is>
      </c>
      <c r="G29" s="972" t="inlineStr">
        <is>
          <t>Skipped</t>
        </is>
      </c>
    </row>
    <row r="30" ht="15" customHeight="1" s="508">
      <c r="A30" s="973" t="inlineStr">
        <is>
          <t>Scenario propensities normalize for every actor</t>
        </is>
      </c>
      <c r="B30" s="973" t="inlineStr">
        <is>
          <t>PASS</t>
        </is>
      </c>
      <c r="C30" s="973" t="n">
        <v>0</v>
      </c>
      <c r="D30" s="973" t="n">
        <v>0</v>
      </c>
      <c r="F30" s="972" t="inlineStr">
        <is>
          <t>Scenario LECs</t>
        </is>
      </c>
      <c r="G30" s="972" t="inlineStr">
        <is>
          <t>5 AEP/OEP curves</t>
        </is>
      </c>
    </row>
    <row r="31" ht="15" customHeight="1" s="508">
      <c r="A31" s="973" t="inlineStr">
        <is>
          <t>All conditional success probabilities are within [0,1]</t>
        </is>
      </c>
      <c r="B31" s="973" t="inlineStr">
        <is>
          <t>PASS</t>
        </is>
      </c>
      <c r="C31" s="973" t="inlineStr">
        <is>
          <t>0.0306 to 0.1675</t>
        </is>
      </c>
      <c r="D31" s="973" t="inlineStr">
        <is>
          <t>0 to 1</t>
        </is>
      </c>
      <c r="F31" s="972" t="inlineStr">
        <is>
          <t>Actor LECs</t>
        </is>
      </c>
      <c r="G31" s="972" t="inlineStr">
        <is>
          <t>3 AEP/OEP curves</t>
        </is>
      </c>
    </row>
    <row r="32" ht="15" customHeight="1" s="508">
      <c r="A32" s="973" t="inlineStr">
        <is>
          <t>No independent success logit shock is active</t>
        </is>
      </c>
      <c r="B32" s="973" t="inlineStr">
        <is>
          <t>PASS</t>
        </is>
      </c>
      <c r="C32" s="973" t="inlineStr">
        <is>
          <t>direct Bernoulli parameter</t>
        </is>
      </c>
      <c r="D32" s="973" t="inlineStr">
        <is>
          <t>stage/control-derived P(success)</t>
        </is>
      </c>
      <c r="F32" s="972" t="inlineStr">
        <is>
          <t>Overall status</t>
        </is>
      </c>
      <c r="G32" s="972" t="inlineStr">
        <is>
          <t>PASS</t>
        </is>
      </c>
    </row>
    <row r="33" ht="15" customHeight="1" s="508">
      <c r="A33" s="973" t="inlineStr">
        <is>
          <t>All 15 default actor-scenario attack paths are valid</t>
        </is>
      </c>
      <c r="B33" s="973" t="inlineStr">
        <is>
          <t>PASS</t>
        </is>
      </c>
      <c r="C33" s="973" t="n">
        <v>15</v>
      </c>
      <c r="D33" s="973" t="n">
        <v>15</v>
      </c>
      <c r="F33" s="972" t="inlineStr">
        <is>
          <t>Sector pack</t>
        </is>
      </c>
      <c r="G33" s="972" t="inlineStr">
        <is>
          <t>PG-v1.6</t>
        </is>
      </c>
    </row>
    <row r="34" ht="15" customHeight="1" s="508">
      <c r="A34" s="973" t="inlineStr">
        <is>
          <t>No valid S5 path lacks a scenario-defining TTP</t>
        </is>
      </c>
      <c r="B34" s="973" t="inlineStr">
        <is>
          <t>PASS</t>
        </is>
      </c>
      <c r="C34" s="973" t="inlineStr">
        <is>
          <t>checked 15 paths</t>
        </is>
      </c>
      <c r="D34" s="973" t="inlineStr">
        <is>
          <t>S5 defining TTP required</t>
        </is>
      </c>
      <c r="F34" s="972" t="inlineStr">
        <is>
          <t>Sector / asset</t>
        </is>
      </c>
      <c r="G34" s="972" t="inlineStr">
        <is>
          <t>Power Generation / CCGT</t>
        </is>
      </c>
    </row>
    <row r="35" ht="15" customHeight="1" s="508">
      <c r="A35" s="973" t="inlineStr">
        <is>
          <t>Every relevant TTP participates in Prevent-stage aggregation; unmapped TTPs contribute zero barrier</t>
        </is>
      </c>
      <c r="B35" s="973" t="inlineStr">
        <is>
          <t>PASS</t>
        </is>
      </c>
      <c r="C35" s="973" t="inlineStr">
        <is>
          <t>all required stages checked</t>
        </is>
      </c>
      <c r="D35" s="973" t="inlineStr">
        <is>
          <t>all relevant TTPs included; no mapping = 0</t>
        </is>
      </c>
    </row>
    <row r="36" ht="15" customHeight="1" s="508">
      <c r="A36" s="973" t="inlineStr">
        <is>
          <t>Actor AAL decomposition reconciles to facility AAL</t>
        </is>
      </c>
      <c r="B36" s="973" t="inlineStr">
        <is>
          <t>PASS</t>
        </is>
      </c>
      <c r="C36" s="973" t="n">
        <v>-2.328306436538696e-10</v>
      </c>
      <c r="D36" s="973" t="n">
        <v>0</v>
      </c>
    </row>
    <row r="37" ht="15" customHeight="1" s="508">
      <c r="A37" s="973" t="inlineStr">
        <is>
          <t>Scenario AAL decomposition reconciles to facility AAL</t>
        </is>
      </c>
      <c r="B37" s="973" t="inlineStr">
        <is>
          <t>PASS</t>
        </is>
      </c>
      <c r="C37" s="973" t="n">
        <v>0</v>
      </c>
      <c r="D37" s="973" t="n">
        <v>0</v>
      </c>
    </row>
    <row r="38" ht="15" customHeight="1" s="508">
      <c r="A38" s="973" t="inlineStr">
        <is>
          <t>Actor-scenario AAL matrix reconciles to facility AAL</t>
        </is>
      </c>
      <c r="B38" s="973" t="inlineStr">
        <is>
          <t>PASS</t>
        </is>
      </c>
      <c r="C38" s="973" t="n">
        <v>0</v>
      </c>
      <c r="D38" s="973" t="n">
        <v>0</v>
      </c>
    </row>
    <row r="39" ht="15" customHeight="1" s="508">
      <c r="A39" s="973" t="inlineStr">
        <is>
          <t>TVaR95 is not below VaR95</t>
        </is>
      </c>
      <c r="B39" s="973" t="inlineStr">
        <is>
          <t>PASS</t>
        </is>
      </c>
      <c r="C39" s="973" t="n">
        <v>37784371.16039231</v>
      </c>
      <c r="D39" s="973" t="inlineStr">
        <is>
          <t>&gt;= 0</t>
        </is>
      </c>
    </row>
    <row r="40" ht="15" customHeight="1" s="508">
      <c r="A40" s="973" t="inlineStr">
        <is>
          <t>TVaR99 is not below VaR99</t>
        </is>
      </c>
      <c r="B40" s="973" t="inlineStr">
        <is>
          <t>PASS</t>
        </is>
      </c>
      <c r="C40" s="973" t="n">
        <v>78061482.60400423</v>
      </c>
      <c r="D40" s="973" t="inlineStr">
        <is>
          <t>&gt;= 0</t>
        </is>
      </c>
    </row>
    <row r="41" ht="15" customHeight="1" s="508">
      <c r="A41" s="973" t="inlineStr">
        <is>
          <t>TVaR uses upper-tail Expected Shortfall when VaR is zero</t>
        </is>
      </c>
      <c r="B41" s="973" t="inlineStr">
        <is>
          <t>PASS</t>
        </is>
      </c>
      <c r="C41" s="973" t="n">
        <v>3871485.957573587</v>
      </c>
      <c r="D41" s="973" t="inlineStr">
        <is>
          <t>&gt; AAL when positive losses occupy less than half of years</t>
        </is>
      </c>
    </row>
    <row r="42" ht="15" customHeight="1" s="508">
      <c r="A42" s="973" t="inlineStr">
        <is>
          <t>Aggregate AEP LEC is monotonic toward rarer probabilities</t>
        </is>
      </c>
      <c r="B42" s="973" t="inlineStr">
        <is>
          <t>PASS</t>
        </is>
      </c>
      <c r="C42" s="973" t="inlineStr">
        <is>
          <t>monotonic</t>
        </is>
      </c>
      <c r="D42" s="973" t="inlineStr">
        <is>
          <t>monotonic</t>
        </is>
      </c>
    </row>
    <row r="43" ht="15" customHeight="1" s="508">
      <c r="A43" s="973" t="inlineStr">
        <is>
          <t>All scenario AEP LECs are monotonic</t>
        </is>
      </c>
      <c r="B43" s="973" t="inlineStr">
        <is>
          <t>PASS</t>
        </is>
      </c>
      <c r="C43" s="973" t="inlineStr">
        <is>
          <t>5 scenario curves</t>
        </is>
      </c>
      <c r="D43" s="973" t="inlineStr">
        <is>
          <t>monotonic</t>
        </is>
      </c>
    </row>
    <row r="44" ht="15" customHeight="1" s="508">
      <c r="A44" s="973" t="inlineStr">
        <is>
          <t>All actor AEP LECs are monotonic</t>
        </is>
      </c>
      <c r="B44" s="973" t="inlineStr">
        <is>
          <t>PASS</t>
        </is>
      </c>
      <c r="C44" s="973" t="inlineStr">
        <is>
          <t>3 actor curves</t>
        </is>
      </c>
      <c r="D44" s="973" t="inlineStr">
        <is>
          <t>monotonic</t>
        </is>
      </c>
    </row>
    <row r="45" ht="15" customHeight="1" s="508">
      <c r="A45" s="973" t="inlineStr">
        <is>
          <t>Every one-level control uplift is non-increasing in AAL for both views</t>
        </is>
      </c>
      <c r="B45" s="973" t="inlineStr">
        <is>
          <t>PASS</t>
        </is>
      </c>
      <c r="C45" s="973" t="n">
        <v>0</v>
      </c>
      <c r="D45" s="973" t="inlineStr">
        <is>
          <t>&gt;= 0</t>
        </is>
      </c>
    </row>
    <row r="46" ht="15" customHeight="1" s="508">
      <c r="A46" s="973" t="inlineStr">
        <is>
          <t>Fixed seed / common random numbers reproduce baseline exactly</t>
        </is>
      </c>
      <c r="B46" s="973" t="inlineStr">
        <is>
          <t>PASS</t>
        </is>
      </c>
      <c r="C46" s="973" t="inlineStr">
        <is>
          <t>exact match</t>
        </is>
      </c>
      <c r="D46" s="973" t="inlineStr">
        <is>
          <t>exact match</t>
        </is>
      </c>
    </row>
    <row r="47" ht="15" customHeight="1" s="508">
      <c r="A47" s="973" t="inlineStr">
        <is>
          <t>BI loss factor is within [0,1]</t>
        </is>
      </c>
      <c r="B47" s="973" t="inlineStr">
        <is>
          <t>PASS</t>
        </is>
      </c>
      <c r="C47" s="973" t="n">
        <v>1</v>
      </c>
      <c r="D47" s="973" t="inlineStr">
        <is>
          <t>0 to 1</t>
        </is>
      </c>
    </row>
    <row r="48" ht="15" customHeight="1" s="508">
      <c r="A48" s="973" t="inlineStr">
        <is>
          <t>Gross revenue and modelled BI are separated</t>
        </is>
      </c>
      <c r="B48" s="973" t="inlineStr">
        <is>
          <t>PASS</t>
        </is>
      </c>
      <c r="C48" s="973" t="inlineStr">
        <is>
          <t>factor 100.0%; BI matrix toggle honored</t>
        </is>
      </c>
      <c r="D48" s="973" t="inlineStr">
        <is>
          <t>BI = gross revenue disruption × factor when applicable</t>
        </is>
      </c>
    </row>
    <row r="49" ht="15" customHeight="1" s="508">
      <c r="A49" s="973" t="inlineStr">
        <is>
          <t>Impact matrix contains all 18 governed OT drivers</t>
        </is>
      </c>
      <c r="B49" s="973" t="inlineStr">
        <is>
          <t>PASS</t>
        </is>
      </c>
      <c r="C49" s="973" t="n">
        <v>18</v>
      </c>
      <c r="D49" s="973" t="n">
        <v>18</v>
      </c>
    </row>
    <row r="50" ht="15" customHeight="1" s="508">
      <c r="A50" s="973" t="inlineStr">
        <is>
          <t>Every impact driver has a supported calculation type</t>
        </is>
      </c>
      <c r="B50" s="973" t="inlineStr">
        <is>
          <t>PASS</t>
        </is>
      </c>
      <c r="C50" s="973" t="inlineStr">
        <is>
          <t>ASSET_X_SHARE_X_UNIT, BI_SCENARIO, DAILY_X_DAYS, DAILY_X_SCENARIO_DAYS, DIRECT, REVENUE_X_SHARE</t>
        </is>
      </c>
      <c r="D50" s="973" t="inlineStr">
        <is>
          <t>ASSET_X_SHARE_X_UNIT, BI_SCENARIO, DAILY_X_DAYS, DAILY_X_SCENARIO_DAYS, DIRECT, REVENUE_X_SHARE</t>
        </is>
      </c>
    </row>
    <row r="51" ht="15" customHeight="1" s="508">
      <c r="A51" s="973" t="inlineStr">
        <is>
          <t>All five scenarios have valid P50/P99 downtime and capacity calibration</t>
        </is>
      </c>
      <c r="B51" s="973" t="inlineStr">
        <is>
          <t>PASS</t>
        </is>
      </c>
      <c r="C51" s="973" t="n">
        <v>5</v>
      </c>
      <c r="D51" s="973" t="n">
        <v>5</v>
      </c>
    </row>
    <row r="52" ht="15" customHeight="1" s="508">
      <c r="A52" s="973" t="inlineStr">
        <is>
          <t>All calculated impact-driver P50/P99 pairs are non-negative and ordered</t>
        </is>
      </c>
      <c r="B52" s="973" t="inlineStr">
        <is>
          <t>PASS</t>
        </is>
      </c>
      <c r="C52" s="973" t="n">
        <v>90</v>
      </c>
      <c r="D52" s="973" t="n">
        <v>90</v>
      </c>
    </row>
    <row r="53" ht="15" customHeight="1" s="508">
      <c r="A53" s="973" t="inlineStr">
        <is>
          <t>Scenario applicability toggles are honored by the impact engine</t>
        </is>
      </c>
      <c r="B53" s="973" t="inlineStr">
        <is>
          <t>PASS</t>
        </is>
      </c>
      <c r="C53" s="973" t="n">
        <v>11</v>
      </c>
      <c r="D53" s="973" t="inlineStr">
        <is>
          <t>&gt; 0 inactive driver-scenario pairs excluded</t>
        </is>
      </c>
    </row>
    <row r="54" ht="15" customHeight="1" s="508">
      <c r="A54" s="973" t="inlineStr">
        <is>
          <t>Generic consumer-breach cost rows are not default OT drivers</t>
        </is>
      </c>
      <c r="B54" s="973" t="inlineStr">
        <is>
          <t>PASS</t>
        </is>
      </c>
      <c r="C54" s="973" t="inlineStr">
        <is>
          <t>none</t>
        </is>
      </c>
      <c r="D54" s="973" t="inlineStr">
        <is>
          <t>none</t>
        </is>
      </c>
    </row>
    <row r="55" ht="15" customHeight="1" s="508">
      <c r="A55" s="973" t="inlineStr">
        <is>
          <t>Tail basis is TVaR 99% for insurance / risk financing</t>
        </is>
      </c>
      <c r="B55" s="973" t="inlineStr">
        <is>
          <t>PASS</t>
        </is>
      </c>
      <c r="C55" s="973" t="inlineStr">
        <is>
          <t>TVaR 99%</t>
        </is>
      </c>
      <c r="D55" s="973" t="inlineStr">
        <is>
          <t>TVaR 99%</t>
        </is>
      </c>
    </row>
    <row r="56" ht="15" customHeight="1" s="508">
      <c r="A56" s="973" t="inlineStr">
        <is>
          <t>Selected TVaR equals TVaR 99%</t>
        </is>
      </c>
      <c r="B56" s="973" t="inlineStr">
        <is>
          <t>PASS</t>
        </is>
      </c>
      <c r="C56" s="973" t="inlineStr">
        <is>
          <t>both views checked</t>
        </is>
      </c>
      <c r="D56" s="973" t="inlineStr">
        <is>
          <t>Selected TVaR = TVaR 99%</t>
        </is>
      </c>
    </row>
    <row r="57" ht="15" customHeight="1" s="508">
      <c r="A57" s="973" t="inlineStr">
        <is>
          <t>Tail transfer equals selected TVaR less retention</t>
        </is>
      </c>
      <c r="B57" s="973" t="inlineStr">
        <is>
          <t>PASS</t>
        </is>
      </c>
      <c r="C57" s="973" t="inlineStr">
        <is>
          <t>both views checked</t>
        </is>
      </c>
      <c r="D57" s="973" t="inlineStr">
        <is>
          <t>max(selected TVaR - retention, 0)</t>
        </is>
      </c>
    </row>
    <row r="58" ht="15" customHeight="1" s="508">
      <c r="A58" s="973" t="inlineStr">
        <is>
          <t>Supply-chain and wireless frequency multipliers are neutral</t>
        </is>
      </c>
      <c r="B58" s="973" t="inlineStr">
        <is>
          <t>PASS</t>
        </is>
      </c>
      <c r="C58" s="973" t="inlineStr">
        <is>
          <t>all four options</t>
        </is>
      </c>
      <c r="D58" s="973" t="inlineStr">
        <is>
          <t>1.00; feasibility-only</t>
        </is>
      </c>
    </row>
    <row r="59" ht="15" customHeight="1" s="508">
      <c r="A59" s="973" t="inlineStr">
        <is>
          <t>Safety-system absence gates Safety System Compromise</t>
        </is>
      </c>
      <c r="B59" s="973" t="inlineStr">
        <is>
          <t>PASS</t>
        </is>
      </c>
      <c r="C59" s="973" t="inlineStr">
        <is>
          <t>all 3 invalid</t>
        </is>
      </c>
      <c r="D59" s="973" t="inlineStr">
        <is>
          <t>all 3 invalid</t>
        </is>
      </c>
    </row>
    <row r="60" ht="15" customHeight="1" s="508">
      <c r="A60" s="973" t="inlineStr">
        <is>
          <t>Wireless facility input changes wireless-TTP feasibility</t>
        </is>
      </c>
      <c r="B60" s="973" t="inlineStr">
        <is>
          <t>PASS</t>
        </is>
      </c>
      <c r="C60" s="973" t="inlineStr">
        <is>
          <t>0 -&gt; 2</t>
        </is>
      </c>
      <c r="D60" s="973" t="inlineStr">
        <is>
          <t>increase</t>
        </is>
      </c>
    </row>
    <row r="61">
      <c r="A61" s="973" t="inlineStr">
        <is>
          <t>Removing remote access and IT-OT connectivity removes remote TTPs</t>
        </is>
      </c>
      <c r="B61" s="973" t="inlineStr">
        <is>
          <t>PASS</t>
        </is>
      </c>
      <c r="C61" s="973" t="inlineStr">
        <is>
          <t>3 -&gt; 0</t>
        </is>
      </c>
      <c r="D61" s="973" t="inlineStr">
        <is>
          <t>decrease</t>
        </is>
      </c>
    </row>
    <row r="62">
      <c r="A62" s="973" t="inlineStr">
        <is>
          <t>Selected sector resolves to one registered pack</t>
        </is>
      </c>
      <c r="B62" s="973" t="inlineStr">
        <is>
          <t>PASS</t>
        </is>
      </c>
      <c r="C62" s="973" t="inlineStr">
        <is>
          <t>Power Generation / PG-v1.6</t>
        </is>
      </c>
      <c r="D62" s="973" t="inlineStr">
        <is>
          <t>one explicit pack</t>
        </is>
      </c>
    </row>
    <row r="63">
      <c r="A63" s="973" t="inlineStr">
        <is>
          <t>Selected asset type belongs to selected sector</t>
        </is>
      </c>
      <c r="B63" s="973" t="inlineStr">
        <is>
          <t>PASS</t>
        </is>
      </c>
      <c r="C63" s="973" t="inlineStr">
        <is>
          <t>Power Generation / CCGT</t>
        </is>
      </c>
      <c r="D63" s="973" t="inlineStr">
        <is>
          <t>one explicit sector/asset row</t>
        </is>
      </c>
    </row>
    <row r="64">
      <c r="A64" s="973" t="inlineStr">
        <is>
          <t>Selected asset type has an explicit actor-frequency overlay</t>
        </is>
      </c>
      <c r="B64" s="973" t="inlineStr">
        <is>
          <t>PASS</t>
        </is>
      </c>
      <c r="C64" s="973" t="inlineStr">
        <is>
          <t>{'Nation State': 1.0, 'Cybercriminal': 1.0, 'Malicious Insider': 1.0}</t>
        </is>
      </c>
      <c r="D64" s="973" t="inlineStr">
        <is>
          <t>three explicit actor multipliers</t>
        </is>
      </c>
    </row>
    <row r="65">
      <c r="A65" s="973" t="inlineStr">
        <is>
          <t>Selected sector has a rationale row for every governed TTP</t>
        </is>
      </c>
      <c r="B65" s="973" t="inlineStr">
        <is>
          <t>PASS</t>
        </is>
      </c>
      <c r="C65" s="973" t="n">
        <v>97</v>
      </c>
      <c r="D65" s="973" t="n">
        <v>97</v>
      </c>
    </row>
    <row r="66">
      <c r="A66" s="973" t="inlineStr">
        <is>
          <t>All selected-sector TTP rows have explicit default applicability</t>
        </is>
      </c>
      <c r="B66" s="973" t="inlineStr">
        <is>
          <t>PASS</t>
        </is>
      </c>
      <c r="C66" s="973" t="n">
        <v>97</v>
      </c>
      <c r="D66" s="973" t="inlineStr">
        <is>
          <t>all Yes/No</t>
        </is>
      </c>
    </row>
    <row r="67">
      <c r="A67" s="973" t="inlineStr">
        <is>
          <t>Composite stage-barrier methodology retained</t>
        </is>
      </c>
      <c r="B67" s="973" t="inlineStr">
        <is>
          <t>PASS</t>
        </is>
      </c>
      <c r="C67" s="973" t="inlineStr">
        <is>
          <t>stage barriers averaged; S1-S5 multiplied</t>
        </is>
      </c>
      <c r="D67" s="973" t="inlineStr">
        <is>
          <t>no discrete path selection</t>
        </is>
      </c>
    </row>
    <row r="68">
      <c r="A68" s="973" t="inlineStr">
        <is>
          <t>Selected geography resolves to an explicit calibration row</t>
        </is>
      </c>
      <c r="B68" s="973" t="inlineStr">
        <is>
          <t>PASS</t>
        </is>
      </c>
      <c r="C68" s="973" t="inlineStr">
        <is>
          <t>UAE / GCC</t>
        </is>
      </c>
      <c r="D68" s="973" t="inlineStr">
        <is>
          <t>explicit row; no silent fallback</t>
        </is>
      </c>
    </row>
    <row r="69">
      <c r="A69" s="973" t="n"/>
      <c r="B69" s="973" t="n"/>
      <c r="C69" s="973" t="n"/>
      <c r="D69" s="973" t="n"/>
    </row>
    <row r="70">
      <c r="A70" s="973" t="n"/>
      <c r="B70" s="973" t="n"/>
      <c r="C70" s="973" t="n"/>
      <c r="D70" s="973" t="n"/>
    </row>
  </sheetData>
  <mergeCells count="14">
    <mergeCell ref="A13:G13"/>
    <mergeCell ref="A1:G1"/>
    <mergeCell ref="A9:G9"/>
    <mergeCell ref="A8:G8"/>
    <mergeCell ref="A3:G3"/>
    <mergeCell ref="A6:G6"/>
    <mergeCell ref="A12:G12"/>
    <mergeCell ref="A4:G4"/>
    <mergeCell ref="A15:D15"/>
    <mergeCell ref="A2:G2"/>
    <mergeCell ref="A7:G7"/>
    <mergeCell ref="A11:G11"/>
    <mergeCell ref="A10:G10"/>
    <mergeCell ref="A5:G5"/>
  </mergeCells>
  <conditionalFormatting sqref="B18:B60">
    <cfRule type="expression" rank="0" priority="2" equalAverage="0" aboveAverage="0" dxfId="0" percent="0" bottom="0">
      <formula>B18="FAIL"</formula>
    </cfRule>
    <cfRule type="expression" rank="0" priority="3" equalAverage="0" aboveAverage="0" dxfId="1" percent="0" bottom="0">
      <formula>B18="PASS"</formula>
    </cfRule>
  </conditionalFormatting>
  <pageMargins left="0.7" right="0.7" top="0.75" bottom="0.75" header="0.3" footer="0.3"/>
</worksheet>
</file>

<file path=xl/worksheets/sheet76.xml><?xml version="1.0" encoding="utf-8"?>
<worksheet xmlns="http://schemas.openxmlformats.org/spreadsheetml/2006/main">
  <sheetPr>
    <tabColor rgb="001F4E79"/>
    <outlinePr summaryBelow="1" summaryRight="1"/>
    <pageSetUpPr/>
  </sheetPr>
  <dimension ref="A1:R115"/>
  <sheetViews>
    <sheetView workbookViewId="0">
      <selection activeCell="A1" sqref="A1"/>
    </sheetView>
  </sheetViews>
  <sheetFormatPr baseColWidth="8" defaultRowHeight="15"/>
  <cols>
    <col width="16" customWidth="1" style="508" min="1" max="1"/>
    <col width="16" customWidth="1" style="508" min="2" max="2"/>
    <col width="14" customWidth="1" style="508" min="3" max="3"/>
    <col width="22" customWidth="1" style="508" min="4" max="4"/>
    <col width="22" customWidth="1" style="508" min="5" max="5"/>
    <col width="22" customWidth="1" style="508" min="6" max="6"/>
    <col width="14" customWidth="1" style="508" min="7" max="7"/>
    <col width="14" customWidth="1" style="508" min="8" max="8"/>
    <col width="14" customWidth="1" style="508" min="9" max="9"/>
    <col width="28" customWidth="1" style="508" min="10" max="10"/>
    <col width="28" customWidth="1" style="508" min="11" max="11"/>
    <col width="28" customWidth="1" style="508" min="12" max="12"/>
    <col width="14" customWidth="1" style="508" min="13" max="13"/>
    <col width="14" customWidth="1" style="508" min="14" max="14"/>
    <col width="14" customWidth="1" style="508" min="15" max="15"/>
    <col width="18" customWidth="1" style="508" min="16" max="16"/>
    <col width="18" customWidth="1" style="508" min="17" max="17"/>
    <col width="18" customWidth="1" style="508" min="18" max="18"/>
  </cols>
  <sheetData>
    <row r="1" ht="30" customHeight="1" s="508">
      <c r="A1" s="838" t="inlineStr">
        <is>
          <t>OUTSIDE-IN ADJUSTMENT RATIONALE &amp; AUDIT TRAIL</t>
        </is>
      </c>
    </row>
    <row r="2" ht="32" customHeight="1" s="508">
      <c r="A2" s="842" t="inlineStr">
        <is>
          <t>Every scan-driven numerical or feasibility amendment must be visible here. Baseline assumptions remain preserved; this sheet documents the evidence-conditioned value, mapping logic, reviewer approval and run in which it was applied.</t>
        </is>
      </c>
    </row>
    <row r="4" ht="22" customHeight="1" s="508">
      <c r="A4" s="845" t="inlineStr">
        <is>
          <t>CONDITIONING SUMMARY</t>
        </is>
      </c>
    </row>
    <row r="5" ht="30" customHeight="1" s="508">
      <c r="A5" s="851" t="inlineStr">
        <is>
          <t>Metric</t>
        </is>
      </c>
      <c r="B5" s="851" t="inlineStr">
        <is>
          <t>Baseline</t>
        </is>
      </c>
      <c r="C5" s="851" t="inlineStr">
        <is>
          <t>Outside-in conditioned</t>
        </is>
      </c>
      <c r="D5" s="851" t="inlineStr">
        <is>
          <t>Delta</t>
        </is>
      </c>
      <c r="F5" s="884" t="inlineStr">
        <is>
          <t>The baseline column is the result before outside-in evidence. The conditioned column is produced only when Apply outside-in = Yes and approved findings alter existing model inputs. A result with no scan should show Baseline = Final and zero adjustments.</t>
        </is>
      </c>
    </row>
    <row r="6">
      <c r="A6" s="918" t="inlineStr">
        <is>
          <t>AAL</t>
        </is>
      </c>
      <c r="B6" s="998" t="n"/>
      <c r="C6" s="998" t="n"/>
      <c r="D6" s="998" t="n"/>
    </row>
    <row r="7">
      <c r="A7" s="918" t="inlineStr">
        <is>
          <t>TVaR 99%</t>
        </is>
      </c>
      <c r="B7" s="998" t="n"/>
      <c r="C7" s="998" t="n"/>
      <c r="D7" s="998" t="n"/>
    </row>
    <row r="8">
      <c r="A8" s="918" t="inlineStr">
        <is>
          <t>P(any successful event)</t>
        </is>
      </c>
      <c r="B8" s="876" t="n"/>
      <c r="C8" s="876" t="n"/>
      <c r="D8" s="876" t="n"/>
    </row>
    <row r="9">
      <c r="A9" s="918" t="inlineStr">
        <is>
          <t>Successful event frequency / yr</t>
        </is>
      </c>
      <c r="B9" s="879" t="n"/>
      <c r="C9" s="879" t="n"/>
      <c r="D9" s="879" t="n"/>
    </row>
    <row r="10">
      <c r="A10" s="918" t="inlineStr">
        <is>
          <t>Material campaign frequency / yr</t>
        </is>
      </c>
      <c r="B10" s="879" t="n"/>
      <c r="C10" s="879" t="n"/>
      <c r="D10" s="879" t="n"/>
    </row>
    <row r="13" ht="22" customHeight="1" s="508">
      <c r="A13" s="845" t="inlineStr">
        <is>
          <t>ADJUSTMENT REGISTER</t>
        </is>
      </c>
    </row>
    <row r="14" ht="30" customHeight="1" s="508">
      <c r="A14" s="851" t="inlineStr">
        <is>
          <t>Adjustment ID</t>
        </is>
      </c>
      <c r="B14" s="851" t="inlineStr">
        <is>
          <t>Finding ID(s)</t>
        </is>
      </c>
      <c r="C14" s="851" t="inlineStr">
        <is>
          <t>Domain</t>
        </is>
      </c>
      <c r="D14" s="851" t="inlineStr">
        <is>
          <t>Actor / scenario / route</t>
        </is>
      </c>
      <c r="E14" s="851" t="inlineStr">
        <is>
          <t>Target class</t>
        </is>
      </c>
      <c r="F14" s="851" t="inlineStr">
        <is>
          <t>Target input / stage</t>
        </is>
      </c>
      <c r="G14" s="851" t="inlineStr">
        <is>
          <t>Baseline value</t>
        </is>
      </c>
      <c r="H14" s="851" t="inlineStr">
        <is>
          <t>Conditioned value</t>
        </is>
      </c>
      <c r="I14" s="851" t="inlineStr">
        <is>
          <t>Relative change</t>
        </is>
      </c>
      <c r="J14" s="851" t="inlineStr">
        <is>
          <t>Mapping rule</t>
        </is>
      </c>
      <c r="K14" s="851" t="inlineStr">
        <is>
          <t>Why adjustment is warranted</t>
        </is>
      </c>
      <c r="L14" s="851" t="inlineStr">
        <is>
          <t>Why no double count</t>
        </is>
      </c>
      <c r="M14" s="851" t="inlineStr">
        <is>
          <t>Attribution confidence</t>
        </is>
      </c>
      <c r="N14" s="851" t="inlineStr">
        <is>
          <t>Evidence strength</t>
        </is>
      </c>
      <c r="O14" s="851" t="inlineStr">
        <is>
          <t>Approval status</t>
        </is>
      </c>
      <c r="P14" s="851" t="inlineStr">
        <is>
          <t>Reviewer</t>
        </is>
      </c>
      <c r="Q14" s="851" t="inlineStr">
        <is>
          <t>Applied run ID</t>
        </is>
      </c>
      <c r="R14" s="851" t="inlineStr">
        <is>
          <t>Timestamp</t>
        </is>
      </c>
    </row>
    <row r="15">
      <c r="A15" s="918" t="n"/>
      <c r="B15" s="918" t="n"/>
      <c r="C15" s="918" t="n"/>
      <c r="D15" s="918" t="n"/>
      <c r="E15" s="918" t="n"/>
      <c r="F15" s="918" t="n"/>
      <c r="G15" s="879" t="n"/>
      <c r="H15" s="879" t="n"/>
      <c r="I15" s="879" t="n"/>
      <c r="J15" s="918" t="n"/>
      <c r="K15" s="918" t="n"/>
      <c r="L15" s="918" t="n"/>
      <c r="M15" s="918" t="n"/>
      <c r="N15" s="918" t="n"/>
      <c r="O15" s="918" t="n"/>
      <c r="P15" s="918" t="n"/>
      <c r="Q15" s="918" t="n"/>
      <c r="R15" s="1002" t="n"/>
    </row>
    <row r="16">
      <c r="A16" s="918" t="n"/>
      <c r="B16" s="918" t="n"/>
      <c r="C16" s="918" t="n"/>
      <c r="D16" s="918" t="n"/>
      <c r="E16" s="918" t="n"/>
      <c r="F16" s="918" t="n"/>
      <c r="G16" s="879" t="n"/>
      <c r="H16" s="879" t="n"/>
      <c r="I16" s="879" t="n"/>
      <c r="J16" s="918" t="n"/>
      <c r="K16" s="918" t="n"/>
      <c r="L16" s="918" t="n"/>
      <c r="M16" s="918" t="n"/>
      <c r="N16" s="918" t="n"/>
      <c r="O16" s="918" t="n"/>
      <c r="P16" s="918" t="n"/>
      <c r="Q16" s="918" t="n"/>
      <c r="R16" s="1002" t="n"/>
    </row>
    <row r="17">
      <c r="A17" s="918" t="n"/>
      <c r="B17" s="918" t="n"/>
      <c r="C17" s="918" t="n"/>
      <c r="D17" s="918" t="n"/>
      <c r="E17" s="918" t="n"/>
      <c r="F17" s="918" t="n"/>
      <c r="G17" s="879" t="n"/>
      <c r="H17" s="879" t="n"/>
      <c r="I17" s="879" t="n"/>
      <c r="J17" s="918" t="n"/>
      <c r="K17" s="918" t="n"/>
      <c r="L17" s="918" t="n"/>
      <c r="M17" s="918" t="n"/>
      <c r="N17" s="918" t="n"/>
      <c r="O17" s="918" t="n"/>
      <c r="P17" s="918" t="n"/>
      <c r="Q17" s="918" t="n"/>
      <c r="R17" s="1002" t="n"/>
    </row>
    <row r="18">
      <c r="A18" s="918" t="n"/>
      <c r="B18" s="918" t="n"/>
      <c r="C18" s="918" t="n"/>
      <c r="D18" s="918" t="n"/>
      <c r="E18" s="918" t="n"/>
      <c r="F18" s="918" t="n"/>
      <c r="G18" s="879" t="n"/>
      <c r="H18" s="879" t="n"/>
      <c r="I18" s="879" t="n"/>
      <c r="J18" s="918" t="n"/>
      <c r="K18" s="918" t="n"/>
      <c r="L18" s="918" t="n"/>
      <c r="M18" s="918" t="n"/>
      <c r="N18" s="918" t="n"/>
      <c r="O18" s="918" t="n"/>
      <c r="P18" s="918" t="n"/>
      <c r="Q18" s="918" t="n"/>
      <c r="R18" s="1002" t="n"/>
    </row>
    <row r="19">
      <c r="A19" s="918" t="n"/>
      <c r="B19" s="918" t="n"/>
      <c r="C19" s="918" t="n"/>
      <c r="D19" s="918" t="n"/>
      <c r="E19" s="918" t="n"/>
      <c r="F19" s="918" t="n"/>
      <c r="G19" s="879" t="n"/>
      <c r="H19" s="879" t="n"/>
      <c r="I19" s="879" t="n"/>
      <c r="J19" s="918" t="n"/>
      <c r="K19" s="918" t="n"/>
      <c r="L19" s="918" t="n"/>
      <c r="M19" s="918" t="n"/>
      <c r="N19" s="918" t="n"/>
      <c r="O19" s="918" t="n"/>
      <c r="P19" s="918" t="n"/>
      <c r="Q19" s="918" t="n"/>
      <c r="R19" s="1002" t="n"/>
    </row>
    <row r="20">
      <c r="A20" s="918" t="n"/>
      <c r="B20" s="918" t="n"/>
      <c r="C20" s="918" t="n"/>
      <c r="D20" s="918" t="n"/>
      <c r="E20" s="918" t="n"/>
      <c r="F20" s="918" t="n"/>
      <c r="G20" s="879" t="n"/>
      <c r="H20" s="879" t="n"/>
      <c r="I20" s="879" t="n"/>
      <c r="J20" s="918" t="n"/>
      <c r="K20" s="918" t="n"/>
      <c r="L20" s="918" t="n"/>
      <c r="M20" s="918" t="n"/>
      <c r="N20" s="918" t="n"/>
      <c r="O20" s="918" t="n"/>
      <c r="P20" s="918" t="n"/>
      <c r="Q20" s="918" t="n"/>
      <c r="R20" s="1002" t="n"/>
    </row>
    <row r="21">
      <c r="A21" s="918" t="n"/>
      <c r="B21" s="918" t="n"/>
      <c r="C21" s="918" t="n"/>
      <c r="D21" s="918" t="n"/>
      <c r="E21" s="918" t="n"/>
      <c r="F21" s="918" t="n"/>
      <c r="G21" s="879" t="n"/>
      <c r="H21" s="879" t="n"/>
      <c r="I21" s="879" t="n"/>
      <c r="J21" s="918" t="n"/>
      <c r="K21" s="918" t="n"/>
      <c r="L21" s="918" t="n"/>
      <c r="M21" s="918" t="n"/>
      <c r="N21" s="918" t="n"/>
      <c r="O21" s="918" t="n"/>
      <c r="P21" s="918" t="n"/>
      <c r="Q21" s="918" t="n"/>
      <c r="R21" s="1002" t="n"/>
    </row>
    <row r="22">
      <c r="A22" s="918" t="n"/>
      <c r="B22" s="918" t="n"/>
      <c r="C22" s="918" t="n"/>
      <c r="D22" s="918" t="n"/>
      <c r="E22" s="918" t="n"/>
      <c r="F22" s="918" t="n"/>
      <c r="G22" s="879" t="n"/>
      <c r="H22" s="879" t="n"/>
      <c r="I22" s="879" t="n"/>
      <c r="J22" s="918" t="n"/>
      <c r="K22" s="918" t="n"/>
      <c r="L22" s="918" t="n"/>
      <c r="M22" s="918" t="n"/>
      <c r="N22" s="918" t="n"/>
      <c r="O22" s="918" t="n"/>
      <c r="P22" s="918" t="n"/>
      <c r="Q22" s="918" t="n"/>
      <c r="R22" s="1002" t="n"/>
    </row>
    <row r="23">
      <c r="A23" s="918" t="n"/>
      <c r="B23" s="918" t="n"/>
      <c r="C23" s="918" t="n"/>
      <c r="D23" s="918" t="n"/>
      <c r="E23" s="918" t="n"/>
      <c r="F23" s="918" t="n"/>
      <c r="G23" s="879" t="n"/>
      <c r="H23" s="879" t="n"/>
      <c r="I23" s="879" t="n"/>
      <c r="J23" s="918" t="n"/>
      <c r="K23" s="918" t="n"/>
      <c r="L23" s="918" t="n"/>
      <c r="M23" s="918" t="n"/>
      <c r="N23" s="918" t="n"/>
      <c r="O23" s="918" t="n"/>
      <c r="P23" s="918" t="n"/>
      <c r="Q23" s="918" t="n"/>
      <c r="R23" s="1002" t="n"/>
    </row>
    <row r="24">
      <c r="A24" s="918" t="n"/>
      <c r="B24" s="918" t="n"/>
      <c r="C24" s="918" t="n"/>
      <c r="D24" s="918" t="n"/>
      <c r="E24" s="918" t="n"/>
      <c r="F24" s="918" t="n"/>
      <c r="G24" s="879" t="n"/>
      <c r="H24" s="879" t="n"/>
      <c r="I24" s="879" t="n"/>
      <c r="J24" s="918" t="n"/>
      <c r="K24" s="918" t="n"/>
      <c r="L24" s="918" t="n"/>
      <c r="M24" s="918" t="n"/>
      <c r="N24" s="918" t="n"/>
      <c r="O24" s="918" t="n"/>
      <c r="P24" s="918" t="n"/>
      <c r="Q24" s="918" t="n"/>
      <c r="R24" s="1002" t="n"/>
    </row>
    <row r="25">
      <c r="A25" s="918" t="n"/>
      <c r="B25" s="918" t="n"/>
      <c r="C25" s="918" t="n"/>
      <c r="D25" s="918" t="n"/>
      <c r="E25" s="918" t="n"/>
      <c r="F25" s="918" t="n"/>
      <c r="G25" s="879" t="n"/>
      <c r="H25" s="879" t="n"/>
      <c r="I25" s="879" t="n"/>
      <c r="J25" s="918" t="n"/>
      <c r="K25" s="918" t="n"/>
      <c r="L25" s="918" t="n"/>
      <c r="M25" s="918" t="n"/>
      <c r="N25" s="918" t="n"/>
      <c r="O25" s="918" t="n"/>
      <c r="P25" s="918" t="n"/>
      <c r="Q25" s="918" t="n"/>
      <c r="R25" s="1002" t="n"/>
    </row>
    <row r="26">
      <c r="A26" s="918" t="n"/>
      <c r="B26" s="918" t="n"/>
      <c r="C26" s="918" t="n"/>
      <c r="D26" s="918" t="n"/>
      <c r="E26" s="918" t="n"/>
      <c r="F26" s="918" t="n"/>
      <c r="G26" s="879" t="n"/>
      <c r="H26" s="879" t="n"/>
      <c r="I26" s="879" t="n"/>
      <c r="J26" s="918" t="n"/>
      <c r="K26" s="918" t="n"/>
      <c r="L26" s="918" t="n"/>
      <c r="M26" s="918" t="n"/>
      <c r="N26" s="918" t="n"/>
      <c r="O26" s="918" t="n"/>
      <c r="P26" s="918" t="n"/>
      <c r="Q26" s="918" t="n"/>
      <c r="R26" s="1002" t="n"/>
    </row>
    <row r="27">
      <c r="A27" s="918" t="n"/>
      <c r="B27" s="918" t="n"/>
      <c r="C27" s="918" t="n"/>
      <c r="D27" s="918" t="n"/>
      <c r="E27" s="918" t="n"/>
      <c r="F27" s="918" t="n"/>
      <c r="G27" s="879" t="n"/>
      <c r="H27" s="879" t="n"/>
      <c r="I27" s="879" t="n"/>
      <c r="J27" s="918" t="n"/>
      <c r="K27" s="918" t="n"/>
      <c r="L27" s="918" t="n"/>
      <c r="M27" s="918" t="n"/>
      <c r="N27" s="918" t="n"/>
      <c r="O27" s="918" t="n"/>
      <c r="P27" s="918" t="n"/>
      <c r="Q27" s="918" t="n"/>
      <c r="R27" s="1002" t="n"/>
    </row>
    <row r="28">
      <c r="A28" s="918" t="n"/>
      <c r="B28" s="918" t="n"/>
      <c r="C28" s="918" t="n"/>
      <c r="D28" s="918" t="n"/>
      <c r="E28" s="918" t="n"/>
      <c r="F28" s="918" t="n"/>
      <c r="G28" s="879" t="n"/>
      <c r="H28" s="879" t="n"/>
      <c r="I28" s="879" t="n"/>
      <c r="J28" s="918" t="n"/>
      <c r="K28" s="918" t="n"/>
      <c r="L28" s="918" t="n"/>
      <c r="M28" s="918" t="n"/>
      <c r="N28" s="918" t="n"/>
      <c r="O28" s="918" t="n"/>
      <c r="P28" s="918" t="n"/>
      <c r="Q28" s="918" t="n"/>
      <c r="R28" s="1002" t="n"/>
    </row>
    <row r="29">
      <c r="A29" s="918" t="n"/>
      <c r="B29" s="918" t="n"/>
      <c r="C29" s="918" t="n"/>
      <c r="D29" s="918" t="n"/>
      <c r="E29" s="918" t="n"/>
      <c r="F29" s="918" t="n"/>
      <c r="G29" s="879" t="n"/>
      <c r="H29" s="879" t="n"/>
      <c r="I29" s="879" t="n"/>
      <c r="J29" s="918" t="n"/>
      <c r="K29" s="918" t="n"/>
      <c r="L29" s="918" t="n"/>
      <c r="M29" s="918" t="n"/>
      <c r="N29" s="918" t="n"/>
      <c r="O29" s="918" t="n"/>
      <c r="P29" s="918" t="n"/>
      <c r="Q29" s="918" t="n"/>
      <c r="R29" s="1002" t="n"/>
    </row>
    <row r="30">
      <c r="A30" s="918" t="n"/>
      <c r="B30" s="918" t="n"/>
      <c r="C30" s="918" t="n"/>
      <c r="D30" s="918" t="n"/>
      <c r="E30" s="918" t="n"/>
      <c r="F30" s="918" t="n"/>
      <c r="G30" s="879" t="n"/>
      <c r="H30" s="879" t="n"/>
      <c r="I30" s="879" t="n"/>
      <c r="J30" s="918" t="n"/>
      <c r="K30" s="918" t="n"/>
      <c r="L30" s="918" t="n"/>
      <c r="M30" s="918" t="n"/>
      <c r="N30" s="918" t="n"/>
      <c r="O30" s="918" t="n"/>
      <c r="P30" s="918" t="n"/>
      <c r="Q30" s="918" t="n"/>
      <c r="R30" s="1002" t="n"/>
    </row>
    <row r="31">
      <c r="A31" s="918" t="n"/>
      <c r="B31" s="918" t="n"/>
      <c r="C31" s="918" t="n"/>
      <c r="D31" s="918" t="n"/>
      <c r="E31" s="918" t="n"/>
      <c r="F31" s="918" t="n"/>
      <c r="G31" s="879" t="n"/>
      <c r="H31" s="879" t="n"/>
      <c r="I31" s="879" t="n"/>
      <c r="J31" s="918" t="n"/>
      <c r="K31" s="918" t="n"/>
      <c r="L31" s="918" t="n"/>
      <c r="M31" s="918" t="n"/>
      <c r="N31" s="918" t="n"/>
      <c r="O31" s="918" t="n"/>
      <c r="P31" s="918" t="n"/>
      <c r="Q31" s="918" t="n"/>
      <c r="R31" s="1002" t="n"/>
    </row>
    <row r="32">
      <c r="A32" s="918" t="n"/>
      <c r="B32" s="918" t="n"/>
      <c r="C32" s="918" t="n"/>
      <c r="D32" s="918" t="n"/>
      <c r="E32" s="918" t="n"/>
      <c r="F32" s="918" t="n"/>
      <c r="G32" s="879" t="n"/>
      <c r="H32" s="879" t="n"/>
      <c r="I32" s="879" t="n"/>
      <c r="J32" s="918" t="n"/>
      <c r="K32" s="918" t="n"/>
      <c r="L32" s="918" t="n"/>
      <c r="M32" s="918" t="n"/>
      <c r="N32" s="918" t="n"/>
      <c r="O32" s="918" t="n"/>
      <c r="P32" s="918" t="n"/>
      <c r="Q32" s="918" t="n"/>
      <c r="R32" s="1002" t="n"/>
    </row>
    <row r="33">
      <c r="A33" s="918" t="n"/>
      <c r="B33" s="918" t="n"/>
      <c r="C33" s="918" t="n"/>
      <c r="D33" s="918" t="n"/>
      <c r="E33" s="918" t="n"/>
      <c r="F33" s="918" t="n"/>
      <c r="G33" s="879" t="n"/>
      <c r="H33" s="879" t="n"/>
      <c r="I33" s="879" t="n"/>
      <c r="J33" s="918" t="n"/>
      <c r="K33" s="918" t="n"/>
      <c r="L33" s="918" t="n"/>
      <c r="M33" s="918" t="n"/>
      <c r="N33" s="918" t="n"/>
      <c r="O33" s="918" t="n"/>
      <c r="P33" s="918" t="n"/>
      <c r="Q33" s="918" t="n"/>
      <c r="R33" s="1002" t="n"/>
    </row>
    <row r="34">
      <c r="A34" s="918" t="n"/>
      <c r="B34" s="918" t="n"/>
      <c r="C34" s="918" t="n"/>
      <c r="D34" s="918" t="n"/>
      <c r="E34" s="918" t="n"/>
      <c r="F34" s="918" t="n"/>
      <c r="G34" s="879" t="n"/>
      <c r="H34" s="879" t="n"/>
      <c r="I34" s="879" t="n"/>
      <c r="J34" s="918" t="n"/>
      <c r="K34" s="918" t="n"/>
      <c r="L34" s="918" t="n"/>
      <c r="M34" s="918" t="n"/>
      <c r="N34" s="918" t="n"/>
      <c r="O34" s="918" t="n"/>
      <c r="P34" s="918" t="n"/>
      <c r="Q34" s="918" t="n"/>
      <c r="R34" s="1002" t="n"/>
    </row>
    <row r="35">
      <c r="A35" s="918" t="n"/>
      <c r="B35" s="918" t="n"/>
      <c r="C35" s="918" t="n"/>
      <c r="D35" s="918" t="n"/>
      <c r="E35" s="918" t="n"/>
      <c r="F35" s="918" t="n"/>
      <c r="G35" s="879" t="n"/>
      <c r="H35" s="879" t="n"/>
      <c r="I35" s="879" t="n"/>
      <c r="J35" s="918" t="n"/>
      <c r="K35" s="918" t="n"/>
      <c r="L35" s="918" t="n"/>
      <c r="M35" s="918" t="n"/>
      <c r="N35" s="918" t="n"/>
      <c r="O35" s="918" t="n"/>
      <c r="P35" s="918" t="n"/>
      <c r="Q35" s="918" t="n"/>
      <c r="R35" s="1002" t="n"/>
    </row>
    <row r="36">
      <c r="A36" s="918" t="n"/>
      <c r="B36" s="918" t="n"/>
      <c r="C36" s="918" t="n"/>
      <c r="D36" s="918" t="n"/>
      <c r="E36" s="918" t="n"/>
      <c r="F36" s="918" t="n"/>
      <c r="G36" s="879" t="n"/>
      <c r="H36" s="879" t="n"/>
      <c r="I36" s="879" t="n"/>
      <c r="J36" s="918" t="n"/>
      <c r="K36" s="918" t="n"/>
      <c r="L36" s="918" t="n"/>
      <c r="M36" s="918" t="n"/>
      <c r="N36" s="918" t="n"/>
      <c r="O36" s="918" t="n"/>
      <c r="P36" s="918" t="n"/>
      <c r="Q36" s="918" t="n"/>
      <c r="R36" s="1002" t="n"/>
    </row>
    <row r="37">
      <c r="A37" s="918" t="n"/>
      <c r="B37" s="918" t="n"/>
      <c r="C37" s="918" t="n"/>
      <c r="D37" s="918" t="n"/>
      <c r="E37" s="918" t="n"/>
      <c r="F37" s="918" t="n"/>
      <c r="G37" s="879" t="n"/>
      <c r="H37" s="879" t="n"/>
      <c r="I37" s="879" t="n"/>
      <c r="J37" s="918" t="n"/>
      <c r="K37" s="918" t="n"/>
      <c r="L37" s="918" t="n"/>
      <c r="M37" s="918" t="n"/>
      <c r="N37" s="918" t="n"/>
      <c r="O37" s="918" t="n"/>
      <c r="P37" s="918" t="n"/>
      <c r="Q37" s="918" t="n"/>
      <c r="R37" s="1002" t="n"/>
    </row>
    <row r="38">
      <c r="A38" s="918" t="n"/>
      <c r="B38" s="918" t="n"/>
      <c r="C38" s="918" t="n"/>
      <c r="D38" s="918" t="n"/>
      <c r="E38" s="918" t="n"/>
      <c r="F38" s="918" t="n"/>
      <c r="G38" s="879" t="n"/>
      <c r="H38" s="879" t="n"/>
      <c r="I38" s="879" t="n"/>
      <c r="J38" s="918" t="n"/>
      <c r="K38" s="918" t="n"/>
      <c r="L38" s="918" t="n"/>
      <c r="M38" s="918" t="n"/>
      <c r="N38" s="918" t="n"/>
      <c r="O38" s="918" t="n"/>
      <c r="P38" s="918" t="n"/>
      <c r="Q38" s="918" t="n"/>
      <c r="R38" s="1002" t="n"/>
    </row>
    <row r="39">
      <c r="A39" s="918" t="n"/>
      <c r="B39" s="918" t="n"/>
      <c r="C39" s="918" t="n"/>
      <c r="D39" s="918" t="n"/>
      <c r="E39" s="918" t="n"/>
      <c r="F39" s="918" t="n"/>
      <c r="G39" s="879" t="n"/>
      <c r="H39" s="879" t="n"/>
      <c r="I39" s="879" t="n"/>
      <c r="J39" s="918" t="n"/>
      <c r="K39" s="918" t="n"/>
      <c r="L39" s="918" t="n"/>
      <c r="M39" s="918" t="n"/>
      <c r="N39" s="918" t="n"/>
      <c r="O39" s="918" t="n"/>
      <c r="P39" s="918" t="n"/>
      <c r="Q39" s="918" t="n"/>
      <c r="R39" s="1002" t="n"/>
    </row>
    <row r="40">
      <c r="A40" s="918" t="n"/>
      <c r="B40" s="918" t="n"/>
      <c r="C40" s="918" t="n"/>
      <c r="D40" s="918" t="n"/>
      <c r="E40" s="918" t="n"/>
      <c r="F40" s="918" t="n"/>
      <c r="G40" s="879" t="n"/>
      <c r="H40" s="879" t="n"/>
      <c r="I40" s="879" t="n"/>
      <c r="J40" s="918" t="n"/>
      <c r="K40" s="918" t="n"/>
      <c r="L40" s="918" t="n"/>
      <c r="M40" s="918" t="n"/>
      <c r="N40" s="918" t="n"/>
      <c r="O40" s="918" t="n"/>
      <c r="P40" s="918" t="n"/>
      <c r="Q40" s="918" t="n"/>
      <c r="R40" s="1002" t="n"/>
    </row>
    <row r="41">
      <c r="A41" s="918" t="n"/>
      <c r="B41" s="918" t="n"/>
      <c r="C41" s="918" t="n"/>
      <c r="D41" s="918" t="n"/>
      <c r="E41" s="918" t="n"/>
      <c r="F41" s="918" t="n"/>
      <c r="G41" s="879" t="n"/>
      <c r="H41" s="879" t="n"/>
      <c r="I41" s="879" t="n"/>
      <c r="J41" s="918" t="n"/>
      <c r="K41" s="918" t="n"/>
      <c r="L41" s="918" t="n"/>
      <c r="M41" s="918" t="n"/>
      <c r="N41" s="918" t="n"/>
      <c r="O41" s="918" t="n"/>
      <c r="P41" s="918" t="n"/>
      <c r="Q41" s="918" t="n"/>
      <c r="R41" s="1002" t="n"/>
    </row>
    <row r="42">
      <c r="A42" s="918" t="n"/>
      <c r="B42" s="918" t="n"/>
      <c r="C42" s="918" t="n"/>
      <c r="D42" s="918" t="n"/>
      <c r="E42" s="918" t="n"/>
      <c r="F42" s="918" t="n"/>
      <c r="G42" s="879" t="n"/>
      <c r="H42" s="879" t="n"/>
      <c r="I42" s="879" t="n"/>
      <c r="J42" s="918" t="n"/>
      <c r="K42" s="918" t="n"/>
      <c r="L42" s="918" t="n"/>
      <c r="M42" s="918" t="n"/>
      <c r="N42" s="918" t="n"/>
      <c r="O42" s="918" t="n"/>
      <c r="P42" s="918" t="n"/>
      <c r="Q42" s="918" t="n"/>
      <c r="R42" s="1002" t="n"/>
    </row>
    <row r="43">
      <c r="A43" s="918" t="n"/>
      <c r="B43" s="918" t="n"/>
      <c r="C43" s="918" t="n"/>
      <c r="D43" s="918" t="n"/>
      <c r="E43" s="918" t="n"/>
      <c r="F43" s="918" t="n"/>
      <c r="G43" s="879" t="n"/>
      <c r="H43" s="879" t="n"/>
      <c r="I43" s="879" t="n"/>
      <c r="J43" s="918" t="n"/>
      <c r="K43" s="918" t="n"/>
      <c r="L43" s="918" t="n"/>
      <c r="M43" s="918" t="n"/>
      <c r="N43" s="918" t="n"/>
      <c r="O43" s="918" t="n"/>
      <c r="P43" s="918" t="n"/>
      <c r="Q43" s="918" t="n"/>
      <c r="R43" s="1002" t="n"/>
    </row>
    <row r="44">
      <c r="A44" s="918" t="n"/>
      <c r="B44" s="918" t="n"/>
      <c r="C44" s="918" t="n"/>
      <c r="D44" s="918" t="n"/>
      <c r="E44" s="918" t="n"/>
      <c r="F44" s="918" t="n"/>
      <c r="G44" s="879" t="n"/>
      <c r="H44" s="879" t="n"/>
      <c r="I44" s="879" t="n"/>
      <c r="J44" s="918" t="n"/>
      <c r="K44" s="918" t="n"/>
      <c r="L44" s="918" t="n"/>
      <c r="M44" s="918" t="n"/>
      <c r="N44" s="918" t="n"/>
      <c r="O44" s="918" t="n"/>
      <c r="P44" s="918" t="n"/>
      <c r="Q44" s="918" t="n"/>
      <c r="R44" s="1002" t="n"/>
    </row>
    <row r="45">
      <c r="A45" s="918" t="n"/>
      <c r="B45" s="918" t="n"/>
      <c r="C45" s="918" t="n"/>
      <c r="D45" s="918" t="n"/>
      <c r="E45" s="918" t="n"/>
      <c r="F45" s="918" t="n"/>
      <c r="G45" s="879" t="n"/>
      <c r="H45" s="879" t="n"/>
      <c r="I45" s="879" t="n"/>
      <c r="J45" s="918" t="n"/>
      <c r="K45" s="918" t="n"/>
      <c r="L45" s="918" t="n"/>
      <c r="M45" s="918" t="n"/>
      <c r="N45" s="918" t="n"/>
      <c r="O45" s="918" t="n"/>
      <c r="P45" s="918" t="n"/>
      <c r="Q45" s="918" t="n"/>
      <c r="R45" s="1002" t="n"/>
    </row>
    <row r="46">
      <c r="A46" s="918" t="n"/>
      <c r="B46" s="918" t="n"/>
      <c r="C46" s="918" t="n"/>
      <c r="D46" s="918" t="n"/>
      <c r="E46" s="918" t="n"/>
      <c r="F46" s="918" t="n"/>
      <c r="G46" s="879" t="n"/>
      <c r="H46" s="879" t="n"/>
      <c r="I46" s="879" t="n"/>
      <c r="J46" s="918" t="n"/>
      <c r="K46" s="918" t="n"/>
      <c r="L46" s="918" t="n"/>
      <c r="M46" s="918" t="n"/>
      <c r="N46" s="918" t="n"/>
      <c r="O46" s="918" t="n"/>
      <c r="P46" s="918" t="n"/>
      <c r="Q46" s="918" t="n"/>
      <c r="R46" s="1002" t="n"/>
    </row>
    <row r="47">
      <c r="A47" s="918" t="n"/>
      <c r="B47" s="918" t="n"/>
      <c r="C47" s="918" t="n"/>
      <c r="D47" s="918" t="n"/>
      <c r="E47" s="918" t="n"/>
      <c r="F47" s="918" t="n"/>
      <c r="G47" s="879" t="n"/>
      <c r="H47" s="879" t="n"/>
      <c r="I47" s="879" t="n"/>
      <c r="J47" s="918" t="n"/>
      <c r="K47" s="918" t="n"/>
      <c r="L47" s="918" t="n"/>
      <c r="M47" s="918" t="n"/>
      <c r="N47" s="918" t="n"/>
      <c r="O47" s="918" t="n"/>
      <c r="P47" s="918" t="n"/>
      <c r="Q47" s="918" t="n"/>
      <c r="R47" s="1002" t="n"/>
    </row>
    <row r="48">
      <c r="A48" s="918" t="n"/>
      <c r="B48" s="918" t="n"/>
      <c r="C48" s="918" t="n"/>
      <c r="D48" s="918" t="n"/>
      <c r="E48" s="918" t="n"/>
      <c r="F48" s="918" t="n"/>
      <c r="G48" s="879" t="n"/>
      <c r="H48" s="879" t="n"/>
      <c r="I48" s="879" t="n"/>
      <c r="J48" s="918" t="n"/>
      <c r="K48" s="918" t="n"/>
      <c r="L48" s="918" t="n"/>
      <c r="M48" s="918" t="n"/>
      <c r="N48" s="918" t="n"/>
      <c r="O48" s="918" t="n"/>
      <c r="P48" s="918" t="n"/>
      <c r="Q48" s="918" t="n"/>
      <c r="R48" s="1002" t="n"/>
    </row>
    <row r="49">
      <c r="A49" s="918" t="n"/>
      <c r="B49" s="918" t="n"/>
      <c r="C49" s="918" t="n"/>
      <c r="D49" s="918" t="n"/>
      <c r="E49" s="918" t="n"/>
      <c r="F49" s="918" t="n"/>
      <c r="G49" s="879" t="n"/>
      <c r="H49" s="879" t="n"/>
      <c r="I49" s="879" t="n"/>
      <c r="J49" s="918" t="n"/>
      <c r="K49" s="918" t="n"/>
      <c r="L49" s="918" t="n"/>
      <c r="M49" s="918" t="n"/>
      <c r="N49" s="918" t="n"/>
      <c r="O49" s="918" t="n"/>
      <c r="P49" s="918" t="n"/>
      <c r="Q49" s="918" t="n"/>
      <c r="R49" s="1002" t="n"/>
    </row>
    <row r="50">
      <c r="A50" s="918" t="n"/>
      <c r="B50" s="918" t="n"/>
      <c r="C50" s="918" t="n"/>
      <c r="D50" s="918" t="n"/>
      <c r="E50" s="918" t="n"/>
      <c r="F50" s="918" t="n"/>
      <c r="G50" s="879" t="n"/>
      <c r="H50" s="879" t="n"/>
      <c r="I50" s="879" t="n"/>
      <c r="J50" s="918" t="n"/>
      <c r="K50" s="918" t="n"/>
      <c r="L50" s="918" t="n"/>
      <c r="M50" s="918" t="n"/>
      <c r="N50" s="918" t="n"/>
      <c r="O50" s="918" t="n"/>
      <c r="P50" s="918" t="n"/>
      <c r="Q50" s="918" t="n"/>
      <c r="R50" s="1002" t="n"/>
    </row>
    <row r="51">
      <c r="A51" s="918" t="n"/>
      <c r="B51" s="918" t="n"/>
      <c r="C51" s="918" t="n"/>
      <c r="D51" s="918" t="n"/>
      <c r="E51" s="918" t="n"/>
      <c r="F51" s="918" t="n"/>
      <c r="G51" s="879" t="n"/>
      <c r="H51" s="879" t="n"/>
      <c r="I51" s="879" t="n"/>
      <c r="J51" s="918" t="n"/>
      <c r="K51" s="918" t="n"/>
      <c r="L51" s="918" t="n"/>
      <c r="M51" s="918" t="n"/>
      <c r="N51" s="918" t="n"/>
      <c r="O51" s="918" t="n"/>
      <c r="P51" s="918" t="n"/>
      <c r="Q51" s="918" t="n"/>
      <c r="R51" s="1002" t="n"/>
    </row>
    <row r="52">
      <c r="A52" s="918" t="n"/>
      <c r="B52" s="918" t="n"/>
      <c r="C52" s="918" t="n"/>
      <c r="D52" s="918" t="n"/>
      <c r="E52" s="918" t="n"/>
      <c r="F52" s="918" t="n"/>
      <c r="G52" s="879" t="n"/>
      <c r="H52" s="879" t="n"/>
      <c r="I52" s="879" t="n"/>
      <c r="J52" s="918" t="n"/>
      <c r="K52" s="918" t="n"/>
      <c r="L52" s="918" t="n"/>
      <c r="M52" s="918" t="n"/>
      <c r="N52" s="918" t="n"/>
      <c r="O52" s="918" t="n"/>
      <c r="P52" s="918" t="n"/>
      <c r="Q52" s="918" t="n"/>
      <c r="R52" s="1002" t="n"/>
    </row>
    <row r="53">
      <c r="A53" s="918" t="n"/>
      <c r="B53" s="918" t="n"/>
      <c r="C53" s="918" t="n"/>
      <c r="D53" s="918" t="n"/>
      <c r="E53" s="918" t="n"/>
      <c r="F53" s="918" t="n"/>
      <c r="G53" s="879" t="n"/>
      <c r="H53" s="879" t="n"/>
      <c r="I53" s="879" t="n"/>
      <c r="J53" s="918" t="n"/>
      <c r="K53" s="918" t="n"/>
      <c r="L53" s="918" t="n"/>
      <c r="M53" s="918" t="n"/>
      <c r="N53" s="918" t="n"/>
      <c r="O53" s="918" t="n"/>
      <c r="P53" s="918" t="n"/>
      <c r="Q53" s="918" t="n"/>
      <c r="R53" s="1002" t="n"/>
    </row>
    <row r="54">
      <c r="A54" s="918" t="n"/>
      <c r="B54" s="918" t="n"/>
      <c r="C54" s="918" t="n"/>
      <c r="D54" s="918" t="n"/>
      <c r="E54" s="918" t="n"/>
      <c r="F54" s="918" t="n"/>
      <c r="G54" s="879" t="n"/>
      <c r="H54" s="879" t="n"/>
      <c r="I54" s="879" t="n"/>
      <c r="J54" s="918" t="n"/>
      <c r="K54" s="918" t="n"/>
      <c r="L54" s="918" t="n"/>
      <c r="M54" s="918" t="n"/>
      <c r="N54" s="918" t="n"/>
      <c r="O54" s="918" t="n"/>
      <c r="P54" s="918" t="n"/>
      <c r="Q54" s="918" t="n"/>
      <c r="R54" s="1002" t="n"/>
    </row>
    <row r="55">
      <c r="A55" s="918" t="n"/>
      <c r="B55" s="918" t="n"/>
      <c r="C55" s="918" t="n"/>
      <c r="D55" s="918" t="n"/>
      <c r="E55" s="918" t="n"/>
      <c r="F55" s="918" t="n"/>
      <c r="G55" s="879" t="n"/>
      <c r="H55" s="879" t="n"/>
      <c r="I55" s="879" t="n"/>
      <c r="J55" s="918" t="n"/>
      <c r="K55" s="918" t="n"/>
      <c r="L55" s="918" t="n"/>
      <c r="M55" s="918" t="n"/>
      <c r="N55" s="918" t="n"/>
      <c r="O55" s="918" t="n"/>
      <c r="P55" s="918" t="n"/>
      <c r="Q55" s="918" t="n"/>
      <c r="R55" s="1002" t="n"/>
    </row>
    <row r="56">
      <c r="A56" s="918" t="n"/>
      <c r="B56" s="918" t="n"/>
      <c r="C56" s="918" t="n"/>
      <c r="D56" s="918" t="n"/>
      <c r="E56" s="918" t="n"/>
      <c r="F56" s="918" t="n"/>
      <c r="G56" s="879" t="n"/>
      <c r="H56" s="879" t="n"/>
      <c r="I56" s="879" t="n"/>
      <c r="J56" s="918" t="n"/>
      <c r="K56" s="918" t="n"/>
      <c r="L56" s="918" t="n"/>
      <c r="M56" s="918" t="n"/>
      <c r="N56" s="918" t="n"/>
      <c r="O56" s="918" t="n"/>
      <c r="P56" s="918" t="n"/>
      <c r="Q56" s="918" t="n"/>
      <c r="R56" s="1002" t="n"/>
    </row>
    <row r="57">
      <c r="A57" s="918" t="n"/>
      <c r="B57" s="918" t="n"/>
      <c r="C57" s="918" t="n"/>
      <c r="D57" s="918" t="n"/>
      <c r="E57" s="918" t="n"/>
      <c r="F57" s="918" t="n"/>
      <c r="G57" s="879" t="n"/>
      <c r="H57" s="879" t="n"/>
      <c r="I57" s="879" t="n"/>
      <c r="J57" s="918" t="n"/>
      <c r="K57" s="918" t="n"/>
      <c r="L57" s="918" t="n"/>
      <c r="M57" s="918" t="n"/>
      <c r="N57" s="918" t="n"/>
      <c r="O57" s="918" t="n"/>
      <c r="P57" s="918" t="n"/>
      <c r="Q57" s="918" t="n"/>
      <c r="R57" s="1002" t="n"/>
    </row>
    <row r="58">
      <c r="A58" s="918" t="n"/>
      <c r="B58" s="918" t="n"/>
      <c r="C58" s="918" t="n"/>
      <c r="D58" s="918" t="n"/>
      <c r="E58" s="918" t="n"/>
      <c r="F58" s="918" t="n"/>
      <c r="G58" s="879" t="n"/>
      <c r="H58" s="879" t="n"/>
      <c r="I58" s="879" t="n"/>
      <c r="J58" s="918" t="n"/>
      <c r="K58" s="918" t="n"/>
      <c r="L58" s="918" t="n"/>
      <c r="M58" s="918" t="n"/>
      <c r="N58" s="918" t="n"/>
      <c r="O58" s="918" t="n"/>
      <c r="P58" s="918" t="n"/>
      <c r="Q58" s="918" t="n"/>
      <c r="R58" s="1002" t="n"/>
    </row>
    <row r="59">
      <c r="A59" s="918" t="n"/>
      <c r="B59" s="918" t="n"/>
      <c r="C59" s="918" t="n"/>
      <c r="D59" s="918" t="n"/>
      <c r="E59" s="918" t="n"/>
      <c r="F59" s="918" t="n"/>
      <c r="G59" s="879" t="n"/>
      <c r="H59" s="879" t="n"/>
      <c r="I59" s="879" t="n"/>
      <c r="J59" s="918" t="n"/>
      <c r="K59" s="918" t="n"/>
      <c r="L59" s="918" t="n"/>
      <c r="M59" s="918" t="n"/>
      <c r="N59" s="918" t="n"/>
      <c r="O59" s="918" t="n"/>
      <c r="P59" s="918" t="n"/>
      <c r="Q59" s="918" t="n"/>
      <c r="R59" s="1002" t="n"/>
    </row>
    <row r="60">
      <c r="A60" s="918" t="n"/>
      <c r="B60" s="918" t="n"/>
      <c r="C60" s="918" t="n"/>
      <c r="D60" s="918" t="n"/>
      <c r="E60" s="918" t="n"/>
      <c r="F60" s="918" t="n"/>
      <c r="G60" s="879" t="n"/>
      <c r="H60" s="879" t="n"/>
      <c r="I60" s="879" t="n"/>
      <c r="J60" s="918" t="n"/>
      <c r="K60" s="918" t="n"/>
      <c r="L60" s="918" t="n"/>
      <c r="M60" s="918" t="n"/>
      <c r="N60" s="918" t="n"/>
      <c r="O60" s="918" t="n"/>
      <c r="P60" s="918" t="n"/>
      <c r="Q60" s="918" t="n"/>
      <c r="R60" s="1002" t="n"/>
    </row>
    <row r="61">
      <c r="A61" s="918" t="n"/>
      <c r="B61" s="918" t="n"/>
      <c r="C61" s="918" t="n"/>
      <c r="D61" s="918" t="n"/>
      <c r="E61" s="918" t="n"/>
      <c r="F61" s="918" t="n"/>
      <c r="G61" s="879" t="n"/>
      <c r="H61" s="879" t="n"/>
      <c r="I61" s="879" t="n"/>
      <c r="J61" s="918" t="n"/>
      <c r="K61" s="918" t="n"/>
      <c r="L61" s="918" t="n"/>
      <c r="M61" s="918" t="n"/>
      <c r="N61" s="918" t="n"/>
      <c r="O61" s="918" t="n"/>
      <c r="P61" s="918" t="n"/>
      <c r="Q61" s="918" t="n"/>
      <c r="R61" s="1002" t="n"/>
    </row>
    <row r="62">
      <c r="A62" s="918" t="n"/>
      <c r="B62" s="918" t="n"/>
      <c r="C62" s="918" t="n"/>
      <c r="D62" s="918" t="n"/>
      <c r="E62" s="918" t="n"/>
      <c r="F62" s="918" t="n"/>
      <c r="G62" s="879" t="n"/>
      <c r="H62" s="879" t="n"/>
      <c r="I62" s="879" t="n"/>
      <c r="J62" s="918" t="n"/>
      <c r="K62" s="918" t="n"/>
      <c r="L62" s="918" t="n"/>
      <c r="M62" s="918" t="n"/>
      <c r="N62" s="918" t="n"/>
      <c r="O62" s="918" t="n"/>
      <c r="P62" s="918" t="n"/>
      <c r="Q62" s="918" t="n"/>
      <c r="R62" s="1002" t="n"/>
    </row>
    <row r="63">
      <c r="A63" s="918" t="n"/>
      <c r="B63" s="918" t="n"/>
      <c r="C63" s="918" t="n"/>
      <c r="D63" s="918" t="n"/>
      <c r="E63" s="918" t="n"/>
      <c r="F63" s="918" t="n"/>
      <c r="G63" s="879" t="n"/>
      <c r="H63" s="879" t="n"/>
      <c r="I63" s="879" t="n"/>
      <c r="J63" s="918" t="n"/>
      <c r="K63" s="918" t="n"/>
      <c r="L63" s="918" t="n"/>
      <c r="M63" s="918" t="n"/>
      <c r="N63" s="918" t="n"/>
      <c r="O63" s="918" t="n"/>
      <c r="P63" s="918" t="n"/>
      <c r="Q63" s="918" t="n"/>
      <c r="R63" s="1002" t="n"/>
    </row>
    <row r="64">
      <c r="A64" s="918" t="n"/>
      <c r="B64" s="918" t="n"/>
      <c r="C64" s="918" t="n"/>
      <c r="D64" s="918" t="n"/>
      <c r="E64" s="918" t="n"/>
      <c r="F64" s="918" t="n"/>
      <c r="G64" s="879" t="n"/>
      <c r="H64" s="879" t="n"/>
      <c r="I64" s="879" t="n"/>
      <c r="J64" s="918" t="n"/>
      <c r="K64" s="918" t="n"/>
      <c r="L64" s="918" t="n"/>
      <c r="M64" s="918" t="n"/>
      <c r="N64" s="918" t="n"/>
      <c r="O64" s="918" t="n"/>
      <c r="P64" s="918" t="n"/>
      <c r="Q64" s="918" t="n"/>
      <c r="R64" s="1002" t="n"/>
    </row>
    <row r="65">
      <c r="A65" s="918" t="n"/>
      <c r="B65" s="918" t="n"/>
      <c r="C65" s="918" t="n"/>
      <c r="D65" s="918" t="n"/>
      <c r="E65" s="918" t="n"/>
      <c r="F65" s="918" t="n"/>
      <c r="G65" s="879" t="n"/>
      <c r="H65" s="879" t="n"/>
      <c r="I65" s="879" t="n"/>
      <c r="J65" s="918" t="n"/>
      <c r="K65" s="918" t="n"/>
      <c r="L65" s="918" t="n"/>
      <c r="M65" s="918" t="n"/>
      <c r="N65" s="918" t="n"/>
      <c r="O65" s="918" t="n"/>
      <c r="P65" s="918" t="n"/>
      <c r="Q65" s="918" t="n"/>
      <c r="R65" s="1002" t="n"/>
    </row>
    <row r="66">
      <c r="A66" s="918" t="n"/>
      <c r="B66" s="918" t="n"/>
      <c r="C66" s="918" t="n"/>
      <c r="D66" s="918" t="n"/>
      <c r="E66" s="918" t="n"/>
      <c r="F66" s="918" t="n"/>
      <c r="G66" s="879" t="n"/>
      <c r="H66" s="879" t="n"/>
      <c r="I66" s="879" t="n"/>
      <c r="J66" s="918" t="n"/>
      <c r="K66" s="918" t="n"/>
      <c r="L66" s="918" t="n"/>
      <c r="M66" s="918" t="n"/>
      <c r="N66" s="918" t="n"/>
      <c r="O66" s="918" t="n"/>
      <c r="P66" s="918" t="n"/>
      <c r="Q66" s="918" t="n"/>
      <c r="R66" s="1002" t="n"/>
    </row>
    <row r="67">
      <c r="A67" s="918" t="n"/>
      <c r="B67" s="918" t="n"/>
      <c r="C67" s="918" t="n"/>
      <c r="D67" s="918" t="n"/>
      <c r="E67" s="918" t="n"/>
      <c r="F67" s="918" t="n"/>
      <c r="G67" s="879" t="n"/>
      <c r="H67" s="879" t="n"/>
      <c r="I67" s="879" t="n"/>
      <c r="J67" s="918" t="n"/>
      <c r="K67" s="918" t="n"/>
      <c r="L67" s="918" t="n"/>
      <c r="M67" s="918" t="n"/>
      <c r="N67" s="918" t="n"/>
      <c r="O67" s="918" t="n"/>
      <c r="P67" s="918" t="n"/>
      <c r="Q67" s="918" t="n"/>
      <c r="R67" s="1002" t="n"/>
    </row>
    <row r="68">
      <c r="A68" s="918" t="n"/>
      <c r="B68" s="918" t="n"/>
      <c r="C68" s="918" t="n"/>
      <c r="D68" s="918" t="n"/>
      <c r="E68" s="918" t="n"/>
      <c r="F68" s="918" t="n"/>
      <c r="G68" s="879" t="n"/>
      <c r="H68" s="879" t="n"/>
      <c r="I68" s="879" t="n"/>
      <c r="J68" s="918" t="n"/>
      <c r="K68" s="918" t="n"/>
      <c r="L68" s="918" t="n"/>
      <c r="M68" s="918" t="n"/>
      <c r="N68" s="918" t="n"/>
      <c r="O68" s="918" t="n"/>
      <c r="P68" s="918" t="n"/>
      <c r="Q68" s="918" t="n"/>
      <c r="R68" s="1002" t="n"/>
    </row>
    <row r="69">
      <c r="A69" s="918" t="n"/>
      <c r="B69" s="918" t="n"/>
      <c r="C69" s="918" t="n"/>
      <c r="D69" s="918" t="n"/>
      <c r="E69" s="918" t="n"/>
      <c r="F69" s="918" t="n"/>
      <c r="G69" s="879" t="n"/>
      <c r="H69" s="879" t="n"/>
      <c r="I69" s="879" t="n"/>
      <c r="J69" s="918" t="n"/>
      <c r="K69" s="918" t="n"/>
      <c r="L69" s="918" t="n"/>
      <c r="M69" s="918" t="n"/>
      <c r="N69" s="918" t="n"/>
      <c r="O69" s="918" t="n"/>
      <c r="P69" s="918" t="n"/>
      <c r="Q69" s="918" t="n"/>
      <c r="R69" s="1002" t="n"/>
    </row>
    <row r="70">
      <c r="A70" s="918" t="n"/>
      <c r="B70" s="918" t="n"/>
      <c r="C70" s="918" t="n"/>
      <c r="D70" s="918" t="n"/>
      <c r="E70" s="918" t="n"/>
      <c r="F70" s="918" t="n"/>
      <c r="G70" s="879" t="n"/>
      <c r="H70" s="879" t="n"/>
      <c r="I70" s="879" t="n"/>
      <c r="J70" s="918" t="n"/>
      <c r="K70" s="918" t="n"/>
      <c r="L70" s="918" t="n"/>
      <c r="M70" s="918" t="n"/>
      <c r="N70" s="918" t="n"/>
      <c r="O70" s="918" t="n"/>
      <c r="P70" s="918" t="n"/>
      <c r="Q70" s="918" t="n"/>
      <c r="R70" s="1002" t="n"/>
    </row>
    <row r="71">
      <c r="A71" s="918" t="n"/>
      <c r="B71" s="918" t="n"/>
      <c r="C71" s="918" t="n"/>
      <c r="D71" s="918" t="n"/>
      <c r="E71" s="918" t="n"/>
      <c r="F71" s="918" t="n"/>
      <c r="G71" s="879" t="n"/>
      <c r="H71" s="879" t="n"/>
      <c r="I71" s="879" t="n"/>
      <c r="J71" s="918" t="n"/>
      <c r="K71" s="918" t="n"/>
      <c r="L71" s="918" t="n"/>
      <c r="M71" s="918" t="n"/>
      <c r="N71" s="918" t="n"/>
      <c r="O71" s="918" t="n"/>
      <c r="P71" s="918" t="n"/>
      <c r="Q71" s="918" t="n"/>
      <c r="R71" s="1002" t="n"/>
    </row>
    <row r="72">
      <c r="A72" s="918" t="n"/>
      <c r="B72" s="918" t="n"/>
      <c r="C72" s="918" t="n"/>
      <c r="D72" s="918" t="n"/>
      <c r="E72" s="918" t="n"/>
      <c r="F72" s="918" t="n"/>
      <c r="G72" s="879" t="n"/>
      <c r="H72" s="879" t="n"/>
      <c r="I72" s="879" t="n"/>
      <c r="J72" s="918" t="n"/>
      <c r="K72" s="918" t="n"/>
      <c r="L72" s="918" t="n"/>
      <c r="M72" s="918" t="n"/>
      <c r="N72" s="918" t="n"/>
      <c r="O72" s="918" t="n"/>
      <c r="P72" s="918" t="n"/>
      <c r="Q72" s="918" t="n"/>
      <c r="R72" s="1002" t="n"/>
    </row>
    <row r="73">
      <c r="A73" s="918" t="n"/>
      <c r="B73" s="918" t="n"/>
      <c r="C73" s="918" t="n"/>
      <c r="D73" s="918" t="n"/>
      <c r="E73" s="918" t="n"/>
      <c r="F73" s="918" t="n"/>
      <c r="G73" s="879" t="n"/>
      <c r="H73" s="879" t="n"/>
      <c r="I73" s="879" t="n"/>
      <c r="J73" s="918" t="n"/>
      <c r="K73" s="918" t="n"/>
      <c r="L73" s="918" t="n"/>
      <c r="M73" s="918" t="n"/>
      <c r="N73" s="918" t="n"/>
      <c r="O73" s="918" t="n"/>
      <c r="P73" s="918" t="n"/>
      <c r="Q73" s="918" t="n"/>
      <c r="R73" s="1002" t="n"/>
    </row>
    <row r="74">
      <c r="A74" s="918" t="n"/>
      <c r="B74" s="918" t="n"/>
      <c r="C74" s="918" t="n"/>
      <c r="D74" s="918" t="n"/>
      <c r="E74" s="918" t="n"/>
      <c r="F74" s="918" t="n"/>
      <c r="G74" s="879" t="n"/>
      <c r="H74" s="879" t="n"/>
      <c r="I74" s="879" t="n"/>
      <c r="J74" s="918" t="n"/>
      <c r="K74" s="918" t="n"/>
      <c r="L74" s="918" t="n"/>
      <c r="M74" s="918" t="n"/>
      <c r="N74" s="918" t="n"/>
      <c r="O74" s="918" t="n"/>
      <c r="P74" s="918" t="n"/>
      <c r="Q74" s="918" t="n"/>
      <c r="R74" s="1002" t="n"/>
    </row>
    <row r="75">
      <c r="A75" s="918" t="n"/>
      <c r="B75" s="918" t="n"/>
      <c r="C75" s="918" t="n"/>
      <c r="D75" s="918" t="n"/>
      <c r="E75" s="918" t="n"/>
      <c r="F75" s="918" t="n"/>
      <c r="G75" s="879" t="n"/>
      <c r="H75" s="879" t="n"/>
      <c r="I75" s="879" t="n"/>
      <c r="J75" s="918" t="n"/>
      <c r="K75" s="918" t="n"/>
      <c r="L75" s="918" t="n"/>
      <c r="M75" s="918" t="n"/>
      <c r="N75" s="918" t="n"/>
      <c r="O75" s="918" t="n"/>
      <c r="P75" s="918" t="n"/>
      <c r="Q75" s="918" t="n"/>
      <c r="R75" s="1002" t="n"/>
    </row>
    <row r="76">
      <c r="A76" s="918" t="n"/>
      <c r="B76" s="918" t="n"/>
      <c r="C76" s="918" t="n"/>
      <c r="D76" s="918" t="n"/>
      <c r="E76" s="918" t="n"/>
      <c r="F76" s="918" t="n"/>
      <c r="G76" s="879" t="n"/>
      <c r="H76" s="879" t="n"/>
      <c r="I76" s="879" t="n"/>
      <c r="J76" s="918" t="n"/>
      <c r="K76" s="918" t="n"/>
      <c r="L76" s="918" t="n"/>
      <c r="M76" s="918" t="n"/>
      <c r="N76" s="918" t="n"/>
      <c r="O76" s="918" t="n"/>
      <c r="P76" s="918" t="n"/>
      <c r="Q76" s="918" t="n"/>
      <c r="R76" s="1002" t="n"/>
    </row>
    <row r="77">
      <c r="A77" s="918" t="n"/>
      <c r="B77" s="918" t="n"/>
      <c r="C77" s="918" t="n"/>
      <c r="D77" s="918" t="n"/>
      <c r="E77" s="918" t="n"/>
      <c r="F77" s="918" t="n"/>
      <c r="G77" s="879" t="n"/>
      <c r="H77" s="879" t="n"/>
      <c r="I77" s="879" t="n"/>
      <c r="J77" s="918" t="n"/>
      <c r="K77" s="918" t="n"/>
      <c r="L77" s="918" t="n"/>
      <c r="M77" s="918" t="n"/>
      <c r="N77" s="918" t="n"/>
      <c r="O77" s="918" t="n"/>
      <c r="P77" s="918" t="n"/>
      <c r="Q77" s="918" t="n"/>
      <c r="R77" s="1002" t="n"/>
    </row>
    <row r="78">
      <c r="A78" s="918" t="n"/>
      <c r="B78" s="918" t="n"/>
      <c r="C78" s="918" t="n"/>
      <c r="D78" s="918" t="n"/>
      <c r="E78" s="918" t="n"/>
      <c r="F78" s="918" t="n"/>
      <c r="G78" s="879" t="n"/>
      <c r="H78" s="879" t="n"/>
      <c r="I78" s="879" t="n"/>
      <c r="J78" s="918" t="n"/>
      <c r="K78" s="918" t="n"/>
      <c r="L78" s="918" t="n"/>
      <c r="M78" s="918" t="n"/>
      <c r="N78" s="918" t="n"/>
      <c r="O78" s="918" t="n"/>
      <c r="P78" s="918" t="n"/>
      <c r="Q78" s="918" t="n"/>
      <c r="R78" s="1002" t="n"/>
    </row>
    <row r="79">
      <c r="A79" s="918" t="n"/>
      <c r="B79" s="918" t="n"/>
      <c r="C79" s="918" t="n"/>
      <c r="D79" s="918" t="n"/>
      <c r="E79" s="918" t="n"/>
      <c r="F79" s="918" t="n"/>
      <c r="G79" s="879" t="n"/>
      <c r="H79" s="879" t="n"/>
      <c r="I79" s="879" t="n"/>
      <c r="J79" s="918" t="n"/>
      <c r="K79" s="918" t="n"/>
      <c r="L79" s="918" t="n"/>
      <c r="M79" s="918" t="n"/>
      <c r="N79" s="918" t="n"/>
      <c r="O79" s="918" t="n"/>
      <c r="P79" s="918" t="n"/>
      <c r="Q79" s="918" t="n"/>
      <c r="R79" s="1002" t="n"/>
    </row>
    <row r="80">
      <c r="A80" s="918" t="n"/>
      <c r="B80" s="918" t="n"/>
      <c r="C80" s="918" t="n"/>
      <c r="D80" s="918" t="n"/>
      <c r="E80" s="918" t="n"/>
      <c r="F80" s="918" t="n"/>
      <c r="G80" s="879" t="n"/>
      <c r="H80" s="879" t="n"/>
      <c r="I80" s="879" t="n"/>
      <c r="J80" s="918" t="n"/>
      <c r="K80" s="918" t="n"/>
      <c r="L80" s="918" t="n"/>
      <c r="M80" s="918" t="n"/>
      <c r="N80" s="918" t="n"/>
      <c r="O80" s="918" t="n"/>
      <c r="P80" s="918" t="n"/>
      <c r="Q80" s="918" t="n"/>
      <c r="R80" s="1002" t="n"/>
    </row>
    <row r="81">
      <c r="A81" s="918" t="n"/>
      <c r="B81" s="918" t="n"/>
      <c r="C81" s="918" t="n"/>
      <c r="D81" s="918" t="n"/>
      <c r="E81" s="918" t="n"/>
      <c r="F81" s="918" t="n"/>
      <c r="G81" s="879" t="n"/>
      <c r="H81" s="879" t="n"/>
      <c r="I81" s="879" t="n"/>
      <c r="J81" s="918" t="n"/>
      <c r="K81" s="918" t="n"/>
      <c r="L81" s="918" t="n"/>
      <c r="M81" s="918" t="n"/>
      <c r="N81" s="918" t="n"/>
      <c r="O81" s="918" t="n"/>
      <c r="P81" s="918" t="n"/>
      <c r="Q81" s="918" t="n"/>
      <c r="R81" s="1002" t="n"/>
    </row>
    <row r="82">
      <c r="A82" s="918" t="n"/>
      <c r="B82" s="918" t="n"/>
      <c r="C82" s="918" t="n"/>
      <c r="D82" s="918" t="n"/>
      <c r="E82" s="918" t="n"/>
      <c r="F82" s="918" t="n"/>
      <c r="G82" s="879" t="n"/>
      <c r="H82" s="879" t="n"/>
      <c r="I82" s="879" t="n"/>
      <c r="J82" s="918" t="n"/>
      <c r="K82" s="918" t="n"/>
      <c r="L82" s="918" t="n"/>
      <c r="M82" s="918" t="n"/>
      <c r="N82" s="918" t="n"/>
      <c r="O82" s="918" t="n"/>
      <c r="P82" s="918" t="n"/>
      <c r="Q82" s="918" t="n"/>
      <c r="R82" s="1002" t="n"/>
    </row>
    <row r="83">
      <c r="A83" s="918" t="n"/>
      <c r="B83" s="918" t="n"/>
      <c r="C83" s="918" t="n"/>
      <c r="D83" s="918" t="n"/>
      <c r="E83" s="918" t="n"/>
      <c r="F83" s="918" t="n"/>
      <c r="G83" s="879" t="n"/>
      <c r="H83" s="879" t="n"/>
      <c r="I83" s="879" t="n"/>
      <c r="J83" s="918" t="n"/>
      <c r="K83" s="918" t="n"/>
      <c r="L83" s="918" t="n"/>
      <c r="M83" s="918" t="n"/>
      <c r="N83" s="918" t="n"/>
      <c r="O83" s="918" t="n"/>
      <c r="P83" s="918" t="n"/>
      <c r="Q83" s="918" t="n"/>
      <c r="R83" s="1002" t="n"/>
    </row>
    <row r="84">
      <c r="A84" s="918" t="n"/>
      <c r="B84" s="918" t="n"/>
      <c r="C84" s="918" t="n"/>
      <c r="D84" s="918" t="n"/>
      <c r="E84" s="918" t="n"/>
      <c r="F84" s="918" t="n"/>
      <c r="G84" s="879" t="n"/>
      <c r="H84" s="879" t="n"/>
      <c r="I84" s="879" t="n"/>
      <c r="J84" s="918" t="n"/>
      <c r="K84" s="918" t="n"/>
      <c r="L84" s="918" t="n"/>
      <c r="M84" s="918" t="n"/>
      <c r="N84" s="918" t="n"/>
      <c r="O84" s="918" t="n"/>
      <c r="P84" s="918" t="n"/>
      <c r="Q84" s="918" t="n"/>
      <c r="R84" s="1002" t="n"/>
    </row>
    <row r="85">
      <c r="A85" s="918" t="n"/>
      <c r="B85" s="918" t="n"/>
      <c r="C85" s="918" t="n"/>
      <c r="D85" s="918" t="n"/>
      <c r="E85" s="918" t="n"/>
      <c r="F85" s="918" t="n"/>
      <c r="G85" s="879" t="n"/>
      <c r="H85" s="879" t="n"/>
      <c r="I85" s="879" t="n"/>
      <c r="J85" s="918" t="n"/>
      <c r="K85" s="918" t="n"/>
      <c r="L85" s="918" t="n"/>
      <c r="M85" s="918" t="n"/>
      <c r="N85" s="918" t="n"/>
      <c r="O85" s="918" t="n"/>
      <c r="P85" s="918" t="n"/>
      <c r="Q85" s="918" t="n"/>
      <c r="R85" s="1002" t="n"/>
    </row>
    <row r="86">
      <c r="A86" s="918" t="n"/>
      <c r="B86" s="918" t="n"/>
      <c r="C86" s="918" t="n"/>
      <c r="D86" s="918" t="n"/>
      <c r="E86" s="918" t="n"/>
      <c r="F86" s="918" t="n"/>
      <c r="G86" s="879" t="n"/>
      <c r="H86" s="879" t="n"/>
      <c r="I86" s="879" t="n"/>
      <c r="J86" s="918" t="n"/>
      <c r="K86" s="918" t="n"/>
      <c r="L86" s="918" t="n"/>
      <c r="M86" s="918" t="n"/>
      <c r="N86" s="918" t="n"/>
      <c r="O86" s="918" t="n"/>
      <c r="P86" s="918" t="n"/>
      <c r="Q86" s="918" t="n"/>
      <c r="R86" s="1002" t="n"/>
    </row>
    <row r="87">
      <c r="A87" s="918" t="n"/>
      <c r="B87" s="918" t="n"/>
      <c r="C87" s="918" t="n"/>
      <c r="D87" s="918" t="n"/>
      <c r="E87" s="918" t="n"/>
      <c r="F87" s="918" t="n"/>
      <c r="G87" s="879" t="n"/>
      <c r="H87" s="879" t="n"/>
      <c r="I87" s="879" t="n"/>
      <c r="J87" s="918" t="n"/>
      <c r="K87" s="918" t="n"/>
      <c r="L87" s="918" t="n"/>
      <c r="M87" s="918" t="n"/>
      <c r="N87" s="918" t="n"/>
      <c r="O87" s="918" t="n"/>
      <c r="P87" s="918" t="n"/>
      <c r="Q87" s="918" t="n"/>
      <c r="R87" s="1002" t="n"/>
    </row>
    <row r="88">
      <c r="A88" s="918" t="n"/>
      <c r="B88" s="918" t="n"/>
      <c r="C88" s="918" t="n"/>
      <c r="D88" s="918" t="n"/>
      <c r="E88" s="918" t="n"/>
      <c r="F88" s="918" t="n"/>
      <c r="G88" s="879" t="n"/>
      <c r="H88" s="879" t="n"/>
      <c r="I88" s="879" t="n"/>
      <c r="J88" s="918" t="n"/>
      <c r="K88" s="918" t="n"/>
      <c r="L88" s="918" t="n"/>
      <c r="M88" s="918" t="n"/>
      <c r="N88" s="918" t="n"/>
      <c r="O88" s="918" t="n"/>
      <c r="P88" s="918" t="n"/>
      <c r="Q88" s="918" t="n"/>
      <c r="R88" s="1002" t="n"/>
    </row>
    <row r="89">
      <c r="A89" s="918" t="n"/>
      <c r="B89" s="918" t="n"/>
      <c r="C89" s="918" t="n"/>
      <c r="D89" s="918" t="n"/>
      <c r="E89" s="918" t="n"/>
      <c r="F89" s="918" t="n"/>
      <c r="G89" s="879" t="n"/>
      <c r="H89" s="879" t="n"/>
      <c r="I89" s="879" t="n"/>
      <c r="J89" s="918" t="n"/>
      <c r="K89" s="918" t="n"/>
      <c r="L89" s="918" t="n"/>
      <c r="M89" s="918" t="n"/>
      <c r="N89" s="918" t="n"/>
      <c r="O89" s="918" t="n"/>
      <c r="P89" s="918" t="n"/>
      <c r="Q89" s="918" t="n"/>
      <c r="R89" s="1002" t="n"/>
    </row>
    <row r="90">
      <c r="A90" s="918" t="n"/>
      <c r="B90" s="918" t="n"/>
      <c r="C90" s="918" t="n"/>
      <c r="D90" s="918" t="n"/>
      <c r="E90" s="918" t="n"/>
      <c r="F90" s="918" t="n"/>
      <c r="G90" s="879" t="n"/>
      <c r="H90" s="879" t="n"/>
      <c r="I90" s="879" t="n"/>
      <c r="J90" s="918" t="n"/>
      <c r="K90" s="918" t="n"/>
      <c r="L90" s="918" t="n"/>
      <c r="M90" s="918" t="n"/>
      <c r="N90" s="918" t="n"/>
      <c r="O90" s="918" t="n"/>
      <c r="P90" s="918" t="n"/>
      <c r="Q90" s="918" t="n"/>
      <c r="R90" s="1002" t="n"/>
    </row>
    <row r="91">
      <c r="A91" s="918" t="n"/>
      <c r="B91" s="918" t="n"/>
      <c r="C91" s="918" t="n"/>
      <c r="D91" s="918" t="n"/>
      <c r="E91" s="918" t="n"/>
      <c r="F91" s="918" t="n"/>
      <c r="G91" s="879" t="n"/>
      <c r="H91" s="879" t="n"/>
      <c r="I91" s="879" t="n"/>
      <c r="J91" s="918" t="n"/>
      <c r="K91" s="918" t="n"/>
      <c r="L91" s="918" t="n"/>
      <c r="M91" s="918" t="n"/>
      <c r="N91" s="918" t="n"/>
      <c r="O91" s="918" t="n"/>
      <c r="P91" s="918" t="n"/>
      <c r="Q91" s="918" t="n"/>
      <c r="R91" s="1002" t="n"/>
    </row>
    <row r="92">
      <c r="A92" s="918" t="n"/>
      <c r="B92" s="918" t="n"/>
      <c r="C92" s="918" t="n"/>
      <c r="D92" s="918" t="n"/>
      <c r="E92" s="918" t="n"/>
      <c r="F92" s="918" t="n"/>
      <c r="G92" s="879" t="n"/>
      <c r="H92" s="879" t="n"/>
      <c r="I92" s="879" t="n"/>
      <c r="J92" s="918" t="n"/>
      <c r="K92" s="918" t="n"/>
      <c r="L92" s="918" t="n"/>
      <c r="M92" s="918" t="n"/>
      <c r="N92" s="918" t="n"/>
      <c r="O92" s="918" t="n"/>
      <c r="P92" s="918" t="n"/>
      <c r="Q92" s="918" t="n"/>
      <c r="R92" s="1002" t="n"/>
    </row>
    <row r="93">
      <c r="A93" s="918" t="n"/>
      <c r="B93" s="918" t="n"/>
      <c r="C93" s="918" t="n"/>
      <c r="D93" s="918" t="n"/>
      <c r="E93" s="918" t="n"/>
      <c r="F93" s="918" t="n"/>
      <c r="G93" s="879" t="n"/>
      <c r="H93" s="879" t="n"/>
      <c r="I93" s="879" t="n"/>
      <c r="J93" s="918" t="n"/>
      <c r="K93" s="918" t="n"/>
      <c r="L93" s="918" t="n"/>
      <c r="M93" s="918" t="n"/>
      <c r="N93" s="918" t="n"/>
      <c r="O93" s="918" t="n"/>
      <c r="P93" s="918" t="n"/>
      <c r="Q93" s="918" t="n"/>
      <c r="R93" s="1002" t="n"/>
    </row>
    <row r="94">
      <c r="A94" s="918" t="n"/>
      <c r="B94" s="918" t="n"/>
      <c r="C94" s="918" t="n"/>
      <c r="D94" s="918" t="n"/>
      <c r="E94" s="918" t="n"/>
      <c r="F94" s="918" t="n"/>
      <c r="G94" s="879" t="n"/>
      <c r="H94" s="879" t="n"/>
      <c r="I94" s="879" t="n"/>
      <c r="J94" s="918" t="n"/>
      <c r="K94" s="918" t="n"/>
      <c r="L94" s="918" t="n"/>
      <c r="M94" s="918" t="n"/>
      <c r="N94" s="918" t="n"/>
      <c r="O94" s="918" t="n"/>
      <c r="P94" s="918" t="n"/>
      <c r="Q94" s="918" t="n"/>
      <c r="R94" s="1002" t="n"/>
    </row>
    <row r="95">
      <c r="A95" s="918" t="n"/>
      <c r="B95" s="918" t="n"/>
      <c r="C95" s="918" t="n"/>
      <c r="D95" s="918" t="n"/>
      <c r="E95" s="918" t="n"/>
      <c r="F95" s="918" t="n"/>
      <c r="G95" s="879" t="n"/>
      <c r="H95" s="879" t="n"/>
      <c r="I95" s="879" t="n"/>
      <c r="J95" s="918" t="n"/>
      <c r="K95" s="918" t="n"/>
      <c r="L95" s="918" t="n"/>
      <c r="M95" s="918" t="n"/>
      <c r="N95" s="918" t="n"/>
      <c r="O95" s="918" t="n"/>
      <c r="P95" s="918" t="n"/>
      <c r="Q95" s="918" t="n"/>
      <c r="R95" s="1002" t="n"/>
    </row>
    <row r="96">
      <c r="A96" s="918" t="n"/>
      <c r="B96" s="918" t="n"/>
      <c r="C96" s="918" t="n"/>
      <c r="D96" s="918" t="n"/>
      <c r="E96" s="918" t="n"/>
      <c r="F96" s="918" t="n"/>
      <c r="G96" s="879" t="n"/>
      <c r="H96" s="879" t="n"/>
      <c r="I96" s="879" t="n"/>
      <c r="J96" s="918" t="n"/>
      <c r="K96" s="918" t="n"/>
      <c r="L96" s="918" t="n"/>
      <c r="M96" s="918" t="n"/>
      <c r="N96" s="918" t="n"/>
      <c r="O96" s="918" t="n"/>
      <c r="P96" s="918" t="n"/>
      <c r="Q96" s="918" t="n"/>
      <c r="R96" s="1002" t="n"/>
    </row>
    <row r="97">
      <c r="A97" s="918" t="n"/>
      <c r="B97" s="918" t="n"/>
      <c r="C97" s="918" t="n"/>
      <c r="D97" s="918" t="n"/>
      <c r="E97" s="918" t="n"/>
      <c r="F97" s="918" t="n"/>
      <c r="G97" s="879" t="n"/>
      <c r="H97" s="879" t="n"/>
      <c r="I97" s="879" t="n"/>
      <c r="J97" s="918" t="n"/>
      <c r="K97" s="918" t="n"/>
      <c r="L97" s="918" t="n"/>
      <c r="M97" s="918" t="n"/>
      <c r="N97" s="918" t="n"/>
      <c r="O97" s="918" t="n"/>
      <c r="P97" s="918" t="n"/>
      <c r="Q97" s="918" t="n"/>
      <c r="R97" s="1002" t="n"/>
    </row>
    <row r="98">
      <c r="A98" s="918" t="n"/>
      <c r="B98" s="918" t="n"/>
      <c r="C98" s="918" t="n"/>
      <c r="D98" s="918" t="n"/>
      <c r="E98" s="918" t="n"/>
      <c r="F98" s="918" t="n"/>
      <c r="G98" s="879" t="n"/>
      <c r="H98" s="879" t="n"/>
      <c r="I98" s="879" t="n"/>
      <c r="J98" s="918" t="n"/>
      <c r="K98" s="918" t="n"/>
      <c r="L98" s="918" t="n"/>
      <c r="M98" s="918" t="n"/>
      <c r="N98" s="918" t="n"/>
      <c r="O98" s="918" t="n"/>
      <c r="P98" s="918" t="n"/>
      <c r="Q98" s="918" t="n"/>
      <c r="R98" s="1002" t="n"/>
    </row>
    <row r="99">
      <c r="A99" s="918" t="n"/>
      <c r="B99" s="918" t="n"/>
      <c r="C99" s="918" t="n"/>
      <c r="D99" s="918" t="n"/>
      <c r="E99" s="918" t="n"/>
      <c r="F99" s="918" t="n"/>
      <c r="G99" s="879" t="n"/>
      <c r="H99" s="879" t="n"/>
      <c r="I99" s="879" t="n"/>
      <c r="J99" s="918" t="n"/>
      <c r="K99" s="918" t="n"/>
      <c r="L99" s="918" t="n"/>
      <c r="M99" s="918" t="n"/>
      <c r="N99" s="918" t="n"/>
      <c r="O99" s="918" t="n"/>
      <c r="P99" s="918" t="n"/>
      <c r="Q99" s="918" t="n"/>
      <c r="R99" s="1002" t="n"/>
    </row>
    <row r="100">
      <c r="A100" s="918" t="n"/>
      <c r="B100" s="918" t="n"/>
      <c r="C100" s="918" t="n"/>
      <c r="D100" s="918" t="n"/>
      <c r="E100" s="918" t="n"/>
      <c r="F100" s="918" t="n"/>
      <c r="G100" s="879" t="n"/>
      <c r="H100" s="879" t="n"/>
      <c r="I100" s="879" t="n"/>
      <c r="J100" s="918" t="n"/>
      <c r="K100" s="918" t="n"/>
      <c r="L100" s="918" t="n"/>
      <c r="M100" s="918" t="n"/>
      <c r="N100" s="918" t="n"/>
      <c r="O100" s="918" t="n"/>
      <c r="P100" s="918" t="n"/>
      <c r="Q100" s="918" t="n"/>
      <c r="R100" s="1002" t="n"/>
    </row>
    <row r="101">
      <c r="A101" s="918" t="n"/>
      <c r="B101" s="918" t="n"/>
      <c r="C101" s="918" t="n"/>
      <c r="D101" s="918" t="n"/>
      <c r="E101" s="918" t="n"/>
      <c r="F101" s="918" t="n"/>
      <c r="G101" s="879" t="n"/>
      <c r="H101" s="879" t="n"/>
      <c r="I101" s="879" t="n"/>
      <c r="J101" s="918" t="n"/>
      <c r="K101" s="918" t="n"/>
      <c r="L101" s="918" t="n"/>
      <c r="M101" s="918" t="n"/>
      <c r="N101" s="918" t="n"/>
      <c r="O101" s="918" t="n"/>
      <c r="P101" s="918" t="n"/>
      <c r="Q101" s="918" t="n"/>
      <c r="R101" s="1002" t="n"/>
    </row>
    <row r="102">
      <c r="A102" s="918" t="n"/>
      <c r="B102" s="918" t="n"/>
      <c r="C102" s="918" t="n"/>
      <c r="D102" s="918" t="n"/>
      <c r="E102" s="918" t="n"/>
      <c r="F102" s="918" t="n"/>
      <c r="G102" s="879" t="n"/>
      <c r="H102" s="879" t="n"/>
      <c r="I102" s="879" t="n"/>
      <c r="J102" s="918" t="n"/>
      <c r="K102" s="918" t="n"/>
      <c r="L102" s="918" t="n"/>
      <c r="M102" s="918" t="n"/>
      <c r="N102" s="918" t="n"/>
      <c r="O102" s="918" t="n"/>
      <c r="P102" s="918" t="n"/>
      <c r="Q102" s="918" t="n"/>
      <c r="R102" s="1002" t="n"/>
    </row>
    <row r="103">
      <c r="A103" s="918" t="n"/>
      <c r="B103" s="918" t="n"/>
      <c r="C103" s="918" t="n"/>
      <c r="D103" s="918" t="n"/>
      <c r="E103" s="918" t="n"/>
      <c r="F103" s="918" t="n"/>
      <c r="G103" s="879" t="n"/>
      <c r="H103" s="879" t="n"/>
      <c r="I103" s="879" t="n"/>
      <c r="J103" s="918" t="n"/>
      <c r="K103" s="918" t="n"/>
      <c r="L103" s="918" t="n"/>
      <c r="M103" s="918" t="n"/>
      <c r="N103" s="918" t="n"/>
      <c r="O103" s="918" t="n"/>
      <c r="P103" s="918" t="n"/>
      <c r="Q103" s="918" t="n"/>
      <c r="R103" s="1002" t="n"/>
    </row>
    <row r="104">
      <c r="A104" s="918" t="n"/>
      <c r="B104" s="918" t="n"/>
      <c r="C104" s="918" t="n"/>
      <c r="D104" s="918" t="n"/>
      <c r="E104" s="918" t="n"/>
      <c r="F104" s="918" t="n"/>
      <c r="G104" s="879" t="n"/>
      <c r="H104" s="879" t="n"/>
      <c r="I104" s="879" t="n"/>
      <c r="J104" s="918" t="n"/>
      <c r="K104" s="918" t="n"/>
      <c r="L104" s="918" t="n"/>
      <c r="M104" s="918" t="n"/>
      <c r="N104" s="918" t="n"/>
      <c r="O104" s="918" t="n"/>
      <c r="P104" s="918" t="n"/>
      <c r="Q104" s="918" t="n"/>
      <c r="R104" s="1002" t="n"/>
    </row>
    <row r="105">
      <c r="A105" s="918" t="n"/>
      <c r="B105" s="918" t="n"/>
      <c r="C105" s="918" t="n"/>
      <c r="D105" s="918" t="n"/>
      <c r="E105" s="918" t="n"/>
      <c r="F105" s="918" t="n"/>
      <c r="G105" s="879" t="n"/>
      <c r="H105" s="879" t="n"/>
      <c r="I105" s="879" t="n"/>
      <c r="J105" s="918" t="n"/>
      <c r="K105" s="918" t="n"/>
      <c r="L105" s="918" t="n"/>
      <c r="M105" s="918" t="n"/>
      <c r="N105" s="918" t="n"/>
      <c r="O105" s="918" t="n"/>
      <c r="P105" s="918" t="n"/>
      <c r="Q105" s="918" t="n"/>
      <c r="R105" s="1002" t="n"/>
    </row>
    <row r="106">
      <c r="A106" s="918" t="n"/>
      <c r="B106" s="918" t="n"/>
      <c r="C106" s="918" t="n"/>
      <c r="D106" s="918" t="n"/>
      <c r="E106" s="918" t="n"/>
      <c r="F106" s="918" t="n"/>
      <c r="G106" s="879" t="n"/>
      <c r="H106" s="879" t="n"/>
      <c r="I106" s="879" t="n"/>
      <c r="J106" s="918" t="n"/>
      <c r="K106" s="918" t="n"/>
      <c r="L106" s="918" t="n"/>
      <c r="M106" s="918" t="n"/>
      <c r="N106" s="918" t="n"/>
      <c r="O106" s="918" t="n"/>
      <c r="P106" s="918" t="n"/>
      <c r="Q106" s="918" t="n"/>
      <c r="R106" s="1002" t="n"/>
    </row>
    <row r="107">
      <c r="A107" s="918" t="n"/>
      <c r="B107" s="918" t="n"/>
      <c r="C107" s="918" t="n"/>
      <c r="D107" s="918" t="n"/>
      <c r="E107" s="918" t="n"/>
      <c r="F107" s="918" t="n"/>
      <c r="G107" s="879" t="n"/>
      <c r="H107" s="879" t="n"/>
      <c r="I107" s="879" t="n"/>
      <c r="J107" s="918" t="n"/>
      <c r="K107" s="918" t="n"/>
      <c r="L107" s="918" t="n"/>
      <c r="M107" s="918" t="n"/>
      <c r="N107" s="918" t="n"/>
      <c r="O107" s="918" t="n"/>
      <c r="P107" s="918" t="n"/>
      <c r="Q107" s="918" t="n"/>
      <c r="R107" s="1002" t="n"/>
    </row>
    <row r="108">
      <c r="A108" s="918" t="n"/>
      <c r="B108" s="918" t="n"/>
      <c r="C108" s="918" t="n"/>
      <c r="D108" s="918" t="n"/>
      <c r="E108" s="918" t="n"/>
      <c r="F108" s="918" t="n"/>
      <c r="G108" s="879" t="n"/>
      <c r="H108" s="879" t="n"/>
      <c r="I108" s="879" t="n"/>
      <c r="J108" s="918" t="n"/>
      <c r="K108" s="918" t="n"/>
      <c r="L108" s="918" t="n"/>
      <c r="M108" s="918" t="n"/>
      <c r="N108" s="918" t="n"/>
      <c r="O108" s="918" t="n"/>
      <c r="P108" s="918" t="n"/>
      <c r="Q108" s="918" t="n"/>
      <c r="R108" s="1002" t="n"/>
    </row>
    <row r="109">
      <c r="A109" s="918" t="n"/>
      <c r="B109" s="918" t="n"/>
      <c r="C109" s="918" t="n"/>
      <c r="D109" s="918" t="n"/>
      <c r="E109" s="918" t="n"/>
      <c r="F109" s="918" t="n"/>
      <c r="G109" s="879" t="n"/>
      <c r="H109" s="879" t="n"/>
      <c r="I109" s="879" t="n"/>
      <c r="J109" s="918" t="n"/>
      <c r="K109" s="918" t="n"/>
      <c r="L109" s="918" t="n"/>
      <c r="M109" s="918" t="n"/>
      <c r="N109" s="918" t="n"/>
      <c r="O109" s="918" t="n"/>
      <c r="P109" s="918" t="n"/>
      <c r="Q109" s="918" t="n"/>
      <c r="R109" s="1002" t="n"/>
    </row>
    <row r="110">
      <c r="A110" s="918" t="n"/>
      <c r="B110" s="918" t="n"/>
      <c r="C110" s="918" t="n"/>
      <c r="D110" s="918" t="n"/>
      <c r="E110" s="918" t="n"/>
      <c r="F110" s="918" t="n"/>
      <c r="G110" s="879" t="n"/>
      <c r="H110" s="879" t="n"/>
      <c r="I110" s="879" t="n"/>
      <c r="J110" s="918" t="n"/>
      <c r="K110" s="918" t="n"/>
      <c r="L110" s="918" t="n"/>
      <c r="M110" s="918" t="n"/>
      <c r="N110" s="918" t="n"/>
      <c r="O110" s="918" t="n"/>
      <c r="P110" s="918" t="n"/>
      <c r="Q110" s="918" t="n"/>
      <c r="R110" s="1002" t="n"/>
    </row>
    <row r="111">
      <c r="A111" s="918" t="n"/>
      <c r="B111" s="918" t="n"/>
      <c r="C111" s="918" t="n"/>
      <c r="D111" s="918" t="n"/>
      <c r="E111" s="918" t="n"/>
      <c r="F111" s="918" t="n"/>
      <c r="G111" s="879" t="n"/>
      <c r="H111" s="879" t="n"/>
      <c r="I111" s="879" t="n"/>
      <c r="J111" s="918" t="n"/>
      <c r="K111" s="918" t="n"/>
      <c r="L111" s="918" t="n"/>
      <c r="M111" s="918" t="n"/>
      <c r="N111" s="918" t="n"/>
      <c r="O111" s="918" t="n"/>
      <c r="P111" s="918" t="n"/>
      <c r="Q111" s="918" t="n"/>
      <c r="R111" s="1002" t="n"/>
    </row>
    <row r="112">
      <c r="A112" s="918" t="n"/>
      <c r="B112" s="918" t="n"/>
      <c r="C112" s="918" t="n"/>
      <c r="D112" s="918" t="n"/>
      <c r="E112" s="918" t="n"/>
      <c r="F112" s="918" t="n"/>
      <c r="G112" s="879" t="n"/>
      <c r="H112" s="879" t="n"/>
      <c r="I112" s="879" t="n"/>
      <c r="J112" s="918" t="n"/>
      <c r="K112" s="918" t="n"/>
      <c r="L112" s="918" t="n"/>
      <c r="M112" s="918" t="n"/>
      <c r="N112" s="918" t="n"/>
      <c r="O112" s="918" t="n"/>
      <c r="P112" s="918" t="n"/>
      <c r="Q112" s="918" t="n"/>
      <c r="R112" s="1002" t="n"/>
    </row>
    <row r="113">
      <c r="A113" s="918" t="n"/>
      <c r="B113" s="918" t="n"/>
      <c r="C113" s="918" t="n"/>
      <c r="D113" s="918" t="n"/>
      <c r="E113" s="918" t="n"/>
      <c r="F113" s="918" t="n"/>
      <c r="G113" s="879" t="n"/>
      <c r="H113" s="879" t="n"/>
      <c r="I113" s="879" t="n"/>
      <c r="J113" s="918" t="n"/>
      <c r="K113" s="918" t="n"/>
      <c r="L113" s="918" t="n"/>
      <c r="M113" s="918" t="n"/>
      <c r="N113" s="918" t="n"/>
      <c r="O113" s="918" t="n"/>
      <c r="P113" s="918" t="n"/>
      <c r="Q113" s="918" t="n"/>
      <c r="R113" s="1002" t="n"/>
    </row>
    <row r="114">
      <c r="A114" s="918" t="n"/>
      <c r="B114" s="918" t="n"/>
      <c r="C114" s="918" t="n"/>
      <c r="D114" s="918" t="n"/>
      <c r="E114" s="918" t="n"/>
      <c r="F114" s="918" t="n"/>
      <c r="G114" s="879" t="n"/>
      <c r="H114" s="879" t="n"/>
      <c r="I114" s="879" t="n"/>
      <c r="J114" s="918" t="n"/>
      <c r="K114" s="918" t="n"/>
      <c r="L114" s="918" t="n"/>
      <c r="M114" s="918" t="n"/>
      <c r="N114" s="918" t="n"/>
      <c r="O114" s="918" t="n"/>
      <c r="P114" s="918" t="n"/>
      <c r="Q114" s="918" t="n"/>
      <c r="R114" s="1002" t="n"/>
    </row>
    <row r="115">
      <c r="A115" s="918" t="n"/>
      <c r="B115" s="918" t="n"/>
      <c r="C115" s="918" t="n"/>
      <c r="D115" s="918" t="n"/>
      <c r="E115" s="918" t="n"/>
      <c r="F115" s="918" t="n"/>
      <c r="G115" s="879" t="n"/>
      <c r="H115" s="879" t="n"/>
      <c r="I115" s="879" t="n"/>
      <c r="J115" s="918" t="n"/>
      <c r="K115" s="918" t="n"/>
      <c r="L115" s="918" t="n"/>
      <c r="M115" s="918" t="n"/>
      <c r="N115" s="918" t="n"/>
      <c r="O115" s="918" t="n"/>
      <c r="P115" s="918" t="n"/>
      <c r="Q115" s="918" t="n"/>
      <c r="R115" s="1002" t="n"/>
    </row>
  </sheetData>
  <mergeCells count="5">
    <mergeCell ref="A4:H4"/>
    <mergeCell ref="F5:H10"/>
    <mergeCell ref="A2:R2"/>
    <mergeCell ref="A13:R13"/>
    <mergeCell ref="A1:R1"/>
  </mergeCells>
  <conditionalFormatting sqref="O15:O115">
    <cfRule type="expression" priority="1" dxfId="5">
      <formula>O15="Approved"</formula>
    </cfRule>
    <cfRule type="expression" priority="2" dxfId="8">
      <formula>O15="Rejected"</formula>
    </cfRule>
    <cfRule type="expression" priority="3" dxfId="4">
      <formula>O15="Review required"</formula>
    </cfRule>
  </conditionalFormatting>
  <pageMargins left="0.7" right="0.7" top="0.75" bottom="0.75" header="0.3" footer="0.3"/>
</worksheet>
</file>

<file path=xl/worksheets/sheet77.xml><?xml version="1.0" encoding="utf-8"?>
<worksheet xmlns="http://schemas.openxmlformats.org/spreadsheetml/2006/main">
  <sheetPr>
    <tabColor rgb="001F4E79"/>
    <outlinePr summaryBelow="1" summaryRight="1"/>
    <pageSetUpPr/>
  </sheetPr>
  <dimension ref="A1:E22"/>
  <sheetViews>
    <sheetView workbookViewId="0">
      <selection activeCell="A1" sqref="A1"/>
    </sheetView>
  </sheetViews>
  <sheetFormatPr baseColWidth="8" defaultRowHeight="15"/>
  <sheetData>
    <row r="1">
      <c r="A1" s="970" t="inlineStr">
        <is>
          <t>21 — Sources and Evidence</t>
        </is>
      </c>
      <c r="B1" s="970" t="n"/>
      <c r="C1" s="970" t="n"/>
      <c r="D1" s="970" t="n"/>
      <c r="E1" s="970" t="n"/>
    </row>
    <row r="2">
      <c r="A2" s="966" t="inlineStr">
        <is>
          <t>Core methodology sources and important limitations. Pack-specific sources remain in the separate sector workbook.</t>
        </is>
      </c>
      <c r="B2" s="966" t="n"/>
      <c r="C2" s="966" t="n"/>
      <c r="D2" s="966" t="n"/>
      <c r="E2" s="966" t="n"/>
    </row>
    <row r="3">
      <c r="A3" s="973" t="n"/>
      <c r="B3" s="973" t="n"/>
      <c r="C3" s="973" t="n"/>
      <c r="D3" s="973" t="n"/>
      <c r="E3" s="973" t="n"/>
    </row>
    <row r="4">
      <c r="A4" s="973" t="n"/>
      <c r="B4" s="973" t="n"/>
      <c r="C4" s="973" t="n"/>
      <c r="D4" s="973" t="n"/>
      <c r="E4" s="973" t="n"/>
    </row>
    <row r="5">
      <c r="A5" s="973" t="n"/>
      <c r="B5" s="973" t="n"/>
      <c r="C5" s="973" t="n"/>
      <c r="D5" s="973" t="n"/>
      <c r="E5" s="973" t="n"/>
    </row>
    <row r="6">
      <c r="A6" s="973" t="n"/>
      <c r="B6" s="973" t="n"/>
      <c r="C6" s="973" t="n"/>
      <c r="D6" s="973" t="n"/>
      <c r="E6" s="973" t="n"/>
    </row>
    <row r="7">
      <c r="A7" s="973" t="n"/>
      <c r="B7" s="973" t="n"/>
      <c r="C7" s="973" t="n"/>
      <c r="D7" s="973" t="n"/>
      <c r="E7" s="973" t="n"/>
    </row>
    <row r="8">
      <c r="A8" s="973" t="n"/>
      <c r="B8" s="973" t="n"/>
      <c r="C8" s="973" t="n"/>
      <c r="D8" s="973" t="n"/>
      <c r="E8" s="973" t="n"/>
    </row>
    <row r="9">
      <c r="A9" s="973" t="n"/>
      <c r="B9" s="973" t="n"/>
      <c r="C9" s="973" t="n"/>
      <c r="D9" s="973" t="n"/>
      <c r="E9" s="973" t="n"/>
    </row>
    <row r="10">
      <c r="A10" s="973" t="n"/>
      <c r="B10" s="973" t="n"/>
      <c r="C10" s="973" t="n"/>
      <c r="D10" s="973" t="n"/>
      <c r="E10" s="973" t="n"/>
    </row>
    <row r="11">
      <c r="A11" s="973" t="n"/>
      <c r="B11" s="973" t="n"/>
      <c r="C11" s="973" t="n"/>
      <c r="D11" s="973" t="n"/>
      <c r="E11" s="973" t="n"/>
    </row>
    <row r="12">
      <c r="A12" s="973" t="n"/>
      <c r="B12" s="973" t="n"/>
      <c r="C12" s="973" t="n"/>
      <c r="D12" s="973" t="n"/>
      <c r="E12" s="973" t="n"/>
    </row>
    <row r="13">
      <c r="A13" s="973" t="n"/>
      <c r="B13" s="973" t="n"/>
      <c r="C13" s="973" t="n"/>
      <c r="D13" s="973" t="n"/>
      <c r="E13" s="973" t="n"/>
    </row>
    <row r="14">
      <c r="A14" s="973" t="n"/>
      <c r="B14" s="973" t="n"/>
      <c r="C14" s="973" t="n"/>
      <c r="D14" s="973" t="n"/>
      <c r="E14" s="973" t="n"/>
    </row>
    <row r="15">
      <c r="A15" s="969" t="inlineStr">
        <is>
          <t>Source ID</t>
        </is>
      </c>
      <c r="B15" s="969" t="inlineStr">
        <is>
          <t>Source</t>
        </is>
      </c>
      <c r="C15" s="969" t="inlineStr">
        <is>
          <t>URL / file</t>
        </is>
      </c>
      <c r="D15" s="969" t="inlineStr">
        <is>
          <t>How used</t>
        </is>
      </c>
      <c r="E15" s="969" t="inlineStr">
        <is>
          <t>Limitation</t>
        </is>
      </c>
    </row>
    <row r="16">
      <c r="A16" s="973" t="inlineStr">
        <is>
          <t>CORE-01</t>
        </is>
      </c>
      <c r="B16" s="973" t="inlineStr">
        <is>
          <t>MITRE Enterprise ATT&amp;CK</t>
        </is>
      </c>
      <c r="C16" s="973" t="inlineStr">
        <is>
          <t>https://attack.mitre.org/matrices/enterprise/</t>
        </is>
      </c>
      <c r="D16" s="973" t="inlineStr">
        <is>
          <t>Technique taxonomy</t>
        </is>
      </c>
      <c r="E16" s="973" t="inlineStr">
        <is>
          <t>Not a probability dataset</t>
        </is>
      </c>
    </row>
    <row r="17">
      <c r="A17" s="973" t="inlineStr">
        <is>
          <t>CORE-02</t>
        </is>
      </c>
      <c r="B17" s="973" t="inlineStr">
        <is>
          <t>MITRE Enterprise mitigations</t>
        </is>
      </c>
      <c r="C17" s="973" t="inlineStr">
        <is>
          <t>https://attack.mitre.org/mitigations/enterprise/</t>
        </is>
      </c>
      <c r="D17" s="973" t="inlineStr">
        <is>
          <t>Control-mitigation mapping</t>
        </is>
      </c>
      <c r="E17" s="973" t="inlineStr">
        <is>
          <t>Does not quantify efficacy</t>
        </is>
      </c>
    </row>
    <row r="18">
      <c r="A18" s="973" t="inlineStr">
        <is>
          <t>CORE-03</t>
        </is>
      </c>
      <c r="B18" s="973" t="inlineStr">
        <is>
          <t>NIST CSF 2.0</t>
        </is>
      </c>
      <c r="C18" s="973" t="inlineStr">
        <is>
          <t>https://nvlpubs.nist.gov/nistpubs/CSWP/NIST.CSWP.29.pdf</t>
        </is>
      </c>
      <c r="D18" s="973" t="inlineStr">
        <is>
          <t>Control-family governance</t>
        </is>
      </c>
      <c r="E18" s="973" t="inlineStr">
        <is>
          <t>Outcome framework</t>
        </is>
      </c>
    </row>
    <row r="19">
      <c r="A19" s="973" t="inlineStr">
        <is>
          <t>CORE-04</t>
        </is>
      </c>
      <c r="B19" s="973" t="inlineStr">
        <is>
          <t>CISA KEV</t>
        </is>
      </c>
      <c r="C19" s="973" t="inlineStr">
        <is>
          <t>https://www.cisa.gov/known-exploited-vulnerabilities-catalog</t>
        </is>
      </c>
      <c r="D19" s="973" t="inlineStr">
        <is>
          <t>Future exposure-model evidence</t>
        </is>
      </c>
      <c r="E19" s="973" t="inlineStr">
        <is>
          <t>Not annual organisation frequency</t>
        </is>
      </c>
    </row>
    <row r="20">
      <c r="A20" s="973" t="inlineStr">
        <is>
          <t>CORE-05</t>
        </is>
      </c>
      <c r="B20" s="973" t="inlineStr">
        <is>
          <t>FIRST EPSS</t>
        </is>
      </c>
      <c r="C20" s="973" t="inlineStr">
        <is>
          <t>https://www.first.org/epss/</t>
        </is>
      </c>
      <c r="D20" s="973" t="inlineStr">
        <is>
          <t>Future exposure-model evidence</t>
        </is>
      </c>
      <c r="E20" s="973" t="inlineStr">
        <is>
          <t>30-day population probability only</t>
        </is>
      </c>
    </row>
    <row r="21">
      <c r="A21" s="973" t="inlineStr">
        <is>
          <t>CORE-06</t>
        </is>
      </c>
      <c r="B21" s="973" t="inlineStr">
        <is>
          <t>Guided OT CRQ v1.7</t>
        </is>
      </c>
      <c r="C21" s="973" t="inlineStr">
        <is>
          <t>Guided_OT_CRQ_Model_v1_7.xlsx</t>
        </is>
      </c>
      <c r="D21" s="973" t="inlineStr">
        <is>
          <t>Reference-relative controls, composite stages, Monte Carlo and reporting architecture</t>
        </is>
      </c>
      <c r="E21" s="973" t="inlineStr">
        <is>
          <t>OT content not reused as IT calibration</t>
        </is>
      </c>
    </row>
    <row r="22">
      <c r="A22" s="973" t="inlineStr">
        <is>
          <t>CORE-07</t>
        </is>
      </c>
      <c r="B22" s="973" t="inlineStr">
        <is>
          <t>Balbix Breach Impact Model</t>
        </is>
      </c>
      <c r="C22" s="973" t="inlineStr">
        <is>
          <t>Balbix Breach Impact Model.xlsx</t>
        </is>
      </c>
      <c r="D22" s="973" t="inlineStr">
        <is>
          <t>Impact-driver structure and identifiable rate assumptions</t>
        </is>
      </c>
      <c r="E22" s="973" t="inlineStr">
        <is>
          <t>Taxonomy and formulas rebuilt for this model</t>
        </is>
      </c>
    </row>
  </sheetData>
  <pageMargins left="0.7" right="0.7" top="0.75" bottom="0.75" header="0.3" footer="0.3"/>
</worksheet>
</file>

<file path=xl/worksheets/sheet78.xml><?xml version="1.0" encoding="utf-8"?>
<worksheet xmlns="http://schemas.openxmlformats.org/spreadsheetml/2006/main">
  <sheetPr>
    <tabColor rgb="001F4E79"/>
    <outlinePr summaryBelow="1" summaryRight="1"/>
    <pageSetUpPr/>
  </sheetPr>
  <dimension ref="A1:E100"/>
  <sheetViews>
    <sheetView workbookViewId="0">
      <selection activeCell="A1" sqref="A1"/>
    </sheetView>
  </sheetViews>
  <sheetFormatPr baseColWidth="8" defaultRowHeight="15"/>
  <sheetData>
    <row r="1">
      <c r="A1" s="970" t="inlineStr">
        <is>
          <t>22 — Validation Tests</t>
        </is>
      </c>
      <c r="B1" s="970" t="n"/>
      <c r="C1" s="970" t="n"/>
      <c r="D1" s="970" t="n"/>
      <c r="E1" s="970" t="n"/>
    </row>
    <row r="2">
      <c r="A2" s="966" t="inlineStr">
        <is>
          <t>Python-populated structural, numerical, monotonicity and pack-interface checks.</t>
        </is>
      </c>
      <c r="B2" s="966" t="n"/>
      <c r="C2" s="966" t="n"/>
      <c r="D2" s="966" t="n"/>
      <c r="E2" s="966" t="n"/>
    </row>
    <row r="3">
      <c r="A3" s="973" t="n"/>
      <c r="B3" s="973" t="n"/>
      <c r="C3" s="973" t="n"/>
      <c r="D3" s="973" t="n"/>
      <c r="E3" s="973" t="n"/>
    </row>
    <row r="4">
      <c r="A4" s="973" t="n"/>
      <c r="B4" s="973" t="n"/>
      <c r="C4" s="973" t="n"/>
      <c r="D4" s="973" t="n"/>
      <c r="E4" s="973" t="n"/>
    </row>
    <row r="5">
      <c r="A5" s="973" t="n"/>
      <c r="B5" s="973" t="n"/>
      <c r="C5" s="973" t="n"/>
      <c r="D5" s="973" t="n"/>
      <c r="E5" s="973" t="n"/>
    </row>
    <row r="6">
      <c r="A6" s="973" t="n"/>
      <c r="B6" s="973" t="n"/>
      <c r="C6" s="973" t="n"/>
      <c r="D6" s="973" t="n"/>
      <c r="E6" s="973" t="n"/>
    </row>
    <row r="7">
      <c r="A7" s="973" t="n"/>
      <c r="B7" s="973" t="n"/>
      <c r="C7" s="973" t="n"/>
      <c r="D7" s="973" t="n"/>
      <c r="E7" s="973" t="n"/>
    </row>
    <row r="8">
      <c r="A8" s="973" t="n"/>
      <c r="B8" s="973" t="n"/>
      <c r="C8" s="973" t="n"/>
      <c r="D8" s="973" t="n"/>
      <c r="E8" s="973" t="n"/>
    </row>
    <row r="9">
      <c r="A9" s="973" t="n"/>
      <c r="B9" s="973" t="n"/>
      <c r="C9" s="973" t="n"/>
      <c r="D9" s="973" t="n"/>
      <c r="E9" s="973" t="n"/>
    </row>
    <row r="10">
      <c r="A10" s="973" t="n"/>
      <c r="B10" s="973" t="n"/>
      <c r="C10" s="973" t="n"/>
      <c r="D10" s="973" t="n"/>
      <c r="E10" s="973" t="n"/>
    </row>
    <row r="11">
      <c r="A11" s="973" t="n"/>
      <c r="B11" s="973" t="n"/>
      <c r="C11" s="973" t="n"/>
      <c r="D11" s="973" t="n"/>
      <c r="E11" s="973" t="n"/>
    </row>
    <row r="12">
      <c r="A12" s="973" t="n"/>
      <c r="B12" s="973" t="n"/>
      <c r="C12" s="973" t="n"/>
      <c r="D12" s="973" t="n"/>
      <c r="E12" s="973" t="n"/>
    </row>
    <row r="13">
      <c r="A13" s="973" t="n"/>
      <c r="B13" s="973" t="n"/>
      <c r="C13" s="973" t="n"/>
      <c r="D13" s="973" t="n"/>
      <c r="E13" s="973" t="n"/>
    </row>
    <row r="14">
      <c r="A14" s="973" t="n"/>
      <c r="B14" s="973" t="n"/>
      <c r="C14" s="973" t="n"/>
      <c r="D14" s="973" t="n"/>
      <c r="E14" s="973" t="n"/>
    </row>
    <row r="15">
      <c r="A15" s="969" t="inlineStr">
        <is>
          <t>Test</t>
        </is>
      </c>
      <c r="B15" s="969" t="inlineStr">
        <is>
          <t>Status</t>
        </is>
      </c>
      <c r="C15" s="969" t="inlineStr">
        <is>
          <t>Actual</t>
        </is>
      </c>
      <c r="D15" s="969" t="inlineStr">
        <is>
          <t>Expected</t>
        </is>
      </c>
      <c r="E15" s="969" t="inlineStr">
        <is>
          <t>Location / remediation</t>
        </is>
      </c>
    </row>
    <row r="16">
      <c r="A16" s="973" t="inlineStr">
        <is>
          <t>Sector-pack schema</t>
        </is>
      </c>
      <c r="B16" s="973" t="inlineStr">
        <is>
          <t>PASS</t>
        </is>
      </c>
      <c r="C16" s="973" t="inlineStr">
        <is>
          <t>CRQ-PACK-1.1</t>
        </is>
      </c>
      <c r="D16" s="973" t="inlineStr">
        <is>
          <t>CRQ-PACK-1.1</t>
        </is>
      </c>
      <c r="E16" s="973" t="inlineStr">
        <is>
          <t>Update pack or engine.</t>
        </is>
      </c>
    </row>
    <row r="17">
      <c r="A17" s="973" t="inlineStr">
        <is>
          <t>Evidence grades valid</t>
        </is>
      </c>
      <c r="B17" s="973" t="inlineStr">
        <is>
          <t>PASS</t>
        </is>
      </c>
      <c r="C17" s="973" t="inlineStr">
        <is>
          <t>Valid</t>
        </is>
      </c>
      <c r="D17" s="973" t="inlineStr">
        <is>
          <t>A-D</t>
        </is>
      </c>
      <c r="E17" s="973" t="inlineStr">
        <is>
          <t>Correct pack grade.</t>
        </is>
      </c>
    </row>
    <row r="18">
      <c r="A18" s="973" t="inlineStr">
        <is>
          <t>Exposure switch neutralisation</t>
        </is>
      </c>
      <c r="B18" s="973" t="inlineStr">
        <is>
          <t>PASS</t>
        </is>
      </c>
      <c r="C18" s="973" t="inlineStr">
        <is>
          <t>Neutral</t>
        </is>
      </c>
      <c r="D18" s="973" t="inlineStr">
        <is>
          <t>Neutral when No</t>
        </is>
      </c>
      <c r="E18" s="973" t="inlineStr">
        <is>
          <t>Review exposure interface.</t>
        </is>
      </c>
    </row>
    <row r="19">
      <c r="A19" s="973" t="inlineStr">
        <is>
          <t>Baseline attempt frequency preserved</t>
        </is>
      </c>
      <c r="B19" s="973" t="inlineStr">
        <is>
          <t>PASS</t>
        </is>
      </c>
      <c r="C19" s="973" t="n">
        <v>1</v>
      </c>
      <c r="D19" s="973" t="n">
        <v>1</v>
      </c>
      <c r="E19" s="973" t="inlineStr">
        <is>
          <t>Review route renormalisation.</t>
        </is>
      </c>
    </row>
    <row r="20">
      <c r="A20" s="973" t="inlineStr">
        <is>
          <t>Positive actor-scenario cells have valid paths</t>
        </is>
      </c>
      <c r="B20" s="973" t="inlineStr">
        <is>
          <t>PASS</t>
        </is>
      </c>
      <c r="C20" s="973" t="inlineStr">
        <is>
          <t>Covered</t>
        </is>
      </c>
      <c r="D20" s="973" t="inlineStr">
        <is>
          <t>Covered</t>
        </is>
      </c>
      <c r="E20" s="973" t="inlineStr">
        <is>
          <t>Review stage and ATT&amp;CK applicability.</t>
        </is>
      </c>
    </row>
    <row r="21">
      <c r="A21" s="973" t="inlineStr">
        <is>
          <t>No dead route-technique mappings</t>
        </is>
      </c>
      <c r="B21" s="973" t="inlineStr">
        <is>
          <t>PASS</t>
        </is>
      </c>
      <c r="C21" s="973" t="inlineStr">
        <is>
          <t>None</t>
        </is>
      </c>
      <c r="D21" s="973" t="inlineStr">
        <is>
          <t>None</t>
        </is>
      </c>
      <c r="E21" s="973" t="inlineStr">
        <is>
          <t>Correct mapping.</t>
        </is>
      </c>
    </row>
    <row r="22">
      <c r="A22" s="973" t="inlineStr">
        <is>
          <t>All-zero stage masks inactive</t>
        </is>
      </c>
      <c r="B22" s="973" t="inlineStr">
        <is>
          <t>PASS</t>
        </is>
      </c>
      <c r="C22" s="973" t="inlineStr">
        <is>
          <t>None</t>
        </is>
      </c>
      <c r="D22" s="973" t="inlineStr">
        <is>
          <t>None with non-zero pooled route propensity</t>
        </is>
      </c>
      <c r="E22" s="973" t="inlineStr">
        <is>
          <t>Set at least one required stage or zero the route propensity.</t>
        </is>
      </c>
    </row>
    <row r="23">
      <c r="A23" s="973" t="inlineStr">
        <is>
          <t>Loss-block P99 &gt;= P50</t>
        </is>
      </c>
      <c r="B23" s="973" t="inlineStr">
        <is>
          <t>PASS</t>
        </is>
      </c>
      <c r="C23" s="973" t="inlineStr">
        <is>
          <t>Ordered</t>
        </is>
      </c>
      <c r="D23" s="973" t="inlineStr">
        <is>
          <t>Ordered</t>
        </is>
      </c>
      <c r="E23" s="973" t="inlineStr">
        <is>
          <t>Review impact assumptions.</t>
        </is>
      </c>
    </row>
    <row r="24">
      <c r="A24" s="973" t="inlineStr">
        <is>
          <t>Control ratios bounded</t>
        </is>
      </c>
      <c r="B24" s="973" t="inlineStr">
        <is>
          <t>PASS</t>
        </is>
      </c>
      <c r="C24" s="973" t="inlineStr">
        <is>
          <t>Bounded</t>
        </is>
      </c>
      <c r="D24" s="973" t="inlineStr">
        <is>
          <t>Within pack bounds</t>
        </is>
      </c>
      <c r="E24" s="973" t="inlineStr">
        <is>
          <t>Review aggregation.</t>
        </is>
      </c>
    </row>
    <row r="25">
      <c r="A25" s="973" t="inlineStr">
        <is>
          <t>Common random numbers reproducible</t>
        </is>
      </c>
      <c r="B25" s="973" t="inlineStr">
        <is>
          <t>PASS</t>
        </is>
      </c>
      <c r="C25" s="973" t="inlineStr">
        <is>
          <t>Exact match</t>
        </is>
      </c>
      <c r="D25" s="973" t="inlineStr">
        <is>
          <t>Exact match</t>
        </is>
      </c>
      <c r="E25" s="973" t="inlineStr">
        <is>
          <t>Use same seed/order.</t>
        </is>
      </c>
    </row>
    <row r="26">
      <c r="A26" s="973" t="inlineStr">
        <is>
          <t>Simulation AAL reconciles to analytic AAL</t>
        </is>
      </c>
      <c r="B26" s="973" t="inlineStr">
        <is>
          <t>PASS</t>
        </is>
      </c>
      <c r="C26" s="973" t="n">
        <v>1059877.254455533</v>
      </c>
      <c r="D26" s="973" t="n">
        <v>1046974.054487771</v>
      </c>
      <c r="E26" s="973" t="inlineStr">
        <is>
          <t>Increase years or review means.</t>
        </is>
      </c>
    </row>
    <row r="27">
      <c r="A27" s="973" t="inlineStr">
        <is>
          <t>TVaR not below VaR</t>
        </is>
      </c>
      <c r="B27" s="973" t="inlineStr">
        <is>
          <t>PASS</t>
        </is>
      </c>
      <c r="C27" s="973" t="inlineStr">
        <is>
          <t>Valid</t>
        </is>
      </c>
      <c r="D27" s="973" t="inlineStr">
        <is>
          <t>TVaR &gt;= VaR</t>
        </is>
      </c>
      <c r="E27" s="973" t="inlineStr">
        <is>
          <t>Review tail metrics.</t>
        </is>
      </c>
    </row>
    <row r="28">
      <c r="A28" s="973" t="inlineStr">
        <is>
          <t>Sparse-loss exact TVaR</t>
        </is>
      </c>
      <c r="B28" s="973" t="inlineStr">
        <is>
          <t>PASS</t>
        </is>
      </c>
      <c r="C28" s="973" t="n">
        <v>19.99999999999998</v>
      </c>
      <c r="D28" s="973" t="n">
        <v>20</v>
      </c>
      <c r="E28" s="973" t="inlineStr">
        <is>
          <t>Restore fractional upper-tail expected shortfall.</t>
        </is>
      </c>
    </row>
    <row r="29">
      <c r="A29" s="973" t="inlineStr">
        <is>
          <t>Diminishing-return control aggregation</t>
        </is>
      </c>
      <c r="B29" s="973" t="inlineStr">
        <is>
          <t>PASS</t>
        </is>
      </c>
      <c r="C29" s="973" t="n">
        <v>0.5805092839436838</v>
      </c>
      <c r="D29" s="973" t="n">
        <v>0.5805092839436838</v>
      </c>
      <c r="E29" s="973" t="inlineStr">
        <is>
          <t>Use remaining-gap OT recursion and barrier cap.</t>
        </is>
      </c>
    </row>
    <row r="30">
      <c r="A30" s="973" t="inlineStr">
        <is>
          <t>Reporting-view resolution</t>
        </is>
      </c>
      <c r="B30" s="973" t="inlineStr">
        <is>
          <t>PASS</t>
        </is>
      </c>
      <c r="C30" s="973" t="inlineStr">
        <is>
          <t>Prudent</t>
        </is>
      </c>
      <c r="D30" s="973" t="inlineStr">
        <is>
          <t>Prudent</t>
        </is>
      </c>
      <c r="E30" s="973" t="inlineStr">
        <is>
          <t>Use one reporting-view resolver for outputs and what-ifs.</t>
        </is>
      </c>
    </row>
    <row r="31">
      <c r="A31" s="973" t="inlineStr">
        <is>
          <t>AEP/OEP valid</t>
        </is>
      </c>
      <c r="B31" s="973" t="inlineStr">
        <is>
          <t>PASS</t>
        </is>
      </c>
      <c r="C31" s="973" t="inlineStr">
        <is>
          <t>Valid</t>
        </is>
      </c>
      <c r="D31" s="973" t="inlineStr">
        <is>
          <t>Monotonic; OEP &lt;= AEP</t>
        </is>
      </c>
      <c r="E31" s="973" t="inlineStr">
        <is>
          <t>Review curves.</t>
        </is>
      </c>
    </row>
    <row r="32">
      <c r="A32" s="973" t="inlineStr">
        <is>
          <t>Control what-ifs non-increasing</t>
        </is>
      </c>
      <c r="B32" s="973" t="inlineStr">
        <is>
          <t>PASS</t>
        </is>
      </c>
      <c r="C32" s="973" t="n">
        <v>1198.275031878846</v>
      </c>
      <c r="D32" s="973" t="inlineStr">
        <is>
          <t>&gt;= 0</t>
        </is>
      </c>
      <c r="E32" s="973" t="inlineStr">
        <is>
          <t>Review control channels.</t>
        </is>
      </c>
    </row>
    <row r="33">
      <c r="A33" s="973" t="inlineStr">
        <is>
          <t>Actor/scenario AAL reconcile</t>
        </is>
      </c>
      <c r="B33" s="973" t="inlineStr">
        <is>
          <t>PASS</t>
        </is>
      </c>
      <c r="C33" s="973" t="n">
        <v>2.328306436538696e-10</v>
      </c>
      <c r="D33" s="973" t="n">
        <v>0</v>
      </c>
      <c r="E33" s="973" t="inlineStr">
        <is>
          <t>Review decomposition.</t>
        </is>
      </c>
    </row>
    <row r="34">
      <c r="A34" s="973" t="inlineStr">
        <is>
          <t>Simulation finite</t>
        </is>
      </c>
      <c r="B34" s="973" t="inlineStr">
        <is>
          <t>PASS</t>
        </is>
      </c>
      <c r="C34" s="973" t="inlineStr">
        <is>
          <t>Finite</t>
        </is>
      </c>
      <c r="D34" s="973" t="inlineStr">
        <is>
          <t>Finite</t>
        </is>
      </c>
      <c r="E34" s="973" t="inlineStr">
        <is>
          <t>Review inputs.</t>
        </is>
      </c>
    </row>
    <row r="35">
      <c r="A35" s="973" t="n"/>
      <c r="B35" s="973" t="n"/>
      <c r="C35" s="973" t="n"/>
      <c r="D35" s="973" t="n"/>
      <c r="E35" s="973" t="n"/>
    </row>
    <row r="36">
      <c r="A36" s="973" t="n"/>
      <c r="B36" s="973" t="n"/>
      <c r="C36" s="973" t="n"/>
      <c r="D36" s="973" t="n"/>
      <c r="E36" s="973" t="n"/>
    </row>
    <row r="37">
      <c r="A37" s="973" t="n"/>
      <c r="B37" s="973" t="n"/>
      <c r="C37" s="973" t="n"/>
      <c r="D37" s="973" t="n"/>
      <c r="E37" s="973" t="n"/>
    </row>
    <row r="38">
      <c r="A38" s="973" t="n"/>
      <c r="B38" s="973" t="n"/>
      <c r="C38" s="973" t="n"/>
      <c r="D38" s="973" t="n"/>
      <c r="E38" s="973" t="n"/>
    </row>
    <row r="39">
      <c r="A39" s="973" t="n"/>
      <c r="B39" s="973" t="n"/>
      <c r="C39" s="973" t="n"/>
      <c r="D39" s="973" t="n"/>
      <c r="E39" s="973" t="n"/>
    </row>
    <row r="40">
      <c r="A40" s="973" t="n"/>
      <c r="B40" s="973" t="n"/>
      <c r="C40" s="973" t="n"/>
      <c r="D40" s="973" t="n"/>
      <c r="E40" s="973" t="n"/>
    </row>
    <row r="41">
      <c r="A41" s="973" t="n"/>
      <c r="B41" s="973" t="n"/>
      <c r="C41" s="973" t="n"/>
      <c r="D41" s="973" t="n"/>
      <c r="E41" s="973" t="n"/>
    </row>
    <row r="42">
      <c r="A42" s="973" t="n"/>
      <c r="B42" s="973" t="n"/>
      <c r="C42" s="973" t="n"/>
      <c r="D42" s="973" t="n"/>
      <c r="E42" s="973" t="n"/>
    </row>
    <row r="43">
      <c r="A43" s="973" t="n"/>
      <c r="B43" s="973" t="n"/>
      <c r="C43" s="973" t="n"/>
      <c r="D43" s="973" t="n"/>
      <c r="E43" s="973" t="n"/>
    </row>
    <row r="44">
      <c r="A44" s="973" t="n"/>
      <c r="B44" s="973" t="n"/>
      <c r="C44" s="973" t="n"/>
      <c r="D44" s="973" t="n"/>
      <c r="E44" s="973" t="n"/>
    </row>
    <row r="45">
      <c r="A45" s="973" t="n"/>
      <c r="B45" s="973" t="n"/>
      <c r="C45" s="973" t="n"/>
      <c r="D45" s="973" t="n"/>
      <c r="E45" s="973" t="n"/>
    </row>
    <row r="46">
      <c r="A46" s="973" t="n"/>
      <c r="B46" s="973" t="n"/>
      <c r="C46" s="973" t="n"/>
      <c r="D46" s="973" t="n"/>
      <c r="E46" s="973" t="n"/>
    </row>
    <row r="47">
      <c r="A47" s="973" t="n"/>
      <c r="B47" s="973" t="n"/>
      <c r="C47" s="973" t="n"/>
      <c r="D47" s="973" t="n"/>
      <c r="E47" s="973" t="n"/>
    </row>
    <row r="48">
      <c r="A48" s="973" t="n"/>
      <c r="B48" s="973" t="n"/>
      <c r="C48" s="973" t="n"/>
      <c r="D48" s="973" t="n"/>
      <c r="E48" s="973" t="n"/>
    </row>
    <row r="49">
      <c r="A49" s="973" t="n"/>
      <c r="B49" s="973" t="n"/>
      <c r="C49" s="973" t="n"/>
      <c r="D49" s="973" t="n"/>
      <c r="E49" s="973" t="n"/>
    </row>
    <row r="50">
      <c r="A50" s="973" t="n"/>
      <c r="B50" s="973" t="n"/>
      <c r="C50" s="973" t="n"/>
      <c r="D50" s="973" t="n"/>
      <c r="E50" s="973" t="n"/>
    </row>
    <row r="51">
      <c r="A51" s="973" t="n"/>
      <c r="B51" s="973" t="n"/>
      <c r="C51" s="973" t="n"/>
      <c r="D51" s="973" t="n"/>
      <c r="E51" s="973" t="n"/>
    </row>
    <row r="52">
      <c r="A52" s="973" t="n"/>
      <c r="B52" s="973" t="n"/>
      <c r="C52" s="973" t="n"/>
      <c r="D52" s="973" t="n"/>
      <c r="E52" s="973" t="n"/>
    </row>
    <row r="53">
      <c r="A53" s="973" t="n"/>
      <c r="B53" s="973" t="n"/>
      <c r="C53" s="973" t="n"/>
      <c r="D53" s="973" t="n"/>
      <c r="E53" s="973" t="n"/>
    </row>
    <row r="54">
      <c r="A54" s="973" t="n"/>
      <c r="B54" s="973" t="n"/>
      <c r="C54" s="973" t="n"/>
      <c r="D54" s="973" t="n"/>
      <c r="E54" s="973" t="n"/>
    </row>
    <row r="55">
      <c r="A55" s="973" t="n"/>
      <c r="B55" s="973" t="n"/>
      <c r="C55" s="973" t="n"/>
      <c r="D55" s="973" t="n"/>
      <c r="E55" s="973" t="n"/>
    </row>
    <row r="56">
      <c r="A56" s="973" t="n"/>
      <c r="B56" s="973" t="n"/>
      <c r="C56" s="973" t="n"/>
      <c r="D56" s="973" t="n"/>
      <c r="E56" s="973" t="n"/>
    </row>
    <row r="57">
      <c r="A57" s="973" t="n"/>
      <c r="B57" s="973" t="n"/>
      <c r="C57" s="973" t="n"/>
      <c r="D57" s="973" t="n"/>
      <c r="E57" s="973" t="n"/>
    </row>
    <row r="58">
      <c r="A58" s="973" t="n"/>
      <c r="B58" s="973" t="n"/>
      <c r="C58" s="973" t="n"/>
      <c r="D58" s="973" t="n"/>
      <c r="E58" s="973" t="n"/>
    </row>
    <row r="59">
      <c r="A59" s="973" t="n"/>
      <c r="B59" s="973" t="n"/>
      <c r="C59" s="973" t="n"/>
      <c r="D59" s="973" t="n"/>
      <c r="E59" s="973" t="n"/>
    </row>
    <row r="60">
      <c r="A60" s="973" t="n"/>
      <c r="B60" s="973" t="n"/>
      <c r="C60" s="973" t="n"/>
      <c r="D60" s="973" t="n"/>
      <c r="E60" s="973" t="n"/>
    </row>
    <row r="61">
      <c r="A61" s="973" t="n"/>
      <c r="B61" s="973" t="n"/>
      <c r="C61" s="973" t="n"/>
      <c r="D61" s="973" t="n"/>
      <c r="E61" s="973" t="n"/>
    </row>
    <row r="62">
      <c r="A62" s="973" t="n"/>
      <c r="B62" s="973" t="n"/>
      <c r="C62" s="973" t="n"/>
      <c r="D62" s="973" t="n"/>
      <c r="E62" s="973" t="n"/>
    </row>
    <row r="63">
      <c r="A63" s="973" t="n"/>
      <c r="B63" s="973" t="n"/>
      <c r="C63" s="973" t="n"/>
      <c r="D63" s="973" t="n"/>
      <c r="E63" s="973" t="n"/>
    </row>
    <row r="64">
      <c r="A64" s="973" t="n"/>
      <c r="B64" s="973" t="n"/>
      <c r="C64" s="973" t="n"/>
      <c r="D64" s="973" t="n"/>
      <c r="E64" s="973" t="n"/>
    </row>
    <row r="65">
      <c r="A65" s="973" t="n"/>
      <c r="B65" s="973" t="n"/>
      <c r="C65" s="973" t="n"/>
      <c r="D65" s="973" t="n"/>
      <c r="E65" s="973" t="n"/>
    </row>
    <row r="66">
      <c r="A66" s="973" t="n"/>
      <c r="B66" s="973" t="n"/>
      <c r="C66" s="973" t="n"/>
      <c r="D66" s="973" t="n"/>
      <c r="E66" s="973" t="n"/>
    </row>
    <row r="67">
      <c r="A67" s="973" t="n"/>
      <c r="B67" s="973" t="n"/>
      <c r="C67" s="973" t="n"/>
      <c r="D67" s="973" t="n"/>
      <c r="E67" s="973" t="n"/>
    </row>
    <row r="68">
      <c r="A68" s="973" t="n"/>
      <c r="B68" s="973" t="n"/>
      <c r="C68" s="973" t="n"/>
      <c r="D68" s="973" t="n"/>
      <c r="E68" s="973" t="n"/>
    </row>
    <row r="69">
      <c r="A69" s="973" t="n"/>
      <c r="B69" s="973" t="n"/>
      <c r="C69" s="973" t="n"/>
      <c r="D69" s="973" t="n"/>
      <c r="E69" s="973" t="n"/>
    </row>
    <row r="70">
      <c r="A70" s="973" t="n"/>
      <c r="B70" s="973" t="n"/>
      <c r="C70" s="973" t="n"/>
      <c r="D70" s="973" t="n"/>
      <c r="E70" s="973" t="n"/>
    </row>
    <row r="71">
      <c r="A71" s="973" t="n"/>
      <c r="B71" s="973" t="n"/>
      <c r="C71" s="973" t="n"/>
      <c r="D71" s="973" t="n"/>
      <c r="E71" s="973" t="n"/>
    </row>
    <row r="72">
      <c r="A72" s="973" t="n"/>
      <c r="B72" s="973" t="n"/>
      <c r="C72" s="973" t="n"/>
      <c r="D72" s="973" t="n"/>
      <c r="E72" s="973" t="n"/>
    </row>
    <row r="73">
      <c r="A73" s="973" t="n"/>
      <c r="B73" s="973" t="n"/>
      <c r="C73" s="973" t="n"/>
      <c r="D73" s="973" t="n"/>
      <c r="E73" s="973" t="n"/>
    </row>
    <row r="74">
      <c r="A74" s="973" t="n"/>
      <c r="B74" s="973" t="n"/>
      <c r="C74" s="973" t="n"/>
      <c r="D74" s="973" t="n"/>
      <c r="E74" s="973" t="n"/>
    </row>
    <row r="75">
      <c r="A75" s="973" t="n"/>
      <c r="B75" s="973" t="n"/>
      <c r="C75" s="973" t="n"/>
      <c r="D75" s="973" t="n"/>
      <c r="E75" s="973" t="n"/>
    </row>
    <row r="76">
      <c r="A76" s="973" t="n"/>
      <c r="B76" s="973" t="n"/>
      <c r="C76" s="973" t="n"/>
      <c r="D76" s="973" t="n"/>
      <c r="E76" s="973" t="n"/>
    </row>
    <row r="77">
      <c r="A77" s="973" t="n"/>
      <c r="B77" s="973" t="n"/>
      <c r="C77" s="973" t="n"/>
      <c r="D77" s="973" t="n"/>
      <c r="E77" s="973" t="n"/>
    </row>
    <row r="78">
      <c r="A78" s="973" t="n"/>
      <c r="B78" s="973" t="n"/>
      <c r="C78" s="973" t="n"/>
      <c r="D78" s="973" t="n"/>
      <c r="E78" s="973" t="n"/>
    </row>
    <row r="79">
      <c r="A79" s="973" t="n"/>
      <c r="B79" s="973" t="n"/>
      <c r="C79" s="973" t="n"/>
      <c r="D79" s="973" t="n"/>
      <c r="E79" s="973" t="n"/>
    </row>
    <row r="80">
      <c r="A80" s="973" t="n"/>
      <c r="B80" s="973" t="n"/>
      <c r="C80" s="973" t="n"/>
      <c r="D80" s="973" t="n"/>
      <c r="E80" s="973" t="n"/>
    </row>
    <row r="81">
      <c r="A81" s="973" t="n"/>
      <c r="B81" s="973" t="n"/>
      <c r="C81" s="973" t="n"/>
      <c r="D81" s="973" t="n"/>
      <c r="E81" s="973" t="n"/>
    </row>
    <row r="82">
      <c r="A82" s="973" t="n"/>
      <c r="B82" s="973" t="n"/>
      <c r="C82" s="973" t="n"/>
      <c r="D82" s="973" t="n"/>
      <c r="E82" s="973" t="n"/>
    </row>
    <row r="83">
      <c r="A83" s="973" t="n"/>
      <c r="B83" s="973" t="n"/>
      <c r="C83" s="973" t="n"/>
      <c r="D83" s="973" t="n"/>
      <c r="E83" s="973" t="n"/>
    </row>
    <row r="84">
      <c r="A84" s="973" t="n"/>
      <c r="B84" s="973" t="n"/>
      <c r="C84" s="973" t="n"/>
      <c r="D84" s="973" t="n"/>
      <c r="E84" s="973" t="n"/>
    </row>
    <row r="85">
      <c r="A85" s="973" t="n"/>
      <c r="B85" s="973" t="n"/>
      <c r="C85" s="973" t="n"/>
      <c r="D85" s="973" t="n"/>
      <c r="E85" s="973" t="n"/>
    </row>
    <row r="86">
      <c r="A86" s="973" t="n"/>
      <c r="B86" s="973" t="n"/>
      <c r="C86" s="973" t="n"/>
      <c r="D86" s="973" t="n"/>
      <c r="E86" s="973" t="n"/>
    </row>
    <row r="87">
      <c r="A87" s="973" t="n"/>
      <c r="B87" s="973" t="n"/>
      <c r="C87" s="973" t="n"/>
      <c r="D87" s="973" t="n"/>
      <c r="E87" s="973" t="n"/>
    </row>
    <row r="88">
      <c r="A88" s="973" t="n"/>
      <c r="B88" s="973" t="n"/>
      <c r="C88" s="973" t="n"/>
      <c r="D88" s="973" t="n"/>
      <c r="E88" s="973" t="n"/>
    </row>
    <row r="89">
      <c r="A89" s="973" t="n"/>
      <c r="B89" s="973" t="n"/>
      <c r="C89" s="973" t="n"/>
      <c r="D89" s="973" t="n"/>
      <c r="E89" s="973" t="n"/>
    </row>
    <row r="90">
      <c r="A90" s="973" t="n"/>
      <c r="B90" s="973" t="n"/>
      <c r="C90" s="973" t="n"/>
      <c r="D90" s="973" t="n"/>
      <c r="E90" s="973" t="n"/>
    </row>
    <row r="91">
      <c r="A91" s="973" t="n"/>
      <c r="B91" s="973" t="n"/>
      <c r="C91" s="973" t="n"/>
      <c r="D91" s="973" t="n"/>
      <c r="E91" s="973" t="n"/>
    </row>
    <row r="92">
      <c r="A92" s="973" t="n"/>
      <c r="B92" s="973" t="n"/>
      <c r="C92" s="973" t="n"/>
      <c r="D92" s="973" t="n"/>
      <c r="E92" s="973" t="n"/>
    </row>
    <row r="93">
      <c r="A93" s="973" t="n"/>
      <c r="B93" s="973" t="n"/>
      <c r="C93" s="973" t="n"/>
      <c r="D93" s="973" t="n"/>
      <c r="E93" s="973" t="n"/>
    </row>
    <row r="94">
      <c r="A94" s="973" t="n"/>
      <c r="B94" s="973" t="n"/>
      <c r="C94" s="973" t="n"/>
      <c r="D94" s="973" t="n"/>
      <c r="E94" s="973" t="n"/>
    </row>
    <row r="95">
      <c r="A95" s="973" t="n"/>
      <c r="B95" s="973" t="n"/>
      <c r="C95" s="973" t="n"/>
      <c r="D95" s="973" t="n"/>
      <c r="E95" s="973" t="n"/>
    </row>
    <row r="96">
      <c r="A96" s="973" t="n"/>
      <c r="B96" s="973" t="n"/>
      <c r="C96" s="973" t="n"/>
      <c r="D96" s="973" t="n"/>
      <c r="E96" s="973" t="n"/>
    </row>
    <row r="97">
      <c r="A97" s="973" t="n"/>
      <c r="B97" s="973" t="n"/>
      <c r="C97" s="973" t="n"/>
      <c r="D97" s="973" t="n"/>
      <c r="E97" s="973" t="n"/>
    </row>
    <row r="98">
      <c r="A98" s="973" t="n"/>
      <c r="B98" s="973" t="n"/>
      <c r="C98" s="973" t="n"/>
      <c r="D98" s="973" t="n"/>
      <c r="E98" s="973" t="n"/>
    </row>
    <row r="99">
      <c r="A99" s="973" t="n"/>
      <c r="B99" s="973" t="n"/>
      <c r="C99" s="973" t="n"/>
      <c r="D99" s="973" t="n"/>
      <c r="E99" s="973" t="n"/>
    </row>
    <row r="100">
      <c r="A100" s="973" t="n"/>
      <c r="B100" s="973" t="n"/>
      <c r="C100" s="973" t="n"/>
      <c r="D100" s="973" t="n"/>
      <c r="E100" s="973" t="n"/>
    </row>
  </sheetData>
  <pageMargins left="0.7" right="0.7" top="0.75" bottom="0.75" header="0.3" footer="0.3"/>
</worksheet>
</file>

<file path=xl/worksheets/sheet79.xml><?xml version="1.0" encoding="utf-8"?>
<worksheet xmlns="http://schemas.openxmlformats.org/spreadsheetml/2006/main">
  <sheetPr>
    <tabColor rgb="001F4E79"/>
    <outlinePr summaryBelow="1" summaryRight="1"/>
    <pageSetUpPr/>
  </sheetPr>
  <dimension ref="A1:H9"/>
  <sheetViews>
    <sheetView workbookViewId="0">
      <selection activeCell="A1" sqref="A1"/>
    </sheetView>
  </sheetViews>
  <sheetFormatPr baseColWidth="8" defaultRowHeight="15"/>
  <cols>
    <col width="34" customWidth="1" style="508" min="1" max="1"/>
    <col width="34" customWidth="1" style="508" min="2" max="2"/>
    <col width="12" customWidth="1" style="508" min="3" max="3"/>
  </cols>
  <sheetData>
    <row r="1" ht="32" customHeight="1" s="508">
      <c r="A1" s="976" t="inlineStr">
        <is>
          <t>1 EXECUTIVE DASHBOARDS</t>
        </is>
      </c>
    </row>
    <row r="2" ht="38" customHeight="1" s="508">
      <c r="A2" s="980" t="inlineStr">
        <is>
          <t>Executive decision layer: financial risk, risk drivers, loss analysis, control improvements and risk transfer.</t>
        </is>
      </c>
    </row>
    <row r="4">
      <c r="A4" s="981" t="inlineStr">
        <is>
          <t>Workbook tab</t>
        </is>
      </c>
      <c r="B4" s="981" t="inlineStr">
        <is>
          <t>Purpose</t>
        </is>
      </c>
      <c r="C4" s="981" t="inlineStr">
        <is>
          <t>Open</t>
        </is>
      </c>
    </row>
    <row r="5">
      <c r="A5" s="982" t="inlineStr">
        <is>
          <t>00 Dashboard</t>
        </is>
      </c>
      <c r="B5" s="982" t="inlineStr">
        <is>
          <t>Interactive executive view</t>
        </is>
      </c>
      <c r="C5" s="982">
        <f>HYPERLINK("#'00 Dashboard'!A1","Open")</f>
        <v/>
      </c>
    </row>
    <row r="6">
      <c r="A6" s="982" t="inlineStr">
        <is>
          <t>00 Risk Drivers</t>
        </is>
      </c>
      <c r="B6" s="982" t="inlineStr">
        <is>
          <t>Interactive executive view</t>
        </is>
      </c>
      <c r="C6" s="982">
        <f>HYPERLINK("#'00 Risk Drivers'!A1","Open")</f>
        <v/>
      </c>
    </row>
    <row r="7">
      <c r="A7" s="982" t="inlineStr">
        <is>
          <t>00 Loss Analysis</t>
        </is>
      </c>
      <c r="B7" s="982" t="inlineStr">
        <is>
          <t>Interactive executive view</t>
        </is>
      </c>
      <c r="C7" s="982">
        <f>HYPERLINK("#'00 Loss Analysis'!A1","Open")</f>
        <v/>
      </c>
    </row>
    <row r="8">
      <c r="A8" s="982" t="inlineStr">
        <is>
          <t>00 What-If</t>
        </is>
      </c>
      <c r="B8" s="982" t="inlineStr">
        <is>
          <t>Interactive executive view</t>
        </is>
      </c>
      <c r="C8" s="982">
        <f>HYPERLINK("#'00 What-If'!A1","Open")</f>
        <v/>
      </c>
    </row>
    <row r="9">
      <c r="A9" s="982" t="inlineStr">
        <is>
          <t>00 Risk Transfer</t>
        </is>
      </c>
      <c r="B9" s="982" t="inlineStr">
        <is>
          <t>Interactive executive view</t>
        </is>
      </c>
      <c r="C9" s="982">
        <f>HYPERLINK("#'00 Risk Transfer'!A1","Open")</f>
        <v/>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2026-08-23T07:15:59Z</dcterms:created>
  <dcterms:modified xsi:type="dcterms:W3CDTF">2026-08-26T08:58:27Z</dcterms:modified>
</cp:coreProperties>
</file>